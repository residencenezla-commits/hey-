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T FOURNISSEURS" sheetId="1" state="visible" r:id="rId1"/>
    <sheet name="DETAIL FACTURES" sheetId="2" state="visible" r:id="rId2"/>
    <sheet name="IMPORTATIONS" sheetId="3" state="visible" r:id="rId3"/>
    <sheet name="SITUATION COMPTES FOURNIS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sz val="9"/>
    </font>
    <font>
      <b val="1"/>
      <sz val="14"/>
    </font>
    <font>
      <i val="1"/>
      <sz val="9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4" fontId="0" fillId="0" borderId="1" pivotButton="0" quotePrefix="0" xfId="0"/>
    <xf numFmtId="49" fontId="0" fillId="3" borderId="1" pivotButton="0" quotePrefix="0" xfId="0"/>
    <xf numFmtId="0" fontId="6" fillId="0" borderId="0" pivotButton="0" quotePrefix="0" xfId="0"/>
    <xf numFmtId="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40" customWidth="1" min="3" max="3"/>
    <col width="18" customWidth="1" min="4" max="4"/>
    <col width="16" customWidth="1" min="5" max="5"/>
    <col width="14" customWidth="1" min="6" max="6"/>
    <col width="34" customWidth="1" min="7" max="7"/>
    <col width="9" customWidth="1" min="8" max="8"/>
    <col width="16" customWidth="1" min="9" max="9"/>
    <col width="14" customWidth="1" min="10" max="10"/>
    <col width="16" customWidth="1" min="11" max="11"/>
  </cols>
  <sheetData>
    <row r="1">
      <c r="A1" s="1" t="inlineStr">
        <is>
          <t>SARL DPR COMPAGNY</t>
        </is>
      </c>
    </row>
    <row r="2">
      <c r="A2" s="2" t="inlineStr">
        <is>
          <t>Village Tizi, commune de Semaoun — Béjaïa</t>
        </is>
      </c>
    </row>
    <row r="3">
      <c r="A3" s="2" t="inlineStr">
        <is>
          <t>NIF 000306018423274 — RC 06/01-0184232B03 — Art. 06120024511</t>
        </is>
      </c>
    </row>
    <row r="5">
      <c r="A5" s="3" t="inlineStr">
        <is>
          <t>ÉTAT DES FOURNISSEURS — EXERCICE 2026 (support magnétique)</t>
        </is>
      </c>
    </row>
    <row r="6">
      <c r="A6" s="4" t="inlineStr">
        <is>
          <t>Achats de biens et services auprès de fournisseurs locaux, factures comptabilisées au 04/10/2026 (dossiers d'importation 001 à 004/2026). Les factures BMT, EPB et MTA sont refacturées en débours par le transitaire : elles sont déclarées au nom de l'émetteur réel, qui porte la TVA.</t>
        </is>
      </c>
    </row>
    <row r="8" ht="30" customHeight="1">
      <c r="A8" s="5" t="inlineStr">
        <is>
          <t>N°</t>
        </is>
      </c>
      <c r="B8" s="5" t="inlineStr">
        <is>
          <t>Code</t>
        </is>
      </c>
      <c r="C8" s="5" t="inlineStr">
        <is>
          <t>Raison sociale</t>
        </is>
      </c>
      <c r="D8" s="5" t="inlineStr">
        <is>
          <t>NIF</t>
        </is>
      </c>
      <c r="E8" s="5" t="inlineStr">
        <is>
          <t>N° RC</t>
        </is>
      </c>
      <c r="F8" s="5" t="inlineStr">
        <is>
          <t>Art. imposition</t>
        </is>
      </c>
      <c r="G8" s="5" t="inlineStr">
        <is>
          <t>Adresse</t>
        </is>
      </c>
      <c r="H8" s="5" t="inlineStr">
        <is>
          <t>Nb factures</t>
        </is>
      </c>
      <c r="I8" s="5" t="inlineStr">
        <is>
          <t>Montant HT</t>
        </is>
      </c>
      <c r="J8" s="5" t="inlineStr">
        <is>
          <t>TVA</t>
        </is>
      </c>
      <c r="K8" s="5" t="inlineStr">
        <is>
          <t>Total TTC</t>
        </is>
      </c>
    </row>
    <row r="9">
      <c r="A9" s="6" t="n">
        <v>1</v>
      </c>
      <c r="B9" s="7" t="inlineStr">
        <is>
          <t>FL078</t>
        </is>
      </c>
      <c r="C9" s="6" t="inlineStr">
        <is>
          <t>TRANSIT HAMMACHE DJAMEL</t>
        </is>
      </c>
      <c r="D9" s="7" t="inlineStr">
        <is>
          <t>173192001027127</t>
        </is>
      </c>
      <c r="E9" s="7" t="inlineStr">
        <is>
          <t>01A0441762 06/00</t>
        </is>
      </c>
      <c r="F9" s="7" t="inlineStr">
        <is>
          <t>06010745601</t>
        </is>
      </c>
      <c r="G9" s="6" t="inlineStr">
        <is>
          <t>05 Rampe du Port, Esc A9 — Béjaïa</t>
        </is>
      </c>
      <c r="H9" s="6" t="n">
        <v>5</v>
      </c>
      <c r="I9" s="8" t="n">
        <v>228000</v>
      </c>
      <c r="J9" s="8" t="n">
        <v>0</v>
      </c>
      <c r="K9" s="8">
        <f>I9+J9</f>
        <v/>
      </c>
    </row>
    <row r="10">
      <c r="A10" s="6" t="n">
        <v>2</v>
      </c>
      <c r="B10" s="7" t="inlineStr"/>
      <c r="C10" s="6" t="inlineStr">
        <is>
          <t>BEJAIA MEDITERRANEAN TERMINAL (BMT)</t>
        </is>
      </c>
      <c r="D10" s="7" t="inlineStr">
        <is>
          <t>000406018473045</t>
        </is>
      </c>
      <c r="E10" s="7" t="inlineStr">
        <is>
          <t>04B 0184730</t>
        </is>
      </c>
      <c r="F10" s="7" t="inlineStr"/>
      <c r="G10" s="6" t="inlineStr">
        <is>
          <t>Nouveau quai — Port de Béjaïa</t>
        </is>
      </c>
      <c r="H10" s="6" t="n">
        <v>11</v>
      </c>
      <c r="I10" s="8" t="n">
        <v>164900</v>
      </c>
      <c r="J10" s="8" t="n">
        <v>31331</v>
      </c>
      <c r="K10" s="8">
        <f>I10+J10</f>
        <v/>
      </c>
    </row>
    <row r="11">
      <c r="A11" s="6" t="n">
        <v>3</v>
      </c>
      <c r="B11" s="7" t="inlineStr">
        <is>
          <t>FL004</t>
        </is>
      </c>
      <c r="C11" s="6" t="inlineStr">
        <is>
          <t>CMA CGM ALGERIE SPA</t>
        </is>
      </c>
      <c r="D11" s="7" t="inlineStr">
        <is>
          <t>099916000895666</t>
        </is>
      </c>
      <c r="E11" s="7" t="inlineStr">
        <is>
          <t>99B0008956</t>
        </is>
      </c>
      <c r="F11" s="7" t="inlineStr">
        <is>
          <t>06010175522</t>
        </is>
      </c>
      <c r="G11" s="6" t="inlineStr">
        <is>
          <t>06, avenue Ben Boulaid — Béjaïa</t>
        </is>
      </c>
      <c r="H11" s="6" t="n">
        <v>3</v>
      </c>
      <c r="I11" s="8" t="n">
        <v>77337.77</v>
      </c>
      <c r="J11" s="8" t="n">
        <v>13031.44</v>
      </c>
      <c r="K11" s="8">
        <f>I11+J11</f>
        <v/>
      </c>
    </row>
    <row r="12">
      <c r="A12" s="6" t="n">
        <v>4</v>
      </c>
      <c r="B12" s="7" t="inlineStr">
        <is>
          <t>FL008</t>
        </is>
      </c>
      <c r="C12" s="6" t="inlineStr">
        <is>
          <t>SARL MSCA (MEDITERRANEAN SHIPPING COMPANY ALGERIA)</t>
        </is>
      </c>
      <c r="D12" s="9" t="inlineStr"/>
      <c r="E12" s="7" t="inlineStr">
        <is>
          <t>0013032-B-00</t>
        </is>
      </c>
      <c r="F12" s="7" t="inlineStr">
        <is>
          <t>06016002773</t>
        </is>
      </c>
      <c r="G12" s="6" t="inlineStr">
        <is>
          <t>Quartier Seghir, lot n° 04 — Béjaïa</t>
        </is>
      </c>
      <c r="H12" s="6" t="n">
        <v>2</v>
      </c>
      <c r="I12" s="8" t="n">
        <v>69987.28</v>
      </c>
      <c r="J12" s="8" t="n">
        <v>12730</v>
      </c>
      <c r="K12" s="8">
        <f>I12+J12</f>
        <v/>
      </c>
    </row>
    <row r="13">
      <c r="A13" s="6" t="n">
        <v>5</v>
      </c>
      <c r="B13" s="7" t="inlineStr"/>
      <c r="C13" s="6" t="inlineStr">
        <is>
          <t>ENTREPRISE PORTUAIRE DE BEJAIA (SERPORT)</t>
        </is>
      </c>
      <c r="D13" s="7" t="inlineStr">
        <is>
          <t>000006018358299</t>
        </is>
      </c>
      <c r="E13" s="7" t="inlineStr">
        <is>
          <t>00B 0183582</t>
        </is>
      </c>
      <c r="F13" s="7" t="inlineStr">
        <is>
          <t>06010106010</t>
        </is>
      </c>
      <c r="G13" s="6" t="inlineStr">
        <is>
          <t>13, avenue des Frères Amrani — Béjaïa</t>
        </is>
      </c>
      <c r="H13" s="6" t="n">
        <v>12</v>
      </c>
      <c r="I13" s="8" t="n">
        <v>25458</v>
      </c>
      <c r="J13" s="8" t="n">
        <v>4837.04</v>
      </c>
      <c r="K13" s="8">
        <f>I13+J13</f>
        <v/>
      </c>
    </row>
    <row r="14">
      <c r="A14" s="6" t="n">
        <v>6</v>
      </c>
      <c r="B14" s="7" t="inlineStr"/>
      <c r="C14" s="6" t="inlineStr">
        <is>
          <t>SARL MTA (MAGHREBINE DE TRANSPORT ET AUXILIAIRE)</t>
        </is>
      </c>
      <c r="D14" s="7" t="inlineStr">
        <is>
          <t>099916001014601</t>
        </is>
      </c>
      <c r="E14" s="7" t="inlineStr">
        <is>
          <t>99B 01/0010146</t>
        </is>
      </c>
      <c r="F14" s="7" t="inlineStr">
        <is>
          <t>06010728111</t>
        </is>
      </c>
      <c r="G14" s="6" t="inlineStr">
        <is>
          <t>Cité Somacob — Béjaïa</t>
        </is>
      </c>
      <c r="H14" s="6" t="n">
        <v>2</v>
      </c>
      <c r="I14" s="8" t="n">
        <v>10000</v>
      </c>
      <c r="J14" s="8" t="n">
        <v>1900</v>
      </c>
      <c r="K14" s="8">
        <f>I14+J14</f>
        <v/>
      </c>
    </row>
    <row r="15">
      <c r="B15" s="10" t="inlineStr">
        <is>
          <t>TOTAL</t>
        </is>
      </c>
      <c r="I15" s="11">
        <f>SUM(I9:I14)</f>
        <v/>
      </c>
      <c r="J15" s="11">
        <f>SUM(J9:J14)</f>
        <v/>
      </c>
      <c r="K15" s="11">
        <f>SUM(K9:K14)</f>
        <v/>
      </c>
    </row>
    <row r="17">
      <c r="A17" s="4" t="inlineStr">
        <is>
          <t>NIF de MSCA illisible sur la facture : à compléter. Transit Hammache : facture sans TVA (cachet « non assujetti à la TVA »), prestation 52 000 par dossier + mobilisation 20 000 (dossier 002).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6" customWidth="1" min="3" max="3"/>
    <col width="12" customWidth="1" min="4" max="4"/>
    <col width="15" customWidth="1" min="5" max="5"/>
    <col width="13" customWidth="1" min="6" max="6"/>
    <col width="15" customWidth="1" min="7" max="7"/>
  </cols>
  <sheetData>
    <row r="1">
      <c r="A1" s="12" t="inlineStr">
        <is>
          <t>Détail des factures fournisseurs locaux 2026</t>
        </is>
      </c>
    </row>
    <row r="3" ht="30" customHeight="1">
      <c r="A3" s="5" t="inlineStr">
        <is>
          <t>Fournisseur</t>
        </is>
      </c>
      <c r="B3" s="5" t="inlineStr">
        <is>
          <t>Dossier</t>
        </is>
      </c>
      <c r="C3" s="5" t="inlineStr">
        <is>
          <t>N° facture</t>
        </is>
      </c>
      <c r="D3" s="5" t="inlineStr">
        <is>
          <t>Date</t>
        </is>
      </c>
      <c r="E3" s="5" t="inlineStr">
        <is>
          <t>HT</t>
        </is>
      </c>
      <c r="F3" s="5" t="inlineStr">
        <is>
          <t>TVA</t>
        </is>
      </c>
      <c r="G3" s="5" t="inlineStr">
        <is>
          <t>TTC</t>
        </is>
      </c>
    </row>
    <row r="4">
      <c r="A4" s="6" t="inlineStr">
        <is>
          <t>BEJAIA MEDITERRANEAN TERMINAL (BMT)</t>
        </is>
      </c>
      <c r="B4" s="6" t="inlineStr">
        <is>
          <t>001/2026</t>
        </is>
      </c>
      <c r="C4" s="6" t="inlineStr">
        <is>
          <t>4990/26</t>
        </is>
      </c>
      <c r="D4" s="6" t="inlineStr">
        <is>
          <t>22/02/2026</t>
        </is>
      </c>
      <c r="E4" s="8" t="n">
        <v>9700</v>
      </c>
      <c r="F4" s="8" t="n">
        <v>1843</v>
      </c>
      <c r="G4" s="8">
        <f>E4+F4</f>
        <v/>
      </c>
    </row>
    <row r="5">
      <c r="A5" s="6" t="inlineStr">
        <is>
          <t>BEJAIA MEDITERRANEAN TERMINAL (BMT)</t>
        </is>
      </c>
      <c r="B5" s="6" t="inlineStr">
        <is>
          <t>001/2026</t>
        </is>
      </c>
      <c r="C5" s="6" t="inlineStr">
        <is>
          <t>5041/26</t>
        </is>
      </c>
      <c r="D5" s="6" t="inlineStr">
        <is>
          <t>22/02/2026</t>
        </is>
      </c>
      <c r="E5" s="8" t="n">
        <v>15750</v>
      </c>
      <c r="F5" s="8" t="n">
        <v>2992.5</v>
      </c>
      <c r="G5" s="8">
        <f>E5+F5</f>
        <v/>
      </c>
    </row>
    <row r="6">
      <c r="A6" s="6" t="inlineStr">
        <is>
          <t>BEJAIA MEDITERRANEAN TERMINAL (BMT)</t>
        </is>
      </c>
      <c r="B6" s="6" t="inlineStr">
        <is>
          <t>001/2026</t>
        </is>
      </c>
      <c r="C6" s="6" t="inlineStr">
        <is>
          <t>5522/26</t>
        </is>
      </c>
      <c r="D6" s="6" t="inlineStr">
        <is>
          <t>25/02/2026</t>
        </is>
      </c>
      <c r="E6" s="8" t="n">
        <v>16950</v>
      </c>
      <c r="F6" s="8" t="n">
        <v>3220.5</v>
      </c>
      <c r="G6" s="8">
        <f>E6+F6</f>
        <v/>
      </c>
    </row>
    <row r="7">
      <c r="A7" s="6" t="inlineStr">
        <is>
          <t>BEJAIA MEDITERRANEAN TERMINAL (BMT)</t>
        </is>
      </c>
      <c r="B7" s="6" t="inlineStr">
        <is>
          <t>002/2026</t>
        </is>
      </c>
      <c r="C7" s="6" t="inlineStr">
        <is>
          <t>7474/26</t>
        </is>
      </c>
      <c r="D7" s="6" t="inlineStr">
        <is>
          <t>12/03/2026</t>
        </is>
      </c>
      <c r="E7" s="8" t="n">
        <v>9700</v>
      </c>
      <c r="F7" s="8" t="n">
        <v>1843</v>
      </c>
      <c r="G7" s="8">
        <f>E7+F7</f>
        <v/>
      </c>
    </row>
    <row r="8">
      <c r="A8" s="6" t="inlineStr">
        <is>
          <t>BEJAIA MEDITERRANEAN TERMINAL (BMT)</t>
        </is>
      </c>
      <c r="B8" s="6" t="inlineStr">
        <is>
          <t>002/2026</t>
        </is>
      </c>
      <c r="C8" s="6" t="inlineStr">
        <is>
          <t>7939/26</t>
        </is>
      </c>
      <c r="D8" s="6" t="inlineStr">
        <is>
          <t>17/03/2026</t>
        </is>
      </c>
      <c r="E8" s="8" t="n">
        <v>8600</v>
      </c>
      <c r="F8" s="8" t="n">
        <v>1634</v>
      </c>
      <c r="G8" s="8">
        <f>E8+F8</f>
        <v/>
      </c>
    </row>
    <row r="9">
      <c r="A9" s="6" t="inlineStr">
        <is>
          <t>BEJAIA MEDITERRANEAN TERMINAL (BMT)</t>
        </is>
      </c>
      <c r="B9" s="6" t="inlineStr">
        <is>
          <t>003/2026</t>
        </is>
      </c>
      <c r="C9" s="6" t="inlineStr">
        <is>
          <t>15557/26</t>
        </is>
      </c>
      <c r="D9" s="6" t="inlineStr">
        <is>
          <t>14/05/2026</t>
        </is>
      </c>
      <c r="E9" s="8" t="n">
        <v>24750</v>
      </c>
      <c r="F9" s="8" t="n">
        <v>4702.5</v>
      </c>
      <c r="G9" s="8">
        <f>E9+F9</f>
        <v/>
      </c>
    </row>
    <row r="10">
      <c r="A10" s="6" t="inlineStr">
        <is>
          <t>BEJAIA MEDITERRANEAN TERMINAL (BMT)</t>
        </is>
      </c>
      <c r="B10" s="6" t="inlineStr">
        <is>
          <t>003/2026</t>
        </is>
      </c>
      <c r="C10" s="6" t="inlineStr">
        <is>
          <t>16444/26</t>
        </is>
      </c>
      <c r="D10" s="6" t="inlineStr">
        <is>
          <t>21/05/2026</t>
        </is>
      </c>
      <c r="E10" s="8" t="n">
        <v>9700</v>
      </c>
      <c r="F10" s="8" t="n">
        <v>1843</v>
      </c>
      <c r="G10" s="8">
        <f>E10+F10</f>
        <v/>
      </c>
    </row>
    <row r="11">
      <c r="A11" s="6" t="inlineStr">
        <is>
          <t>BEJAIA MEDITERRANEAN TERMINAL (BMT)</t>
        </is>
      </c>
      <c r="B11" s="6" t="inlineStr">
        <is>
          <t>003/2026</t>
        </is>
      </c>
      <c r="C11" s="6" t="inlineStr">
        <is>
          <t>16158/26</t>
        </is>
      </c>
      <c r="D11" s="6" t="inlineStr">
        <is>
          <t>19/05/2026</t>
        </is>
      </c>
      <c r="E11" s="8" t="n">
        <v>26750</v>
      </c>
      <c r="F11" s="8" t="n">
        <v>5082.5</v>
      </c>
      <c r="G11" s="8">
        <f>E11+F11</f>
        <v/>
      </c>
    </row>
    <row r="12">
      <c r="A12" s="6" t="inlineStr">
        <is>
          <t>BEJAIA MEDITERRANEAN TERMINAL (BMT)</t>
        </is>
      </c>
      <c r="B12" s="6" t="inlineStr">
        <is>
          <t>004/2026</t>
        </is>
      </c>
      <c r="C12" s="6" t="inlineStr">
        <is>
          <t>17507/26</t>
        </is>
      </c>
      <c r="D12" s="6" t="inlineStr">
        <is>
          <t>03/06/2026</t>
        </is>
      </c>
      <c r="E12" s="8" t="n">
        <v>9700</v>
      </c>
      <c r="F12" s="8" t="n">
        <v>1843</v>
      </c>
      <c r="G12" s="8">
        <f>E12+F12</f>
        <v/>
      </c>
    </row>
    <row r="13">
      <c r="A13" s="6" t="inlineStr">
        <is>
          <t>BEJAIA MEDITERRANEAN TERMINAL (BMT)</t>
        </is>
      </c>
      <c r="B13" s="6" t="inlineStr">
        <is>
          <t>004/2026</t>
        </is>
      </c>
      <c r="C13" s="6" t="inlineStr">
        <is>
          <t>18442/26</t>
        </is>
      </c>
      <c r="D13" s="6" t="inlineStr">
        <is>
          <t>11/06/2026</t>
        </is>
      </c>
      <c r="E13" s="8" t="n">
        <v>17550</v>
      </c>
      <c r="F13" s="8" t="n">
        <v>3334.5</v>
      </c>
      <c r="G13" s="8">
        <f>E13+F13</f>
        <v/>
      </c>
    </row>
    <row r="14">
      <c r="A14" s="6" t="inlineStr">
        <is>
          <t>BEJAIA MEDITERRANEAN TERMINAL (BMT)</t>
        </is>
      </c>
      <c r="B14" s="6" t="inlineStr">
        <is>
          <t>004/2026</t>
        </is>
      </c>
      <c r="C14" s="6" t="inlineStr">
        <is>
          <t>17584/26</t>
        </is>
      </c>
      <c r="D14" s="6" t="inlineStr">
        <is>
          <t>03/06/2026</t>
        </is>
      </c>
      <c r="E14" s="8" t="n">
        <v>15750</v>
      </c>
      <c r="F14" s="8" t="n">
        <v>2992.5</v>
      </c>
      <c r="G14" s="8">
        <f>E14+F14</f>
        <v/>
      </c>
    </row>
    <row r="15">
      <c r="A15" s="6" t="inlineStr">
        <is>
          <t>CMA CGM ALGERIE SPA</t>
        </is>
      </c>
      <c r="B15" s="6" t="inlineStr">
        <is>
          <t>001/2026</t>
        </is>
      </c>
      <c r="C15" s="6" t="inlineStr">
        <is>
          <t>DZIM1948565</t>
        </is>
      </c>
      <c r="D15" s="6" t="inlineStr">
        <is>
          <t>10/02/2026</t>
        </is>
      </c>
      <c r="E15" s="8" t="n">
        <v>35254.55</v>
      </c>
      <c r="F15" s="8" t="n">
        <v>6508.36</v>
      </c>
      <c r="G15" s="8">
        <f>E15+F15</f>
        <v/>
      </c>
    </row>
    <row r="16">
      <c r="A16" s="6" t="inlineStr">
        <is>
          <t>CMA CGM ALGERIE SPA</t>
        </is>
      </c>
      <c r="B16" s="6" t="inlineStr">
        <is>
          <t>001/2026</t>
        </is>
      </c>
      <c r="C16" s="6" t="inlineStr">
        <is>
          <t>DZIM1956872</t>
        </is>
      </c>
      <c r="D16" s="6" t="inlineStr">
        <is>
          <t>26/02/2026</t>
        </is>
      </c>
      <c r="E16" s="8" t="n">
        <v>6751.21</v>
      </c>
      <c r="F16" s="8" t="n">
        <v>0</v>
      </c>
      <c r="G16" s="8">
        <f>E16+F16</f>
        <v/>
      </c>
    </row>
    <row r="17">
      <c r="A17" s="6" t="inlineStr">
        <is>
          <t>CMA CGM ALGERIE SPA</t>
        </is>
      </c>
      <c r="B17" s="6" t="inlineStr">
        <is>
          <t>003/2026</t>
        </is>
      </c>
      <c r="C17" s="6" t="inlineStr">
        <is>
          <t>DZIM1984785</t>
        </is>
      </c>
      <c r="D17" s="6" t="inlineStr">
        <is>
          <t>26/04/2026</t>
        </is>
      </c>
      <c r="E17" s="8" t="n">
        <v>35332.01</v>
      </c>
      <c r="F17" s="8" t="n">
        <v>6523.08</v>
      </c>
      <c r="G17" s="8">
        <f>E17+F17</f>
        <v/>
      </c>
    </row>
    <row r="18">
      <c r="A18" s="6" t="inlineStr">
        <is>
          <t>ENTREPRISE PORTUAIRE DE BEJAIA (SERPORT)</t>
        </is>
      </c>
      <c r="B18" s="6" t="inlineStr">
        <is>
          <t>001/2026</t>
        </is>
      </c>
      <c r="C18" s="6" t="inlineStr">
        <is>
          <t>14747</t>
        </is>
      </c>
      <c r="D18" s="6" t="inlineStr">
        <is>
          <t>24/02/2026</t>
        </is>
      </c>
      <c r="E18" s="8" t="n">
        <v>6000</v>
      </c>
      <c r="F18" s="8" t="n">
        <v>1140</v>
      </c>
      <c r="G18" s="8">
        <f>E18+F18</f>
        <v/>
      </c>
    </row>
    <row r="19">
      <c r="A19" s="6" t="inlineStr">
        <is>
          <t>ENTREPRISE PORTUAIRE DE BEJAIA (SERPORT)</t>
        </is>
      </c>
      <c r="B19" s="6" t="inlineStr">
        <is>
          <t>001/2026</t>
        </is>
      </c>
      <c r="C19" s="6" t="inlineStr">
        <is>
          <t>14651</t>
        </is>
      </c>
      <c r="D19" s="6" t="inlineStr">
        <is>
          <t>24/02/2026</t>
        </is>
      </c>
      <c r="E19" s="8" t="n">
        <v>150</v>
      </c>
      <c r="F19" s="8" t="n">
        <v>28.5</v>
      </c>
      <c r="G19" s="8">
        <f>E19+F19</f>
        <v/>
      </c>
    </row>
    <row r="20">
      <c r="A20" s="6" t="inlineStr">
        <is>
          <t>ENTREPRISE PORTUAIRE DE BEJAIA (SERPORT)</t>
        </is>
      </c>
      <c r="B20" s="6" t="inlineStr">
        <is>
          <t>001/2026</t>
        </is>
      </c>
      <c r="C20" s="6" t="inlineStr">
        <is>
          <t>15900</t>
        </is>
      </c>
      <c r="D20" s="6" t="inlineStr">
        <is>
          <t>28/02/2026</t>
        </is>
      </c>
      <c r="E20" s="8" t="n">
        <v>214.5</v>
      </c>
      <c r="F20" s="8" t="n">
        <v>40.76</v>
      </c>
      <c r="G20" s="8">
        <f>E20+F20</f>
        <v/>
      </c>
    </row>
    <row r="21">
      <c r="A21" s="6" t="inlineStr">
        <is>
          <t>ENTREPRISE PORTUAIRE DE BEJAIA (SERPORT)</t>
        </is>
      </c>
      <c r="B21" s="6" t="inlineStr">
        <is>
          <t>002/2026</t>
        </is>
      </c>
      <c r="C21" s="6" t="inlineStr">
        <is>
          <t>20436</t>
        </is>
      </c>
      <c r="D21" s="6" t="inlineStr">
        <is>
          <t>12/03/2026</t>
        </is>
      </c>
      <c r="E21" s="8" t="n">
        <v>150</v>
      </c>
      <c r="F21" s="8" t="n">
        <v>28.5</v>
      </c>
      <c r="G21" s="8">
        <f>E21+F21</f>
        <v/>
      </c>
    </row>
    <row r="22">
      <c r="A22" s="6" t="inlineStr">
        <is>
          <t>ENTREPRISE PORTUAIRE DE BEJAIA (SERPORT)</t>
        </is>
      </c>
      <c r="B22" s="6" t="inlineStr">
        <is>
          <t>002/2026</t>
        </is>
      </c>
      <c r="C22" s="6" t="inlineStr">
        <is>
          <t>22973</t>
        </is>
      </c>
      <c r="D22" s="6" t="inlineStr">
        <is>
          <t>23/03/2026</t>
        </is>
      </c>
      <c r="E22" s="8" t="n">
        <v>214.5</v>
      </c>
      <c r="F22" s="8" t="n">
        <v>40.76</v>
      </c>
      <c r="G22" s="8">
        <f>E22+F22</f>
        <v/>
      </c>
    </row>
    <row r="23">
      <c r="A23" s="6" t="inlineStr">
        <is>
          <t>ENTREPRISE PORTUAIRE DE BEJAIA (SERPORT)</t>
        </is>
      </c>
      <c r="B23" s="6" t="inlineStr">
        <is>
          <t>002/2026</t>
        </is>
      </c>
      <c r="C23" s="6" t="inlineStr">
        <is>
          <t>20279</t>
        </is>
      </c>
      <c r="D23" s="6" t="inlineStr">
        <is>
          <t>12/03/2026</t>
        </is>
      </c>
      <c r="E23" s="8" t="n">
        <v>6000</v>
      </c>
      <c r="F23" s="8" t="n">
        <v>1140</v>
      </c>
      <c r="G23" s="8">
        <f>E23+F23</f>
        <v/>
      </c>
    </row>
    <row r="24">
      <c r="A24" s="6" t="inlineStr">
        <is>
          <t>ENTREPRISE PORTUAIRE DE BEJAIA (SERPORT)</t>
        </is>
      </c>
      <c r="B24" s="6" t="inlineStr">
        <is>
          <t>003/2026</t>
        </is>
      </c>
      <c r="C24" s="6" t="inlineStr">
        <is>
          <t>39531</t>
        </is>
      </c>
      <c r="D24" s="6" t="inlineStr">
        <is>
          <t>17/05/2026</t>
        </is>
      </c>
      <c r="E24" s="8" t="n">
        <v>6000</v>
      </c>
      <c r="F24" s="8" t="n">
        <v>1140</v>
      </c>
      <c r="G24" s="8">
        <f>E24+F24</f>
        <v/>
      </c>
    </row>
    <row r="25">
      <c r="A25" s="6" t="inlineStr">
        <is>
          <t>ENTREPRISE PORTUAIRE DE BEJAIA (SERPORT)</t>
        </is>
      </c>
      <c r="B25" s="6" t="inlineStr">
        <is>
          <t>003/2026</t>
        </is>
      </c>
      <c r="C25" s="6" t="inlineStr">
        <is>
          <t>39402</t>
        </is>
      </c>
      <c r="D25" s="6" t="inlineStr">
        <is>
          <t>17/05/2026</t>
        </is>
      </c>
      <c r="E25" s="8" t="n">
        <v>150</v>
      </c>
      <c r="F25" s="8" t="n">
        <v>28.5</v>
      </c>
      <c r="G25" s="8">
        <f>E25+F25</f>
        <v/>
      </c>
    </row>
    <row r="26">
      <c r="A26" s="6" t="inlineStr">
        <is>
          <t>ENTREPRISE PORTUAIRE DE BEJAIA (SERPORT)</t>
        </is>
      </c>
      <c r="B26" s="6" t="inlineStr">
        <is>
          <t>003/2026</t>
        </is>
      </c>
      <c r="C26" s="6" t="inlineStr">
        <is>
          <t>40684</t>
        </is>
      </c>
      <c r="D26" s="6" t="inlineStr">
        <is>
          <t>21/05/2026</t>
        </is>
      </c>
      <c r="E26" s="8" t="n">
        <v>214.5</v>
      </c>
      <c r="F26" s="8" t="n">
        <v>40.76</v>
      </c>
      <c r="G26" s="8">
        <f>E26+F26</f>
        <v/>
      </c>
    </row>
    <row r="27">
      <c r="A27" s="6" t="inlineStr">
        <is>
          <t>ENTREPRISE PORTUAIRE DE BEJAIA (SERPORT)</t>
        </is>
      </c>
      <c r="B27" s="6" t="inlineStr">
        <is>
          <t>004/2026</t>
        </is>
      </c>
      <c r="C27" s="6" t="inlineStr">
        <is>
          <t>44441</t>
        </is>
      </c>
      <c r="D27" s="6" t="inlineStr">
        <is>
          <t>09/06/2026</t>
        </is>
      </c>
      <c r="E27" s="8" t="n">
        <v>6000</v>
      </c>
      <c r="F27" s="8" t="n">
        <v>1140</v>
      </c>
      <c r="G27" s="8">
        <f>E27+F27</f>
        <v/>
      </c>
    </row>
    <row r="28">
      <c r="A28" s="6" t="inlineStr">
        <is>
          <t>ENTREPRISE PORTUAIRE DE BEJAIA (SERPORT)</t>
        </is>
      </c>
      <c r="B28" s="6" t="inlineStr">
        <is>
          <t>004/2026</t>
        </is>
      </c>
      <c r="C28" s="6" t="inlineStr">
        <is>
          <t>45915</t>
        </is>
      </c>
      <c r="D28" s="6" t="inlineStr">
        <is>
          <t>15/06/2026</t>
        </is>
      </c>
      <c r="E28" s="8" t="n">
        <v>214.5</v>
      </c>
      <c r="F28" s="8" t="n">
        <v>40.76</v>
      </c>
      <c r="G28" s="8">
        <f>E28+F28</f>
        <v/>
      </c>
    </row>
    <row r="29">
      <c r="A29" s="6" t="inlineStr">
        <is>
          <t>ENTREPRISE PORTUAIRE DE BEJAIA (SERPORT)</t>
        </is>
      </c>
      <c r="B29" s="6" t="inlineStr">
        <is>
          <t>004/2026</t>
        </is>
      </c>
      <c r="C29" s="6" t="inlineStr">
        <is>
          <t>44852</t>
        </is>
      </c>
      <c r="D29" s="6" t="inlineStr">
        <is>
          <t>10/06/2026</t>
        </is>
      </c>
      <c r="E29" s="8" t="n">
        <v>150</v>
      </c>
      <c r="F29" s="8" t="n">
        <v>28.5</v>
      </c>
      <c r="G29" s="8">
        <f>E29+F29</f>
        <v/>
      </c>
    </row>
    <row r="30">
      <c r="A30" s="6" t="inlineStr">
        <is>
          <t>SARL MSCA (MEDITERRANEAN SHIPPING COMPANY ALGERIA)</t>
        </is>
      </c>
      <c r="B30" s="6" t="inlineStr">
        <is>
          <t>002/2026</t>
        </is>
      </c>
      <c r="C30" s="6" t="inlineStr">
        <is>
          <t>BJAI2601916</t>
        </is>
      </c>
      <c r="D30" s="6" t="inlineStr">
        <is>
          <t>02/03/2026</t>
        </is>
      </c>
      <c r="E30" s="8" t="n">
        <v>34957.52</v>
      </c>
      <c r="F30" s="8" t="n">
        <v>6365</v>
      </c>
      <c r="G30" s="8">
        <f>E30+F30</f>
        <v/>
      </c>
    </row>
    <row r="31">
      <c r="A31" s="6" t="inlineStr">
        <is>
          <t>SARL MSCA (MEDITERRANEAN SHIPPING COMPANY ALGERIA)</t>
        </is>
      </c>
      <c r="B31" s="6" t="inlineStr">
        <is>
          <t>004/2026</t>
        </is>
      </c>
      <c r="C31" s="6" t="inlineStr">
        <is>
          <t>BJAI2604127</t>
        </is>
      </c>
      <c r="D31" s="6" t="inlineStr">
        <is>
          <t>24/05/2026</t>
        </is>
      </c>
      <c r="E31" s="8" t="n">
        <v>35029.76</v>
      </c>
      <c r="F31" s="8" t="n">
        <v>6365</v>
      </c>
      <c r="G31" s="8">
        <f>E31+F31</f>
        <v/>
      </c>
    </row>
    <row r="32">
      <c r="A32" s="6" t="inlineStr">
        <is>
          <t>SARL MTA (MAGHREBINE DE TRANSPORT ET AUXILIAIRE)</t>
        </is>
      </c>
      <c r="B32" s="6" t="inlineStr">
        <is>
          <t>002/2026</t>
        </is>
      </c>
      <c r="C32" s="6" t="inlineStr">
        <is>
          <t>000730/2026</t>
        </is>
      </c>
      <c r="D32" s="6" t="inlineStr">
        <is>
          <t>16/03/2026</t>
        </is>
      </c>
      <c r="E32" s="8" t="n">
        <v>5000</v>
      </c>
      <c r="F32" s="8" t="n">
        <v>950</v>
      </c>
      <c r="G32" s="8">
        <f>E32+F32</f>
        <v/>
      </c>
    </row>
    <row r="33">
      <c r="A33" s="6" t="inlineStr">
        <is>
          <t>SARL MTA (MAGHREBINE DE TRANSPORT ET AUXILIAIRE)</t>
        </is>
      </c>
      <c r="B33" s="6" t="inlineStr">
        <is>
          <t>004/2026</t>
        </is>
      </c>
      <c r="C33" s="6" t="inlineStr">
        <is>
          <t>RVS001619/26</t>
        </is>
      </c>
      <c r="D33" s="6" t="inlineStr">
        <is>
          <t>10/06/2026</t>
        </is>
      </c>
      <c r="E33" s="8" t="n">
        <v>5000</v>
      </c>
      <c r="F33" s="8" t="n">
        <v>950</v>
      </c>
      <c r="G33" s="8">
        <f>E33+F33</f>
        <v/>
      </c>
    </row>
    <row r="34">
      <c r="A34" s="6" t="inlineStr">
        <is>
          <t>TRANSIT HAMMACHE DJAMEL</t>
        </is>
      </c>
      <c r="B34" s="6" t="inlineStr">
        <is>
          <t>001/2026</t>
        </is>
      </c>
      <c r="C34" s="6" t="inlineStr">
        <is>
          <t>112</t>
        </is>
      </c>
      <c r="D34" s="6" t="inlineStr">
        <is>
          <t>15/03/2026</t>
        </is>
      </c>
      <c r="E34" s="8" t="n">
        <v>52000</v>
      </c>
      <c r="F34" s="8" t="n">
        <v>0</v>
      </c>
      <c r="G34" s="8">
        <f>E34+F34</f>
        <v/>
      </c>
    </row>
    <row r="35">
      <c r="A35" s="6" t="inlineStr">
        <is>
          <t>TRANSIT HAMMACHE DJAMEL</t>
        </is>
      </c>
      <c r="B35" s="6" t="inlineStr">
        <is>
          <t>002/2026</t>
        </is>
      </c>
      <c r="C35" s="6" t="inlineStr">
        <is>
          <t>251BIS</t>
        </is>
      </c>
      <c r="D35" s="6" t="inlineStr">
        <is>
          <t>09/04/2026</t>
        </is>
      </c>
      <c r="E35" s="8" t="n">
        <v>52000</v>
      </c>
      <c r="F35" s="8" t="n">
        <v>0</v>
      </c>
      <c r="G35" s="8">
        <f>E35+F35</f>
        <v/>
      </c>
    </row>
    <row r="36">
      <c r="A36" s="6" t="inlineStr">
        <is>
          <t>TRANSIT HAMMACHE DJAMEL</t>
        </is>
      </c>
      <c r="B36" s="6" t="inlineStr">
        <is>
          <t>002/2026</t>
        </is>
      </c>
      <c r="C36" s="6" t="inlineStr">
        <is>
          <t>251BIS</t>
        </is>
      </c>
      <c r="D36" s="6" t="inlineStr">
        <is>
          <t>09/04/2026</t>
        </is>
      </c>
      <c r="E36" s="8" t="n">
        <v>20000</v>
      </c>
      <c r="F36" s="8" t="n">
        <v>0</v>
      </c>
      <c r="G36" s="8">
        <f>E36+F36</f>
        <v/>
      </c>
    </row>
    <row r="37">
      <c r="A37" s="6" t="inlineStr">
        <is>
          <t>TRANSIT HAMMACHE DJAMEL</t>
        </is>
      </c>
      <c r="B37" s="6" t="inlineStr">
        <is>
          <t>003/2026</t>
        </is>
      </c>
      <c r="C37" s="6" t="inlineStr">
        <is>
          <t>402BIS</t>
        </is>
      </c>
      <c r="D37" s="6" t="inlineStr">
        <is>
          <t>14/06/2026</t>
        </is>
      </c>
      <c r="E37" s="8" t="n">
        <v>52000</v>
      </c>
      <c r="F37" s="8" t="n">
        <v>0</v>
      </c>
      <c r="G37" s="8">
        <f>E37+F37</f>
        <v/>
      </c>
    </row>
    <row r="38">
      <c r="A38" s="6" t="inlineStr">
        <is>
          <t>TRANSIT HAMMACHE DJAMEL</t>
        </is>
      </c>
      <c r="B38" s="6" t="inlineStr">
        <is>
          <t>004/2026</t>
        </is>
      </c>
      <c r="C38" s="6" t="inlineStr">
        <is>
          <t>441BIS</t>
        </is>
      </c>
      <c r="D38" s="6" t="inlineStr">
        <is>
          <t>21/06/2026</t>
        </is>
      </c>
      <c r="E38" s="8" t="n">
        <v>52000</v>
      </c>
      <c r="F38" s="8" t="n">
        <v>0</v>
      </c>
      <c r="G38" s="8">
        <f>E38+F38</f>
        <v/>
      </c>
    </row>
    <row r="39">
      <c r="B39" s="10" t="inlineStr">
        <is>
          <t>TOTAL</t>
        </is>
      </c>
      <c r="E39" s="11">
        <f>SUM(E4:E38)</f>
        <v/>
      </c>
      <c r="F39" s="11">
        <f>SUM(F4:F38)</f>
        <v/>
      </c>
      <c r="G39" s="11">
        <f>SUM(G4:G38)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34" customWidth="1" min="4" max="4"/>
    <col width="7" customWidth="1" min="5" max="5"/>
    <col width="15" customWidth="1" min="6" max="6"/>
    <col width="10" customWidth="1" min="7" max="7"/>
    <col width="18" customWidth="1" min="8" max="8"/>
    <col width="28" customWidth="1" min="9" max="9"/>
    <col width="11" customWidth="1" min="10" max="10"/>
    <col width="16" customWidth="1" min="11" max="11"/>
    <col width="15" customWidth="1" min="12" max="12"/>
    <col width="13" customWidth="1" min="13" max="13"/>
  </cols>
  <sheetData>
    <row r="1">
      <c r="A1" s="12" t="inlineStr">
        <is>
          <t>Fournisseurs étrangers (importations 2026) — pour information, hors état fournisseurs locaux</t>
        </is>
      </c>
    </row>
    <row r="3" ht="30" customHeight="1">
      <c r="A3" s="5" t="inlineStr">
        <is>
          <t>Dossier</t>
        </is>
      </c>
      <c r="B3" s="5" t="inlineStr">
        <is>
          <t>Fournisseur</t>
        </is>
      </c>
      <c r="C3" s="5" t="inlineStr">
        <is>
          <t>Code</t>
        </is>
      </c>
      <c r="D3" s="5" t="inlineStr">
        <is>
          <t>Facture</t>
        </is>
      </c>
      <c r="E3" s="5" t="inlineStr">
        <is>
          <t>Devise</t>
        </is>
      </c>
      <c r="F3" s="5" t="inlineStr">
        <is>
          <t>Montant devise</t>
        </is>
      </c>
      <c r="G3" s="5" t="inlineStr">
        <is>
          <t>Taux D10</t>
        </is>
      </c>
      <c r="H3" s="5" t="inlineStr">
        <is>
          <t>Valeur en douane DA</t>
        </is>
      </c>
      <c r="I3" s="5" t="inlineStr">
        <is>
          <t>D10</t>
        </is>
      </c>
      <c r="J3" s="5" t="inlineStr">
        <is>
          <t>Date D10</t>
        </is>
      </c>
      <c r="K3" s="5" t="inlineStr">
        <is>
          <t>Droits + RPS + TEL</t>
        </is>
      </c>
      <c r="L3" s="5" t="inlineStr">
        <is>
          <t>TVA douane</t>
        </is>
      </c>
      <c r="M3" s="5" t="inlineStr">
        <is>
          <t>PRCT</t>
        </is>
      </c>
    </row>
    <row r="4">
      <c r="A4" s="6" t="inlineStr">
        <is>
          <t>001/2026</t>
        </is>
      </c>
      <c r="B4" s="6" t="inlineStr">
        <is>
          <t>SAMPA OTOMOTIVE</t>
        </is>
      </c>
      <c r="C4" s="6" t="inlineStr">
        <is>
          <t>FE003</t>
        </is>
      </c>
      <c r="D4" s="6" t="inlineStr">
        <is>
          <t>SAMPA OTOMOTIV IH72025000002686-3005</t>
        </is>
      </c>
      <c r="E4" s="6" t="inlineStr">
        <is>
          <t>USD</t>
        </is>
      </c>
      <c r="F4" s="8" t="n">
        <v>40072.12</v>
      </c>
      <c r="G4" s="6" t="n">
        <v>129.2899</v>
      </c>
      <c r="H4" s="8" t="n">
        <v>5180911</v>
      </c>
      <c r="I4" s="6" t="inlineStr">
        <is>
          <t>5040200002026DED004755I</t>
        </is>
      </c>
      <c r="J4" s="6" t="inlineStr">
        <is>
          <t>15/02/2026</t>
        </is>
      </c>
      <c r="K4" s="8" t="n">
        <v>882353</v>
      </c>
      <c r="L4" s="8" t="n">
        <v>1150880</v>
      </c>
      <c r="M4" s="8" t="n">
        <v>144162</v>
      </c>
    </row>
    <row r="5">
      <c r="A5" s="6" t="inlineStr">
        <is>
          <t>002/2026</t>
        </is>
      </c>
      <c r="B5" s="6" t="inlineStr">
        <is>
          <t>BS MOTORS</t>
        </is>
      </c>
      <c r="C5" s="6" t="inlineStr">
        <is>
          <t>FE001</t>
        </is>
      </c>
      <c r="D5" s="6" t="inlineStr">
        <is>
          <t>BS MOTOR GTS2406321-B</t>
        </is>
      </c>
      <c r="E5" s="6" t="inlineStr">
        <is>
          <t>USD</t>
        </is>
      </c>
      <c r="F5" s="8" t="n">
        <v>77272.60000000001</v>
      </c>
      <c r="G5" s="6" t="n">
        <v>130.698</v>
      </c>
      <c r="H5" s="8" t="n">
        <v>10099367</v>
      </c>
      <c r="I5" s="6" t="inlineStr">
        <is>
          <t>5040200002026DED006727I</t>
        </is>
      </c>
      <c r="J5" s="6" t="inlineStr">
        <is>
          <t>08/03/2026</t>
        </is>
      </c>
      <c r="K5" s="8" t="n">
        <v>1485273</v>
      </c>
      <c r="L5" s="8" t="n">
        <v>2199941</v>
      </c>
      <c r="M5" s="8" t="n">
        <v>275571</v>
      </c>
    </row>
    <row r="6">
      <c r="A6" s="6" t="inlineStr">
        <is>
          <t>003/2026</t>
        </is>
      </c>
      <c r="B6" s="6" t="inlineStr">
        <is>
          <t>MS MOTORSERVICE</t>
        </is>
      </c>
      <c r="C6" s="6" t="inlineStr">
        <is>
          <t>FE022</t>
        </is>
      </c>
      <c r="D6" s="6" t="inlineStr">
        <is>
          <t>MS MOTORSERVICE 2330421560</t>
        </is>
      </c>
      <c r="E6" s="6" t="inlineStr">
        <is>
          <t>EUR</t>
        </is>
      </c>
      <c r="F6" s="8" t="n">
        <v>125669.17</v>
      </c>
      <c r="G6" s="6" t="n">
        <v>155.192</v>
      </c>
      <c r="H6" s="8" t="n">
        <v>19502834</v>
      </c>
      <c r="I6" s="6" t="inlineStr">
        <is>
          <t>5040200002026DED013883I</t>
        </is>
      </c>
      <c r="J6" s="6" t="inlineStr">
        <is>
          <t>10/05/2026</t>
        </is>
      </c>
      <c r="K6" s="8" t="n">
        <v>1135935</v>
      </c>
      <c r="L6" s="8" t="n">
        <v>3919465</v>
      </c>
      <c r="M6" s="8" t="n">
        <v>490964</v>
      </c>
    </row>
    <row r="7">
      <c r="A7" s="6" t="inlineStr">
        <is>
          <t>004/2026</t>
        </is>
      </c>
      <c r="B7" s="6" t="inlineStr">
        <is>
          <t>BS MOTORS</t>
        </is>
      </c>
      <c r="C7" s="6" t="inlineStr">
        <is>
          <t>FE001</t>
        </is>
      </c>
      <c r="D7" s="6" t="inlineStr">
        <is>
          <t>BS MOTOR GTS2406321-C</t>
        </is>
      </c>
      <c r="E7" s="6" t="inlineStr">
        <is>
          <t>USD</t>
        </is>
      </c>
      <c r="F7" s="8" t="n">
        <v>54383.2</v>
      </c>
      <c r="G7" s="6" t="n">
        <v>132.9407</v>
      </c>
      <c r="H7" s="8" t="n">
        <v>7229738</v>
      </c>
      <c r="I7" s="6" t="inlineStr">
        <is>
          <t>5040200002026DED015629I</t>
        </is>
      </c>
      <c r="J7" s="6" t="inlineStr">
        <is>
          <t>24/05/2026</t>
        </is>
      </c>
      <c r="K7" s="8" t="n">
        <v>1076448</v>
      </c>
      <c r="L7" s="8" t="n">
        <v>1577035</v>
      </c>
      <c r="M7" s="8" t="n">
        <v>197544</v>
      </c>
    </row>
    <row r="8">
      <c r="B8" s="10" t="inlineStr">
        <is>
          <t>TOTAL</t>
        </is>
      </c>
      <c r="F8" s="11">
        <f>SUM(F4:F7)</f>
        <v/>
      </c>
      <c r="H8" s="11">
        <f>SUM(H4:H7)</f>
        <v/>
      </c>
      <c r="K8" s="11">
        <f>SUM(K4:K7)</f>
        <v/>
      </c>
      <c r="L8" s="11">
        <f>SUM(L4:L7)</f>
        <v/>
      </c>
      <c r="M8" s="11">
        <f>SUM(M4:M7)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H4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26" customWidth="1" min="4" max="4"/>
    <col width="18" customWidth="1" min="5" max="5"/>
    <col width="18" customWidth="1" min="6" max="6"/>
    <col width="18" customWidth="1" min="7" max="7"/>
    <col width="20" customWidth="1" min="8" max="8"/>
  </cols>
  <sheetData>
    <row r="2">
      <c r="A2" s="12" t="inlineStr">
        <is>
          <t>Situation des comptes fournisseurs au 04/10/2026 (journal comptable 2026)</t>
        </is>
      </c>
    </row>
    <row r="3" ht="30" customHeight="1">
      <c r="A3" s="5" t="inlineStr">
        <is>
          <t>Code tiers</t>
        </is>
      </c>
      <c r="B3" s="5" t="inlineStr">
        <is>
          <t>Nom</t>
        </is>
      </c>
      <c r="C3" s="5" t="inlineStr">
        <is>
          <t>Compte</t>
        </is>
      </c>
      <c r="D3" s="5" t="inlineStr">
        <is>
          <t>Intitulé</t>
        </is>
      </c>
      <c r="E3" s="5" t="inlineStr">
        <is>
          <t>Solde au 01/01/2026</t>
        </is>
      </c>
      <c r="F3" s="5" t="inlineStr">
        <is>
          <t>Débit 2026</t>
        </is>
      </c>
      <c r="G3" s="5" t="inlineStr">
        <is>
          <t>Crédit 2026</t>
        </is>
      </c>
      <c r="H3" s="5" t="inlineStr">
        <is>
          <t>Solde (débiteur + / créditeur −)</t>
        </is>
      </c>
    </row>
    <row r="4">
      <c r="A4" s="7" t="inlineStr">
        <is>
          <t>FI012</t>
        </is>
      </c>
      <c r="B4" s="6" t="inlineStr">
        <is>
          <t>ETS BOUZIDA MATOUK</t>
        </is>
      </c>
      <c r="C4" s="7" t="inlineStr">
        <is>
          <t>40100</t>
        </is>
      </c>
      <c r="D4" s="6" t="inlineStr">
        <is>
          <t>Fournisseurs de stocks et serv</t>
        </is>
      </c>
      <c r="E4" s="8" t="n">
        <v>0</v>
      </c>
      <c r="F4" s="8" t="n">
        <v>230000</v>
      </c>
      <c r="G4" s="8" t="n">
        <v>0</v>
      </c>
      <c r="H4" s="8">
        <f>E4+F4-G4</f>
        <v/>
      </c>
    </row>
    <row r="5">
      <c r="A5" s="7" t="inlineStr">
        <is>
          <t>FL001</t>
        </is>
      </c>
      <c r="B5" s="6" t="inlineStr">
        <is>
          <t>DJENNADI ABD ELKADER</t>
        </is>
      </c>
      <c r="C5" s="7" t="inlineStr">
        <is>
          <t>40100</t>
        </is>
      </c>
      <c r="D5" s="6" t="inlineStr">
        <is>
          <t>Fournisseurs de stocks et serv</t>
        </is>
      </c>
      <c r="E5" s="8" t="n">
        <v>-2510665</v>
      </c>
      <c r="F5" s="8" t="n">
        <v>0</v>
      </c>
      <c r="G5" s="8" t="n">
        <v>0</v>
      </c>
      <c r="H5" s="8">
        <f>E5+F5-G5</f>
        <v/>
      </c>
    </row>
    <row r="6">
      <c r="A6" s="7" t="inlineStr">
        <is>
          <t>FL002</t>
        </is>
      </c>
      <c r="B6" s="6" t="inlineStr">
        <is>
          <t>EURL HAROUNE TRANSE</t>
        </is>
      </c>
      <c r="C6" s="7" t="inlineStr">
        <is>
          <t>40100</t>
        </is>
      </c>
      <c r="D6" s="6" t="inlineStr">
        <is>
          <t>Fournisseurs de stocks et serv</t>
        </is>
      </c>
      <c r="E6" s="8" t="n">
        <v>-826173.63</v>
      </c>
      <c r="F6" s="8" t="n">
        <v>0</v>
      </c>
      <c r="G6" s="8" t="n">
        <v>0</v>
      </c>
      <c r="H6" s="8">
        <f>E6+F6-G6</f>
        <v/>
      </c>
    </row>
    <row r="7">
      <c r="A7" s="7" t="inlineStr">
        <is>
          <t>FL003</t>
        </is>
      </c>
      <c r="B7" s="6" t="inlineStr">
        <is>
          <t>SARL CCI</t>
        </is>
      </c>
      <c r="C7" s="7" t="inlineStr">
        <is>
          <t>40100</t>
        </is>
      </c>
      <c r="D7" s="6" t="inlineStr">
        <is>
          <t>Fournisseurs de stocks et serv</t>
        </is>
      </c>
      <c r="E7" s="8" t="n">
        <v>-3302997.49</v>
      </c>
      <c r="F7" s="8" t="n">
        <v>0</v>
      </c>
      <c r="G7" s="8" t="n">
        <v>0</v>
      </c>
      <c r="H7" s="8">
        <f>E7+F7-G7</f>
        <v/>
      </c>
    </row>
    <row r="8">
      <c r="A8" s="7" t="inlineStr">
        <is>
          <t>FL004</t>
        </is>
      </c>
      <c r="B8" s="6" t="inlineStr">
        <is>
          <t>CMA CGM</t>
        </is>
      </c>
      <c r="C8" s="7" t="inlineStr">
        <is>
          <t>40100</t>
        </is>
      </c>
      <c r="D8" s="6" t="inlineStr">
        <is>
          <t>Fournisseurs de stocks et serv</t>
        </is>
      </c>
      <c r="E8" s="8" t="n">
        <v>0</v>
      </c>
      <c r="F8" s="8" t="n">
        <v>90369.21000000001</v>
      </c>
      <c r="G8" s="8" t="n">
        <v>90369.21000000001</v>
      </c>
      <c r="H8" s="8">
        <f>E8+F8-G8</f>
        <v/>
      </c>
    </row>
    <row r="9">
      <c r="A9" s="7" t="inlineStr">
        <is>
          <t>FL005</t>
        </is>
      </c>
      <c r="B9" s="6" t="inlineStr">
        <is>
          <t>KARIM TRANS</t>
        </is>
      </c>
      <c r="C9" s="7" t="inlineStr">
        <is>
          <t>40100</t>
        </is>
      </c>
      <c r="D9" s="6" t="inlineStr">
        <is>
          <t>Fournisseurs de stocks et serv</t>
        </is>
      </c>
      <c r="E9" s="8" t="n">
        <v>-177751.46</v>
      </c>
      <c r="F9" s="8" t="n">
        <v>0</v>
      </c>
      <c r="G9" s="8" t="n">
        <v>0</v>
      </c>
      <c r="H9" s="8">
        <f>E9+F9-G9</f>
        <v/>
      </c>
    </row>
    <row r="10">
      <c r="A10" s="7" t="inlineStr">
        <is>
          <t>FL008</t>
        </is>
      </c>
      <c r="B10" s="6" t="inlineStr">
        <is>
          <t>MSCA</t>
        </is>
      </c>
      <c r="C10" s="7" t="inlineStr">
        <is>
          <t>40100</t>
        </is>
      </c>
      <c r="D10" s="6" t="inlineStr">
        <is>
          <t>Fournisseurs de stocks et serv</t>
        </is>
      </c>
      <c r="E10" s="8" t="n">
        <v>0</v>
      </c>
      <c r="F10" s="8" t="n">
        <v>82717.28</v>
      </c>
      <c r="G10" s="8" t="n">
        <v>82717.28</v>
      </c>
      <c r="H10" s="8">
        <f>E10+F10-G10</f>
        <v/>
      </c>
    </row>
    <row r="11">
      <c r="A11" s="7" t="inlineStr">
        <is>
          <t>FL009</t>
        </is>
      </c>
      <c r="B11" s="6" t="inlineStr">
        <is>
          <t>DOUANES BEJAIA</t>
        </is>
      </c>
      <c r="C11" s="7" t="inlineStr">
        <is>
          <t>40100</t>
        </is>
      </c>
      <c r="D11" s="6" t="inlineStr">
        <is>
          <t>Fournisseurs de stocks et serv</t>
        </is>
      </c>
      <c r="E11" s="8" t="n">
        <v>0</v>
      </c>
      <c r="F11" s="8" t="n">
        <v>17933104.3</v>
      </c>
      <c r="G11" s="8" t="n">
        <v>14535571</v>
      </c>
      <c r="H11" s="8">
        <f>E11+F11-G11</f>
        <v/>
      </c>
    </row>
    <row r="12">
      <c r="A12" s="7" t="inlineStr">
        <is>
          <t>FL025</t>
        </is>
      </c>
      <c r="B12" s="6" t="inlineStr">
        <is>
          <t>SAIGH ABDEL KAMEL</t>
        </is>
      </c>
      <c r="C12" s="7" t="inlineStr">
        <is>
          <t>40100</t>
        </is>
      </c>
      <c r="D12" s="6" t="inlineStr">
        <is>
          <t>Fournisseurs de stocks et serv</t>
        </is>
      </c>
      <c r="E12" s="8" t="n">
        <v>-142700</v>
      </c>
      <c r="F12" s="8" t="n">
        <v>0</v>
      </c>
      <c r="G12" s="8" t="n">
        <v>0</v>
      </c>
      <c r="H12" s="8">
        <f>E12+F12-G12</f>
        <v/>
      </c>
    </row>
    <row r="13">
      <c r="A13" s="7" t="inlineStr">
        <is>
          <t>FL031</t>
        </is>
      </c>
      <c r="B13" s="6" t="inlineStr">
        <is>
          <t>SARL DPR AXXAM</t>
        </is>
      </c>
      <c r="C13" s="7" t="inlineStr">
        <is>
          <t>40100</t>
        </is>
      </c>
      <c r="D13" s="6" t="inlineStr">
        <is>
          <t>Fournisseurs de stocks et serv</t>
        </is>
      </c>
      <c r="E13" s="8" t="n">
        <v>-1984749.03</v>
      </c>
      <c r="F13" s="8" t="n">
        <v>0</v>
      </c>
      <c r="G13" s="8" t="n">
        <v>0</v>
      </c>
      <c r="H13" s="8">
        <f>E13+F13-G13</f>
        <v/>
      </c>
    </row>
    <row r="14">
      <c r="A14" s="7" t="inlineStr">
        <is>
          <t>FL044</t>
        </is>
      </c>
      <c r="B14" s="6" t="inlineStr">
        <is>
          <t>SNC AIT AISSA ET FILS</t>
        </is>
      </c>
      <c r="C14" s="7" t="inlineStr">
        <is>
          <t>40100</t>
        </is>
      </c>
      <c r="D14" s="6" t="inlineStr">
        <is>
          <t>Fournisseurs de stocks et serv</t>
        </is>
      </c>
      <c r="E14" s="8" t="n">
        <v>-14832876.12</v>
      </c>
      <c r="F14" s="8" t="n">
        <v>0</v>
      </c>
      <c r="G14" s="8" t="n">
        <v>0</v>
      </c>
      <c r="H14" s="8">
        <f>E14+F14-G14</f>
        <v/>
      </c>
    </row>
    <row r="15">
      <c r="A15" s="7" t="inlineStr">
        <is>
          <t>FL045</t>
        </is>
      </c>
      <c r="B15" s="6" t="inlineStr">
        <is>
          <t>GAMMA LUBRIFIANTS</t>
        </is>
      </c>
      <c r="C15" s="7" t="inlineStr">
        <is>
          <t>40100</t>
        </is>
      </c>
      <c r="D15" s="6" t="inlineStr">
        <is>
          <t>Fournisseurs de stocks et serv</t>
        </is>
      </c>
      <c r="E15" s="8" t="n">
        <v>-926579.49</v>
      </c>
      <c r="F15" s="8" t="n">
        <v>0</v>
      </c>
      <c r="G15" s="8" t="n">
        <v>0</v>
      </c>
      <c r="H15" s="8">
        <f>E15+F15-G15</f>
        <v/>
      </c>
    </row>
    <row r="16">
      <c r="A16" s="7" t="inlineStr">
        <is>
          <t>FL051</t>
        </is>
      </c>
      <c r="B16" s="6" t="inlineStr">
        <is>
          <t>DJERMOULI KAMAL ABDENNOUR</t>
        </is>
      </c>
      <c r="C16" s="7" t="inlineStr">
        <is>
          <t>40100</t>
        </is>
      </c>
      <c r="D16" s="6" t="inlineStr">
        <is>
          <t>Fournisseurs de stocks et serv</t>
        </is>
      </c>
      <c r="E16" s="8" t="n">
        <v>-9100</v>
      </c>
      <c r="F16" s="8" t="n">
        <v>0</v>
      </c>
      <c r="G16" s="8" t="n">
        <v>0</v>
      </c>
      <c r="H16" s="8">
        <f>E16+F16-G16</f>
        <v/>
      </c>
    </row>
    <row r="17">
      <c r="A17" s="7" t="inlineStr">
        <is>
          <t>FL064</t>
        </is>
      </c>
      <c r="B17" s="6" t="inlineStr">
        <is>
          <t>STATION GAMMA 4</t>
        </is>
      </c>
      <c r="C17" s="7" t="inlineStr">
        <is>
          <t>40100</t>
        </is>
      </c>
      <c r="D17" s="6" t="inlineStr">
        <is>
          <t>Fournisseurs de stocks et serv</t>
        </is>
      </c>
      <c r="E17" s="8" t="n">
        <v>-153309.95</v>
      </c>
      <c r="F17" s="8" t="n">
        <v>0</v>
      </c>
      <c r="G17" s="8" t="n">
        <v>0</v>
      </c>
      <c r="H17" s="8">
        <f>E17+F17-G17</f>
        <v/>
      </c>
    </row>
    <row r="18">
      <c r="A18" s="7" t="inlineStr">
        <is>
          <t>FL076</t>
        </is>
      </c>
      <c r="B18" s="6" t="inlineStr">
        <is>
          <t>SNC DEBBOUZ ET FRERES</t>
        </is>
      </c>
      <c r="C18" s="7" t="inlineStr">
        <is>
          <t>40100</t>
        </is>
      </c>
      <c r="D18" s="6" t="inlineStr">
        <is>
          <t>Fournisseurs de stocks et serv</t>
        </is>
      </c>
      <c r="E18" s="8" t="n">
        <v>-738432.49</v>
      </c>
      <c r="F18" s="8" t="n">
        <v>3595116</v>
      </c>
      <c r="G18" s="8" t="n">
        <v>2433717</v>
      </c>
      <c r="H18" s="8">
        <f>E18+F18-G18</f>
        <v/>
      </c>
    </row>
    <row r="19">
      <c r="A19" s="7" t="inlineStr">
        <is>
          <t>FL078</t>
        </is>
      </c>
      <c r="B19" s="6" t="inlineStr">
        <is>
          <t>TRANSIT HAMMACHE DJAMEL</t>
        </is>
      </c>
      <c r="C19" s="7" t="inlineStr">
        <is>
          <t>40100</t>
        </is>
      </c>
      <c r="D19" s="6" t="inlineStr">
        <is>
          <t>Fournisseurs de stocks et serv</t>
        </is>
      </c>
      <c r="E19" s="8" t="n">
        <v>-62000</v>
      </c>
      <c r="F19" s="8" t="n">
        <v>509286.04</v>
      </c>
      <c r="G19" s="8" t="n">
        <v>509286.04</v>
      </c>
      <c r="H19" s="8">
        <f>E19+F19-G19</f>
        <v/>
      </c>
    </row>
    <row r="20">
      <c r="A20" s="7" t="inlineStr">
        <is>
          <t>FL080</t>
        </is>
      </c>
      <c r="B20" s="6" t="inlineStr">
        <is>
          <t>SNC GENERAL BATTERIES&amp;LUBRIFI</t>
        </is>
      </c>
      <c r="C20" s="7" t="inlineStr">
        <is>
          <t>40100</t>
        </is>
      </c>
      <c r="D20" s="6" t="inlineStr">
        <is>
          <t>Fournisseurs de stocks et serv</t>
        </is>
      </c>
      <c r="E20" s="8" t="n">
        <v>-499300.03</v>
      </c>
      <c r="F20" s="8" t="n">
        <v>1402900.07</v>
      </c>
      <c r="G20" s="8" t="n">
        <v>0</v>
      </c>
      <c r="H20" s="8">
        <f>E20+F20-G20</f>
        <v/>
      </c>
    </row>
    <row r="21">
      <c r="A21" s="7" t="inlineStr">
        <is>
          <t>FL082</t>
        </is>
      </c>
      <c r="B21" s="6" t="inlineStr">
        <is>
          <t>SARL COLMAR LEAF SPRINGS</t>
        </is>
      </c>
      <c r="C21" s="7" t="inlineStr">
        <is>
          <t>40100</t>
        </is>
      </c>
      <c r="D21" s="6" t="inlineStr">
        <is>
          <t>Fournisseurs de stocks et serv</t>
        </is>
      </c>
      <c r="E21" s="8" t="n">
        <v>0</v>
      </c>
      <c r="F21" s="8" t="n">
        <v>8509199.720000001</v>
      </c>
      <c r="G21" s="8" t="n">
        <v>0</v>
      </c>
      <c r="H21" s="8">
        <f>E21+F21-G21</f>
        <v/>
      </c>
    </row>
    <row r="22">
      <c r="A22" s="7" t="inlineStr">
        <is>
          <t>FL085</t>
        </is>
      </c>
      <c r="B22" s="6" t="inlineStr">
        <is>
          <t>SARL BABOR PNEUS</t>
        </is>
      </c>
      <c r="C22" s="7" t="inlineStr">
        <is>
          <t>40100</t>
        </is>
      </c>
      <c r="D22" s="6" t="inlineStr">
        <is>
          <t>Fournisseurs de stocks et serv</t>
        </is>
      </c>
      <c r="E22" s="8" t="n">
        <v>-0.01</v>
      </c>
      <c r="F22" s="8" t="n">
        <v>550000</v>
      </c>
      <c r="G22" s="8" t="n">
        <v>0</v>
      </c>
      <c r="H22" s="8">
        <f>E22+F22-G22</f>
        <v/>
      </c>
    </row>
    <row r="23">
      <c r="A23" s="7" t="inlineStr">
        <is>
          <t>FL088</t>
        </is>
      </c>
      <c r="B23" s="6" t="inlineStr">
        <is>
          <t>ETS BOUHARIS CHERIF</t>
        </is>
      </c>
      <c r="C23" s="7" t="inlineStr">
        <is>
          <t>40100</t>
        </is>
      </c>
      <c r="D23" s="6" t="inlineStr">
        <is>
          <t>Fournisseurs de stocks et serv</t>
        </is>
      </c>
      <c r="E23" s="8" t="n">
        <v>0</v>
      </c>
      <c r="F23" s="8" t="n">
        <v>700000</v>
      </c>
      <c r="G23" s="8" t="n">
        <v>0</v>
      </c>
      <c r="H23" s="8">
        <f>E23+F23-G23</f>
        <v/>
      </c>
    </row>
    <row r="24">
      <c r="A24" s="7" t="inlineStr">
        <is>
          <t>FL094</t>
        </is>
      </c>
      <c r="B24" s="6" t="inlineStr">
        <is>
          <t>EURL LD AZOUAOU</t>
        </is>
      </c>
      <c r="C24" s="7" t="inlineStr">
        <is>
          <t>40100</t>
        </is>
      </c>
      <c r="D24" s="6" t="inlineStr">
        <is>
          <t>Fournisseurs de stocks et serv</t>
        </is>
      </c>
      <c r="E24" s="8" t="n">
        <v>0</v>
      </c>
      <c r="F24" s="8" t="n">
        <v>377503.7</v>
      </c>
      <c r="G24" s="8" t="n">
        <v>0</v>
      </c>
      <c r="H24" s="8">
        <f>E24+F24-G24</f>
        <v/>
      </c>
    </row>
    <row r="25">
      <c r="A25" s="7" t="inlineStr">
        <is>
          <t>FE001</t>
        </is>
      </c>
      <c r="B25" s="6" t="inlineStr">
        <is>
          <t>BS MOTORS</t>
        </is>
      </c>
      <c r="C25" s="7" t="inlineStr">
        <is>
          <t>40102</t>
        </is>
      </c>
      <c r="D25" s="6" t="inlineStr">
        <is>
          <t>FOURNSSEURS ETRANGERS</t>
        </is>
      </c>
      <c r="E25" s="8" t="n">
        <v>0</v>
      </c>
      <c r="F25" s="8" t="n">
        <v>0</v>
      </c>
      <c r="G25" s="8" t="n">
        <v>17329105</v>
      </c>
      <c r="H25" s="8">
        <f>E25+F25-G25</f>
        <v/>
      </c>
    </row>
    <row r="26">
      <c r="A26" s="7" t="inlineStr">
        <is>
          <t>FE003</t>
        </is>
      </c>
      <c r="B26" s="6" t="inlineStr">
        <is>
          <t>SAMPA OTOMOTIVE</t>
        </is>
      </c>
      <c r="C26" s="7" t="inlineStr">
        <is>
          <t>40102</t>
        </is>
      </c>
      <c r="D26" s="6" t="inlineStr">
        <is>
          <t>FOURNSSEURS ETRANGERS</t>
        </is>
      </c>
      <c r="E26" s="8" t="n">
        <v>0</v>
      </c>
      <c r="F26" s="8" t="n">
        <v>0</v>
      </c>
      <c r="G26" s="8" t="n">
        <v>5180911</v>
      </c>
      <c r="H26" s="8">
        <f>E26+F26-G26</f>
        <v/>
      </c>
    </row>
    <row r="27">
      <c r="A27" s="7" t="inlineStr">
        <is>
          <t>FE022</t>
        </is>
      </c>
      <c r="B27" s="6" t="inlineStr">
        <is>
          <t>MS MOTORSERVICE</t>
        </is>
      </c>
      <c r="C27" s="7" t="inlineStr">
        <is>
          <t>40102</t>
        </is>
      </c>
      <c r="D27" s="6" t="inlineStr">
        <is>
          <t>FOURNSSEURS ETRANGERS</t>
        </is>
      </c>
      <c r="E27" s="8" t="n">
        <v>0</v>
      </c>
      <c r="F27" s="8" t="n">
        <v>0</v>
      </c>
      <c r="G27" s="8" t="n">
        <v>19502834</v>
      </c>
      <c r="H27" s="8">
        <f>E27+F27-G27</f>
        <v/>
      </c>
    </row>
    <row r="28">
      <c r="A28" s="7" t="inlineStr">
        <is>
          <t>FI016</t>
        </is>
      </c>
      <c r="B28" s="6" t="inlineStr">
        <is>
          <t>SPA WATANIYA OOREDOO</t>
        </is>
      </c>
      <c r="C28" s="7" t="inlineStr">
        <is>
          <t>40130</t>
        </is>
      </c>
      <c r="D28" s="6" t="inlineStr">
        <is>
          <t>FOUR. LOCAUX DE SERVICES</t>
        </is>
      </c>
      <c r="E28" s="8" t="n">
        <v>0</v>
      </c>
      <c r="F28" s="8" t="n">
        <v>19500</v>
      </c>
      <c r="G28" s="8" t="n">
        <v>0</v>
      </c>
      <c r="H28" s="8">
        <f>E28+F28-G28</f>
        <v/>
      </c>
    </row>
    <row r="29">
      <c r="A29" s="7" t="inlineStr">
        <is>
          <t>FS004</t>
        </is>
      </c>
      <c r="B29" s="6" t="inlineStr">
        <is>
          <t>CNRC</t>
        </is>
      </c>
      <c r="C29" s="7" t="inlineStr">
        <is>
          <t>40130</t>
        </is>
      </c>
      <c r="D29" s="6" t="inlineStr">
        <is>
          <t>FOUR. LOCAUX DE SERVICES</t>
        </is>
      </c>
      <c r="E29" s="8" t="n">
        <v>30110</v>
      </c>
      <c r="F29" s="8" t="n">
        <v>33110</v>
      </c>
      <c r="G29" s="8" t="n">
        <v>0</v>
      </c>
      <c r="H29" s="8">
        <f>E29+F29-G29</f>
        <v/>
      </c>
    </row>
    <row r="30">
      <c r="A30" s="7" t="inlineStr">
        <is>
          <t>FS017</t>
        </is>
      </c>
      <c r="B30" s="6" t="inlineStr">
        <is>
          <t>SAA EL KSEUR</t>
        </is>
      </c>
      <c r="C30" s="7" t="inlineStr">
        <is>
          <t>40130</t>
        </is>
      </c>
      <c r="D30" s="6" t="inlineStr">
        <is>
          <t>FOUR. LOCAUX DE SERVICES</t>
        </is>
      </c>
      <c r="E30" s="8" t="n">
        <v>0</v>
      </c>
      <c r="F30" s="8" t="n">
        <v>37431.26</v>
      </c>
      <c r="G30" s="8" t="n">
        <v>0</v>
      </c>
      <c r="H30" s="8">
        <f>E30+F30-G30</f>
        <v/>
      </c>
    </row>
    <row r="31">
      <c r="A31" s="7" t="inlineStr">
        <is>
          <t>FS027</t>
        </is>
      </c>
      <c r="B31" s="6" t="inlineStr">
        <is>
          <t>SARL PROMO SALONS</t>
        </is>
      </c>
      <c r="C31" s="7" t="inlineStr">
        <is>
          <t>40130</t>
        </is>
      </c>
      <c r="D31" s="6" t="inlineStr">
        <is>
          <t>FOUR. LOCAUX DE SERVICES</t>
        </is>
      </c>
      <c r="E31" s="8" t="n">
        <v>-297180</v>
      </c>
      <c r="F31" s="8" t="n">
        <v>0</v>
      </c>
      <c r="G31" s="8" t="n">
        <v>0</v>
      </c>
      <c r="H31" s="8">
        <f>E31+F31-G31</f>
        <v/>
      </c>
    </row>
    <row r="32">
      <c r="A32" s="7" t="inlineStr">
        <is>
          <t>FS038</t>
        </is>
      </c>
      <c r="B32" s="6" t="inlineStr">
        <is>
          <t>L'ALGERIENNE DES ASSURANCES</t>
        </is>
      </c>
      <c r="C32" s="7" t="inlineStr">
        <is>
          <t>40130</t>
        </is>
      </c>
      <c r="D32" s="6" t="inlineStr">
        <is>
          <t>FOUR. LOCAUX DE SERVICES</t>
        </is>
      </c>
      <c r="E32" s="8" t="n">
        <v>0</v>
      </c>
      <c r="F32" s="8" t="n">
        <v>5147.25</v>
      </c>
      <c r="G32" s="8" t="n">
        <v>5147.25</v>
      </c>
      <c r="H32" s="8">
        <f>E32+F32-G32</f>
        <v/>
      </c>
    </row>
    <row r="33">
      <c r="A33" s="7" t="inlineStr">
        <is>
          <t>FS050</t>
        </is>
      </c>
      <c r="B33" s="6" t="inlineStr">
        <is>
          <t>CAAR</t>
        </is>
      </c>
      <c r="C33" s="7" t="inlineStr">
        <is>
          <t>40130</t>
        </is>
      </c>
      <c r="D33" s="6" t="inlineStr">
        <is>
          <t>FOUR. LOCAUX DE SERVICES</t>
        </is>
      </c>
      <c r="E33" s="8" t="n">
        <v>-1934321.62</v>
      </c>
      <c r="F33" s="8" t="n">
        <v>0</v>
      </c>
      <c r="G33" s="8" t="n">
        <v>0</v>
      </c>
      <c r="H33" s="8">
        <f>E33+F33-G33</f>
        <v/>
      </c>
    </row>
    <row r="34">
      <c r="A34" s="7" t="inlineStr">
        <is>
          <t>FS066</t>
        </is>
      </c>
      <c r="B34" s="6" t="inlineStr">
        <is>
          <t>MESBAH IKHLEF</t>
        </is>
      </c>
      <c r="C34" s="7" t="inlineStr">
        <is>
          <t>40130</t>
        </is>
      </c>
      <c r="D34" s="6" t="inlineStr">
        <is>
          <t>FOUR. LOCAUX DE SERVICES</t>
        </is>
      </c>
      <c r="E34" s="8" t="n">
        <v>-856800</v>
      </c>
      <c r="F34" s="8" t="n">
        <v>1285200</v>
      </c>
      <c r="G34" s="8" t="n">
        <v>0</v>
      </c>
      <c r="H34" s="8">
        <f>E34+F34-G34</f>
        <v/>
      </c>
    </row>
    <row r="35">
      <c r="A35" s="7" t="inlineStr">
        <is>
          <t>FI004</t>
        </is>
      </c>
      <c r="B35" s="6" t="inlineStr">
        <is>
          <t>SARL DPR AXXAM</t>
        </is>
      </c>
      <c r="C35" s="7" t="inlineStr">
        <is>
          <t>40400</t>
        </is>
      </c>
      <c r="D35" s="6" t="inlineStr">
        <is>
          <t>Fournisseurs d'immobilisations</t>
        </is>
      </c>
      <c r="E35" s="8" t="n">
        <v>-21827400</v>
      </c>
      <c r="F35" s="8" t="n">
        <v>0</v>
      </c>
      <c r="G35" s="8" t="n">
        <v>0</v>
      </c>
      <c r="H35" s="8">
        <f>E35+F35-G35</f>
        <v/>
      </c>
    </row>
    <row r="36">
      <c r="A36" s="7" t="inlineStr">
        <is>
          <t>FI025</t>
        </is>
      </c>
      <c r="B36" s="6" t="inlineStr">
        <is>
          <t>SNC RAMTANI&amp;FILS</t>
        </is>
      </c>
      <c r="C36" s="7" t="inlineStr">
        <is>
          <t>40400</t>
        </is>
      </c>
      <c r="D36" s="6" t="inlineStr">
        <is>
          <t>Fournisseurs d'immobilisations</t>
        </is>
      </c>
      <c r="E36" s="8" t="n">
        <v>-81181.96000000001</v>
      </c>
      <c r="F36" s="8" t="n">
        <v>0</v>
      </c>
      <c r="G36" s="8" t="n">
        <v>0</v>
      </c>
      <c r="H36" s="8">
        <f>E36+F36-G36</f>
        <v/>
      </c>
    </row>
    <row r="37">
      <c r="A37" s="7" t="inlineStr">
        <is>
          <t>FL095</t>
        </is>
      </c>
      <c r="B37" s="6" t="inlineStr">
        <is>
          <t>SARL BFAHO BENOURATAS</t>
        </is>
      </c>
      <c r="C37" s="7" t="inlineStr">
        <is>
          <t>40400</t>
        </is>
      </c>
      <c r="D37" s="6" t="inlineStr">
        <is>
          <t>Fournisseurs d'immobilisations</t>
        </is>
      </c>
      <c r="E37" s="8" t="n">
        <v>0</v>
      </c>
      <c r="F37" s="8" t="n">
        <v>4500000</v>
      </c>
      <c r="G37" s="8" t="n">
        <v>0</v>
      </c>
      <c r="H37" s="8">
        <f>E37+F37-G37</f>
        <v/>
      </c>
    </row>
    <row r="38">
      <c r="A38" s="7" t="inlineStr">
        <is>
          <t>AF017</t>
        </is>
      </c>
      <c r="B38" s="6" t="inlineStr">
        <is>
          <t>SARL DPR AXXAM</t>
        </is>
      </c>
      <c r="C38" s="7" t="inlineStr">
        <is>
          <t>40900</t>
        </is>
      </c>
      <c r="D38" s="6" t="inlineStr">
        <is>
          <t>Fournisseurs débiteurs : avanc</t>
        </is>
      </c>
      <c r="E38" s="8" t="n">
        <v>45350000</v>
      </c>
      <c r="F38" s="8" t="n">
        <v>0</v>
      </c>
      <c r="G38" s="8" t="n">
        <v>0</v>
      </c>
      <c r="H38" s="8">
        <f>E38+F38-G38</f>
        <v/>
      </c>
    </row>
    <row r="39">
      <c r="A39" s="7" t="inlineStr">
        <is>
          <t>AF053</t>
        </is>
      </c>
      <c r="B39" s="6" t="inlineStr">
        <is>
          <t>TAXE DOMICILIATION BANCAIRE</t>
        </is>
      </c>
      <c r="C39" s="7" t="inlineStr">
        <is>
          <t>40900</t>
        </is>
      </c>
      <c r="D39" s="6" t="inlineStr">
        <is>
          <t>Fournisseurs débiteurs : avanc</t>
        </is>
      </c>
      <c r="E39" s="8" t="n">
        <v>456100</v>
      </c>
      <c r="F39" s="8" t="n">
        <v>0</v>
      </c>
      <c r="G39" s="8" t="n">
        <v>0</v>
      </c>
      <c r="H39" s="8">
        <f>E39+F39-G39</f>
        <v/>
      </c>
    </row>
    <row r="40">
      <c r="A40" s="7" t="inlineStr">
        <is>
          <t>AF056</t>
        </is>
      </c>
      <c r="B40" s="6" t="inlineStr">
        <is>
          <t>KARIM TRANS</t>
        </is>
      </c>
      <c r="C40" s="7" t="inlineStr">
        <is>
          <t>40900</t>
        </is>
      </c>
      <c r="D40" s="6" t="inlineStr">
        <is>
          <t>Fournisseurs débiteurs : avanc</t>
        </is>
      </c>
      <c r="E40" s="8" t="n">
        <v>200000</v>
      </c>
      <c r="F40" s="8" t="n">
        <v>0</v>
      </c>
      <c r="G40" s="8" t="n">
        <v>0</v>
      </c>
      <c r="H40" s="8">
        <f>E40+F40-G40</f>
        <v/>
      </c>
    </row>
    <row r="41">
      <c r="A41" s="7" t="inlineStr">
        <is>
          <t>AF059</t>
        </is>
      </c>
      <c r="B41" s="6" t="inlineStr">
        <is>
          <t>SARL AXECHAN</t>
        </is>
      </c>
      <c r="C41" s="7" t="inlineStr">
        <is>
          <t>40900</t>
        </is>
      </c>
      <c r="D41" s="6" t="inlineStr">
        <is>
          <t>Fournisseurs débiteurs : avanc</t>
        </is>
      </c>
      <c r="E41" s="8" t="n">
        <v>200000</v>
      </c>
      <c r="F41" s="8" t="n">
        <v>0</v>
      </c>
      <c r="G41" s="8" t="n">
        <v>0</v>
      </c>
      <c r="H41" s="8">
        <f>E41+F41-G41</f>
        <v/>
      </c>
    </row>
    <row r="42">
      <c r="B42" s="10" t="inlineStr">
        <is>
          <t>TOTAL</t>
        </is>
      </c>
      <c r="E42" s="11">
        <f>SUM(E4:E41)</f>
        <v/>
      </c>
      <c r="F42" s="11">
        <f>SUM(F4:F41)</f>
        <v/>
      </c>
      <c r="G42" s="11">
        <f>SUM(G4:G41)</f>
        <v/>
      </c>
      <c r="H42" s="11">
        <f>SUM(H4:H41)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2026-10-23T07:31:53Z</dcterms:created>
  <dcterms:modified xsi:type="dcterms:W3CDTF">2026-10-23T07:31:53Z</dcterms:modified>
</cp:coreProperties>
</file>