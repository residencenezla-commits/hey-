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euil1" sheetId="1" state="visible" r:id="rId1"/>
    <sheet name="DETAIL GASOI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4"/>
    </font>
    <font>
      <name val="Calibri"/>
      <family val="2"/>
      <b val="1"/>
      <color rgb="FF000000"/>
      <sz val="14"/>
    </font>
    <font>
      <b val="1"/>
      <sz val="12"/>
    </font>
    <font>
      <b val="1"/>
      <color rgb="00FFFFFF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2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2" pivotButton="0" quotePrefix="0" xfId="0"/>
    <xf numFmtId="0" fontId="2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2" pivotButton="0" quotePrefix="0" xfId="0"/>
    <xf numFmtId="0" fontId="2" fillId="2" borderId="3" pivotButton="0" quotePrefix="0" xfId="0"/>
    <xf numFmtId="0" fontId="0" fillId="2" borderId="2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0" pivotButton="0" quotePrefix="0" xfId="0"/>
    <xf numFmtId="3" fontId="2" fillId="2" borderId="2" pivotButton="0" quotePrefix="0" xfId="0"/>
    <xf numFmtId="3" fontId="2" fillId="2" borderId="3" pivotButton="0" quotePrefix="0" xfId="0"/>
    <xf numFmtId="3" fontId="0" fillId="2" borderId="2" pivotButton="0" quotePrefix="0" xfId="0"/>
    <xf numFmtId="0" fontId="7" fillId="0" borderId="0" pivotButton="0" quotePrefix="0" xfId="0"/>
    <xf numFmtId="0" fontId="4" fillId="0" borderId="0" pivotButton="0" quotePrefix="0" xfId="0"/>
    <xf numFmtId="2" fontId="0" fillId="3" borderId="0" pivotButton="0" quotePrefix="0" xfId="0"/>
    <xf numFmtId="0" fontId="5" fillId="4" borderId="4" applyAlignment="1" pivotButton="0" quotePrefix="0" xfId="0">
      <alignment horizontal="center" wrapText="1"/>
    </xf>
    <xf numFmtId="0" fontId="0" fillId="0" borderId="4" pivotButton="0" quotePrefix="0" xfId="0"/>
    <xf numFmtId="165" fontId="0" fillId="0" borderId="4" pivotButton="0" quotePrefix="0" xfId="0"/>
    <xf numFmtId="4" fontId="0" fillId="0" borderId="4" pivotButton="0" quotePrefix="0" xfId="0"/>
    <xf numFmtId="3" fontId="0" fillId="0" borderId="4" pivotButton="0" quotePrefix="0" xfId="0"/>
    <xf numFmtId="3" fontId="0" fillId="3" borderId="4" pivotButton="0" quotePrefix="0" xfId="0"/>
    <xf numFmtId="0" fontId="6" fillId="0" borderId="0" pivotButton="0" quotePrefix="0" xfId="0"/>
    <xf numFmtId="4" fontId="6" fillId="0" borderId="0" pivotButton="0" quotePrefix="0" xfId="0"/>
    <xf numFmtId="3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zoomScaleNormal="100" workbookViewId="0">
      <selection activeCell="B8" sqref="B8"/>
    </sheetView>
  </sheetViews>
  <sheetFormatPr baseColWidth="10" defaultRowHeight="15"/>
  <cols>
    <col width="42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3.25" customHeight="1">
      <c r="A1" s="11" t="inlineStr">
        <is>
          <t xml:space="preserve">Tableau : canevas d'information à renseigner </t>
        </is>
      </c>
      <c r="B1" s="12" t="n"/>
      <c r="C1" s="12" t="n"/>
      <c r="D1" s="12" t="n"/>
      <c r="E1" s="12" t="n"/>
      <c r="F1" s="12" t="n"/>
      <c r="G1" s="12" t="n"/>
    </row>
    <row r="2" ht="18.75" customHeight="1">
      <c r="A2" s="1" t="n"/>
      <c r="B2" s="2" t="inlineStr">
        <is>
          <t>UM</t>
        </is>
      </c>
      <c r="C2" s="2" t="n">
        <v>2015</v>
      </c>
      <c r="D2" s="2" t="n">
        <v>2016</v>
      </c>
      <c r="E2" s="2" t="n">
        <v>2017</v>
      </c>
      <c r="F2" s="2" t="n">
        <v>2018</v>
      </c>
      <c r="G2" s="2" t="n">
        <v>2019</v>
      </c>
      <c r="H2" s="2" t="n">
        <v>2020</v>
      </c>
      <c r="I2" s="2" t="n">
        <v>2021</v>
      </c>
      <c r="J2" s="2" t="n">
        <v>2022</v>
      </c>
      <c r="K2" s="2" t="n">
        <v>2023</v>
      </c>
      <c r="L2" s="2" t="n">
        <v>2024</v>
      </c>
      <c r="M2" s="3" t="n">
        <v>2025</v>
      </c>
      <c r="N2" s="3" t="n">
        <v>2026</v>
      </c>
      <c r="O2" s="3" t="inlineStr">
        <is>
          <t>TOTAL</t>
        </is>
      </c>
    </row>
    <row r="3" ht="18.75" customHeight="1">
      <c r="A3" s="4" t="inlineStr">
        <is>
          <t xml:space="preserve">A- Consommation énergétique du sécteur mines </t>
        </is>
      </c>
      <c r="B3" s="1" t="n"/>
      <c r="C3" s="1" t="n"/>
      <c r="D3" s="1" t="n"/>
      <c r="E3" s="1" t="n"/>
      <c r="F3" s="1" t="n"/>
      <c r="G3" s="5" t="n"/>
      <c r="H3" s="6" t="n"/>
      <c r="I3" s="6" t="n"/>
      <c r="J3" s="6" t="n"/>
      <c r="K3" s="6" t="n"/>
      <c r="L3" s="6" t="n"/>
      <c r="M3" s="7" t="n"/>
      <c r="N3" s="6" t="n"/>
    </row>
    <row r="4" ht="18.75" customHeight="1">
      <c r="A4" s="8" t="inlineStr">
        <is>
          <t>De gaz naturel</t>
        </is>
      </c>
      <c r="B4" s="8" t="inlineStr">
        <is>
          <t>M3</t>
        </is>
      </c>
      <c r="C4" s="8" t="n"/>
      <c r="D4" s="8" t="n"/>
      <c r="E4" s="8" t="n"/>
      <c r="F4" s="8" t="n"/>
      <c r="G4" s="9" t="n"/>
      <c r="H4" s="8" t="n"/>
      <c r="I4" s="8" t="n"/>
      <c r="J4" s="8" t="n"/>
      <c r="K4" s="8" t="n"/>
      <c r="L4" s="8" t="n"/>
      <c r="M4" s="9" t="n"/>
      <c r="N4" s="10" t="n"/>
      <c r="O4" s="13">
        <f>IF(SUM(C4:N4)=0,"",SUM(C4:N4))</f>
        <v/>
      </c>
    </row>
    <row r="5" ht="18.75" customHeight="1">
      <c r="A5" s="8" t="inlineStr">
        <is>
          <t>D'électricité</t>
        </is>
      </c>
      <c r="B5" s="8" t="inlineStr">
        <is>
          <t>kw/h</t>
        </is>
      </c>
      <c r="C5" s="8" t="n"/>
      <c r="D5" s="8" t="n"/>
      <c r="E5" s="8" t="n"/>
      <c r="F5" s="8" t="n"/>
      <c r="G5" s="9" t="n"/>
      <c r="H5" s="8" t="n"/>
      <c r="I5" s="8" t="n"/>
      <c r="J5" s="8" t="n"/>
      <c r="K5" s="8" t="n"/>
      <c r="L5" s="8" t="n"/>
      <c r="M5" s="9" t="n"/>
      <c r="N5" s="10" t="n"/>
      <c r="O5" s="13">
        <f>IF(SUM(C5:N5)=0,"",SUM(C5:N5))</f>
        <v/>
      </c>
    </row>
    <row r="6" ht="18.75" customHeight="1">
      <c r="A6" s="8" t="inlineStr">
        <is>
          <t>De Gasoil</t>
        </is>
      </c>
      <c r="B6" s="8" t="inlineStr">
        <is>
          <t>litres</t>
        </is>
      </c>
      <c r="C6" s="8" t="n"/>
      <c r="D6" s="8" t="n"/>
      <c r="E6" s="8" t="n"/>
      <c r="F6" s="8" t="n"/>
      <c r="G6" s="9" t="n"/>
      <c r="H6" s="8" t="n"/>
      <c r="I6" s="8" t="n"/>
      <c r="J6" s="14">
        <f>SUMPRODUCT(('DETAIL GASOIL'!$A$5:$A$52=2022)*'DETAIL GASOIL'!$H$5:$H$52)</f>
        <v/>
      </c>
      <c r="K6" s="14">
        <f>SUMPRODUCT(('DETAIL GASOIL'!$A$5:$A$52=2023)*'DETAIL GASOIL'!$H$5:$H$52)</f>
        <v/>
      </c>
      <c r="L6" s="14">
        <f>SUMPRODUCT(('DETAIL GASOIL'!$A$5:$A$52=2024)*'DETAIL GASOIL'!$H$5:$H$52)</f>
        <v/>
      </c>
      <c r="M6" s="15">
        <f>SUMPRODUCT(('DETAIL GASOIL'!$A$5:$A$52=2025)*'DETAIL GASOIL'!$H$5:$H$52)</f>
        <v/>
      </c>
      <c r="N6" s="16">
        <f>SUMPRODUCT(('DETAIL GASOIL'!$A$5:$A$52=2026)*'DETAIL GASOIL'!$H$5:$H$52)</f>
        <v/>
      </c>
      <c r="O6" s="13">
        <f>IF(SUM(C6:N6)=0,"",SUM(C6:N6))</f>
        <v/>
      </c>
    </row>
    <row r="7" ht="18.75" customHeight="1">
      <c r="A7" s="1" t="inlineStr">
        <is>
          <t>De fuel</t>
        </is>
      </c>
      <c r="B7" s="1" t="inlineStr">
        <is>
          <t>litres</t>
        </is>
      </c>
      <c r="C7" s="1" t="n"/>
      <c r="D7" s="1" t="n"/>
      <c r="E7" s="1" t="n"/>
      <c r="F7" s="1" t="n"/>
      <c r="G7" s="5" t="n"/>
      <c r="H7" s="6" t="n"/>
      <c r="I7" s="6" t="n"/>
      <c r="J7" s="6" t="n"/>
      <c r="K7" s="6" t="n"/>
      <c r="L7" s="6" t="n"/>
      <c r="M7" s="7" t="n"/>
      <c r="N7" s="6" t="n"/>
      <c r="O7" s="13">
        <f>IF(SUM(C7:N7)=0,"",SUM(C7:N7))</f>
        <v/>
      </c>
    </row>
    <row r="8" ht="18.75" customHeight="1">
      <c r="A8" s="1" t="inlineStr">
        <is>
          <t xml:space="preserve">De charbon </t>
        </is>
      </c>
      <c r="B8" s="1" t="inlineStr">
        <is>
          <t>T</t>
        </is>
      </c>
      <c r="C8" s="1" t="n"/>
      <c r="D8" s="1" t="n"/>
      <c r="E8" s="1" t="n"/>
      <c r="F8" s="1" t="n"/>
      <c r="G8" s="5" t="n"/>
      <c r="H8" s="6" t="n"/>
      <c r="I8" s="6" t="n"/>
      <c r="J8" s="6" t="n"/>
      <c r="K8" s="6" t="n"/>
      <c r="L8" s="6" t="n"/>
      <c r="M8" s="7" t="n"/>
      <c r="N8" s="6" t="n"/>
      <c r="O8" s="13">
        <f>IF(SUM(C8:N8)=0,"",SUM(C8:N8))</f>
        <v/>
      </c>
    </row>
    <row r="9" ht="18.75" customHeight="1">
      <c r="A9" s="1" t="inlineStr">
        <is>
          <t xml:space="preserve">    etc ...</t>
        </is>
      </c>
      <c r="B9" s="1" t="n"/>
      <c r="C9" s="1" t="n"/>
      <c r="D9" s="1" t="n"/>
      <c r="E9" s="1" t="n"/>
      <c r="F9" s="1" t="n"/>
      <c r="G9" s="5" t="n"/>
      <c r="H9" s="6" t="n"/>
      <c r="I9" s="6" t="n"/>
      <c r="J9" s="6" t="n"/>
      <c r="K9" s="6" t="n"/>
      <c r="L9" s="6" t="n"/>
      <c r="M9" s="7" t="n"/>
      <c r="N9" s="6" t="n"/>
    </row>
    <row r="11">
      <c r="A11" s="17" t="inlineStr">
        <is>
          <t>Entreprise : SARL DPR COMPAGNY — Village Tizi, commune de Semaoun, Béjaïa — NIF 000306018423274</t>
        </is>
      </c>
    </row>
    <row r="12">
      <c r="A12" s="17" t="inlineStr">
        <is>
          <t>Gasoil : litres calculés à partir des factures du fournisseur SNC Béjaïa Hydrocarbures Debbouz &amp; Frères (prix 29,01 DA/l, feuille DETAIL GASOIL).</t>
        </is>
      </c>
    </row>
    <row r="13">
      <c r="A13" s="17" t="inlineStr">
        <is>
          <t>2022 : juillet à décembre seulement (premières factures disponibles) ; 2026 : janvier à juin (dernier relevé fournisseur au 30/06/2026).</t>
        </is>
      </c>
    </row>
    <row r="14">
      <c r="A14" s="17" t="inlineStr">
        <is>
          <t>Gaz naturel, électricité, fuel et charbon : aucune facture au nom de la société dans la comptabilité 2023-2026 (non concernés).</t>
        </is>
      </c>
    </row>
    <row r="15">
      <c r="A15" s="17" t="inlineStr">
        <is>
          <t>Avant 2022 : pas de données dans les dossiers transmis.</t>
        </is>
      </c>
    </row>
  </sheetData>
  <mergeCells count="1">
    <mergeCell ref="A1:G1"/>
  </mergeCells>
  <pageMargins left="0.118110236220472" right="0.118110236220472" top="0.7480314960629921" bottom="0.1968503937007871" header="0.3149606299212601" footer="0.118110236220472"/>
  <pageSetup orientation="landscape" paperSize="9" scale="66" fitToHeight="0" fitToWidth="0" horizontalDpi="4294967294" verticalDpi="42949672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7" customWidth="1" min="5" max="5"/>
    <col width="17" customWidth="1" min="6" max="6"/>
    <col width="20" customWidth="1" min="7" max="7"/>
    <col width="15" customWidth="1" min="8" max="8"/>
  </cols>
  <sheetData>
    <row r="1">
      <c r="A1" s="18" t="inlineStr">
        <is>
          <t>Achats de gasoil — station-service SNC BEJAIA HYDROCARBURES DEBBOUZ &amp; FRERES (factures mensuelles, activité TPM et location d'engins)</t>
        </is>
      </c>
    </row>
    <row r="2">
      <c r="A2" t="inlineStr">
        <is>
          <t>Prix à la pompe du gasoil (DA/litre) :</t>
        </is>
      </c>
      <c r="E2" s="19" t="n">
        <v>29.01</v>
      </c>
      <c r="F2" t="inlineStr">
        <is>
          <t>prix réglementé en vigueur depuis 2020 (à modifier si les factures portent un autre prix ou les litres)</t>
        </is>
      </c>
    </row>
    <row r="4">
      <c r="A4" s="20" t="inlineStr">
        <is>
          <t>Année</t>
        </is>
      </c>
      <c r="B4" s="20" t="inlineStr">
        <is>
          <t>Mois</t>
        </is>
      </c>
      <c r="C4" s="20" t="inlineStr">
        <is>
          <t>N° facture</t>
        </is>
      </c>
      <c r="D4" s="20" t="inlineStr">
        <is>
          <t>Date facture</t>
        </is>
      </c>
      <c r="E4" s="20" t="inlineStr">
        <is>
          <t>Montant TTC (DA)</t>
        </is>
      </c>
      <c r="F4" s="20" t="inlineStr">
        <is>
          <t>Litres (montant / prix)</t>
        </is>
      </c>
      <c r="G4" s="20" t="inlineStr">
        <is>
          <t>Litres relevés sur facture (si disponible)</t>
        </is>
      </c>
      <c r="H4" s="20" t="inlineStr">
        <is>
          <t>Litres retenus</t>
        </is>
      </c>
    </row>
    <row r="5">
      <c r="A5" s="21" t="n">
        <v>2022</v>
      </c>
      <c r="B5" s="21" t="n">
        <v>7</v>
      </c>
      <c r="C5" s="21" t="inlineStr">
        <is>
          <t>227/2022</t>
        </is>
      </c>
      <c r="D5" s="22" t="n">
        <v>44772</v>
      </c>
      <c r="E5" s="23" t="n">
        <v>769954.41</v>
      </c>
      <c r="F5" s="24">
        <f>ROUND(E5/$E$2,0)</f>
        <v/>
      </c>
      <c r="G5" s="25" t="n"/>
      <c r="H5" s="24">
        <f>IF(ISNUMBER(G5),G5,F5)</f>
        <v/>
      </c>
    </row>
    <row r="6">
      <c r="A6" s="21" t="n">
        <v>2022</v>
      </c>
      <c r="B6" s="21" t="n">
        <v>8</v>
      </c>
      <c r="C6" s="21" t="inlineStr">
        <is>
          <t>274/2022</t>
        </is>
      </c>
      <c r="D6" s="22" t="n">
        <v>44803</v>
      </c>
      <c r="E6" s="23" t="n">
        <v>1130374.65</v>
      </c>
      <c r="F6" s="24">
        <f>ROUND(E6/$E$2,0)</f>
        <v/>
      </c>
      <c r="G6" s="25" t="n"/>
      <c r="H6" s="24">
        <f>IF(ISNUMBER(G6),G6,F6)</f>
        <v/>
      </c>
    </row>
    <row r="7">
      <c r="A7" s="21" t="n">
        <v>2022</v>
      </c>
      <c r="B7" s="21" t="n">
        <v>9</v>
      </c>
      <c r="C7" s="21" t="inlineStr">
        <is>
          <t>311/2022</t>
        </is>
      </c>
      <c r="D7" s="22" t="n">
        <v>44834</v>
      </c>
      <c r="E7" s="23" t="n">
        <v>1001715.3</v>
      </c>
      <c r="F7" s="24">
        <f>ROUND(E7/$E$2,0)</f>
        <v/>
      </c>
      <c r="G7" s="25" t="n"/>
      <c r="H7" s="24">
        <f>IF(ISNUMBER(G7),G7,F7)</f>
        <v/>
      </c>
    </row>
    <row r="8">
      <c r="A8" s="21" t="n">
        <v>2022</v>
      </c>
      <c r="B8" s="21" t="n">
        <v>10</v>
      </c>
      <c r="C8" s="21" t="inlineStr">
        <is>
          <t>346/2022</t>
        </is>
      </c>
      <c r="D8" s="22" t="n">
        <v>44865</v>
      </c>
      <c r="E8" s="23" t="n">
        <v>1114129.05</v>
      </c>
      <c r="F8" s="24">
        <f>ROUND(E8/$E$2,0)</f>
        <v/>
      </c>
      <c r="G8" s="25" t="n"/>
      <c r="H8" s="24">
        <f>IF(ISNUMBER(G8),G8,F8)</f>
        <v/>
      </c>
    </row>
    <row r="9">
      <c r="A9" s="21" t="n">
        <v>2022</v>
      </c>
      <c r="B9" s="21" t="n">
        <v>11</v>
      </c>
      <c r="C9" s="21" t="inlineStr">
        <is>
          <t>386/2022</t>
        </is>
      </c>
      <c r="D9" s="22" t="n">
        <v>44895</v>
      </c>
      <c r="E9" s="23" t="n">
        <v>1160400</v>
      </c>
      <c r="F9" s="24">
        <f>ROUND(E9/$E$2,0)</f>
        <v/>
      </c>
      <c r="G9" s="25" t="n"/>
      <c r="H9" s="24">
        <f>IF(ISNUMBER(G9),G9,F9)</f>
        <v/>
      </c>
    </row>
    <row r="10">
      <c r="A10" s="21" t="n">
        <v>2022</v>
      </c>
      <c r="B10" s="21" t="n">
        <v>12</v>
      </c>
      <c r="C10" s="21" t="inlineStr">
        <is>
          <t>425/2022</t>
        </is>
      </c>
      <c r="D10" s="22" t="n">
        <v>44926</v>
      </c>
      <c r="E10" s="23" t="n">
        <v>1195763.19</v>
      </c>
      <c r="F10" s="24">
        <f>ROUND(E10/$E$2,0)</f>
        <v/>
      </c>
      <c r="G10" s="25" t="n"/>
      <c r="H10" s="24">
        <f>IF(ISNUMBER(G10),G10,F10)</f>
        <v/>
      </c>
    </row>
    <row r="11">
      <c r="A11" s="21" t="n">
        <v>2023</v>
      </c>
      <c r="B11" s="21" t="n">
        <v>1</v>
      </c>
      <c r="C11" s="21" t="inlineStr">
        <is>
          <t>026/2023</t>
        </is>
      </c>
      <c r="D11" s="22" t="n">
        <v>44957</v>
      </c>
      <c r="E11" s="23" t="n">
        <v>1276440</v>
      </c>
      <c r="F11" s="24">
        <f>ROUND(E11/$E$2,0)</f>
        <v/>
      </c>
      <c r="G11" s="25" t="n"/>
      <c r="H11" s="24">
        <f>IF(ISNUMBER(G11),G11,F11)</f>
        <v/>
      </c>
    </row>
    <row r="12">
      <c r="A12" s="21" t="n">
        <v>2023</v>
      </c>
      <c r="B12" s="21" t="n">
        <v>2</v>
      </c>
      <c r="C12" s="21" t="inlineStr">
        <is>
          <t>054/2023</t>
        </is>
      </c>
      <c r="D12" s="22" t="n">
        <v>44985</v>
      </c>
      <c r="E12" s="23" t="n">
        <v>968353.8</v>
      </c>
      <c r="F12" s="24">
        <f>ROUND(E12/$E$2,0)</f>
        <v/>
      </c>
      <c r="G12" s="25" t="n"/>
      <c r="H12" s="24">
        <f>IF(ISNUMBER(G12),G12,F12)</f>
        <v/>
      </c>
    </row>
    <row r="13">
      <c r="A13" s="21" t="n">
        <v>2023</v>
      </c>
      <c r="B13" s="21" t="n">
        <v>3</v>
      </c>
      <c r="C13" s="21" t="inlineStr">
        <is>
          <t>090/2023</t>
        </is>
      </c>
      <c r="D13" s="22" t="n">
        <v>45016</v>
      </c>
      <c r="E13" s="23" t="n">
        <v>909753.6</v>
      </c>
      <c r="F13" s="24">
        <f>ROUND(E13/$E$2,0)</f>
        <v/>
      </c>
      <c r="G13" s="25" t="n"/>
      <c r="H13" s="24">
        <f>IF(ISNUMBER(G13),G13,F13)</f>
        <v/>
      </c>
    </row>
    <row r="14">
      <c r="A14" s="21" t="n">
        <v>2023</v>
      </c>
      <c r="B14" s="21" t="n">
        <v>4</v>
      </c>
      <c r="C14" s="21" t="inlineStr">
        <is>
          <t>125/2023</t>
        </is>
      </c>
      <c r="D14" s="22" t="n">
        <v>45046</v>
      </c>
      <c r="E14" s="23" t="n">
        <v>916716</v>
      </c>
      <c r="F14" s="24">
        <f>ROUND(E14/$E$2,0)</f>
        <v/>
      </c>
      <c r="G14" s="25" t="n"/>
      <c r="H14" s="24">
        <f>IF(ISNUMBER(G14),G14,F14)</f>
        <v/>
      </c>
    </row>
    <row r="15">
      <c r="A15" s="21" t="n">
        <v>2023</v>
      </c>
      <c r="B15" s="21" t="n">
        <v>5</v>
      </c>
      <c r="C15" s="21" t="inlineStr">
        <is>
          <t>159/2023</t>
        </is>
      </c>
      <c r="D15" s="22" t="n">
        <v>45077</v>
      </c>
      <c r="E15" s="23" t="n">
        <v>870300</v>
      </c>
      <c r="F15" s="24">
        <f>ROUND(E15/$E$2,0)</f>
        <v/>
      </c>
      <c r="G15" s="25" t="n"/>
      <c r="H15" s="24">
        <f>IF(ISNUMBER(G15),G15,F15)</f>
        <v/>
      </c>
    </row>
    <row r="16">
      <c r="A16" s="21" t="n">
        <v>2023</v>
      </c>
      <c r="B16" s="21" t="n">
        <v>6</v>
      </c>
      <c r="C16" s="21" t="inlineStr">
        <is>
          <t>189/2023</t>
        </is>
      </c>
      <c r="D16" s="22" t="n">
        <v>45107</v>
      </c>
      <c r="E16" s="23" t="n">
        <v>941780.6</v>
      </c>
      <c r="F16" s="24">
        <f>ROUND(E16/$E$2,0)</f>
        <v/>
      </c>
      <c r="G16" s="25" t="n"/>
      <c r="H16" s="24">
        <f>IF(ISNUMBER(G16),G16,F16)</f>
        <v/>
      </c>
    </row>
    <row r="17">
      <c r="A17" s="21" t="n">
        <v>2023</v>
      </c>
      <c r="B17" s="21" t="n">
        <v>7</v>
      </c>
      <c r="C17" s="21" t="inlineStr">
        <is>
          <t>218/2023</t>
        </is>
      </c>
      <c r="D17" s="22" t="n">
        <v>45138</v>
      </c>
      <c r="E17" s="23" t="n">
        <v>1044360</v>
      </c>
      <c r="F17" s="24">
        <f>ROUND(E17/$E$2,0)</f>
        <v/>
      </c>
      <c r="G17" s="25" t="n"/>
      <c r="H17" s="24">
        <f>IF(ISNUMBER(G17),G17,F17)</f>
        <v/>
      </c>
    </row>
    <row r="18">
      <c r="A18" s="21" t="n">
        <v>2023</v>
      </c>
      <c r="B18" s="21" t="n">
        <v>8</v>
      </c>
      <c r="C18" s="21" t="inlineStr">
        <is>
          <t>245/2023</t>
        </is>
      </c>
      <c r="D18" s="22" t="n">
        <v>45169</v>
      </c>
      <c r="E18" s="23" t="n">
        <v>1054513.5</v>
      </c>
      <c r="F18" s="24">
        <f>ROUND(E18/$E$2,0)</f>
        <v/>
      </c>
      <c r="G18" s="25" t="n"/>
      <c r="H18" s="24">
        <f>IF(ISNUMBER(G18),G18,F18)</f>
        <v/>
      </c>
    </row>
    <row r="19">
      <c r="A19" s="21" t="n">
        <v>2023</v>
      </c>
      <c r="B19" s="21" t="n">
        <v>9</v>
      </c>
      <c r="C19" s="21" t="inlineStr">
        <is>
          <t>277/2023</t>
        </is>
      </c>
      <c r="D19" s="22" t="n">
        <v>45199</v>
      </c>
      <c r="E19" s="23" t="n">
        <v>1000845</v>
      </c>
      <c r="F19" s="24">
        <f>ROUND(E19/$E$2,0)</f>
        <v/>
      </c>
      <c r="G19" s="25" t="n"/>
      <c r="H19" s="24">
        <f>IF(ISNUMBER(G19),G19,F19)</f>
        <v/>
      </c>
    </row>
    <row r="20">
      <c r="A20" s="21" t="n">
        <v>2023</v>
      </c>
      <c r="B20" s="21" t="n">
        <v>10</v>
      </c>
      <c r="C20" s="21" t="inlineStr">
        <is>
          <t>318/2023</t>
        </is>
      </c>
      <c r="D20" s="22" t="n">
        <v>45230</v>
      </c>
      <c r="E20" s="23" t="n">
        <v>1334460</v>
      </c>
      <c r="F20" s="24">
        <f>ROUND(E20/$E$2,0)</f>
        <v/>
      </c>
      <c r="G20" s="25" t="n"/>
      <c r="H20" s="24">
        <f>IF(ISNUMBER(G20),G20,F20)</f>
        <v/>
      </c>
    </row>
    <row r="21">
      <c r="A21" s="21" t="n">
        <v>2023</v>
      </c>
      <c r="B21" s="21" t="n">
        <v>11</v>
      </c>
      <c r="C21" s="21" t="inlineStr">
        <is>
          <t>353/2023</t>
        </is>
      </c>
      <c r="D21" s="22" t="n">
        <v>45260</v>
      </c>
      <c r="E21" s="23" t="n">
        <v>1058865</v>
      </c>
      <c r="F21" s="24">
        <f>ROUND(E21/$E$2,0)</f>
        <v/>
      </c>
      <c r="G21" s="25" t="n"/>
      <c r="H21" s="24">
        <f>IF(ISNUMBER(G21),G21,F21)</f>
        <v/>
      </c>
    </row>
    <row r="22">
      <c r="A22" s="21" t="n">
        <v>2023</v>
      </c>
      <c r="B22" s="21" t="n">
        <v>12</v>
      </c>
      <c r="C22" s="21" t="inlineStr">
        <is>
          <t>392/2023</t>
        </is>
      </c>
      <c r="D22" s="22" t="n">
        <v>45291</v>
      </c>
      <c r="E22" s="23" t="n">
        <v>1160400</v>
      </c>
      <c r="F22" s="24">
        <f>ROUND(E22/$E$2,0)</f>
        <v/>
      </c>
      <c r="G22" s="25" t="n"/>
      <c r="H22" s="24">
        <f>IF(ISNUMBER(G22),G22,F22)</f>
        <v/>
      </c>
    </row>
    <row r="23">
      <c r="A23" s="21" t="n">
        <v>2024</v>
      </c>
      <c r="B23" s="21" t="n">
        <v>1</v>
      </c>
      <c r="C23" s="21" t="inlineStr">
        <is>
          <t>029/2024</t>
        </is>
      </c>
      <c r="D23" s="22" t="n">
        <v>45322</v>
      </c>
      <c r="E23" s="23" t="n">
        <v>1105281</v>
      </c>
      <c r="F23" s="24">
        <f>ROUND(E23/$E$2,0)</f>
        <v/>
      </c>
      <c r="G23" s="25" t="n"/>
      <c r="H23" s="24">
        <f>IF(ISNUMBER(G23),G23,F23)</f>
        <v/>
      </c>
    </row>
    <row r="24">
      <c r="A24" s="21" t="n">
        <v>2024</v>
      </c>
      <c r="B24" s="21" t="n">
        <v>2</v>
      </c>
      <c r="C24" s="21" t="inlineStr">
        <is>
          <t>066/2024</t>
        </is>
      </c>
      <c r="D24" s="22" t="n">
        <v>45351</v>
      </c>
      <c r="E24" s="23" t="n">
        <v>957330</v>
      </c>
      <c r="F24" s="24">
        <f>ROUND(E24/$E$2,0)</f>
        <v/>
      </c>
      <c r="G24" s="25" t="n"/>
      <c r="H24" s="24">
        <f>IF(ISNUMBER(G24),G24,F24)</f>
        <v/>
      </c>
    </row>
    <row r="25">
      <c r="A25" s="21" t="n">
        <v>2024</v>
      </c>
      <c r="B25" s="21" t="n">
        <v>3</v>
      </c>
      <c r="C25" s="21" t="inlineStr">
        <is>
          <t>104/2024</t>
        </is>
      </c>
      <c r="D25" s="22" t="n">
        <v>45382</v>
      </c>
      <c r="E25" s="23" t="n">
        <v>1073370</v>
      </c>
      <c r="F25" s="24">
        <f>ROUND(E25/$E$2,0)</f>
        <v/>
      </c>
      <c r="G25" s="25" t="n"/>
      <c r="H25" s="24">
        <f>IF(ISNUMBER(G25),G25,F25)</f>
        <v/>
      </c>
    </row>
    <row r="26">
      <c r="A26" s="21" t="n">
        <v>2024</v>
      </c>
      <c r="B26" s="21" t="n">
        <v>4</v>
      </c>
      <c r="C26" s="21" t="inlineStr">
        <is>
          <t>135/2024</t>
        </is>
      </c>
      <c r="D26" s="22" t="n">
        <v>45412</v>
      </c>
      <c r="E26" s="23" t="n">
        <v>799892.73</v>
      </c>
      <c r="F26" s="24">
        <f>ROUND(E26/$E$2,0)</f>
        <v/>
      </c>
      <c r="G26" s="25" t="n"/>
      <c r="H26" s="24">
        <f>IF(ISNUMBER(G26),G26,F26)</f>
        <v/>
      </c>
    </row>
    <row r="27">
      <c r="A27" s="21" t="n">
        <v>2024</v>
      </c>
      <c r="B27" s="21" t="n">
        <v>5</v>
      </c>
      <c r="C27" s="21" t="inlineStr">
        <is>
          <t>164/2024</t>
        </is>
      </c>
      <c r="D27" s="22" t="n">
        <v>45443</v>
      </c>
      <c r="E27" s="23" t="n">
        <v>1029855</v>
      </c>
      <c r="F27" s="24">
        <f>ROUND(E27/$E$2,0)</f>
        <v/>
      </c>
      <c r="G27" s="25" t="n"/>
      <c r="H27" s="24">
        <f>IF(ISNUMBER(G27),G27,F27)</f>
        <v/>
      </c>
    </row>
    <row r="28">
      <c r="A28" s="21" t="n">
        <v>2024</v>
      </c>
      <c r="B28" s="21" t="n">
        <v>6</v>
      </c>
      <c r="C28" s="21" t="inlineStr">
        <is>
          <t>195/2024</t>
        </is>
      </c>
      <c r="D28" s="22" t="n">
        <v>45473</v>
      </c>
      <c r="E28" s="23" t="n">
        <v>823884</v>
      </c>
      <c r="F28" s="24">
        <f>ROUND(E28/$E$2,0)</f>
        <v/>
      </c>
      <c r="G28" s="25" t="n"/>
      <c r="H28" s="24">
        <f>IF(ISNUMBER(G28),G28,F28)</f>
        <v/>
      </c>
    </row>
    <row r="29">
      <c r="A29" s="21" t="n">
        <v>2024</v>
      </c>
      <c r="B29" s="21" t="n">
        <v>7</v>
      </c>
      <c r="C29" s="21" t="inlineStr">
        <is>
          <t>228/2024</t>
        </is>
      </c>
      <c r="D29" s="22" t="n">
        <v>45504</v>
      </c>
      <c r="E29" s="23" t="n">
        <v>1031189.46</v>
      </c>
      <c r="F29" s="24">
        <f>ROUND(E29/$E$2,0)</f>
        <v/>
      </c>
      <c r="G29" s="25" t="n"/>
      <c r="H29" s="24">
        <f>IF(ISNUMBER(G29),G29,F29)</f>
        <v/>
      </c>
    </row>
    <row r="30">
      <c r="A30" s="21" t="n">
        <v>2024</v>
      </c>
      <c r="B30" s="21" t="n">
        <v>8</v>
      </c>
      <c r="C30" s="21" t="inlineStr">
        <is>
          <t>259/2024</t>
        </is>
      </c>
      <c r="D30" s="22" t="n">
        <v>45535</v>
      </c>
      <c r="E30" s="23" t="n">
        <v>832587</v>
      </c>
      <c r="F30" s="24">
        <f>ROUND(E30/$E$2,0)</f>
        <v/>
      </c>
      <c r="G30" s="25" t="n"/>
      <c r="H30" s="24">
        <f>IF(ISNUMBER(G30),G30,F30)</f>
        <v/>
      </c>
    </row>
    <row r="31">
      <c r="A31" s="21" t="n">
        <v>2024</v>
      </c>
      <c r="B31" s="21" t="n">
        <v>9</v>
      </c>
      <c r="C31" s="21" t="inlineStr">
        <is>
          <t>289/2024</t>
        </is>
      </c>
      <c r="D31" s="22" t="n">
        <v>45565</v>
      </c>
      <c r="E31" s="23" t="n">
        <v>829686</v>
      </c>
      <c r="F31" s="24">
        <f>ROUND(E31/$E$2,0)</f>
        <v/>
      </c>
      <c r="G31" s="25" t="n"/>
      <c r="H31" s="24">
        <f>IF(ISNUMBER(G31),G31,F31)</f>
        <v/>
      </c>
    </row>
    <row r="32">
      <c r="A32" s="21" t="n">
        <v>2024</v>
      </c>
      <c r="B32" s="21" t="n">
        <v>10</v>
      </c>
      <c r="C32" s="21" t="inlineStr">
        <is>
          <t>325/2024</t>
        </is>
      </c>
      <c r="D32" s="22" t="n">
        <v>45596</v>
      </c>
      <c r="E32" s="23" t="n">
        <v>1044360</v>
      </c>
      <c r="F32" s="24">
        <f>ROUND(E32/$E$2,0)</f>
        <v/>
      </c>
      <c r="G32" s="25" t="n"/>
      <c r="H32" s="24">
        <f>IF(ISNUMBER(G32),G32,F32)</f>
        <v/>
      </c>
    </row>
    <row r="33">
      <c r="A33" s="21" t="n">
        <v>2024</v>
      </c>
      <c r="B33" s="21" t="n">
        <v>11</v>
      </c>
      <c r="C33" s="21" t="inlineStr">
        <is>
          <t>355/2024</t>
        </is>
      </c>
      <c r="D33" s="22" t="n">
        <v>45626</v>
      </c>
      <c r="E33" s="23" t="n">
        <v>723219.3</v>
      </c>
      <c r="F33" s="24">
        <f>ROUND(E33/$E$2,0)</f>
        <v/>
      </c>
      <c r="G33" s="25" t="n"/>
      <c r="H33" s="24">
        <f>IF(ISNUMBER(G33),G33,F33)</f>
        <v/>
      </c>
    </row>
    <row r="34">
      <c r="A34" s="21" t="n">
        <v>2024</v>
      </c>
      <c r="B34" s="21" t="n">
        <v>12</v>
      </c>
      <c r="C34" s="21" t="inlineStr">
        <is>
          <t>390/2024</t>
        </is>
      </c>
      <c r="D34" s="22" t="n">
        <v>45657</v>
      </c>
      <c r="E34" s="23" t="n">
        <v>968934</v>
      </c>
      <c r="F34" s="24">
        <f>ROUND(E34/$E$2,0)</f>
        <v/>
      </c>
      <c r="G34" s="25" t="n"/>
      <c r="H34" s="24">
        <f>IF(ISNUMBER(G34),G34,F34)</f>
        <v/>
      </c>
    </row>
    <row r="35">
      <c r="A35" s="21" t="n">
        <v>2025</v>
      </c>
      <c r="B35" s="21" t="n">
        <v>1</v>
      </c>
      <c r="C35" s="21" t="inlineStr">
        <is>
          <t>023/2025</t>
        </is>
      </c>
      <c r="D35" s="22" t="n">
        <v>45688</v>
      </c>
      <c r="E35" s="23" t="n">
        <v>609210</v>
      </c>
      <c r="F35" s="24">
        <f>ROUND(E35/$E$2,0)</f>
        <v/>
      </c>
      <c r="G35" s="25" t="n"/>
      <c r="H35" s="24">
        <f>IF(ISNUMBER(G35),G35,F35)</f>
        <v/>
      </c>
    </row>
    <row r="36">
      <c r="A36" s="21" t="n">
        <v>2025</v>
      </c>
      <c r="B36" s="21" t="n">
        <v>2</v>
      </c>
      <c r="C36" s="21" t="inlineStr">
        <is>
          <t>056/2025</t>
        </is>
      </c>
      <c r="D36" s="22" t="n">
        <v>45716</v>
      </c>
      <c r="E36" s="23" t="n">
        <v>696240</v>
      </c>
      <c r="F36" s="24">
        <f>ROUND(E36/$E$2,0)</f>
        <v/>
      </c>
      <c r="G36" s="25" t="n"/>
      <c r="H36" s="24">
        <f>IF(ISNUMBER(G36),G36,F36)</f>
        <v/>
      </c>
    </row>
    <row r="37">
      <c r="A37" s="21" t="n">
        <v>2025</v>
      </c>
      <c r="B37" s="21" t="n">
        <v>3</v>
      </c>
      <c r="C37" s="21" t="inlineStr">
        <is>
          <t>086/2025</t>
        </is>
      </c>
      <c r="D37" s="22" t="n">
        <v>45747</v>
      </c>
      <c r="E37" s="23" t="n">
        <v>594705</v>
      </c>
      <c r="F37" s="24">
        <f>ROUND(E37/$E$2,0)</f>
        <v/>
      </c>
      <c r="G37" s="25" t="n"/>
      <c r="H37" s="24">
        <f>IF(ISNUMBER(G37),G37,F37)</f>
        <v/>
      </c>
    </row>
    <row r="38">
      <c r="A38" s="21" t="n">
        <v>2025</v>
      </c>
      <c r="B38" s="21" t="n">
        <v>4</v>
      </c>
      <c r="C38" s="21" t="inlineStr">
        <is>
          <t>120/2025</t>
        </is>
      </c>
      <c r="D38" s="22" t="n">
        <v>45777</v>
      </c>
      <c r="E38" s="23" t="n">
        <v>420645</v>
      </c>
      <c r="F38" s="24">
        <f>ROUND(E38/$E$2,0)</f>
        <v/>
      </c>
      <c r="G38" s="25" t="n"/>
      <c r="H38" s="24">
        <f>IF(ISNUMBER(G38),G38,F38)</f>
        <v/>
      </c>
    </row>
    <row r="39">
      <c r="A39" s="21" t="n">
        <v>2025</v>
      </c>
      <c r="B39" s="21" t="n">
        <v>5</v>
      </c>
      <c r="C39" s="21" t="inlineStr">
        <is>
          <t>152/2025</t>
        </is>
      </c>
      <c r="D39" s="22" t="n">
        <v>45808</v>
      </c>
      <c r="E39" s="23" t="n">
        <v>484467</v>
      </c>
      <c r="F39" s="24">
        <f>ROUND(E39/$E$2,0)</f>
        <v/>
      </c>
      <c r="G39" s="25" t="n"/>
      <c r="H39" s="24">
        <f>IF(ISNUMBER(G39),G39,F39)</f>
        <v/>
      </c>
    </row>
    <row r="40">
      <c r="A40" s="21" t="n">
        <v>2025</v>
      </c>
      <c r="B40" s="21" t="n">
        <v>6</v>
      </c>
      <c r="C40" s="21" t="inlineStr">
        <is>
          <t>185/2025</t>
        </is>
      </c>
      <c r="D40" s="22" t="n">
        <v>45838</v>
      </c>
      <c r="E40" s="23" t="n">
        <v>493170</v>
      </c>
      <c r="F40" s="24">
        <f>ROUND(E40/$E$2,0)</f>
        <v/>
      </c>
      <c r="G40" s="25" t="n"/>
      <c r="H40" s="24">
        <f>IF(ISNUMBER(G40),G40,F40)</f>
        <v/>
      </c>
    </row>
    <row r="41">
      <c r="A41" s="21" t="n">
        <v>2025</v>
      </c>
      <c r="B41" s="21" t="n">
        <v>7</v>
      </c>
      <c r="C41" s="21" t="inlineStr">
        <is>
          <t>(n° illisible)</t>
        </is>
      </c>
      <c r="D41" s="22" t="n">
        <v>45869</v>
      </c>
      <c r="E41" s="23" t="n">
        <v>348120</v>
      </c>
      <c r="F41" s="24">
        <f>ROUND(E41/$E$2,0)</f>
        <v/>
      </c>
      <c r="G41" s="25" t="n"/>
      <c r="H41" s="24">
        <f>IF(ISNUMBER(G41),G41,F41)</f>
        <v/>
      </c>
    </row>
    <row r="42">
      <c r="A42" s="21" t="n">
        <v>2025</v>
      </c>
      <c r="B42" s="21" t="n">
        <v>8</v>
      </c>
      <c r="C42" s="21" t="inlineStr">
        <is>
          <t>249/2025</t>
        </is>
      </c>
      <c r="D42" s="22" t="n">
        <v>45900</v>
      </c>
      <c r="E42" s="23" t="n">
        <v>435150</v>
      </c>
      <c r="F42" s="24">
        <f>ROUND(E42/$E$2,0)</f>
        <v/>
      </c>
      <c r="G42" s="25" t="n"/>
      <c r="H42" s="24">
        <f>IF(ISNUMBER(G42),G42,F42)</f>
        <v/>
      </c>
    </row>
    <row r="43">
      <c r="A43" s="21" t="n">
        <v>2025</v>
      </c>
      <c r="B43" s="21" t="n">
        <v>9</v>
      </c>
      <c r="C43" s="21" t="inlineStr">
        <is>
          <t>284/2025</t>
        </is>
      </c>
      <c r="D43" s="22" t="n">
        <v>45930</v>
      </c>
      <c r="E43" s="23" t="n">
        <v>388734</v>
      </c>
      <c r="F43" s="24">
        <f>ROUND(E43/$E$2,0)</f>
        <v/>
      </c>
      <c r="G43" s="25" t="n"/>
      <c r="H43" s="24">
        <f>IF(ISNUMBER(G43),G43,F43)</f>
        <v/>
      </c>
    </row>
    <row r="44">
      <c r="A44" s="21" t="n">
        <v>2025</v>
      </c>
      <c r="B44" s="21" t="n">
        <v>10</v>
      </c>
      <c r="C44" s="21" t="inlineStr">
        <is>
          <t>319/2025</t>
        </is>
      </c>
      <c r="D44" s="22" t="n">
        <v>45961</v>
      </c>
      <c r="E44" s="23" t="n">
        <v>446754</v>
      </c>
      <c r="F44" s="24">
        <f>ROUND(E44/$E$2,0)</f>
        <v/>
      </c>
      <c r="G44" s="25" t="n"/>
      <c r="H44" s="24">
        <f>IF(ISNUMBER(G44),G44,F44)</f>
        <v/>
      </c>
    </row>
    <row r="45">
      <c r="A45" s="21" t="n">
        <v>2025</v>
      </c>
      <c r="B45" s="21" t="n">
        <v>11</v>
      </c>
      <c r="C45" s="21" t="inlineStr">
        <is>
          <t>350/2025</t>
        </is>
      </c>
      <c r="D45" s="22" t="n">
        <v>45991</v>
      </c>
      <c r="E45" s="23" t="n">
        <v>464160</v>
      </c>
      <c r="F45" s="24">
        <f>ROUND(E45/$E$2,0)</f>
        <v/>
      </c>
      <c r="G45" s="25" t="n"/>
      <c r="H45" s="24">
        <f>IF(ISNUMBER(G45),G45,F45)</f>
        <v/>
      </c>
    </row>
    <row r="46">
      <c r="A46" s="21" t="n">
        <v>2025</v>
      </c>
      <c r="B46" s="21" t="n">
        <v>12</v>
      </c>
      <c r="C46" s="21" t="inlineStr">
        <is>
          <t>386/2025</t>
        </is>
      </c>
      <c r="D46" s="22" t="n">
        <v>46022</v>
      </c>
      <c r="E46" s="23" t="n">
        <v>290100</v>
      </c>
      <c r="F46" s="24">
        <f>ROUND(E46/$E$2,0)</f>
        <v/>
      </c>
      <c r="G46" s="25" t="n"/>
      <c r="H46" s="24">
        <f>IF(ISNUMBER(G46),G46,F46)</f>
        <v/>
      </c>
    </row>
    <row r="47">
      <c r="A47" s="21" t="n">
        <v>2026</v>
      </c>
      <c r="B47" s="21" t="n">
        <v>1</v>
      </c>
      <c r="C47" s="21" t="inlineStr">
        <is>
          <t>025/2026</t>
        </is>
      </c>
      <c r="D47" s="22" t="n">
        <v>46053</v>
      </c>
      <c r="E47" s="23" t="n">
        <v>311116</v>
      </c>
      <c r="F47" s="24">
        <f>ROUND(E47/$E$2,0)</f>
        <v/>
      </c>
      <c r="G47" s="25" t="n"/>
      <c r="H47" s="24">
        <f>IF(ISNUMBER(G47),G47,F47)</f>
        <v/>
      </c>
    </row>
    <row r="48">
      <c r="A48" s="21" t="n">
        <v>2026</v>
      </c>
      <c r="B48" s="21" t="n">
        <v>2</v>
      </c>
      <c r="C48" s="21" t="inlineStr">
        <is>
          <t>066/2026</t>
        </is>
      </c>
      <c r="D48" s="22" t="n">
        <v>46081</v>
      </c>
      <c r="E48" s="23" t="n">
        <v>434000</v>
      </c>
      <c r="F48" s="24">
        <f>ROUND(E48/$E$2,0)</f>
        <v/>
      </c>
      <c r="G48" s="25" t="n"/>
      <c r="H48" s="24">
        <f>IF(ISNUMBER(G48),G48,F48)</f>
        <v/>
      </c>
    </row>
    <row r="49">
      <c r="A49" s="21" t="n">
        <v>2026</v>
      </c>
      <c r="B49" s="21" t="n">
        <v>3</v>
      </c>
      <c r="C49" s="21" t="inlineStr">
        <is>
          <t>093/2026</t>
        </is>
      </c>
      <c r="D49" s="22" t="n">
        <v>46112</v>
      </c>
      <c r="E49" s="23" t="n">
        <v>382974</v>
      </c>
      <c r="F49" s="24">
        <f>ROUND(E49/$E$2,0)</f>
        <v/>
      </c>
      <c r="G49" s="25" t="n"/>
      <c r="H49" s="24">
        <f>IF(ISNUMBER(G49),G49,F49)</f>
        <v/>
      </c>
    </row>
    <row r="50">
      <c r="A50" s="21" t="n">
        <v>2026</v>
      </c>
      <c r="B50" s="21" t="n">
        <v>4</v>
      </c>
      <c r="C50" s="21" t="inlineStr">
        <is>
          <t>129/2026</t>
        </is>
      </c>
      <c r="D50" s="22" t="n">
        <v>46142</v>
      </c>
      <c r="E50" s="23" t="n">
        <v>468627</v>
      </c>
      <c r="F50" s="24">
        <f>ROUND(E50/$E$2,0)</f>
        <v/>
      </c>
      <c r="G50" s="25" t="n"/>
      <c r="H50" s="24">
        <f>IF(ISNUMBER(G50),G50,F50)</f>
        <v/>
      </c>
    </row>
    <row r="51">
      <c r="A51" s="21" t="n">
        <v>2026</v>
      </c>
      <c r="B51" s="21" t="n">
        <v>5</v>
      </c>
      <c r="C51" s="21" t="inlineStr">
        <is>
          <t>169/2026</t>
        </is>
      </c>
      <c r="D51" s="22" t="n">
        <v>46173</v>
      </c>
      <c r="E51" s="23" t="n">
        <v>480500</v>
      </c>
      <c r="F51" s="24">
        <f>ROUND(E51/$E$2,0)</f>
        <v/>
      </c>
      <c r="G51" s="25" t="n"/>
      <c r="H51" s="24">
        <f>IF(ISNUMBER(G51),G51,F51)</f>
        <v/>
      </c>
    </row>
    <row r="52">
      <c r="A52" s="21" t="n">
        <v>2026</v>
      </c>
      <c r="B52" s="21" t="n">
        <v>6</v>
      </c>
      <c r="C52" s="21" t="inlineStr">
        <is>
          <t>212/2026</t>
        </is>
      </c>
      <c r="D52" s="22" t="n">
        <v>46203</v>
      </c>
      <c r="E52" s="23" t="n">
        <v>356500</v>
      </c>
      <c r="F52" s="24">
        <f>ROUND(E52/$E$2,0)</f>
        <v/>
      </c>
      <c r="G52" s="25" t="n"/>
      <c r="H52" s="24">
        <f>IF(ISNUMBER(G52),G52,F52)</f>
        <v/>
      </c>
    </row>
    <row r="53">
      <c r="D53" s="26" t="inlineStr">
        <is>
          <t>TOTAL</t>
        </is>
      </c>
      <c r="E53" s="27">
        <f>SUM(E5:E52)</f>
        <v/>
      </c>
      <c r="F53" s="28">
        <f>SUM(F5:F52)</f>
        <v/>
      </c>
      <c r="H53" s="28">
        <f>SUM(H5:H52)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Ghania LAREF</dc:creator>
  <dcterms:created xsi:type="dcterms:W3CDTF">2025-05-20T09:08:26Z</dcterms:created>
  <dcterms:modified xsi:type="dcterms:W3CDTF">2026-10-27T09:12:47Z</dcterms:modified>
  <cp:lastModifiedBy>Abderrahmane SAIHI</cp:lastModifiedBy>
  <cp:lastPrinted>2026-10-22T16:51:16Z</cp:lastPrinted>
</cp:coreProperties>
</file>