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Paramètres" sheetId="2" state="visible" r:id="rId2"/>
    <sheet name="Paie IMPORT" sheetId="3" state="visible" r:id="rId3"/>
    <sheet name="Paie TPM" sheetId="4" state="visible" r:id="rId4"/>
    <sheet name="Rappro CNAS" sheetId="5" state="visible" r:id="rId5"/>
    <sheet name="Journal paie" sheetId="6" state="visible" r:id="rId6"/>
    <sheet name="Balance comptes" sheetId="7" state="visible" r:id="rId7"/>
    <sheet name="Échéancier IRG-CNAS" sheetId="8" state="visible" r:id="rId8"/>
    <sheet name="G50 2026" sheetId="9" state="visible" r:id="rId9"/>
    <sheet name="Balance 2024-2025" sheetId="10" state="visible" r:id="rId10"/>
    <sheet name="États 2024-2025" sheetId="11" state="visible" r:id="rId11"/>
    <sheet name="G50 TPM 2026" sheetId="12" state="visible" r:id="rId12"/>
    <sheet name="Contrôle 2023" sheetId="13" state="visible" r:id="rId13"/>
    <sheet name="Clients &amp; fournisseurs" sheetId="14" state="visible" r:id="rId14"/>
    <sheet name="Démarrage 2026" sheetId="15" state="visible" r:id="rId15"/>
    <sheet name="Anomalies &amp; actions" sheetId="16" state="visible" r:id="rId16"/>
    <sheet name="Pièces" sheetId="17" state="visible" r:id="rId17"/>
  </sheets>
  <definedNames>
    <definedName name="_xlnm._FilterDatabase" localSheetId="5" hidden="1">'Journal paie'!$A$4:$G$140</definedName>
    <definedName name="_xlnm._FilterDatabase" localSheetId="9" hidden="1">'Balance 2024-2025'!$A$4:$E$104</definedName>
    <definedName name="_xlnm._FilterDatabase" localSheetId="13" hidden="1">'Clients &amp; fournisseurs'!$A$21:$L$243</definedName>
    <definedName name="_xlnm._FilterDatabase" localSheetId="15" hidden="1">'Anomalies &amp; actions'!$A$4:$I$40</definedName>
  </definedNames>
  <calcPr calcId="124519" fullCalcOnLoad="1"/>
</workbook>
</file>

<file path=xl/styles.xml><?xml version="1.0" encoding="utf-8"?>
<styleSheet xmlns="http://schemas.openxmlformats.org/spreadsheetml/2006/main">
  <numFmts count="3">
    <numFmt numFmtId="164" formatCode="0.0%"/>
    <numFmt numFmtId="165" formatCode="#,##0;(#,##0);&quot;-&quot;"/>
    <numFmt numFmtId="166" formatCode="#,##0.00;(#,##0.00);&quot;-&quot;"/>
  </numFmts>
  <fonts count="9">
    <font>
      <name val="Calibri"/>
      <family val="2"/>
      <color theme="1"/>
      <sz val="11"/>
      <scheme val="minor"/>
    </font>
    <font>
      <name val="Arial"/>
      <b val="1"/>
      <color rgb="001F3864"/>
      <sz val="14"/>
    </font>
    <font>
      <name val="Arial"/>
      <i val="1"/>
      <color rgb="00595959"/>
      <sz val="9"/>
    </font>
    <font>
      <name val="Arial"/>
      <b val="1"/>
      <color rgb="00FFFFFF"/>
      <sz val="10"/>
    </font>
    <font>
      <name val="Arial"/>
      <sz val="10"/>
    </font>
    <font>
      <name val="Arial"/>
      <color rgb="000000FF"/>
      <sz val="10"/>
    </font>
    <font>
      <name val="Arial"/>
      <b val="1"/>
      <sz val="10"/>
    </font>
    <font>
      <name val="Arial"/>
      <b val="1"/>
      <color rgb="00C00000"/>
      <sz val="10"/>
    </font>
    <font>
      <name val="Arial"/>
      <color rgb="00008000"/>
      <sz val="10"/>
    </font>
  </fonts>
  <fills count="9">
    <fill>
      <patternFill/>
    </fill>
    <fill>
      <patternFill patternType="gray125"/>
    </fill>
    <fill>
      <patternFill patternType="solid">
        <fgColor rgb="001F3864"/>
      </patternFill>
    </fill>
    <fill>
      <patternFill patternType="solid">
        <fgColor rgb="00FFFF00"/>
      </patternFill>
    </fill>
    <fill>
      <patternFill patternType="solid">
        <fgColor rgb="00EDEDED"/>
      </patternFill>
    </fill>
    <fill>
      <patternFill patternType="solid">
        <fgColor rgb="00D9E1F2"/>
      </patternFill>
    </fill>
    <fill>
      <patternFill patternType="solid">
        <fgColor rgb="00F8CBAD"/>
      </patternFill>
    </fill>
    <fill>
      <patternFill patternType="solid">
        <fgColor rgb="00FFE699"/>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6" fillId="0" borderId="1" pivotButton="0" quotePrefix="0" xfId="0"/>
    <xf numFmtId="0" fontId="8" fillId="0" borderId="1" pivotButton="0" quotePrefix="0" xfId="0"/>
    <xf numFmtId="166" fontId="8" fillId="0" borderId="1" pivotButton="0" quotePrefix="0" xfId="0"/>
    <xf numFmtId="166" fontId="6" fillId="5" borderId="1" pivotButton="0" quotePrefix="0" xfId="0"/>
    <xf numFmtId="165" fontId="8" fillId="0" borderId="1" pivotButton="0" quotePrefix="0" xfId="0"/>
    <xf numFmtId="165" fontId="6" fillId="5" borderId="1" pivotButton="0" quotePrefix="0" xfId="0"/>
    <xf numFmtId="0" fontId="6" fillId="0" borderId="0" pivotButton="0" quotePrefix="0" xfId="0"/>
    <xf numFmtId="0" fontId="3" fillId="2" borderId="1" applyAlignment="1" pivotButton="0" quotePrefix="0" xfId="0">
      <alignment horizontal="center" vertical="center" wrapText="1"/>
    </xf>
    <xf numFmtId="0" fontId="4" fillId="0" borderId="1" pivotButton="0" quotePrefix="0" xfId="0"/>
    <xf numFmtId="165" fontId="6" fillId="0" borderId="1" pivotButton="0" quotePrefix="0" xfId="0"/>
    <xf numFmtId="0" fontId="4" fillId="6" borderId="1" pivotButton="0" quotePrefix="0" xfId="0"/>
    <xf numFmtId="0" fontId="4" fillId="7" borderId="1" pivotButton="0" quotePrefix="0" xfId="0"/>
    <xf numFmtId="0" fontId="4" fillId="8" borderId="1" pivotButton="0" quotePrefix="0" xfId="0"/>
    <xf numFmtId="0" fontId="0" fillId="0" borderId="4" pivotButton="0" quotePrefix="0" xfId="0"/>
    <xf numFmtId="0" fontId="0" fillId="0" borderId="5" pivotButton="0" quotePrefix="0" xfId="0"/>
    <xf numFmtId="164" fontId="4" fillId="0" borderId="1" pivotButton="0" quotePrefix="0" xfId="0"/>
    <xf numFmtId="164" fontId="5" fillId="3" borderId="1" pivotButton="0" quotePrefix="0" xfId="0"/>
    <xf numFmtId="0" fontId="2" fillId="0" borderId="1" pivotButton="0" quotePrefix="0" xfId="0"/>
    <xf numFmtId="0" fontId="5" fillId="0" borderId="1" pivotButton="0" quotePrefix="0" xfId="0"/>
    <xf numFmtId="165" fontId="5" fillId="0" borderId="1" pivotButton="0" quotePrefix="0" xfId="0"/>
    <xf numFmtId="165" fontId="5" fillId="4" borderId="1" pivotButton="0" quotePrefix="0" xfId="0"/>
    <xf numFmtId="166" fontId="5" fillId="0" borderId="1" pivotButton="0" quotePrefix="0" xfId="0"/>
    <xf numFmtId="166" fontId="5" fillId="4" borderId="1" pivotButton="0" quotePrefix="0" xfId="0"/>
    <xf numFmtId="166" fontId="6" fillId="0" borderId="1" pivotButton="0" quotePrefix="0" xfId="0"/>
    <xf numFmtId="166" fontId="5" fillId="5" borderId="1" pivotButton="0" quotePrefix="0" xfId="0"/>
    <xf numFmtId="0" fontId="4" fillId="0" borderId="1" applyAlignment="1" pivotButton="0" quotePrefix="0" xfId="0">
      <alignment vertical="top" wrapText="1"/>
    </xf>
    <xf numFmtId="166" fontId="4" fillId="0" borderId="1" pivotButton="0" quotePrefix="0" xfId="0"/>
    <xf numFmtId="0" fontId="7" fillId="0" borderId="0" pivotButton="0" quotePrefix="0" xfId="0"/>
    <xf numFmtId="165" fontId="4" fillId="0" borderId="1" pivotButton="0" quotePrefix="0" xfId="0"/>
    <xf numFmtId="166" fontId="5" fillId="3" borderId="1" pivotButton="0" quotePrefix="0" xfId="0"/>
    <xf numFmtId="0" fontId="7" fillId="0" borderId="1" pivotButton="0" quotePrefix="0" xfId="0"/>
    <xf numFmtId="0" fontId="2" fillId="0" borderId="1" applyAlignment="1" pivotButton="0" quotePrefix="0" xfId="0">
      <alignment vertical="top" wrapText="1"/>
    </xf>
    <xf numFmtId="10" fontId="4" fillId="0" borderId="1" pivotButton="0" quotePrefix="0" xfId="0"/>
    <xf numFmtId="166" fontId="4" fillId="5" borderId="1" pivotButton="0" quotePrefix="0" xfId="0"/>
    <xf numFmtId="164" fontId="6" fillId="0" borderId="1" pivotButton="0" quotePrefix="0" xfId="0"/>
    <xf numFmtId="166" fontId="6" fillId="6" borderId="1" pivotButton="0" quotePrefix="0" xfId="0"/>
    <xf numFmtId="0" fontId="6" fillId="6" borderId="1" pivotButton="0" quotePrefix="0" xfId="0"/>
    <xf numFmtId="0" fontId="5" fillId="3" borderId="1" pivotButton="0" quotePrefix="0" xfId="0"/>
    <xf numFmtId="164" fontId="6" fillId="6" borderId="1" pivotButton="0" quotePrefix="0" xfId="0"/>
    <xf numFmtId="0" fontId="6" fillId="6" borderId="1" applyAlignment="1" pivotButton="0" quotePrefix="0" xfId="0">
      <alignment horizontal="center" vertical="top"/>
    </xf>
    <xf numFmtId="166" fontId="8" fillId="0" borderId="1" applyAlignment="1" pivotButton="0" quotePrefix="0" xfId="0">
      <alignment vertical="top" wrapText="1"/>
    </xf>
    <xf numFmtId="0" fontId="6" fillId="7" borderId="1" applyAlignment="1" pivotButton="0" quotePrefix="0" xfId="0">
      <alignment horizontal="center" vertical="top"/>
    </xf>
    <xf numFmtId="166" fontId="4" fillId="0" borderId="1" applyAlignment="1" pivotButton="0" quotePrefix="0" xfId="0">
      <alignment vertical="top" wrapText="1"/>
    </xf>
    <xf numFmtId="0" fontId="6" fillId="8" borderId="1" applyAlignment="1" pivotButton="0" quotePrefix="0" xfId="0">
      <alignment horizontal="center" vertical="top"/>
    </xf>
    <xf numFmtId="0" fontId="6" fillId="8" borderId="1" pivotButton="0" quotePrefix="0" xfId="0"/>
  </cellXfs>
  <cellStyles count="1">
    <cellStyle name="Normal" xfId="0" builtinId="0" hidden="0"/>
  </cellStyles>
  <dxfs count="2">
    <dxf>
      <fill>
        <patternFill patternType="solid">
          <fgColor rgb="00E2EFDA"/>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Dossier</author>
  </authors>
  <commentList>
    <comment ref="E4" authorId="0" shapeId="0">
      <text>
        <t>Onglet 032026 VIDE dans le fichier de paie IMPORT : centralisateur de mars à obtenir. La CNAS de mars a pourtant été déclarée (assiette 368 389,93).</t>
      </text>
    </comment>
  </commentList>
</comments>
</file>

<file path=xl/comments/comment2.xml><?xml version="1.0" encoding="utf-8"?>
<comments xmlns="http://schemas.openxmlformats.org/spreadsheetml/2006/main">
  <authors>
    <author>Dossier</author>
  </authors>
  <commentList>
    <comment ref="Q6" authorId="0" shapeId="0">
      <text>
        <t>Le centralisateur donne un effectif STC de 7 en février (rubrique R546).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fitToPage="1"/>
  </sheetPr>
  <dimension ref="A1:D63"/>
  <sheetViews>
    <sheetView showGridLines="0" workbookViewId="0">
      <selection activeCell="A1" sqref="A1"/>
    </sheetView>
  </sheetViews>
  <sheetFormatPr baseColWidth="8" defaultRowHeight="15"/>
  <cols>
    <col width="46" customWidth="1" min="1" max="1"/>
    <col width="20" customWidth="1" min="2" max="2"/>
    <col width="20" customWidth="1" min="3" max="3"/>
    <col width="20" customWidth="1" min="4" max="4"/>
  </cols>
  <sheetData>
    <row r="1">
      <c r="A1" s="1" t="inlineStr">
        <is>
          <t>DOSSIER COMPTABLE PAIE &amp; CNAS 2026 — SARL D.P.R. COMPAGNY</t>
        </is>
      </c>
    </row>
    <row r="2">
      <c r="A2" s="2" t="inlineStr">
        <is>
          <t>Arrêté au 01/10/2026 — période couverte : janvier à août 2026 — montants en DA.</t>
        </is>
      </c>
    </row>
    <row r="4">
      <c r="A4" s="3" t="inlineStr">
        <is>
          <t>Établissement</t>
        </is>
      </c>
      <c r="B4" s="3" t="inlineStr">
        <is>
          <t>IMPORT</t>
        </is>
      </c>
      <c r="C4" s="3" t="inlineStr">
        <is>
          <t>TPM</t>
        </is>
      </c>
      <c r="D4" s="3" t="inlineStr">
        <is>
          <t>Total</t>
        </is>
      </c>
    </row>
    <row r="5">
      <c r="A5" s="4" t="inlineStr">
        <is>
          <t>N° cotisant CNAS</t>
        </is>
      </c>
      <c r="B5" s="5">
        <f>Paramètres!B10</f>
        <v/>
      </c>
      <c r="C5" s="5">
        <f>Paramètres!B11</f>
        <v/>
      </c>
      <c r="D5" s="4" t="n"/>
    </row>
    <row r="6">
      <c r="A6" s="4" t="inlineStr">
        <is>
          <t>Masse salariale soumise (R500) jan–août</t>
        </is>
      </c>
      <c r="B6" s="6">
        <f>'Paie IMPORT'!K19</f>
        <v/>
      </c>
      <c r="C6" s="6">
        <f>'Paie TPM'!K19</f>
        <v/>
      </c>
      <c r="D6" s="7">
        <f>B6+C6</f>
        <v/>
      </c>
    </row>
    <row r="7">
      <c r="A7" s="4" t="inlineStr">
        <is>
          <t>Retenues sécurité sociale (9 %)</t>
        </is>
      </c>
      <c r="B7" s="6">
        <f>'Paie IMPORT'!K21</f>
        <v/>
      </c>
      <c r="C7" s="6">
        <f>'Paie TPM'!K21</f>
        <v/>
      </c>
      <c r="D7" s="7">
        <f>B7+C7</f>
        <v/>
      </c>
    </row>
    <row r="8">
      <c r="A8" s="4" t="inlineStr">
        <is>
          <t>IRG retenu</t>
        </is>
      </c>
      <c r="B8" s="6">
        <f>'Paie IMPORT'!K25</f>
        <v/>
      </c>
      <c r="C8" s="6">
        <f>'Paie TPM'!K25</f>
        <v/>
      </c>
      <c r="D8" s="7">
        <f>B8+C8</f>
        <v/>
      </c>
    </row>
    <row r="9">
      <c r="A9" s="4" t="inlineStr">
        <is>
          <t>Net à payer</t>
        </is>
      </c>
      <c r="B9" s="6">
        <f>'Paie IMPORT'!K28</f>
        <v/>
      </c>
      <c r="C9" s="6">
        <f>'Paie TPM'!K28</f>
        <v/>
      </c>
      <c r="D9" s="7">
        <f>B9+C9</f>
        <v/>
      </c>
    </row>
    <row r="10">
      <c r="A10" s="4" t="inlineStr">
        <is>
          <t>Frais de mission</t>
        </is>
      </c>
      <c r="B10" s="6">
        <f>'Paie IMPORT'!K26</f>
        <v/>
      </c>
      <c r="C10" s="6">
        <f>'Paie TPM'!K26</f>
        <v/>
      </c>
      <c r="D10" s="7">
        <f>B10+C10</f>
        <v/>
      </c>
    </row>
    <row r="11">
      <c r="A11" s="4" t="inlineStr">
        <is>
          <t>Cotisations CNAS déclarées (pièces reçues)</t>
        </is>
      </c>
      <c r="B11" s="6">
        <f>SUMIFS('Rappro CNAS'!K5:K12,'Rappro CNAS'!B5:B12,"IMPORT*")</f>
        <v/>
      </c>
      <c r="C11" s="6">
        <f>SUMIFS('Rappro CNAS'!K5:K12,'Rappro CNAS'!B5:B12,"TPM*")</f>
        <v/>
      </c>
      <c r="D11" s="7">
        <f>B11+C11</f>
        <v/>
      </c>
    </row>
    <row r="12">
      <c r="A12" s="4" t="inlineStr">
        <is>
          <t>Cotisations CNAS calculées sur paie (hors mars IMPORT, T3 partiel)</t>
        </is>
      </c>
      <c r="B12" s="6">
        <f>SUMIFS('Rappro CNAS'!J5:J12,'Rappro CNAS'!B5:B12,"IMPORT*")</f>
        <v/>
      </c>
      <c r="C12" s="6">
        <f>SUMIFS('Rappro CNAS'!J5:J12,'Rappro CNAS'!B5:B12,"TPM*")</f>
        <v/>
      </c>
      <c r="D12" s="7">
        <f>B12+C12</f>
        <v/>
      </c>
    </row>
    <row r="13">
      <c r="A13" s="4" t="inlineStr">
        <is>
          <t>Effectif fin août</t>
        </is>
      </c>
      <c r="B13" s="8">
        <f>'Paie IMPORT'!J5</f>
        <v/>
      </c>
      <c r="C13" s="8">
        <f>'Paie TPM'!J5</f>
        <v/>
      </c>
      <c r="D13" s="9">
        <f>B13+C13</f>
        <v/>
      </c>
    </row>
    <row r="15">
      <c r="A15" s="10" t="inlineStr">
        <is>
          <t>Situation des déclarations CNAS</t>
        </is>
      </c>
    </row>
    <row r="16">
      <c r="A16" s="11" t="inlineStr">
        <is>
          <t>Indicateur</t>
        </is>
      </c>
      <c r="B16" s="11" t="inlineStr">
        <is>
          <t>Nombre</t>
        </is>
      </c>
    </row>
    <row r="17">
      <c r="A17" s="12" t="inlineStr">
        <is>
          <t>Déclarations attendues (jan–T3)</t>
        </is>
      </c>
      <c r="B17" s="13">
        <f>COUNTA('Rappro CNAS'!A5:A12)</f>
        <v/>
      </c>
    </row>
    <row r="18">
      <c r="A18" s="12" t="inlineStr">
        <is>
          <t>Déclarations conformes</t>
        </is>
      </c>
      <c r="B18" s="13">
        <f>COUNTIF('Rappro CNAS'!T5:T12,"Conforme")</f>
        <v/>
      </c>
    </row>
    <row r="19">
      <c r="A19" s="12" t="inlineStr">
        <is>
          <t>Déclarations avec écart</t>
        </is>
      </c>
      <c r="B19" s="13">
        <f>COUNTIF('Rappro CNAS'!T5:T12,"ÉCART")</f>
        <v/>
      </c>
    </row>
    <row r="20">
      <c r="A20" s="12" t="inlineStr">
        <is>
          <t>Déclarations à déposer / à fournir</t>
        </is>
      </c>
      <c r="B20" s="13">
        <f>COUNTIF('Rappro CNAS'!T5:T12,"À DÉPOSER*")</f>
        <v/>
      </c>
    </row>
    <row r="22">
      <c r="A22" s="10" t="inlineStr">
        <is>
          <t>Anomalies</t>
        </is>
      </c>
    </row>
    <row r="23">
      <c r="A23" s="11" t="inlineStr">
        <is>
          <t>Priorité</t>
        </is>
      </c>
      <c r="B23" s="11" t="inlineStr">
        <is>
          <t>Nombre</t>
        </is>
      </c>
      <c r="C23" s="11" t="inlineStr">
        <is>
          <t>Ouvertes</t>
        </is>
      </c>
    </row>
    <row r="24">
      <c r="A24" s="14" t="inlineStr">
        <is>
          <t>1 — Critique</t>
        </is>
      </c>
      <c r="B24" s="13">
        <f>COUNTIF('Anomalies &amp; actions'!B5:B40,1)</f>
        <v/>
      </c>
      <c r="C24" s="13">
        <f>COUNTIFS('Anomalies &amp; actions'!B5:B40,1,'Anomalies &amp; actions'!I5:I40,"Ouvert")</f>
        <v/>
      </c>
    </row>
    <row r="25">
      <c r="A25" s="15" t="inlineStr">
        <is>
          <t>2 — À corriger</t>
        </is>
      </c>
      <c r="B25" s="13">
        <f>COUNTIF('Anomalies &amp; actions'!B5:B40,2)</f>
        <v/>
      </c>
      <c r="C25" s="13">
        <f>COUNTIFS('Anomalies &amp; actions'!B5:B40,2,'Anomalies &amp; actions'!I5:I40,"Ouvert")</f>
        <v/>
      </c>
    </row>
    <row r="26">
      <c r="A26" s="16" t="inlineStr">
        <is>
          <t>3 — À vérifier</t>
        </is>
      </c>
      <c r="B26" s="13">
        <f>COUNTIF('Anomalies &amp; actions'!B5:B40,3)</f>
        <v/>
      </c>
      <c r="C26" s="13">
        <f>COUNTIFS('Anomalies &amp; actions'!B5:B40,3,'Anomalies &amp; actions'!I5:I40,"Ouvert")</f>
        <v/>
      </c>
    </row>
    <row r="28">
      <c r="A28" s="10" t="inlineStr">
        <is>
          <t>Contrôles de cohérence</t>
        </is>
      </c>
    </row>
    <row r="29">
      <c r="A29" s="11" t="inlineStr">
        <is>
          <t>Contrôle</t>
        </is>
      </c>
      <c r="B29" s="11" t="inlineStr">
        <is>
          <t>Résultat</t>
        </is>
      </c>
    </row>
    <row r="30">
      <c r="A30" s="12" t="inlineStr">
        <is>
          <t>Journal équilibré (débit = crédit)</t>
        </is>
      </c>
      <c r="B30" s="4">
        <f>IF(ABS('Journal paie'!F142)&lt;0.01,"OK","ERREUR")</f>
        <v/>
      </c>
    </row>
    <row r="31">
      <c r="A31" s="12" t="inlineStr">
        <is>
          <t>Paie IMPORT : gains = retenues (8 mois)</t>
        </is>
      </c>
      <c r="B31" s="4">
        <f>IF(ABS('Paie IMPORT'!K33)&lt;0.01,"OK","ERREUR")</f>
        <v/>
      </c>
    </row>
    <row r="32">
      <c r="A32" s="12" t="inlineStr">
        <is>
          <t>Paie TPM : gains = retenues (8 mois)</t>
        </is>
      </c>
      <c r="B32" s="4">
        <f>IF(ABS('Paie TPM'!K33)&lt;0.01,"OK","ERREUR")</f>
        <v/>
      </c>
    </row>
    <row r="33">
      <c r="A33" s="12" t="inlineStr">
        <is>
          <t>Paie IMPORT : éléments soumis hors assiette</t>
        </is>
      </c>
      <c r="B33" s="4">
        <f>IF(ABS('Paie IMPORT'!K37)&lt;0.01,"OK","ÉCART (voir A03)")</f>
        <v/>
      </c>
    </row>
    <row r="34">
      <c r="A34" s="12" t="inlineStr">
        <is>
          <t>Balance 2024-2025 équilibrée</t>
        </is>
      </c>
      <c r="B34" s="4">
        <f>IF(AND(ABS('Balance 2024-2025'!C105)&lt;0.01,ABS('Balance 2024-2025'!D105)&lt;0.01),"OK","ERREUR")</f>
        <v/>
      </c>
    </row>
    <row r="35">
      <c r="A35" s="12" t="inlineStr">
        <is>
          <t>États : résultat = −(classes 6+7) et bilan bouclé</t>
        </is>
      </c>
      <c r="B35" s="4">
        <f>IF(AND(ABS('États 2024-2025'!C17)&lt;0.01,ABS('États 2024-2025'!D17)&lt;0.01,ABS('États 2024-2025'!C46)&lt;0.01,ABS('États 2024-2025'!D46)&lt;0.01),"OK","ERREUR")</f>
        <v/>
      </c>
    </row>
    <row r="36">
      <c r="A36" s="12" t="inlineStr">
        <is>
          <t>G50 IMPORT janv.–août : totaux et report de précompte</t>
        </is>
      </c>
      <c r="B36" s="4">
        <f>IF(AND(SUMPRODUCT(ABS('G50 2026'!B29:I29))&lt;1,SUMPRODUCT(ABS('G50 2026'!C16:I16))&lt;1),"OK","ÉCART")</f>
        <v/>
      </c>
    </row>
    <row r="37">
      <c r="A37" s="12" t="inlineStr">
        <is>
          <t>G50 TPM janv.–août : totaux</t>
        </is>
      </c>
      <c r="B37" s="4">
        <f>IF(SUMPRODUCT(ABS('G50 TPM 2026'!B20:I20))&lt;1,"OK","ÉCART")</f>
        <v/>
      </c>
    </row>
    <row r="38">
      <c r="A38" s="12" t="inlineStr">
        <is>
          <t>Paie TPM : éléments soumis hors assiette</t>
        </is>
      </c>
      <c r="B38" s="4">
        <f>IF(ABS('Paie TPM'!K37)&lt;0.01,"OK","ÉCART")</f>
        <v/>
      </c>
    </row>
    <row r="39">
      <c r="A39" s="10" t="inlineStr">
        <is>
          <t>Contenu du classeur</t>
        </is>
      </c>
    </row>
    <row r="40">
      <c r="A40" s="4" t="inlineStr">
        <is>
          <t>Paramètres</t>
        </is>
      </c>
      <c r="B40" s="12" t="inlineStr">
        <is>
          <t>Taux, identifiants, plan de comptes</t>
        </is>
      </c>
      <c r="C40" s="17" t="n"/>
      <c r="D40" s="18" t="n"/>
    </row>
    <row r="41">
      <c r="A41" s="4" t="inlineStr">
        <is>
          <t>Paie IMPORT / Paie TPM</t>
        </is>
      </c>
      <c r="B41" s="12" t="inlineStr">
        <is>
          <t>Récapitulatif mensuel par rubrique + contrôles</t>
        </is>
      </c>
      <c r="C41" s="17" t="n"/>
      <c r="D41" s="18" t="n"/>
    </row>
    <row r="42">
      <c r="A42" s="4" t="inlineStr">
        <is>
          <t>Rappro CNAS</t>
        </is>
      </c>
      <c r="B42" s="12" t="inlineStr">
        <is>
          <t>Rapprochement paie ↔ chaque déclaration CNAS</t>
        </is>
      </c>
      <c r="C42" s="17" t="n"/>
      <c r="D42" s="18" t="n"/>
    </row>
    <row r="43">
      <c r="A43" s="4" t="inlineStr">
        <is>
          <t>Journal paie</t>
        </is>
      </c>
      <c r="B43" s="12" t="inlineStr">
        <is>
          <t>Écritures comptables proposées (SCF)</t>
        </is>
      </c>
      <c r="C43" s="17" t="n"/>
      <c r="D43" s="18" t="n"/>
    </row>
    <row r="44">
      <c r="A44" s="4" t="inlineStr">
        <is>
          <t>Balance comptes</t>
        </is>
      </c>
      <c r="B44" s="12" t="inlineStr">
        <is>
          <t>Cumul par compte et établissement</t>
        </is>
      </c>
      <c r="C44" s="17" t="n"/>
      <c r="D44" s="18" t="n"/>
    </row>
    <row r="45">
      <c r="A45" s="4" t="inlineStr">
        <is>
          <t>Échéancier IRG-CNAS</t>
        </is>
      </c>
      <c r="B45" s="12" t="inlineStr">
        <is>
          <t>IRG mensuel à rapprocher des G50</t>
        </is>
      </c>
      <c r="C45" s="17" t="n"/>
      <c r="D45" s="18" t="n"/>
    </row>
    <row r="46">
      <c r="A46" s="4" t="inlineStr">
        <is>
          <t>Anomalies &amp; actions</t>
        </is>
      </c>
      <c r="B46" s="12" t="inlineStr">
        <is>
          <t>Constats, impact, actions, suivi</t>
        </is>
      </c>
      <c r="C46" s="17" t="n"/>
      <c r="D46" s="18" t="n"/>
    </row>
    <row r="47">
      <c r="A47" s="4" t="inlineStr">
        <is>
          <t>Pièces</t>
        </is>
      </c>
      <c r="B47" s="12" t="inlineStr">
        <is>
          <t>Pièces reçues / manquantes</t>
        </is>
      </c>
      <c r="C47" s="17" t="n"/>
      <c r="D47" s="18" t="n"/>
    </row>
    <row r="48">
      <c r="A48" s="4" t="inlineStr">
        <is>
          <t>G50 2026</t>
        </is>
      </c>
      <c r="B48" s="12" t="inlineStr">
        <is>
          <t>Contrôle TVA / IRG / timbre / TA des G50 IMPORT janv.–août</t>
        </is>
      </c>
      <c r="C48" s="17" t="n"/>
      <c r="D48" s="18" t="n"/>
    </row>
    <row r="49">
      <c r="A49" s="4" t="inlineStr">
        <is>
          <t>G50 TPM 2026</t>
        </is>
      </c>
      <c r="B49" s="12" t="inlineStr">
        <is>
          <t>Contrôle des G50 TPM et location (janv.–août)</t>
        </is>
      </c>
      <c r="C49" s="17" t="n"/>
      <c r="D49" s="18" t="n"/>
    </row>
    <row r="50">
      <c r="A50" s="4" t="inlineStr">
        <is>
          <t>Contrôle 2023</t>
        </is>
      </c>
      <c r="B50" s="12" t="inlineStr">
        <is>
          <t>Journal 2023 vs à-nouveaux 2024 ; historique TVA TPM</t>
        </is>
      </c>
      <c r="C50" s="17" t="n"/>
      <c r="D50" s="18" t="n"/>
    </row>
    <row r="51">
      <c r="A51" s="4" t="inlineStr">
        <is>
          <t>Clients &amp; fournisseurs</t>
        </is>
      </c>
      <c r="B51" s="12" t="inlineStr">
        <is>
          <t>Soldes par tiers au 31/12/2025, catégories de risque, décision 2026</t>
        </is>
      </c>
      <c r="C51" s="17" t="n"/>
      <c r="D51" s="18" t="n"/>
    </row>
    <row r="52">
      <c r="A52" s="4" t="inlineStr">
        <is>
          <t>Démarrage 2026</t>
        </is>
      </c>
      <c r="B52" s="12" t="inlineStr">
        <is>
          <t>Parties liées, écritures de régularisation, règles de tenue 2026</t>
        </is>
      </c>
      <c r="C52" s="17" t="n"/>
      <c r="D52" s="18" t="n"/>
    </row>
    <row r="53">
      <c r="A53" s="4" t="inlineStr">
        <is>
          <t>Balance 2024-2025</t>
        </is>
      </c>
      <c r="B53" s="12" t="inlineStr">
        <is>
          <t>Balance générale issue des journaux PCCOMPTA</t>
        </is>
      </c>
      <c r="C53" s="17" t="n"/>
      <c r="D53" s="18" t="n"/>
    </row>
    <row r="54">
      <c r="A54" s="4" t="inlineStr">
        <is>
          <t>États 2024-2025</t>
        </is>
      </c>
      <c r="B54" s="12" t="inlineStr">
        <is>
          <t>Compte de résultat et bilan simplifiés, indicateurs</t>
        </is>
      </c>
      <c r="C54" s="17" t="n"/>
      <c r="D54" s="18" t="n"/>
    </row>
    <row r="57">
      <c r="A57" s="2" t="inlineStr">
        <is>
          <t>Légende : bleu = saisie depuis une pièce ; vert = lien vers une autre feuille ; noir = calcul ; fond jaune = à compléter.</t>
        </is>
      </c>
    </row>
    <row r="59">
      <c r="A59" s="10" t="inlineStr">
        <is>
          <t>Exercices comptables</t>
        </is>
      </c>
    </row>
    <row r="60">
      <c r="A60" s="11" t="inlineStr">
        <is>
          <t>Indicateur</t>
        </is>
      </c>
      <c r="B60" s="11" t="inlineStr">
        <is>
          <t>2024</t>
        </is>
      </c>
      <c r="C60" s="11" t="inlineStr">
        <is>
          <t>2025</t>
        </is>
      </c>
      <c r="D60" s="11" t="inlineStr">
        <is>
          <t>Variation</t>
        </is>
      </c>
    </row>
    <row r="61">
      <c r="A61" s="4" t="inlineStr">
        <is>
          <t>Chiffre d'affaires</t>
        </is>
      </c>
      <c r="B61" s="6">
        <f>'États 2024-2025'!C5</f>
        <v/>
      </c>
      <c r="C61" s="6">
        <f>'États 2024-2025'!D5</f>
        <v/>
      </c>
      <c r="D61" s="19">
        <f>IF(B61=0,"",C61/B61-1)</f>
        <v/>
      </c>
    </row>
    <row r="62">
      <c r="A62" s="4" t="inlineStr">
        <is>
          <t>Charges de personnel</t>
        </is>
      </c>
      <c r="B62" s="6">
        <f>'États 2024-2025'!C10</f>
        <v/>
      </c>
      <c r="C62" s="6">
        <f>'États 2024-2025'!D10</f>
        <v/>
      </c>
      <c r="D62" s="19">
        <f>IF(B62=0,"",C62/B62-1)</f>
        <v/>
      </c>
    </row>
    <row r="63">
      <c r="A63" s="4" t="inlineStr">
        <is>
          <t>Résultat net</t>
        </is>
      </c>
      <c r="B63" s="6">
        <f>'États 2024-2025'!C16</f>
        <v/>
      </c>
      <c r="C63" s="6">
        <f>'États 2024-2025'!D16</f>
        <v/>
      </c>
      <c r="D63" s="19">
        <f>IF(B63=0,"",C63/B63-1)</f>
        <v/>
      </c>
    </row>
  </sheetData>
  <mergeCells count="15">
    <mergeCell ref="B42:D42"/>
    <mergeCell ref="B54:D54"/>
    <mergeCell ref="B45:D45"/>
    <mergeCell ref="B46:D46"/>
    <mergeCell ref="B41:D41"/>
    <mergeCell ref="B49:D49"/>
    <mergeCell ref="B50:D50"/>
    <mergeCell ref="B40:D40"/>
    <mergeCell ref="B52:D52"/>
    <mergeCell ref="B44:D44"/>
    <mergeCell ref="B53:D53"/>
    <mergeCell ref="B43:D43"/>
    <mergeCell ref="B51:D51"/>
    <mergeCell ref="B47:D47"/>
    <mergeCell ref="B48:D48"/>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C23"/>
  <sheetViews>
    <sheetView showGridLines="0" workbookViewId="0">
      <selection activeCell="A1" sqref="A1"/>
    </sheetView>
  </sheetViews>
  <sheetFormatPr baseColWidth="8" defaultRowHeight="15"/>
  <cols>
    <col width="46" customWidth="1" min="1" max="1"/>
    <col width="26" customWidth="1" min="2" max="2"/>
    <col width="70" customWidth="1" min="3" max="3"/>
  </cols>
  <sheetData>
    <row r="1">
      <c r="A1" s="1" t="inlineStr">
        <is>
          <t>Paramètres et hypothèses</t>
        </is>
      </c>
    </row>
    <row r="2">
      <c r="A2" s="2" t="inlineStr">
        <is>
          <t>Cellules en bleu sur fond jaune = hypothèses modifiables. Toutes les feuilles y renvoient.</t>
        </is>
      </c>
    </row>
    <row r="4">
      <c r="A4" s="11" t="inlineStr">
        <is>
          <t>Paramètre</t>
        </is>
      </c>
      <c r="B4" s="11" t="inlineStr">
        <is>
          <t>Valeur</t>
        </is>
      </c>
      <c r="C4" s="11" t="inlineStr">
        <is>
          <t>Source / commentaire</t>
        </is>
      </c>
    </row>
    <row r="5">
      <c r="A5" s="12" t="inlineStr">
        <is>
          <t>Taux CNAS régime général (R22)</t>
        </is>
      </c>
      <c r="B5" s="20" t="n">
        <v>0.345</v>
      </c>
      <c r="C5" s="21" t="inlineStr">
        <is>
          <t>Déclarations CNAS 2026 fournies (code R22)</t>
        </is>
      </c>
    </row>
    <row r="6">
      <c r="A6" s="12" t="inlineStr">
        <is>
          <t>Taux FNPOS (R98)</t>
        </is>
      </c>
      <c r="B6" s="20" t="n">
        <v>0.005</v>
      </c>
      <c r="C6" s="21" t="inlineStr">
        <is>
          <t>Déclarations CNAS 2026 fournies (code R98)</t>
        </is>
      </c>
    </row>
    <row r="7">
      <c r="A7" s="12" t="inlineStr">
        <is>
          <t>Part salariale sécurité sociale</t>
        </is>
      </c>
      <c r="B7" s="20" t="n">
        <v>0.09</v>
      </c>
      <c r="C7" s="21" t="inlineStr">
        <is>
          <t>Rubrique R510 des centralisateurs de paie (9 % du salaire de poste)</t>
        </is>
      </c>
    </row>
    <row r="8">
      <c r="A8" s="12" t="inlineStr">
        <is>
          <t>Part patronale (= R22 + R98 − part salariale)</t>
        </is>
      </c>
      <c r="B8" s="19">
        <f>B5+B6-B7</f>
        <v/>
      </c>
      <c r="C8" s="21" t="inlineStr">
        <is>
          <t>Calculée — charge employeur compte 635</t>
        </is>
      </c>
    </row>
    <row r="9">
      <c r="A9" s="12" t="inlineStr">
        <is>
          <t>Raison sociale</t>
        </is>
      </c>
      <c r="B9" s="22" t="inlineStr">
        <is>
          <t>SARL D.P.R. COMPAGNY</t>
        </is>
      </c>
      <c r="C9" s="21" t="inlineStr">
        <is>
          <t>Déclarations CNAS</t>
        </is>
      </c>
    </row>
    <row r="10">
      <c r="A10" s="12" t="inlineStr">
        <is>
          <t>Établissement IMPORT — n° cotisant CNAS</t>
        </is>
      </c>
      <c r="B10" s="22" t="inlineStr">
        <is>
          <t>06713395 46</t>
        </is>
      </c>
      <c r="C10" s="21" t="inlineStr">
        <is>
          <t>VGE TIZI, CNE SEMAOUN, BEJAIA</t>
        </is>
      </c>
    </row>
    <row r="11">
      <c r="A11" s="12" t="inlineStr">
        <is>
          <t>Établissement TPM — n° cotisant CNAS</t>
        </is>
      </c>
      <c r="B11" s="22" t="inlineStr">
        <is>
          <t>06736613 53</t>
        </is>
      </c>
      <c r="C11" s="21" t="inlineStr">
        <is>
          <t>TISSA, CNE DE SMAOUN, W. BEJAIA</t>
        </is>
      </c>
    </row>
    <row r="12">
      <c r="A12" s="12" t="inlineStr">
        <is>
          <t>Agence CNAS</t>
        </is>
      </c>
      <c r="B12" s="22" t="inlineStr">
        <is>
          <t>10600 — CNAS BEJAIA</t>
        </is>
      </c>
      <c r="C12" s="21" t="inlineStr">
        <is>
          <t>Déclarations CNAS</t>
        </is>
      </c>
    </row>
    <row r="13">
      <c r="A13" s="12" t="inlineStr">
        <is>
          <t>Date d'arrêté du dossier</t>
        </is>
      </c>
      <c r="B13" s="22" t="inlineStr">
        <is>
          <t>01/10/2026</t>
        </is>
      </c>
      <c r="C13" s="21" t="inlineStr">
        <is>
          <t>Date de constitution</t>
        </is>
      </c>
    </row>
    <row r="15">
      <c r="A15" s="10" t="inlineStr">
        <is>
          <t>Plan de comptes utilisé (SCF algérien)</t>
        </is>
      </c>
    </row>
    <row r="16">
      <c r="A16" s="11" t="inlineStr">
        <is>
          <t>Compte</t>
        </is>
      </c>
      <c r="B16" s="11" t="inlineStr">
        <is>
          <t>Intitulé</t>
        </is>
      </c>
      <c r="C16" s="11" t="inlineStr">
        <is>
          <t>Contenu</t>
        </is>
      </c>
    </row>
    <row r="17">
      <c r="A17" s="12" t="inlineStr">
        <is>
          <t>631</t>
        </is>
      </c>
      <c r="B17" s="12" t="inlineStr">
        <is>
          <t>Rémunérations du personnel</t>
        </is>
      </c>
      <c r="C17" s="12" t="inlineStr">
        <is>
          <t>Salaire de poste (R500) + prime de ponctualité (R540)</t>
        </is>
      </c>
    </row>
    <row r="18">
      <c r="A18" s="12" t="inlineStr">
        <is>
          <t>638</t>
        </is>
      </c>
      <c r="B18" s="12" t="inlineStr">
        <is>
          <t>Autres charges de personnel</t>
        </is>
      </c>
      <c r="C18" s="12" t="inlineStr">
        <is>
          <t>Indemnités de panier (R522) et de transport (R532)</t>
        </is>
      </c>
    </row>
    <row r="19">
      <c r="A19" s="12" t="inlineStr">
        <is>
          <t>625</t>
        </is>
      </c>
      <c r="B19" s="12" t="inlineStr">
        <is>
          <t>Déplacements, missions et réceptions</t>
        </is>
      </c>
      <c r="C19" s="12" t="inlineStr">
        <is>
          <t>Frais de mission (R670), à justifier par ordres de mission</t>
        </is>
      </c>
    </row>
    <row r="20">
      <c r="A20" s="12" t="inlineStr">
        <is>
          <t>635</t>
        </is>
      </c>
      <c r="B20" s="12" t="inlineStr">
        <is>
          <t>Cotisations aux organismes sociaux</t>
        </is>
      </c>
      <c r="C20" s="12" t="inlineStr">
        <is>
          <t>Part patronale CNAS (26 % de l'assiette)</t>
        </is>
      </c>
    </row>
    <row r="21">
      <c r="A21" s="12" t="inlineStr">
        <is>
          <t>431</t>
        </is>
      </c>
      <c r="B21" s="12" t="inlineStr">
        <is>
          <t>Organismes sociaux — CNAS</t>
        </is>
      </c>
      <c r="C21" s="12" t="inlineStr">
        <is>
          <t>Parts salariale + patronale à reverser ; salaire unique avancé (à valider)</t>
        </is>
      </c>
    </row>
    <row r="22">
      <c r="A22" s="12" t="inlineStr">
        <is>
          <t>442</t>
        </is>
      </c>
      <c r="B22" s="12" t="inlineStr">
        <is>
          <t>État, impôts et taxes recouvrables sur tiers</t>
        </is>
      </c>
      <c r="C22" s="12" t="inlineStr">
        <is>
          <t>IRG retenu à la source (R660), à reverser via G50</t>
        </is>
      </c>
    </row>
    <row r="23">
      <c r="A23" s="12" t="inlineStr">
        <is>
          <t>421</t>
        </is>
      </c>
      <c r="B23" s="12" t="inlineStr">
        <is>
          <t>Personnel, rémunérations dues</t>
        </is>
      </c>
      <c r="C23" s="12" t="inlineStr">
        <is>
          <t>Net à payer (R770)</t>
        </is>
      </c>
    </row>
  </sheetData>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K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Récapitulatif mensuel de la paie — IMPORT (centralisateurs 2026)</t>
        </is>
      </c>
    </row>
    <row r="2">
      <c r="A2" s="2" t="inlineStr">
        <is>
          <t>Source : PAIE_2026_DPR_COMPANY_IMPORT.xlsx — montants en DA. Valeurs en bleu = saisies depuis les centralisateurs.</t>
        </is>
      </c>
    </row>
    <row r="4">
      <c r="A4" s="11" t="inlineStr">
        <is>
          <t>Code</t>
        </is>
      </c>
      <c r="B4" s="11" t="inlineStr">
        <is>
          <t>Libellé</t>
        </is>
      </c>
      <c r="C4" s="11" t="inlineStr">
        <is>
          <t>Janv 2026</t>
        </is>
      </c>
      <c r="D4" s="11" t="inlineStr">
        <is>
          <t>Févr 2026</t>
        </is>
      </c>
      <c r="E4" s="11" t="inlineStr">
        <is>
          <t>Mars 2026</t>
        </is>
      </c>
      <c r="F4" s="11" t="inlineStr">
        <is>
          <t>Avr 2026</t>
        </is>
      </c>
      <c r="G4" s="11" t="inlineStr">
        <is>
          <t>Mai 2026</t>
        </is>
      </c>
      <c r="H4" s="11" t="inlineStr">
        <is>
          <t>Juin 2026</t>
        </is>
      </c>
      <c r="I4" s="11" t="inlineStr">
        <is>
          <t>Juil 2026</t>
        </is>
      </c>
      <c r="J4" s="11" t="inlineStr">
        <is>
          <t>Août 2026</t>
        </is>
      </c>
      <c r="K4" s="11" t="inlineStr">
        <is>
          <t>Cumul Jan–Août</t>
        </is>
      </c>
    </row>
    <row r="5">
      <c r="A5" s="12" t="inlineStr">
        <is>
          <t>EFF</t>
        </is>
      </c>
      <c r="B5" s="12" t="inlineStr">
        <is>
          <t>Effectif (en-tête du centralisateur)</t>
        </is>
      </c>
      <c r="C5" s="23" t="n">
        <v>12</v>
      </c>
      <c r="D5" s="23" t="n">
        <v>12</v>
      </c>
      <c r="E5" s="24" t="n"/>
      <c r="F5" s="23" t="n">
        <v>5</v>
      </c>
      <c r="G5" s="23" t="n">
        <v>5</v>
      </c>
      <c r="H5" s="23" t="n">
        <v>5</v>
      </c>
      <c r="I5" s="23" t="n">
        <v>5</v>
      </c>
      <c r="J5" s="23" t="n">
        <v>5</v>
      </c>
      <c r="K5" s="12" t="n"/>
    </row>
    <row r="6">
      <c r="A6" s="12" t="inlineStr">
        <is>
          <t>R030</t>
        </is>
      </c>
      <c r="B6" s="12" t="inlineStr">
        <is>
          <t>Salaire de base</t>
        </is>
      </c>
      <c r="C6" s="25" t="n">
        <v>446760</v>
      </c>
      <c r="D6" s="25" t="n">
        <v>446760</v>
      </c>
      <c r="E6" s="26" t="n"/>
      <c r="F6" s="25" t="n">
        <v>242000</v>
      </c>
      <c r="G6" s="25" t="n">
        <v>242000</v>
      </c>
      <c r="H6" s="25" t="n">
        <v>242000</v>
      </c>
      <c r="I6" s="25" t="n">
        <v>215325</v>
      </c>
      <c r="J6" s="25" t="n">
        <v>215325</v>
      </c>
      <c r="K6" s="27">
        <f>SUM(C6:J6)</f>
        <v/>
      </c>
    </row>
    <row r="7">
      <c r="A7" s="12" t="inlineStr">
        <is>
          <t>R065</t>
        </is>
      </c>
      <c r="B7" s="12" t="inlineStr">
        <is>
          <t>Heures d'absence (retenue)</t>
        </is>
      </c>
      <c r="C7" s="25" t="n">
        <v>12207.85</v>
      </c>
      <c r="D7" s="25" t="n">
        <v>185066.01</v>
      </c>
      <c r="E7" s="26" t="n"/>
      <c r="F7" s="25" t="n"/>
      <c r="G7" s="25" t="n"/>
      <c r="H7" s="25" t="n">
        <v>48000</v>
      </c>
      <c r="I7" s="25" t="n">
        <v>15492.09</v>
      </c>
      <c r="J7" s="25" t="n">
        <v>36892.47</v>
      </c>
      <c r="K7" s="27">
        <f>SUM(C7:J7)</f>
        <v/>
      </c>
    </row>
    <row r="8">
      <c r="A8" s="12" t="inlineStr">
        <is>
          <t>R061</t>
        </is>
      </c>
      <c r="B8" s="12" t="inlineStr">
        <is>
          <t>Jours reprise / congé (retenue)</t>
        </is>
      </c>
      <c r="C8" s="25" t="n"/>
      <c r="D8" s="25" t="n"/>
      <c r="E8" s="26" t="n"/>
      <c r="F8" s="25" t="n"/>
      <c r="G8" s="25" t="n"/>
      <c r="H8" s="25" t="n"/>
      <c r="I8" s="25" t="n">
        <v>194000</v>
      </c>
      <c r="J8" s="25" t="n"/>
      <c r="K8" s="27">
        <f>SUM(C8:J8)</f>
        <v/>
      </c>
    </row>
    <row r="9">
      <c r="A9" s="12" t="inlineStr">
        <is>
          <t>R100</t>
        </is>
      </c>
      <c r="B9" s="12" t="inlineStr">
        <is>
          <t>Congé</t>
        </is>
      </c>
      <c r="C9" s="25" t="n"/>
      <c r="D9" s="25" t="n"/>
      <c r="E9" s="26" t="n"/>
      <c r="F9" s="25" t="n"/>
      <c r="G9" s="25" t="n"/>
      <c r="H9" s="25" t="n"/>
      <c r="I9" s="25" t="n">
        <v>289141.68</v>
      </c>
      <c r="J9" s="25" t="n"/>
      <c r="K9" s="27">
        <f>SUM(C9:J9)</f>
        <v/>
      </c>
    </row>
    <row r="10">
      <c r="A10" s="12" t="inlineStr">
        <is>
          <t>R112</t>
        </is>
      </c>
      <c r="B10" s="12" t="inlineStr">
        <is>
          <t>Heures supp. 50 %</t>
        </is>
      </c>
      <c r="C10" s="25" t="n">
        <v>100947.33</v>
      </c>
      <c r="D10" s="25" t="n">
        <v>28662.09</v>
      </c>
      <c r="E10" s="26" t="n"/>
      <c r="F10" s="25" t="n">
        <v>42370.04</v>
      </c>
      <c r="G10" s="25" t="n">
        <v>54187.96</v>
      </c>
      <c r="H10" s="25" t="n">
        <v>37779.96</v>
      </c>
      <c r="I10" s="25" t="n">
        <v>1494.83</v>
      </c>
      <c r="J10" s="25" t="n">
        <v>34373.73</v>
      </c>
      <c r="K10" s="27">
        <f>SUM(C10:J10)</f>
        <v/>
      </c>
    </row>
    <row r="11">
      <c r="A11" s="12" t="inlineStr">
        <is>
          <t>R122</t>
        </is>
      </c>
      <c r="B11" s="12" t="inlineStr">
        <is>
          <t>Heures supp. 75 %</t>
        </is>
      </c>
      <c r="C11" s="25" t="n">
        <v>89206.89999999999</v>
      </c>
      <c r="D11" s="25" t="n">
        <v>20483.47</v>
      </c>
      <c r="E11" s="26" t="n"/>
      <c r="F11" s="25" t="n">
        <v>26451.42</v>
      </c>
      <c r="G11" s="25" t="n">
        <v>33519.37</v>
      </c>
      <c r="H11" s="25" t="n">
        <v>22111</v>
      </c>
      <c r="I11" s="25" t="n">
        <v>3444.87</v>
      </c>
      <c r="J11" s="25" t="n">
        <v>21594.57</v>
      </c>
      <c r="K11" s="27">
        <f>SUM(C11:J11)</f>
        <v/>
      </c>
    </row>
    <row r="12">
      <c r="A12" s="12" t="inlineStr">
        <is>
          <t>R261</t>
        </is>
      </c>
      <c r="B12" s="12" t="inlineStr">
        <is>
          <t>I.E.P.</t>
        </is>
      </c>
      <c r="C12" s="25" t="n">
        <v>13842.47</v>
      </c>
      <c r="D12" s="25" t="n">
        <v>8092.77</v>
      </c>
      <c r="E12" s="26" t="n"/>
      <c r="F12" s="25" t="n">
        <v>8130</v>
      </c>
      <c r="G12" s="25" t="n">
        <v>8130</v>
      </c>
      <c r="H12" s="25" t="n">
        <v>5250</v>
      </c>
      <c r="I12" s="25" t="n"/>
      <c r="J12" s="25" t="n">
        <v>4228.39</v>
      </c>
      <c r="K12" s="27">
        <f>SUM(C12:J12)</f>
        <v/>
      </c>
    </row>
    <row r="13">
      <c r="A13" s="12" t="inlineStr">
        <is>
          <t>R281</t>
        </is>
      </c>
      <c r="B13" s="12" t="inlineStr">
        <is>
          <t>Nuisance</t>
        </is>
      </c>
      <c r="C13" s="25" t="n">
        <v>61544.89</v>
      </c>
      <c r="D13" s="25" t="n">
        <v>39262.19</v>
      </c>
      <c r="E13" s="26" t="n"/>
      <c r="F13" s="25" t="n">
        <v>37680</v>
      </c>
      <c r="G13" s="25" t="n">
        <v>37680</v>
      </c>
      <c r="H13" s="25" t="n">
        <v>30000</v>
      </c>
      <c r="I13" s="25" t="n">
        <v>583.29</v>
      </c>
      <c r="J13" s="25" t="n">
        <v>27013</v>
      </c>
      <c r="K13" s="27">
        <f>SUM(C13:J13)</f>
        <v/>
      </c>
    </row>
    <row r="14">
      <c r="A14" s="12" t="inlineStr">
        <is>
          <t>R291</t>
        </is>
      </c>
      <c r="B14" s="12" t="inlineStr">
        <is>
          <t>Responsabilité</t>
        </is>
      </c>
      <c r="C14" s="25" t="n">
        <v>5</v>
      </c>
      <c r="D14" s="25" t="n">
        <v>1.14</v>
      </c>
      <c r="E14" s="26" t="n"/>
      <c r="F14" s="25" t="n"/>
      <c r="G14" s="25" t="n"/>
      <c r="H14" s="25" t="n"/>
      <c r="I14" s="25" t="n"/>
      <c r="J14" s="25" t="n"/>
      <c r="K14" s="27">
        <f>SUM(C14:J14)</f>
        <v/>
      </c>
    </row>
    <row r="15">
      <c r="A15" s="12" t="inlineStr">
        <is>
          <t>R301</t>
        </is>
      </c>
      <c r="B15" s="12" t="inlineStr">
        <is>
          <t>P.R.I.</t>
        </is>
      </c>
      <c r="C15" s="25" t="n">
        <v>62673.03</v>
      </c>
      <c r="D15" s="25" t="n">
        <v>38872.02</v>
      </c>
      <c r="E15" s="26" t="n"/>
      <c r="F15" s="25" t="n">
        <v>36780</v>
      </c>
      <c r="G15" s="25" t="n">
        <v>36780</v>
      </c>
      <c r="H15" s="25" t="n">
        <v>29100</v>
      </c>
      <c r="I15" s="25" t="n">
        <v>349.97</v>
      </c>
      <c r="J15" s="25" t="n">
        <v>26327.06</v>
      </c>
      <c r="K15" s="27">
        <f>SUM(C15:J15)</f>
        <v/>
      </c>
    </row>
    <row r="16">
      <c r="A16" s="12" t="inlineStr">
        <is>
          <t>R320</t>
        </is>
      </c>
      <c r="B16" s="12" t="inlineStr">
        <is>
          <t>Prime de performance</t>
        </is>
      </c>
      <c r="C16" s="25" t="n">
        <v>55590</v>
      </c>
      <c r="D16" s="25" t="n">
        <v>21100</v>
      </c>
      <c r="E16" s="26" t="n"/>
      <c r="F16" s="25" t="n">
        <v>17970</v>
      </c>
      <c r="G16" s="25" t="n">
        <v>23470</v>
      </c>
      <c r="H16" s="25" t="n">
        <v>15000</v>
      </c>
      <c r="I16" s="25" t="n">
        <v>9500</v>
      </c>
      <c r="J16" s="25" t="n">
        <v>15000</v>
      </c>
      <c r="K16" s="27">
        <f>SUM(C16:J16)</f>
        <v/>
      </c>
    </row>
    <row r="17">
      <c r="A17" s="12" t="inlineStr">
        <is>
          <t>STC</t>
        </is>
      </c>
      <c r="B17" s="12" t="inlineStr">
        <is>
          <t>Solde de tout compte (R546 / R040)</t>
        </is>
      </c>
      <c r="C17" s="25" t="n"/>
      <c r="D17" s="25" t="n">
        <v>534308.14</v>
      </c>
      <c r="E17" s="26" t="n"/>
      <c r="F17" s="25" t="n"/>
      <c r="G17" s="25" t="n"/>
      <c r="H17" s="25" t="n"/>
      <c r="I17" s="25" t="n"/>
      <c r="J17" s="25" t="n">
        <v>2237.4</v>
      </c>
      <c r="K17" s="27">
        <f>SUM(C17:J17)</f>
        <v/>
      </c>
    </row>
    <row r="18">
      <c r="A18" s="12" t="inlineStr">
        <is>
          <t>R540</t>
        </is>
      </c>
      <c r="B18" s="12" t="inlineStr">
        <is>
          <t>Prime de ponctualité</t>
        </is>
      </c>
      <c r="C18" s="25" t="n">
        <v>17500</v>
      </c>
      <c r="D18" s="25" t="n">
        <v>8000</v>
      </c>
      <c r="E18" s="26" t="n"/>
      <c r="F18" s="25" t="n">
        <v>7500</v>
      </c>
      <c r="G18" s="25" t="n">
        <v>7500</v>
      </c>
      <c r="H18" s="25" t="n">
        <v>5500</v>
      </c>
      <c r="I18" s="25" t="n">
        <v>3000</v>
      </c>
      <c r="J18" s="25" t="n">
        <v>3000</v>
      </c>
      <c r="K18" s="27">
        <f>SUM(C18:J18)</f>
        <v/>
      </c>
    </row>
    <row r="19">
      <c r="A19" s="4" t="inlineStr">
        <is>
          <t>R500</t>
        </is>
      </c>
      <c r="B19" s="4" t="inlineStr">
        <is>
          <t>SALAIRE DE POSTE (assiette CNAS)</t>
        </is>
      </c>
      <c r="C19" s="28" t="n">
        <v>818361.77</v>
      </c>
      <c r="D19" s="28" t="n">
        <v>952475.8100000001</v>
      </c>
      <c r="E19" s="28" t="n"/>
      <c r="F19" s="28" t="n">
        <v>411381.46</v>
      </c>
      <c r="G19" s="28" t="n">
        <v>435767.33</v>
      </c>
      <c r="H19" s="28" t="n">
        <v>333240.96</v>
      </c>
      <c r="I19" s="28" t="n">
        <v>310347.55</v>
      </c>
      <c r="J19" s="28" t="n">
        <v>309206.68</v>
      </c>
      <c r="K19" s="7">
        <f>SUM(C19:J19)</f>
        <v/>
      </c>
    </row>
    <row r="20">
      <c r="A20" s="12" t="inlineStr">
        <is>
          <t>R500E</t>
        </is>
      </c>
      <c r="B20" s="12" t="inlineStr">
        <is>
          <t>Effectif cotisant (R500)</t>
        </is>
      </c>
      <c r="C20" s="23" t="n">
        <v>12</v>
      </c>
      <c r="D20" s="23" t="n">
        <v>12</v>
      </c>
      <c r="E20" s="24" t="n"/>
      <c r="F20" s="23" t="n">
        <v>5</v>
      </c>
      <c r="G20" s="23" t="n">
        <v>5</v>
      </c>
      <c r="H20" s="23" t="n">
        <v>4</v>
      </c>
      <c r="I20" s="23" t="n">
        <v>5</v>
      </c>
      <c r="J20" s="23" t="n">
        <v>5</v>
      </c>
      <c r="K20" s="12" t="n"/>
    </row>
    <row r="21">
      <c r="A21" s="12" t="inlineStr">
        <is>
          <t>R510</t>
        </is>
      </c>
      <c r="B21" s="12" t="inlineStr">
        <is>
          <t>Retenue sécurité sociale 9 %</t>
        </is>
      </c>
      <c r="C21" s="25" t="n">
        <v>73652.56</v>
      </c>
      <c r="D21" s="25" t="n">
        <v>85722.83</v>
      </c>
      <c r="E21" s="26" t="n"/>
      <c r="F21" s="25" t="n">
        <v>37024.34</v>
      </c>
      <c r="G21" s="25" t="n">
        <v>39219.06</v>
      </c>
      <c r="H21" s="25" t="n">
        <v>29991.69</v>
      </c>
      <c r="I21" s="25" t="n">
        <v>27931.28</v>
      </c>
      <c r="J21" s="25" t="n">
        <v>27828.6</v>
      </c>
      <c r="K21" s="27">
        <f>SUM(C21:J21)</f>
        <v/>
      </c>
    </row>
    <row r="22">
      <c r="A22" s="12" t="inlineStr">
        <is>
          <t>R522</t>
        </is>
      </c>
      <c r="B22" s="12" t="inlineStr">
        <is>
          <t>Panier</t>
        </is>
      </c>
      <c r="C22" s="25" t="n">
        <v>36036</v>
      </c>
      <c r="D22" s="25" t="n">
        <v>19188</v>
      </c>
      <c r="E22" s="26" t="n"/>
      <c r="F22" s="25" t="n">
        <v>13728</v>
      </c>
      <c r="G22" s="25" t="n">
        <v>13728</v>
      </c>
      <c r="H22" s="25" t="n">
        <v>10296</v>
      </c>
      <c r="I22" s="25" t="n">
        <v>936</v>
      </c>
      <c r="J22" s="25" t="n">
        <v>9516</v>
      </c>
      <c r="K22" s="27">
        <f>SUM(C22:J22)</f>
        <v/>
      </c>
    </row>
    <row r="23">
      <c r="A23" s="12" t="inlineStr">
        <is>
          <t>R532</t>
        </is>
      </c>
      <c r="B23" s="12" t="inlineStr">
        <is>
          <t>Transport</t>
        </is>
      </c>
      <c r="C23" s="25" t="n">
        <v>20845.62</v>
      </c>
      <c r="D23" s="25" t="n">
        <v>11811.16</v>
      </c>
      <c r="E23" s="26" t="n"/>
      <c r="F23" s="25" t="n">
        <v>8800</v>
      </c>
      <c r="G23" s="25" t="n">
        <v>8800</v>
      </c>
      <c r="H23" s="25" t="n">
        <v>6600</v>
      </c>
      <c r="I23" s="25" t="n">
        <v>601.74</v>
      </c>
      <c r="J23" s="25" t="n">
        <v>6102.95</v>
      </c>
      <c r="K23" s="27">
        <f>SUM(C23:J23)</f>
        <v/>
      </c>
    </row>
    <row r="24">
      <c r="A24" s="4" t="inlineStr">
        <is>
          <t>R650</t>
        </is>
      </c>
      <c r="B24" s="4" t="inlineStr">
        <is>
          <t>Base imposable IRG</t>
        </is>
      </c>
      <c r="C24" s="28" t="n">
        <v>819090.83</v>
      </c>
      <c r="D24" s="28" t="n">
        <v>905752.15</v>
      </c>
      <c r="E24" s="28" t="n"/>
      <c r="F24" s="28" t="n">
        <v>404385.13</v>
      </c>
      <c r="G24" s="28" t="n">
        <v>426576.27</v>
      </c>
      <c r="H24" s="28" t="n">
        <v>325645.27</v>
      </c>
      <c r="I24" s="28" t="n">
        <v>286954.01</v>
      </c>
      <c r="J24" s="28" t="n">
        <v>299997.03</v>
      </c>
      <c r="K24" s="7">
        <f>SUM(C24:J24)</f>
        <v/>
      </c>
    </row>
    <row r="25">
      <c r="A25" s="12" t="inlineStr">
        <is>
          <t>R660</t>
        </is>
      </c>
      <c r="B25" s="12" t="inlineStr">
        <is>
          <t>Retenue IRG</t>
        </is>
      </c>
      <c r="C25" s="25" t="n">
        <v>132616.39</v>
      </c>
      <c r="D25" s="25" t="n">
        <v>162285.9</v>
      </c>
      <c r="E25" s="26" t="n"/>
      <c r="F25" s="25" t="n">
        <v>72478</v>
      </c>
      <c r="G25" s="25" t="n">
        <v>79138</v>
      </c>
      <c r="H25" s="25" t="n">
        <v>59017.5</v>
      </c>
      <c r="I25" s="25" t="n">
        <v>42612.3</v>
      </c>
      <c r="J25" s="25" t="n">
        <v>49667.4</v>
      </c>
      <c r="K25" s="27">
        <f>SUM(C25:J25)</f>
        <v/>
      </c>
    </row>
    <row r="26">
      <c r="A26" s="12" t="inlineStr">
        <is>
          <t>R670</t>
        </is>
      </c>
      <c r="B26" s="12" t="inlineStr">
        <is>
          <t>Frais de mission</t>
        </is>
      </c>
      <c r="C26" s="25" t="n">
        <v>67580</v>
      </c>
      <c r="D26" s="25" t="n">
        <v>14280</v>
      </c>
      <c r="E26" s="26" t="n"/>
      <c r="F26" s="25" t="n">
        <v>7775</v>
      </c>
      <c r="G26" s="25" t="n">
        <v>3640</v>
      </c>
      <c r="H26" s="25" t="n">
        <v>3350</v>
      </c>
      <c r="I26" s="25" t="n">
        <v>4165</v>
      </c>
      <c r="J26" s="25" t="n"/>
      <c r="K26" s="27">
        <f>SUM(C26:J26)</f>
        <v/>
      </c>
    </row>
    <row r="27">
      <c r="A27" s="12" t="inlineStr">
        <is>
          <t>R714</t>
        </is>
      </c>
      <c r="B27" s="12" t="inlineStr">
        <is>
          <t>Salaire unique</t>
        </is>
      </c>
      <c r="C27" s="25" t="n">
        <v>1500</v>
      </c>
      <c r="D27" s="25" t="n">
        <v>1500</v>
      </c>
      <c r="E27" s="26" t="n"/>
      <c r="F27" s="25" t="n">
        <v>2500</v>
      </c>
      <c r="G27" s="25" t="n">
        <v>2500</v>
      </c>
      <c r="H27" s="25" t="n">
        <v>2500</v>
      </c>
      <c r="I27" s="25" t="n">
        <v>2500</v>
      </c>
      <c r="J27" s="25" t="n">
        <v>2500</v>
      </c>
      <c r="K27" s="27">
        <f>SUM(C27:J27)</f>
        <v/>
      </c>
    </row>
    <row r="28">
      <c r="A28" s="12" t="inlineStr">
        <is>
          <t>R770</t>
        </is>
      </c>
      <c r="B28" s="12" t="inlineStr">
        <is>
          <t>NET À PAYER</t>
        </is>
      </c>
      <c r="C28" s="25" t="n">
        <v>755554.4399999999</v>
      </c>
      <c r="D28" s="25" t="n">
        <v>759246.24</v>
      </c>
      <c r="E28" s="26" t="n"/>
      <c r="F28" s="25" t="n">
        <v>342182.12</v>
      </c>
      <c r="G28" s="25" t="n">
        <v>353578.27</v>
      </c>
      <c r="H28" s="25" t="n">
        <v>272477.77</v>
      </c>
      <c r="I28" s="25" t="n">
        <v>251006.71</v>
      </c>
      <c r="J28" s="25" t="n">
        <v>252829.63</v>
      </c>
      <c r="K28" s="27">
        <f>SUM(C28:J28)</f>
        <v/>
      </c>
    </row>
    <row r="29">
      <c r="A29" s="12" t="inlineStr">
        <is>
          <t>TGG</t>
        </is>
      </c>
      <c r="B29" s="12" t="inlineStr">
        <is>
          <t>Total général — gains</t>
        </is>
      </c>
      <c r="C29" s="25" t="n">
        <v>974031.24</v>
      </c>
      <c r="D29" s="25" t="n">
        <v>1192320.98</v>
      </c>
      <c r="E29" s="26" t="n"/>
      <c r="F29" s="25" t="n">
        <v>451684.46</v>
      </c>
      <c r="G29" s="25" t="n">
        <v>471935.33</v>
      </c>
      <c r="H29" s="25" t="n">
        <v>409486.96</v>
      </c>
      <c r="I29" s="25" t="n">
        <v>531042.38</v>
      </c>
      <c r="J29" s="25" t="n">
        <v>367218.1</v>
      </c>
      <c r="K29" s="27">
        <f>SUM(C29:J29)</f>
        <v/>
      </c>
    </row>
    <row r="30">
      <c r="A30" s="12" t="inlineStr">
        <is>
          <t>TGR</t>
        </is>
      </c>
      <c r="B30" s="12" t="inlineStr">
        <is>
          <t>Total général — retenues</t>
        </is>
      </c>
      <c r="C30" s="25" t="n">
        <v>974031.24</v>
      </c>
      <c r="D30" s="25" t="n">
        <v>1192320.98</v>
      </c>
      <c r="E30" s="26" t="n"/>
      <c r="F30" s="25" t="n">
        <v>451684.46</v>
      </c>
      <c r="G30" s="25" t="n">
        <v>471935.33</v>
      </c>
      <c r="H30" s="25" t="n">
        <v>409486.96</v>
      </c>
      <c r="I30" s="25" t="n">
        <v>531042.38</v>
      </c>
      <c r="J30" s="25" t="n">
        <v>367218.1</v>
      </c>
      <c r="K30" s="27">
        <f>SUM(C30:J30)</f>
        <v/>
      </c>
    </row>
    <row r="32">
      <c r="A32" s="10" t="inlineStr">
        <is>
          <t>CONTRÔLES (doivent être à zéro, sauf mention)</t>
        </is>
      </c>
    </row>
    <row r="33">
      <c r="A33" s="12" t="inlineStr">
        <is>
          <t>C1</t>
        </is>
      </c>
      <c r="B33" s="29" t="inlineStr">
        <is>
          <t>Équilibre : total gains − total retenues</t>
        </is>
      </c>
      <c r="C33" s="30">
        <f>C29-C30</f>
        <v/>
      </c>
      <c r="D33" s="30">
        <f>D29-D30</f>
        <v/>
      </c>
      <c r="E33" s="30">
        <f>E29-E30</f>
        <v/>
      </c>
      <c r="F33" s="30">
        <f>F29-F30</f>
        <v/>
      </c>
      <c r="G33" s="30">
        <f>G29-G30</f>
        <v/>
      </c>
      <c r="H33" s="30">
        <f>H29-H30</f>
        <v/>
      </c>
      <c r="I33" s="30">
        <f>I29-I30</f>
        <v/>
      </c>
      <c r="J33" s="30">
        <f>J29-J30</f>
        <v/>
      </c>
      <c r="K33" s="27">
        <f>SUM(C33:J33)</f>
        <v/>
      </c>
    </row>
    <row r="34">
      <c r="A34" s="12" t="inlineStr">
        <is>
          <t>C2</t>
        </is>
      </c>
      <c r="B34" s="29" t="inlineStr">
        <is>
          <t>Équilibre comptable : R500+R540+R522+R532+R670+R714 − R510 − R660 − R770</t>
        </is>
      </c>
      <c r="C34" s="30">
        <f>C19+C18+C22+C23+C26+C27-C21-C25-C28</f>
        <v/>
      </c>
      <c r="D34" s="30">
        <f>D19+D18+D22+D23+D26+D27-D21-D25-D28</f>
        <v/>
      </c>
      <c r="E34" s="30">
        <f>E19+E18+E22+E23+E26+E27-E21-E25-E28</f>
        <v/>
      </c>
      <c r="F34" s="30">
        <f>F19+F18+F22+F23+F26+F27-F21-F25-F28</f>
        <v/>
      </c>
      <c r="G34" s="30">
        <f>G19+G18+G22+G23+G26+G27-G21-G25-G28</f>
        <v/>
      </c>
      <c r="H34" s="30">
        <f>H19+H18+H22+H23+H26+H27-H21-H25-H28</f>
        <v/>
      </c>
      <c r="I34" s="30">
        <f>I19+I18+I22+I23+I26+I27-I21-I25-I28</f>
        <v/>
      </c>
      <c r="J34" s="30">
        <f>J19+J18+J22+J23+J26+J27-J21-J25-J28</f>
        <v/>
      </c>
      <c r="K34" s="27">
        <f>SUM(C34:J34)</f>
        <v/>
      </c>
    </row>
    <row r="35">
      <c r="A35" s="12" t="inlineStr">
        <is>
          <t>C3</t>
        </is>
      </c>
      <c r="B35" s="29" t="inlineStr">
        <is>
          <t>Retenue SS − 9 % × salaire de poste (écart d'arrondi ≤ 0,02 admis)</t>
        </is>
      </c>
      <c r="C35" s="30">
        <f>C21-ROUND(C19*Paramètres!$B$7,2)</f>
        <v/>
      </c>
      <c r="D35" s="30">
        <f>D21-ROUND(D19*Paramètres!$B$7,2)</f>
        <v/>
      </c>
      <c r="E35" s="30">
        <f>E21-ROUND(E19*Paramètres!$B$7,2)</f>
        <v/>
      </c>
      <c r="F35" s="30">
        <f>F21-ROUND(F19*Paramètres!$B$7,2)</f>
        <v/>
      </c>
      <c r="G35" s="30">
        <f>G21-ROUND(G19*Paramètres!$B$7,2)</f>
        <v/>
      </c>
      <c r="H35" s="30">
        <f>H21-ROUND(H19*Paramètres!$B$7,2)</f>
        <v/>
      </c>
      <c r="I35" s="30">
        <f>I21-ROUND(I19*Paramètres!$B$7,2)</f>
        <v/>
      </c>
      <c r="J35" s="30">
        <f>J21-ROUND(J19*Paramètres!$B$7,2)</f>
        <v/>
      </c>
      <c r="K35" s="27">
        <f>SUM(C35:J35)</f>
        <v/>
      </c>
    </row>
    <row r="36">
      <c r="A36" s="12" t="inlineStr">
        <is>
          <t>C4</t>
        </is>
      </c>
      <c r="B36" s="29" t="inlineStr">
        <is>
          <t>Base IRG − (R500 − R510 + R522 + R532 + R540)</t>
        </is>
      </c>
      <c r="C36" s="30">
        <f>C24-(C19-C21+C22+C23+C18)</f>
        <v/>
      </c>
      <c r="D36" s="30">
        <f>D24-(D19-D21+D22+D23+D18)</f>
        <v/>
      </c>
      <c r="E36" s="30">
        <f>E24-(E19-E21+E22+E23+E18)</f>
        <v/>
      </c>
      <c r="F36" s="30">
        <f>F24-(F19-F21+F22+F23+F18)</f>
        <v/>
      </c>
      <c r="G36" s="30">
        <f>G24-(G19-G21+G22+G23+G18)</f>
        <v/>
      </c>
      <c r="H36" s="30">
        <f>H24-(H19-H21+H22+H23+H18)</f>
        <v/>
      </c>
      <c r="I36" s="30">
        <f>I24-(I19-I21+I22+I23+I18)</f>
        <v/>
      </c>
      <c r="J36" s="30">
        <f>J24-(J19-J21+J22+J23+J18)</f>
        <v/>
      </c>
      <c r="K36" s="27">
        <f>SUM(C36:J36)</f>
        <v/>
      </c>
    </row>
    <row r="37">
      <c r="A37" s="12" t="inlineStr">
        <is>
          <t>C5</t>
        </is>
      </c>
      <c r="B37" s="29" t="inlineStr">
        <is>
          <t>Éléments soumis NON inclus dans l'assiette CNAS (≠ 0 = anomalie A03)</t>
        </is>
      </c>
      <c r="C37" s="30">
        <f>(C6-C7-C8+C9+C10+C11+C12+C13+C14+C15+C16+C17+C18)-C19</f>
        <v/>
      </c>
      <c r="D37" s="30">
        <f>(D6-D7-D8+D9+D10+D11+D12+D13+D14+D15+D16+D17+D18)-D19</f>
        <v/>
      </c>
      <c r="E37" s="30">
        <f>(E6-E7-E8+E9+E10+E11+E12+E13+E14+E15+E16+E17+E18)-E19</f>
        <v/>
      </c>
      <c r="F37" s="30">
        <f>(F6-F7-F8+F9+F10+F11+F12+F13+F14+F15+F16+F17+F18)-F19</f>
        <v/>
      </c>
      <c r="G37" s="30">
        <f>(G6-G7-G8+G9+G10+G11+G12+G13+G14+G15+G16+G17+G18)-G19</f>
        <v/>
      </c>
      <c r="H37" s="30">
        <f>(H6-H7-H8+H9+H10+H11+H12+H13+H14+H15+H16+H17+H18)-H19</f>
        <v/>
      </c>
      <c r="I37" s="30">
        <f>(I6-I7-I8+I9+I10+I11+I12+I13+I14+I15+I16+I17+I18)-I19</f>
        <v/>
      </c>
      <c r="J37" s="30">
        <f>(J6-J7-J8+J9+J10+J11+J12+J13+J14+J15+J16+J17+J18)-J19</f>
        <v/>
      </c>
      <c r="K37" s="27">
        <f>SUM(C37:J37)</f>
        <v/>
      </c>
    </row>
    <row r="39">
      <c r="A39" s="31" t="inlineStr">
        <is>
          <t>Mars 2026 : centralisateur absent du fichier source (colonne grisée). Voir anomalie A02.</t>
        </is>
      </c>
    </row>
  </sheetData>
  <pageMargins left="0.75" right="0.75" top="1" bottom="1" header="0.5" footer="0.5"/>
  <pageSetup orientation="landscape" fitToHeight="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K3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Récapitulatif mensuel de la paie — TPM (centralisateurs 2026)</t>
        </is>
      </c>
    </row>
    <row r="2">
      <c r="A2" s="2" t="inlineStr">
        <is>
          <t>Source : PAIE_2026_DPR_COMPANY_TPM.xlsx — montants en DA. Valeurs en bleu = saisies depuis les centralisateurs.</t>
        </is>
      </c>
    </row>
    <row r="4">
      <c r="A4" s="11" t="inlineStr">
        <is>
          <t>Code</t>
        </is>
      </c>
      <c r="B4" s="11" t="inlineStr">
        <is>
          <t>Libellé</t>
        </is>
      </c>
      <c r="C4" s="11" t="inlineStr">
        <is>
          <t>Janv 2026</t>
        </is>
      </c>
      <c r="D4" s="11" t="inlineStr">
        <is>
          <t>Févr 2026</t>
        </is>
      </c>
      <c r="E4" s="11" t="inlineStr">
        <is>
          <t>Mars 2026</t>
        </is>
      </c>
      <c r="F4" s="11" t="inlineStr">
        <is>
          <t>Avr 2026</t>
        </is>
      </c>
      <c r="G4" s="11" t="inlineStr">
        <is>
          <t>Mai 2026</t>
        </is>
      </c>
      <c r="H4" s="11" t="inlineStr">
        <is>
          <t>Juin 2026</t>
        </is>
      </c>
      <c r="I4" s="11" t="inlineStr">
        <is>
          <t>Juil 2026</t>
        </is>
      </c>
      <c r="J4" s="11" t="inlineStr">
        <is>
          <t>Août 2026</t>
        </is>
      </c>
      <c r="K4" s="11" t="inlineStr">
        <is>
          <t>Cumul Jan–Août</t>
        </is>
      </c>
    </row>
    <row r="5">
      <c r="A5" s="12" t="inlineStr">
        <is>
          <t>EFF</t>
        </is>
      </c>
      <c r="B5" s="12" t="inlineStr">
        <is>
          <t>Effectif (en-tête du centralisateur)</t>
        </is>
      </c>
      <c r="C5" s="23" t="n">
        <v>3</v>
      </c>
      <c r="D5" s="23" t="n">
        <v>3</v>
      </c>
      <c r="E5" s="23" t="n">
        <v>3</v>
      </c>
      <c r="F5" s="23" t="n">
        <v>3</v>
      </c>
      <c r="G5" s="23" t="n">
        <v>3</v>
      </c>
      <c r="H5" s="23" t="n">
        <v>3</v>
      </c>
      <c r="I5" s="23" t="n">
        <v>2</v>
      </c>
      <c r="J5" s="23" t="n">
        <v>1</v>
      </c>
      <c r="K5" s="12" t="n"/>
    </row>
    <row r="6">
      <c r="A6" s="12" t="inlineStr">
        <is>
          <t>R030</t>
        </is>
      </c>
      <c r="B6" s="12" t="inlineStr">
        <is>
          <t>Salaire de base</t>
        </is>
      </c>
      <c r="C6" s="25" t="n">
        <v>90700</v>
      </c>
      <c r="D6" s="25" t="n">
        <v>90700</v>
      </c>
      <c r="E6" s="25" t="n">
        <v>90700</v>
      </c>
      <c r="F6" s="25" t="n">
        <v>90700</v>
      </c>
      <c r="G6" s="25" t="n">
        <v>90700</v>
      </c>
      <c r="H6" s="25" t="n">
        <v>90700</v>
      </c>
      <c r="I6" s="25" t="n">
        <v>58200</v>
      </c>
      <c r="J6" s="25" t="n">
        <v>29100</v>
      </c>
      <c r="K6" s="27">
        <f>SUM(C6:J6)</f>
        <v/>
      </c>
    </row>
    <row r="7">
      <c r="A7" s="12" t="inlineStr">
        <is>
          <t>R065</t>
        </is>
      </c>
      <c r="B7" s="12" t="inlineStr">
        <is>
          <t>Heures d'absence (retenue)</t>
        </is>
      </c>
      <c r="C7" s="25" t="n">
        <v>57135.54</v>
      </c>
      <c r="D7" s="25" t="n">
        <v>46807.84</v>
      </c>
      <c r="E7" s="25" t="n">
        <v>36459.52</v>
      </c>
      <c r="F7" s="25" t="n">
        <v>32051.31</v>
      </c>
      <c r="G7" s="25" t="n">
        <v>32051.31</v>
      </c>
      <c r="H7" s="25" t="n">
        <v>61600</v>
      </c>
      <c r="I7" s="25" t="n">
        <v>29100</v>
      </c>
      <c r="J7" s="25" t="n"/>
      <c r="K7" s="27">
        <f>SUM(C7:J7)</f>
        <v/>
      </c>
    </row>
    <row r="8">
      <c r="A8" s="12" t="inlineStr">
        <is>
          <t>R061</t>
        </is>
      </c>
      <c r="B8" s="12" t="inlineStr">
        <is>
          <t>Jours reprise / congé (retenue)</t>
        </is>
      </c>
      <c r="C8" s="25" t="n"/>
      <c r="D8" s="25" t="n"/>
      <c r="E8" s="25" t="n"/>
      <c r="F8" s="25" t="n"/>
      <c r="G8" s="25" t="n"/>
      <c r="H8" s="25" t="n"/>
      <c r="I8" s="25" t="n"/>
      <c r="J8" s="25" t="n"/>
      <c r="K8" s="27">
        <f>SUM(C8:J8)</f>
        <v/>
      </c>
    </row>
    <row r="9">
      <c r="A9" s="12" t="inlineStr">
        <is>
          <t>R100</t>
        </is>
      </c>
      <c r="B9" s="12" t="inlineStr">
        <is>
          <t>Congé</t>
        </is>
      </c>
      <c r="C9" s="25" t="n"/>
      <c r="D9" s="25" t="n"/>
      <c r="E9" s="25" t="n"/>
      <c r="F9" s="25" t="n"/>
      <c r="G9" s="25" t="n"/>
      <c r="H9" s="25" t="n"/>
      <c r="I9" s="25" t="n"/>
      <c r="J9" s="25" t="n"/>
      <c r="K9" s="27">
        <f>SUM(C9:J9)</f>
        <v/>
      </c>
    </row>
    <row r="10">
      <c r="A10" s="12" t="inlineStr">
        <is>
          <t>R112</t>
        </is>
      </c>
      <c r="B10" s="12" t="inlineStr">
        <is>
          <t>Heures supp. 50 %</t>
        </is>
      </c>
      <c r="C10" s="25" t="n"/>
      <c r="D10" s="25" t="n"/>
      <c r="E10" s="25" t="n">
        <v>8360.809999999999</v>
      </c>
      <c r="F10" s="25" t="n">
        <v>8360.809999999999</v>
      </c>
      <c r="G10" s="25" t="n">
        <v>8360.809999999999</v>
      </c>
      <c r="H10" s="25" t="n">
        <v>7303.12</v>
      </c>
      <c r="I10" s="25" t="n">
        <v>1473.22</v>
      </c>
      <c r="J10" s="25" t="n">
        <v>1473.22</v>
      </c>
      <c r="K10" s="27">
        <f>SUM(C10:J10)</f>
        <v/>
      </c>
    </row>
    <row r="11">
      <c r="A11" s="12" t="inlineStr">
        <is>
          <t>R122</t>
        </is>
      </c>
      <c r="B11" s="12" t="inlineStr">
        <is>
          <t>Heures supp. 75 %</t>
        </is>
      </c>
      <c r="C11" s="25" t="n"/>
      <c r="D11" s="25" t="n"/>
      <c r="E11" s="25" t="n"/>
      <c r="F11" s="25" t="n"/>
      <c r="G11" s="25" t="n"/>
      <c r="H11" s="25" t="n"/>
      <c r="I11" s="25" t="n"/>
      <c r="J11" s="25" t="n"/>
      <c r="K11" s="27">
        <f>SUM(C11:J11)</f>
        <v/>
      </c>
    </row>
    <row r="12">
      <c r="A12" s="12" t="inlineStr">
        <is>
          <t>R261</t>
        </is>
      </c>
      <c r="B12" s="12" t="inlineStr">
        <is>
          <t>I.E.P.</t>
        </is>
      </c>
      <c r="C12" s="25" t="n">
        <v>446.45</v>
      </c>
      <c r="D12" s="25" t="n">
        <v>1479.22</v>
      </c>
      <c r="E12" s="25" t="n">
        <v>2514.05</v>
      </c>
      <c r="F12" s="25" t="n">
        <v>2954.87</v>
      </c>
      <c r="G12" s="25" t="n">
        <v>2954.87</v>
      </c>
      <c r="H12" s="25" t="n"/>
      <c r="I12" s="25" t="n"/>
      <c r="J12" s="25" t="n"/>
      <c r="K12" s="27">
        <f>SUM(C12:J12)</f>
        <v/>
      </c>
    </row>
    <row r="13">
      <c r="A13" s="12" t="inlineStr">
        <is>
          <t>R281</t>
        </is>
      </c>
      <c r="B13" s="12" t="inlineStr">
        <is>
          <t>Nuisance</t>
        </is>
      </c>
      <c r="C13" s="25" t="n">
        <v>5705.96</v>
      </c>
      <c r="D13" s="25" t="n">
        <v>7461.67</v>
      </c>
      <c r="E13" s="25" t="n">
        <v>9220.879999999999</v>
      </c>
      <c r="F13" s="25" t="n">
        <v>9970.280000000001</v>
      </c>
      <c r="G13" s="25" t="n">
        <v>9970.280000000001</v>
      </c>
      <c r="H13" s="25" t="n">
        <v>4947</v>
      </c>
      <c r="I13" s="25" t="n">
        <v>4947</v>
      </c>
      <c r="J13" s="25" t="n">
        <v>4947</v>
      </c>
      <c r="K13" s="27">
        <f>SUM(C13:J13)</f>
        <v/>
      </c>
    </row>
    <row r="14">
      <c r="A14" s="12" t="inlineStr">
        <is>
          <t>R291</t>
        </is>
      </c>
      <c r="B14" s="12" t="inlineStr">
        <is>
          <t>Responsabilité</t>
        </is>
      </c>
      <c r="C14" s="25" t="n"/>
      <c r="D14" s="25" t="n"/>
      <c r="E14" s="25" t="n"/>
      <c r="F14" s="25" t="n"/>
      <c r="G14" s="25" t="n"/>
      <c r="H14" s="25" t="n"/>
      <c r="I14" s="25" t="n"/>
      <c r="J14" s="25" t="n"/>
      <c r="K14" s="27">
        <f>SUM(C14:J14)</f>
        <v/>
      </c>
    </row>
    <row r="15">
      <c r="A15" s="12" t="inlineStr">
        <is>
          <t>R301</t>
        </is>
      </c>
      <c r="B15" s="12" t="inlineStr">
        <is>
          <t>P.R.I.</t>
        </is>
      </c>
      <c r="C15" s="25" t="n">
        <v>5325.67</v>
      </c>
      <c r="D15" s="25" t="n">
        <v>6874.82</v>
      </c>
      <c r="E15" s="25" t="n">
        <v>8427.07</v>
      </c>
      <c r="F15" s="25" t="n">
        <v>9088.299999999999</v>
      </c>
      <c r="G15" s="25" t="n">
        <v>9088.299999999999</v>
      </c>
      <c r="H15" s="25" t="n">
        <v>4656</v>
      </c>
      <c r="I15" s="25" t="n">
        <v>4656</v>
      </c>
      <c r="J15" s="25" t="n">
        <v>4656</v>
      </c>
      <c r="K15" s="27">
        <f>SUM(C15:J15)</f>
        <v/>
      </c>
    </row>
    <row r="16">
      <c r="A16" s="12" t="inlineStr">
        <is>
          <t>R320</t>
        </is>
      </c>
      <c r="B16" s="12" t="inlineStr">
        <is>
          <t>Prime de performance</t>
        </is>
      </c>
      <c r="C16" s="25" t="n"/>
      <c r="D16" s="25" t="n"/>
      <c r="E16" s="25" t="n"/>
      <c r="F16" s="25" t="n"/>
      <c r="G16" s="25" t="n"/>
      <c r="H16" s="25" t="n"/>
      <c r="I16" s="25" t="n"/>
      <c r="J16" s="25" t="n"/>
      <c r="K16" s="27">
        <f>SUM(C16:J16)</f>
        <v/>
      </c>
    </row>
    <row r="17">
      <c r="A17" s="12" t="inlineStr">
        <is>
          <t>STC</t>
        </is>
      </c>
      <c r="B17" s="12" t="inlineStr">
        <is>
          <t>Solde de tout compte (R546 / R040)</t>
        </is>
      </c>
      <c r="C17" s="25" t="n"/>
      <c r="D17" s="25" t="n"/>
      <c r="E17" s="25" t="n"/>
      <c r="F17" s="25" t="n"/>
      <c r="G17" s="25" t="n"/>
      <c r="H17" s="25" t="n">
        <v>87785.02</v>
      </c>
      <c r="I17" s="25" t="n"/>
      <c r="J17" s="25" t="n"/>
      <c r="K17" s="27">
        <f>SUM(C17:J17)</f>
        <v/>
      </c>
    </row>
    <row r="18">
      <c r="A18" s="12" t="inlineStr">
        <is>
          <t>R540</t>
        </is>
      </c>
      <c r="B18" s="12" t="inlineStr">
        <is>
          <t>Prime de ponctualité</t>
        </is>
      </c>
      <c r="C18" s="25" t="n"/>
      <c r="D18" s="25" t="n"/>
      <c r="E18" s="25" t="n"/>
      <c r="F18" s="25" t="n"/>
      <c r="G18" s="25" t="n"/>
      <c r="H18" s="25" t="n"/>
      <c r="I18" s="25" t="n"/>
      <c r="J18" s="25" t="n"/>
      <c r="K18" s="27">
        <f>SUM(C18:J18)</f>
        <v/>
      </c>
    </row>
    <row r="19">
      <c r="A19" s="4" t="inlineStr">
        <is>
          <t>R500</t>
        </is>
      </c>
      <c r="B19" s="4" t="inlineStr">
        <is>
          <t>SALAIRE DE POSTE (assiette CNAS)</t>
        </is>
      </c>
      <c r="C19" s="28" t="n">
        <v>45042.54</v>
      </c>
      <c r="D19" s="28" t="n">
        <v>59707.87</v>
      </c>
      <c r="E19" s="28" t="n">
        <v>82763.28999999999</v>
      </c>
      <c r="F19" s="28" t="n">
        <v>89022.95</v>
      </c>
      <c r="G19" s="28" t="n">
        <v>89022.95</v>
      </c>
      <c r="H19" s="28" t="n">
        <v>133791.14</v>
      </c>
      <c r="I19" s="28" t="n">
        <v>40176.22</v>
      </c>
      <c r="J19" s="28" t="n">
        <v>40176.22</v>
      </c>
      <c r="K19" s="7">
        <f>SUM(C19:J19)</f>
        <v/>
      </c>
    </row>
    <row r="20">
      <c r="A20" s="12" t="inlineStr">
        <is>
          <t>R500E</t>
        </is>
      </c>
      <c r="B20" s="12" t="inlineStr">
        <is>
          <t>Effectif cotisant (R500)</t>
        </is>
      </c>
      <c r="C20" s="23" t="n">
        <v>2</v>
      </c>
      <c r="D20" s="23" t="n">
        <v>2</v>
      </c>
      <c r="E20" s="23" t="n">
        <v>2</v>
      </c>
      <c r="F20" s="23" t="n">
        <v>2</v>
      </c>
      <c r="G20" s="23" t="n">
        <v>2</v>
      </c>
      <c r="H20" s="23" t="n">
        <v>2</v>
      </c>
      <c r="I20" s="23" t="n">
        <v>1</v>
      </c>
      <c r="J20" s="23" t="n">
        <v>1</v>
      </c>
      <c r="K20" s="12" t="n"/>
    </row>
    <row r="21">
      <c r="A21" s="12" t="inlineStr">
        <is>
          <t>R510</t>
        </is>
      </c>
      <c r="B21" s="12" t="inlineStr">
        <is>
          <t>Retenue sécurité sociale 9 %</t>
        </is>
      </c>
      <c r="C21" s="25" t="n">
        <v>4053.83</v>
      </c>
      <c r="D21" s="25" t="n">
        <v>5373.71</v>
      </c>
      <c r="E21" s="25" t="n">
        <v>7448.69</v>
      </c>
      <c r="F21" s="25" t="n">
        <v>8012.06</v>
      </c>
      <c r="G21" s="25" t="n">
        <v>8012.06</v>
      </c>
      <c r="H21" s="25" t="n">
        <v>12041.2</v>
      </c>
      <c r="I21" s="25" t="n">
        <v>3615.86</v>
      </c>
      <c r="J21" s="25" t="n">
        <v>3615.86</v>
      </c>
      <c r="K21" s="27">
        <f>SUM(C21:J21)</f>
        <v/>
      </c>
    </row>
    <row r="22">
      <c r="A22" s="12" t="inlineStr">
        <is>
          <t>R522</t>
        </is>
      </c>
      <c r="B22" s="12" t="inlineStr">
        <is>
          <t>Panier</t>
        </is>
      </c>
      <c r="C22" s="25" t="n">
        <v>3900</v>
      </c>
      <c r="D22" s="25" t="n">
        <v>4992</v>
      </c>
      <c r="E22" s="25" t="n">
        <v>6084</v>
      </c>
      <c r="F22" s="25" t="n">
        <v>6552</v>
      </c>
      <c r="G22" s="25" t="n">
        <v>6552</v>
      </c>
      <c r="H22" s="25" t="n">
        <v>3432</v>
      </c>
      <c r="I22" s="25" t="n">
        <v>3432</v>
      </c>
      <c r="J22" s="25" t="n">
        <v>3432</v>
      </c>
      <c r="K22" s="27">
        <f>SUM(C22:J22)</f>
        <v/>
      </c>
    </row>
    <row r="23">
      <c r="A23" s="12" t="inlineStr">
        <is>
          <t>R532</t>
        </is>
      </c>
      <c r="B23" s="12" t="inlineStr">
        <is>
          <t>Transport</t>
        </is>
      </c>
      <c r="C23" s="25" t="n">
        <v>2502.21</v>
      </c>
      <c r="D23" s="25" t="n">
        <v>3201.31</v>
      </c>
      <c r="E23" s="25" t="n">
        <v>3901.81</v>
      </c>
      <c r="F23" s="25" t="n">
        <v>4200.22</v>
      </c>
      <c r="G23" s="25" t="n">
        <v>4200.22</v>
      </c>
      <c r="H23" s="25" t="n">
        <v>2200</v>
      </c>
      <c r="I23" s="25" t="n">
        <v>2200</v>
      </c>
      <c r="J23" s="25" t="n">
        <v>2200</v>
      </c>
      <c r="K23" s="27">
        <f>SUM(C23:J23)</f>
        <v/>
      </c>
    </row>
    <row r="24">
      <c r="A24" s="4" t="inlineStr">
        <is>
          <t>R650</t>
        </is>
      </c>
      <c r="B24" s="4" t="inlineStr">
        <is>
          <t>Base imposable IRG</t>
        </is>
      </c>
      <c r="C24" s="28" t="n">
        <v>47390.92</v>
      </c>
      <c r="D24" s="28" t="n">
        <v>62527.47</v>
      </c>
      <c r="E24" s="28" t="n">
        <v>85300.39999999999</v>
      </c>
      <c r="F24" s="28" t="n">
        <v>91763.10000000001</v>
      </c>
      <c r="G24" s="28" t="n">
        <v>91763.10000000001</v>
      </c>
      <c r="H24" s="28" t="n">
        <v>127381.94</v>
      </c>
      <c r="I24" s="28" t="n">
        <v>42192.36</v>
      </c>
      <c r="J24" s="28" t="n">
        <v>42192.36</v>
      </c>
      <c r="K24" s="7">
        <f>SUM(C24:J24)</f>
        <v/>
      </c>
    </row>
    <row r="25">
      <c r="A25" s="12" t="inlineStr">
        <is>
          <t>R660</t>
        </is>
      </c>
      <c r="B25" s="12" t="inlineStr">
        <is>
          <t>Retenue IRG</t>
        </is>
      </c>
      <c r="C25" s="25" t="n">
        <v>3329.5</v>
      </c>
      <c r="D25" s="25" t="n">
        <v>3329.5</v>
      </c>
      <c r="E25" s="25" t="n">
        <v>7757.4</v>
      </c>
      <c r="F25" s="25" t="n">
        <v>9375.200000000001</v>
      </c>
      <c r="G25" s="25" t="n">
        <v>9375.200000000001</v>
      </c>
      <c r="H25" s="25" t="n">
        <v>18989.9</v>
      </c>
      <c r="I25" s="25" t="n">
        <v>3691.3</v>
      </c>
      <c r="J25" s="25" t="n">
        <v>3691.3</v>
      </c>
      <c r="K25" s="27">
        <f>SUM(C25:J25)</f>
        <v/>
      </c>
    </row>
    <row r="26">
      <c r="A26" s="12" t="inlineStr">
        <is>
          <t>R670</t>
        </is>
      </c>
      <c r="B26" s="12" t="inlineStr">
        <is>
          <t>Frais de mission</t>
        </is>
      </c>
      <c r="C26" s="25" t="n">
        <v>16210</v>
      </c>
      <c r="D26" s="25" t="n">
        <v>21145</v>
      </c>
      <c r="E26" s="25" t="n">
        <v>34960</v>
      </c>
      <c r="F26" s="25" t="n">
        <v>41615</v>
      </c>
      <c r="G26" s="25" t="n">
        <v>49115</v>
      </c>
      <c r="H26" s="25" t="n">
        <v>625</v>
      </c>
      <c r="I26" s="25" t="n"/>
      <c r="J26" s="25" t="n"/>
      <c r="K26" s="27">
        <f>SUM(C26:J26)</f>
        <v/>
      </c>
    </row>
    <row r="27">
      <c r="A27" s="12" t="inlineStr">
        <is>
          <t>R714</t>
        </is>
      </c>
      <c r="B27" s="12" t="inlineStr">
        <is>
          <t>Salaire unique</t>
        </is>
      </c>
      <c r="C27" s="25" t="n">
        <v>1000</v>
      </c>
      <c r="D27" s="25" t="n">
        <v>1000</v>
      </c>
      <c r="E27" s="25" t="n">
        <v>1000</v>
      </c>
      <c r="F27" s="25" t="n">
        <v>1000</v>
      </c>
      <c r="G27" s="25" t="n">
        <v>1000</v>
      </c>
      <c r="H27" s="25" t="n">
        <v>500</v>
      </c>
      <c r="I27" s="25" t="n">
        <v>500</v>
      </c>
      <c r="J27" s="25" t="n">
        <v>500</v>
      </c>
      <c r="K27" s="27">
        <f>SUM(C27:J27)</f>
        <v/>
      </c>
    </row>
    <row r="28">
      <c r="A28" s="12" t="inlineStr">
        <is>
          <t>R770</t>
        </is>
      </c>
      <c r="B28" s="12" t="inlineStr">
        <is>
          <t>NET À PAYER</t>
        </is>
      </c>
      <c r="C28" s="25" t="n">
        <v>61271.42</v>
      </c>
      <c r="D28" s="25" t="n">
        <v>81342.97</v>
      </c>
      <c r="E28" s="25" t="n">
        <v>113503.01</v>
      </c>
      <c r="F28" s="25" t="n">
        <v>125002.91</v>
      </c>
      <c r="G28" s="25" t="n">
        <v>132502.91</v>
      </c>
      <c r="H28" s="25" t="n">
        <v>109517.04</v>
      </c>
      <c r="I28" s="25" t="n">
        <v>39001.06</v>
      </c>
      <c r="J28" s="25" t="n">
        <v>39001.06</v>
      </c>
      <c r="K28" s="27">
        <f>SUM(C28:J28)</f>
        <v/>
      </c>
    </row>
    <row r="29">
      <c r="A29" s="12" t="inlineStr">
        <is>
          <t>TGG</t>
        </is>
      </c>
      <c r="B29" s="12" t="inlineStr">
        <is>
          <t>Total général — gains</t>
        </is>
      </c>
      <c r="C29" s="25" t="n">
        <v>125790.29</v>
      </c>
      <c r="D29" s="25" t="n">
        <v>136854.02</v>
      </c>
      <c r="E29" s="25" t="n">
        <v>165168.62</v>
      </c>
      <c r="F29" s="25" t="n">
        <v>174441.48</v>
      </c>
      <c r="G29" s="25" t="n">
        <v>181941.48</v>
      </c>
      <c r="H29" s="25" t="n">
        <v>202148.14</v>
      </c>
      <c r="I29" s="25" t="n">
        <v>75408.22</v>
      </c>
      <c r="J29" s="25" t="n">
        <v>46308.22</v>
      </c>
      <c r="K29" s="27">
        <f>SUM(C29:J29)</f>
        <v/>
      </c>
    </row>
    <row r="30">
      <c r="A30" s="12" t="inlineStr">
        <is>
          <t>TGR</t>
        </is>
      </c>
      <c r="B30" s="12" t="inlineStr">
        <is>
          <t>Total général — retenues</t>
        </is>
      </c>
      <c r="C30" s="25" t="n">
        <v>125790.29</v>
      </c>
      <c r="D30" s="25" t="n">
        <v>136854.02</v>
      </c>
      <c r="E30" s="25" t="n">
        <v>165168.62</v>
      </c>
      <c r="F30" s="25" t="n">
        <v>174441.48</v>
      </c>
      <c r="G30" s="25" t="n">
        <v>181941.48</v>
      </c>
      <c r="H30" s="25" t="n">
        <v>202148.14</v>
      </c>
      <c r="I30" s="25" t="n">
        <v>75408.22</v>
      </c>
      <c r="J30" s="25" t="n">
        <v>46308.22</v>
      </c>
      <c r="K30" s="27">
        <f>SUM(C30:J30)</f>
        <v/>
      </c>
    </row>
    <row r="32">
      <c r="A32" s="10" t="inlineStr">
        <is>
          <t>CONTRÔLES (doivent être à zéro, sauf mention)</t>
        </is>
      </c>
    </row>
    <row r="33">
      <c r="A33" s="12" t="inlineStr">
        <is>
          <t>C1</t>
        </is>
      </c>
      <c r="B33" s="29" t="inlineStr">
        <is>
          <t>Équilibre : total gains − total retenues</t>
        </is>
      </c>
      <c r="C33" s="30">
        <f>C29-C30</f>
        <v/>
      </c>
      <c r="D33" s="30">
        <f>D29-D30</f>
        <v/>
      </c>
      <c r="E33" s="30">
        <f>E29-E30</f>
        <v/>
      </c>
      <c r="F33" s="30">
        <f>F29-F30</f>
        <v/>
      </c>
      <c r="G33" s="30">
        <f>G29-G30</f>
        <v/>
      </c>
      <c r="H33" s="30">
        <f>H29-H30</f>
        <v/>
      </c>
      <c r="I33" s="30">
        <f>I29-I30</f>
        <v/>
      </c>
      <c r="J33" s="30">
        <f>J29-J30</f>
        <v/>
      </c>
      <c r="K33" s="27">
        <f>SUM(C33:J33)</f>
        <v/>
      </c>
    </row>
    <row r="34">
      <c r="A34" s="12" t="inlineStr">
        <is>
          <t>C2</t>
        </is>
      </c>
      <c r="B34" s="29" t="inlineStr">
        <is>
          <t>Équilibre comptable : R500+R540+R522+R532+R670+R714 − R510 − R660 − R770</t>
        </is>
      </c>
      <c r="C34" s="30">
        <f>C19+C18+C22+C23+C26+C27-C21-C25-C28</f>
        <v/>
      </c>
      <c r="D34" s="30">
        <f>D19+D18+D22+D23+D26+D27-D21-D25-D28</f>
        <v/>
      </c>
      <c r="E34" s="30">
        <f>E19+E18+E22+E23+E26+E27-E21-E25-E28</f>
        <v/>
      </c>
      <c r="F34" s="30">
        <f>F19+F18+F22+F23+F26+F27-F21-F25-F28</f>
        <v/>
      </c>
      <c r="G34" s="30">
        <f>G19+G18+G22+G23+G26+G27-G21-G25-G28</f>
        <v/>
      </c>
      <c r="H34" s="30">
        <f>H19+H18+H22+H23+H26+H27-H21-H25-H28</f>
        <v/>
      </c>
      <c r="I34" s="30">
        <f>I19+I18+I22+I23+I26+I27-I21-I25-I28</f>
        <v/>
      </c>
      <c r="J34" s="30">
        <f>J19+J18+J22+J23+J26+J27-J21-J25-J28</f>
        <v/>
      </c>
      <c r="K34" s="27">
        <f>SUM(C34:J34)</f>
        <v/>
      </c>
    </row>
    <row r="35">
      <c r="A35" s="12" t="inlineStr">
        <is>
          <t>C3</t>
        </is>
      </c>
      <c r="B35" s="29" t="inlineStr">
        <is>
          <t>Retenue SS − 9 % × salaire de poste (écart d'arrondi ≤ 0,02 admis)</t>
        </is>
      </c>
      <c r="C35" s="30">
        <f>C21-ROUND(C19*Paramètres!$B$7,2)</f>
        <v/>
      </c>
      <c r="D35" s="30">
        <f>D21-ROUND(D19*Paramètres!$B$7,2)</f>
        <v/>
      </c>
      <c r="E35" s="30">
        <f>E21-ROUND(E19*Paramètres!$B$7,2)</f>
        <v/>
      </c>
      <c r="F35" s="30">
        <f>F21-ROUND(F19*Paramètres!$B$7,2)</f>
        <v/>
      </c>
      <c r="G35" s="30">
        <f>G21-ROUND(G19*Paramètres!$B$7,2)</f>
        <v/>
      </c>
      <c r="H35" s="30">
        <f>H21-ROUND(H19*Paramètres!$B$7,2)</f>
        <v/>
      </c>
      <c r="I35" s="30">
        <f>I21-ROUND(I19*Paramètres!$B$7,2)</f>
        <v/>
      </c>
      <c r="J35" s="30">
        <f>J21-ROUND(J19*Paramètres!$B$7,2)</f>
        <v/>
      </c>
      <c r="K35" s="27">
        <f>SUM(C35:J35)</f>
        <v/>
      </c>
    </row>
    <row r="36">
      <c r="A36" s="12" t="inlineStr">
        <is>
          <t>C4</t>
        </is>
      </c>
      <c r="B36" s="29" t="inlineStr">
        <is>
          <t>Base IRG − (R500 − R510 + R522 + R532 + R540)</t>
        </is>
      </c>
      <c r="C36" s="30">
        <f>C24-(C19-C21+C22+C23+C18)</f>
        <v/>
      </c>
      <c r="D36" s="30">
        <f>D24-(D19-D21+D22+D23+D18)</f>
        <v/>
      </c>
      <c r="E36" s="30">
        <f>E24-(E19-E21+E22+E23+E18)</f>
        <v/>
      </c>
      <c r="F36" s="30">
        <f>F24-(F19-F21+F22+F23+F18)</f>
        <v/>
      </c>
      <c r="G36" s="30">
        <f>G24-(G19-G21+G22+G23+G18)</f>
        <v/>
      </c>
      <c r="H36" s="30">
        <f>H24-(H19-H21+H22+H23+H18)</f>
        <v/>
      </c>
      <c r="I36" s="30">
        <f>I24-(I19-I21+I22+I23+I18)</f>
        <v/>
      </c>
      <c r="J36" s="30">
        <f>J24-(J19-J21+J22+J23+J18)</f>
        <v/>
      </c>
      <c r="K36" s="27">
        <f>SUM(C36:J36)</f>
        <v/>
      </c>
    </row>
    <row r="37">
      <c r="A37" s="12" t="inlineStr">
        <is>
          <t>C5</t>
        </is>
      </c>
      <c r="B37" s="29" t="inlineStr">
        <is>
          <t>Éléments soumis NON inclus dans l'assiette CNAS (≠ 0 = anomalie A03)</t>
        </is>
      </c>
      <c r="C37" s="30">
        <f>(C6-C7-C8+C9+C10+C11+C12+C13+C14+C15+C16+C17+C18)-C19</f>
        <v/>
      </c>
      <c r="D37" s="30">
        <f>(D6-D7-D8+D9+D10+D11+D12+D13+D14+D15+D16+D17+D18)-D19</f>
        <v/>
      </c>
      <c r="E37" s="30">
        <f>(E6-E7-E8+E9+E10+E11+E12+E13+E14+E15+E16+E17+E18)-E19</f>
        <v/>
      </c>
      <c r="F37" s="30">
        <f>(F6-F7-F8+F9+F10+F11+F12+F13+F14+F15+F16+F17+F18)-F19</f>
        <v/>
      </c>
      <c r="G37" s="30">
        <f>(G6-G7-G8+G9+G10+G11+G12+G13+G14+G15+G16+G17+G18)-G19</f>
        <v/>
      </c>
      <c r="H37" s="30">
        <f>(H6-H7-H8+H9+H10+H11+H12+H13+H14+H15+H16+H17+H18)-H19</f>
        <v/>
      </c>
      <c r="I37" s="30">
        <f>(I6-I7-I8+I9+I10+I11+I12+I13+I14+I15+I16+I17+I18)-I19</f>
        <v/>
      </c>
      <c r="J37" s="30">
        <f>(J6-J7-J8+J9+J10+J11+J12+J13+J14+J15+J16+J17+J18)-J19</f>
        <v/>
      </c>
      <c r="K37" s="27">
        <f>SUM(C37:J37)</f>
        <v/>
      </c>
    </row>
  </sheetData>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W1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18" customWidth="1" min="4" max="4"/>
    <col width="15" customWidth="1" min="5" max="5"/>
    <col width="15" customWidth="1" min="6" max="6"/>
    <col width="12" customWidth="1" min="7" max="7"/>
    <col width="14" customWidth="1" min="8" max="8"/>
    <col width="12" customWidth="1" min="9" max="9"/>
    <col width="14" customWidth="1" min="10" max="10"/>
    <col width="14" customWidth="1" min="11" max="11"/>
    <col width="12" customWidth="1" min="12" max="12"/>
    <col width="11" customWidth="1" min="13" max="13"/>
    <col width="10" customWidth="1" min="14" max="14"/>
    <col width="9" customWidth="1" min="15" max="15"/>
    <col width="9" customWidth="1" min="16" max="16"/>
    <col width="9" customWidth="1" min="17" max="17"/>
    <col width="11" customWidth="1" min="18" max="18"/>
    <col width="11" customWidth="1" min="19" max="19"/>
    <col width="20" customWidth="1" min="20" max="20"/>
    <col width="13" customWidth="1" min="21" max="21"/>
    <col width="14" customWidth="1" min="22" max="22"/>
    <col width="60" customWidth="1" min="23" max="23"/>
  </cols>
  <sheetData>
    <row r="1">
      <c r="A1" s="1" t="inlineStr">
        <is>
          <t>Rapprochement paie ↔ déclarations CNAS 2026</t>
        </is>
      </c>
    </row>
    <row r="2">
      <c r="A2" s="2" t="inlineStr">
        <is>
          <t>Assiette paie = somme des salaires de poste (R500) des mois couverts. Colonnes bleues = valeurs lues sur les déclarations CNAS (vides = déclaration non reçue).</t>
        </is>
      </c>
    </row>
    <row r="4" ht="45" customHeight="1">
      <c r="A4" s="11" t="inlineStr">
        <is>
          <t>Réf</t>
        </is>
      </c>
      <c r="B4" s="11" t="inlineStr">
        <is>
          <t>Établissement</t>
        </is>
      </c>
      <c r="C4" s="11" t="inlineStr">
        <is>
          <t>Période</t>
        </is>
      </c>
      <c r="D4" s="11" t="inlineStr">
        <is>
          <t>Mois couverts</t>
        </is>
      </c>
      <c r="E4" s="11" t="inlineStr">
        <is>
          <t>Assiette paie (R500)</t>
        </is>
      </c>
      <c r="F4" s="11" t="inlineStr">
        <is>
          <t>Assiette déclarée</t>
        </is>
      </c>
      <c r="G4" s="11" t="inlineStr">
        <is>
          <t>Écart assiette</t>
        </is>
      </c>
      <c r="H4" s="11" t="inlineStr">
        <is>
          <t>R22 calculé</t>
        </is>
      </c>
      <c r="I4" s="11" t="inlineStr">
        <is>
          <t>R98 calculé</t>
        </is>
      </c>
      <c r="J4" s="11" t="inlineStr">
        <is>
          <t>Total calculé</t>
        </is>
      </c>
      <c r="K4" s="11" t="inlineStr">
        <is>
          <t>Total déclaré</t>
        </is>
      </c>
      <c r="L4" s="11" t="inlineStr">
        <is>
          <t>Écart cotisations</t>
        </is>
      </c>
      <c r="M4" s="11" t="inlineStr">
        <is>
          <t>Effectif fin période (paie)</t>
        </is>
      </c>
      <c r="N4" s="11" t="inlineStr">
        <is>
          <t>Effectif déclaré</t>
        </is>
      </c>
      <c r="O4" s="11" t="inlineStr">
        <is>
          <t>Entrées déclarées</t>
        </is>
      </c>
      <c r="P4" s="11" t="inlineStr">
        <is>
          <t>Sorties déclarées</t>
        </is>
      </c>
      <c r="Q4" s="11" t="inlineStr">
        <is>
          <t>STC payés (paie)</t>
        </is>
      </c>
      <c r="R4" s="11" t="inlineStr">
        <is>
          <t>Date dépôt</t>
        </is>
      </c>
      <c r="S4" s="11" t="inlineStr">
        <is>
          <t>Échéance</t>
        </is>
      </c>
      <c r="T4" s="11" t="inlineStr">
        <is>
          <t>Statut</t>
        </is>
      </c>
      <c r="U4" s="11" t="inlineStr">
        <is>
          <t>Ponctualité non soumise</t>
        </is>
      </c>
      <c r="V4" s="11" t="inlineStr">
        <is>
          <t>Cotisations sur ponctualité (35 %)</t>
        </is>
      </c>
      <c r="W4" s="11" t="inlineStr">
        <is>
          <t>Observation</t>
        </is>
      </c>
    </row>
    <row r="5" ht="48" customHeight="1">
      <c r="A5" s="12" t="inlineStr">
        <is>
          <t>D01</t>
        </is>
      </c>
      <c r="B5" s="12" t="inlineStr">
        <is>
          <t>IMPORT — 06713395 46</t>
        </is>
      </c>
      <c r="C5" s="12" t="inlineStr">
        <is>
          <t>Janvier 2026 (mensuelle)</t>
        </is>
      </c>
      <c r="D5" s="12" t="inlineStr">
        <is>
          <t>Janv</t>
        </is>
      </c>
      <c r="E5" s="6">
        <f>'Paie IMPORT'!C19</f>
        <v/>
      </c>
      <c r="F5" s="25" t="n">
        <v>818361.77</v>
      </c>
      <c r="G5" s="30">
        <f>IF(F5="","",E5-F5)</f>
        <v/>
      </c>
      <c r="H5" s="30">
        <f>ROUND(E5*Paramètres!$B$5,2)</f>
        <v/>
      </c>
      <c r="I5" s="30">
        <f>ROUND(E5*Paramètres!$B$6,2)</f>
        <v/>
      </c>
      <c r="J5" s="27">
        <f>H5+I5</f>
        <v/>
      </c>
      <c r="K5" s="25" t="n">
        <v>286426.62</v>
      </c>
      <c r="L5" s="30">
        <f>IF(K5="","",J5-K5)</f>
        <v/>
      </c>
      <c r="M5" s="8">
        <f>'Paie IMPORT'!C5</f>
        <v/>
      </c>
      <c r="N5" s="23" t="n">
        <v>12</v>
      </c>
      <c r="O5" s="23" t="n">
        <v>0</v>
      </c>
      <c r="P5" s="23" t="n">
        <v>0</v>
      </c>
      <c r="Q5" s="32">
        <f>IF('Paie IMPORT'!C17&gt;0,1,0)</f>
        <v/>
      </c>
      <c r="R5" s="22" t="inlineStr">
        <is>
          <t>28/02/2026</t>
        </is>
      </c>
      <c r="S5" s="22" t="inlineStr">
        <is>
          <t>28/02/2026</t>
        </is>
      </c>
      <c r="T5" s="4">
        <f>IF(K5="","À DÉPOSER / À FOURNIR",IF(AND(ABS(G5)&lt;1,ABS(L5)&lt;1),"Conforme","ÉCART"))</f>
        <v/>
      </c>
      <c r="U5" s="6">
        <f>'Paie IMPORT'!C18</f>
        <v/>
      </c>
      <c r="V5" s="30">
        <f>ROUND(U5*(Paramètres!$B$5+Paramètres!$B$6),2)</f>
        <v/>
      </c>
      <c r="W5" s="29" t="inlineStr">
        <is>
          <t>Conforme. Effectif 12 = paie.</t>
        </is>
      </c>
    </row>
    <row r="6" ht="48" customHeight="1">
      <c r="A6" s="12" t="inlineStr">
        <is>
          <t>D02</t>
        </is>
      </c>
      <c r="B6" s="12" t="inlineStr">
        <is>
          <t>IMPORT — 06713395 46</t>
        </is>
      </c>
      <c r="C6" s="12" t="inlineStr">
        <is>
          <t>Février 2026 (mensuelle)</t>
        </is>
      </c>
      <c r="D6" s="12" t="inlineStr">
        <is>
          <t>Févr</t>
        </is>
      </c>
      <c r="E6" s="6">
        <f>'Paie IMPORT'!D19</f>
        <v/>
      </c>
      <c r="F6" s="33" t="n"/>
      <c r="G6" s="30">
        <f>IF(F6="","",E6-F6)</f>
        <v/>
      </c>
      <c r="H6" s="30">
        <f>ROUND(E6*Paramètres!$B$5,2)</f>
        <v/>
      </c>
      <c r="I6" s="30">
        <f>ROUND(E6*Paramètres!$B$6,2)</f>
        <v/>
      </c>
      <c r="J6" s="27">
        <f>H6+I6</f>
        <v/>
      </c>
      <c r="K6" s="33" t="n"/>
      <c r="L6" s="30">
        <f>IF(K6="","",J6-K6)</f>
        <v/>
      </c>
      <c r="M6" s="8">
        <f>'Paie IMPORT'!D5</f>
        <v/>
      </c>
      <c r="N6" s="23" t="n"/>
      <c r="O6" s="23" t="n"/>
      <c r="P6" s="23" t="n"/>
      <c r="Q6" s="32">
        <f>IF('Paie IMPORT'!D17&gt;0,7,0)</f>
        <v/>
      </c>
      <c r="R6" s="22" t="n"/>
      <c r="S6" s="22" t="inlineStr">
        <is>
          <t>31/03/2026</t>
        </is>
      </c>
      <c r="T6" s="4">
        <f>IF(K6="","À DÉPOSER / À FOURNIR",IF(AND(ABS(G6)&lt;1,ABS(L6)&lt;1),"Conforme","ÉCART"))</f>
        <v/>
      </c>
      <c r="U6" s="6">
        <f>'Paie IMPORT'!D18</f>
        <v/>
      </c>
      <c r="V6" s="30">
        <f>ROUND(U6*(Paramètres!$B$5+Paramètres!$B$6),2)</f>
        <v/>
      </c>
      <c r="W6" s="29" t="inlineStr">
        <is>
          <t>DÉCLARATION NON FOURNIE. 7 STC payés en février : l'EMS doit déclarer 7 sorties (effectif 12 → 5).</t>
        </is>
      </c>
    </row>
    <row r="7" ht="48" customHeight="1">
      <c r="A7" s="12" t="inlineStr">
        <is>
          <t>D03</t>
        </is>
      </c>
      <c r="B7" s="12" t="inlineStr">
        <is>
          <t>IMPORT — 06713395 46</t>
        </is>
      </c>
      <c r="C7" s="12" t="inlineStr">
        <is>
          <t>Mars 2026 (mensuelle)</t>
        </is>
      </c>
      <c r="D7" s="12" t="inlineStr">
        <is>
          <t>Mars</t>
        </is>
      </c>
      <c r="E7" s="6">
        <f>'Paie IMPORT'!E19</f>
        <v/>
      </c>
      <c r="F7" s="25" t="n">
        <v>368389.93</v>
      </c>
      <c r="G7" s="30">
        <f>IF(F7="","",E7-F7)</f>
        <v/>
      </c>
      <c r="H7" s="30">
        <f>ROUND(E7*Paramètres!$B$5,2)</f>
        <v/>
      </c>
      <c r="I7" s="30">
        <f>ROUND(E7*Paramètres!$B$6,2)</f>
        <v/>
      </c>
      <c r="J7" s="27">
        <f>H7+I7</f>
        <v/>
      </c>
      <c r="K7" s="25" t="n">
        <v>128936.48</v>
      </c>
      <c r="L7" s="30">
        <f>IF(K7="","",J7-K7)</f>
        <v/>
      </c>
      <c r="M7" s="8">
        <f>'Paie IMPORT'!E5</f>
        <v/>
      </c>
      <c r="N7" s="23" t="n">
        <v>5</v>
      </c>
      <c r="O7" s="23" t="n">
        <v>0</v>
      </c>
      <c r="P7" s="23" t="n">
        <v>0</v>
      </c>
      <c r="Q7" s="32">
        <f>IF('Paie IMPORT'!E17&gt;0,1,0)</f>
        <v/>
      </c>
      <c r="R7" s="22" t="inlineStr">
        <is>
          <t>28/04/2026</t>
        </is>
      </c>
      <c r="S7" s="22" t="inlineStr">
        <is>
          <t>30/04/2026</t>
        </is>
      </c>
      <c r="T7" s="4">
        <f>IF(K7="","À DÉPOSER / À FOURNIR",IF(AND(ABS(G7)&lt;1,ABS(L7)&lt;1),"Conforme","ÉCART"))</f>
        <v/>
      </c>
      <c r="U7" s="6">
        <f>'Paie IMPORT'!E18</f>
        <v/>
      </c>
      <c r="V7" s="30">
        <f>ROUND(U7*(Paramètres!$B$5+Paramètres!$B$6),2)</f>
        <v/>
      </c>
      <c r="W7" s="29" t="inlineStr">
        <is>
          <t>Centralisateur de mars ABSENT : assiette déclarée non justifiable par la paie.</t>
        </is>
      </c>
    </row>
    <row r="8" ht="48" customHeight="1">
      <c r="A8" s="12" t="inlineStr">
        <is>
          <t>D04</t>
        </is>
      </c>
      <c r="B8" s="12" t="inlineStr">
        <is>
          <t>IMPORT — 06713395 46</t>
        </is>
      </c>
      <c r="C8" s="12" t="inlineStr">
        <is>
          <t>T2 2026 (avr–juin)</t>
        </is>
      </c>
      <c r="D8" s="12" t="inlineStr">
        <is>
          <t>Avr, Mai, Juin</t>
        </is>
      </c>
      <c r="E8" s="6">
        <f>SUM('Paie IMPORT'!F19:H19)</f>
        <v/>
      </c>
      <c r="F8" s="25" t="n">
        <v>1180389.75</v>
      </c>
      <c r="G8" s="30">
        <f>IF(F8="","",E8-F8)</f>
        <v/>
      </c>
      <c r="H8" s="30">
        <f>ROUND(E8*Paramètres!$B$5,2)</f>
        <v/>
      </c>
      <c r="I8" s="30">
        <f>ROUND(E8*Paramètres!$B$6,2)</f>
        <v/>
      </c>
      <c r="J8" s="27">
        <f>H8+I8</f>
        <v/>
      </c>
      <c r="K8" s="25" t="n">
        <v>413136.41</v>
      </c>
      <c r="L8" s="30">
        <f>IF(K8="","",J8-K8)</f>
        <v/>
      </c>
      <c r="M8" s="8">
        <f>'Paie IMPORT'!H5</f>
        <v/>
      </c>
      <c r="N8" s="23" t="n">
        <v>5</v>
      </c>
      <c r="O8" s="23" t="n">
        <v>0</v>
      </c>
      <c r="P8" s="23" t="n">
        <v>0</v>
      </c>
      <c r="Q8" s="32">
        <f>IF('Paie IMPORT'!F17&gt;0,1,0)+IF('Paie IMPORT'!G17&gt;0,1,0)+IF('Paie IMPORT'!H17&gt;0,1,0)</f>
        <v/>
      </c>
      <c r="R8" s="22" t="inlineStr">
        <is>
          <t>06/07/2026</t>
        </is>
      </c>
      <c r="S8" s="22" t="inlineStr">
        <is>
          <t>30/07/2026</t>
        </is>
      </c>
      <c r="T8" s="4">
        <f>IF(K8="","À DÉPOSER / À FOURNIR",IF(AND(ABS(G8)&lt;1,ABS(L8)&lt;1),"Conforme","ÉCART"))</f>
        <v/>
      </c>
      <c r="U8" s="6">
        <f>SUM('Paie IMPORT'!F18:H18)</f>
        <v/>
      </c>
      <c r="V8" s="30">
        <f>ROUND(U8*(Paramètres!$B$5+Paramètres!$B$6),2)</f>
        <v/>
      </c>
      <c r="W8" s="29" t="inlineStr">
        <is>
          <t>Conforme sur l'assiette R500. EMS néant cohérent.</t>
        </is>
      </c>
    </row>
    <row r="9" ht="48" customHeight="1">
      <c r="A9" s="12" t="inlineStr">
        <is>
          <t>D05</t>
        </is>
      </c>
      <c r="B9" s="12" t="inlineStr">
        <is>
          <t>IMPORT — 06713395 46</t>
        </is>
      </c>
      <c r="C9" s="12" t="inlineStr">
        <is>
          <t>T3 2026 (juil–sept)</t>
        </is>
      </c>
      <c r="D9" s="12" t="inlineStr">
        <is>
          <t>Juil, Août (+ sept. à venir)</t>
        </is>
      </c>
      <c r="E9" s="6">
        <f>SUM('Paie IMPORT'!I19:J19)</f>
        <v/>
      </c>
      <c r="F9" s="33" t="n"/>
      <c r="G9" s="30">
        <f>IF(F9="","",E9-F9)</f>
        <v/>
      </c>
      <c r="H9" s="30">
        <f>ROUND(E9*Paramètres!$B$5,2)</f>
        <v/>
      </c>
      <c r="I9" s="30">
        <f>ROUND(E9*Paramètres!$B$6,2)</f>
        <v/>
      </c>
      <c r="J9" s="27">
        <f>H9+I9</f>
        <v/>
      </c>
      <c r="K9" s="33" t="n"/>
      <c r="L9" s="30">
        <f>IF(K9="","",J9-K9)</f>
        <v/>
      </c>
      <c r="M9" s="8">
        <f>'Paie IMPORT'!J5</f>
        <v/>
      </c>
      <c r="N9" s="23" t="n"/>
      <c r="O9" s="23" t="n"/>
      <c r="P9" s="23" t="n"/>
      <c r="Q9" s="32">
        <f>IF('Paie IMPORT'!I17&gt;0,1,0)+IF('Paie IMPORT'!J17&gt;0,1,0)</f>
        <v/>
      </c>
      <c r="R9" s="22" t="n"/>
      <c r="S9" s="22" t="inlineStr">
        <is>
          <t>30/10/2026</t>
        </is>
      </c>
      <c r="T9" s="4">
        <f>IF(K9="","À DÉPOSER / À FOURNIR",IF(AND(ABS(G9)&lt;1,ABS(L9)&lt;1),"Conforme","ÉCART"))</f>
        <v/>
      </c>
      <c r="U9" s="6">
        <f>SUM('Paie IMPORT'!I18:J18)</f>
        <v/>
      </c>
      <c r="V9" s="30">
        <f>ROUND(U9*(Paramètres!$B$5+Paramètres!$B$6),2)</f>
        <v/>
      </c>
      <c r="W9" s="29" t="inlineStr">
        <is>
          <t>À ÉTABLIR. Septembre non fourni (cumul juil–août seulement). 1 STC en août → 1 sortie à déclarer.</t>
        </is>
      </c>
    </row>
    <row r="10" ht="48" customHeight="1">
      <c r="A10" s="12" t="inlineStr">
        <is>
          <t>D06</t>
        </is>
      </c>
      <c r="B10" s="12" t="inlineStr">
        <is>
          <t>TPM — 06736613 53</t>
        </is>
      </c>
      <c r="C10" s="12" t="inlineStr">
        <is>
          <t>T1 2026 (janv–mars)</t>
        </is>
      </c>
      <c r="D10" s="12" t="inlineStr">
        <is>
          <t>Janv, Févr, Mars</t>
        </is>
      </c>
      <c r="E10" s="6">
        <f>SUM('Paie TPM'!C19:E19)</f>
        <v/>
      </c>
      <c r="F10" s="25" t="n">
        <v>187513.7</v>
      </c>
      <c r="G10" s="30">
        <f>IF(F10="","",E10-F10)</f>
        <v/>
      </c>
      <c r="H10" s="30">
        <f>ROUND(E10*Paramètres!$B$5,2)</f>
        <v/>
      </c>
      <c r="I10" s="30">
        <f>ROUND(E10*Paramètres!$B$6,2)</f>
        <v/>
      </c>
      <c r="J10" s="27">
        <f>H10+I10</f>
        <v/>
      </c>
      <c r="K10" s="25" t="n">
        <v>65629.8</v>
      </c>
      <c r="L10" s="30">
        <f>IF(K10="","",J10-K10)</f>
        <v/>
      </c>
      <c r="M10" s="8">
        <f>'Paie TPM'!E5</f>
        <v/>
      </c>
      <c r="N10" s="23" t="n">
        <v>2</v>
      </c>
      <c r="O10" s="23" t="n">
        <v>0</v>
      </c>
      <c r="P10" s="23" t="n">
        <v>0</v>
      </c>
      <c r="Q10" s="32">
        <f>IF('Paie TPM'!C17&gt;0,1,0)+IF('Paie TPM'!D17&gt;0,1,0)+IF('Paie TPM'!E17&gt;0,1,0)</f>
        <v/>
      </c>
      <c r="R10" s="22" t="inlineStr">
        <is>
          <t>28/04/2026</t>
        </is>
      </c>
      <c r="S10" s="22" t="inlineStr">
        <is>
          <t>30/04/2026</t>
        </is>
      </c>
      <c r="T10" s="4">
        <f>IF(K10="","À DÉPOSER / À FOURNIR",IF(AND(ABS(G10)&lt;1,ABS(L10)&lt;1),"Conforme","ÉCART"))</f>
        <v/>
      </c>
      <c r="U10" s="6">
        <f>SUM('Paie TPM'!C18:E18)</f>
        <v/>
      </c>
      <c r="V10" s="30">
        <f>ROUND(U10*(Paramètres!$B$5+Paramètres!$B$6),2)</f>
        <v/>
      </c>
      <c r="W10" s="29" t="inlineStr">
        <is>
          <t>Assiette conforme. Effectif déclaré 2, paie = 3 salariés (1 absent non rémunéré) : T2 = 2 après 1 sortie ⇒ T1 aurait dû être 3.</t>
        </is>
      </c>
    </row>
    <row r="11" ht="48" customHeight="1">
      <c r="A11" s="12" t="inlineStr">
        <is>
          <t>D07</t>
        </is>
      </c>
      <c r="B11" s="12" t="inlineStr">
        <is>
          <t>TPM — 06736613 53</t>
        </is>
      </c>
      <c r="C11" s="12" t="inlineStr">
        <is>
          <t>T2 2026 (avr–juin)</t>
        </is>
      </c>
      <c r="D11" s="12" t="inlineStr">
        <is>
          <t>Avr, Mai, Juin</t>
        </is>
      </c>
      <c r="E11" s="6">
        <f>SUM('Paie TPM'!F19:H19)</f>
        <v/>
      </c>
      <c r="F11" s="25" t="n">
        <v>311837.04</v>
      </c>
      <c r="G11" s="30">
        <f>IF(F11="","",E11-F11)</f>
        <v/>
      </c>
      <c r="H11" s="30">
        <f>ROUND(E11*Paramètres!$B$5,2)</f>
        <v/>
      </c>
      <c r="I11" s="30">
        <f>ROUND(E11*Paramètres!$B$6,2)</f>
        <v/>
      </c>
      <c r="J11" s="27">
        <f>H11+I11</f>
        <v/>
      </c>
      <c r="K11" s="25" t="n">
        <v>109142.97</v>
      </c>
      <c r="L11" s="30">
        <f>IF(K11="","",J11-K11)</f>
        <v/>
      </c>
      <c r="M11" s="8">
        <f>'Paie TPM'!H5</f>
        <v/>
      </c>
      <c r="N11" s="23" t="n">
        <v>2</v>
      </c>
      <c r="O11" s="23" t="n">
        <v>0</v>
      </c>
      <c r="P11" s="23" t="n">
        <v>1</v>
      </c>
      <c r="Q11" s="32">
        <f>IF('Paie TPM'!F17&gt;0,1,0)+IF('Paie TPM'!G17&gt;0,1,0)+IF('Paie TPM'!H17&gt;0,1,0)</f>
        <v/>
      </c>
      <c r="R11" s="22" t="inlineStr">
        <is>
          <t>23/07/2026</t>
        </is>
      </c>
      <c r="S11" s="22" t="inlineStr">
        <is>
          <t>30/07/2026</t>
        </is>
      </c>
      <c r="T11" s="4">
        <f>IF(K11="","À DÉPOSER / À FOURNIR",IF(AND(ABS(G11)&lt;1,ABS(L11)&lt;1),"Conforme","ÉCART"))</f>
        <v/>
      </c>
      <c r="U11" s="6">
        <f>SUM('Paie TPM'!F18:H18)</f>
        <v/>
      </c>
      <c r="V11" s="30">
        <f>ROUND(U11*(Paramètres!$B$5+Paramètres!$B$6),2)</f>
        <v/>
      </c>
      <c r="W11" s="29" t="inlineStr">
        <is>
          <t>Conforme. Sortie ELHOUANNES Boualem (SS 630003079056) au 01/06/2026, STC 87 785,02 en juin.</t>
        </is>
      </c>
    </row>
    <row r="12" ht="48" customHeight="1">
      <c r="A12" s="12" t="inlineStr">
        <is>
          <t>D08</t>
        </is>
      </c>
      <c r="B12" s="12" t="inlineStr">
        <is>
          <t>TPM — 06736613 53</t>
        </is>
      </c>
      <c r="C12" s="12" t="inlineStr">
        <is>
          <t>T3 2026 (juil–sept)</t>
        </is>
      </c>
      <c r="D12" s="12" t="inlineStr">
        <is>
          <t>Juil, Août (+ sept. à venir)</t>
        </is>
      </c>
      <c r="E12" s="6">
        <f>SUM('Paie TPM'!I19:J19)</f>
        <v/>
      </c>
      <c r="F12" s="33" t="n"/>
      <c r="G12" s="30">
        <f>IF(F12="","",E12-F12)</f>
        <v/>
      </c>
      <c r="H12" s="30">
        <f>ROUND(E12*Paramètres!$B$5,2)</f>
        <v/>
      </c>
      <c r="I12" s="30">
        <f>ROUND(E12*Paramètres!$B$6,2)</f>
        <v/>
      </c>
      <c r="J12" s="27">
        <f>H12+I12</f>
        <v/>
      </c>
      <c r="K12" s="33" t="n"/>
      <c r="L12" s="30">
        <f>IF(K12="","",J12-K12)</f>
        <v/>
      </c>
      <c r="M12" s="8">
        <f>'Paie TPM'!J5</f>
        <v/>
      </c>
      <c r="N12" s="23" t="n"/>
      <c r="O12" s="23" t="n"/>
      <c r="P12" s="23" t="n"/>
      <c r="Q12" s="32">
        <f>IF('Paie TPM'!I17&gt;0,1,0)+IF('Paie TPM'!J17&gt;0,1,0)</f>
        <v/>
      </c>
      <c r="R12" s="22" t="n"/>
      <c r="S12" s="22" t="inlineStr">
        <is>
          <t>30/10/2026</t>
        </is>
      </c>
      <c r="T12" s="4">
        <f>IF(K12="","À DÉPOSER / À FOURNIR",IF(AND(ABS(G12)&lt;1,ABS(L12)&lt;1),"Conforme","ÉCART"))</f>
        <v/>
      </c>
      <c r="U12" s="6">
        <f>SUM('Paie TPM'!I18:J18)</f>
        <v/>
      </c>
      <c r="V12" s="30">
        <f>ROUND(U12*(Paramètres!$B$5+Paramètres!$B$6),2)</f>
        <v/>
      </c>
      <c r="W12" s="29" t="inlineStr">
        <is>
          <t>À ÉTABLIR. Effectif 2 en juillet → 1 en août sans STC : 1 sortie + STC à régulariser.</t>
        </is>
      </c>
    </row>
    <row r="13">
      <c r="A13" s="4" t="inlineStr">
        <is>
          <t>TOTAL</t>
        </is>
      </c>
      <c r="E13" s="7">
        <f>SUM(E5:E12)</f>
        <v/>
      </c>
      <c r="F13" s="7">
        <f>SUM(F5:F12)</f>
        <v/>
      </c>
      <c r="H13" s="7">
        <f>SUM(H5:H12)</f>
        <v/>
      </c>
      <c r="I13" s="7">
        <f>SUM(I5:I12)</f>
        <v/>
      </c>
      <c r="J13" s="7">
        <f>SUM(J5:J12)</f>
        <v/>
      </c>
      <c r="K13" s="7">
        <f>SUM(K5:K12)</f>
        <v/>
      </c>
      <c r="U13" s="7">
        <f>SUM(U5:U12)</f>
        <v/>
      </c>
      <c r="V13" s="7">
        <f>SUM(V5:V12)</f>
        <v/>
      </c>
    </row>
    <row r="15">
      <c r="A15" s="2" t="inlineStr">
        <is>
          <t>Note : D03 (mars IMPORT) — l'assiette paie ressort à 0 car le centralisateur de mars est absent ; l'écart affiché disparaîtra dès sa saisie dans « Paie IMPORT », colonne E.</t>
        </is>
      </c>
    </row>
    <row r="16">
      <c r="A16" s="2" t="inlineStr">
        <is>
          <t>Note : les bordereaux de versement portent « Montant de versement 0,00 » : joindre les preuves de paiement (reçus CNAS / virements).</t>
        </is>
      </c>
    </row>
  </sheetData>
  <conditionalFormatting sqref="T5:T12">
    <cfRule type="cellIs" priority="1" operator="equal" dxfId="0">
      <formula>"Conforme"</formula>
    </cfRule>
    <cfRule type="cellIs" priority="2" operator="notEqual" dxfId="1">
      <formula>"Conforme"</formula>
    </cfRule>
  </conditionalFormatting>
  <pageMargins left="0.75" right="0.75" top="1" bottom="1" header="0.5" footer="0.5"/>
  <pageSetup orientation="landscape" fitToHeight="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G142"/>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12" customWidth="1" min="3" max="3"/>
    <col width="9" customWidth="1" min="4" max="4"/>
    <col width="58" customWidth="1" min="5" max="5"/>
    <col width="16" customWidth="1" min="6" max="6"/>
    <col width="16" customWidth="1" min="7" max="7"/>
  </cols>
  <sheetData>
    <row r="1">
      <c r="A1" s="1" t="inlineStr">
        <is>
          <t>Journal de paie 2026 — écritures proposées (SCF)</t>
        </is>
      </c>
    </row>
    <row r="2">
      <c r="A2" s="2" t="inlineStr">
        <is>
          <t>Une écriture de paie + une écriture de charges patronales par mois et par établissement. Montants liés aux feuilles « Paie ».</t>
        </is>
      </c>
    </row>
    <row r="4">
      <c r="A4" s="11" t="inlineStr">
        <is>
          <t>Pièce</t>
        </is>
      </c>
      <c r="B4" s="11" t="inlineStr">
        <is>
          <t>Mois</t>
        </is>
      </c>
      <c r="C4" s="11" t="inlineStr">
        <is>
          <t>Établissement</t>
        </is>
      </c>
      <c r="D4" s="11" t="inlineStr">
        <is>
          <t>Compte</t>
        </is>
      </c>
      <c r="E4" s="11" t="inlineStr">
        <is>
          <t>Libellé</t>
        </is>
      </c>
      <c r="F4" s="11" t="inlineStr">
        <is>
          <t>Débit</t>
        </is>
      </c>
      <c r="G4" s="11" t="inlineStr">
        <is>
          <t>Crédit</t>
        </is>
      </c>
    </row>
    <row r="5">
      <c r="A5" s="12" t="inlineStr">
        <is>
          <t>PAIE-IMP-01</t>
        </is>
      </c>
      <c r="B5" s="12" t="inlineStr">
        <is>
          <t>Janv 2026</t>
        </is>
      </c>
      <c r="C5" s="12" t="inlineStr">
        <is>
          <t>IMPORT</t>
        </is>
      </c>
      <c r="D5" s="4" t="inlineStr">
        <is>
          <t>631</t>
        </is>
      </c>
      <c r="E5" s="12" t="inlineStr">
        <is>
          <t>Rémunérations (salaire de poste + ponctualité)</t>
        </is>
      </c>
      <c r="F5" s="6">
        <f>'Paie IMPORT'!C19+'Paie IMPORT'!C18</f>
        <v/>
      </c>
      <c r="G5" s="6" t="n"/>
    </row>
    <row r="6">
      <c r="A6" s="12" t="inlineStr">
        <is>
          <t>PAIE-IMP-01</t>
        </is>
      </c>
      <c r="B6" s="12" t="inlineStr">
        <is>
          <t>Janv 2026</t>
        </is>
      </c>
      <c r="C6" s="12" t="inlineStr">
        <is>
          <t>IMPORT</t>
        </is>
      </c>
      <c r="D6" s="4" t="inlineStr">
        <is>
          <t>638</t>
        </is>
      </c>
      <c r="E6" s="12" t="inlineStr">
        <is>
          <t>Indemnités panier et transport</t>
        </is>
      </c>
      <c r="F6" s="6">
        <f>'Paie IMPORT'!C22+'Paie IMPORT'!C23</f>
        <v/>
      </c>
      <c r="G6" s="6" t="n"/>
    </row>
    <row r="7">
      <c r="A7" s="12" t="inlineStr">
        <is>
          <t>PAIE-IMP-01</t>
        </is>
      </c>
      <c r="B7" s="12" t="inlineStr">
        <is>
          <t>Janv 2026</t>
        </is>
      </c>
      <c r="C7" s="12" t="inlineStr">
        <is>
          <t>IMPORT</t>
        </is>
      </c>
      <c r="D7" s="4" t="inlineStr">
        <is>
          <t>625</t>
        </is>
      </c>
      <c r="E7" s="12" t="inlineStr">
        <is>
          <t>Frais de mission</t>
        </is>
      </c>
      <c r="F7" s="6">
        <f>'Paie IMPORT'!C26</f>
        <v/>
      </c>
      <c r="G7" s="6" t="n"/>
    </row>
    <row r="8">
      <c r="A8" s="12" t="inlineStr">
        <is>
          <t>PAIE-IMP-01</t>
        </is>
      </c>
      <c r="B8" s="12" t="inlineStr">
        <is>
          <t>Janv 2026</t>
        </is>
      </c>
      <c r="C8" s="12" t="inlineStr">
        <is>
          <t>IMPORT</t>
        </is>
      </c>
      <c r="D8" s="4" t="inlineStr">
        <is>
          <t>431</t>
        </is>
      </c>
      <c r="E8" s="12" t="inlineStr">
        <is>
          <t>Salaire unique avancé pour compte CNAS (à valider)</t>
        </is>
      </c>
      <c r="F8" s="6">
        <f>'Paie IMPORT'!C27</f>
        <v/>
      </c>
      <c r="G8" s="6" t="n"/>
    </row>
    <row r="9">
      <c r="A9" s="12" t="inlineStr">
        <is>
          <t>PAIE-IMP-01</t>
        </is>
      </c>
      <c r="B9" s="12" t="inlineStr">
        <is>
          <t>Janv 2026</t>
        </is>
      </c>
      <c r="C9" s="12" t="inlineStr">
        <is>
          <t>IMPORT</t>
        </is>
      </c>
      <c r="D9" s="4" t="inlineStr">
        <is>
          <t>431</t>
        </is>
      </c>
      <c r="E9" s="12" t="inlineStr">
        <is>
          <t>CNAS — retenue salariale 9 %</t>
        </is>
      </c>
      <c r="F9" s="6" t="n"/>
      <c r="G9" s="6">
        <f>'Paie IMPORT'!C21</f>
        <v/>
      </c>
    </row>
    <row r="10">
      <c r="A10" s="12" t="inlineStr">
        <is>
          <t>PAIE-IMP-01</t>
        </is>
      </c>
      <c r="B10" s="12" t="inlineStr">
        <is>
          <t>Janv 2026</t>
        </is>
      </c>
      <c r="C10" s="12" t="inlineStr">
        <is>
          <t>IMPORT</t>
        </is>
      </c>
      <c r="D10" s="4" t="inlineStr">
        <is>
          <t>442</t>
        </is>
      </c>
      <c r="E10" s="12" t="inlineStr">
        <is>
          <t>IRG retenu à la source</t>
        </is>
      </c>
      <c r="F10" s="6" t="n"/>
      <c r="G10" s="6">
        <f>'Paie IMPORT'!C25</f>
        <v/>
      </c>
    </row>
    <row r="11">
      <c r="A11" s="12" t="inlineStr">
        <is>
          <t>PAIE-IMP-01</t>
        </is>
      </c>
      <c r="B11" s="12" t="inlineStr">
        <is>
          <t>Janv 2026</t>
        </is>
      </c>
      <c r="C11" s="12" t="inlineStr">
        <is>
          <t>IMPORT</t>
        </is>
      </c>
      <c r="D11" s="4" t="inlineStr">
        <is>
          <t>421</t>
        </is>
      </c>
      <c r="E11" s="12" t="inlineStr">
        <is>
          <t>Net à payer au personnel</t>
        </is>
      </c>
      <c r="F11" s="6" t="n"/>
      <c r="G11" s="6">
        <f>'Paie IMPORT'!C28</f>
        <v/>
      </c>
    </row>
    <row r="12">
      <c r="A12" s="12" t="inlineStr">
        <is>
          <t>CNAS-IMP-01</t>
        </is>
      </c>
      <c r="B12" s="12" t="inlineStr">
        <is>
          <t>Janv 2026</t>
        </is>
      </c>
      <c r="C12" s="12" t="inlineStr">
        <is>
          <t>IMPORT</t>
        </is>
      </c>
      <c r="D12" s="4" t="inlineStr">
        <is>
          <t>635</t>
        </is>
      </c>
      <c r="E12" s="12" t="inlineStr">
        <is>
          <t>Charges patronales CNAS (26 %)</t>
        </is>
      </c>
      <c r="F12" s="30">
        <f>ROUND('Paie IMPORT'!C19*Paramètres!$B$8,2)</f>
        <v/>
      </c>
      <c r="G12" s="30" t="n"/>
    </row>
    <row r="13">
      <c r="A13" s="12" t="inlineStr">
        <is>
          <t>CNAS-IMP-01</t>
        </is>
      </c>
      <c r="B13" s="12" t="inlineStr">
        <is>
          <t>Janv 2026</t>
        </is>
      </c>
      <c r="C13" s="12" t="inlineStr">
        <is>
          <t>IMPORT</t>
        </is>
      </c>
      <c r="D13" s="4" t="inlineStr">
        <is>
          <t>431</t>
        </is>
      </c>
      <c r="E13" s="12" t="inlineStr">
        <is>
          <t>CNAS — part patronale à reverser</t>
        </is>
      </c>
      <c r="F13" s="30" t="n"/>
      <c r="G13" s="30">
        <f>ROUND('Paie IMPORT'!C19*Paramètres!$B$8,2)</f>
        <v/>
      </c>
    </row>
    <row r="14">
      <c r="A14" s="12" t="inlineStr">
        <is>
          <t>PAIE-IMP-02</t>
        </is>
      </c>
      <c r="B14" s="12" t="inlineStr">
        <is>
          <t>Févr 2026</t>
        </is>
      </c>
      <c r="C14" s="12" t="inlineStr">
        <is>
          <t>IMPORT</t>
        </is>
      </c>
      <c r="D14" s="4" t="inlineStr">
        <is>
          <t>631</t>
        </is>
      </c>
      <c r="E14" s="12" t="inlineStr">
        <is>
          <t>Rémunérations (salaire de poste + ponctualité)</t>
        </is>
      </c>
      <c r="F14" s="6">
        <f>'Paie IMPORT'!D19+'Paie IMPORT'!D18</f>
        <v/>
      </c>
      <c r="G14" s="6" t="n"/>
    </row>
    <row r="15">
      <c r="A15" s="12" t="inlineStr">
        <is>
          <t>PAIE-IMP-02</t>
        </is>
      </c>
      <c r="B15" s="12" t="inlineStr">
        <is>
          <t>Févr 2026</t>
        </is>
      </c>
      <c r="C15" s="12" t="inlineStr">
        <is>
          <t>IMPORT</t>
        </is>
      </c>
      <c r="D15" s="4" t="inlineStr">
        <is>
          <t>638</t>
        </is>
      </c>
      <c r="E15" s="12" t="inlineStr">
        <is>
          <t>Indemnités panier et transport</t>
        </is>
      </c>
      <c r="F15" s="6">
        <f>'Paie IMPORT'!D22+'Paie IMPORT'!D23</f>
        <v/>
      </c>
      <c r="G15" s="6" t="n"/>
    </row>
    <row r="16">
      <c r="A16" s="12" t="inlineStr">
        <is>
          <t>PAIE-IMP-02</t>
        </is>
      </c>
      <c r="B16" s="12" t="inlineStr">
        <is>
          <t>Févr 2026</t>
        </is>
      </c>
      <c r="C16" s="12" t="inlineStr">
        <is>
          <t>IMPORT</t>
        </is>
      </c>
      <c r="D16" s="4" t="inlineStr">
        <is>
          <t>625</t>
        </is>
      </c>
      <c r="E16" s="12" t="inlineStr">
        <is>
          <t>Frais de mission</t>
        </is>
      </c>
      <c r="F16" s="6">
        <f>'Paie IMPORT'!D26</f>
        <v/>
      </c>
      <c r="G16" s="6" t="n"/>
    </row>
    <row r="17">
      <c r="A17" s="12" t="inlineStr">
        <is>
          <t>PAIE-IMP-02</t>
        </is>
      </c>
      <c r="B17" s="12" t="inlineStr">
        <is>
          <t>Févr 2026</t>
        </is>
      </c>
      <c r="C17" s="12" t="inlineStr">
        <is>
          <t>IMPORT</t>
        </is>
      </c>
      <c r="D17" s="4" t="inlineStr">
        <is>
          <t>431</t>
        </is>
      </c>
      <c r="E17" s="12" t="inlineStr">
        <is>
          <t>Salaire unique avancé pour compte CNAS (à valider)</t>
        </is>
      </c>
      <c r="F17" s="6">
        <f>'Paie IMPORT'!D27</f>
        <v/>
      </c>
      <c r="G17" s="6" t="n"/>
    </row>
    <row r="18">
      <c r="A18" s="12" t="inlineStr">
        <is>
          <t>PAIE-IMP-02</t>
        </is>
      </c>
      <c r="B18" s="12" t="inlineStr">
        <is>
          <t>Févr 2026</t>
        </is>
      </c>
      <c r="C18" s="12" t="inlineStr">
        <is>
          <t>IMPORT</t>
        </is>
      </c>
      <c r="D18" s="4" t="inlineStr">
        <is>
          <t>431</t>
        </is>
      </c>
      <c r="E18" s="12" t="inlineStr">
        <is>
          <t>CNAS — retenue salariale 9 %</t>
        </is>
      </c>
      <c r="F18" s="6" t="n"/>
      <c r="G18" s="6">
        <f>'Paie IMPORT'!D21</f>
        <v/>
      </c>
    </row>
    <row r="19">
      <c r="A19" s="12" t="inlineStr">
        <is>
          <t>PAIE-IMP-02</t>
        </is>
      </c>
      <c r="B19" s="12" t="inlineStr">
        <is>
          <t>Févr 2026</t>
        </is>
      </c>
      <c r="C19" s="12" t="inlineStr">
        <is>
          <t>IMPORT</t>
        </is>
      </c>
      <c r="D19" s="4" t="inlineStr">
        <is>
          <t>442</t>
        </is>
      </c>
      <c r="E19" s="12" t="inlineStr">
        <is>
          <t>IRG retenu à la source</t>
        </is>
      </c>
      <c r="F19" s="6" t="n"/>
      <c r="G19" s="6">
        <f>'Paie IMPORT'!D25</f>
        <v/>
      </c>
    </row>
    <row r="20">
      <c r="A20" s="12" t="inlineStr">
        <is>
          <t>PAIE-IMP-02</t>
        </is>
      </c>
      <c r="B20" s="12" t="inlineStr">
        <is>
          <t>Févr 2026</t>
        </is>
      </c>
      <c r="C20" s="12" t="inlineStr">
        <is>
          <t>IMPORT</t>
        </is>
      </c>
      <c r="D20" s="4" t="inlineStr">
        <is>
          <t>421</t>
        </is>
      </c>
      <c r="E20" s="12" t="inlineStr">
        <is>
          <t>Net à payer au personnel</t>
        </is>
      </c>
      <c r="F20" s="6" t="n"/>
      <c r="G20" s="6">
        <f>'Paie IMPORT'!D28</f>
        <v/>
      </c>
    </row>
    <row r="21">
      <c r="A21" s="12" t="inlineStr">
        <is>
          <t>CNAS-IMP-02</t>
        </is>
      </c>
      <c r="B21" s="12" t="inlineStr">
        <is>
          <t>Févr 2026</t>
        </is>
      </c>
      <c r="C21" s="12" t="inlineStr">
        <is>
          <t>IMPORT</t>
        </is>
      </c>
      <c r="D21" s="4" t="inlineStr">
        <is>
          <t>635</t>
        </is>
      </c>
      <c r="E21" s="12" t="inlineStr">
        <is>
          <t>Charges patronales CNAS (26 %)</t>
        </is>
      </c>
      <c r="F21" s="30">
        <f>ROUND('Paie IMPORT'!D19*Paramètres!$B$8,2)</f>
        <v/>
      </c>
      <c r="G21" s="30" t="n"/>
    </row>
    <row r="22">
      <c r="A22" s="12" t="inlineStr">
        <is>
          <t>CNAS-IMP-02</t>
        </is>
      </c>
      <c r="B22" s="12" t="inlineStr">
        <is>
          <t>Févr 2026</t>
        </is>
      </c>
      <c r="C22" s="12" t="inlineStr">
        <is>
          <t>IMPORT</t>
        </is>
      </c>
      <c r="D22" s="4" t="inlineStr">
        <is>
          <t>431</t>
        </is>
      </c>
      <c r="E22" s="12" t="inlineStr">
        <is>
          <t>CNAS — part patronale à reverser</t>
        </is>
      </c>
      <c r="F22" s="30" t="n"/>
      <c r="G22" s="30">
        <f>ROUND('Paie IMPORT'!D19*Paramètres!$B$8,2)</f>
        <v/>
      </c>
    </row>
    <row r="23">
      <c r="A23" s="12" t="inlineStr">
        <is>
          <t>PAIE-IMP-03</t>
        </is>
      </c>
      <c r="B23" s="12" t="inlineStr">
        <is>
          <t>Mars 2026</t>
        </is>
      </c>
      <c r="C23" s="12" t="inlineStr">
        <is>
          <t>IMPORT</t>
        </is>
      </c>
      <c r="D23" s="12" t="n"/>
      <c r="E23" s="34" t="inlineStr">
        <is>
          <t>CENTRALISATEUR ABSENT — écriture impossible (anomalie A02)</t>
        </is>
      </c>
      <c r="F23" s="12" t="n"/>
      <c r="G23" s="12" t="n"/>
    </row>
    <row r="24">
      <c r="A24" s="12" t="inlineStr">
        <is>
          <t>PAIE-IMP-04</t>
        </is>
      </c>
      <c r="B24" s="12" t="inlineStr">
        <is>
          <t>Avr 2026</t>
        </is>
      </c>
      <c r="C24" s="12" t="inlineStr">
        <is>
          <t>IMPORT</t>
        </is>
      </c>
      <c r="D24" s="4" t="inlineStr">
        <is>
          <t>631</t>
        </is>
      </c>
      <c r="E24" s="12" t="inlineStr">
        <is>
          <t>Rémunérations (salaire de poste + ponctualité)</t>
        </is>
      </c>
      <c r="F24" s="6">
        <f>'Paie IMPORT'!F19+'Paie IMPORT'!F18</f>
        <v/>
      </c>
      <c r="G24" s="6" t="n"/>
    </row>
    <row r="25">
      <c r="A25" s="12" t="inlineStr">
        <is>
          <t>PAIE-IMP-04</t>
        </is>
      </c>
      <c r="B25" s="12" t="inlineStr">
        <is>
          <t>Avr 2026</t>
        </is>
      </c>
      <c r="C25" s="12" t="inlineStr">
        <is>
          <t>IMPORT</t>
        </is>
      </c>
      <c r="D25" s="4" t="inlineStr">
        <is>
          <t>638</t>
        </is>
      </c>
      <c r="E25" s="12" t="inlineStr">
        <is>
          <t>Indemnités panier et transport</t>
        </is>
      </c>
      <c r="F25" s="6">
        <f>'Paie IMPORT'!F22+'Paie IMPORT'!F23</f>
        <v/>
      </c>
      <c r="G25" s="6" t="n"/>
    </row>
    <row r="26">
      <c r="A26" s="12" t="inlineStr">
        <is>
          <t>PAIE-IMP-04</t>
        </is>
      </c>
      <c r="B26" s="12" t="inlineStr">
        <is>
          <t>Avr 2026</t>
        </is>
      </c>
      <c r="C26" s="12" t="inlineStr">
        <is>
          <t>IMPORT</t>
        </is>
      </c>
      <c r="D26" s="4" t="inlineStr">
        <is>
          <t>625</t>
        </is>
      </c>
      <c r="E26" s="12" t="inlineStr">
        <is>
          <t>Frais de mission</t>
        </is>
      </c>
      <c r="F26" s="6">
        <f>'Paie IMPORT'!F26</f>
        <v/>
      </c>
      <c r="G26" s="6" t="n"/>
    </row>
    <row r="27">
      <c r="A27" s="12" t="inlineStr">
        <is>
          <t>PAIE-IMP-04</t>
        </is>
      </c>
      <c r="B27" s="12" t="inlineStr">
        <is>
          <t>Avr 2026</t>
        </is>
      </c>
      <c r="C27" s="12" t="inlineStr">
        <is>
          <t>IMPORT</t>
        </is>
      </c>
      <c r="D27" s="4" t="inlineStr">
        <is>
          <t>431</t>
        </is>
      </c>
      <c r="E27" s="12" t="inlineStr">
        <is>
          <t>Salaire unique avancé pour compte CNAS (à valider)</t>
        </is>
      </c>
      <c r="F27" s="6">
        <f>'Paie IMPORT'!F27</f>
        <v/>
      </c>
      <c r="G27" s="6" t="n"/>
    </row>
    <row r="28">
      <c r="A28" s="12" t="inlineStr">
        <is>
          <t>PAIE-IMP-04</t>
        </is>
      </c>
      <c r="B28" s="12" t="inlineStr">
        <is>
          <t>Avr 2026</t>
        </is>
      </c>
      <c r="C28" s="12" t="inlineStr">
        <is>
          <t>IMPORT</t>
        </is>
      </c>
      <c r="D28" s="4" t="inlineStr">
        <is>
          <t>431</t>
        </is>
      </c>
      <c r="E28" s="12" t="inlineStr">
        <is>
          <t>CNAS — retenue salariale 9 %</t>
        </is>
      </c>
      <c r="F28" s="6" t="n"/>
      <c r="G28" s="6">
        <f>'Paie IMPORT'!F21</f>
        <v/>
      </c>
    </row>
    <row r="29">
      <c r="A29" s="12" t="inlineStr">
        <is>
          <t>PAIE-IMP-04</t>
        </is>
      </c>
      <c r="B29" s="12" t="inlineStr">
        <is>
          <t>Avr 2026</t>
        </is>
      </c>
      <c r="C29" s="12" t="inlineStr">
        <is>
          <t>IMPORT</t>
        </is>
      </c>
      <c r="D29" s="4" t="inlineStr">
        <is>
          <t>442</t>
        </is>
      </c>
      <c r="E29" s="12" t="inlineStr">
        <is>
          <t>IRG retenu à la source</t>
        </is>
      </c>
      <c r="F29" s="6" t="n"/>
      <c r="G29" s="6">
        <f>'Paie IMPORT'!F25</f>
        <v/>
      </c>
    </row>
    <row r="30">
      <c r="A30" s="12" t="inlineStr">
        <is>
          <t>PAIE-IMP-04</t>
        </is>
      </c>
      <c r="B30" s="12" t="inlineStr">
        <is>
          <t>Avr 2026</t>
        </is>
      </c>
      <c r="C30" s="12" t="inlineStr">
        <is>
          <t>IMPORT</t>
        </is>
      </c>
      <c r="D30" s="4" t="inlineStr">
        <is>
          <t>421</t>
        </is>
      </c>
      <c r="E30" s="12" t="inlineStr">
        <is>
          <t>Net à payer au personnel</t>
        </is>
      </c>
      <c r="F30" s="6" t="n"/>
      <c r="G30" s="6">
        <f>'Paie IMPORT'!F28</f>
        <v/>
      </c>
    </row>
    <row r="31">
      <c r="A31" s="12" t="inlineStr">
        <is>
          <t>CNAS-IMP-04</t>
        </is>
      </c>
      <c r="B31" s="12" t="inlineStr">
        <is>
          <t>Avr 2026</t>
        </is>
      </c>
      <c r="C31" s="12" t="inlineStr">
        <is>
          <t>IMPORT</t>
        </is>
      </c>
      <c r="D31" s="4" t="inlineStr">
        <is>
          <t>635</t>
        </is>
      </c>
      <c r="E31" s="12" t="inlineStr">
        <is>
          <t>Charges patronales CNAS (26 %)</t>
        </is>
      </c>
      <c r="F31" s="30">
        <f>ROUND('Paie IMPORT'!F19*Paramètres!$B$8,2)</f>
        <v/>
      </c>
      <c r="G31" s="30" t="n"/>
    </row>
    <row r="32">
      <c r="A32" s="12" t="inlineStr">
        <is>
          <t>CNAS-IMP-04</t>
        </is>
      </c>
      <c r="B32" s="12" t="inlineStr">
        <is>
          <t>Avr 2026</t>
        </is>
      </c>
      <c r="C32" s="12" t="inlineStr">
        <is>
          <t>IMPORT</t>
        </is>
      </c>
      <c r="D32" s="4" t="inlineStr">
        <is>
          <t>431</t>
        </is>
      </c>
      <c r="E32" s="12" t="inlineStr">
        <is>
          <t>CNAS — part patronale à reverser</t>
        </is>
      </c>
      <c r="F32" s="30" t="n"/>
      <c r="G32" s="30">
        <f>ROUND('Paie IMPORT'!F19*Paramètres!$B$8,2)</f>
        <v/>
      </c>
    </row>
    <row r="33">
      <c r="A33" s="12" t="inlineStr">
        <is>
          <t>PAIE-IMP-05</t>
        </is>
      </c>
      <c r="B33" s="12" t="inlineStr">
        <is>
          <t>Mai 2026</t>
        </is>
      </c>
      <c r="C33" s="12" t="inlineStr">
        <is>
          <t>IMPORT</t>
        </is>
      </c>
      <c r="D33" s="4" t="inlineStr">
        <is>
          <t>631</t>
        </is>
      </c>
      <c r="E33" s="12" t="inlineStr">
        <is>
          <t>Rémunérations (salaire de poste + ponctualité)</t>
        </is>
      </c>
      <c r="F33" s="6">
        <f>'Paie IMPORT'!G19+'Paie IMPORT'!G18</f>
        <v/>
      </c>
      <c r="G33" s="6" t="n"/>
    </row>
    <row r="34">
      <c r="A34" s="12" t="inlineStr">
        <is>
          <t>PAIE-IMP-05</t>
        </is>
      </c>
      <c r="B34" s="12" t="inlineStr">
        <is>
          <t>Mai 2026</t>
        </is>
      </c>
      <c r="C34" s="12" t="inlineStr">
        <is>
          <t>IMPORT</t>
        </is>
      </c>
      <c r="D34" s="4" t="inlineStr">
        <is>
          <t>638</t>
        </is>
      </c>
      <c r="E34" s="12" t="inlineStr">
        <is>
          <t>Indemnités panier et transport</t>
        </is>
      </c>
      <c r="F34" s="6">
        <f>'Paie IMPORT'!G22+'Paie IMPORT'!G23</f>
        <v/>
      </c>
      <c r="G34" s="6" t="n"/>
    </row>
    <row r="35">
      <c r="A35" s="12" t="inlineStr">
        <is>
          <t>PAIE-IMP-05</t>
        </is>
      </c>
      <c r="B35" s="12" t="inlineStr">
        <is>
          <t>Mai 2026</t>
        </is>
      </c>
      <c r="C35" s="12" t="inlineStr">
        <is>
          <t>IMPORT</t>
        </is>
      </c>
      <c r="D35" s="4" t="inlineStr">
        <is>
          <t>625</t>
        </is>
      </c>
      <c r="E35" s="12" t="inlineStr">
        <is>
          <t>Frais de mission</t>
        </is>
      </c>
      <c r="F35" s="6">
        <f>'Paie IMPORT'!G26</f>
        <v/>
      </c>
      <c r="G35" s="6" t="n"/>
    </row>
    <row r="36">
      <c r="A36" s="12" t="inlineStr">
        <is>
          <t>PAIE-IMP-05</t>
        </is>
      </c>
      <c r="B36" s="12" t="inlineStr">
        <is>
          <t>Mai 2026</t>
        </is>
      </c>
      <c r="C36" s="12" t="inlineStr">
        <is>
          <t>IMPORT</t>
        </is>
      </c>
      <c r="D36" s="4" t="inlineStr">
        <is>
          <t>431</t>
        </is>
      </c>
      <c r="E36" s="12" t="inlineStr">
        <is>
          <t>Salaire unique avancé pour compte CNAS (à valider)</t>
        </is>
      </c>
      <c r="F36" s="6">
        <f>'Paie IMPORT'!G27</f>
        <v/>
      </c>
      <c r="G36" s="6" t="n"/>
    </row>
    <row r="37">
      <c r="A37" s="12" t="inlineStr">
        <is>
          <t>PAIE-IMP-05</t>
        </is>
      </c>
      <c r="B37" s="12" t="inlineStr">
        <is>
          <t>Mai 2026</t>
        </is>
      </c>
      <c r="C37" s="12" t="inlineStr">
        <is>
          <t>IMPORT</t>
        </is>
      </c>
      <c r="D37" s="4" t="inlineStr">
        <is>
          <t>431</t>
        </is>
      </c>
      <c r="E37" s="12" t="inlineStr">
        <is>
          <t>CNAS — retenue salariale 9 %</t>
        </is>
      </c>
      <c r="F37" s="6" t="n"/>
      <c r="G37" s="6">
        <f>'Paie IMPORT'!G21</f>
        <v/>
      </c>
    </row>
    <row r="38">
      <c r="A38" s="12" t="inlineStr">
        <is>
          <t>PAIE-IMP-05</t>
        </is>
      </c>
      <c r="B38" s="12" t="inlineStr">
        <is>
          <t>Mai 2026</t>
        </is>
      </c>
      <c r="C38" s="12" t="inlineStr">
        <is>
          <t>IMPORT</t>
        </is>
      </c>
      <c r="D38" s="4" t="inlineStr">
        <is>
          <t>442</t>
        </is>
      </c>
      <c r="E38" s="12" t="inlineStr">
        <is>
          <t>IRG retenu à la source</t>
        </is>
      </c>
      <c r="F38" s="6" t="n"/>
      <c r="G38" s="6">
        <f>'Paie IMPORT'!G25</f>
        <v/>
      </c>
    </row>
    <row r="39">
      <c r="A39" s="12" t="inlineStr">
        <is>
          <t>PAIE-IMP-05</t>
        </is>
      </c>
      <c r="B39" s="12" t="inlineStr">
        <is>
          <t>Mai 2026</t>
        </is>
      </c>
      <c r="C39" s="12" t="inlineStr">
        <is>
          <t>IMPORT</t>
        </is>
      </c>
      <c r="D39" s="4" t="inlineStr">
        <is>
          <t>421</t>
        </is>
      </c>
      <c r="E39" s="12" t="inlineStr">
        <is>
          <t>Net à payer au personnel</t>
        </is>
      </c>
      <c r="F39" s="6" t="n"/>
      <c r="G39" s="6">
        <f>'Paie IMPORT'!G28</f>
        <v/>
      </c>
    </row>
    <row r="40">
      <c r="A40" s="12" t="inlineStr">
        <is>
          <t>CNAS-IMP-05</t>
        </is>
      </c>
      <c r="B40" s="12" t="inlineStr">
        <is>
          <t>Mai 2026</t>
        </is>
      </c>
      <c r="C40" s="12" t="inlineStr">
        <is>
          <t>IMPORT</t>
        </is>
      </c>
      <c r="D40" s="4" t="inlineStr">
        <is>
          <t>635</t>
        </is>
      </c>
      <c r="E40" s="12" t="inlineStr">
        <is>
          <t>Charges patronales CNAS (26 %)</t>
        </is>
      </c>
      <c r="F40" s="30">
        <f>ROUND('Paie IMPORT'!G19*Paramètres!$B$8,2)</f>
        <v/>
      </c>
      <c r="G40" s="30" t="n"/>
    </row>
    <row r="41">
      <c r="A41" s="12" t="inlineStr">
        <is>
          <t>CNAS-IMP-05</t>
        </is>
      </c>
      <c r="B41" s="12" t="inlineStr">
        <is>
          <t>Mai 2026</t>
        </is>
      </c>
      <c r="C41" s="12" t="inlineStr">
        <is>
          <t>IMPORT</t>
        </is>
      </c>
      <c r="D41" s="4" t="inlineStr">
        <is>
          <t>431</t>
        </is>
      </c>
      <c r="E41" s="12" t="inlineStr">
        <is>
          <t>CNAS — part patronale à reverser</t>
        </is>
      </c>
      <c r="F41" s="30" t="n"/>
      <c r="G41" s="30">
        <f>ROUND('Paie IMPORT'!G19*Paramètres!$B$8,2)</f>
        <v/>
      </c>
    </row>
    <row r="42">
      <c r="A42" s="12" t="inlineStr">
        <is>
          <t>PAIE-IMP-06</t>
        </is>
      </c>
      <c r="B42" s="12" t="inlineStr">
        <is>
          <t>Juin 2026</t>
        </is>
      </c>
      <c r="C42" s="12" t="inlineStr">
        <is>
          <t>IMPORT</t>
        </is>
      </c>
      <c r="D42" s="4" t="inlineStr">
        <is>
          <t>631</t>
        </is>
      </c>
      <c r="E42" s="12" t="inlineStr">
        <is>
          <t>Rémunérations (salaire de poste + ponctualité)</t>
        </is>
      </c>
      <c r="F42" s="6">
        <f>'Paie IMPORT'!H19+'Paie IMPORT'!H18</f>
        <v/>
      </c>
      <c r="G42" s="6" t="n"/>
    </row>
    <row r="43">
      <c r="A43" s="12" t="inlineStr">
        <is>
          <t>PAIE-IMP-06</t>
        </is>
      </c>
      <c r="B43" s="12" t="inlineStr">
        <is>
          <t>Juin 2026</t>
        </is>
      </c>
      <c r="C43" s="12" t="inlineStr">
        <is>
          <t>IMPORT</t>
        </is>
      </c>
      <c r="D43" s="4" t="inlineStr">
        <is>
          <t>638</t>
        </is>
      </c>
      <c r="E43" s="12" t="inlineStr">
        <is>
          <t>Indemnités panier et transport</t>
        </is>
      </c>
      <c r="F43" s="6">
        <f>'Paie IMPORT'!H22+'Paie IMPORT'!H23</f>
        <v/>
      </c>
      <c r="G43" s="6" t="n"/>
    </row>
    <row r="44">
      <c r="A44" s="12" t="inlineStr">
        <is>
          <t>PAIE-IMP-06</t>
        </is>
      </c>
      <c r="B44" s="12" t="inlineStr">
        <is>
          <t>Juin 2026</t>
        </is>
      </c>
      <c r="C44" s="12" t="inlineStr">
        <is>
          <t>IMPORT</t>
        </is>
      </c>
      <c r="D44" s="4" t="inlineStr">
        <is>
          <t>625</t>
        </is>
      </c>
      <c r="E44" s="12" t="inlineStr">
        <is>
          <t>Frais de mission</t>
        </is>
      </c>
      <c r="F44" s="6">
        <f>'Paie IMPORT'!H26</f>
        <v/>
      </c>
      <c r="G44" s="6" t="n"/>
    </row>
    <row r="45">
      <c r="A45" s="12" t="inlineStr">
        <is>
          <t>PAIE-IMP-06</t>
        </is>
      </c>
      <c r="B45" s="12" t="inlineStr">
        <is>
          <t>Juin 2026</t>
        </is>
      </c>
      <c r="C45" s="12" t="inlineStr">
        <is>
          <t>IMPORT</t>
        </is>
      </c>
      <c r="D45" s="4" t="inlineStr">
        <is>
          <t>431</t>
        </is>
      </c>
      <c r="E45" s="12" t="inlineStr">
        <is>
          <t>Salaire unique avancé pour compte CNAS (à valider)</t>
        </is>
      </c>
      <c r="F45" s="6">
        <f>'Paie IMPORT'!H27</f>
        <v/>
      </c>
      <c r="G45" s="6" t="n"/>
    </row>
    <row r="46">
      <c r="A46" s="12" t="inlineStr">
        <is>
          <t>PAIE-IMP-06</t>
        </is>
      </c>
      <c r="B46" s="12" t="inlineStr">
        <is>
          <t>Juin 2026</t>
        </is>
      </c>
      <c r="C46" s="12" t="inlineStr">
        <is>
          <t>IMPORT</t>
        </is>
      </c>
      <c r="D46" s="4" t="inlineStr">
        <is>
          <t>431</t>
        </is>
      </c>
      <c r="E46" s="12" t="inlineStr">
        <is>
          <t>CNAS — retenue salariale 9 %</t>
        </is>
      </c>
      <c r="F46" s="6" t="n"/>
      <c r="G46" s="6">
        <f>'Paie IMPORT'!H21</f>
        <v/>
      </c>
    </row>
    <row r="47">
      <c r="A47" s="12" t="inlineStr">
        <is>
          <t>PAIE-IMP-06</t>
        </is>
      </c>
      <c r="B47" s="12" t="inlineStr">
        <is>
          <t>Juin 2026</t>
        </is>
      </c>
      <c r="C47" s="12" t="inlineStr">
        <is>
          <t>IMPORT</t>
        </is>
      </c>
      <c r="D47" s="4" t="inlineStr">
        <is>
          <t>442</t>
        </is>
      </c>
      <c r="E47" s="12" t="inlineStr">
        <is>
          <t>IRG retenu à la source</t>
        </is>
      </c>
      <c r="F47" s="6" t="n"/>
      <c r="G47" s="6">
        <f>'Paie IMPORT'!H25</f>
        <v/>
      </c>
    </row>
    <row r="48">
      <c r="A48" s="12" t="inlineStr">
        <is>
          <t>PAIE-IMP-06</t>
        </is>
      </c>
      <c r="B48" s="12" t="inlineStr">
        <is>
          <t>Juin 2026</t>
        </is>
      </c>
      <c r="C48" s="12" t="inlineStr">
        <is>
          <t>IMPORT</t>
        </is>
      </c>
      <c r="D48" s="4" t="inlineStr">
        <is>
          <t>421</t>
        </is>
      </c>
      <c r="E48" s="12" t="inlineStr">
        <is>
          <t>Net à payer au personnel</t>
        </is>
      </c>
      <c r="F48" s="6" t="n"/>
      <c r="G48" s="6">
        <f>'Paie IMPORT'!H28</f>
        <v/>
      </c>
    </row>
    <row r="49">
      <c r="A49" s="12" t="inlineStr">
        <is>
          <t>CNAS-IMP-06</t>
        </is>
      </c>
      <c r="B49" s="12" t="inlineStr">
        <is>
          <t>Juin 2026</t>
        </is>
      </c>
      <c r="C49" s="12" t="inlineStr">
        <is>
          <t>IMPORT</t>
        </is>
      </c>
      <c r="D49" s="4" t="inlineStr">
        <is>
          <t>635</t>
        </is>
      </c>
      <c r="E49" s="12" t="inlineStr">
        <is>
          <t>Charges patronales CNAS (26 %)</t>
        </is>
      </c>
      <c r="F49" s="30">
        <f>ROUND('Paie IMPORT'!H19*Paramètres!$B$8,2)</f>
        <v/>
      </c>
      <c r="G49" s="30" t="n"/>
    </row>
    <row r="50">
      <c r="A50" s="12" t="inlineStr">
        <is>
          <t>CNAS-IMP-06</t>
        </is>
      </c>
      <c r="B50" s="12" t="inlineStr">
        <is>
          <t>Juin 2026</t>
        </is>
      </c>
      <c r="C50" s="12" t="inlineStr">
        <is>
          <t>IMPORT</t>
        </is>
      </c>
      <c r="D50" s="4" t="inlineStr">
        <is>
          <t>431</t>
        </is>
      </c>
      <c r="E50" s="12" t="inlineStr">
        <is>
          <t>CNAS — part patronale à reverser</t>
        </is>
      </c>
      <c r="F50" s="30" t="n"/>
      <c r="G50" s="30">
        <f>ROUND('Paie IMPORT'!H19*Paramètres!$B$8,2)</f>
        <v/>
      </c>
    </row>
    <row r="51">
      <c r="A51" s="12" t="inlineStr">
        <is>
          <t>PAIE-IMP-07</t>
        </is>
      </c>
      <c r="B51" s="12" t="inlineStr">
        <is>
          <t>Juil 2026</t>
        </is>
      </c>
      <c r="C51" s="12" t="inlineStr">
        <is>
          <t>IMPORT</t>
        </is>
      </c>
      <c r="D51" s="4" t="inlineStr">
        <is>
          <t>631</t>
        </is>
      </c>
      <c r="E51" s="12" t="inlineStr">
        <is>
          <t>Rémunérations (salaire de poste + ponctualité)</t>
        </is>
      </c>
      <c r="F51" s="6">
        <f>'Paie IMPORT'!I19+'Paie IMPORT'!I18</f>
        <v/>
      </c>
      <c r="G51" s="6" t="n"/>
    </row>
    <row r="52">
      <c r="A52" s="12" t="inlineStr">
        <is>
          <t>PAIE-IMP-07</t>
        </is>
      </c>
      <c r="B52" s="12" t="inlineStr">
        <is>
          <t>Juil 2026</t>
        </is>
      </c>
      <c r="C52" s="12" t="inlineStr">
        <is>
          <t>IMPORT</t>
        </is>
      </c>
      <c r="D52" s="4" t="inlineStr">
        <is>
          <t>638</t>
        </is>
      </c>
      <c r="E52" s="12" t="inlineStr">
        <is>
          <t>Indemnités panier et transport</t>
        </is>
      </c>
      <c r="F52" s="6">
        <f>'Paie IMPORT'!I22+'Paie IMPORT'!I23</f>
        <v/>
      </c>
      <c r="G52" s="6" t="n"/>
    </row>
    <row r="53">
      <c r="A53" s="12" t="inlineStr">
        <is>
          <t>PAIE-IMP-07</t>
        </is>
      </c>
      <c r="B53" s="12" t="inlineStr">
        <is>
          <t>Juil 2026</t>
        </is>
      </c>
      <c r="C53" s="12" t="inlineStr">
        <is>
          <t>IMPORT</t>
        </is>
      </c>
      <c r="D53" s="4" t="inlineStr">
        <is>
          <t>625</t>
        </is>
      </c>
      <c r="E53" s="12" t="inlineStr">
        <is>
          <t>Frais de mission</t>
        </is>
      </c>
      <c r="F53" s="6">
        <f>'Paie IMPORT'!I26</f>
        <v/>
      </c>
      <c r="G53" s="6" t="n"/>
    </row>
    <row r="54">
      <c r="A54" s="12" t="inlineStr">
        <is>
          <t>PAIE-IMP-07</t>
        </is>
      </c>
      <c r="B54" s="12" t="inlineStr">
        <is>
          <t>Juil 2026</t>
        </is>
      </c>
      <c r="C54" s="12" t="inlineStr">
        <is>
          <t>IMPORT</t>
        </is>
      </c>
      <c r="D54" s="4" t="inlineStr">
        <is>
          <t>431</t>
        </is>
      </c>
      <c r="E54" s="12" t="inlineStr">
        <is>
          <t>Salaire unique avancé pour compte CNAS (à valider)</t>
        </is>
      </c>
      <c r="F54" s="6">
        <f>'Paie IMPORT'!I27</f>
        <v/>
      </c>
      <c r="G54" s="6" t="n"/>
    </row>
    <row r="55">
      <c r="A55" s="12" t="inlineStr">
        <is>
          <t>PAIE-IMP-07</t>
        </is>
      </c>
      <c r="B55" s="12" t="inlineStr">
        <is>
          <t>Juil 2026</t>
        </is>
      </c>
      <c r="C55" s="12" t="inlineStr">
        <is>
          <t>IMPORT</t>
        </is>
      </c>
      <c r="D55" s="4" t="inlineStr">
        <is>
          <t>431</t>
        </is>
      </c>
      <c r="E55" s="12" t="inlineStr">
        <is>
          <t>CNAS — retenue salariale 9 %</t>
        </is>
      </c>
      <c r="F55" s="6" t="n"/>
      <c r="G55" s="6">
        <f>'Paie IMPORT'!I21</f>
        <v/>
      </c>
    </row>
    <row r="56">
      <c r="A56" s="12" t="inlineStr">
        <is>
          <t>PAIE-IMP-07</t>
        </is>
      </c>
      <c r="B56" s="12" t="inlineStr">
        <is>
          <t>Juil 2026</t>
        </is>
      </c>
      <c r="C56" s="12" t="inlineStr">
        <is>
          <t>IMPORT</t>
        </is>
      </c>
      <c r="D56" s="4" t="inlineStr">
        <is>
          <t>442</t>
        </is>
      </c>
      <c r="E56" s="12" t="inlineStr">
        <is>
          <t>IRG retenu à la source</t>
        </is>
      </c>
      <c r="F56" s="6" t="n"/>
      <c r="G56" s="6">
        <f>'Paie IMPORT'!I25</f>
        <v/>
      </c>
    </row>
    <row r="57">
      <c r="A57" s="12" t="inlineStr">
        <is>
          <t>PAIE-IMP-07</t>
        </is>
      </c>
      <c r="B57" s="12" t="inlineStr">
        <is>
          <t>Juil 2026</t>
        </is>
      </c>
      <c r="C57" s="12" t="inlineStr">
        <is>
          <t>IMPORT</t>
        </is>
      </c>
      <c r="D57" s="4" t="inlineStr">
        <is>
          <t>421</t>
        </is>
      </c>
      <c r="E57" s="12" t="inlineStr">
        <is>
          <t>Net à payer au personnel</t>
        </is>
      </c>
      <c r="F57" s="6" t="n"/>
      <c r="G57" s="6">
        <f>'Paie IMPORT'!I28</f>
        <v/>
      </c>
    </row>
    <row r="58">
      <c r="A58" s="12" t="inlineStr">
        <is>
          <t>CNAS-IMP-07</t>
        </is>
      </c>
      <c r="B58" s="12" t="inlineStr">
        <is>
          <t>Juil 2026</t>
        </is>
      </c>
      <c r="C58" s="12" t="inlineStr">
        <is>
          <t>IMPORT</t>
        </is>
      </c>
      <c r="D58" s="4" t="inlineStr">
        <is>
          <t>635</t>
        </is>
      </c>
      <c r="E58" s="12" t="inlineStr">
        <is>
          <t>Charges patronales CNAS (26 %)</t>
        </is>
      </c>
      <c r="F58" s="30">
        <f>ROUND('Paie IMPORT'!I19*Paramètres!$B$8,2)</f>
        <v/>
      </c>
      <c r="G58" s="30" t="n"/>
    </row>
    <row r="59">
      <c r="A59" s="12" t="inlineStr">
        <is>
          <t>CNAS-IMP-07</t>
        </is>
      </c>
      <c r="B59" s="12" t="inlineStr">
        <is>
          <t>Juil 2026</t>
        </is>
      </c>
      <c r="C59" s="12" t="inlineStr">
        <is>
          <t>IMPORT</t>
        </is>
      </c>
      <c r="D59" s="4" t="inlineStr">
        <is>
          <t>431</t>
        </is>
      </c>
      <c r="E59" s="12" t="inlineStr">
        <is>
          <t>CNAS — part patronale à reverser</t>
        </is>
      </c>
      <c r="F59" s="30" t="n"/>
      <c r="G59" s="30">
        <f>ROUND('Paie IMPORT'!I19*Paramètres!$B$8,2)</f>
        <v/>
      </c>
    </row>
    <row r="60">
      <c r="A60" s="12" t="inlineStr">
        <is>
          <t>PAIE-IMP-08</t>
        </is>
      </c>
      <c r="B60" s="12" t="inlineStr">
        <is>
          <t>Août 2026</t>
        </is>
      </c>
      <c r="C60" s="12" t="inlineStr">
        <is>
          <t>IMPORT</t>
        </is>
      </c>
      <c r="D60" s="4" t="inlineStr">
        <is>
          <t>631</t>
        </is>
      </c>
      <c r="E60" s="12" t="inlineStr">
        <is>
          <t>Rémunérations (salaire de poste + ponctualité)</t>
        </is>
      </c>
      <c r="F60" s="6">
        <f>'Paie IMPORT'!J19+'Paie IMPORT'!J18</f>
        <v/>
      </c>
      <c r="G60" s="6" t="n"/>
    </row>
    <row r="61">
      <c r="A61" s="12" t="inlineStr">
        <is>
          <t>PAIE-IMP-08</t>
        </is>
      </c>
      <c r="B61" s="12" t="inlineStr">
        <is>
          <t>Août 2026</t>
        </is>
      </c>
      <c r="C61" s="12" t="inlineStr">
        <is>
          <t>IMPORT</t>
        </is>
      </c>
      <c r="D61" s="4" t="inlineStr">
        <is>
          <t>638</t>
        </is>
      </c>
      <c r="E61" s="12" t="inlineStr">
        <is>
          <t>Indemnités panier et transport</t>
        </is>
      </c>
      <c r="F61" s="6">
        <f>'Paie IMPORT'!J22+'Paie IMPORT'!J23</f>
        <v/>
      </c>
      <c r="G61" s="6" t="n"/>
    </row>
    <row r="62">
      <c r="A62" s="12" t="inlineStr">
        <is>
          <t>PAIE-IMP-08</t>
        </is>
      </c>
      <c r="B62" s="12" t="inlineStr">
        <is>
          <t>Août 2026</t>
        </is>
      </c>
      <c r="C62" s="12" t="inlineStr">
        <is>
          <t>IMPORT</t>
        </is>
      </c>
      <c r="D62" s="4" t="inlineStr">
        <is>
          <t>625</t>
        </is>
      </c>
      <c r="E62" s="12" t="inlineStr">
        <is>
          <t>Frais de mission</t>
        </is>
      </c>
      <c r="F62" s="6">
        <f>'Paie IMPORT'!J26</f>
        <v/>
      </c>
      <c r="G62" s="6" t="n"/>
    </row>
    <row r="63">
      <c r="A63" s="12" t="inlineStr">
        <is>
          <t>PAIE-IMP-08</t>
        </is>
      </c>
      <c r="B63" s="12" t="inlineStr">
        <is>
          <t>Août 2026</t>
        </is>
      </c>
      <c r="C63" s="12" t="inlineStr">
        <is>
          <t>IMPORT</t>
        </is>
      </c>
      <c r="D63" s="4" t="inlineStr">
        <is>
          <t>431</t>
        </is>
      </c>
      <c r="E63" s="12" t="inlineStr">
        <is>
          <t>Salaire unique avancé pour compte CNAS (à valider)</t>
        </is>
      </c>
      <c r="F63" s="6">
        <f>'Paie IMPORT'!J27</f>
        <v/>
      </c>
      <c r="G63" s="6" t="n"/>
    </row>
    <row r="64">
      <c r="A64" s="12" t="inlineStr">
        <is>
          <t>PAIE-IMP-08</t>
        </is>
      </c>
      <c r="B64" s="12" t="inlineStr">
        <is>
          <t>Août 2026</t>
        </is>
      </c>
      <c r="C64" s="12" t="inlineStr">
        <is>
          <t>IMPORT</t>
        </is>
      </c>
      <c r="D64" s="4" t="inlineStr">
        <is>
          <t>431</t>
        </is>
      </c>
      <c r="E64" s="12" t="inlineStr">
        <is>
          <t>CNAS — retenue salariale 9 %</t>
        </is>
      </c>
      <c r="F64" s="6" t="n"/>
      <c r="G64" s="6">
        <f>'Paie IMPORT'!J21</f>
        <v/>
      </c>
    </row>
    <row r="65">
      <c r="A65" s="12" t="inlineStr">
        <is>
          <t>PAIE-IMP-08</t>
        </is>
      </c>
      <c r="B65" s="12" t="inlineStr">
        <is>
          <t>Août 2026</t>
        </is>
      </c>
      <c r="C65" s="12" t="inlineStr">
        <is>
          <t>IMPORT</t>
        </is>
      </c>
      <c r="D65" s="4" t="inlineStr">
        <is>
          <t>442</t>
        </is>
      </c>
      <c r="E65" s="12" t="inlineStr">
        <is>
          <t>IRG retenu à la source</t>
        </is>
      </c>
      <c r="F65" s="6" t="n"/>
      <c r="G65" s="6">
        <f>'Paie IMPORT'!J25</f>
        <v/>
      </c>
    </row>
    <row r="66">
      <c r="A66" s="12" t="inlineStr">
        <is>
          <t>PAIE-IMP-08</t>
        </is>
      </c>
      <c r="B66" s="12" t="inlineStr">
        <is>
          <t>Août 2026</t>
        </is>
      </c>
      <c r="C66" s="12" t="inlineStr">
        <is>
          <t>IMPORT</t>
        </is>
      </c>
      <c r="D66" s="4" t="inlineStr">
        <is>
          <t>421</t>
        </is>
      </c>
      <c r="E66" s="12" t="inlineStr">
        <is>
          <t>Net à payer au personnel</t>
        </is>
      </c>
      <c r="F66" s="6" t="n"/>
      <c r="G66" s="6">
        <f>'Paie IMPORT'!J28</f>
        <v/>
      </c>
    </row>
    <row r="67">
      <c r="A67" s="12" t="inlineStr">
        <is>
          <t>CNAS-IMP-08</t>
        </is>
      </c>
      <c r="B67" s="12" t="inlineStr">
        <is>
          <t>Août 2026</t>
        </is>
      </c>
      <c r="C67" s="12" t="inlineStr">
        <is>
          <t>IMPORT</t>
        </is>
      </c>
      <c r="D67" s="4" t="inlineStr">
        <is>
          <t>635</t>
        </is>
      </c>
      <c r="E67" s="12" t="inlineStr">
        <is>
          <t>Charges patronales CNAS (26 %)</t>
        </is>
      </c>
      <c r="F67" s="30">
        <f>ROUND('Paie IMPORT'!J19*Paramètres!$B$8,2)</f>
        <v/>
      </c>
      <c r="G67" s="30" t="n"/>
    </row>
    <row r="68">
      <c r="A68" s="12" t="inlineStr">
        <is>
          <t>CNAS-IMP-08</t>
        </is>
      </c>
      <c r="B68" s="12" t="inlineStr">
        <is>
          <t>Août 2026</t>
        </is>
      </c>
      <c r="C68" s="12" t="inlineStr">
        <is>
          <t>IMPORT</t>
        </is>
      </c>
      <c r="D68" s="4" t="inlineStr">
        <is>
          <t>431</t>
        </is>
      </c>
      <c r="E68" s="12" t="inlineStr">
        <is>
          <t>CNAS — part patronale à reverser</t>
        </is>
      </c>
      <c r="F68" s="30" t="n"/>
      <c r="G68" s="30">
        <f>ROUND('Paie IMPORT'!J19*Paramètres!$B$8,2)</f>
        <v/>
      </c>
    </row>
    <row r="69">
      <c r="A69" s="12" t="inlineStr">
        <is>
          <t>PAIE-TPM-01</t>
        </is>
      </c>
      <c r="B69" s="12" t="inlineStr">
        <is>
          <t>Janv 2026</t>
        </is>
      </c>
      <c r="C69" s="12" t="inlineStr">
        <is>
          <t>TPM</t>
        </is>
      </c>
      <c r="D69" s="4" t="inlineStr">
        <is>
          <t>631</t>
        </is>
      </c>
      <c r="E69" s="12" t="inlineStr">
        <is>
          <t>Rémunérations (salaire de poste + ponctualité)</t>
        </is>
      </c>
      <c r="F69" s="6">
        <f>'Paie TPM'!C19+'Paie TPM'!C18</f>
        <v/>
      </c>
      <c r="G69" s="6" t="n"/>
    </row>
    <row r="70">
      <c r="A70" s="12" t="inlineStr">
        <is>
          <t>PAIE-TPM-01</t>
        </is>
      </c>
      <c r="B70" s="12" t="inlineStr">
        <is>
          <t>Janv 2026</t>
        </is>
      </c>
      <c r="C70" s="12" t="inlineStr">
        <is>
          <t>TPM</t>
        </is>
      </c>
      <c r="D70" s="4" t="inlineStr">
        <is>
          <t>638</t>
        </is>
      </c>
      <c r="E70" s="12" t="inlineStr">
        <is>
          <t>Indemnités panier et transport</t>
        </is>
      </c>
      <c r="F70" s="6">
        <f>'Paie TPM'!C22+'Paie TPM'!C23</f>
        <v/>
      </c>
      <c r="G70" s="6" t="n"/>
    </row>
    <row r="71">
      <c r="A71" s="12" t="inlineStr">
        <is>
          <t>PAIE-TPM-01</t>
        </is>
      </c>
      <c r="B71" s="12" t="inlineStr">
        <is>
          <t>Janv 2026</t>
        </is>
      </c>
      <c r="C71" s="12" t="inlineStr">
        <is>
          <t>TPM</t>
        </is>
      </c>
      <c r="D71" s="4" t="inlineStr">
        <is>
          <t>625</t>
        </is>
      </c>
      <c r="E71" s="12" t="inlineStr">
        <is>
          <t>Frais de mission</t>
        </is>
      </c>
      <c r="F71" s="6">
        <f>'Paie TPM'!C26</f>
        <v/>
      </c>
      <c r="G71" s="6" t="n"/>
    </row>
    <row r="72">
      <c r="A72" s="12" t="inlineStr">
        <is>
          <t>PAIE-TPM-01</t>
        </is>
      </c>
      <c r="B72" s="12" t="inlineStr">
        <is>
          <t>Janv 2026</t>
        </is>
      </c>
      <c r="C72" s="12" t="inlineStr">
        <is>
          <t>TPM</t>
        </is>
      </c>
      <c r="D72" s="4" t="inlineStr">
        <is>
          <t>431</t>
        </is>
      </c>
      <c r="E72" s="12" t="inlineStr">
        <is>
          <t>Salaire unique avancé pour compte CNAS (à valider)</t>
        </is>
      </c>
      <c r="F72" s="6">
        <f>'Paie TPM'!C27</f>
        <v/>
      </c>
      <c r="G72" s="6" t="n"/>
    </row>
    <row r="73">
      <c r="A73" s="12" t="inlineStr">
        <is>
          <t>PAIE-TPM-01</t>
        </is>
      </c>
      <c r="B73" s="12" t="inlineStr">
        <is>
          <t>Janv 2026</t>
        </is>
      </c>
      <c r="C73" s="12" t="inlineStr">
        <is>
          <t>TPM</t>
        </is>
      </c>
      <c r="D73" s="4" t="inlineStr">
        <is>
          <t>431</t>
        </is>
      </c>
      <c r="E73" s="12" t="inlineStr">
        <is>
          <t>CNAS — retenue salariale 9 %</t>
        </is>
      </c>
      <c r="F73" s="6" t="n"/>
      <c r="G73" s="6">
        <f>'Paie TPM'!C21</f>
        <v/>
      </c>
    </row>
    <row r="74">
      <c r="A74" s="12" t="inlineStr">
        <is>
          <t>PAIE-TPM-01</t>
        </is>
      </c>
      <c r="B74" s="12" t="inlineStr">
        <is>
          <t>Janv 2026</t>
        </is>
      </c>
      <c r="C74" s="12" t="inlineStr">
        <is>
          <t>TPM</t>
        </is>
      </c>
      <c r="D74" s="4" t="inlineStr">
        <is>
          <t>442</t>
        </is>
      </c>
      <c r="E74" s="12" t="inlineStr">
        <is>
          <t>IRG retenu à la source</t>
        </is>
      </c>
      <c r="F74" s="6" t="n"/>
      <c r="G74" s="6">
        <f>'Paie TPM'!C25</f>
        <v/>
      </c>
    </row>
    <row r="75">
      <c r="A75" s="12" t="inlineStr">
        <is>
          <t>PAIE-TPM-01</t>
        </is>
      </c>
      <c r="B75" s="12" t="inlineStr">
        <is>
          <t>Janv 2026</t>
        </is>
      </c>
      <c r="C75" s="12" t="inlineStr">
        <is>
          <t>TPM</t>
        </is>
      </c>
      <c r="D75" s="4" t="inlineStr">
        <is>
          <t>421</t>
        </is>
      </c>
      <c r="E75" s="12" t="inlineStr">
        <is>
          <t>Net à payer au personnel</t>
        </is>
      </c>
      <c r="F75" s="6" t="n"/>
      <c r="G75" s="6">
        <f>'Paie TPM'!C28</f>
        <v/>
      </c>
    </row>
    <row r="76">
      <c r="A76" s="12" t="inlineStr">
        <is>
          <t>CNAS-TPM-01</t>
        </is>
      </c>
      <c r="B76" s="12" t="inlineStr">
        <is>
          <t>Janv 2026</t>
        </is>
      </c>
      <c r="C76" s="12" t="inlineStr">
        <is>
          <t>TPM</t>
        </is>
      </c>
      <c r="D76" s="4" t="inlineStr">
        <is>
          <t>635</t>
        </is>
      </c>
      <c r="E76" s="12" t="inlineStr">
        <is>
          <t>Charges patronales CNAS (26 %)</t>
        </is>
      </c>
      <c r="F76" s="30">
        <f>ROUND('Paie TPM'!C19*Paramètres!$B$8,2)</f>
        <v/>
      </c>
      <c r="G76" s="30" t="n"/>
    </row>
    <row r="77">
      <c r="A77" s="12" t="inlineStr">
        <is>
          <t>CNAS-TPM-01</t>
        </is>
      </c>
      <c r="B77" s="12" t="inlineStr">
        <is>
          <t>Janv 2026</t>
        </is>
      </c>
      <c r="C77" s="12" t="inlineStr">
        <is>
          <t>TPM</t>
        </is>
      </c>
      <c r="D77" s="4" t="inlineStr">
        <is>
          <t>431</t>
        </is>
      </c>
      <c r="E77" s="12" t="inlineStr">
        <is>
          <t>CNAS — part patronale à reverser</t>
        </is>
      </c>
      <c r="F77" s="30" t="n"/>
      <c r="G77" s="30">
        <f>ROUND('Paie TPM'!C19*Paramètres!$B$8,2)</f>
        <v/>
      </c>
    </row>
    <row r="78">
      <c r="A78" s="12" t="inlineStr">
        <is>
          <t>PAIE-TPM-02</t>
        </is>
      </c>
      <c r="B78" s="12" t="inlineStr">
        <is>
          <t>Févr 2026</t>
        </is>
      </c>
      <c r="C78" s="12" t="inlineStr">
        <is>
          <t>TPM</t>
        </is>
      </c>
      <c r="D78" s="4" t="inlineStr">
        <is>
          <t>631</t>
        </is>
      </c>
      <c r="E78" s="12" t="inlineStr">
        <is>
          <t>Rémunérations (salaire de poste + ponctualité)</t>
        </is>
      </c>
      <c r="F78" s="6">
        <f>'Paie TPM'!D19+'Paie TPM'!D18</f>
        <v/>
      </c>
      <c r="G78" s="6" t="n"/>
    </row>
    <row r="79">
      <c r="A79" s="12" t="inlineStr">
        <is>
          <t>PAIE-TPM-02</t>
        </is>
      </c>
      <c r="B79" s="12" t="inlineStr">
        <is>
          <t>Févr 2026</t>
        </is>
      </c>
      <c r="C79" s="12" t="inlineStr">
        <is>
          <t>TPM</t>
        </is>
      </c>
      <c r="D79" s="4" t="inlineStr">
        <is>
          <t>638</t>
        </is>
      </c>
      <c r="E79" s="12" t="inlineStr">
        <is>
          <t>Indemnités panier et transport</t>
        </is>
      </c>
      <c r="F79" s="6">
        <f>'Paie TPM'!D22+'Paie TPM'!D23</f>
        <v/>
      </c>
      <c r="G79" s="6" t="n"/>
    </row>
    <row r="80">
      <c r="A80" s="12" t="inlineStr">
        <is>
          <t>PAIE-TPM-02</t>
        </is>
      </c>
      <c r="B80" s="12" t="inlineStr">
        <is>
          <t>Févr 2026</t>
        </is>
      </c>
      <c r="C80" s="12" t="inlineStr">
        <is>
          <t>TPM</t>
        </is>
      </c>
      <c r="D80" s="4" t="inlineStr">
        <is>
          <t>625</t>
        </is>
      </c>
      <c r="E80" s="12" t="inlineStr">
        <is>
          <t>Frais de mission</t>
        </is>
      </c>
      <c r="F80" s="6">
        <f>'Paie TPM'!D26</f>
        <v/>
      </c>
      <c r="G80" s="6" t="n"/>
    </row>
    <row r="81">
      <c r="A81" s="12" t="inlineStr">
        <is>
          <t>PAIE-TPM-02</t>
        </is>
      </c>
      <c r="B81" s="12" t="inlineStr">
        <is>
          <t>Févr 2026</t>
        </is>
      </c>
      <c r="C81" s="12" t="inlineStr">
        <is>
          <t>TPM</t>
        </is>
      </c>
      <c r="D81" s="4" t="inlineStr">
        <is>
          <t>431</t>
        </is>
      </c>
      <c r="E81" s="12" t="inlineStr">
        <is>
          <t>Salaire unique avancé pour compte CNAS (à valider)</t>
        </is>
      </c>
      <c r="F81" s="6">
        <f>'Paie TPM'!D27</f>
        <v/>
      </c>
      <c r="G81" s="6" t="n"/>
    </row>
    <row r="82">
      <c r="A82" s="12" t="inlineStr">
        <is>
          <t>PAIE-TPM-02</t>
        </is>
      </c>
      <c r="B82" s="12" t="inlineStr">
        <is>
          <t>Févr 2026</t>
        </is>
      </c>
      <c r="C82" s="12" t="inlineStr">
        <is>
          <t>TPM</t>
        </is>
      </c>
      <c r="D82" s="4" t="inlineStr">
        <is>
          <t>431</t>
        </is>
      </c>
      <c r="E82" s="12" t="inlineStr">
        <is>
          <t>CNAS — retenue salariale 9 %</t>
        </is>
      </c>
      <c r="F82" s="6" t="n"/>
      <c r="G82" s="6">
        <f>'Paie TPM'!D21</f>
        <v/>
      </c>
    </row>
    <row r="83">
      <c r="A83" s="12" t="inlineStr">
        <is>
          <t>PAIE-TPM-02</t>
        </is>
      </c>
      <c r="B83" s="12" t="inlineStr">
        <is>
          <t>Févr 2026</t>
        </is>
      </c>
      <c r="C83" s="12" t="inlineStr">
        <is>
          <t>TPM</t>
        </is>
      </c>
      <c r="D83" s="4" t="inlineStr">
        <is>
          <t>442</t>
        </is>
      </c>
      <c r="E83" s="12" t="inlineStr">
        <is>
          <t>IRG retenu à la source</t>
        </is>
      </c>
      <c r="F83" s="6" t="n"/>
      <c r="G83" s="6">
        <f>'Paie TPM'!D25</f>
        <v/>
      </c>
    </row>
    <row r="84">
      <c r="A84" s="12" t="inlineStr">
        <is>
          <t>PAIE-TPM-02</t>
        </is>
      </c>
      <c r="B84" s="12" t="inlineStr">
        <is>
          <t>Févr 2026</t>
        </is>
      </c>
      <c r="C84" s="12" t="inlineStr">
        <is>
          <t>TPM</t>
        </is>
      </c>
      <c r="D84" s="4" t="inlineStr">
        <is>
          <t>421</t>
        </is>
      </c>
      <c r="E84" s="12" t="inlineStr">
        <is>
          <t>Net à payer au personnel</t>
        </is>
      </c>
      <c r="F84" s="6" t="n"/>
      <c r="G84" s="6">
        <f>'Paie TPM'!D28</f>
        <v/>
      </c>
    </row>
    <row r="85">
      <c r="A85" s="12" t="inlineStr">
        <is>
          <t>CNAS-TPM-02</t>
        </is>
      </c>
      <c r="B85" s="12" t="inlineStr">
        <is>
          <t>Févr 2026</t>
        </is>
      </c>
      <c r="C85" s="12" t="inlineStr">
        <is>
          <t>TPM</t>
        </is>
      </c>
      <c r="D85" s="4" t="inlineStr">
        <is>
          <t>635</t>
        </is>
      </c>
      <c r="E85" s="12" t="inlineStr">
        <is>
          <t>Charges patronales CNAS (26 %)</t>
        </is>
      </c>
      <c r="F85" s="30">
        <f>ROUND('Paie TPM'!D19*Paramètres!$B$8,2)</f>
        <v/>
      </c>
      <c r="G85" s="30" t="n"/>
    </row>
    <row r="86">
      <c r="A86" s="12" t="inlineStr">
        <is>
          <t>CNAS-TPM-02</t>
        </is>
      </c>
      <c r="B86" s="12" t="inlineStr">
        <is>
          <t>Févr 2026</t>
        </is>
      </c>
      <c r="C86" s="12" t="inlineStr">
        <is>
          <t>TPM</t>
        </is>
      </c>
      <c r="D86" s="4" t="inlineStr">
        <is>
          <t>431</t>
        </is>
      </c>
      <c r="E86" s="12" t="inlineStr">
        <is>
          <t>CNAS — part patronale à reverser</t>
        </is>
      </c>
      <c r="F86" s="30" t="n"/>
      <c r="G86" s="30">
        <f>ROUND('Paie TPM'!D19*Paramètres!$B$8,2)</f>
        <v/>
      </c>
    </row>
    <row r="87">
      <c r="A87" s="12" t="inlineStr">
        <is>
          <t>PAIE-TPM-03</t>
        </is>
      </c>
      <c r="B87" s="12" t="inlineStr">
        <is>
          <t>Mars 2026</t>
        </is>
      </c>
      <c r="C87" s="12" t="inlineStr">
        <is>
          <t>TPM</t>
        </is>
      </c>
      <c r="D87" s="4" t="inlineStr">
        <is>
          <t>631</t>
        </is>
      </c>
      <c r="E87" s="12" t="inlineStr">
        <is>
          <t>Rémunérations (salaire de poste + ponctualité)</t>
        </is>
      </c>
      <c r="F87" s="6">
        <f>'Paie TPM'!E19+'Paie TPM'!E18</f>
        <v/>
      </c>
      <c r="G87" s="6" t="n"/>
    </row>
    <row r="88">
      <c r="A88" s="12" t="inlineStr">
        <is>
          <t>PAIE-TPM-03</t>
        </is>
      </c>
      <c r="B88" s="12" t="inlineStr">
        <is>
          <t>Mars 2026</t>
        </is>
      </c>
      <c r="C88" s="12" t="inlineStr">
        <is>
          <t>TPM</t>
        </is>
      </c>
      <c r="D88" s="4" t="inlineStr">
        <is>
          <t>638</t>
        </is>
      </c>
      <c r="E88" s="12" t="inlineStr">
        <is>
          <t>Indemnités panier et transport</t>
        </is>
      </c>
      <c r="F88" s="6">
        <f>'Paie TPM'!E22+'Paie TPM'!E23</f>
        <v/>
      </c>
      <c r="G88" s="6" t="n"/>
    </row>
    <row r="89">
      <c r="A89" s="12" t="inlineStr">
        <is>
          <t>PAIE-TPM-03</t>
        </is>
      </c>
      <c r="B89" s="12" t="inlineStr">
        <is>
          <t>Mars 2026</t>
        </is>
      </c>
      <c r="C89" s="12" t="inlineStr">
        <is>
          <t>TPM</t>
        </is>
      </c>
      <c r="D89" s="4" t="inlineStr">
        <is>
          <t>625</t>
        </is>
      </c>
      <c r="E89" s="12" t="inlineStr">
        <is>
          <t>Frais de mission</t>
        </is>
      </c>
      <c r="F89" s="6">
        <f>'Paie TPM'!E26</f>
        <v/>
      </c>
      <c r="G89" s="6" t="n"/>
    </row>
    <row r="90">
      <c r="A90" s="12" t="inlineStr">
        <is>
          <t>PAIE-TPM-03</t>
        </is>
      </c>
      <c r="B90" s="12" t="inlineStr">
        <is>
          <t>Mars 2026</t>
        </is>
      </c>
      <c r="C90" s="12" t="inlineStr">
        <is>
          <t>TPM</t>
        </is>
      </c>
      <c r="D90" s="4" t="inlineStr">
        <is>
          <t>431</t>
        </is>
      </c>
      <c r="E90" s="12" t="inlineStr">
        <is>
          <t>Salaire unique avancé pour compte CNAS (à valider)</t>
        </is>
      </c>
      <c r="F90" s="6">
        <f>'Paie TPM'!E27</f>
        <v/>
      </c>
      <c r="G90" s="6" t="n"/>
    </row>
    <row r="91">
      <c r="A91" s="12" t="inlineStr">
        <is>
          <t>PAIE-TPM-03</t>
        </is>
      </c>
      <c r="B91" s="12" t="inlineStr">
        <is>
          <t>Mars 2026</t>
        </is>
      </c>
      <c r="C91" s="12" t="inlineStr">
        <is>
          <t>TPM</t>
        </is>
      </c>
      <c r="D91" s="4" t="inlineStr">
        <is>
          <t>431</t>
        </is>
      </c>
      <c r="E91" s="12" t="inlineStr">
        <is>
          <t>CNAS — retenue salariale 9 %</t>
        </is>
      </c>
      <c r="F91" s="6" t="n"/>
      <c r="G91" s="6">
        <f>'Paie TPM'!E21</f>
        <v/>
      </c>
    </row>
    <row r="92">
      <c r="A92" s="12" t="inlineStr">
        <is>
          <t>PAIE-TPM-03</t>
        </is>
      </c>
      <c r="B92" s="12" t="inlineStr">
        <is>
          <t>Mars 2026</t>
        </is>
      </c>
      <c r="C92" s="12" t="inlineStr">
        <is>
          <t>TPM</t>
        </is>
      </c>
      <c r="D92" s="4" t="inlineStr">
        <is>
          <t>442</t>
        </is>
      </c>
      <c r="E92" s="12" t="inlineStr">
        <is>
          <t>IRG retenu à la source</t>
        </is>
      </c>
      <c r="F92" s="6" t="n"/>
      <c r="G92" s="6">
        <f>'Paie TPM'!E25</f>
        <v/>
      </c>
    </row>
    <row r="93">
      <c r="A93" s="12" t="inlineStr">
        <is>
          <t>PAIE-TPM-03</t>
        </is>
      </c>
      <c r="B93" s="12" t="inlineStr">
        <is>
          <t>Mars 2026</t>
        </is>
      </c>
      <c r="C93" s="12" t="inlineStr">
        <is>
          <t>TPM</t>
        </is>
      </c>
      <c r="D93" s="4" t="inlineStr">
        <is>
          <t>421</t>
        </is>
      </c>
      <c r="E93" s="12" t="inlineStr">
        <is>
          <t>Net à payer au personnel</t>
        </is>
      </c>
      <c r="F93" s="6" t="n"/>
      <c r="G93" s="6">
        <f>'Paie TPM'!E28</f>
        <v/>
      </c>
    </row>
    <row r="94">
      <c r="A94" s="12" t="inlineStr">
        <is>
          <t>CNAS-TPM-03</t>
        </is>
      </c>
      <c r="B94" s="12" t="inlineStr">
        <is>
          <t>Mars 2026</t>
        </is>
      </c>
      <c r="C94" s="12" t="inlineStr">
        <is>
          <t>TPM</t>
        </is>
      </c>
      <c r="D94" s="4" t="inlineStr">
        <is>
          <t>635</t>
        </is>
      </c>
      <c r="E94" s="12" t="inlineStr">
        <is>
          <t>Charges patronales CNAS (26 %)</t>
        </is>
      </c>
      <c r="F94" s="30">
        <f>ROUND('Paie TPM'!E19*Paramètres!$B$8,2)</f>
        <v/>
      </c>
      <c r="G94" s="30" t="n"/>
    </row>
    <row r="95">
      <c r="A95" s="12" t="inlineStr">
        <is>
          <t>CNAS-TPM-03</t>
        </is>
      </c>
      <c r="B95" s="12" t="inlineStr">
        <is>
          <t>Mars 2026</t>
        </is>
      </c>
      <c r="C95" s="12" t="inlineStr">
        <is>
          <t>TPM</t>
        </is>
      </c>
      <c r="D95" s="4" t="inlineStr">
        <is>
          <t>431</t>
        </is>
      </c>
      <c r="E95" s="12" t="inlineStr">
        <is>
          <t>CNAS — part patronale à reverser</t>
        </is>
      </c>
      <c r="F95" s="30" t="n"/>
      <c r="G95" s="30">
        <f>ROUND('Paie TPM'!E19*Paramètres!$B$8,2)</f>
        <v/>
      </c>
    </row>
    <row r="96">
      <c r="A96" s="12" t="inlineStr">
        <is>
          <t>PAIE-TPM-04</t>
        </is>
      </c>
      <c r="B96" s="12" t="inlineStr">
        <is>
          <t>Avr 2026</t>
        </is>
      </c>
      <c r="C96" s="12" t="inlineStr">
        <is>
          <t>TPM</t>
        </is>
      </c>
      <c r="D96" s="4" t="inlineStr">
        <is>
          <t>631</t>
        </is>
      </c>
      <c r="E96" s="12" t="inlineStr">
        <is>
          <t>Rémunérations (salaire de poste + ponctualité)</t>
        </is>
      </c>
      <c r="F96" s="6">
        <f>'Paie TPM'!F19+'Paie TPM'!F18</f>
        <v/>
      </c>
      <c r="G96" s="6" t="n"/>
    </row>
    <row r="97">
      <c r="A97" s="12" t="inlineStr">
        <is>
          <t>PAIE-TPM-04</t>
        </is>
      </c>
      <c r="B97" s="12" t="inlineStr">
        <is>
          <t>Avr 2026</t>
        </is>
      </c>
      <c r="C97" s="12" t="inlineStr">
        <is>
          <t>TPM</t>
        </is>
      </c>
      <c r="D97" s="4" t="inlineStr">
        <is>
          <t>638</t>
        </is>
      </c>
      <c r="E97" s="12" t="inlineStr">
        <is>
          <t>Indemnités panier et transport</t>
        </is>
      </c>
      <c r="F97" s="6">
        <f>'Paie TPM'!F22+'Paie TPM'!F23</f>
        <v/>
      </c>
      <c r="G97" s="6" t="n"/>
    </row>
    <row r="98">
      <c r="A98" s="12" t="inlineStr">
        <is>
          <t>PAIE-TPM-04</t>
        </is>
      </c>
      <c r="B98" s="12" t="inlineStr">
        <is>
          <t>Avr 2026</t>
        </is>
      </c>
      <c r="C98" s="12" t="inlineStr">
        <is>
          <t>TPM</t>
        </is>
      </c>
      <c r="D98" s="4" t="inlineStr">
        <is>
          <t>625</t>
        </is>
      </c>
      <c r="E98" s="12" t="inlineStr">
        <is>
          <t>Frais de mission</t>
        </is>
      </c>
      <c r="F98" s="6">
        <f>'Paie TPM'!F26</f>
        <v/>
      </c>
      <c r="G98" s="6" t="n"/>
    </row>
    <row r="99">
      <c r="A99" s="12" t="inlineStr">
        <is>
          <t>PAIE-TPM-04</t>
        </is>
      </c>
      <c r="B99" s="12" t="inlineStr">
        <is>
          <t>Avr 2026</t>
        </is>
      </c>
      <c r="C99" s="12" t="inlineStr">
        <is>
          <t>TPM</t>
        </is>
      </c>
      <c r="D99" s="4" t="inlineStr">
        <is>
          <t>431</t>
        </is>
      </c>
      <c r="E99" s="12" t="inlineStr">
        <is>
          <t>Salaire unique avancé pour compte CNAS (à valider)</t>
        </is>
      </c>
      <c r="F99" s="6">
        <f>'Paie TPM'!F27</f>
        <v/>
      </c>
      <c r="G99" s="6" t="n"/>
    </row>
    <row r="100">
      <c r="A100" s="12" t="inlineStr">
        <is>
          <t>PAIE-TPM-04</t>
        </is>
      </c>
      <c r="B100" s="12" t="inlineStr">
        <is>
          <t>Avr 2026</t>
        </is>
      </c>
      <c r="C100" s="12" t="inlineStr">
        <is>
          <t>TPM</t>
        </is>
      </c>
      <c r="D100" s="4" t="inlineStr">
        <is>
          <t>431</t>
        </is>
      </c>
      <c r="E100" s="12" t="inlineStr">
        <is>
          <t>CNAS — retenue salariale 9 %</t>
        </is>
      </c>
      <c r="F100" s="6" t="n"/>
      <c r="G100" s="6">
        <f>'Paie TPM'!F21</f>
        <v/>
      </c>
    </row>
    <row r="101">
      <c r="A101" s="12" t="inlineStr">
        <is>
          <t>PAIE-TPM-04</t>
        </is>
      </c>
      <c r="B101" s="12" t="inlineStr">
        <is>
          <t>Avr 2026</t>
        </is>
      </c>
      <c r="C101" s="12" t="inlineStr">
        <is>
          <t>TPM</t>
        </is>
      </c>
      <c r="D101" s="4" t="inlineStr">
        <is>
          <t>442</t>
        </is>
      </c>
      <c r="E101" s="12" t="inlineStr">
        <is>
          <t>IRG retenu à la source</t>
        </is>
      </c>
      <c r="F101" s="6" t="n"/>
      <c r="G101" s="6">
        <f>'Paie TPM'!F25</f>
        <v/>
      </c>
    </row>
    <row r="102">
      <c r="A102" s="12" t="inlineStr">
        <is>
          <t>PAIE-TPM-04</t>
        </is>
      </c>
      <c r="B102" s="12" t="inlineStr">
        <is>
          <t>Avr 2026</t>
        </is>
      </c>
      <c r="C102" s="12" t="inlineStr">
        <is>
          <t>TPM</t>
        </is>
      </c>
      <c r="D102" s="4" t="inlineStr">
        <is>
          <t>421</t>
        </is>
      </c>
      <c r="E102" s="12" t="inlineStr">
        <is>
          <t>Net à payer au personnel</t>
        </is>
      </c>
      <c r="F102" s="6" t="n"/>
      <c r="G102" s="6">
        <f>'Paie TPM'!F28</f>
        <v/>
      </c>
    </row>
    <row r="103">
      <c r="A103" s="12" t="inlineStr">
        <is>
          <t>CNAS-TPM-04</t>
        </is>
      </c>
      <c r="B103" s="12" t="inlineStr">
        <is>
          <t>Avr 2026</t>
        </is>
      </c>
      <c r="C103" s="12" t="inlineStr">
        <is>
          <t>TPM</t>
        </is>
      </c>
      <c r="D103" s="4" t="inlineStr">
        <is>
          <t>635</t>
        </is>
      </c>
      <c r="E103" s="12" t="inlineStr">
        <is>
          <t>Charges patronales CNAS (26 %)</t>
        </is>
      </c>
      <c r="F103" s="30">
        <f>ROUND('Paie TPM'!F19*Paramètres!$B$8,2)</f>
        <v/>
      </c>
      <c r="G103" s="30" t="n"/>
    </row>
    <row r="104">
      <c r="A104" s="12" t="inlineStr">
        <is>
          <t>CNAS-TPM-04</t>
        </is>
      </c>
      <c r="B104" s="12" t="inlineStr">
        <is>
          <t>Avr 2026</t>
        </is>
      </c>
      <c r="C104" s="12" t="inlineStr">
        <is>
          <t>TPM</t>
        </is>
      </c>
      <c r="D104" s="4" t="inlineStr">
        <is>
          <t>431</t>
        </is>
      </c>
      <c r="E104" s="12" t="inlineStr">
        <is>
          <t>CNAS — part patronale à reverser</t>
        </is>
      </c>
      <c r="F104" s="30" t="n"/>
      <c r="G104" s="30">
        <f>ROUND('Paie TPM'!F19*Paramètres!$B$8,2)</f>
        <v/>
      </c>
    </row>
    <row r="105">
      <c r="A105" s="12" t="inlineStr">
        <is>
          <t>PAIE-TPM-05</t>
        </is>
      </c>
      <c r="B105" s="12" t="inlineStr">
        <is>
          <t>Mai 2026</t>
        </is>
      </c>
      <c r="C105" s="12" t="inlineStr">
        <is>
          <t>TPM</t>
        </is>
      </c>
      <c r="D105" s="4" t="inlineStr">
        <is>
          <t>631</t>
        </is>
      </c>
      <c r="E105" s="12" t="inlineStr">
        <is>
          <t>Rémunérations (salaire de poste + ponctualité)</t>
        </is>
      </c>
      <c r="F105" s="6">
        <f>'Paie TPM'!G19+'Paie TPM'!G18</f>
        <v/>
      </c>
      <c r="G105" s="6" t="n"/>
    </row>
    <row r="106">
      <c r="A106" s="12" t="inlineStr">
        <is>
          <t>PAIE-TPM-05</t>
        </is>
      </c>
      <c r="B106" s="12" t="inlineStr">
        <is>
          <t>Mai 2026</t>
        </is>
      </c>
      <c r="C106" s="12" t="inlineStr">
        <is>
          <t>TPM</t>
        </is>
      </c>
      <c r="D106" s="4" t="inlineStr">
        <is>
          <t>638</t>
        </is>
      </c>
      <c r="E106" s="12" t="inlineStr">
        <is>
          <t>Indemnités panier et transport</t>
        </is>
      </c>
      <c r="F106" s="6">
        <f>'Paie TPM'!G22+'Paie TPM'!G23</f>
        <v/>
      </c>
      <c r="G106" s="6" t="n"/>
    </row>
    <row r="107">
      <c r="A107" s="12" t="inlineStr">
        <is>
          <t>PAIE-TPM-05</t>
        </is>
      </c>
      <c r="B107" s="12" t="inlineStr">
        <is>
          <t>Mai 2026</t>
        </is>
      </c>
      <c r="C107" s="12" t="inlineStr">
        <is>
          <t>TPM</t>
        </is>
      </c>
      <c r="D107" s="4" t="inlineStr">
        <is>
          <t>625</t>
        </is>
      </c>
      <c r="E107" s="12" t="inlineStr">
        <is>
          <t>Frais de mission</t>
        </is>
      </c>
      <c r="F107" s="6">
        <f>'Paie TPM'!G26</f>
        <v/>
      </c>
      <c r="G107" s="6" t="n"/>
    </row>
    <row r="108">
      <c r="A108" s="12" t="inlineStr">
        <is>
          <t>PAIE-TPM-05</t>
        </is>
      </c>
      <c r="B108" s="12" t="inlineStr">
        <is>
          <t>Mai 2026</t>
        </is>
      </c>
      <c r="C108" s="12" t="inlineStr">
        <is>
          <t>TPM</t>
        </is>
      </c>
      <c r="D108" s="4" t="inlineStr">
        <is>
          <t>431</t>
        </is>
      </c>
      <c r="E108" s="12" t="inlineStr">
        <is>
          <t>Salaire unique avancé pour compte CNAS (à valider)</t>
        </is>
      </c>
      <c r="F108" s="6">
        <f>'Paie TPM'!G27</f>
        <v/>
      </c>
      <c r="G108" s="6" t="n"/>
    </row>
    <row r="109">
      <c r="A109" s="12" t="inlineStr">
        <is>
          <t>PAIE-TPM-05</t>
        </is>
      </c>
      <c r="B109" s="12" t="inlineStr">
        <is>
          <t>Mai 2026</t>
        </is>
      </c>
      <c r="C109" s="12" t="inlineStr">
        <is>
          <t>TPM</t>
        </is>
      </c>
      <c r="D109" s="4" t="inlineStr">
        <is>
          <t>431</t>
        </is>
      </c>
      <c r="E109" s="12" t="inlineStr">
        <is>
          <t>CNAS — retenue salariale 9 %</t>
        </is>
      </c>
      <c r="F109" s="6" t="n"/>
      <c r="G109" s="6">
        <f>'Paie TPM'!G21</f>
        <v/>
      </c>
    </row>
    <row r="110">
      <c r="A110" s="12" t="inlineStr">
        <is>
          <t>PAIE-TPM-05</t>
        </is>
      </c>
      <c r="B110" s="12" t="inlineStr">
        <is>
          <t>Mai 2026</t>
        </is>
      </c>
      <c r="C110" s="12" t="inlineStr">
        <is>
          <t>TPM</t>
        </is>
      </c>
      <c r="D110" s="4" t="inlineStr">
        <is>
          <t>442</t>
        </is>
      </c>
      <c r="E110" s="12" t="inlineStr">
        <is>
          <t>IRG retenu à la source</t>
        </is>
      </c>
      <c r="F110" s="6" t="n"/>
      <c r="G110" s="6">
        <f>'Paie TPM'!G25</f>
        <v/>
      </c>
    </row>
    <row r="111">
      <c r="A111" s="12" t="inlineStr">
        <is>
          <t>PAIE-TPM-05</t>
        </is>
      </c>
      <c r="B111" s="12" t="inlineStr">
        <is>
          <t>Mai 2026</t>
        </is>
      </c>
      <c r="C111" s="12" t="inlineStr">
        <is>
          <t>TPM</t>
        </is>
      </c>
      <c r="D111" s="4" t="inlineStr">
        <is>
          <t>421</t>
        </is>
      </c>
      <c r="E111" s="12" t="inlineStr">
        <is>
          <t>Net à payer au personnel</t>
        </is>
      </c>
      <c r="F111" s="6" t="n"/>
      <c r="G111" s="6">
        <f>'Paie TPM'!G28</f>
        <v/>
      </c>
    </row>
    <row r="112">
      <c r="A112" s="12" t="inlineStr">
        <is>
          <t>CNAS-TPM-05</t>
        </is>
      </c>
      <c r="B112" s="12" t="inlineStr">
        <is>
          <t>Mai 2026</t>
        </is>
      </c>
      <c r="C112" s="12" t="inlineStr">
        <is>
          <t>TPM</t>
        </is>
      </c>
      <c r="D112" s="4" t="inlineStr">
        <is>
          <t>635</t>
        </is>
      </c>
      <c r="E112" s="12" t="inlineStr">
        <is>
          <t>Charges patronales CNAS (26 %)</t>
        </is>
      </c>
      <c r="F112" s="30">
        <f>ROUND('Paie TPM'!G19*Paramètres!$B$8,2)</f>
        <v/>
      </c>
      <c r="G112" s="30" t="n"/>
    </row>
    <row r="113">
      <c r="A113" s="12" t="inlineStr">
        <is>
          <t>CNAS-TPM-05</t>
        </is>
      </c>
      <c r="B113" s="12" t="inlineStr">
        <is>
          <t>Mai 2026</t>
        </is>
      </c>
      <c r="C113" s="12" t="inlineStr">
        <is>
          <t>TPM</t>
        </is>
      </c>
      <c r="D113" s="4" t="inlineStr">
        <is>
          <t>431</t>
        </is>
      </c>
      <c r="E113" s="12" t="inlineStr">
        <is>
          <t>CNAS — part patronale à reverser</t>
        </is>
      </c>
      <c r="F113" s="30" t="n"/>
      <c r="G113" s="30">
        <f>ROUND('Paie TPM'!G19*Paramètres!$B$8,2)</f>
        <v/>
      </c>
    </row>
    <row r="114">
      <c r="A114" s="12" t="inlineStr">
        <is>
          <t>PAIE-TPM-06</t>
        </is>
      </c>
      <c r="B114" s="12" t="inlineStr">
        <is>
          <t>Juin 2026</t>
        </is>
      </c>
      <c r="C114" s="12" t="inlineStr">
        <is>
          <t>TPM</t>
        </is>
      </c>
      <c r="D114" s="4" t="inlineStr">
        <is>
          <t>631</t>
        </is>
      </c>
      <c r="E114" s="12" t="inlineStr">
        <is>
          <t>Rémunérations (salaire de poste + ponctualité)</t>
        </is>
      </c>
      <c r="F114" s="6">
        <f>'Paie TPM'!H19+'Paie TPM'!H18</f>
        <v/>
      </c>
      <c r="G114" s="6" t="n"/>
    </row>
    <row r="115">
      <c r="A115" s="12" t="inlineStr">
        <is>
          <t>PAIE-TPM-06</t>
        </is>
      </c>
      <c r="B115" s="12" t="inlineStr">
        <is>
          <t>Juin 2026</t>
        </is>
      </c>
      <c r="C115" s="12" t="inlineStr">
        <is>
          <t>TPM</t>
        </is>
      </c>
      <c r="D115" s="4" t="inlineStr">
        <is>
          <t>638</t>
        </is>
      </c>
      <c r="E115" s="12" t="inlineStr">
        <is>
          <t>Indemnités panier et transport</t>
        </is>
      </c>
      <c r="F115" s="6">
        <f>'Paie TPM'!H22+'Paie TPM'!H23</f>
        <v/>
      </c>
      <c r="G115" s="6" t="n"/>
    </row>
    <row r="116">
      <c r="A116" s="12" t="inlineStr">
        <is>
          <t>PAIE-TPM-06</t>
        </is>
      </c>
      <c r="B116" s="12" t="inlineStr">
        <is>
          <t>Juin 2026</t>
        </is>
      </c>
      <c r="C116" s="12" t="inlineStr">
        <is>
          <t>TPM</t>
        </is>
      </c>
      <c r="D116" s="4" t="inlineStr">
        <is>
          <t>625</t>
        </is>
      </c>
      <c r="E116" s="12" t="inlineStr">
        <is>
          <t>Frais de mission</t>
        </is>
      </c>
      <c r="F116" s="6">
        <f>'Paie TPM'!H26</f>
        <v/>
      </c>
      <c r="G116" s="6" t="n"/>
    </row>
    <row r="117">
      <c r="A117" s="12" t="inlineStr">
        <is>
          <t>PAIE-TPM-06</t>
        </is>
      </c>
      <c r="B117" s="12" t="inlineStr">
        <is>
          <t>Juin 2026</t>
        </is>
      </c>
      <c r="C117" s="12" t="inlineStr">
        <is>
          <t>TPM</t>
        </is>
      </c>
      <c r="D117" s="4" t="inlineStr">
        <is>
          <t>431</t>
        </is>
      </c>
      <c r="E117" s="12" t="inlineStr">
        <is>
          <t>Salaire unique avancé pour compte CNAS (à valider)</t>
        </is>
      </c>
      <c r="F117" s="6">
        <f>'Paie TPM'!H27</f>
        <v/>
      </c>
      <c r="G117" s="6" t="n"/>
    </row>
    <row r="118">
      <c r="A118" s="12" t="inlineStr">
        <is>
          <t>PAIE-TPM-06</t>
        </is>
      </c>
      <c r="B118" s="12" t="inlineStr">
        <is>
          <t>Juin 2026</t>
        </is>
      </c>
      <c r="C118" s="12" t="inlineStr">
        <is>
          <t>TPM</t>
        </is>
      </c>
      <c r="D118" s="4" t="inlineStr">
        <is>
          <t>431</t>
        </is>
      </c>
      <c r="E118" s="12" t="inlineStr">
        <is>
          <t>CNAS — retenue salariale 9 %</t>
        </is>
      </c>
      <c r="F118" s="6" t="n"/>
      <c r="G118" s="6">
        <f>'Paie TPM'!H21</f>
        <v/>
      </c>
    </row>
    <row r="119">
      <c r="A119" s="12" t="inlineStr">
        <is>
          <t>PAIE-TPM-06</t>
        </is>
      </c>
      <c r="B119" s="12" t="inlineStr">
        <is>
          <t>Juin 2026</t>
        </is>
      </c>
      <c r="C119" s="12" t="inlineStr">
        <is>
          <t>TPM</t>
        </is>
      </c>
      <c r="D119" s="4" t="inlineStr">
        <is>
          <t>442</t>
        </is>
      </c>
      <c r="E119" s="12" t="inlineStr">
        <is>
          <t>IRG retenu à la source</t>
        </is>
      </c>
      <c r="F119" s="6" t="n"/>
      <c r="G119" s="6">
        <f>'Paie TPM'!H25</f>
        <v/>
      </c>
    </row>
    <row r="120">
      <c r="A120" s="12" t="inlineStr">
        <is>
          <t>PAIE-TPM-06</t>
        </is>
      </c>
      <c r="B120" s="12" t="inlineStr">
        <is>
          <t>Juin 2026</t>
        </is>
      </c>
      <c r="C120" s="12" t="inlineStr">
        <is>
          <t>TPM</t>
        </is>
      </c>
      <c r="D120" s="4" t="inlineStr">
        <is>
          <t>421</t>
        </is>
      </c>
      <c r="E120" s="12" t="inlineStr">
        <is>
          <t>Net à payer au personnel</t>
        </is>
      </c>
      <c r="F120" s="6" t="n"/>
      <c r="G120" s="6">
        <f>'Paie TPM'!H28</f>
        <v/>
      </c>
    </row>
    <row r="121">
      <c r="A121" s="12" t="inlineStr">
        <is>
          <t>CNAS-TPM-06</t>
        </is>
      </c>
      <c r="B121" s="12" t="inlineStr">
        <is>
          <t>Juin 2026</t>
        </is>
      </c>
      <c r="C121" s="12" t="inlineStr">
        <is>
          <t>TPM</t>
        </is>
      </c>
      <c r="D121" s="4" t="inlineStr">
        <is>
          <t>635</t>
        </is>
      </c>
      <c r="E121" s="12" t="inlineStr">
        <is>
          <t>Charges patronales CNAS (26 %)</t>
        </is>
      </c>
      <c r="F121" s="30">
        <f>ROUND('Paie TPM'!H19*Paramètres!$B$8,2)</f>
        <v/>
      </c>
      <c r="G121" s="30" t="n"/>
    </row>
    <row r="122">
      <c r="A122" s="12" t="inlineStr">
        <is>
          <t>CNAS-TPM-06</t>
        </is>
      </c>
      <c r="B122" s="12" t="inlineStr">
        <is>
          <t>Juin 2026</t>
        </is>
      </c>
      <c r="C122" s="12" t="inlineStr">
        <is>
          <t>TPM</t>
        </is>
      </c>
      <c r="D122" s="4" t="inlineStr">
        <is>
          <t>431</t>
        </is>
      </c>
      <c r="E122" s="12" t="inlineStr">
        <is>
          <t>CNAS — part patronale à reverser</t>
        </is>
      </c>
      <c r="F122" s="30" t="n"/>
      <c r="G122" s="30">
        <f>ROUND('Paie TPM'!H19*Paramètres!$B$8,2)</f>
        <v/>
      </c>
    </row>
    <row r="123">
      <c r="A123" s="12" t="inlineStr">
        <is>
          <t>PAIE-TPM-07</t>
        </is>
      </c>
      <c r="B123" s="12" t="inlineStr">
        <is>
          <t>Juil 2026</t>
        </is>
      </c>
      <c r="C123" s="12" t="inlineStr">
        <is>
          <t>TPM</t>
        </is>
      </c>
      <c r="D123" s="4" t="inlineStr">
        <is>
          <t>631</t>
        </is>
      </c>
      <c r="E123" s="12" t="inlineStr">
        <is>
          <t>Rémunérations (salaire de poste + ponctualité)</t>
        </is>
      </c>
      <c r="F123" s="6">
        <f>'Paie TPM'!I19+'Paie TPM'!I18</f>
        <v/>
      </c>
      <c r="G123" s="6" t="n"/>
    </row>
    <row r="124">
      <c r="A124" s="12" t="inlineStr">
        <is>
          <t>PAIE-TPM-07</t>
        </is>
      </c>
      <c r="B124" s="12" t="inlineStr">
        <is>
          <t>Juil 2026</t>
        </is>
      </c>
      <c r="C124" s="12" t="inlineStr">
        <is>
          <t>TPM</t>
        </is>
      </c>
      <c r="D124" s="4" t="inlineStr">
        <is>
          <t>638</t>
        </is>
      </c>
      <c r="E124" s="12" t="inlineStr">
        <is>
          <t>Indemnités panier et transport</t>
        </is>
      </c>
      <c r="F124" s="6">
        <f>'Paie TPM'!I22+'Paie TPM'!I23</f>
        <v/>
      </c>
      <c r="G124" s="6" t="n"/>
    </row>
    <row r="125">
      <c r="A125" s="12" t="inlineStr">
        <is>
          <t>PAIE-TPM-07</t>
        </is>
      </c>
      <c r="B125" s="12" t="inlineStr">
        <is>
          <t>Juil 2026</t>
        </is>
      </c>
      <c r="C125" s="12" t="inlineStr">
        <is>
          <t>TPM</t>
        </is>
      </c>
      <c r="D125" s="4" t="inlineStr">
        <is>
          <t>625</t>
        </is>
      </c>
      <c r="E125" s="12" t="inlineStr">
        <is>
          <t>Frais de mission</t>
        </is>
      </c>
      <c r="F125" s="6">
        <f>'Paie TPM'!I26</f>
        <v/>
      </c>
      <c r="G125" s="6" t="n"/>
    </row>
    <row r="126">
      <c r="A126" s="12" t="inlineStr">
        <is>
          <t>PAIE-TPM-07</t>
        </is>
      </c>
      <c r="B126" s="12" t="inlineStr">
        <is>
          <t>Juil 2026</t>
        </is>
      </c>
      <c r="C126" s="12" t="inlineStr">
        <is>
          <t>TPM</t>
        </is>
      </c>
      <c r="D126" s="4" t="inlineStr">
        <is>
          <t>431</t>
        </is>
      </c>
      <c r="E126" s="12" t="inlineStr">
        <is>
          <t>Salaire unique avancé pour compte CNAS (à valider)</t>
        </is>
      </c>
      <c r="F126" s="6">
        <f>'Paie TPM'!I27</f>
        <v/>
      </c>
      <c r="G126" s="6" t="n"/>
    </row>
    <row r="127">
      <c r="A127" s="12" t="inlineStr">
        <is>
          <t>PAIE-TPM-07</t>
        </is>
      </c>
      <c r="B127" s="12" t="inlineStr">
        <is>
          <t>Juil 2026</t>
        </is>
      </c>
      <c r="C127" s="12" t="inlineStr">
        <is>
          <t>TPM</t>
        </is>
      </c>
      <c r="D127" s="4" t="inlineStr">
        <is>
          <t>431</t>
        </is>
      </c>
      <c r="E127" s="12" t="inlineStr">
        <is>
          <t>CNAS — retenue salariale 9 %</t>
        </is>
      </c>
      <c r="F127" s="6" t="n"/>
      <c r="G127" s="6">
        <f>'Paie TPM'!I21</f>
        <v/>
      </c>
    </row>
    <row r="128">
      <c r="A128" s="12" t="inlineStr">
        <is>
          <t>PAIE-TPM-07</t>
        </is>
      </c>
      <c r="B128" s="12" t="inlineStr">
        <is>
          <t>Juil 2026</t>
        </is>
      </c>
      <c r="C128" s="12" t="inlineStr">
        <is>
          <t>TPM</t>
        </is>
      </c>
      <c r="D128" s="4" t="inlineStr">
        <is>
          <t>442</t>
        </is>
      </c>
      <c r="E128" s="12" t="inlineStr">
        <is>
          <t>IRG retenu à la source</t>
        </is>
      </c>
      <c r="F128" s="6" t="n"/>
      <c r="G128" s="6">
        <f>'Paie TPM'!I25</f>
        <v/>
      </c>
    </row>
    <row r="129">
      <c r="A129" s="12" t="inlineStr">
        <is>
          <t>PAIE-TPM-07</t>
        </is>
      </c>
      <c r="B129" s="12" t="inlineStr">
        <is>
          <t>Juil 2026</t>
        </is>
      </c>
      <c r="C129" s="12" t="inlineStr">
        <is>
          <t>TPM</t>
        </is>
      </c>
      <c r="D129" s="4" t="inlineStr">
        <is>
          <t>421</t>
        </is>
      </c>
      <c r="E129" s="12" t="inlineStr">
        <is>
          <t>Net à payer au personnel</t>
        </is>
      </c>
      <c r="F129" s="6" t="n"/>
      <c r="G129" s="6">
        <f>'Paie TPM'!I28</f>
        <v/>
      </c>
    </row>
    <row r="130">
      <c r="A130" s="12" t="inlineStr">
        <is>
          <t>CNAS-TPM-07</t>
        </is>
      </c>
      <c r="B130" s="12" t="inlineStr">
        <is>
          <t>Juil 2026</t>
        </is>
      </c>
      <c r="C130" s="12" t="inlineStr">
        <is>
          <t>TPM</t>
        </is>
      </c>
      <c r="D130" s="4" t="inlineStr">
        <is>
          <t>635</t>
        </is>
      </c>
      <c r="E130" s="12" t="inlineStr">
        <is>
          <t>Charges patronales CNAS (26 %)</t>
        </is>
      </c>
      <c r="F130" s="30">
        <f>ROUND('Paie TPM'!I19*Paramètres!$B$8,2)</f>
        <v/>
      </c>
      <c r="G130" s="30" t="n"/>
    </row>
    <row r="131">
      <c r="A131" s="12" t="inlineStr">
        <is>
          <t>CNAS-TPM-07</t>
        </is>
      </c>
      <c r="B131" s="12" t="inlineStr">
        <is>
          <t>Juil 2026</t>
        </is>
      </c>
      <c r="C131" s="12" t="inlineStr">
        <is>
          <t>TPM</t>
        </is>
      </c>
      <c r="D131" s="4" t="inlineStr">
        <is>
          <t>431</t>
        </is>
      </c>
      <c r="E131" s="12" t="inlineStr">
        <is>
          <t>CNAS — part patronale à reverser</t>
        </is>
      </c>
      <c r="F131" s="30" t="n"/>
      <c r="G131" s="30">
        <f>ROUND('Paie TPM'!I19*Paramètres!$B$8,2)</f>
        <v/>
      </c>
    </row>
    <row r="132">
      <c r="A132" s="12" t="inlineStr">
        <is>
          <t>PAIE-TPM-08</t>
        </is>
      </c>
      <c r="B132" s="12" t="inlineStr">
        <is>
          <t>Août 2026</t>
        </is>
      </c>
      <c r="C132" s="12" t="inlineStr">
        <is>
          <t>TPM</t>
        </is>
      </c>
      <c r="D132" s="4" t="inlineStr">
        <is>
          <t>631</t>
        </is>
      </c>
      <c r="E132" s="12" t="inlineStr">
        <is>
          <t>Rémunérations (salaire de poste + ponctualité)</t>
        </is>
      </c>
      <c r="F132" s="6">
        <f>'Paie TPM'!J19+'Paie TPM'!J18</f>
        <v/>
      </c>
      <c r="G132" s="6" t="n"/>
    </row>
    <row r="133">
      <c r="A133" s="12" t="inlineStr">
        <is>
          <t>PAIE-TPM-08</t>
        </is>
      </c>
      <c r="B133" s="12" t="inlineStr">
        <is>
          <t>Août 2026</t>
        </is>
      </c>
      <c r="C133" s="12" t="inlineStr">
        <is>
          <t>TPM</t>
        </is>
      </c>
      <c r="D133" s="4" t="inlineStr">
        <is>
          <t>638</t>
        </is>
      </c>
      <c r="E133" s="12" t="inlineStr">
        <is>
          <t>Indemnités panier et transport</t>
        </is>
      </c>
      <c r="F133" s="6">
        <f>'Paie TPM'!J22+'Paie TPM'!J23</f>
        <v/>
      </c>
      <c r="G133" s="6" t="n"/>
    </row>
    <row r="134">
      <c r="A134" s="12" t="inlineStr">
        <is>
          <t>PAIE-TPM-08</t>
        </is>
      </c>
      <c r="B134" s="12" t="inlineStr">
        <is>
          <t>Août 2026</t>
        </is>
      </c>
      <c r="C134" s="12" t="inlineStr">
        <is>
          <t>TPM</t>
        </is>
      </c>
      <c r="D134" s="4" t="inlineStr">
        <is>
          <t>625</t>
        </is>
      </c>
      <c r="E134" s="12" t="inlineStr">
        <is>
          <t>Frais de mission</t>
        </is>
      </c>
      <c r="F134" s="6">
        <f>'Paie TPM'!J26</f>
        <v/>
      </c>
      <c r="G134" s="6" t="n"/>
    </row>
    <row r="135">
      <c r="A135" s="12" t="inlineStr">
        <is>
          <t>PAIE-TPM-08</t>
        </is>
      </c>
      <c r="B135" s="12" t="inlineStr">
        <is>
          <t>Août 2026</t>
        </is>
      </c>
      <c r="C135" s="12" t="inlineStr">
        <is>
          <t>TPM</t>
        </is>
      </c>
      <c r="D135" s="4" t="inlineStr">
        <is>
          <t>431</t>
        </is>
      </c>
      <c r="E135" s="12" t="inlineStr">
        <is>
          <t>Salaire unique avancé pour compte CNAS (à valider)</t>
        </is>
      </c>
      <c r="F135" s="6">
        <f>'Paie TPM'!J27</f>
        <v/>
      </c>
      <c r="G135" s="6" t="n"/>
    </row>
    <row r="136">
      <c r="A136" s="12" t="inlineStr">
        <is>
          <t>PAIE-TPM-08</t>
        </is>
      </c>
      <c r="B136" s="12" t="inlineStr">
        <is>
          <t>Août 2026</t>
        </is>
      </c>
      <c r="C136" s="12" t="inlineStr">
        <is>
          <t>TPM</t>
        </is>
      </c>
      <c r="D136" s="4" t="inlineStr">
        <is>
          <t>431</t>
        </is>
      </c>
      <c r="E136" s="12" t="inlineStr">
        <is>
          <t>CNAS — retenue salariale 9 %</t>
        </is>
      </c>
      <c r="F136" s="6" t="n"/>
      <c r="G136" s="6">
        <f>'Paie TPM'!J21</f>
        <v/>
      </c>
    </row>
    <row r="137">
      <c r="A137" s="12" t="inlineStr">
        <is>
          <t>PAIE-TPM-08</t>
        </is>
      </c>
      <c r="B137" s="12" t="inlineStr">
        <is>
          <t>Août 2026</t>
        </is>
      </c>
      <c r="C137" s="12" t="inlineStr">
        <is>
          <t>TPM</t>
        </is>
      </c>
      <c r="D137" s="4" t="inlineStr">
        <is>
          <t>442</t>
        </is>
      </c>
      <c r="E137" s="12" t="inlineStr">
        <is>
          <t>IRG retenu à la source</t>
        </is>
      </c>
      <c r="F137" s="6" t="n"/>
      <c r="G137" s="6">
        <f>'Paie TPM'!J25</f>
        <v/>
      </c>
    </row>
    <row r="138">
      <c r="A138" s="12" t="inlineStr">
        <is>
          <t>PAIE-TPM-08</t>
        </is>
      </c>
      <c r="B138" s="12" t="inlineStr">
        <is>
          <t>Août 2026</t>
        </is>
      </c>
      <c r="C138" s="12" t="inlineStr">
        <is>
          <t>TPM</t>
        </is>
      </c>
      <c r="D138" s="4" t="inlineStr">
        <is>
          <t>421</t>
        </is>
      </c>
      <c r="E138" s="12" t="inlineStr">
        <is>
          <t>Net à payer au personnel</t>
        </is>
      </c>
      <c r="F138" s="6" t="n"/>
      <c r="G138" s="6">
        <f>'Paie TPM'!J28</f>
        <v/>
      </c>
    </row>
    <row r="139">
      <c r="A139" s="12" t="inlineStr">
        <is>
          <t>CNAS-TPM-08</t>
        </is>
      </c>
      <c r="B139" s="12" t="inlineStr">
        <is>
          <t>Août 2026</t>
        </is>
      </c>
      <c r="C139" s="12" t="inlineStr">
        <is>
          <t>TPM</t>
        </is>
      </c>
      <c r="D139" s="4" t="inlineStr">
        <is>
          <t>635</t>
        </is>
      </c>
      <c r="E139" s="12" t="inlineStr">
        <is>
          <t>Charges patronales CNAS (26 %)</t>
        </is>
      </c>
      <c r="F139" s="30">
        <f>ROUND('Paie TPM'!J19*Paramètres!$B$8,2)</f>
        <v/>
      </c>
      <c r="G139" s="30" t="n"/>
    </row>
    <row r="140">
      <c r="A140" s="12" t="inlineStr">
        <is>
          <t>CNAS-TPM-08</t>
        </is>
      </c>
      <c r="B140" s="12" t="inlineStr">
        <is>
          <t>Août 2026</t>
        </is>
      </c>
      <c r="C140" s="12" t="inlineStr">
        <is>
          <t>TPM</t>
        </is>
      </c>
      <c r="D140" s="4" t="inlineStr">
        <is>
          <t>431</t>
        </is>
      </c>
      <c r="E140" s="12" t="inlineStr">
        <is>
          <t>CNAS — part patronale à reverser</t>
        </is>
      </c>
      <c r="F140" s="30" t="n"/>
      <c r="G140" s="30">
        <f>ROUND('Paie TPM'!J19*Paramètres!$B$8,2)</f>
        <v/>
      </c>
    </row>
    <row r="141">
      <c r="E141" s="4" t="inlineStr">
        <is>
          <t>TOTAUX</t>
        </is>
      </c>
      <c r="F141" s="7">
        <f>SUM(F5:F140)</f>
        <v/>
      </c>
      <c r="G141" s="7">
        <f>SUM(G5:G140)</f>
        <v/>
      </c>
    </row>
    <row r="142">
      <c r="E142" s="4" t="inlineStr">
        <is>
          <t>Contrôle débit − crédit (doit être 0)</t>
        </is>
      </c>
      <c r="F142" s="27">
        <f>F141-G141</f>
        <v/>
      </c>
    </row>
  </sheetData>
  <autoFilter ref="A4:G140"/>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I14"/>
  <sheetViews>
    <sheetView showGridLines="0" workbookViewId="0">
      <selection activeCell="A1" sqref="A1"/>
    </sheetView>
  </sheetViews>
  <sheetFormatPr baseColWidth="8" defaultRowHeight="15"/>
  <cols>
    <col width="9" customWidth="1" min="1" max="1"/>
    <col width="44"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Balance des comptes de paie — cumul janvier–août 2026</t>
        </is>
      </c>
    </row>
    <row r="2">
      <c r="A2" s="2" t="inlineStr">
        <is>
          <t>Calculée par SUMIFS sur le journal de paie.</t>
        </is>
      </c>
    </row>
    <row r="4">
      <c r="A4" s="11" t="inlineStr">
        <is>
          <t>Compte</t>
        </is>
      </c>
      <c r="B4" s="11" t="inlineStr">
        <is>
          <t>Intitulé</t>
        </is>
      </c>
      <c r="C4" s="11" t="inlineStr">
        <is>
          <t>Débit IMPORT</t>
        </is>
      </c>
      <c r="D4" s="11" t="inlineStr">
        <is>
          <t>Crédit IMPORT</t>
        </is>
      </c>
      <c r="E4" s="11" t="inlineStr">
        <is>
          <t>Débit TPM</t>
        </is>
      </c>
      <c r="F4" s="11" t="inlineStr">
        <is>
          <t>Crédit TPM</t>
        </is>
      </c>
      <c r="G4" s="11" t="inlineStr">
        <is>
          <t>Débit total</t>
        </is>
      </c>
      <c r="H4" s="11" t="inlineStr">
        <is>
          <t>Crédit total</t>
        </is>
      </c>
      <c r="I4" s="11" t="inlineStr">
        <is>
          <t>Solde (D − C)</t>
        </is>
      </c>
    </row>
    <row r="5">
      <c r="A5" s="4" t="inlineStr">
        <is>
          <t>631</t>
        </is>
      </c>
      <c r="B5" s="12" t="inlineStr">
        <is>
          <t>Rémunérations du personnel</t>
        </is>
      </c>
      <c r="C5" s="30">
        <f>SUMIFS('Journal paie'!$F$5:$F$140,'Journal paie'!$D$5:$D$140,A5,'Journal paie'!$C$5:$C$140,"IMPORT")</f>
        <v/>
      </c>
      <c r="D5" s="30">
        <f>SUMIFS('Journal paie'!$G$5:$G$140,'Journal paie'!$D$5:$D$140,A5,'Journal paie'!$C$5:$C$140,"IMPORT")</f>
        <v/>
      </c>
      <c r="E5" s="30">
        <f>SUMIFS('Journal paie'!$F$5:$F$140,'Journal paie'!$D$5:$D$140,A5,'Journal paie'!$C$5:$C$140,"TPM")</f>
        <v/>
      </c>
      <c r="F5" s="30">
        <f>SUMIFS('Journal paie'!$G$5:$G$140,'Journal paie'!$D$5:$D$140,A5,'Journal paie'!$C$5:$C$140,"TPM")</f>
        <v/>
      </c>
      <c r="G5" s="27">
        <f>C5+E5</f>
        <v/>
      </c>
      <c r="H5" s="27">
        <f>D5+F5</f>
        <v/>
      </c>
      <c r="I5" s="27">
        <f>G5-H5</f>
        <v/>
      </c>
    </row>
    <row r="6">
      <c r="A6" s="4" t="inlineStr">
        <is>
          <t>638</t>
        </is>
      </c>
      <c r="B6" s="12" t="inlineStr">
        <is>
          <t>Autres charges de personnel</t>
        </is>
      </c>
      <c r="C6" s="30">
        <f>SUMIFS('Journal paie'!$F$5:$F$140,'Journal paie'!$D$5:$D$140,A6,'Journal paie'!$C$5:$C$140,"IMPORT")</f>
        <v/>
      </c>
      <c r="D6" s="30">
        <f>SUMIFS('Journal paie'!$G$5:$G$140,'Journal paie'!$D$5:$D$140,A6,'Journal paie'!$C$5:$C$140,"IMPORT")</f>
        <v/>
      </c>
      <c r="E6" s="30">
        <f>SUMIFS('Journal paie'!$F$5:$F$140,'Journal paie'!$D$5:$D$140,A6,'Journal paie'!$C$5:$C$140,"TPM")</f>
        <v/>
      </c>
      <c r="F6" s="30">
        <f>SUMIFS('Journal paie'!$G$5:$G$140,'Journal paie'!$D$5:$D$140,A6,'Journal paie'!$C$5:$C$140,"TPM")</f>
        <v/>
      </c>
      <c r="G6" s="27">
        <f>C6+E6</f>
        <v/>
      </c>
      <c r="H6" s="27">
        <f>D6+F6</f>
        <v/>
      </c>
      <c r="I6" s="27">
        <f>G6-H6</f>
        <v/>
      </c>
    </row>
    <row r="7">
      <c r="A7" s="4" t="inlineStr">
        <is>
          <t>625</t>
        </is>
      </c>
      <c r="B7" s="12" t="inlineStr">
        <is>
          <t>Déplacements, missions et réceptions</t>
        </is>
      </c>
      <c r="C7" s="30">
        <f>SUMIFS('Journal paie'!$F$5:$F$140,'Journal paie'!$D$5:$D$140,A7,'Journal paie'!$C$5:$C$140,"IMPORT")</f>
        <v/>
      </c>
      <c r="D7" s="30">
        <f>SUMIFS('Journal paie'!$G$5:$G$140,'Journal paie'!$D$5:$D$140,A7,'Journal paie'!$C$5:$C$140,"IMPORT")</f>
        <v/>
      </c>
      <c r="E7" s="30">
        <f>SUMIFS('Journal paie'!$F$5:$F$140,'Journal paie'!$D$5:$D$140,A7,'Journal paie'!$C$5:$C$140,"TPM")</f>
        <v/>
      </c>
      <c r="F7" s="30">
        <f>SUMIFS('Journal paie'!$G$5:$G$140,'Journal paie'!$D$5:$D$140,A7,'Journal paie'!$C$5:$C$140,"TPM")</f>
        <v/>
      </c>
      <c r="G7" s="27">
        <f>C7+E7</f>
        <v/>
      </c>
      <c r="H7" s="27">
        <f>D7+F7</f>
        <v/>
      </c>
      <c r="I7" s="27">
        <f>G7-H7</f>
        <v/>
      </c>
    </row>
    <row r="8">
      <c r="A8" s="4" t="inlineStr">
        <is>
          <t>635</t>
        </is>
      </c>
      <c r="B8" s="12" t="inlineStr">
        <is>
          <t>Cotisations aux organismes sociaux</t>
        </is>
      </c>
      <c r="C8" s="30">
        <f>SUMIFS('Journal paie'!$F$5:$F$140,'Journal paie'!$D$5:$D$140,A8,'Journal paie'!$C$5:$C$140,"IMPORT")</f>
        <v/>
      </c>
      <c r="D8" s="30">
        <f>SUMIFS('Journal paie'!$G$5:$G$140,'Journal paie'!$D$5:$D$140,A8,'Journal paie'!$C$5:$C$140,"IMPORT")</f>
        <v/>
      </c>
      <c r="E8" s="30">
        <f>SUMIFS('Journal paie'!$F$5:$F$140,'Journal paie'!$D$5:$D$140,A8,'Journal paie'!$C$5:$C$140,"TPM")</f>
        <v/>
      </c>
      <c r="F8" s="30">
        <f>SUMIFS('Journal paie'!$G$5:$G$140,'Journal paie'!$D$5:$D$140,A8,'Journal paie'!$C$5:$C$140,"TPM")</f>
        <v/>
      </c>
      <c r="G8" s="27">
        <f>C8+E8</f>
        <v/>
      </c>
      <c r="H8" s="27">
        <f>D8+F8</f>
        <v/>
      </c>
      <c r="I8" s="27">
        <f>G8-H8</f>
        <v/>
      </c>
    </row>
    <row r="9">
      <c r="A9" s="4" t="inlineStr">
        <is>
          <t>431</t>
        </is>
      </c>
      <c r="B9" s="12" t="inlineStr">
        <is>
          <t>Organismes sociaux — CNAS</t>
        </is>
      </c>
      <c r="C9" s="30">
        <f>SUMIFS('Journal paie'!$F$5:$F$140,'Journal paie'!$D$5:$D$140,A9,'Journal paie'!$C$5:$C$140,"IMPORT")</f>
        <v/>
      </c>
      <c r="D9" s="30">
        <f>SUMIFS('Journal paie'!$G$5:$G$140,'Journal paie'!$D$5:$D$140,A9,'Journal paie'!$C$5:$C$140,"IMPORT")</f>
        <v/>
      </c>
      <c r="E9" s="30">
        <f>SUMIFS('Journal paie'!$F$5:$F$140,'Journal paie'!$D$5:$D$140,A9,'Journal paie'!$C$5:$C$140,"TPM")</f>
        <v/>
      </c>
      <c r="F9" s="30">
        <f>SUMIFS('Journal paie'!$G$5:$G$140,'Journal paie'!$D$5:$D$140,A9,'Journal paie'!$C$5:$C$140,"TPM")</f>
        <v/>
      </c>
      <c r="G9" s="27">
        <f>C9+E9</f>
        <v/>
      </c>
      <c r="H9" s="27">
        <f>D9+F9</f>
        <v/>
      </c>
      <c r="I9" s="27">
        <f>G9-H9</f>
        <v/>
      </c>
    </row>
    <row r="10">
      <c r="A10" s="4" t="inlineStr">
        <is>
          <t>442</t>
        </is>
      </c>
      <c r="B10" s="12" t="inlineStr">
        <is>
          <t>État, impôts et taxes recouvrables sur tiers</t>
        </is>
      </c>
      <c r="C10" s="30">
        <f>SUMIFS('Journal paie'!$F$5:$F$140,'Journal paie'!$D$5:$D$140,A10,'Journal paie'!$C$5:$C$140,"IMPORT")</f>
        <v/>
      </c>
      <c r="D10" s="30">
        <f>SUMIFS('Journal paie'!$G$5:$G$140,'Journal paie'!$D$5:$D$140,A10,'Journal paie'!$C$5:$C$140,"IMPORT")</f>
        <v/>
      </c>
      <c r="E10" s="30">
        <f>SUMIFS('Journal paie'!$F$5:$F$140,'Journal paie'!$D$5:$D$140,A10,'Journal paie'!$C$5:$C$140,"TPM")</f>
        <v/>
      </c>
      <c r="F10" s="30">
        <f>SUMIFS('Journal paie'!$G$5:$G$140,'Journal paie'!$D$5:$D$140,A10,'Journal paie'!$C$5:$C$140,"TPM")</f>
        <v/>
      </c>
      <c r="G10" s="27">
        <f>C10+E10</f>
        <v/>
      </c>
      <c r="H10" s="27">
        <f>D10+F10</f>
        <v/>
      </c>
      <c r="I10" s="27">
        <f>G10-H10</f>
        <v/>
      </c>
    </row>
    <row r="11">
      <c r="A11" s="4" t="inlineStr">
        <is>
          <t>421</t>
        </is>
      </c>
      <c r="B11" s="12" t="inlineStr">
        <is>
          <t>Personnel, rémunérations dues</t>
        </is>
      </c>
      <c r="C11" s="30">
        <f>SUMIFS('Journal paie'!$F$5:$F$140,'Journal paie'!$D$5:$D$140,A11,'Journal paie'!$C$5:$C$140,"IMPORT")</f>
        <v/>
      </c>
      <c r="D11" s="30">
        <f>SUMIFS('Journal paie'!$G$5:$G$140,'Journal paie'!$D$5:$D$140,A11,'Journal paie'!$C$5:$C$140,"IMPORT")</f>
        <v/>
      </c>
      <c r="E11" s="30">
        <f>SUMIFS('Journal paie'!$F$5:$F$140,'Journal paie'!$D$5:$D$140,A11,'Journal paie'!$C$5:$C$140,"TPM")</f>
        <v/>
      </c>
      <c r="F11" s="30">
        <f>SUMIFS('Journal paie'!$G$5:$G$140,'Journal paie'!$D$5:$D$140,A11,'Journal paie'!$C$5:$C$140,"TPM")</f>
        <v/>
      </c>
      <c r="G11" s="27">
        <f>C11+E11</f>
        <v/>
      </c>
      <c r="H11" s="27">
        <f>D11+F11</f>
        <v/>
      </c>
      <c r="I11" s="27">
        <f>G11-H11</f>
        <v/>
      </c>
    </row>
    <row r="12">
      <c r="B12" s="4" t="inlineStr">
        <is>
          <t>TOTAL</t>
        </is>
      </c>
      <c r="C12" s="7">
        <f>SUM(C5:C11)</f>
        <v/>
      </c>
      <c r="D12" s="7">
        <f>SUM(D5:D11)</f>
        <v/>
      </c>
      <c r="E12" s="7">
        <f>SUM(E5:E11)</f>
        <v/>
      </c>
      <c r="F12" s="7">
        <f>SUM(F5:F11)</f>
        <v/>
      </c>
      <c r="G12" s="7">
        <f>SUM(G5:G11)</f>
        <v/>
      </c>
      <c r="H12" s="7">
        <f>SUM(H5:H11)</f>
        <v/>
      </c>
      <c r="I12" s="7">
        <f>SUM(I5:I11)</f>
        <v/>
      </c>
    </row>
    <row r="14">
      <c r="A14" s="2" t="inlineStr">
        <is>
          <t>Le solde du 431 représente les cotisations CNAS générées par la paie (hors mars IMPORT) ; il doit être soldé par les règlements CNAS. Les soldes 442 et 421 sont soldés par les G50 et les virements de salaires.</t>
        </is>
      </c>
    </row>
  </sheetData>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N15"/>
  <sheetViews>
    <sheetView showGridLines="0" workbookViewId="0">
      <selection activeCell="A1" sqref="A1"/>
    </sheetView>
  </sheetViews>
  <sheetFormatPr baseColWidth="8" defaultRowHeight="15"/>
  <cols>
    <col width="1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Échéancier mensuel — IRG (G50) et masse salariale</t>
        </is>
      </c>
    </row>
    <row r="2">
      <c r="A2" s="2" t="inlineStr">
        <is>
          <t>IRG retenu à reverser par G50 avant le 20 du mois suivant. À rapprocher des G50 déposées (non fournies).</t>
        </is>
      </c>
    </row>
    <row r="4" ht="45" customHeight="1">
      <c r="A4" s="11" t="inlineStr">
        <is>
          <t>Mois</t>
        </is>
      </c>
      <c r="B4" s="11" t="inlineStr">
        <is>
          <t>Assiette CNAS IMPORT</t>
        </is>
      </c>
      <c r="C4" s="11" t="inlineStr">
        <is>
          <t>Assiette CNAS TPM</t>
        </is>
      </c>
      <c r="D4" s="11" t="inlineStr">
        <is>
          <t>Assiette totale</t>
        </is>
      </c>
      <c r="E4" s="11" t="inlineStr">
        <is>
          <t>IRG IMPORT</t>
        </is>
      </c>
      <c r="F4" s="11" t="inlineStr">
        <is>
          <t>IRG TPM</t>
        </is>
      </c>
      <c r="G4" s="11" t="inlineStr">
        <is>
          <t>IRG total à reverser (G50)</t>
        </is>
      </c>
      <c r="H4" s="11" t="inlineStr">
        <is>
          <t>Échéance G50</t>
        </is>
      </c>
      <c r="I4" s="11" t="inlineStr">
        <is>
          <t>IRG IMPORT déclaré G50</t>
        </is>
      </c>
      <c r="J4" s="11" t="inlineStr">
        <is>
          <t>Écart IRG</t>
        </is>
      </c>
      <c r="K4" s="11" t="inlineStr">
        <is>
          <t>Net payé IMPORT</t>
        </is>
      </c>
      <c r="L4" s="11" t="inlineStr">
        <is>
          <t>Net payé TPM</t>
        </is>
      </c>
      <c r="M4" s="11" t="inlineStr">
        <is>
          <t>Effectif IMPORT</t>
        </is>
      </c>
      <c r="N4" s="11" t="inlineStr">
        <is>
          <t>Effectif TPM</t>
        </is>
      </c>
    </row>
    <row r="5">
      <c r="A5" s="4" t="inlineStr">
        <is>
          <t>Janv 2026</t>
        </is>
      </c>
      <c r="B5" s="6">
        <f>'Paie IMPORT'!C19</f>
        <v/>
      </c>
      <c r="C5" s="6">
        <f>'Paie TPM'!C19</f>
        <v/>
      </c>
      <c r="D5" s="30">
        <f>B5+C5</f>
        <v/>
      </c>
      <c r="E5" s="6">
        <f>'Paie IMPORT'!C25</f>
        <v/>
      </c>
      <c r="F5" s="6">
        <f>'Paie TPM'!C25</f>
        <v/>
      </c>
      <c r="G5" s="27">
        <f>E5+F5</f>
        <v/>
      </c>
      <c r="H5" s="22" t="inlineStr">
        <is>
          <t>20/02/2026</t>
        </is>
      </c>
      <c r="I5" s="6">
        <f>'G50 2026'!B19</f>
        <v/>
      </c>
      <c r="J5" s="30">
        <f>IF(I5="","",IF(E5=0,"paie absente",I5-E5))</f>
        <v/>
      </c>
      <c r="K5" s="6">
        <f>'Paie IMPORT'!C28</f>
        <v/>
      </c>
      <c r="L5" s="6">
        <f>'Paie TPM'!C28</f>
        <v/>
      </c>
      <c r="M5" s="8">
        <f>'Paie IMPORT'!C5</f>
        <v/>
      </c>
      <c r="N5" s="8">
        <f>'Paie TPM'!C5</f>
        <v/>
      </c>
    </row>
    <row r="6">
      <c r="A6" s="4" t="inlineStr">
        <is>
          <t>Févr 2026</t>
        </is>
      </c>
      <c r="B6" s="6">
        <f>'Paie IMPORT'!D19</f>
        <v/>
      </c>
      <c r="C6" s="6">
        <f>'Paie TPM'!D19</f>
        <v/>
      </c>
      <c r="D6" s="30">
        <f>B6+C6</f>
        <v/>
      </c>
      <c r="E6" s="6">
        <f>'Paie IMPORT'!D25</f>
        <v/>
      </c>
      <c r="F6" s="6">
        <f>'Paie TPM'!D25</f>
        <v/>
      </c>
      <c r="G6" s="27">
        <f>E6+F6</f>
        <v/>
      </c>
      <c r="H6" s="22" t="inlineStr">
        <is>
          <t>20/03/2026</t>
        </is>
      </c>
      <c r="I6" s="6">
        <f>'G50 2026'!C19</f>
        <v/>
      </c>
      <c r="J6" s="30">
        <f>IF(I6="","",IF(E6=0,"paie absente",I6-E6))</f>
        <v/>
      </c>
      <c r="K6" s="6">
        <f>'Paie IMPORT'!D28</f>
        <v/>
      </c>
      <c r="L6" s="6">
        <f>'Paie TPM'!D28</f>
        <v/>
      </c>
      <c r="M6" s="8">
        <f>'Paie IMPORT'!D5</f>
        <v/>
      </c>
      <c r="N6" s="8">
        <f>'Paie TPM'!D5</f>
        <v/>
      </c>
    </row>
    <row r="7">
      <c r="A7" s="4" t="inlineStr">
        <is>
          <t>Mars 2026</t>
        </is>
      </c>
      <c r="B7" s="6">
        <f>'Paie IMPORT'!E19</f>
        <v/>
      </c>
      <c r="C7" s="6">
        <f>'Paie TPM'!E19</f>
        <v/>
      </c>
      <c r="D7" s="30">
        <f>B7+C7</f>
        <v/>
      </c>
      <c r="E7" s="6">
        <f>'Paie IMPORT'!E25</f>
        <v/>
      </c>
      <c r="F7" s="6">
        <f>'Paie TPM'!E25</f>
        <v/>
      </c>
      <c r="G7" s="27">
        <f>E7+F7</f>
        <v/>
      </c>
      <c r="H7" s="22" t="inlineStr">
        <is>
          <t>20/04/2026</t>
        </is>
      </c>
      <c r="I7" s="6">
        <f>'G50 2026'!D19</f>
        <v/>
      </c>
      <c r="J7" s="30">
        <f>IF(I7="","",IF(E7=0,"paie absente",I7-E7))</f>
        <v/>
      </c>
      <c r="K7" s="6">
        <f>'Paie IMPORT'!E28</f>
        <v/>
      </c>
      <c r="L7" s="6">
        <f>'Paie TPM'!E28</f>
        <v/>
      </c>
      <c r="M7" s="8">
        <f>'Paie IMPORT'!E5</f>
        <v/>
      </c>
      <c r="N7" s="8">
        <f>'Paie TPM'!E5</f>
        <v/>
      </c>
    </row>
    <row r="8">
      <c r="A8" s="4" t="inlineStr">
        <is>
          <t>Avr 2026</t>
        </is>
      </c>
      <c r="B8" s="6">
        <f>'Paie IMPORT'!F19</f>
        <v/>
      </c>
      <c r="C8" s="6">
        <f>'Paie TPM'!F19</f>
        <v/>
      </c>
      <c r="D8" s="30">
        <f>B8+C8</f>
        <v/>
      </c>
      <c r="E8" s="6">
        <f>'Paie IMPORT'!F25</f>
        <v/>
      </c>
      <c r="F8" s="6">
        <f>'Paie TPM'!F25</f>
        <v/>
      </c>
      <c r="G8" s="27">
        <f>E8+F8</f>
        <v/>
      </c>
      <c r="H8" s="22" t="inlineStr">
        <is>
          <t>20/05/2026</t>
        </is>
      </c>
      <c r="I8" s="6">
        <f>'G50 2026'!E19</f>
        <v/>
      </c>
      <c r="J8" s="30">
        <f>IF(I8="","",IF(E8=0,"paie absente",I8-E8))</f>
        <v/>
      </c>
      <c r="K8" s="6">
        <f>'Paie IMPORT'!F28</f>
        <v/>
      </c>
      <c r="L8" s="6">
        <f>'Paie TPM'!F28</f>
        <v/>
      </c>
      <c r="M8" s="8">
        <f>'Paie IMPORT'!F5</f>
        <v/>
      </c>
      <c r="N8" s="8">
        <f>'Paie TPM'!F5</f>
        <v/>
      </c>
    </row>
    <row r="9">
      <c r="A9" s="4" t="inlineStr">
        <is>
          <t>Mai 2026</t>
        </is>
      </c>
      <c r="B9" s="6">
        <f>'Paie IMPORT'!G19</f>
        <v/>
      </c>
      <c r="C9" s="6">
        <f>'Paie TPM'!G19</f>
        <v/>
      </c>
      <c r="D9" s="30">
        <f>B9+C9</f>
        <v/>
      </c>
      <c r="E9" s="6">
        <f>'Paie IMPORT'!G25</f>
        <v/>
      </c>
      <c r="F9" s="6">
        <f>'Paie TPM'!G25</f>
        <v/>
      </c>
      <c r="G9" s="27">
        <f>E9+F9</f>
        <v/>
      </c>
      <c r="H9" s="22" t="inlineStr">
        <is>
          <t>20/06/2026</t>
        </is>
      </c>
      <c r="I9" s="6">
        <f>'G50 2026'!F19</f>
        <v/>
      </c>
      <c r="J9" s="30">
        <f>IF(I9="","",IF(E9=0,"paie absente",I9-E9))</f>
        <v/>
      </c>
      <c r="K9" s="6">
        <f>'Paie IMPORT'!G28</f>
        <v/>
      </c>
      <c r="L9" s="6">
        <f>'Paie TPM'!G28</f>
        <v/>
      </c>
      <c r="M9" s="8">
        <f>'Paie IMPORT'!G5</f>
        <v/>
      </c>
      <c r="N9" s="8">
        <f>'Paie TPM'!G5</f>
        <v/>
      </c>
    </row>
    <row r="10">
      <c r="A10" s="4" t="inlineStr">
        <is>
          <t>Juin 2026</t>
        </is>
      </c>
      <c r="B10" s="6">
        <f>'Paie IMPORT'!H19</f>
        <v/>
      </c>
      <c r="C10" s="6">
        <f>'Paie TPM'!H19</f>
        <v/>
      </c>
      <c r="D10" s="30">
        <f>B10+C10</f>
        <v/>
      </c>
      <c r="E10" s="6">
        <f>'Paie IMPORT'!H25</f>
        <v/>
      </c>
      <c r="F10" s="6">
        <f>'Paie TPM'!H25</f>
        <v/>
      </c>
      <c r="G10" s="27">
        <f>E10+F10</f>
        <v/>
      </c>
      <c r="H10" s="22" t="inlineStr">
        <is>
          <t>20/07/2026</t>
        </is>
      </c>
      <c r="I10" s="6">
        <f>'G50 2026'!G19</f>
        <v/>
      </c>
      <c r="J10" s="30">
        <f>IF(I10="","",IF(E10=0,"paie absente",I10-E10))</f>
        <v/>
      </c>
      <c r="K10" s="6">
        <f>'Paie IMPORT'!H28</f>
        <v/>
      </c>
      <c r="L10" s="6">
        <f>'Paie TPM'!H28</f>
        <v/>
      </c>
      <c r="M10" s="8">
        <f>'Paie IMPORT'!H5</f>
        <v/>
      </c>
      <c r="N10" s="8">
        <f>'Paie TPM'!H5</f>
        <v/>
      </c>
    </row>
    <row r="11">
      <c r="A11" s="4" t="inlineStr">
        <is>
          <t>Juil 2026</t>
        </is>
      </c>
      <c r="B11" s="6">
        <f>'Paie IMPORT'!I19</f>
        <v/>
      </c>
      <c r="C11" s="6">
        <f>'Paie TPM'!I19</f>
        <v/>
      </c>
      <c r="D11" s="30">
        <f>B11+C11</f>
        <v/>
      </c>
      <c r="E11" s="6">
        <f>'Paie IMPORT'!I25</f>
        <v/>
      </c>
      <c r="F11" s="6">
        <f>'Paie TPM'!I25</f>
        <v/>
      </c>
      <c r="G11" s="27">
        <f>E11+F11</f>
        <v/>
      </c>
      <c r="H11" s="22" t="inlineStr">
        <is>
          <t>20/08/2026</t>
        </is>
      </c>
      <c r="I11" s="6">
        <f>'G50 2026'!H19</f>
        <v/>
      </c>
      <c r="J11" s="30">
        <f>IF(I11="","",IF(E11=0,"paie absente",I11-E11))</f>
        <v/>
      </c>
      <c r="K11" s="6">
        <f>'Paie IMPORT'!I28</f>
        <v/>
      </c>
      <c r="L11" s="6">
        <f>'Paie TPM'!I28</f>
        <v/>
      </c>
      <c r="M11" s="8">
        <f>'Paie IMPORT'!I5</f>
        <v/>
      </c>
      <c r="N11" s="8">
        <f>'Paie TPM'!I5</f>
        <v/>
      </c>
    </row>
    <row r="12">
      <c r="A12" s="4" t="inlineStr">
        <is>
          <t>Août 2026</t>
        </is>
      </c>
      <c r="B12" s="6">
        <f>'Paie IMPORT'!J19</f>
        <v/>
      </c>
      <c r="C12" s="6">
        <f>'Paie TPM'!J19</f>
        <v/>
      </c>
      <c r="D12" s="30">
        <f>B12+C12</f>
        <v/>
      </c>
      <c r="E12" s="6">
        <f>'Paie IMPORT'!J25</f>
        <v/>
      </c>
      <c r="F12" s="6">
        <f>'Paie TPM'!J25</f>
        <v/>
      </c>
      <c r="G12" s="27">
        <f>E12+F12</f>
        <v/>
      </c>
      <c r="H12" s="22" t="inlineStr">
        <is>
          <t>20/09/2026</t>
        </is>
      </c>
      <c r="I12" s="6">
        <f>'G50 2026'!I19</f>
        <v/>
      </c>
      <c r="J12" s="30">
        <f>IF(I12="","",IF(E12=0,"paie absente",I12-E12))</f>
        <v/>
      </c>
      <c r="K12" s="6">
        <f>'Paie IMPORT'!J28</f>
        <v/>
      </c>
      <c r="L12" s="6">
        <f>'Paie TPM'!J28</f>
        <v/>
      </c>
      <c r="M12" s="8">
        <f>'Paie IMPORT'!J5</f>
        <v/>
      </c>
      <c r="N12" s="8">
        <f>'Paie TPM'!J5</f>
        <v/>
      </c>
    </row>
    <row r="13">
      <c r="A13" s="4" t="inlineStr">
        <is>
          <t>TOTAL</t>
        </is>
      </c>
      <c r="B13" s="7">
        <f>SUM(B5:B12)</f>
        <v/>
      </c>
      <c r="C13" s="7">
        <f>SUM(C5:C12)</f>
        <v/>
      </c>
      <c r="D13" s="7">
        <f>SUM(D5:D12)</f>
        <v/>
      </c>
      <c r="E13" s="7">
        <f>SUM(E5:E12)</f>
        <v/>
      </c>
      <c r="F13" s="7">
        <f>SUM(F5:F12)</f>
        <v/>
      </c>
      <c r="G13" s="7">
        <f>SUM(G5:G12)</f>
        <v/>
      </c>
      <c r="I13" s="7">
        <f>SUM(I5:I12)</f>
        <v/>
      </c>
      <c r="K13" s="7">
        <f>SUM(K5:K12)</f>
        <v/>
      </c>
      <c r="L13" s="7">
        <f>SUM(L5:L12)</f>
        <v/>
      </c>
    </row>
    <row r="15">
      <c r="A15" s="2" t="inlineStr">
        <is>
          <t>Colonne I : G50 IMPORT janvier à août reçues (liées à « G50 2026 »). Écart IRG = G50 − IRG paie IMPORT. L'IRG TPM (colonne F) doit figurer sur une G50 TPM distincte (non fournie).</t>
        </is>
      </c>
    </row>
  </sheetData>
  <pageMargins left="0.75" right="0.75" top="1" bottom="1" header="0.5" footer="0.5"/>
  <pageSetup orientation="landscape" fitToHeight="0"/>
</worksheet>
</file>

<file path=xl/worksheets/sheet9.xml><?xml version="1.0" encoding="utf-8"?>
<worksheet xmlns="http://schemas.openxmlformats.org/spreadsheetml/2006/main">
  <sheetPr>
    <outlinePr summaryBelow="1" summaryRight="1"/>
    <pageSetUpPr fitToPage="1"/>
  </sheetPr>
  <dimension ref="A1:K4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55" customWidth="1" min="11" max="11"/>
  </cols>
  <sheetData>
    <row r="1">
      <c r="A1" s="1" t="inlineStr">
        <is>
          <t>Contrôle des G50 IMPORT 2026 (NIF 000306018423274 — art. 06120024511)</t>
        </is>
      </c>
    </row>
    <row r="2">
      <c r="A2" s="2" t="inlineStr">
        <is>
          <t>Sources : fichiers G50_ARL_DPR_COMPANY_IMPORT_01 à 08-2026.xls (feuilles G.50-1/2/3). Valeurs en bleu = lues sur les G50.</t>
        </is>
      </c>
    </row>
    <row r="4">
      <c r="A4" s="4" t="inlineStr">
        <is>
          <t>Taux de TVA (revente en l'état)</t>
        </is>
      </c>
      <c r="B4" s="20" t="n">
        <v>0.19</v>
      </c>
      <c r="C4" s="21" t="inlineStr">
        <is>
          <t>Taux porté sur les G50 (ligne E3B22)</t>
        </is>
      </c>
    </row>
    <row r="6">
      <c r="A6" s="11" t="inlineStr">
        <is>
          <t>Rubrique</t>
        </is>
      </c>
      <c r="B6" s="11" t="inlineStr">
        <is>
          <t>Janv 2026</t>
        </is>
      </c>
      <c r="C6" s="11" t="inlineStr">
        <is>
          <t>Févr 2026</t>
        </is>
      </c>
      <c r="D6" s="11" t="inlineStr">
        <is>
          <t>Mars 2026</t>
        </is>
      </c>
      <c r="E6" s="11" t="inlineStr">
        <is>
          <t>Avr 2026</t>
        </is>
      </c>
      <c r="F6" s="11" t="inlineStr">
        <is>
          <t>Mai 2026</t>
        </is>
      </c>
      <c r="G6" s="11" t="inlineStr">
        <is>
          <t>Juin 2026</t>
        </is>
      </c>
      <c r="H6" s="11" t="inlineStr">
        <is>
          <t>Juil 2026</t>
        </is>
      </c>
      <c r="I6" s="11" t="inlineStr">
        <is>
          <t>Août 2026</t>
        </is>
      </c>
      <c r="J6" s="11" t="inlineStr">
        <is>
          <t>Cumul</t>
        </is>
      </c>
      <c r="K6" s="11" t="inlineStr">
        <is>
          <t>Commentaire</t>
        </is>
      </c>
    </row>
    <row r="7">
      <c r="A7" s="12" t="inlineStr">
        <is>
          <t>CA imposable déclaré (E3B22)</t>
        </is>
      </c>
      <c r="B7" s="25" t="n">
        <v>11994522</v>
      </c>
      <c r="C7" s="25" t="n">
        <v>27783649</v>
      </c>
      <c r="D7" s="25" t="n">
        <v>3445200</v>
      </c>
      <c r="E7" s="25" t="n">
        <v>23988307</v>
      </c>
      <c r="F7" s="25" t="n">
        <v>16671298</v>
      </c>
      <c r="G7" s="25" t="n">
        <v>10479294</v>
      </c>
      <c r="H7" s="25" t="n">
        <v>7604135</v>
      </c>
      <c r="I7" s="25" t="n">
        <v>4413684</v>
      </c>
      <c r="J7" s="7">
        <f>SUM(B7:I7)</f>
        <v/>
      </c>
      <c r="K7" s="35" t="inlineStr">
        <is>
          <t>Revente en l'état</t>
        </is>
      </c>
    </row>
    <row r="8">
      <c r="A8" s="12" t="inlineStr">
        <is>
          <t>TVA collectée déclarée</t>
        </is>
      </c>
      <c r="B8" s="25" t="n">
        <v>2278959</v>
      </c>
      <c r="C8" s="25" t="n">
        <v>5278893</v>
      </c>
      <c r="D8" s="25" t="n">
        <v>654588</v>
      </c>
      <c r="E8" s="25" t="n">
        <v>4557778</v>
      </c>
      <c r="F8" s="25" t="n">
        <v>3167547</v>
      </c>
      <c r="G8" s="25" t="n">
        <v>1991066</v>
      </c>
      <c r="H8" s="25" t="n">
        <v>1444786</v>
      </c>
      <c r="I8" s="25" t="n">
        <v>838600</v>
      </c>
      <c r="J8" s="7">
        <f>SUM(B8:I8)</f>
        <v/>
      </c>
      <c r="K8" s="35" t="inlineStr"/>
    </row>
    <row r="9">
      <c r="A9" s="12" t="inlineStr">
        <is>
          <t>TVA recalculée (CA × taux)</t>
        </is>
      </c>
      <c r="B9" s="30">
        <f>ROUND(B7*$B$4,0)</f>
        <v/>
      </c>
      <c r="C9" s="30">
        <f>ROUND(C7*$B$4,0)</f>
        <v/>
      </c>
      <c r="D9" s="30">
        <f>ROUND(D7*$B$4,0)</f>
        <v/>
      </c>
      <c r="E9" s="30">
        <f>ROUND(E7*$B$4,0)</f>
        <v/>
      </c>
      <c r="F9" s="30">
        <f>ROUND(F7*$B$4,0)</f>
        <v/>
      </c>
      <c r="G9" s="30">
        <f>ROUND(G7*$B$4,0)</f>
        <v/>
      </c>
      <c r="H9" s="30">
        <f>ROUND(H7*$B$4,0)</f>
        <v/>
      </c>
      <c r="I9" s="30">
        <f>ROUND(I7*$B$4,0)</f>
        <v/>
      </c>
      <c r="J9" s="7">
        <f>SUM(B9:I9)</f>
        <v/>
      </c>
      <c r="K9" s="35" t="inlineStr">
        <is>
          <t>Calcul</t>
        </is>
      </c>
    </row>
    <row r="10">
      <c r="A10" s="4" t="inlineStr">
        <is>
          <t>Écart TVA déclarée − recalculée</t>
        </is>
      </c>
      <c r="B10" s="30">
        <f>B8-B9</f>
        <v/>
      </c>
      <c r="C10" s="30">
        <f>C8-C9</f>
        <v/>
      </c>
      <c r="D10" s="30">
        <f>D8-D9</f>
        <v/>
      </c>
      <c r="E10" s="30">
        <f>E8-E9</f>
        <v/>
      </c>
      <c r="F10" s="30">
        <f>F8-F9</f>
        <v/>
      </c>
      <c r="G10" s="30">
        <f>G8-G9</f>
        <v/>
      </c>
      <c r="H10" s="30">
        <f>H8-H9</f>
        <v/>
      </c>
      <c r="I10" s="30">
        <f>I8-I9</f>
        <v/>
      </c>
      <c r="J10" s="7">
        <f>SUM(B10:I10)</f>
        <v/>
      </c>
      <c r="K10" s="35" t="inlineStr">
        <is>
          <t>Arrondi admis ±1</t>
        </is>
      </c>
    </row>
    <row r="11">
      <c r="A11" s="12" t="inlineStr">
        <is>
          <t>Précompte antérieur (E3B91)</t>
        </is>
      </c>
      <c r="B11" s="25" t="n">
        <v>0</v>
      </c>
      <c r="C11" s="25" t="n">
        <v>0</v>
      </c>
      <c r="D11" s="25" t="n">
        <v>0</v>
      </c>
      <c r="E11" s="25" t="n">
        <v>0</v>
      </c>
      <c r="F11" s="25" t="n">
        <v>0</v>
      </c>
      <c r="G11" s="25" t="n">
        <v>386205</v>
      </c>
      <c r="H11" s="25" t="n">
        <v>178353</v>
      </c>
      <c r="I11" s="25" t="n">
        <v>0</v>
      </c>
      <c r="J11" s="7">
        <f>SUM(B11:I11)</f>
        <v/>
      </c>
      <c r="K11" s="35" t="inlineStr"/>
    </row>
    <row r="12">
      <c r="A12" s="12" t="inlineStr">
        <is>
          <t>TVA déductible achats (E3B92)</t>
        </is>
      </c>
      <c r="B12" s="25" t="n">
        <v>1150880</v>
      </c>
      <c r="C12" s="25" t="n">
        <v>2199941</v>
      </c>
      <c r="D12" s="25" t="n">
        <v>0</v>
      </c>
      <c r="E12" s="25" t="n">
        <v>3919465</v>
      </c>
      <c r="F12" s="25" t="n">
        <v>3553752</v>
      </c>
      <c r="G12" s="25" t="n">
        <v>1783214</v>
      </c>
      <c r="H12" s="25" t="n">
        <v>0</v>
      </c>
      <c r="I12" s="25" t="n">
        <v>0</v>
      </c>
      <c r="J12" s="7">
        <f>SUM(B12:I12)</f>
        <v/>
      </c>
      <c r="K12" s="35" t="inlineStr"/>
    </row>
    <row r="13">
      <c r="A13" s="4" t="inlineStr">
        <is>
          <t>Total déductions</t>
        </is>
      </c>
      <c r="B13" s="30">
        <f>B11+B12</f>
        <v/>
      </c>
      <c r="C13" s="30">
        <f>C11+C12</f>
        <v/>
      </c>
      <c r="D13" s="30">
        <f>D11+D12</f>
        <v/>
      </c>
      <c r="E13" s="30">
        <f>E11+E12</f>
        <v/>
      </c>
      <c r="F13" s="30">
        <f>F11+F12</f>
        <v/>
      </c>
      <c r="G13" s="30">
        <f>G11+G12</f>
        <v/>
      </c>
      <c r="H13" s="30">
        <f>H11+H12</f>
        <v/>
      </c>
      <c r="I13" s="30">
        <f>I11+I12</f>
        <v/>
      </c>
      <c r="J13" s="7">
        <f>SUM(B13:I13)</f>
        <v/>
      </c>
      <c r="K13" s="35" t="inlineStr">
        <is>
          <t>Calcul</t>
        </is>
      </c>
    </row>
    <row r="14">
      <c r="A14" s="4" t="inlineStr">
        <is>
          <t>TVA à payer (C − B)</t>
        </is>
      </c>
      <c r="B14" s="30">
        <f>MAX(0,B8-B13)</f>
        <v/>
      </c>
      <c r="C14" s="30">
        <f>MAX(0,C8-C13)</f>
        <v/>
      </c>
      <c r="D14" s="30">
        <f>MAX(0,D8-D13)</f>
        <v/>
      </c>
      <c r="E14" s="30">
        <f>MAX(0,E8-E13)</f>
        <v/>
      </c>
      <c r="F14" s="30">
        <f>MAX(0,F8-F13)</f>
        <v/>
      </c>
      <c r="G14" s="30">
        <f>MAX(0,G8-G13)</f>
        <v/>
      </c>
      <c r="H14" s="30">
        <f>MAX(0,H8-H13)</f>
        <v/>
      </c>
      <c r="I14" s="30">
        <f>MAX(0,I8-I13)</f>
        <v/>
      </c>
      <c r="J14" s="7">
        <f>SUM(B14:I14)</f>
        <v/>
      </c>
      <c r="K14" s="35" t="inlineStr">
        <is>
          <t>Calcul</t>
        </is>
      </c>
    </row>
    <row r="15">
      <c r="A15" s="12" t="inlineStr">
        <is>
          <t>Précompte à reporter (B − C)</t>
        </is>
      </c>
      <c r="B15" s="30">
        <f>MAX(0,B13-B8)</f>
        <v/>
      </c>
      <c r="C15" s="30">
        <f>MAX(0,C13-C8)</f>
        <v/>
      </c>
      <c r="D15" s="30">
        <f>MAX(0,D13-D8)</f>
        <v/>
      </c>
      <c r="E15" s="30">
        <f>MAX(0,E13-E8)</f>
        <v/>
      </c>
      <c r="F15" s="30">
        <f>MAX(0,F13-F8)</f>
        <v/>
      </c>
      <c r="G15" s="30">
        <f>MAX(0,G13-G8)</f>
        <v/>
      </c>
      <c r="H15" s="30">
        <f>MAX(0,H13-H8)</f>
        <v/>
      </c>
      <c r="I15" s="30">
        <f>MAX(0,I13-I8)</f>
        <v/>
      </c>
      <c r="J15" s="27" t="n"/>
      <c r="K15" s="35" t="inlineStr">
        <is>
          <t>Calcul</t>
        </is>
      </c>
    </row>
    <row r="16">
      <c r="A16" s="4" t="inlineStr">
        <is>
          <t>Contrôle report : précompte repris − reporté le mois précédent</t>
        </is>
      </c>
      <c r="B16" s="22" t="n"/>
      <c r="C16" s="30">
        <f>C11-B15</f>
        <v/>
      </c>
      <c r="D16" s="30">
        <f>D11-C15</f>
        <v/>
      </c>
      <c r="E16" s="30">
        <f>E11-D15</f>
        <v/>
      </c>
      <c r="F16" s="30">
        <f>F11-E15</f>
        <v/>
      </c>
      <c r="G16" s="30">
        <f>G11-F15</f>
        <v/>
      </c>
      <c r="H16" s="30">
        <f>H11-G15</f>
        <v/>
      </c>
      <c r="I16" s="30">
        <f>I11-H15</f>
        <v/>
      </c>
      <c r="J16" s="27" t="n"/>
      <c r="K16" s="35" t="inlineStr">
        <is>
          <t>Doit être 0 (chaîne mai → juin → juillet)</t>
        </is>
      </c>
    </row>
    <row r="17">
      <c r="A17" s="12" t="inlineStr">
        <is>
          <t>IRG salaires — base déclarée (E1L20)</t>
        </is>
      </c>
      <c r="B17" s="25" t="n">
        <v>819091</v>
      </c>
      <c r="C17" s="25" t="n">
        <v>905752</v>
      </c>
      <c r="D17" s="25" t="n">
        <v>365763</v>
      </c>
      <c r="E17" s="25" t="n">
        <v>404385</v>
      </c>
      <c r="F17" s="25" t="n">
        <v>426576</v>
      </c>
      <c r="G17" s="25" t="n">
        <v>325645</v>
      </c>
      <c r="H17" s="25" t="n">
        <v>286954</v>
      </c>
      <c r="I17" s="25" t="n">
        <v>300000</v>
      </c>
      <c r="J17" s="7">
        <f>SUM(B17:I17)</f>
        <v/>
      </c>
      <c r="K17" s="35" t="inlineStr"/>
    </row>
    <row r="18">
      <c r="A18" s="12" t="inlineStr">
        <is>
          <t>IRG salaires — base paie IMPORT (R650)</t>
        </is>
      </c>
      <c r="B18" s="6">
        <f>'Paie IMPORT'!C24</f>
        <v/>
      </c>
      <c r="C18" s="6">
        <f>'Paie IMPORT'!D24</f>
        <v/>
      </c>
      <c r="D18" s="6">
        <f>'Paie IMPORT'!E24</f>
        <v/>
      </c>
      <c r="E18" s="6">
        <f>'Paie IMPORT'!F24</f>
        <v/>
      </c>
      <c r="F18" s="6">
        <f>'Paie IMPORT'!G24</f>
        <v/>
      </c>
      <c r="G18" s="6">
        <f>'Paie IMPORT'!H24</f>
        <v/>
      </c>
      <c r="H18" s="6">
        <f>'Paie IMPORT'!I24</f>
        <v/>
      </c>
      <c r="I18" s="6">
        <f>'Paie IMPORT'!J24</f>
        <v/>
      </c>
      <c r="J18" s="7">
        <f>SUM(B18:I18)</f>
        <v/>
      </c>
      <c r="K18" s="35" t="inlineStr">
        <is>
          <t>Lien paie (mars : centralisateur absent)</t>
        </is>
      </c>
    </row>
    <row r="19">
      <c r="A19" s="12" t="inlineStr">
        <is>
          <t>IRG salaires — montant déclaré</t>
        </is>
      </c>
      <c r="B19" s="25" t="n">
        <v>132616</v>
      </c>
      <c r="C19" s="25" t="n">
        <v>162286</v>
      </c>
      <c r="D19" s="25" t="n">
        <v>60932</v>
      </c>
      <c r="E19" s="25" t="n">
        <v>72478</v>
      </c>
      <c r="F19" s="25" t="n">
        <v>79138</v>
      </c>
      <c r="G19" s="25" t="n">
        <v>59018</v>
      </c>
      <c r="H19" s="25" t="n">
        <v>42610</v>
      </c>
      <c r="I19" s="25" t="n">
        <v>49670</v>
      </c>
      <c r="J19" s="7">
        <f>SUM(B19:I19)</f>
        <v/>
      </c>
      <c r="K19" s="35" t="inlineStr"/>
    </row>
    <row r="20">
      <c r="A20" s="12" t="inlineStr">
        <is>
          <t>IRG salaires — retenu en paie IMPORT (R660)</t>
        </is>
      </c>
      <c r="B20" s="6">
        <f>'Paie IMPORT'!C25</f>
        <v/>
      </c>
      <c r="C20" s="6">
        <f>'Paie IMPORT'!D25</f>
        <v/>
      </c>
      <c r="D20" s="6">
        <f>'Paie IMPORT'!E25</f>
        <v/>
      </c>
      <c r="E20" s="6">
        <f>'Paie IMPORT'!F25</f>
        <v/>
      </c>
      <c r="F20" s="6">
        <f>'Paie IMPORT'!G25</f>
        <v/>
      </c>
      <c r="G20" s="6">
        <f>'Paie IMPORT'!H25</f>
        <v/>
      </c>
      <c r="H20" s="6">
        <f>'Paie IMPORT'!I25</f>
        <v/>
      </c>
      <c r="I20" s="6">
        <f>'Paie IMPORT'!J25</f>
        <v/>
      </c>
      <c r="J20" s="7">
        <f>SUM(B20:I20)</f>
        <v/>
      </c>
      <c r="K20" s="35" t="inlineStr">
        <is>
          <t>Lien paie</t>
        </is>
      </c>
    </row>
    <row r="21">
      <c r="A21" s="4" t="inlineStr">
        <is>
          <t>Écart IRG déclaré − paie</t>
        </is>
      </c>
      <c r="B21" s="30">
        <f>IF(B20=0,"paie absente",B19-B20)</f>
        <v/>
      </c>
      <c r="C21" s="30">
        <f>IF(C20=0,"paie absente",C19-C20)</f>
        <v/>
      </c>
      <c r="D21" s="30">
        <f>IF(D20=0,"paie absente",D19-D20)</f>
        <v/>
      </c>
      <c r="E21" s="30">
        <f>IF(E20=0,"paie absente",E19-E20)</f>
        <v/>
      </c>
      <c r="F21" s="30">
        <f>IF(F20=0,"paie absente",F19-F20)</f>
        <v/>
      </c>
      <c r="G21" s="30">
        <f>IF(G20=0,"paie absente",G19-G20)</f>
        <v/>
      </c>
      <c r="H21" s="30">
        <f>IF(H20=0,"paie absente",H19-H20)</f>
        <v/>
      </c>
      <c r="I21" s="30">
        <f>IF(I20=0,"paie absente",I19-I20)</f>
        <v/>
      </c>
      <c r="J21" s="27" t="n"/>
      <c r="K21" s="35" t="inlineStr">
        <is>
          <t>Négatif = IRG retenu non reversé</t>
        </is>
      </c>
    </row>
    <row r="22">
      <c r="A22" s="12" t="inlineStr">
        <is>
          <t>IRG retenu en paie TPM (déclaré sur G50 TPM, voir onglet G50 TPM)</t>
        </is>
      </c>
      <c r="B22" s="6">
        <f>'Paie TPM'!C25</f>
        <v/>
      </c>
      <c r="C22" s="6">
        <f>'Paie TPM'!D25</f>
        <v/>
      </c>
      <c r="D22" s="6">
        <f>'Paie TPM'!E25</f>
        <v/>
      </c>
      <c r="E22" s="6">
        <f>'Paie TPM'!F25</f>
        <v/>
      </c>
      <c r="F22" s="6">
        <f>'Paie TPM'!G25</f>
        <v/>
      </c>
      <c r="G22" s="6">
        <f>'Paie TPM'!H25</f>
        <v/>
      </c>
      <c r="H22" s="6">
        <f>'Paie TPM'!I25</f>
        <v/>
      </c>
      <c r="I22" s="6">
        <f>'Paie TPM'!J25</f>
        <v/>
      </c>
      <c r="J22" s="7">
        <f>SUM(B22:I22)</f>
        <v/>
      </c>
      <c r="K22" s="35" t="inlineStr">
        <is>
          <t>G50 TPM fournies : juillet et août seulement</t>
        </is>
      </c>
    </row>
    <row r="23">
      <c r="A23" s="12" t="inlineStr">
        <is>
          <t>Droit de timbre — base</t>
        </is>
      </c>
      <c r="B23" s="25" t="n">
        <v>1526130</v>
      </c>
      <c r="C23" s="25" t="n">
        <v>6372000</v>
      </c>
      <c r="D23" s="25" t="n">
        <v>0</v>
      </c>
      <c r="E23" s="25" t="n">
        <v>177058</v>
      </c>
      <c r="F23" s="25" t="n">
        <v>177058</v>
      </c>
      <c r="G23" s="25" t="n">
        <v>0</v>
      </c>
      <c r="H23" s="25" t="n">
        <v>0</v>
      </c>
      <c r="I23" s="25" t="n">
        <v>0</v>
      </c>
      <c r="J23" s="7">
        <f>SUM(B23:I23)</f>
        <v/>
      </c>
      <c r="K23" s="35" t="inlineStr"/>
    </row>
    <row r="24">
      <c r="A24" s="12" t="inlineStr">
        <is>
          <t>Droit de timbre — montant</t>
        </is>
      </c>
      <c r="B24" s="25" t="n">
        <v>30525</v>
      </c>
      <c r="C24" s="25" t="n">
        <v>63720</v>
      </c>
      <c r="D24" s="25" t="n">
        <v>0</v>
      </c>
      <c r="E24" s="25" t="n">
        <v>8944</v>
      </c>
      <c r="F24" s="25" t="n">
        <v>3173</v>
      </c>
      <c r="G24" s="25" t="n">
        <v>0</v>
      </c>
      <c r="H24" s="25" t="n">
        <v>0</v>
      </c>
      <c r="I24" s="25" t="n">
        <v>0</v>
      </c>
      <c r="J24" s="7">
        <f>SUM(B24:I24)</f>
        <v/>
      </c>
      <c r="K24" s="35" t="inlineStr">
        <is>
          <t>Taux apparents incohérents (ligne 31)</t>
        </is>
      </c>
    </row>
    <row r="25">
      <c r="A25" s="12" t="inlineStr">
        <is>
          <t>Taxe d'apprentissage — base</t>
        </is>
      </c>
      <c r="B25" s="25" t="n">
        <v>0</v>
      </c>
      <c r="C25" s="25" t="n">
        <v>8782828</v>
      </c>
      <c r="D25" s="25" t="n">
        <v>0</v>
      </c>
      <c r="E25" s="25" t="n">
        <v>0</v>
      </c>
      <c r="F25" s="25" t="n">
        <v>0</v>
      </c>
      <c r="G25" s="25" t="n">
        <v>0</v>
      </c>
      <c r="H25" s="25" t="n">
        <v>0</v>
      </c>
      <c r="I25" s="25" t="n">
        <v>4409079</v>
      </c>
      <c r="J25" s="7">
        <f>SUM(B25:I25)</f>
        <v/>
      </c>
      <c r="K25" s="35" t="inlineStr"/>
    </row>
    <row r="26">
      <c r="A26" s="12" t="inlineStr">
        <is>
          <t>Taxe d'apprentissage — montant</t>
        </is>
      </c>
      <c r="B26" s="25" t="n">
        <v>0</v>
      </c>
      <c r="C26" s="25" t="n">
        <v>87828</v>
      </c>
      <c r="D26" s="25" t="n">
        <v>0</v>
      </c>
      <c r="E26" s="25" t="n">
        <v>0</v>
      </c>
      <c r="F26" s="25" t="n">
        <v>0</v>
      </c>
      <c r="G26" s="25" t="n">
        <v>0</v>
      </c>
      <c r="H26" s="25" t="n">
        <v>0</v>
      </c>
      <c r="I26" s="25" t="n">
        <v>44091</v>
      </c>
      <c r="J26" s="7">
        <f>SUM(B26:I26)</f>
        <v/>
      </c>
      <c r="K26" s="35" t="inlineStr">
        <is>
          <t>1 % ; payée en février ET en août : bases à justifier</t>
        </is>
      </c>
    </row>
    <row r="27">
      <c r="A27" s="4" t="inlineStr">
        <is>
          <t>Total à payer déclaré</t>
        </is>
      </c>
      <c r="B27" s="25" t="n">
        <v>1291220</v>
      </c>
      <c r="C27" s="25" t="n">
        <v>3392786</v>
      </c>
      <c r="D27" s="25" t="n">
        <v>715520</v>
      </c>
      <c r="E27" s="25" t="n">
        <v>719735</v>
      </c>
      <c r="F27" s="25" t="n">
        <v>82311</v>
      </c>
      <c r="G27" s="25" t="n">
        <v>59018</v>
      </c>
      <c r="H27" s="25" t="n">
        <v>1309043</v>
      </c>
      <c r="I27" s="25" t="n">
        <v>932361</v>
      </c>
      <c r="J27" s="7">
        <f>SUM(B27:I27)</f>
        <v/>
      </c>
      <c r="K27" s="35" t="inlineStr"/>
    </row>
    <row r="28">
      <c r="A28" s="4" t="inlineStr">
        <is>
          <t>Total recalculé (TVA + IRG + timbre + TA)</t>
        </is>
      </c>
      <c r="B28" s="30">
        <f>B14+B19+B24+B26</f>
        <v/>
      </c>
      <c r="C28" s="30">
        <f>C14+C19+C24+C26</f>
        <v/>
      </c>
      <c r="D28" s="30">
        <f>D14+D19+D24+D26</f>
        <v/>
      </c>
      <c r="E28" s="30">
        <f>E14+E19+E24+E26</f>
        <v/>
      </c>
      <c r="F28" s="30">
        <f>F14+F19+F24+F26</f>
        <v/>
      </c>
      <c r="G28" s="30">
        <f>G14+G19+G24+G26</f>
        <v/>
      </c>
      <c r="H28" s="30">
        <f>H14+H19+H24+H26</f>
        <v/>
      </c>
      <c r="I28" s="30">
        <f>I14+I19+I24+I26</f>
        <v/>
      </c>
      <c r="J28" s="7">
        <f>SUM(B28:I28)</f>
        <v/>
      </c>
      <c r="K28" s="35" t="inlineStr">
        <is>
          <t>Calcul</t>
        </is>
      </c>
    </row>
    <row r="29">
      <c r="A29" s="4" t="inlineStr">
        <is>
          <t>Écart total</t>
        </is>
      </c>
      <c r="B29" s="30">
        <f>B27-B28</f>
        <v/>
      </c>
      <c r="C29" s="30">
        <f>C27-C28</f>
        <v/>
      </c>
      <c r="D29" s="30">
        <f>D27-D28</f>
        <v/>
      </c>
      <c r="E29" s="30">
        <f>E27-E28</f>
        <v/>
      </c>
      <c r="F29" s="30">
        <f>F27-F28</f>
        <v/>
      </c>
      <c r="G29" s="30">
        <f>G27-G28</f>
        <v/>
      </c>
      <c r="H29" s="30">
        <f>H27-H28</f>
        <v/>
      </c>
      <c r="I29" s="30">
        <f>I27-I28</f>
        <v/>
      </c>
      <c r="J29" s="7">
        <f>SUM(B29:I29)</f>
        <v/>
      </c>
      <c r="K29" s="35" t="inlineStr">
        <is>
          <t>Doit être 0</t>
        </is>
      </c>
    </row>
    <row r="30">
      <c r="A30" s="12" t="inlineStr">
        <is>
          <t>Date de signature imprimée</t>
        </is>
      </c>
      <c r="B30" s="22" t="inlineStr">
        <is>
          <t>18/02/2022</t>
        </is>
      </c>
      <c r="C30" s="22" t="inlineStr">
        <is>
          <t>19/03/2022</t>
        </is>
      </c>
      <c r="D30" s="22" t="inlineStr">
        <is>
          <t>17/04/2021</t>
        </is>
      </c>
      <c r="E30" s="22" t="inlineStr">
        <is>
          <t>18/05/2022</t>
        </is>
      </c>
      <c r="F30" s="22" t="inlineStr">
        <is>
          <t>18/06/2022</t>
        </is>
      </c>
      <c r="G30" s="22" t="inlineStr">
        <is>
          <t>28/07/2022</t>
        </is>
      </c>
      <c r="H30" s="22" t="inlineStr">
        <is>
          <t>19/08/2022</t>
        </is>
      </c>
      <c r="I30" s="22" t="inlineStr">
        <is>
          <t>19/08/2022</t>
        </is>
      </c>
      <c r="J30" s="27" t="n"/>
      <c r="K30" s="35" t="inlineStr">
        <is>
          <t>Dates obsolètes : modèle non mis à jour</t>
        </is>
      </c>
    </row>
    <row r="31">
      <c r="A31" s="12" t="inlineStr">
        <is>
          <t>Taux apparent du droit de timbre (montant / base)</t>
        </is>
      </c>
      <c r="B31" s="36">
        <f>IF(B23=0,"",B24/B23)</f>
        <v/>
      </c>
      <c r="C31" s="36">
        <f>IF(C23=0,"",C24/C23)</f>
        <v/>
      </c>
      <c r="D31" s="36">
        <f>IF(D23=0,"",D24/D23)</f>
        <v/>
      </c>
      <c r="E31" s="36">
        <f>IF(E23=0,"",E24/E23)</f>
        <v/>
      </c>
      <c r="F31" s="36">
        <f>IF(F23=0,"",F24/F23)</f>
        <v/>
      </c>
      <c r="G31" s="36">
        <f>IF(G23=0,"",G24/G23)</f>
        <v/>
      </c>
      <c r="H31" s="36">
        <f>IF(H23=0,"",H24/H23)</f>
        <v/>
      </c>
      <c r="I31" s="36">
        <f>IF(I23=0,"",I24/I23)</f>
        <v/>
      </c>
      <c r="K31" s="21" t="inlineStr">
        <is>
          <t>Taux appliqués différents d'un mois à l'autre</t>
        </is>
      </c>
    </row>
    <row r="33">
      <c r="A33" s="4" t="inlineStr">
        <is>
          <t>Annotations portées en marge des G50 (suivi du CA de mars 2026)</t>
        </is>
      </c>
    </row>
    <row r="34">
      <c r="A34" s="11" t="inlineStr">
        <is>
          <t>Rubrique</t>
        </is>
      </c>
      <c r="B34" s="11" t="inlineStr">
        <is>
          <t>Montant</t>
        </is>
      </c>
      <c r="C34" s="11" t="inlineStr"/>
      <c r="D34" s="11" t="inlineStr"/>
      <c r="E34" s="11" t="inlineStr"/>
      <c r="F34" s="11" t="inlineStr"/>
      <c r="G34" s="11" t="inlineStr"/>
      <c r="H34" s="11" t="inlineStr"/>
      <c r="I34" s="11" t="inlineStr"/>
      <c r="J34" s="11" t="inlineStr"/>
      <c r="K34" s="11" t="inlineStr">
        <is>
          <t>Commentaire</t>
        </is>
      </c>
    </row>
    <row r="35">
      <c r="A35" s="29" t="inlineStr">
        <is>
          <t>CA réalisé en mars 2026 (« TOTAL CA 03/2026 », G50 mars)</t>
        </is>
      </c>
      <c r="B35" s="25" t="n">
        <v>27006870</v>
      </c>
      <c r="K35" s="35" t="inlineStr">
        <is>
          <t>Annotation G50 mars et avril</t>
        </is>
      </c>
    </row>
    <row r="36">
      <c r="A36" s="29" t="inlineStr">
        <is>
          <t>TVA correspondante (« TOTAL TVA 03/2026 »)</t>
        </is>
      </c>
      <c r="B36" s="25" t="n">
        <v>5131305</v>
      </c>
      <c r="K36" s="35" t="inlineStr"/>
    </row>
    <row r="37">
      <c r="A37" s="29" t="inlineStr">
        <is>
          <t>TVA recalculée sur le CA de mars</t>
        </is>
      </c>
      <c r="B37" s="30">
        <f>ROUND(B35*$B$4,0)</f>
        <v/>
      </c>
      <c r="K37" s="35" t="inlineStr">
        <is>
          <t>Contrôle</t>
        </is>
      </c>
    </row>
    <row r="38">
      <c r="A38" s="29" t="inlineStr">
        <is>
          <t>CA de mars effectivement déclaré en mars</t>
        </is>
      </c>
      <c r="B38" s="30">
        <f>D7</f>
        <v/>
      </c>
      <c r="K38" s="35" t="inlineStr">
        <is>
          <t>G50 mars</t>
        </is>
      </c>
    </row>
    <row r="39">
      <c r="A39" s="29" t="inlineStr">
        <is>
          <t>CA de mars reporté sur les mois suivants</t>
        </is>
      </c>
      <c r="B39" s="37">
        <f>B35-B38</f>
        <v/>
      </c>
      <c r="K39" s="35" t="inlineStr">
        <is>
          <t>Annoté « RESTE A DECLARER CA » 23 561 670</t>
        </is>
      </c>
    </row>
    <row r="40">
      <c r="A40" s="29" t="inlineStr">
        <is>
          <t>TVA de mars payée en retard</t>
        </is>
      </c>
      <c r="B40" s="37">
        <f>ROUND(B39*$B$4,0)</f>
        <v/>
      </c>
      <c r="K40" s="35" t="inlineStr">
        <is>
          <t>Annoté « RESTE A DECLARER TVA » 4 476 717</t>
        </is>
      </c>
    </row>
    <row r="41">
      <c r="A41" s="29" t="inlineStr">
        <is>
          <t>« CA DECLARE 04/2026 » annoté en avril</t>
        </is>
      </c>
      <c r="B41" s="25" t="n">
        <v>13157894.74</v>
      </c>
      <c r="K41" s="35" t="inlineStr">
        <is>
          <t>Soit 2 500 000 / 19 % : CA calculé à partir d'un objectif de TVA</t>
        </is>
      </c>
    </row>
    <row r="42">
      <c r="A42" s="29" t="inlineStr">
        <is>
          <t>TVA cible correspondante</t>
        </is>
      </c>
      <c r="B42" s="30">
        <f>ROUND(B41*$B$4,2)</f>
        <v/>
      </c>
      <c r="K42" s="35" t="inlineStr">
        <is>
          <t>Contrôle</t>
        </is>
      </c>
    </row>
    <row r="43">
      <c r="A43" s="29" t="inlineStr">
        <is>
          <t>« RESTE A DECLARER TVA » annoté en juillet et août</t>
        </is>
      </c>
      <c r="B43" s="25" t="n">
        <v>5417538</v>
      </c>
      <c r="K43" s="35" t="inlineStr">
        <is>
          <t>Montant restant selon le suivi interne</t>
        </is>
      </c>
    </row>
    <row r="45">
      <c r="A45" s="4" t="inlineStr">
        <is>
          <t>Comparaison avec le CA IMPORT 2025 des mêmes mois (compte 70001, journal 2025)</t>
        </is>
      </c>
    </row>
    <row r="46">
      <c r="A46" s="11" t="inlineStr">
        <is>
          <t>Rubrique</t>
        </is>
      </c>
      <c r="B46" s="11" t="inlineStr">
        <is>
          <t>Janv</t>
        </is>
      </c>
      <c r="C46" s="11" t="inlineStr">
        <is>
          <t>Févr</t>
        </is>
      </c>
      <c r="D46" s="11" t="inlineStr">
        <is>
          <t>Mars</t>
        </is>
      </c>
      <c r="E46" s="11" t="inlineStr">
        <is>
          <t>Avr</t>
        </is>
      </c>
      <c r="F46" s="11" t="inlineStr">
        <is>
          <t>Mai</t>
        </is>
      </c>
      <c r="G46" s="11" t="inlineStr">
        <is>
          <t>Juin</t>
        </is>
      </c>
      <c r="H46" s="11" t="inlineStr">
        <is>
          <t>Juil</t>
        </is>
      </c>
      <c r="I46" s="11" t="inlineStr">
        <is>
          <t>Août</t>
        </is>
      </c>
      <c r="J46" s="11" t="inlineStr">
        <is>
          <t>Cumul</t>
        </is>
      </c>
      <c r="K46" s="11" t="inlineStr">
        <is>
          <t>Commentaire</t>
        </is>
      </c>
    </row>
    <row r="47">
      <c r="A47" s="12" t="inlineStr">
        <is>
          <t>CA 2025 (journal comptable)</t>
        </is>
      </c>
      <c r="B47" s="25" t="n">
        <v>17864580</v>
      </c>
      <c r="C47" s="25" t="n">
        <v>25568207</v>
      </c>
      <c r="D47" s="25" t="n">
        <v>31947529</v>
      </c>
      <c r="E47" s="25" t="n">
        <v>29534571</v>
      </c>
      <c r="F47" s="25" t="n">
        <v>41310810</v>
      </c>
      <c r="G47" s="25" t="n">
        <v>28042831</v>
      </c>
      <c r="H47" s="25" t="n">
        <v>23178604</v>
      </c>
      <c r="I47" s="25" t="n">
        <v>15524844</v>
      </c>
      <c r="J47" s="7">
        <f>SUM(B47:I47)</f>
        <v/>
      </c>
    </row>
    <row r="48">
      <c r="A48" s="12" t="inlineStr">
        <is>
          <t>CA 2026 déclaré sur G50</t>
        </is>
      </c>
      <c r="B48" s="30">
        <f>B7</f>
        <v/>
      </c>
      <c r="C48" s="30">
        <f>C7</f>
        <v/>
      </c>
      <c r="D48" s="30">
        <f>D7</f>
        <v/>
      </c>
      <c r="E48" s="30">
        <f>E7</f>
        <v/>
      </c>
      <c r="F48" s="30">
        <f>F7</f>
        <v/>
      </c>
      <c r="G48" s="30">
        <f>G7</f>
        <v/>
      </c>
      <c r="H48" s="30">
        <f>H7</f>
        <v/>
      </c>
      <c r="I48" s="30">
        <f>I7</f>
        <v/>
      </c>
      <c r="J48" s="7">
        <f>SUM(B48:I48)</f>
        <v/>
      </c>
      <c r="K48" s="35" t="inlineStr">
        <is>
          <t>Le CA 2026 déclaré mois par mois ne reflète pas le CA réalisé (voir annotations) : rapprocher avec le journal des ventes 2026.</t>
        </is>
      </c>
    </row>
    <row r="49">
      <c r="A49" s="12" t="inlineStr">
        <is>
          <t>Variation 2026 / 2025</t>
        </is>
      </c>
      <c r="B49" s="19">
        <f>IF(B47=0,"",B48/B47-1)</f>
        <v/>
      </c>
      <c r="C49" s="19">
        <f>IF(C47=0,"",C48/C47-1)</f>
        <v/>
      </c>
      <c r="D49" s="19">
        <f>IF(D47=0,"",D48/D47-1)</f>
        <v/>
      </c>
      <c r="E49" s="19">
        <f>IF(E47=0,"",E48/E47-1)</f>
        <v/>
      </c>
      <c r="F49" s="19">
        <f>IF(F47=0,"",F48/F47-1)</f>
        <v/>
      </c>
      <c r="G49" s="19">
        <f>IF(G47=0,"",G48/G47-1)</f>
        <v/>
      </c>
      <c r="H49" s="19">
        <f>IF(H47=0,"",H48/H47-1)</f>
        <v/>
      </c>
      <c r="I49" s="19">
        <f>IF(I47=0,"",I48/I47-1)</f>
        <v/>
      </c>
      <c r="J49" s="38">
        <f>J48/J47-1</f>
        <v/>
      </c>
    </row>
  </sheetData>
  <pageMargins left="0.75" right="0.75" top="1" bottom="1" header="0.5" footer="0.5"/>
  <pageSetup orientation="landscape" fitToHeight="0"/>
</worksheet>
</file>

<file path=xl/worksheets/sheet10.xml><?xml version="1.0" encoding="utf-8"?>
<worksheet xmlns="http://schemas.openxmlformats.org/spreadsheetml/2006/main">
  <sheetPr>
    <outlinePr summaryBelow="1" summaryRight="1"/>
    <pageSetUpPr fitToPage="1"/>
  </sheetPr>
  <dimension ref="A1:E10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17" customWidth="1" min="3" max="3"/>
    <col width="17" customWidth="1" min="4" max="4"/>
    <col width="17" customWidth="1" min="5" max="5"/>
  </cols>
  <sheetData>
    <row r="1">
      <c r="A1" s="1" t="inlineStr">
        <is>
          <t>Balance générale des exercices 2024 et 2025 (avant clôture)</t>
        </is>
      </c>
    </row>
    <row r="2">
      <c r="A2" s="2" t="inlineStr">
        <is>
          <t>Source : exports PCCOMPTA SARL_DPR_COMPAGNY_2024.xls / 2025.xls (feuille JOURNAL). Solde = débit − crédit (crédit négatif). Contrôles faits : journaux équilibrés ; ouvertures 2025 = clôtures 2024.</t>
        </is>
      </c>
    </row>
    <row r="4">
      <c r="A4" s="11" t="inlineStr">
        <is>
          <t>Compte</t>
        </is>
      </c>
      <c r="B4" s="11" t="inlineStr">
        <is>
          <t>Libellé</t>
        </is>
      </c>
      <c r="C4" s="11" t="inlineStr">
        <is>
          <t>Solde 31/12/2024</t>
        </is>
      </c>
      <c r="D4" s="11" t="inlineStr">
        <is>
          <t>Solde 31/12/2025</t>
        </is>
      </c>
      <c r="E4" s="11" t="inlineStr">
        <is>
          <t>Variation</t>
        </is>
      </c>
    </row>
    <row r="5">
      <c r="A5" s="12" t="inlineStr">
        <is>
          <t>10100</t>
        </is>
      </c>
      <c r="B5" s="12" t="inlineStr">
        <is>
          <t>CAPITAL EMIS</t>
        </is>
      </c>
      <c r="C5" s="25" t="n">
        <v>-106000000</v>
      </c>
      <c r="D5" s="25" t="n">
        <v>-106000000</v>
      </c>
      <c r="E5" s="30">
        <f>D5-C5</f>
        <v/>
      </c>
    </row>
    <row r="6">
      <c r="A6" s="12" t="inlineStr">
        <is>
          <t>10500</t>
        </is>
      </c>
      <c r="B6" s="12" t="inlineStr">
        <is>
          <t>Ecart de réévaluation</t>
        </is>
      </c>
      <c r="C6" s="25" t="n">
        <v>-120163.5</v>
      </c>
      <c r="D6" s="25" t="n">
        <v>-120163.5</v>
      </c>
      <c r="E6" s="30">
        <f>D6-C6</f>
        <v/>
      </c>
    </row>
    <row r="7">
      <c r="A7" s="12" t="inlineStr">
        <is>
          <t>10610</t>
        </is>
      </c>
      <c r="B7" s="12" t="inlineStr">
        <is>
          <t>RESERVES LEGALES</t>
        </is>
      </c>
      <c r="C7" s="25" t="n">
        <v>-5546118.38</v>
      </c>
      <c r="D7" s="25" t="n">
        <v>-7003771.38</v>
      </c>
      <c r="E7" s="30">
        <f>D7-C7</f>
        <v/>
      </c>
    </row>
    <row r="8">
      <c r="A8" s="12" t="inlineStr">
        <is>
          <t>10611</t>
        </is>
      </c>
      <c r="B8" s="12" t="inlineStr">
        <is>
          <t>BENEFICES A REINVESTIR</t>
        </is>
      </c>
      <c r="C8" s="25" t="n">
        <v>-25922342.3</v>
      </c>
      <c r="D8" s="25" t="n">
        <v>-25922342.3</v>
      </c>
      <c r="E8" s="30">
        <f>D8-C8</f>
        <v/>
      </c>
    </row>
    <row r="9">
      <c r="A9" s="12" t="inlineStr">
        <is>
          <t>10620</t>
        </is>
      </c>
      <c r="B9" s="12" t="inlineStr">
        <is>
          <t>RESERVES STATUTAIRES</t>
        </is>
      </c>
      <c r="C9" s="25" t="n">
        <v>-211183</v>
      </c>
      <c r="D9" s="25" t="n">
        <v>-211183</v>
      </c>
      <c r="E9" s="30">
        <f>D9-C9</f>
        <v/>
      </c>
    </row>
    <row r="10">
      <c r="A10" s="12" t="inlineStr">
        <is>
          <t>10630</t>
        </is>
      </c>
      <c r="B10" s="12" t="inlineStr">
        <is>
          <t>RESERVES FACULTATIVES</t>
        </is>
      </c>
      <c r="C10" s="25" t="n">
        <v>-16395661</v>
      </c>
      <c r="D10" s="25" t="n">
        <v>-44091060.12</v>
      </c>
      <c r="E10" s="30">
        <f>D10-C10</f>
        <v/>
      </c>
    </row>
    <row r="11">
      <c r="A11" s="12" t="inlineStr">
        <is>
          <t>11000</t>
        </is>
      </c>
      <c r="B11" s="12" t="inlineStr">
        <is>
          <t>REPORT A NOUVEAU</t>
        </is>
      </c>
      <c r="C11" s="25" t="n">
        <v>1508496.57</v>
      </c>
      <c r="D11" s="25" t="n">
        <v>1508496.57</v>
      </c>
      <c r="E11" s="30">
        <f>D11-C11</f>
        <v/>
      </c>
    </row>
    <row r="12">
      <c r="A12" s="12" t="inlineStr">
        <is>
          <t>11001</t>
        </is>
      </c>
      <c r="B12" s="12" t="inlineStr">
        <is>
          <t>AJUST RESUL CH METHODE CPTE</t>
        </is>
      </c>
      <c r="C12" s="25" t="n">
        <v>150790.11</v>
      </c>
      <c r="D12" s="25" t="n">
        <v>150790.11</v>
      </c>
      <c r="E12" s="30">
        <f>D12-C12</f>
        <v/>
      </c>
    </row>
    <row r="13">
      <c r="A13" s="12" t="inlineStr">
        <is>
          <t>21100</t>
        </is>
      </c>
      <c r="B13" s="12" t="inlineStr">
        <is>
          <t>TERRAINS</t>
        </is>
      </c>
      <c r="C13" s="25" t="n">
        <v>21600000</v>
      </c>
      <c r="D13" s="25" t="n">
        <v>21600000</v>
      </c>
      <c r="E13" s="30">
        <f>D13-C13</f>
        <v/>
      </c>
    </row>
    <row r="14">
      <c r="A14" s="12" t="inlineStr">
        <is>
          <t>21300</t>
        </is>
      </c>
      <c r="B14" s="12" t="inlineStr">
        <is>
          <t>Constructions</t>
        </is>
      </c>
      <c r="C14" s="25" t="n">
        <v>13891000.5</v>
      </c>
      <c r="D14" s="25" t="n">
        <v>13891000.5</v>
      </c>
      <c r="E14" s="30">
        <f>D14-C14</f>
        <v/>
      </c>
    </row>
    <row r="15">
      <c r="A15" s="12" t="inlineStr">
        <is>
          <t>21301</t>
        </is>
      </c>
      <c r="B15" s="12" t="inlineStr">
        <is>
          <t>CHARPENTE METALIQUE</t>
        </is>
      </c>
      <c r="C15" s="25" t="n">
        <v>20222222.46</v>
      </c>
      <c r="D15" s="25" t="n">
        <v>20222222.46</v>
      </c>
      <c r="E15" s="30">
        <f>D15-C15</f>
        <v/>
      </c>
    </row>
    <row r="16">
      <c r="A16" s="12" t="inlineStr">
        <is>
          <t>21500</t>
        </is>
      </c>
      <c r="B16" s="12" t="inlineStr">
        <is>
          <t>INSTALATIONS TECHNIQUES,MAERIE</t>
        </is>
      </c>
      <c r="C16" s="25" t="n">
        <v>2713848.82</v>
      </c>
      <c r="D16" s="25" t="n">
        <v>2713848.82</v>
      </c>
      <c r="E16" s="30">
        <f>D16-C16</f>
        <v/>
      </c>
    </row>
    <row r="17">
      <c r="A17" s="12" t="inlineStr">
        <is>
          <t>21801</t>
        </is>
      </c>
      <c r="B17" s="12" t="inlineStr">
        <is>
          <t>MATERIEL DE TRANSPORT</t>
        </is>
      </c>
      <c r="C17" s="25" t="n">
        <v>106588184.02</v>
      </c>
      <c r="D17" s="25" t="n">
        <v>106588184.02</v>
      </c>
      <c r="E17" s="30">
        <f>D17-C17</f>
        <v/>
      </c>
    </row>
    <row r="18">
      <c r="A18" s="12" t="inlineStr">
        <is>
          <t>21802</t>
        </is>
      </c>
      <c r="B18" s="12" t="inlineStr">
        <is>
          <t>MOBILIER DE BUREAU</t>
        </is>
      </c>
      <c r="C18" s="25" t="n">
        <v>453233.14</v>
      </c>
      <c r="D18" s="25" t="n">
        <v>453233.14</v>
      </c>
      <c r="E18" s="30">
        <f>D18-C18</f>
        <v/>
      </c>
    </row>
    <row r="19">
      <c r="A19" s="12" t="inlineStr">
        <is>
          <t>21804</t>
        </is>
      </c>
      <c r="B19" s="12" t="inlineStr">
        <is>
          <t>EQUIPEMENTS INFORMATIQUES</t>
        </is>
      </c>
      <c r="C19" s="25" t="n">
        <v>393513.02</v>
      </c>
      <c r="D19" s="25" t="n">
        <v>393513.02</v>
      </c>
      <c r="E19" s="30">
        <f>D19-C19</f>
        <v/>
      </c>
    </row>
    <row r="20">
      <c r="A20" s="12" t="inlineStr">
        <is>
          <t>21805</t>
        </is>
      </c>
      <c r="B20" s="12" t="inlineStr">
        <is>
          <t>INSTAL GEN,AGENC,AMENAG DIVERS</t>
        </is>
      </c>
      <c r="C20" s="25" t="n">
        <v>18454720.08</v>
      </c>
      <c r="D20" s="25" t="n">
        <v>23167908.61</v>
      </c>
      <c r="E20" s="30">
        <f>D20-C20</f>
        <v/>
      </c>
    </row>
    <row r="21">
      <c r="A21" s="12" t="inlineStr">
        <is>
          <t>27500</t>
        </is>
      </c>
      <c r="B21" s="12" t="inlineStr">
        <is>
          <t>DEPOTS ET CAUTIONNEMENTS VERSE</t>
        </is>
      </c>
      <c r="C21" s="25" t="n">
        <v>2595248.73</v>
      </c>
      <c r="D21" s="25" t="n">
        <v>5010048.63</v>
      </c>
      <c r="E21" s="30">
        <f>D21-C21</f>
        <v/>
      </c>
    </row>
    <row r="22">
      <c r="A22" s="12" t="inlineStr">
        <is>
          <t>28130</t>
        </is>
      </c>
      <c r="B22" s="12" t="inlineStr">
        <is>
          <t>Amortissement constructions</t>
        </is>
      </c>
      <c r="C22" s="25" t="n">
        <v>-4815237.35</v>
      </c>
      <c r="D22" s="25" t="n">
        <v>-8074650.41</v>
      </c>
      <c r="E22" s="30">
        <f>D22-C22</f>
        <v/>
      </c>
    </row>
    <row r="23">
      <c r="A23" s="12" t="inlineStr">
        <is>
          <t>28150</t>
        </is>
      </c>
      <c r="B23" s="12" t="inlineStr">
        <is>
          <t>AMORT MAT ET OUTILLAGES</t>
        </is>
      </c>
      <c r="C23" s="25" t="n">
        <v>-1823077.75</v>
      </c>
      <c r="D23" s="25" t="n">
        <v>-2005155.07</v>
      </c>
      <c r="E23" s="30">
        <f>D23-C23</f>
        <v/>
      </c>
    </row>
    <row r="24">
      <c r="A24" s="12" t="inlineStr">
        <is>
          <t>28181</t>
        </is>
      </c>
      <c r="B24" s="12" t="inlineStr">
        <is>
          <t>AMORT MAT DE TRANSPORT</t>
        </is>
      </c>
      <c r="C24" s="25" t="n">
        <v>-106588184.02</v>
      </c>
      <c r="D24" s="25" t="n">
        <v>-106588184.02</v>
      </c>
      <c r="E24" s="30">
        <f>D24-C24</f>
        <v/>
      </c>
    </row>
    <row r="25">
      <c r="A25" s="12" t="inlineStr">
        <is>
          <t>28182</t>
        </is>
      </c>
      <c r="B25" s="12" t="inlineStr">
        <is>
          <t>AMORT MOBILIER DE BUREAU</t>
        </is>
      </c>
      <c r="C25" s="25" t="n">
        <v>-352780.21</v>
      </c>
      <c r="D25" s="25" t="n">
        <v>-393583.52</v>
      </c>
      <c r="E25" s="30">
        <f>D25-C25</f>
        <v/>
      </c>
    </row>
    <row r="26">
      <c r="A26" s="12" t="inlineStr">
        <is>
          <t>28184</t>
        </is>
      </c>
      <c r="B26" s="12" t="inlineStr">
        <is>
          <t>AMORT EQUIPEMENTS INFORMATIQUE</t>
        </is>
      </c>
      <c r="C26" s="25" t="n">
        <v>-393513.02</v>
      </c>
      <c r="D26" s="25" t="n">
        <v>-393513.02</v>
      </c>
      <c r="E26" s="30">
        <f>D26-C26</f>
        <v/>
      </c>
    </row>
    <row r="27">
      <c r="A27" s="12" t="inlineStr">
        <is>
          <t>28185</t>
        </is>
      </c>
      <c r="B27" s="12" t="inlineStr">
        <is>
          <t>AMORT INST GEN AGENC ET AMENAG</t>
        </is>
      </c>
      <c r="C27" s="25" t="n">
        <v>-4730683.93</v>
      </c>
      <c r="D27" s="25" t="n">
        <v>-6449464.88</v>
      </c>
      <c r="E27" s="30">
        <f>D27-C27</f>
        <v/>
      </c>
    </row>
    <row r="28">
      <c r="A28" s="12" t="inlineStr">
        <is>
          <t>30002</t>
        </is>
      </c>
      <c r="B28" s="12" t="inlineStr">
        <is>
          <t>ST IMPORTATION</t>
        </is>
      </c>
      <c r="C28" s="25" t="n">
        <v>297774892.13</v>
      </c>
      <c r="D28" s="25" t="n">
        <v>228734007.94</v>
      </c>
      <c r="E28" s="30">
        <f>D28-C28</f>
        <v/>
      </c>
    </row>
    <row r="29">
      <c r="A29" s="12" t="inlineStr">
        <is>
          <t>40100</t>
        </is>
      </c>
      <c r="B29" s="12" t="inlineStr">
        <is>
          <t>Fournisseurs de stocks et serv</t>
        </is>
      </c>
      <c r="C29" s="25" t="n">
        <v>-35860251.28</v>
      </c>
      <c r="D29" s="25" t="n">
        <v>-26166634.7</v>
      </c>
      <c r="E29" s="30">
        <f>D29-C29</f>
        <v/>
      </c>
    </row>
    <row r="30">
      <c r="A30" s="12" t="inlineStr">
        <is>
          <t>40130</t>
        </is>
      </c>
      <c r="B30" s="12" t="inlineStr">
        <is>
          <t>FOUR. LOCAUX DE SERVICES</t>
        </is>
      </c>
      <c r="C30" s="25" t="n">
        <v>-2659901.62</v>
      </c>
      <c r="D30" s="25" t="n">
        <v>-3058191.62</v>
      </c>
      <c r="E30" s="30">
        <f>D30-C30</f>
        <v/>
      </c>
    </row>
    <row r="31">
      <c r="A31" s="12" t="inlineStr">
        <is>
          <t>40400</t>
        </is>
      </c>
      <c r="B31" s="12" t="inlineStr">
        <is>
          <t>Fournisseurs d'immobilisations</t>
        </is>
      </c>
      <c r="C31" s="25" t="n">
        <v>-21827400</v>
      </c>
      <c r="D31" s="25" t="n">
        <v>-21908581.96</v>
      </c>
      <c r="E31" s="30">
        <f>D31-C31</f>
        <v/>
      </c>
    </row>
    <row r="32">
      <c r="A32" s="12" t="inlineStr">
        <is>
          <t>40900</t>
        </is>
      </c>
      <c r="B32" s="12" t="inlineStr">
        <is>
          <t>Fournisseurs débiteurs : avanc</t>
        </is>
      </c>
      <c r="C32" s="25" t="n">
        <v>876100</v>
      </c>
      <c r="D32" s="25" t="n">
        <v>46206100</v>
      </c>
      <c r="E32" s="30">
        <f>D32-C32</f>
        <v/>
      </c>
    </row>
    <row r="33">
      <c r="A33" s="12" t="inlineStr">
        <is>
          <t>41100</t>
        </is>
      </c>
      <c r="B33" s="12" t="inlineStr">
        <is>
          <t>Clients</t>
        </is>
      </c>
      <c r="C33" s="25" t="n">
        <v>394285419.73</v>
      </c>
      <c r="D33" s="25" t="n">
        <v>387140792.76</v>
      </c>
      <c r="E33" s="30">
        <f>D33-C33</f>
        <v/>
      </c>
    </row>
    <row r="34">
      <c r="A34" s="12" t="inlineStr">
        <is>
          <t>41170</t>
        </is>
      </c>
      <c r="B34" s="12" t="inlineStr">
        <is>
          <t>CLIENTS-RETENUES DE GARANTIE</t>
        </is>
      </c>
      <c r="C34" s="25" t="n">
        <v>490717.68</v>
      </c>
      <c r="D34" s="25" t="n">
        <v>490717.68</v>
      </c>
      <c r="E34" s="30">
        <f>D34-C34</f>
        <v/>
      </c>
    </row>
    <row r="35">
      <c r="A35" s="12" t="inlineStr">
        <is>
          <t>41900</t>
        </is>
      </c>
      <c r="B35" s="12" t="inlineStr">
        <is>
          <t>Clients créditeurs -avances re</t>
        </is>
      </c>
      <c r="C35" s="25" t="n">
        <v>-319301380.72</v>
      </c>
      <c r="D35" s="25" t="n">
        <v>-314566980.72</v>
      </c>
      <c r="E35" s="30">
        <f>D35-C35</f>
        <v/>
      </c>
    </row>
    <row r="36">
      <c r="A36" s="12" t="inlineStr">
        <is>
          <t>41910</t>
        </is>
      </c>
      <c r="B36" s="12" t="inlineStr">
        <is>
          <t>AVANCES RECUES DES CLIENTS</t>
        </is>
      </c>
      <c r="C36" s="25" t="n">
        <v>-1612880.99</v>
      </c>
      <c r="D36" s="25" t="n">
        <v>-1612880.99</v>
      </c>
      <c r="E36" s="30">
        <f>D36-C36</f>
        <v/>
      </c>
    </row>
    <row r="37">
      <c r="A37" s="12" t="inlineStr">
        <is>
          <t>42100</t>
        </is>
      </c>
      <c r="B37" s="12" t="inlineStr">
        <is>
          <t>PERSONNEL,REMUNERATIONS DUES</t>
        </is>
      </c>
      <c r="C37" s="25" t="n">
        <v>-880236.13</v>
      </c>
      <c r="D37" s="25" t="n">
        <v>-927713.04</v>
      </c>
      <c r="E37" s="30">
        <f>D37-C37</f>
        <v/>
      </c>
    </row>
    <row r="38">
      <c r="A38" s="12" t="inlineStr">
        <is>
          <t>43100</t>
        </is>
      </c>
      <c r="B38" s="12" t="inlineStr">
        <is>
          <t>SECURITE SOCIALE</t>
        </is>
      </c>
      <c r="C38" s="25" t="n">
        <v>-101587.09</v>
      </c>
      <c r="D38" s="25" t="n">
        <v>-154771.05</v>
      </c>
      <c r="E38" s="30">
        <f>D38-C38</f>
        <v/>
      </c>
    </row>
    <row r="39">
      <c r="A39" s="12" t="inlineStr">
        <is>
          <t>43200</t>
        </is>
      </c>
      <c r="B39" s="12" t="inlineStr">
        <is>
          <t>Autres organismes sociaux</t>
        </is>
      </c>
      <c r="C39" s="25" t="n">
        <v>-310928.8</v>
      </c>
      <c r="D39" s="25" t="n">
        <v>-447116.45</v>
      </c>
      <c r="E39" s="30">
        <f>D39-C39</f>
        <v/>
      </c>
    </row>
    <row r="40">
      <c r="A40" s="12" t="inlineStr">
        <is>
          <t>44210</t>
        </is>
      </c>
      <c r="B40" s="12" t="inlineStr">
        <is>
          <t>RETENUES : IRG</t>
        </is>
      </c>
      <c r="C40" s="25" t="n">
        <v>-120531.9</v>
      </c>
      <c r="D40" s="25" t="n">
        <v>-139890.6</v>
      </c>
      <c r="E40" s="30">
        <f>D40-C40</f>
        <v/>
      </c>
    </row>
    <row r="41">
      <c r="A41" s="12" t="inlineStr">
        <is>
          <t>44400</t>
        </is>
      </c>
      <c r="B41" s="12" t="inlineStr">
        <is>
          <t>Etat, impôts sur les résultats</t>
        </is>
      </c>
      <c r="C41" s="25" t="n">
        <v>-9339504</v>
      </c>
      <c r="D41" s="25" t="n">
        <v>-9791549.220000001</v>
      </c>
      <c r="E41" s="30">
        <f>D41-C41</f>
        <v/>
      </c>
    </row>
    <row r="42">
      <c r="A42" s="12" t="inlineStr">
        <is>
          <t>44410</t>
        </is>
      </c>
      <c r="B42" s="12" t="inlineStr">
        <is>
          <t>AVANCES ET ACOMPTES SUR IBS</t>
        </is>
      </c>
      <c r="C42" s="25" t="n">
        <v>4948930</v>
      </c>
      <c r="D42" s="25" t="n">
        <v>6148598</v>
      </c>
      <c r="E42" s="30">
        <f>D42-C42</f>
        <v/>
      </c>
    </row>
    <row r="43">
      <c r="A43" s="12" t="inlineStr">
        <is>
          <t>44430</t>
        </is>
      </c>
      <c r="B43" s="12" t="inlineStr">
        <is>
          <t>EXCEDENT DE VERSEMENT IMPOTS</t>
        </is>
      </c>
      <c r="C43" s="25" t="n">
        <v>2972435</v>
      </c>
      <c r="D43" s="25" t="n">
        <v>0</v>
      </c>
      <c r="E43" s="30">
        <f>D43-C43</f>
        <v/>
      </c>
    </row>
    <row r="44">
      <c r="A44" s="12" t="inlineStr">
        <is>
          <t>44501</t>
        </is>
      </c>
      <c r="B44" s="12" t="inlineStr">
        <is>
          <t>TVA DEDUCT S/INVEST. A 17 %</t>
        </is>
      </c>
      <c r="C44" s="25" t="n">
        <v>2249353.17</v>
      </c>
      <c r="D44" s="25" t="n">
        <v>541052</v>
      </c>
      <c r="E44" s="30">
        <f>D44-C44</f>
        <v/>
      </c>
    </row>
    <row r="45">
      <c r="A45" s="12" t="inlineStr">
        <is>
          <t>44510</t>
        </is>
      </c>
      <c r="B45" s="12" t="inlineStr">
        <is>
          <t>TVA A PAYER</t>
        </is>
      </c>
      <c r="C45" s="25" t="n">
        <v>-129798</v>
      </c>
      <c r="D45" s="25" t="n">
        <v>-5672989</v>
      </c>
      <c r="E45" s="30">
        <f>D45-C45</f>
        <v/>
      </c>
    </row>
    <row r="46">
      <c r="A46" s="12" t="inlineStr">
        <is>
          <t>44517</t>
        </is>
      </c>
      <c r="B46" s="12" t="inlineStr">
        <is>
          <t>TVA COLLECTEE S/VENTES A 17 %</t>
        </is>
      </c>
      <c r="C46" s="25" t="n">
        <v>0</v>
      </c>
      <c r="D46" s="25" t="n">
        <v>100569.85</v>
      </c>
      <c r="E46" s="30">
        <f>D46-C46</f>
        <v/>
      </c>
    </row>
    <row r="47">
      <c r="A47" s="12" t="inlineStr">
        <is>
          <t>44527</t>
        </is>
      </c>
      <c r="B47" s="12" t="inlineStr">
        <is>
          <t>TVA COLLECTEE/VENTES LOCATION</t>
        </is>
      </c>
      <c r="C47" s="25" t="n">
        <v>-6708151</v>
      </c>
      <c r="D47" s="25" t="n">
        <v>-6708151</v>
      </c>
      <c r="E47" s="30">
        <f>D47-C47</f>
        <v/>
      </c>
    </row>
    <row r="48">
      <c r="A48" s="12" t="inlineStr">
        <is>
          <t>44537</t>
        </is>
      </c>
      <c r="B48" s="12" t="inlineStr">
        <is>
          <t>TVA COLLECTEE/VENTES TPM</t>
        </is>
      </c>
      <c r="C48" s="25" t="n">
        <v>-47726307.93</v>
      </c>
      <c r="D48" s="25" t="n">
        <v>-52174399.93</v>
      </c>
      <c r="E48" s="30">
        <f>D48-C48</f>
        <v/>
      </c>
    </row>
    <row r="49">
      <c r="A49" s="12" t="inlineStr">
        <is>
          <t>44550</t>
        </is>
      </c>
      <c r="B49" s="12" t="inlineStr">
        <is>
          <t>PRECOMPTE</t>
        </is>
      </c>
      <c r="C49" s="25" t="n">
        <v>1056445</v>
      </c>
      <c r="D49" s="25" t="n">
        <v>1714499</v>
      </c>
      <c r="E49" s="30">
        <f>D49-C49</f>
        <v/>
      </c>
    </row>
    <row r="50">
      <c r="A50" s="12" t="inlineStr">
        <is>
          <t>44552</t>
        </is>
      </c>
      <c r="B50" s="12" t="inlineStr">
        <is>
          <t>TVA RECUPERABLE LOCATION</t>
        </is>
      </c>
      <c r="C50" s="25" t="n">
        <v>2822746.99</v>
      </c>
      <c r="D50" s="25" t="n">
        <v>2822746.99</v>
      </c>
      <c r="E50" s="30">
        <f>D50-C50</f>
        <v/>
      </c>
    </row>
    <row r="51">
      <c r="A51" s="12" t="inlineStr">
        <is>
          <t>44555</t>
        </is>
      </c>
      <c r="B51" s="12" t="inlineStr">
        <is>
          <t>TVA RECUPERABLE TPM</t>
        </is>
      </c>
      <c r="C51" s="25" t="n">
        <v>947829.09</v>
      </c>
      <c r="D51" s="25" t="n">
        <v>947829.09</v>
      </c>
      <c r="E51" s="30">
        <f>D51-C51</f>
        <v/>
      </c>
    </row>
    <row r="52">
      <c r="A52" s="12" t="inlineStr">
        <is>
          <t>44557</t>
        </is>
      </c>
      <c r="B52" s="12" t="inlineStr">
        <is>
          <t>TVA RECUPERABLES</t>
        </is>
      </c>
      <c r="C52" s="25" t="n">
        <v>4059079.35</v>
      </c>
      <c r="D52" s="25" t="n">
        <v>1449028.86</v>
      </c>
      <c r="E52" s="30">
        <f>D52-C52</f>
        <v/>
      </c>
    </row>
    <row r="53">
      <c r="A53" s="12" t="inlineStr">
        <is>
          <t>44760</t>
        </is>
      </c>
      <c r="B53" s="12" t="inlineStr">
        <is>
          <t>TIMBRES DUES</t>
        </is>
      </c>
      <c r="C53" s="25" t="n">
        <v>-8303</v>
      </c>
      <c r="D53" s="25" t="n">
        <v>-125326</v>
      </c>
      <c r="E53" s="30">
        <f>D53-C53</f>
        <v/>
      </c>
    </row>
    <row r="54">
      <c r="A54" s="12" t="inlineStr">
        <is>
          <t>45500</t>
        </is>
      </c>
      <c r="B54" s="12" t="inlineStr">
        <is>
          <t>ASSOCIES-COMPTES COURANTS</t>
        </is>
      </c>
      <c r="C54" s="25" t="n">
        <v>-107115774.76</v>
      </c>
      <c r="D54" s="25" t="n">
        <v>-72963530.66</v>
      </c>
      <c r="E54" s="30">
        <f>D54-C54</f>
        <v/>
      </c>
    </row>
    <row r="55">
      <c r="A55" s="12" t="inlineStr">
        <is>
          <t>45701</t>
        </is>
      </c>
      <c r="B55" s="12" t="inlineStr">
        <is>
          <t>Associe MR DJENADI AHCENE</t>
        </is>
      </c>
      <c r="C55" s="25" t="n">
        <v>-9948879.470000001</v>
      </c>
      <c r="D55" s="25" t="n">
        <v>-9948879.470000001</v>
      </c>
      <c r="E55" s="30">
        <f>D55-C55</f>
        <v/>
      </c>
    </row>
    <row r="56">
      <c r="A56" s="12" t="inlineStr">
        <is>
          <t>45702</t>
        </is>
      </c>
      <c r="B56" s="12" t="inlineStr">
        <is>
          <t>Associe MR DJENNDI ABDELKRIM</t>
        </is>
      </c>
      <c r="C56" s="25" t="n">
        <v>-10149190.12</v>
      </c>
      <c r="D56" s="25" t="n">
        <v>-10149190.12</v>
      </c>
      <c r="E56" s="30">
        <f>D56-C56</f>
        <v/>
      </c>
    </row>
    <row r="57">
      <c r="A57" s="12" t="inlineStr">
        <is>
          <t>45703</t>
        </is>
      </c>
      <c r="B57" s="12" t="inlineStr">
        <is>
          <t>Associe MR DJENNADI RYAD</t>
        </is>
      </c>
      <c r="C57" s="25" t="n">
        <v>-10944558.62</v>
      </c>
      <c r="D57" s="25" t="n">
        <v>-10944558.62</v>
      </c>
      <c r="E57" s="30">
        <f>D57-C57</f>
        <v/>
      </c>
    </row>
    <row r="58">
      <c r="A58" s="12" t="inlineStr">
        <is>
          <t>45820</t>
        </is>
      </c>
      <c r="B58" s="12" t="inlineStr">
        <is>
          <t>CREANCE RETACHEES S-CENTRE COM</t>
        </is>
      </c>
      <c r="C58" s="25" t="n">
        <v>315900</v>
      </c>
      <c r="D58" s="25" t="n">
        <v>315900</v>
      </c>
      <c r="E58" s="30">
        <f>D58-C58</f>
        <v/>
      </c>
    </row>
    <row r="59">
      <c r="A59" s="12" t="inlineStr">
        <is>
          <t>47000</t>
        </is>
      </c>
      <c r="B59" s="12" t="inlineStr">
        <is>
          <t>Comptes transitoires ou d'atte</t>
        </is>
      </c>
      <c r="C59" s="25" t="n">
        <v>0</v>
      </c>
      <c r="D59" s="25" t="n">
        <v>653136.02</v>
      </c>
      <c r="E59" s="30">
        <f>D59-C59</f>
        <v/>
      </c>
    </row>
    <row r="60">
      <c r="A60" s="12" t="inlineStr">
        <is>
          <t>48600</t>
        </is>
      </c>
      <c r="B60" s="12" t="inlineStr">
        <is>
          <t>CHARGES CONSTATEES D'AVANCE</t>
        </is>
      </c>
      <c r="C60" s="25" t="n">
        <v>371111.01</v>
      </c>
      <c r="D60" s="25" t="n">
        <v>756123.85</v>
      </c>
      <c r="E60" s="30">
        <f>D60-C60</f>
        <v/>
      </c>
    </row>
    <row r="61">
      <c r="A61" s="12" t="inlineStr">
        <is>
          <t>51202</t>
        </is>
      </c>
      <c r="B61" s="12" t="inlineStr">
        <is>
          <t>BANQUE EL BARAKA</t>
        </is>
      </c>
      <c r="C61" s="25" t="n">
        <v>44774.33</v>
      </c>
      <c r="D61" s="25" t="n">
        <v>44774.33</v>
      </c>
      <c r="E61" s="30">
        <f>D61-C61</f>
        <v/>
      </c>
    </row>
    <row r="62">
      <c r="A62" s="12" t="inlineStr">
        <is>
          <t>51210</t>
        </is>
      </c>
      <c r="B62" s="12" t="inlineStr">
        <is>
          <t>BANQUE C.P.A.</t>
        </is>
      </c>
      <c r="C62" s="25" t="n">
        <v>35356.01</v>
      </c>
      <c r="D62" s="25" t="n">
        <v>35356.01</v>
      </c>
      <c r="E62" s="30">
        <f>D62-C62</f>
        <v/>
      </c>
    </row>
    <row r="63">
      <c r="A63" s="12" t="inlineStr">
        <is>
          <t>51220</t>
        </is>
      </c>
      <c r="B63" s="12" t="inlineStr">
        <is>
          <t>CPA AGENCE EL KSEUR</t>
        </is>
      </c>
      <c r="C63" s="25" t="n">
        <v>1556080.07</v>
      </c>
      <c r="D63" s="25" t="n">
        <v>-12432811.92</v>
      </c>
      <c r="E63" s="30">
        <f>D63-C63</f>
        <v/>
      </c>
    </row>
    <row r="64">
      <c r="A64" s="12" t="inlineStr">
        <is>
          <t>51230</t>
        </is>
      </c>
      <c r="B64" s="12" t="inlineStr">
        <is>
          <t>BANQUE B.N.A.</t>
        </is>
      </c>
      <c r="C64" s="25" t="n">
        <v>14299.64</v>
      </c>
      <c r="D64" s="25" t="n">
        <v>14299.64</v>
      </c>
      <c r="E64" s="30">
        <f>D64-C64</f>
        <v/>
      </c>
    </row>
    <row r="65">
      <c r="A65" s="12" t="inlineStr">
        <is>
          <t>51240</t>
        </is>
      </c>
      <c r="B65" s="12" t="inlineStr">
        <is>
          <t>CPA 4000015290-18</t>
        </is>
      </c>
      <c r="C65" s="25" t="n">
        <v>14466.74</v>
      </c>
      <c r="D65" s="25" t="n">
        <v>43204.52</v>
      </c>
      <c r="E65" s="30">
        <f>D65-C65</f>
        <v/>
      </c>
    </row>
    <row r="66">
      <c r="A66" s="12" t="inlineStr">
        <is>
          <t>51900</t>
        </is>
      </c>
      <c r="B66" s="12" t="inlineStr">
        <is>
          <t>Concours bancaires courants</t>
        </is>
      </c>
      <c r="C66" s="25" t="n">
        <v>-18085375.06</v>
      </c>
      <c r="D66" s="25" t="n">
        <v>-7199607</v>
      </c>
      <c r="E66" s="30">
        <f>D66-C66</f>
        <v/>
      </c>
    </row>
    <row r="67">
      <c r="A67" s="12" t="inlineStr">
        <is>
          <t>53000</t>
        </is>
      </c>
      <c r="B67" s="12" t="inlineStr">
        <is>
          <t>CAISSE</t>
        </is>
      </c>
      <c r="C67" s="25" t="n">
        <v>1475743.68</v>
      </c>
      <c r="D67" s="25" t="n">
        <v>12101412.51</v>
      </c>
      <c r="E67" s="30">
        <f>D67-C67</f>
        <v/>
      </c>
    </row>
    <row r="68">
      <c r="A68" s="12" t="inlineStr">
        <is>
          <t>54200</t>
        </is>
      </c>
      <c r="B68" s="12" t="inlineStr">
        <is>
          <t>ACCREDITIFS</t>
        </is>
      </c>
      <c r="C68" s="25" t="n">
        <v>0</v>
      </c>
      <c r="D68" s="25" t="n">
        <v>7500000</v>
      </c>
      <c r="E68" s="30">
        <f>D68-C68</f>
        <v/>
      </c>
    </row>
    <row r="69">
      <c r="A69" s="12" t="inlineStr">
        <is>
          <t>60002</t>
        </is>
      </c>
      <c r="B69" s="12" t="inlineStr">
        <is>
          <t>CONSOMMATION IMPORTATION</t>
        </is>
      </c>
      <c r="C69" s="25" t="n">
        <v>241766555.74</v>
      </c>
      <c r="D69" s="25" t="n">
        <v>224264245.83</v>
      </c>
      <c r="E69" s="30">
        <f>D69-C69</f>
        <v/>
      </c>
    </row>
    <row r="70">
      <c r="A70" s="12" t="inlineStr">
        <is>
          <t>60203</t>
        </is>
      </c>
      <c r="B70" s="12" t="inlineStr">
        <is>
          <t>PETITS OUTILLAGES CONSOMMEES</t>
        </is>
      </c>
      <c r="C70" s="25" t="n">
        <v>0</v>
      </c>
      <c r="D70" s="25" t="n">
        <v>6722689.08</v>
      </c>
      <c r="E70" s="30">
        <f>D70-C70</f>
        <v/>
      </c>
    </row>
    <row r="71">
      <c r="A71" s="12" t="inlineStr">
        <is>
          <t>60711</t>
        </is>
      </c>
      <c r="B71" s="12" t="inlineStr">
        <is>
          <t>CARBURANTS LUBRIFIANTS</t>
        </is>
      </c>
      <c r="C71" s="25" t="n">
        <v>11490176.72</v>
      </c>
      <c r="D71" s="25" t="n">
        <v>5801707.07</v>
      </c>
      <c r="E71" s="30">
        <f>D71-C71</f>
        <v/>
      </c>
    </row>
    <row r="72">
      <c r="A72" s="12" t="inlineStr">
        <is>
          <t>60760</t>
        </is>
      </c>
      <c r="B72" s="12" t="inlineStr">
        <is>
          <t>TENUE DE TRAVAIL</t>
        </is>
      </c>
      <c r="C72" s="25" t="n">
        <v>0</v>
      </c>
      <c r="D72" s="25" t="n">
        <v>189720.17</v>
      </c>
      <c r="E72" s="30">
        <f>D72-C72</f>
        <v/>
      </c>
    </row>
    <row r="73">
      <c r="A73" s="12" t="inlineStr">
        <is>
          <t>61500</t>
        </is>
      </c>
      <c r="B73" s="12" t="inlineStr">
        <is>
          <t>Entretien, réparations et main</t>
        </is>
      </c>
      <c r="C73" s="25" t="n">
        <v>5219555.36</v>
      </c>
      <c r="D73" s="25" t="n">
        <v>3491254.27</v>
      </c>
      <c r="E73" s="30">
        <f>D73-C73</f>
        <v/>
      </c>
    </row>
    <row r="74">
      <c r="A74" s="12" t="inlineStr">
        <is>
          <t>61510</t>
        </is>
      </c>
      <c r="B74" s="12" t="inlineStr">
        <is>
          <t>ENT.ET REPARATION MAT.TRANSP</t>
        </is>
      </c>
      <c r="C74" s="25" t="n">
        <v>0</v>
      </c>
      <c r="D74" s="25" t="n">
        <v>2094922.6</v>
      </c>
      <c r="E74" s="30">
        <f>D74-C74</f>
        <v/>
      </c>
    </row>
    <row r="75">
      <c r="A75" s="12" t="inlineStr">
        <is>
          <t>61590</t>
        </is>
      </c>
      <c r="B75" s="12" t="inlineStr">
        <is>
          <t>ENTRETIEN CONSTRUCTIONS</t>
        </is>
      </c>
      <c r="C75" s="25" t="n">
        <v>0</v>
      </c>
      <c r="D75" s="25" t="n">
        <v>1496059.2</v>
      </c>
      <c r="E75" s="30">
        <f>D75-C75</f>
        <v/>
      </c>
    </row>
    <row r="76">
      <c r="A76" s="12" t="inlineStr">
        <is>
          <t>61600</t>
        </is>
      </c>
      <c r="B76" s="12" t="inlineStr">
        <is>
          <t>Primes d'assurances</t>
        </is>
      </c>
      <c r="C76" s="25" t="n">
        <v>684693.0600000001</v>
      </c>
      <c r="D76" s="25" t="n">
        <v>35001.16</v>
      </c>
      <c r="E76" s="30">
        <f>D76-C76</f>
        <v/>
      </c>
    </row>
    <row r="77">
      <c r="A77" s="12" t="inlineStr">
        <is>
          <t>61800</t>
        </is>
      </c>
      <c r="B77" s="12" t="inlineStr">
        <is>
          <t>Documentation et divers</t>
        </is>
      </c>
      <c r="C77" s="25" t="n">
        <v>3000</v>
      </c>
      <c r="D77" s="25" t="n">
        <v>10000</v>
      </c>
      <c r="E77" s="30">
        <f>D77-C77</f>
        <v/>
      </c>
    </row>
    <row r="78">
      <c r="A78" s="12" t="inlineStr">
        <is>
          <t>62200</t>
        </is>
      </c>
      <c r="B78" s="12" t="inlineStr">
        <is>
          <t>Rémunérations d'intermédiaires</t>
        </is>
      </c>
      <c r="C78" s="25" t="n">
        <v>400000</v>
      </c>
      <c r="D78" s="25" t="n">
        <v>950000</v>
      </c>
      <c r="E78" s="30">
        <f>D78-C78</f>
        <v/>
      </c>
    </row>
    <row r="79">
      <c r="A79" s="12" t="inlineStr">
        <is>
          <t>62300</t>
        </is>
      </c>
      <c r="B79" s="12" t="inlineStr">
        <is>
          <t>PUBLICITE</t>
        </is>
      </c>
      <c r="C79" s="25" t="n">
        <v>30110</v>
      </c>
      <c r="D79" s="25" t="n">
        <v>0</v>
      </c>
      <c r="E79" s="30">
        <f>D79-C79</f>
        <v/>
      </c>
    </row>
    <row r="80">
      <c r="A80" s="12" t="inlineStr">
        <is>
          <t>62500</t>
        </is>
      </c>
      <c r="B80" s="12" t="inlineStr">
        <is>
          <t>DEPLACEMENTS, MISSIONS ET RECE</t>
        </is>
      </c>
      <c r="C80" s="25" t="n">
        <v>0</v>
      </c>
      <c r="D80" s="25" t="n">
        <v>548858</v>
      </c>
      <c r="E80" s="30">
        <f>D80-C80</f>
        <v/>
      </c>
    </row>
    <row r="81">
      <c r="A81" s="12" t="inlineStr">
        <is>
          <t>62750</t>
        </is>
      </c>
      <c r="B81" s="12" t="inlineStr">
        <is>
          <t>COMMISSIONS DIVERSES</t>
        </is>
      </c>
      <c r="C81" s="25" t="n">
        <v>4282012.25</v>
      </c>
      <c r="D81" s="25" t="n">
        <v>2600090.68</v>
      </c>
      <c r="E81" s="30">
        <f>D81-C81</f>
        <v/>
      </c>
    </row>
    <row r="82">
      <c r="A82" s="12" t="inlineStr">
        <is>
          <t>62800</t>
        </is>
      </c>
      <c r="B82" s="12" t="inlineStr">
        <is>
          <t>COTISATIONS ET DIVERS</t>
        </is>
      </c>
      <c r="C82" s="25" t="n">
        <v>3000</v>
      </c>
      <c r="D82" s="25" t="n">
        <v>3000</v>
      </c>
      <c r="E82" s="30">
        <f>D82-C82</f>
        <v/>
      </c>
    </row>
    <row r="83">
      <c r="A83" s="12" t="inlineStr">
        <is>
          <t>63100</t>
        </is>
      </c>
      <c r="B83" s="12" t="inlineStr">
        <is>
          <t>TRAITEMENTS ET SALAIRES</t>
        </is>
      </c>
      <c r="C83" s="25" t="n">
        <v>6756552.71</v>
      </c>
      <c r="D83" s="25" t="n">
        <v>5186256.27</v>
      </c>
      <c r="E83" s="30">
        <f>D83-C83</f>
        <v/>
      </c>
    </row>
    <row r="84">
      <c r="A84" s="12" t="inlineStr">
        <is>
          <t>63110</t>
        </is>
      </c>
      <c r="B84" s="12" t="inlineStr">
        <is>
          <t>PRIME COTISABLE</t>
        </is>
      </c>
      <c r="C84" s="25" t="n">
        <v>3658478.79</v>
      </c>
      <c r="D84" s="25" t="n">
        <v>3767087.54</v>
      </c>
      <c r="E84" s="30">
        <f>D84-C84</f>
        <v/>
      </c>
    </row>
    <row r="85">
      <c r="A85" s="12" t="inlineStr">
        <is>
          <t>63120</t>
        </is>
      </c>
      <c r="B85" s="12" t="inlineStr">
        <is>
          <t>PRIME IMPOSABLE</t>
        </is>
      </c>
      <c r="C85" s="25" t="n">
        <v>1139274.76</v>
      </c>
      <c r="D85" s="25" t="n">
        <v>957406.3199999999</v>
      </c>
      <c r="E85" s="30">
        <f>D85-C85</f>
        <v/>
      </c>
    </row>
    <row r="86">
      <c r="A86" s="12" t="inlineStr">
        <is>
          <t>63130</t>
        </is>
      </c>
      <c r="B86" s="12" t="inlineStr">
        <is>
          <t>CONGE</t>
        </is>
      </c>
      <c r="C86" s="25" t="n">
        <v>575527</v>
      </c>
      <c r="D86" s="25" t="n">
        <v>814602.6800000001</v>
      </c>
      <c r="E86" s="30">
        <f>D86-C86</f>
        <v/>
      </c>
    </row>
    <row r="87">
      <c r="A87" s="12" t="inlineStr">
        <is>
          <t>63140</t>
        </is>
      </c>
      <c r="B87" s="12" t="inlineStr">
        <is>
          <t>PRIME N/COTIS ET N/IMPOSABLE</t>
        </is>
      </c>
      <c r="C87" s="25" t="n">
        <v>1681888</v>
      </c>
      <c r="D87" s="25" t="n">
        <v>1167170.91</v>
      </c>
      <c r="E87" s="30">
        <f>D87-C87</f>
        <v/>
      </c>
    </row>
    <row r="88">
      <c r="A88" s="12" t="inlineStr">
        <is>
          <t>63500</t>
        </is>
      </c>
      <c r="B88" s="12" t="inlineStr">
        <is>
          <t>COTISATIONS  S.S. 26 %</t>
        </is>
      </c>
      <c r="C88" s="25" t="n">
        <v>2827536.61</v>
      </c>
      <c r="D88" s="25" t="n">
        <v>2539666.2</v>
      </c>
      <c r="E88" s="30">
        <f>D88-C88</f>
        <v/>
      </c>
    </row>
    <row r="89">
      <c r="A89" s="12" t="inlineStr">
        <is>
          <t>64110</t>
        </is>
      </c>
      <c r="B89" s="12" t="inlineStr">
        <is>
          <t>TAXE D'APRENTISSAGE</t>
        </is>
      </c>
      <c r="C89" s="25" t="n">
        <v>130007</v>
      </c>
      <c r="D89" s="25" t="n">
        <v>121298</v>
      </c>
      <c r="E89" s="30">
        <f>D89-C89</f>
        <v/>
      </c>
    </row>
    <row r="90">
      <c r="A90" s="12" t="inlineStr">
        <is>
          <t>64500</t>
        </is>
      </c>
      <c r="B90" s="12" t="inlineStr">
        <is>
          <t>Autres impôts et taxes (hors i</t>
        </is>
      </c>
      <c r="C90" s="25" t="n">
        <v>0</v>
      </c>
      <c r="D90" s="25" t="n">
        <v>762430</v>
      </c>
      <c r="E90" s="30">
        <f>D90-C90</f>
        <v/>
      </c>
    </row>
    <row r="91">
      <c r="A91" s="12" t="inlineStr">
        <is>
          <t>64520</t>
        </is>
      </c>
      <c r="B91" s="12" t="inlineStr">
        <is>
          <t>DROITS DE TIMBRE</t>
        </is>
      </c>
      <c r="C91" s="25" t="n">
        <v>1581</v>
      </c>
      <c r="D91" s="25" t="n">
        <v>35408</v>
      </c>
      <c r="E91" s="30">
        <f>D91-C91</f>
        <v/>
      </c>
    </row>
    <row r="92">
      <c r="A92" s="12" t="inlineStr">
        <is>
          <t>64580</t>
        </is>
      </c>
      <c r="B92" s="12" t="inlineStr">
        <is>
          <t>AUTRES DROITS,IMP ET TAXES DIV</t>
        </is>
      </c>
      <c r="C92" s="25" t="n">
        <v>168067</v>
      </c>
      <c r="D92" s="25" t="n">
        <v>0</v>
      </c>
      <c r="E92" s="30">
        <f>D92-C92</f>
        <v/>
      </c>
    </row>
    <row r="93">
      <c r="A93" s="12" t="inlineStr">
        <is>
          <t>65600</t>
        </is>
      </c>
      <c r="B93" s="12" t="inlineStr">
        <is>
          <t>AMENDES ET PENALITES,SUBVENTIO</t>
        </is>
      </c>
      <c r="C93" s="25" t="n">
        <v>73764.14</v>
      </c>
      <c r="D93" s="25" t="n">
        <v>101746.09</v>
      </c>
      <c r="E93" s="30">
        <f>D93-C93</f>
        <v/>
      </c>
    </row>
    <row r="94">
      <c r="A94" s="12" t="inlineStr">
        <is>
          <t>65700</t>
        </is>
      </c>
      <c r="B94" s="12" t="inlineStr">
        <is>
          <t>Charges exceptionnelles de ges</t>
        </is>
      </c>
      <c r="C94" s="25" t="n">
        <v>192906.51</v>
      </c>
      <c r="D94" s="25" t="n">
        <v>0.24</v>
      </c>
      <c r="E94" s="30">
        <f>D94-C94</f>
        <v/>
      </c>
    </row>
    <row r="95">
      <c r="A95" s="12" t="inlineStr">
        <is>
          <t>66100</t>
        </is>
      </c>
      <c r="B95" s="12" t="inlineStr">
        <is>
          <t>CHARGES D'INTERETS</t>
        </is>
      </c>
      <c r="C95" s="25" t="n">
        <v>768876.2</v>
      </c>
      <c r="D95" s="25" t="n">
        <v>0</v>
      </c>
      <c r="E95" s="30">
        <f>D95-C95</f>
        <v/>
      </c>
    </row>
    <row r="96">
      <c r="A96" s="12" t="inlineStr">
        <is>
          <t>66600</t>
        </is>
      </c>
      <c r="B96" s="12" t="inlineStr">
        <is>
          <t>PERTES DE CHANGES</t>
        </is>
      </c>
      <c r="C96" s="25" t="n">
        <v>1629647.3</v>
      </c>
      <c r="D96" s="25" t="n">
        <v>1665438.98</v>
      </c>
      <c r="E96" s="30">
        <f>D96-C96</f>
        <v/>
      </c>
    </row>
    <row r="97">
      <c r="A97" s="12" t="inlineStr">
        <is>
          <t>68100</t>
        </is>
      </c>
      <c r="B97" s="12" t="inlineStr">
        <is>
          <t>DOTATIONS AUX AMORTISSEMENTS</t>
        </is>
      </c>
      <c r="C97" s="25" t="n">
        <v>4852169.54</v>
      </c>
      <c r="D97" s="25" t="n">
        <v>5201074.64</v>
      </c>
      <c r="E97" s="30">
        <f>D97-C97</f>
        <v/>
      </c>
    </row>
    <row r="98">
      <c r="A98" s="12" t="inlineStr">
        <is>
          <t>69500</t>
        </is>
      </c>
      <c r="B98" s="12" t="inlineStr">
        <is>
          <t>Impôts sur les bénéfices basés</t>
        </is>
      </c>
      <c r="C98" s="25" t="n">
        <v>9339504</v>
      </c>
      <c r="D98" s="25" t="n">
        <v>6717250.22</v>
      </c>
      <c r="E98" s="30">
        <f>D98-C98</f>
        <v/>
      </c>
    </row>
    <row r="99">
      <c r="A99" s="12" t="inlineStr">
        <is>
          <t>70001</t>
        </is>
      </c>
      <c r="B99" s="12" t="inlineStr">
        <is>
          <t>VENTES M/SES EN GROS TVA</t>
        </is>
      </c>
      <c r="C99" s="25" t="n">
        <v>-285284536</v>
      </c>
      <c r="D99" s="25" t="n">
        <v>-269117095.65</v>
      </c>
      <c r="E99" s="30">
        <f>D99-C99</f>
        <v/>
      </c>
    </row>
    <row r="100">
      <c r="A100" s="12" t="inlineStr">
        <is>
          <t>70602</t>
        </is>
      </c>
      <c r="B100" s="12" t="inlineStr">
        <is>
          <t>AUTRES PRESTATIONS SERVICE TPM</t>
        </is>
      </c>
      <c r="C100" s="25" t="n">
        <v>-34325000</v>
      </c>
      <c r="D100" s="25" t="n">
        <v>-25470000</v>
      </c>
      <c r="E100" s="30">
        <f>D100-C100</f>
        <v/>
      </c>
    </row>
    <row r="101">
      <c r="A101" s="12" t="inlineStr">
        <is>
          <t>75200</t>
        </is>
      </c>
      <c r="B101" s="12" t="inlineStr">
        <is>
          <t>Plus values sur sorties d'acti</t>
        </is>
      </c>
      <c r="C101" s="25" t="n">
        <v>-6000000</v>
      </c>
      <c r="D101" s="25" t="n">
        <v>0</v>
      </c>
      <c r="E101" s="30">
        <f>D101-C101</f>
        <v/>
      </c>
    </row>
    <row r="102">
      <c r="A102" s="12" t="inlineStr">
        <is>
          <t>75700</t>
        </is>
      </c>
      <c r="B102" s="12" t="inlineStr">
        <is>
          <t>PRODUITS EXCEPTIONNELS SUR OPE</t>
        </is>
      </c>
      <c r="C102" s="25" t="n">
        <v>-7.14</v>
      </c>
      <c r="D102" s="25" t="n">
        <v>-1.01</v>
      </c>
      <c r="E102" s="30">
        <f>D102-C102</f>
        <v/>
      </c>
    </row>
    <row r="103">
      <c r="A103" s="12" t="inlineStr">
        <is>
          <t>76600</t>
        </is>
      </c>
      <c r="B103" s="12" t="inlineStr">
        <is>
          <t>GAINS DE CHANGES</t>
        </is>
      </c>
      <c r="C103" s="25" t="n">
        <v>-1190285.72</v>
      </c>
      <c r="D103" s="25" t="n">
        <v>-1769857.13</v>
      </c>
      <c r="E103" s="30">
        <f>D103-C103</f>
        <v/>
      </c>
    </row>
    <row r="104">
      <c r="A104" s="12" t="inlineStr">
        <is>
          <t>76800</t>
        </is>
      </c>
      <c r="B104" s="12" t="inlineStr">
        <is>
          <t>Autres produits financiers</t>
        </is>
      </c>
      <c r="C104" s="25" t="n">
        <v>-28106.95</v>
      </c>
      <c r="D104" s="25" t="n">
        <v>0</v>
      </c>
      <c r="E104" s="30">
        <f>D104-C104</f>
        <v/>
      </c>
    </row>
    <row r="105">
      <c r="B105" s="4" t="inlineStr">
        <is>
          <t>TOTAL (doit être 0 : balance équilibrée)</t>
        </is>
      </c>
      <c r="C105" s="7">
        <f>ROUND(SUM(C5:C104),2)</f>
        <v/>
      </c>
      <c r="D105" s="7">
        <f>ROUND(SUM(D5:D104),2)</f>
        <v/>
      </c>
    </row>
  </sheetData>
  <autoFilter ref="A4:E104"/>
  <pageMargins left="0.75" right="0.75" top="1" bottom="1" header="0.5" footer="0.5"/>
  <pageSetup orientation="landscape" fitToHeight="0"/>
</worksheet>
</file>

<file path=xl/worksheets/sheet11.xml><?xml version="1.0" encoding="utf-8"?>
<worksheet xmlns="http://schemas.openxmlformats.org/spreadsheetml/2006/main">
  <sheetPr>
    <outlinePr summaryBelow="1" summaryRight="1"/>
    <pageSetUpPr fitToPage="1"/>
  </sheetPr>
  <dimension ref="A1:E48"/>
  <sheetViews>
    <sheetView showGridLines="0" workbookViewId="0">
      <selection activeCell="A1" sqref="A1"/>
    </sheetView>
  </sheetViews>
  <sheetFormatPr baseColWidth="8" defaultRowHeight="15"/>
  <cols>
    <col width="48" customWidth="1" min="1" max="1"/>
    <col width="14" customWidth="1" min="2" max="2"/>
    <col width="18" customWidth="1" min="3" max="3"/>
    <col width="18" customWidth="1" min="4" max="4"/>
    <col width="18" customWidth="1" min="5" max="5"/>
  </cols>
  <sheetData>
    <row r="1">
      <c r="A1" s="1" t="inlineStr">
        <is>
          <t>Compte de résultat et bilan simplifiés — 2024 / 2025</t>
        </is>
      </c>
    </row>
    <row r="2">
      <c r="A2" s="2" t="inlineStr">
        <is>
          <t>Calculés par préfixe de compte depuis « Balance 2024-2025 ».</t>
        </is>
      </c>
    </row>
    <row r="4">
      <c r="A4" s="11" t="inlineStr">
        <is>
          <t>Compte de résultat (DA)</t>
        </is>
      </c>
      <c r="B4" s="11" t="inlineStr">
        <is>
          <t>Préfixes</t>
        </is>
      </c>
      <c r="C4" s="11" t="inlineStr">
        <is>
          <t>2024</t>
        </is>
      </c>
      <c r="D4" s="11" t="inlineStr">
        <is>
          <t>2025</t>
        </is>
      </c>
      <c r="E4" s="11" t="inlineStr">
        <is>
          <t>Variation %</t>
        </is>
      </c>
    </row>
    <row r="5">
      <c r="A5" s="12" t="inlineStr">
        <is>
          <t>Chiffre d'affaires</t>
        </is>
      </c>
      <c r="B5" s="12" t="inlineStr">
        <is>
          <t>70</t>
        </is>
      </c>
      <c r="C5" s="30">
        <f>-(SUMPRODUCT((LEFT('Balance 2024-2025'!$A$5:$A$104,2)="70")*'Balance 2024-2025'!C$5:C$104))</f>
        <v/>
      </c>
      <c r="D5" s="30">
        <f>-(SUMPRODUCT((LEFT('Balance 2024-2025'!$A$5:$A$104,2)="70")*'Balance 2024-2025'!D$5:D$104))</f>
        <v/>
      </c>
      <c r="E5" s="19">
        <f>IF(C5=0,"",D5/C5-1)</f>
        <v/>
      </c>
    </row>
    <row r="6">
      <c r="A6" s="12" t="inlineStr">
        <is>
          <t>Autres produits opérationnels</t>
        </is>
      </c>
      <c r="B6" s="12" t="inlineStr">
        <is>
          <t>75</t>
        </is>
      </c>
      <c r="C6" s="30">
        <f>-(SUMPRODUCT((LEFT('Balance 2024-2025'!$A$5:$A$104,2)="75")*'Balance 2024-2025'!C$5:C$104))</f>
        <v/>
      </c>
      <c r="D6" s="30">
        <f>-(SUMPRODUCT((LEFT('Balance 2024-2025'!$A$5:$A$104,2)="75")*'Balance 2024-2025'!D$5:D$104))</f>
        <v/>
      </c>
      <c r="E6" s="19">
        <f>IF(C6=0,"",D6/C6-1)</f>
        <v/>
      </c>
    </row>
    <row r="7">
      <c r="A7" s="12" t="inlineStr">
        <is>
          <t>Produits financiers</t>
        </is>
      </c>
      <c r="B7" s="12" t="inlineStr">
        <is>
          <t>76</t>
        </is>
      </c>
      <c r="C7" s="30">
        <f>-(SUMPRODUCT((LEFT('Balance 2024-2025'!$A$5:$A$104,2)="76")*'Balance 2024-2025'!C$5:C$104))</f>
        <v/>
      </c>
      <c r="D7" s="30">
        <f>-(SUMPRODUCT((LEFT('Balance 2024-2025'!$A$5:$A$104,2)="76")*'Balance 2024-2025'!D$5:D$104))</f>
        <v/>
      </c>
      <c r="E7" s="19">
        <f>IF(C7=0,"",D7/C7-1)</f>
        <v/>
      </c>
    </row>
    <row r="8">
      <c r="A8" s="12" t="inlineStr">
        <is>
          <t>Achats consommés</t>
        </is>
      </c>
      <c r="B8" s="12" t="inlineStr">
        <is>
          <t>60</t>
        </is>
      </c>
      <c r="C8" s="30">
        <f>(SUMPRODUCT((LEFT('Balance 2024-2025'!$A$5:$A$104,2)="60")*'Balance 2024-2025'!C$5:C$104))</f>
        <v/>
      </c>
      <c r="D8" s="30">
        <f>(SUMPRODUCT((LEFT('Balance 2024-2025'!$A$5:$A$104,2)="60")*'Balance 2024-2025'!D$5:D$104))</f>
        <v/>
      </c>
      <c r="E8" s="19">
        <f>IF(C8=0,"",D8/C8-1)</f>
        <v/>
      </c>
    </row>
    <row r="9">
      <c r="A9" s="12" t="inlineStr">
        <is>
          <t>Services extérieurs et autres</t>
        </is>
      </c>
      <c r="B9" s="12" t="inlineStr">
        <is>
          <t>61, 62</t>
        </is>
      </c>
      <c r="C9" s="30">
        <f>(SUMPRODUCT((LEFT('Balance 2024-2025'!$A$5:$A$104,2)="61")*'Balance 2024-2025'!C$5:C$104)+SUMPRODUCT((LEFT('Balance 2024-2025'!$A$5:$A$104,2)="62")*'Balance 2024-2025'!C$5:C$104))</f>
        <v/>
      </c>
      <c r="D9" s="30">
        <f>(SUMPRODUCT((LEFT('Balance 2024-2025'!$A$5:$A$104,2)="61")*'Balance 2024-2025'!D$5:D$104)+SUMPRODUCT((LEFT('Balance 2024-2025'!$A$5:$A$104,2)="62")*'Balance 2024-2025'!D$5:D$104))</f>
        <v/>
      </c>
      <c r="E9" s="19">
        <f>IF(C9=0,"",D9/C9-1)</f>
        <v/>
      </c>
    </row>
    <row r="10">
      <c r="A10" s="12" t="inlineStr">
        <is>
          <t>Charges de personnel</t>
        </is>
      </c>
      <c r="B10" s="12" t="inlineStr">
        <is>
          <t>63</t>
        </is>
      </c>
      <c r="C10" s="30">
        <f>(SUMPRODUCT((LEFT('Balance 2024-2025'!$A$5:$A$104,2)="63")*'Balance 2024-2025'!C$5:C$104))</f>
        <v/>
      </c>
      <c r="D10" s="30">
        <f>(SUMPRODUCT((LEFT('Balance 2024-2025'!$A$5:$A$104,2)="63")*'Balance 2024-2025'!D$5:D$104))</f>
        <v/>
      </c>
      <c r="E10" s="19">
        <f>IF(C10=0,"",D10/C10-1)</f>
        <v/>
      </c>
    </row>
    <row r="11">
      <c r="A11" s="12" t="inlineStr">
        <is>
          <t>Impôts, taxes et versements assimilés</t>
        </is>
      </c>
      <c r="B11" s="12" t="inlineStr">
        <is>
          <t>64</t>
        </is>
      </c>
      <c r="C11" s="30">
        <f>(SUMPRODUCT((LEFT('Balance 2024-2025'!$A$5:$A$104,2)="64")*'Balance 2024-2025'!C$5:C$104))</f>
        <v/>
      </c>
      <c r="D11" s="30">
        <f>(SUMPRODUCT((LEFT('Balance 2024-2025'!$A$5:$A$104,2)="64")*'Balance 2024-2025'!D$5:D$104))</f>
        <v/>
      </c>
      <c r="E11" s="19">
        <f>IF(C11=0,"",D11/C11-1)</f>
        <v/>
      </c>
    </row>
    <row r="12">
      <c r="A12" s="12" t="inlineStr">
        <is>
          <t>Autres charges opérationnelles</t>
        </is>
      </c>
      <c r="B12" s="12" t="inlineStr">
        <is>
          <t>65</t>
        </is>
      </c>
      <c r="C12" s="30">
        <f>(SUMPRODUCT((LEFT('Balance 2024-2025'!$A$5:$A$104,2)="65")*'Balance 2024-2025'!C$5:C$104))</f>
        <v/>
      </c>
      <c r="D12" s="30">
        <f>(SUMPRODUCT((LEFT('Balance 2024-2025'!$A$5:$A$104,2)="65")*'Balance 2024-2025'!D$5:D$104))</f>
        <v/>
      </c>
      <c r="E12" s="19">
        <f>IF(C12=0,"",D12/C12-1)</f>
        <v/>
      </c>
    </row>
    <row r="13">
      <c r="A13" s="12" t="inlineStr">
        <is>
          <t>Charges financières</t>
        </is>
      </c>
      <c r="B13" s="12" t="inlineStr">
        <is>
          <t>66</t>
        </is>
      </c>
      <c r="C13" s="30">
        <f>(SUMPRODUCT((LEFT('Balance 2024-2025'!$A$5:$A$104,2)="66")*'Balance 2024-2025'!C$5:C$104))</f>
        <v/>
      </c>
      <c r="D13" s="30">
        <f>(SUMPRODUCT((LEFT('Balance 2024-2025'!$A$5:$A$104,2)="66")*'Balance 2024-2025'!D$5:D$104))</f>
        <v/>
      </c>
      <c r="E13" s="19">
        <f>IF(C13=0,"",D13/C13-1)</f>
        <v/>
      </c>
    </row>
    <row r="14">
      <c r="A14" s="12" t="inlineStr">
        <is>
          <t>Dotations aux amortissements</t>
        </is>
      </c>
      <c r="B14" s="12" t="inlineStr">
        <is>
          <t>68</t>
        </is>
      </c>
      <c r="C14" s="30">
        <f>(SUMPRODUCT((LEFT('Balance 2024-2025'!$A$5:$A$104,2)="68")*'Balance 2024-2025'!C$5:C$104))</f>
        <v/>
      </c>
      <c r="D14" s="30">
        <f>(SUMPRODUCT((LEFT('Balance 2024-2025'!$A$5:$A$104,2)="68")*'Balance 2024-2025'!D$5:D$104))</f>
        <v/>
      </c>
      <c r="E14" s="19">
        <f>IF(C14=0,"",D14/C14-1)</f>
        <v/>
      </c>
    </row>
    <row r="15">
      <c r="A15" s="12" t="inlineStr">
        <is>
          <t>Impôt sur les bénéfices (IBS)</t>
        </is>
      </c>
      <c r="B15" s="12" t="inlineStr">
        <is>
          <t>69</t>
        </is>
      </c>
      <c r="C15" s="30">
        <f>(SUMPRODUCT((LEFT('Balance 2024-2025'!$A$5:$A$104,2)="69")*'Balance 2024-2025'!C$5:C$104))</f>
        <v/>
      </c>
      <c r="D15" s="30">
        <f>(SUMPRODUCT((LEFT('Balance 2024-2025'!$A$5:$A$104,2)="69")*'Balance 2024-2025'!D$5:D$104))</f>
        <v/>
      </c>
      <c r="E15" s="19">
        <f>IF(C15=0,"",D15/C15-1)</f>
        <v/>
      </c>
    </row>
    <row r="16">
      <c r="A16" s="4" t="inlineStr">
        <is>
          <t>RÉSULTAT NET</t>
        </is>
      </c>
      <c r="C16" s="7">
        <f>SUM(C5:C7)-SUM(C8:C15)</f>
        <v/>
      </c>
      <c r="D16" s="7">
        <f>SUM(D5:D7)-SUM(D8:D15)</f>
        <v/>
      </c>
      <c r="E16" s="38">
        <f>IF(C16=0,"",D16/C16-1)</f>
        <v/>
      </c>
    </row>
    <row r="17">
      <c r="A17" s="21" t="inlineStr">
        <is>
          <t>Contrôle : −(classes 6 + 7) − résultat (doit être 0)</t>
        </is>
      </c>
      <c r="C17" s="30">
        <f>ROUND(-(SUMPRODUCT((LEFT('Balance 2024-2025'!$A$5:$A$104,1)="6")*'Balance 2024-2025'!C$5:C$104)+SUMPRODUCT((LEFT('Balance 2024-2025'!$A$5:$A$104,1)="7")*'Balance 2024-2025'!C$5:C$104))-C16,2)</f>
        <v/>
      </c>
      <c r="D17" s="30">
        <f>ROUND(-(SUMPRODUCT((LEFT('Balance 2024-2025'!$A$5:$A$104,1)="6")*'Balance 2024-2025'!D$5:D$104)+SUMPRODUCT((LEFT('Balance 2024-2025'!$A$5:$A$104,1)="7")*'Balance 2024-2025'!D$5:D$104))-D16,2)</f>
        <v/>
      </c>
    </row>
    <row r="19">
      <c r="A19" s="11" t="inlineStr">
        <is>
          <t>Indicateurs</t>
        </is>
      </c>
      <c r="B19" s="11" t="inlineStr"/>
      <c r="C19" s="11" t="inlineStr">
        <is>
          <t>2024</t>
        </is>
      </c>
      <c r="D19" s="11" t="inlineStr">
        <is>
          <t>2025</t>
        </is>
      </c>
      <c r="E19" s="11" t="inlineStr"/>
    </row>
    <row r="20">
      <c r="A20" s="12" t="inlineStr">
        <is>
          <t>Résultat avant impôt</t>
        </is>
      </c>
      <c r="C20" s="30">
        <f>C16+C15</f>
        <v/>
      </c>
      <c r="D20" s="30">
        <f>D16+D15</f>
        <v/>
      </c>
    </row>
    <row r="21">
      <c r="A21" s="12" t="inlineStr">
        <is>
          <t>Taux effectif IBS</t>
        </is>
      </c>
      <c r="C21" s="19">
        <f>IF(C20=0,"",C15/C20)</f>
        <v/>
      </c>
      <c r="D21" s="19">
        <f>IF(D20=0,"",D15/D20)</f>
        <v/>
      </c>
    </row>
    <row r="22">
      <c r="A22" s="12" t="inlineStr">
        <is>
          <t>Marge nette (résultat / CA)</t>
        </is>
      </c>
      <c r="C22" s="19">
        <f>C16/C5</f>
        <v/>
      </c>
      <c r="D22" s="19">
        <f>D16/D5</f>
        <v/>
      </c>
    </row>
    <row r="23">
      <c r="A23" s="12" t="inlineStr">
        <is>
          <t>Charges de personnel / CA</t>
        </is>
      </c>
      <c r="C23" s="19">
        <f>C10/C5</f>
        <v/>
      </c>
      <c r="D23" s="19">
        <f>D10/D5</f>
        <v/>
      </c>
    </row>
    <row r="24">
      <c r="A24" s="12" t="inlineStr">
        <is>
          <t>Primes « imposables non cotisables » (63120)</t>
        </is>
      </c>
      <c r="C24" s="30">
        <f>SUMPRODUCT((LEFT('Balance 2024-2025'!$A$5:$A$104,5)="63120")*'Balance 2024-2025'!C$5:C$104)</f>
        <v/>
      </c>
      <c r="D24" s="30">
        <f>SUMPRODUCT((LEFT('Balance 2024-2025'!$A$5:$A$104,5)="63120")*'Balance 2024-2025'!D$5:D$104)</f>
        <v/>
      </c>
    </row>
    <row r="25">
      <c r="A25" s="12" t="inlineStr">
        <is>
          <t>Cotisations CNAS potentielles sur 63120 (35 %)</t>
        </is>
      </c>
      <c r="C25" s="30">
        <f>ROUND(C24*(Paramètres!$B$5+Paramètres!$B$6),2)</f>
        <v/>
      </c>
      <c r="D25" s="30">
        <f>ROUND(D24*(Paramètres!$B$5+Paramètres!$B$6),2)</f>
        <v/>
      </c>
    </row>
    <row r="27">
      <c r="A27" s="11" t="inlineStr">
        <is>
          <t>Bilan — soldes par groupe (débit + / crédit −)</t>
        </is>
      </c>
      <c r="B27" s="11" t="inlineStr">
        <is>
          <t>Préfixes</t>
        </is>
      </c>
      <c r="C27" s="11" t="inlineStr">
        <is>
          <t>31/12/2024</t>
        </is>
      </c>
      <c r="D27" s="11" t="inlineStr">
        <is>
          <t>31/12/2025</t>
        </is>
      </c>
      <c r="E27" s="11" t="inlineStr">
        <is>
          <t>Variation</t>
        </is>
      </c>
    </row>
    <row r="28">
      <c r="A28" s="12" t="inlineStr">
        <is>
          <t>Capitaux propres (capital, réserves, RAN)</t>
        </is>
      </c>
      <c r="B28" s="12" t="inlineStr">
        <is>
          <t>10, 11</t>
        </is>
      </c>
      <c r="C28" s="30">
        <f>SUMPRODUCT((LEFT('Balance 2024-2025'!$A$5:$A$104,2)="10")*'Balance 2024-2025'!C$5:C$104)+SUMPRODUCT((LEFT('Balance 2024-2025'!$A$5:$A$104,2)="11")*'Balance 2024-2025'!C$5:C$104)</f>
        <v/>
      </c>
      <c r="D28" s="30">
        <f>SUMPRODUCT((LEFT('Balance 2024-2025'!$A$5:$A$104,2)="10")*'Balance 2024-2025'!D$5:D$104)+SUMPRODUCT((LEFT('Balance 2024-2025'!$A$5:$A$104,2)="11")*'Balance 2024-2025'!D$5:D$104)</f>
        <v/>
      </c>
      <c r="E28" s="30">
        <f>D28-C28</f>
        <v/>
      </c>
    </row>
    <row r="29">
      <c r="A29" s="12" t="inlineStr">
        <is>
          <t>Résultat en instance d'affectation</t>
        </is>
      </c>
      <c r="B29" s="12" t="inlineStr">
        <is>
          <t>12</t>
        </is>
      </c>
      <c r="C29" s="30">
        <f>SUMPRODUCT((LEFT('Balance 2024-2025'!$A$5:$A$104,2)="12")*'Balance 2024-2025'!C$5:C$104)</f>
        <v/>
      </c>
      <c r="D29" s="30">
        <f>SUMPRODUCT((LEFT('Balance 2024-2025'!$A$5:$A$104,2)="12")*'Balance 2024-2025'!D$5:D$104)</f>
        <v/>
      </c>
      <c r="E29" s="30">
        <f>D29-C29</f>
        <v/>
      </c>
    </row>
    <row r="30">
      <c r="A30" s="12" t="inlineStr">
        <is>
          <t>Immobilisations nettes</t>
        </is>
      </c>
      <c r="B30" s="12" t="inlineStr">
        <is>
          <t>2</t>
        </is>
      </c>
      <c r="C30" s="30">
        <f>SUMPRODUCT((LEFT('Balance 2024-2025'!$A$5:$A$104,1)="2")*'Balance 2024-2025'!C$5:C$104)</f>
        <v/>
      </c>
      <c r="D30" s="30">
        <f>SUMPRODUCT((LEFT('Balance 2024-2025'!$A$5:$A$104,1)="2")*'Balance 2024-2025'!D$5:D$104)</f>
        <v/>
      </c>
      <c r="E30" s="30">
        <f>D30-C30</f>
        <v/>
      </c>
    </row>
    <row r="31">
      <c r="A31" s="12" t="inlineStr">
        <is>
          <t>Stocks</t>
        </is>
      </c>
      <c r="B31" s="12" t="inlineStr">
        <is>
          <t>3</t>
        </is>
      </c>
      <c r="C31" s="30">
        <f>SUMPRODUCT((LEFT('Balance 2024-2025'!$A$5:$A$104,1)="3")*'Balance 2024-2025'!C$5:C$104)</f>
        <v/>
      </c>
      <c r="D31" s="30">
        <f>SUMPRODUCT((LEFT('Balance 2024-2025'!$A$5:$A$104,1)="3")*'Balance 2024-2025'!D$5:D$104)</f>
        <v/>
      </c>
      <c r="E31" s="30">
        <f>D31-C31</f>
        <v/>
      </c>
    </row>
    <row r="32">
      <c r="A32" s="12" t="inlineStr">
        <is>
          <t>Fournisseurs</t>
        </is>
      </c>
      <c r="B32" s="12" t="inlineStr">
        <is>
          <t>401, 404</t>
        </is>
      </c>
      <c r="C32" s="30">
        <f>SUMPRODUCT((LEFT('Balance 2024-2025'!$A$5:$A$104,3)="401")*'Balance 2024-2025'!C$5:C$104)+SUMPRODUCT((LEFT('Balance 2024-2025'!$A$5:$A$104,3)="404")*'Balance 2024-2025'!C$5:C$104)</f>
        <v/>
      </c>
      <c r="D32" s="30">
        <f>SUMPRODUCT((LEFT('Balance 2024-2025'!$A$5:$A$104,3)="401")*'Balance 2024-2025'!D$5:D$104)+SUMPRODUCT((LEFT('Balance 2024-2025'!$A$5:$A$104,3)="404")*'Balance 2024-2025'!D$5:D$104)</f>
        <v/>
      </c>
      <c r="E32" s="30">
        <f>D32-C32</f>
        <v/>
      </c>
    </row>
    <row r="33">
      <c r="A33" s="12" t="inlineStr">
        <is>
          <t>Fournisseurs débiteurs (avances)</t>
        </is>
      </c>
      <c r="B33" s="12" t="inlineStr">
        <is>
          <t>409</t>
        </is>
      </c>
      <c r="C33" s="30">
        <f>SUMPRODUCT((LEFT('Balance 2024-2025'!$A$5:$A$104,3)="409")*'Balance 2024-2025'!C$5:C$104)</f>
        <v/>
      </c>
      <c r="D33" s="30">
        <f>SUMPRODUCT((LEFT('Balance 2024-2025'!$A$5:$A$104,3)="409")*'Balance 2024-2025'!D$5:D$104)</f>
        <v/>
      </c>
      <c r="E33" s="30">
        <f>D33-C33</f>
        <v/>
      </c>
    </row>
    <row r="34">
      <c r="A34" s="12" t="inlineStr">
        <is>
          <t>Clients</t>
        </is>
      </c>
      <c r="B34" s="12" t="inlineStr">
        <is>
          <t>411</t>
        </is>
      </c>
      <c r="C34" s="30">
        <f>SUMPRODUCT((LEFT('Balance 2024-2025'!$A$5:$A$104,3)="411")*'Balance 2024-2025'!C$5:C$104)</f>
        <v/>
      </c>
      <c r="D34" s="30">
        <f>SUMPRODUCT((LEFT('Balance 2024-2025'!$A$5:$A$104,3)="411")*'Balance 2024-2025'!D$5:D$104)</f>
        <v/>
      </c>
      <c r="E34" s="30">
        <f>D34-C34</f>
        <v/>
      </c>
    </row>
    <row r="35">
      <c r="A35" s="12" t="inlineStr">
        <is>
          <t>Clients créditeurs / avances reçues</t>
        </is>
      </c>
      <c r="B35" s="12" t="inlineStr">
        <is>
          <t>419</t>
        </is>
      </c>
      <c r="C35" s="30">
        <f>SUMPRODUCT((LEFT('Balance 2024-2025'!$A$5:$A$104,3)="419")*'Balance 2024-2025'!C$5:C$104)</f>
        <v/>
      </c>
      <c r="D35" s="30">
        <f>SUMPRODUCT((LEFT('Balance 2024-2025'!$A$5:$A$104,3)="419")*'Balance 2024-2025'!D$5:D$104)</f>
        <v/>
      </c>
      <c r="E35" s="30">
        <f>D35-C35</f>
        <v/>
      </c>
    </row>
    <row r="36">
      <c r="A36" s="12" t="inlineStr">
        <is>
          <t>Personnel</t>
        </is>
      </c>
      <c r="B36" s="12" t="inlineStr">
        <is>
          <t>42</t>
        </is>
      </c>
      <c r="C36" s="30">
        <f>SUMPRODUCT((LEFT('Balance 2024-2025'!$A$5:$A$104,2)="42")*'Balance 2024-2025'!C$5:C$104)</f>
        <v/>
      </c>
      <c r="D36" s="30">
        <f>SUMPRODUCT((LEFT('Balance 2024-2025'!$A$5:$A$104,2)="42")*'Balance 2024-2025'!D$5:D$104)</f>
        <v/>
      </c>
      <c r="E36" s="30">
        <f>D36-C36</f>
        <v/>
      </c>
    </row>
    <row r="37">
      <c r="A37" s="12" t="inlineStr">
        <is>
          <t>Organismes sociaux</t>
        </is>
      </c>
      <c r="B37" s="12" t="inlineStr">
        <is>
          <t>43</t>
        </is>
      </c>
      <c r="C37" s="30">
        <f>SUMPRODUCT((LEFT('Balance 2024-2025'!$A$5:$A$104,2)="43")*'Balance 2024-2025'!C$5:C$104)</f>
        <v/>
      </c>
      <c r="D37" s="30">
        <f>SUMPRODUCT((LEFT('Balance 2024-2025'!$A$5:$A$104,2)="43")*'Balance 2024-2025'!D$5:D$104)</f>
        <v/>
      </c>
      <c r="E37" s="30">
        <f>D37-C37</f>
        <v/>
      </c>
    </row>
    <row r="38">
      <c r="A38" s="12" t="inlineStr">
        <is>
          <t>IBS (dette 444 + acomptes 4441)</t>
        </is>
      </c>
      <c r="B38" s="12" t="inlineStr">
        <is>
          <t>444</t>
        </is>
      </c>
      <c r="C38" s="30">
        <f>SUMPRODUCT((LEFT('Balance 2024-2025'!$A$5:$A$104,3)="444")*'Balance 2024-2025'!C$5:C$104)</f>
        <v/>
      </c>
      <c r="D38" s="30">
        <f>SUMPRODUCT((LEFT('Balance 2024-2025'!$A$5:$A$104,3)="444")*'Balance 2024-2025'!D$5:D$104)</f>
        <v/>
      </c>
      <c r="E38" s="30">
        <f>D38-C38</f>
        <v/>
      </c>
    </row>
    <row r="39">
      <c r="A39" s="12" t="inlineStr">
        <is>
          <t>IRG retenu, TVA et autres impôts</t>
        </is>
      </c>
      <c r="B39" s="12" t="inlineStr">
        <is>
          <t>442, 445, 447</t>
        </is>
      </c>
      <c r="C39" s="30">
        <f>SUMPRODUCT((LEFT('Balance 2024-2025'!$A$5:$A$104,3)="442")*'Balance 2024-2025'!C$5:C$104)+SUMPRODUCT((LEFT('Balance 2024-2025'!$A$5:$A$104,3)="445")*'Balance 2024-2025'!C$5:C$104)+SUMPRODUCT((LEFT('Balance 2024-2025'!$A$5:$A$104,3)="447")*'Balance 2024-2025'!C$5:C$104)</f>
        <v/>
      </c>
      <c r="D39" s="30">
        <f>SUMPRODUCT((LEFT('Balance 2024-2025'!$A$5:$A$104,3)="442")*'Balance 2024-2025'!D$5:D$104)+SUMPRODUCT((LEFT('Balance 2024-2025'!$A$5:$A$104,3)="445")*'Balance 2024-2025'!D$5:D$104)+SUMPRODUCT((LEFT('Balance 2024-2025'!$A$5:$A$104,3)="447")*'Balance 2024-2025'!D$5:D$104)</f>
        <v/>
      </c>
      <c r="E39" s="30">
        <f>D39-C39</f>
        <v/>
      </c>
    </row>
    <row r="40">
      <c r="A40" s="12" t="inlineStr">
        <is>
          <t>Associés — comptes courants</t>
        </is>
      </c>
      <c r="B40" s="12" t="inlineStr">
        <is>
          <t>455, 457</t>
        </is>
      </c>
      <c r="C40" s="30">
        <f>SUMPRODUCT((LEFT('Balance 2024-2025'!$A$5:$A$104,3)="455")*'Balance 2024-2025'!C$5:C$104)+SUMPRODUCT((LEFT('Balance 2024-2025'!$A$5:$A$104,3)="457")*'Balance 2024-2025'!C$5:C$104)</f>
        <v/>
      </c>
      <c r="D40" s="30">
        <f>SUMPRODUCT((LEFT('Balance 2024-2025'!$A$5:$A$104,3)="455")*'Balance 2024-2025'!D$5:D$104)+SUMPRODUCT((LEFT('Balance 2024-2025'!$A$5:$A$104,3)="457")*'Balance 2024-2025'!D$5:D$104)</f>
        <v/>
      </c>
      <c r="E40" s="30">
        <f>D40-C40</f>
        <v/>
      </c>
    </row>
    <row r="41">
      <c r="A41" s="12" t="inlineStr">
        <is>
          <t>Autres débiteurs, attente, régularisation</t>
        </is>
      </c>
      <c r="B41" s="12" t="inlineStr">
        <is>
          <t>458, 47, 48</t>
        </is>
      </c>
      <c r="C41" s="30">
        <f>SUMPRODUCT((LEFT('Balance 2024-2025'!$A$5:$A$104,3)="458")*'Balance 2024-2025'!C$5:C$104)+SUMPRODUCT((LEFT('Balance 2024-2025'!$A$5:$A$104,2)="47")*'Balance 2024-2025'!C$5:C$104)+SUMPRODUCT((LEFT('Balance 2024-2025'!$A$5:$A$104,2)="48")*'Balance 2024-2025'!C$5:C$104)</f>
        <v/>
      </c>
      <c r="D41" s="30">
        <f>SUMPRODUCT((LEFT('Balance 2024-2025'!$A$5:$A$104,3)="458")*'Balance 2024-2025'!D$5:D$104)+SUMPRODUCT((LEFT('Balance 2024-2025'!$A$5:$A$104,2)="47")*'Balance 2024-2025'!D$5:D$104)+SUMPRODUCT((LEFT('Balance 2024-2025'!$A$5:$A$104,2)="48")*'Balance 2024-2025'!D$5:D$104)</f>
        <v/>
      </c>
      <c r="E41" s="30">
        <f>D41-C41</f>
        <v/>
      </c>
    </row>
    <row r="42">
      <c r="A42" s="12" t="inlineStr">
        <is>
          <t>Banques</t>
        </is>
      </c>
      <c r="B42" s="12" t="inlineStr">
        <is>
          <t>512</t>
        </is>
      </c>
      <c r="C42" s="30">
        <f>SUMPRODUCT((LEFT('Balance 2024-2025'!$A$5:$A$104,3)="512")*'Balance 2024-2025'!C$5:C$104)</f>
        <v/>
      </c>
      <c r="D42" s="30">
        <f>SUMPRODUCT((LEFT('Balance 2024-2025'!$A$5:$A$104,3)="512")*'Balance 2024-2025'!D$5:D$104)</f>
        <v/>
      </c>
      <c r="E42" s="30">
        <f>D42-C42</f>
        <v/>
      </c>
    </row>
    <row r="43">
      <c r="A43" s="12" t="inlineStr">
        <is>
          <t>Concours bancaires courants</t>
        </is>
      </c>
      <c r="B43" s="12" t="inlineStr">
        <is>
          <t>519</t>
        </is>
      </c>
      <c r="C43" s="30">
        <f>SUMPRODUCT((LEFT('Balance 2024-2025'!$A$5:$A$104,3)="519")*'Balance 2024-2025'!C$5:C$104)</f>
        <v/>
      </c>
      <c r="D43" s="30">
        <f>SUMPRODUCT((LEFT('Balance 2024-2025'!$A$5:$A$104,3)="519")*'Balance 2024-2025'!D$5:D$104)</f>
        <v/>
      </c>
      <c r="E43" s="30">
        <f>D43-C43</f>
        <v/>
      </c>
    </row>
    <row r="44">
      <c r="A44" s="12" t="inlineStr">
        <is>
          <t>Caisse</t>
        </is>
      </c>
      <c r="B44" s="12" t="inlineStr">
        <is>
          <t>53</t>
        </is>
      </c>
      <c r="C44" s="30">
        <f>SUMPRODUCT((LEFT('Balance 2024-2025'!$A$5:$A$104,2)="53")*'Balance 2024-2025'!C$5:C$104)</f>
        <v/>
      </c>
      <c r="D44" s="30">
        <f>SUMPRODUCT((LEFT('Balance 2024-2025'!$A$5:$A$104,2)="53")*'Balance 2024-2025'!D$5:D$104)</f>
        <v/>
      </c>
      <c r="E44" s="30">
        <f>D44-C44</f>
        <v/>
      </c>
    </row>
    <row r="45">
      <c r="A45" s="12" t="inlineStr">
        <is>
          <t>Accréditifs</t>
        </is>
      </c>
      <c r="B45" s="12" t="inlineStr">
        <is>
          <t>54</t>
        </is>
      </c>
      <c r="C45" s="30">
        <f>SUMPRODUCT((LEFT('Balance 2024-2025'!$A$5:$A$104,2)="54")*'Balance 2024-2025'!C$5:C$104)</f>
        <v/>
      </c>
      <c r="D45" s="30">
        <f>SUMPRODUCT((LEFT('Balance 2024-2025'!$A$5:$A$104,2)="54")*'Balance 2024-2025'!D$5:D$104)</f>
        <v/>
      </c>
      <c r="E45" s="30">
        <f>D45-C45</f>
        <v/>
      </c>
    </row>
    <row r="46">
      <c r="A46" s="21" t="inlineStr">
        <is>
          <t>Contrôle : somme des groupes − résultat (doit être 0)</t>
        </is>
      </c>
      <c r="C46" s="30">
        <f>ROUND(SUM(C28:C45)-C16,2)</f>
        <v/>
      </c>
      <c r="D46" s="30">
        <f>ROUND(SUM(D28:D45)-D16,2)</f>
        <v/>
      </c>
    </row>
    <row r="48">
      <c r="A48" s="2" t="inlineStr">
        <is>
          <t>Le 2024 « Résultat en instance » est à 0 car la balance 2024 est avant affectation ; le résultat 2024 (29,15 M) a été affecté le 28/05/2025 (réserve légale 5 % + réserves facultatives).</t>
        </is>
      </c>
    </row>
  </sheetData>
  <pageMargins left="0.75" right="0.75" top="1" bottom="1" header="0.5" footer="0.5"/>
  <pageSetup orientation="landscape" fitToHeight="0"/>
</worksheet>
</file>

<file path=xl/worksheets/sheet12.xml><?xml version="1.0" encoding="utf-8"?>
<worksheet xmlns="http://schemas.openxmlformats.org/spreadsheetml/2006/main">
  <sheetPr>
    <outlinePr summaryBelow="1" summaryRight="1"/>
    <pageSetUpPr fitToPage="1"/>
  </sheetPr>
  <dimension ref="A1:K24"/>
  <sheetViews>
    <sheetView showGridLines="0" workbookViewId="0">
      <selection activeCell="A1" sqref="A1"/>
    </sheetView>
  </sheetViews>
  <sheetFormatPr baseColWidth="8" defaultRowHeight="15"/>
  <cols>
    <col width="5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48" customWidth="1" min="11" max="11"/>
  </cols>
  <sheetData>
    <row r="1">
      <c r="A1" s="1" t="inlineStr">
        <is>
          <t>Contrôle des G50 « TPM et location » consolidées 2026 (même NIF 000306018423274)</t>
        </is>
      </c>
    </row>
    <row r="2">
      <c r="A2" s="2" t="inlineStr">
        <is>
          <t>Sources : G50_01 à 08-2026_TPM_ET_LOCATION_CONSOLIDE.xls. Activité portée : transport et distribution de toutes marchandises.</t>
        </is>
      </c>
    </row>
    <row r="4">
      <c r="A4" s="11" t="inlineStr">
        <is>
          <t>Rubrique</t>
        </is>
      </c>
      <c r="B4" s="11" t="inlineStr">
        <is>
          <t>Janv 2026</t>
        </is>
      </c>
      <c r="C4" s="11" t="inlineStr">
        <is>
          <t>Févr 2026</t>
        </is>
      </c>
      <c r="D4" s="11" t="inlineStr">
        <is>
          <t>Mars 2026</t>
        </is>
      </c>
      <c r="E4" s="11" t="inlineStr">
        <is>
          <t>Avril 2026</t>
        </is>
      </c>
      <c r="F4" s="11" t="inlineStr">
        <is>
          <t>Mai 2026</t>
        </is>
      </c>
      <c r="G4" s="11" t="inlineStr">
        <is>
          <t>Juin 2026</t>
        </is>
      </c>
      <c r="H4" s="11" t="inlineStr">
        <is>
          <t>Juil 2026</t>
        </is>
      </c>
      <c r="I4" s="11" t="inlineStr">
        <is>
          <t>Août 2026</t>
        </is>
      </c>
      <c r="J4" s="11" t="inlineStr">
        <is>
          <t>Cumul</t>
        </is>
      </c>
      <c r="K4" s="11" t="inlineStr">
        <is>
          <t>Commentaire</t>
        </is>
      </c>
    </row>
    <row r="5">
      <c r="A5" s="12" t="inlineStr">
        <is>
          <t>Mois imprimé sur la G50</t>
        </is>
      </c>
      <c r="B5" s="22" t="inlineStr">
        <is>
          <t>JANVIER</t>
        </is>
      </c>
      <c r="C5" s="22" t="inlineStr">
        <is>
          <t>FEVRIER</t>
        </is>
      </c>
      <c r="D5" s="22" t="inlineStr">
        <is>
          <t>MARS</t>
        </is>
      </c>
      <c r="E5" s="22" t="inlineStr">
        <is>
          <t>AVRIL</t>
        </is>
      </c>
      <c r="F5" s="22" t="inlineStr">
        <is>
          <t>AVRIL</t>
        </is>
      </c>
      <c r="G5" s="22" t="inlineStr">
        <is>
          <t>AVRIL</t>
        </is>
      </c>
      <c r="H5" s="22" t="inlineStr">
        <is>
          <t>AVRIL</t>
        </is>
      </c>
      <c r="I5" s="22" t="inlineStr">
        <is>
          <t>AOUT</t>
        </is>
      </c>
      <c r="J5" s="27" t="n"/>
      <c r="K5" s="35" t="inlineStr">
        <is>
          <t>Avril à juillet : même G50 recopiée (mois « AVRIL »)</t>
        </is>
      </c>
    </row>
    <row r="6">
      <c r="A6" s="12" t="inlineStr">
        <is>
          <t>CA imposable déclaré</t>
        </is>
      </c>
      <c r="B6" s="25" t="n">
        <v>0</v>
      </c>
      <c r="C6" s="25" t="n">
        <v>0</v>
      </c>
      <c r="D6" s="25" t="n">
        <v>0</v>
      </c>
      <c r="E6" s="25" t="n">
        <v>0</v>
      </c>
      <c r="F6" s="25" t="n">
        <v>0</v>
      </c>
      <c r="G6" s="25" t="n">
        <v>0</v>
      </c>
      <c r="H6" s="25" t="n">
        <v>0</v>
      </c>
      <c r="I6" s="25" t="n">
        <v>0</v>
      </c>
      <c r="J6" s="7">
        <f>SUM(B6:I6)</f>
        <v/>
      </c>
      <c r="K6" s="35" t="inlineStr">
        <is>
          <t>Aucun CA TPM / location déclaré</t>
        </is>
      </c>
    </row>
    <row r="7">
      <c r="A7" s="12" t="inlineStr">
        <is>
          <t>TVA collectée déclarée</t>
        </is>
      </c>
      <c r="B7" s="25" t="n">
        <v>0</v>
      </c>
      <c r="C7" s="25" t="n">
        <v>0</v>
      </c>
      <c r="D7" s="25" t="n">
        <v>0</v>
      </c>
      <c r="E7" s="25" t="n">
        <v>0</v>
      </c>
      <c r="F7" s="25" t="n">
        <v>0</v>
      </c>
      <c r="G7" s="25" t="n">
        <v>0</v>
      </c>
      <c r="H7" s="25" t="n">
        <v>0</v>
      </c>
      <c r="I7" s="25" t="n">
        <v>0</v>
      </c>
      <c r="J7" s="7">
        <f>SUM(B7:I7)</f>
        <v/>
      </c>
      <c r="K7" s="35" t="inlineStr"/>
    </row>
    <row r="8">
      <c r="A8" s="12" t="inlineStr">
        <is>
          <t>Précompte antérieur (E3B91)</t>
        </is>
      </c>
      <c r="B8" s="25" t="n">
        <v>1714499</v>
      </c>
      <c r="C8" s="25" t="n">
        <v>1714499</v>
      </c>
      <c r="D8" s="25" t="n">
        <v>1714499</v>
      </c>
      <c r="E8" s="25" t="n">
        <v>1714499</v>
      </c>
      <c r="F8" s="25" t="n">
        <v>1714499</v>
      </c>
      <c r="G8" s="25" t="n">
        <v>1714499</v>
      </c>
      <c r="H8" s="25" t="n">
        <v>1714499</v>
      </c>
      <c r="I8" s="25" t="n">
        <v>1714499</v>
      </c>
      <c r="J8" s="27" t="n"/>
      <c r="K8" s="35" t="inlineStr"/>
    </row>
    <row r="9">
      <c r="A9" s="12" t="inlineStr">
        <is>
          <t>Précompte à reporter (E3B99)</t>
        </is>
      </c>
      <c r="B9" s="25" t="n">
        <v>1714499</v>
      </c>
      <c r="C9" s="25" t="n">
        <v>1714499</v>
      </c>
      <c r="D9" s="25" t="n">
        <v>1714499</v>
      </c>
      <c r="E9" s="25" t="n">
        <v>1714499</v>
      </c>
      <c r="F9" s="25" t="n">
        <v>1714499</v>
      </c>
      <c r="G9" s="25" t="n">
        <v>1714499</v>
      </c>
      <c r="H9" s="25" t="n">
        <v>1714499</v>
      </c>
      <c r="I9" s="25" t="n">
        <v>1714499</v>
      </c>
      <c r="J9" s="27" t="n"/>
      <c r="K9" s="35" t="inlineStr"/>
    </row>
    <row r="10">
      <c r="A10" s="12" t="inlineStr">
        <is>
          <t>Précompte au compte 44550 au 31/12/2025 (comptabilité)</t>
        </is>
      </c>
      <c r="B10" s="6">
        <f>'Balance 2024-2025'!D49</f>
        <v/>
      </c>
      <c r="C10" s="6">
        <f>'Balance 2024-2025'!D49</f>
        <v/>
      </c>
      <c r="D10" s="6">
        <f>'Balance 2024-2025'!D49</f>
        <v/>
      </c>
      <c r="E10" s="6">
        <f>'Balance 2024-2025'!D49</f>
        <v/>
      </c>
      <c r="F10" s="6">
        <f>'Balance 2024-2025'!D49</f>
        <v/>
      </c>
      <c r="G10" s="6">
        <f>'Balance 2024-2025'!D49</f>
        <v/>
      </c>
      <c r="H10" s="6">
        <f>'Balance 2024-2025'!D49</f>
        <v/>
      </c>
      <c r="I10" s="6">
        <f>'Balance 2024-2025'!D49</f>
        <v/>
      </c>
      <c r="J10" s="27" t="n"/>
      <c r="K10" s="35" t="inlineStr">
        <is>
          <t>Identique : crédit reporté depuis 2025</t>
        </is>
      </c>
    </row>
    <row r="11">
      <c r="A11" s="12" t="inlineStr">
        <is>
          <t>IRG salaires — base déclarée</t>
        </is>
      </c>
      <c r="B11" s="25" t="n">
        <v>47391</v>
      </c>
      <c r="C11" s="25" t="n">
        <v>62527</v>
      </c>
      <c r="D11" s="25" t="n">
        <v>85300</v>
      </c>
      <c r="E11" s="25" t="n">
        <v>91763</v>
      </c>
      <c r="F11" s="25" t="n">
        <v>91763</v>
      </c>
      <c r="G11" s="25" t="n">
        <v>91763</v>
      </c>
      <c r="H11" s="25" t="n">
        <v>91763</v>
      </c>
      <c r="I11" s="25" t="n">
        <v>42190</v>
      </c>
      <c r="J11" s="7">
        <f>SUM(B11:I11)</f>
        <v/>
      </c>
      <c r="K11" s="35" t="inlineStr"/>
    </row>
    <row r="12">
      <c r="A12" s="12" t="inlineStr">
        <is>
          <t>IRG salaires — base paie TPM (R650) du mois</t>
        </is>
      </c>
      <c r="B12" s="6">
        <f>'Paie TPM'!C24</f>
        <v/>
      </c>
      <c r="C12" s="6">
        <f>'Paie TPM'!D24</f>
        <v/>
      </c>
      <c r="D12" s="6">
        <f>'Paie TPM'!E24</f>
        <v/>
      </c>
      <c r="E12" s="6">
        <f>'Paie TPM'!F24</f>
        <v/>
      </c>
      <c r="F12" s="6">
        <f>'Paie TPM'!G24</f>
        <v/>
      </c>
      <c r="G12" s="6">
        <f>'Paie TPM'!H24</f>
        <v/>
      </c>
      <c r="H12" s="6">
        <f>'Paie TPM'!I24</f>
        <v/>
      </c>
      <c r="I12" s="6">
        <f>'Paie TPM'!J24</f>
        <v/>
      </c>
      <c r="J12" s="7">
        <f>SUM(B12:I12)</f>
        <v/>
      </c>
      <c r="K12" s="35" t="inlineStr">
        <is>
          <t>Lien paie</t>
        </is>
      </c>
    </row>
    <row r="13">
      <c r="A13" s="12" t="inlineStr">
        <is>
          <t>IRG salaires — montant déclaré</t>
        </is>
      </c>
      <c r="B13" s="25" t="n">
        <v>3330</v>
      </c>
      <c r="C13" s="25" t="n">
        <v>3330</v>
      </c>
      <c r="D13" s="25" t="n">
        <v>7757</v>
      </c>
      <c r="E13" s="25" t="n">
        <v>9375</v>
      </c>
      <c r="F13" s="25" t="n">
        <v>9375</v>
      </c>
      <c r="G13" s="25" t="n">
        <v>9375</v>
      </c>
      <c r="H13" s="25" t="n">
        <v>9375</v>
      </c>
      <c r="I13" s="25" t="n">
        <v>3690</v>
      </c>
      <c r="J13" s="7">
        <f>SUM(B13:I13)</f>
        <v/>
      </c>
      <c r="K13" s="35" t="inlineStr"/>
    </row>
    <row r="14">
      <c r="A14" s="12" t="inlineStr">
        <is>
          <t>IRG salaires — retenu en paie TPM (R660) du mois</t>
        </is>
      </c>
      <c r="B14" s="6">
        <f>'Paie TPM'!C25</f>
        <v/>
      </c>
      <c r="C14" s="6">
        <f>'Paie TPM'!D25</f>
        <v/>
      </c>
      <c r="D14" s="6">
        <f>'Paie TPM'!E25</f>
        <v/>
      </c>
      <c r="E14" s="6">
        <f>'Paie TPM'!F25</f>
        <v/>
      </c>
      <c r="F14" s="6">
        <f>'Paie TPM'!G25</f>
        <v/>
      </c>
      <c r="G14" s="6">
        <f>'Paie TPM'!H25</f>
        <v/>
      </c>
      <c r="H14" s="6">
        <f>'Paie TPM'!I25</f>
        <v/>
      </c>
      <c r="I14" s="6">
        <f>'Paie TPM'!J25</f>
        <v/>
      </c>
      <c r="J14" s="7">
        <f>SUM(B14:I14)</f>
        <v/>
      </c>
      <c r="K14" s="35" t="inlineStr">
        <is>
          <t>Lien paie</t>
        </is>
      </c>
    </row>
    <row r="15">
      <c r="A15" s="4" t="inlineStr">
        <is>
          <t>Écart IRG déclaré − paie</t>
        </is>
      </c>
      <c r="B15" s="30">
        <f>B13-B14</f>
        <v/>
      </c>
      <c r="C15" s="30">
        <f>C13-C14</f>
        <v/>
      </c>
      <c r="D15" s="30">
        <f>D13-D14</f>
        <v/>
      </c>
      <c r="E15" s="30">
        <f>E13-E14</f>
        <v/>
      </c>
      <c r="F15" s="30">
        <f>F13-F14</f>
        <v/>
      </c>
      <c r="G15" s="30">
        <f>G13-G14</f>
        <v/>
      </c>
      <c r="H15" s="30">
        <f>H13-H14</f>
        <v/>
      </c>
      <c r="I15" s="30">
        <f>I13-I14</f>
        <v/>
      </c>
      <c r="J15" s="7">
        <f>SUM(B15:I15)</f>
        <v/>
      </c>
      <c r="K15" s="35" t="inlineStr">
        <is>
          <t>Négatif = IRG retenu non reversé</t>
        </is>
      </c>
    </row>
    <row r="16">
      <c r="A16" s="12" t="inlineStr">
        <is>
          <t>Taxe d'apprentissage — base</t>
        </is>
      </c>
      <c r="B16" s="25" t="n">
        <v>0</v>
      </c>
      <c r="C16" s="25" t="n">
        <v>985118</v>
      </c>
      <c r="D16" s="25" t="n">
        <v>0</v>
      </c>
      <c r="E16" s="25" t="n">
        <v>0</v>
      </c>
      <c r="F16" s="25" t="n">
        <v>0</v>
      </c>
      <c r="G16" s="25" t="n">
        <v>0</v>
      </c>
      <c r="H16" s="25" t="n">
        <v>0</v>
      </c>
      <c r="I16" s="25" t="n">
        <v>680900</v>
      </c>
      <c r="J16" s="7">
        <f>SUM(B16:I16)</f>
        <v/>
      </c>
      <c r="K16" s="35" t="inlineStr">
        <is>
          <t>Payée en février et en août : bases à justifier</t>
        </is>
      </c>
    </row>
    <row r="17">
      <c r="A17" s="12" t="inlineStr">
        <is>
          <t>Taxe d'apprentissage — montant</t>
        </is>
      </c>
      <c r="B17" s="25" t="n">
        <v>0</v>
      </c>
      <c r="C17" s="25" t="n">
        <v>9851</v>
      </c>
      <c r="D17" s="25" t="n">
        <v>0</v>
      </c>
      <c r="E17" s="25" t="n">
        <v>0</v>
      </c>
      <c r="F17" s="25" t="n">
        <v>0</v>
      </c>
      <c r="G17" s="25" t="n">
        <v>0</v>
      </c>
      <c r="H17" s="25" t="n">
        <v>0</v>
      </c>
      <c r="I17" s="25" t="n">
        <v>6809</v>
      </c>
      <c r="J17" s="7">
        <f>SUM(B17:I17)</f>
        <v/>
      </c>
      <c r="K17" s="35" t="inlineStr"/>
    </row>
    <row r="18">
      <c r="A18" s="4" t="inlineStr">
        <is>
          <t>Total à payer déclaré</t>
        </is>
      </c>
      <c r="B18" s="25" t="n">
        <v>3330</v>
      </c>
      <c r="C18" s="25" t="n">
        <v>13181</v>
      </c>
      <c r="D18" s="25" t="n">
        <v>7757</v>
      </c>
      <c r="E18" s="25" t="n">
        <v>9375</v>
      </c>
      <c r="F18" s="25" t="n">
        <v>9375</v>
      </c>
      <c r="G18" s="25" t="n">
        <v>9375</v>
      </c>
      <c r="H18" s="25" t="n">
        <v>9375</v>
      </c>
      <c r="I18" s="25" t="n">
        <v>10499</v>
      </c>
      <c r="J18" s="7">
        <f>SUM(B18:I18)</f>
        <v/>
      </c>
      <c r="K18" s="35" t="inlineStr"/>
    </row>
    <row r="19">
      <c r="A19" s="4" t="inlineStr">
        <is>
          <t>Total recalculé (TVA + IRG + TA)</t>
        </is>
      </c>
      <c r="B19" s="30">
        <f>MAX(0,B7-B8)+B13+B17</f>
        <v/>
      </c>
      <c r="C19" s="30">
        <f>MAX(0,C7-C8)+C13+C17</f>
        <v/>
      </c>
      <c r="D19" s="30">
        <f>MAX(0,D7-D8)+D13+D17</f>
        <v/>
      </c>
      <c r="E19" s="30">
        <f>MAX(0,E7-E8)+E13+E17</f>
        <v/>
      </c>
      <c r="F19" s="30">
        <f>MAX(0,F7-F8)+F13+F17</f>
        <v/>
      </c>
      <c r="G19" s="30">
        <f>MAX(0,G7-G8)+G13+G17</f>
        <v/>
      </c>
      <c r="H19" s="30">
        <f>MAX(0,H7-H8)+H13+H17</f>
        <v/>
      </c>
      <c r="I19" s="30">
        <f>MAX(0,I7-I8)+I13+I17</f>
        <v/>
      </c>
      <c r="J19" s="7">
        <f>SUM(B19:I19)</f>
        <v/>
      </c>
      <c r="K19" s="35" t="inlineStr">
        <is>
          <t>Calcul</t>
        </is>
      </c>
    </row>
    <row r="20">
      <c r="A20" s="4" t="inlineStr">
        <is>
          <t>Écart total</t>
        </is>
      </c>
      <c r="B20" s="30">
        <f>B18-B19</f>
        <v/>
      </c>
      <c r="C20" s="30">
        <f>C18-C19</f>
        <v/>
      </c>
      <c r="D20" s="30">
        <f>D18-D19</f>
        <v/>
      </c>
      <c r="E20" s="30">
        <f>E18-E19</f>
        <v/>
      </c>
      <c r="F20" s="30">
        <f>F18-F19</f>
        <v/>
      </c>
      <c r="G20" s="30">
        <f>G18-G19</f>
        <v/>
      </c>
      <c r="H20" s="30">
        <f>H18-H19</f>
        <v/>
      </c>
      <c r="I20" s="30">
        <f>I18-I19</f>
        <v/>
      </c>
      <c r="J20" s="7">
        <f>SUM(B20:I20)</f>
        <v/>
      </c>
      <c r="K20" s="35" t="inlineStr">
        <is>
          <t>Doit être 0</t>
        </is>
      </c>
    </row>
    <row r="23">
      <c r="A23" s="2" t="inlineStr">
        <is>
          <t>Modèle G50 TPM : la feuille « Recap-TVA » porte encore la G50 de décembre 2025 (factures BOBOR PNEUS) et « Feuil1 » un extrait de journal 2019 ; à nettoyer avant dépôt.</t>
        </is>
      </c>
    </row>
    <row r="24">
      <c r="A24" s="2" t="inlineStr">
        <is>
          <t>Janvier à mars : G50 conformes à la paie TPM (écarts d'arrondi &lt; 1 DA).</t>
        </is>
      </c>
    </row>
  </sheetData>
  <pageMargins left="0.75" right="0.75" top="1" bottom="1" header="0.5" footer="0.5"/>
  <pageSetup orientation="landscape" fitToHeight="0"/>
</worksheet>
</file>

<file path=xl/worksheets/sheet13.xml><?xml version="1.0" encoding="utf-8"?>
<worksheet xmlns="http://schemas.openxmlformats.org/spreadsheetml/2006/main">
  <sheetPr>
    <outlinePr summaryBelow="1" summaryRight="1"/>
    <pageSetUpPr fitToPage="1"/>
  </sheetPr>
  <dimension ref="A1:F56"/>
  <sheetViews>
    <sheetView showGridLines="0" workbookViewId="0">
      <selection activeCell="A1" sqref="A1"/>
    </sheetView>
  </sheetViews>
  <sheetFormatPr baseColWidth="8" defaultRowHeight="15"/>
  <cols>
    <col width="44" customWidth="1" min="1" max="1"/>
    <col width="40" customWidth="1" min="2" max="2"/>
    <col width="20" customWidth="1" min="3" max="3"/>
    <col width="20" customWidth="1" min="4" max="4"/>
    <col width="20" customWidth="1" min="5" max="5"/>
    <col width="20" customWidth="1" min="6" max="6"/>
  </cols>
  <sheetData>
    <row r="1">
      <c r="A1" s="1" t="inlineStr">
        <is>
          <t>Journal 2023 et historique de la TVA collectée TPM</t>
        </is>
      </c>
    </row>
    <row r="2">
      <c r="A2" s="2" t="inlineStr">
        <is>
          <t>Source : DLG_COMPTAZ_SARL_DPR_COMPAGNY_2023.xls (3 365 lignes, équilibré) comparé aux à-nouveaux du journal 2024.</t>
        </is>
      </c>
    </row>
    <row r="4">
      <c r="A4" s="4" t="inlineStr">
        <is>
          <t>Résultat 2023 selon le journal 2023 fourni</t>
        </is>
      </c>
      <c r="B4" s="25" t="n">
        <v>18539102.4</v>
      </c>
      <c r="C4" s="21" t="inlineStr">
        <is>
          <t>Journal 2023 sans écriture d'IBS (69) ni d'inventaire complète ; décembre 2023 : 31 lignes seulement</t>
        </is>
      </c>
    </row>
    <row r="5">
      <c r="A5" s="4" t="inlineStr">
        <is>
          <t>Résultat 2023 repris en à-nouveau 2024 (compte 12000)</t>
        </is>
      </c>
      <c r="B5" s="25" t="n">
        <v>7260903.16</v>
      </c>
    </row>
    <row r="6">
      <c r="A6" s="4" t="inlineStr">
        <is>
          <t>Écart</t>
        </is>
      </c>
      <c r="B6" s="39">
        <f>B4-B5</f>
        <v/>
      </c>
      <c r="C6" s="21" t="inlineStr">
        <is>
          <t>Le fichier 2023 fourni est une version provisoire, antérieure aux écritures de clôture</t>
        </is>
      </c>
    </row>
    <row r="8">
      <c r="A8" s="11" t="inlineStr">
        <is>
          <t>Compte</t>
        </is>
      </c>
      <c r="B8" s="11" t="inlineStr">
        <is>
          <t>Libellé</t>
        </is>
      </c>
      <c r="C8" s="11" t="inlineStr">
        <is>
          <t>Solde clôture 2023 (fichier)</t>
        </is>
      </c>
      <c r="D8" s="11" t="inlineStr">
        <is>
          <t>À-nouveau 2024</t>
        </is>
      </c>
      <c r="E8" s="11" t="inlineStr">
        <is>
          <t>Écart</t>
        </is>
      </c>
    </row>
    <row r="9">
      <c r="A9" s="12" t="inlineStr">
        <is>
          <t>12000</t>
        </is>
      </c>
      <c r="B9" s="12" t="inlineStr">
        <is>
          <t>RESULTAT DE L'EXERCICE</t>
        </is>
      </c>
      <c r="C9" s="25" t="n">
        <v>0</v>
      </c>
      <c r="D9" s="25" t="n">
        <v>-7260903.16</v>
      </c>
      <c r="E9" s="30">
        <f>D9-C9</f>
        <v/>
      </c>
    </row>
    <row r="10">
      <c r="A10" s="12" t="inlineStr">
        <is>
          <t>21805</t>
        </is>
      </c>
      <c r="B10" s="12" t="inlineStr">
        <is>
          <t>INSTAL GEN,AGENC,AMENAG DIVERS</t>
        </is>
      </c>
      <c r="C10" s="25" t="n">
        <v>8403329.18</v>
      </c>
      <c r="D10" s="25" t="n">
        <v>9463661.109999999</v>
      </c>
      <c r="E10" s="30">
        <f>D10-C10</f>
        <v/>
      </c>
    </row>
    <row r="11">
      <c r="A11" s="12" t="inlineStr">
        <is>
          <t>28150</t>
        </is>
      </c>
      <c r="B11" s="12" t="inlineStr">
        <is>
          <t>AMORT MAT ET OUTILLAGES</t>
        </is>
      </c>
      <c r="C11" s="25" t="n">
        <v>-1249096.22</v>
      </c>
      <c r="D11" s="25" t="n">
        <v>-1416000.43</v>
      </c>
      <c r="E11" s="30">
        <f>D11-C11</f>
        <v/>
      </c>
    </row>
    <row r="12">
      <c r="A12" s="12" t="inlineStr">
        <is>
          <t>28185</t>
        </is>
      </c>
      <c r="B12" s="12" t="inlineStr">
        <is>
          <t>AMORT INST GEN AGENC ET AMENAG</t>
        </is>
      </c>
      <c r="C12" s="25" t="n">
        <v>-3541844.12</v>
      </c>
      <c r="D12" s="25" t="n">
        <v>-3612465.95</v>
      </c>
      <c r="E12" s="30">
        <f>D12-C12</f>
        <v/>
      </c>
    </row>
    <row r="13">
      <c r="A13" s="12" t="inlineStr">
        <is>
          <t>30002</t>
        </is>
      </c>
      <c r="B13" s="12" t="inlineStr">
        <is>
          <t>ST IMPORTATION</t>
        </is>
      </c>
      <c r="C13" s="25" t="n">
        <v>202015456.47</v>
      </c>
      <c r="D13" s="25" t="n">
        <v>253727049.44</v>
      </c>
      <c r="E13" s="30">
        <f>D13-C13</f>
        <v/>
      </c>
    </row>
    <row r="14">
      <c r="A14" s="12" t="inlineStr">
        <is>
          <t>32201</t>
        </is>
      </c>
      <c r="B14" s="12" t="inlineStr">
        <is>
          <t>ST PIECES DE RECHANGE</t>
        </is>
      </c>
      <c r="C14" s="25" t="n">
        <v>3509934.64</v>
      </c>
      <c r="D14" s="25" t="n">
        <v>0</v>
      </c>
      <c r="E14" s="30">
        <f>D14-C14</f>
        <v/>
      </c>
    </row>
    <row r="15">
      <c r="A15" s="12" t="inlineStr">
        <is>
          <t>37000</t>
        </is>
      </c>
      <c r="B15" s="12" t="inlineStr">
        <is>
          <t>STOCKS A L'EXTERIEUR</t>
        </is>
      </c>
      <c r="C15" s="25" t="n">
        <v>0</v>
      </c>
      <c r="D15" s="25" t="n">
        <v>47936182.2</v>
      </c>
      <c r="E15" s="30">
        <f>D15-C15</f>
        <v/>
      </c>
    </row>
    <row r="16">
      <c r="A16" s="12" t="inlineStr">
        <is>
          <t>38002</t>
        </is>
      </c>
      <c r="B16" s="12" t="inlineStr">
        <is>
          <t>ACHATS IMPORTATION</t>
        </is>
      </c>
      <c r="C16" s="25" t="n">
        <v>17544780.31</v>
      </c>
      <c r="D16" s="25" t="n">
        <v>0</v>
      </c>
      <c r="E16" s="30">
        <f>D16-C16</f>
        <v/>
      </c>
    </row>
    <row r="17">
      <c r="A17" s="12" t="inlineStr">
        <is>
          <t>40100</t>
        </is>
      </c>
      <c r="B17" s="12" t="inlineStr">
        <is>
          <t>Fournisseurs de stocks et serv</t>
        </is>
      </c>
      <c r="C17" s="25" t="n">
        <v>-30009104.62</v>
      </c>
      <c r="D17" s="25" t="n">
        <v>-69749175.87</v>
      </c>
      <c r="E17" s="30">
        <f>D17-C17</f>
        <v/>
      </c>
    </row>
    <row r="18">
      <c r="A18" s="12" t="inlineStr">
        <is>
          <t>40102</t>
        </is>
      </c>
      <c r="B18" s="12" t="inlineStr">
        <is>
          <t>FOURNSSEURS ETRANGERS</t>
        </is>
      </c>
      <c r="C18" s="25" t="n">
        <v>-25535217.72</v>
      </c>
      <c r="D18" s="25" t="n">
        <v>-57476811.5</v>
      </c>
      <c r="E18" s="30">
        <f>D18-C18</f>
        <v/>
      </c>
    </row>
    <row r="19">
      <c r="A19" s="12" t="inlineStr">
        <is>
          <t>40130</t>
        </is>
      </c>
      <c r="B19" s="12" t="inlineStr">
        <is>
          <t>FOUR. LOCAUX DE SERVICES</t>
        </is>
      </c>
      <c r="C19" s="25" t="n">
        <v>-2957587.75</v>
      </c>
      <c r="D19" s="25" t="n">
        <v>-1726194.44</v>
      </c>
      <c r="E19" s="30">
        <f>D19-C19</f>
        <v/>
      </c>
    </row>
    <row r="20">
      <c r="A20" s="12" t="inlineStr">
        <is>
          <t>40400</t>
        </is>
      </c>
      <c r="B20" s="12" t="inlineStr">
        <is>
          <t>Fournisseurs d'immobilisations</t>
        </is>
      </c>
      <c r="C20" s="25" t="n">
        <v>-4045605</v>
      </c>
      <c r="D20" s="25" t="n">
        <v>-5307400</v>
      </c>
      <c r="E20" s="30">
        <f>D20-C20</f>
        <v/>
      </c>
    </row>
    <row r="21">
      <c r="A21" s="12" t="inlineStr">
        <is>
          <t>40800</t>
        </is>
      </c>
      <c r="B21" s="12" t="inlineStr">
        <is>
          <t>FOURNIS FACTURES NON PARVENUES</t>
        </is>
      </c>
      <c r="C21" s="25" t="n">
        <v>-23580</v>
      </c>
      <c r="D21" s="25" t="n">
        <v>0</v>
      </c>
      <c r="E21" s="30">
        <f>D21-C21</f>
        <v/>
      </c>
    </row>
    <row r="22">
      <c r="A22" s="12" t="inlineStr">
        <is>
          <t>40900</t>
        </is>
      </c>
      <c r="B22" s="12" t="inlineStr">
        <is>
          <t>Fournisseurs débiteurs : avanc</t>
        </is>
      </c>
      <c r="C22" s="25" t="n">
        <v>344533</v>
      </c>
      <c r="D22" s="25" t="n">
        <v>1175567</v>
      </c>
      <c r="E22" s="30">
        <f>D22-C22</f>
        <v/>
      </c>
    </row>
    <row r="23">
      <c r="A23" s="12" t="inlineStr">
        <is>
          <t>41100</t>
        </is>
      </c>
      <c r="B23" s="12" t="inlineStr">
        <is>
          <t>Clients</t>
        </is>
      </c>
      <c r="C23" s="25" t="n">
        <v>353909705.59</v>
      </c>
      <c r="D23" s="25" t="n">
        <v>361308738.12</v>
      </c>
      <c r="E23" s="30">
        <f>D23-C23</f>
        <v/>
      </c>
    </row>
    <row r="24">
      <c r="A24" s="12" t="inlineStr">
        <is>
          <t>41900</t>
        </is>
      </c>
      <c r="B24" s="12" t="inlineStr">
        <is>
          <t>Clients créditeurs -avances re</t>
        </is>
      </c>
      <c r="C24" s="25" t="n">
        <v>-295064234.32</v>
      </c>
      <c r="D24" s="25" t="n">
        <v>-303664234.32</v>
      </c>
      <c r="E24" s="30">
        <f>D24-C24</f>
        <v/>
      </c>
    </row>
    <row r="25">
      <c r="A25" s="12" t="inlineStr">
        <is>
          <t>42100</t>
        </is>
      </c>
      <c r="B25" s="12" t="inlineStr">
        <is>
          <t>PERSONNEL,REMUNERATIONS DUES</t>
        </is>
      </c>
      <c r="C25" s="25" t="n">
        <v>-2778976.78</v>
      </c>
      <c r="D25" s="25" t="n">
        <v>-1061592.31</v>
      </c>
      <c r="E25" s="30">
        <f>D25-C25</f>
        <v/>
      </c>
    </row>
    <row r="26">
      <c r="A26" s="12" t="inlineStr">
        <is>
          <t>43100</t>
        </is>
      </c>
      <c r="B26" s="12" t="inlineStr">
        <is>
          <t>SECURITE SOCIALE</t>
        </is>
      </c>
      <c r="C26" s="25" t="n">
        <v>-247850.03</v>
      </c>
      <c r="D26" s="25" t="n">
        <v>-223067.66</v>
      </c>
      <c r="E26" s="30">
        <f>D26-C26</f>
        <v/>
      </c>
    </row>
    <row r="27">
      <c r="A27" s="12" t="inlineStr">
        <is>
          <t>43200</t>
        </is>
      </c>
      <c r="B27" s="12" t="inlineStr">
        <is>
          <t>Autres organismes sociaux</t>
        </is>
      </c>
      <c r="C27" s="25" t="n">
        <v>-830851.87</v>
      </c>
      <c r="D27" s="25" t="n">
        <v>-610922.03</v>
      </c>
      <c r="E27" s="30">
        <f>D27-C27</f>
        <v/>
      </c>
    </row>
    <row r="28">
      <c r="A28" s="12" t="inlineStr">
        <is>
          <t>44210</t>
        </is>
      </c>
      <c r="B28" s="12" t="inlineStr">
        <is>
          <t>RETENUES : IRG</t>
        </is>
      </c>
      <c r="C28" s="25" t="n">
        <v>-166632.72</v>
      </c>
      <c r="D28" s="25" t="n">
        <v>-112633.4</v>
      </c>
      <c r="E28" s="30">
        <f>D28-C28</f>
        <v/>
      </c>
    </row>
    <row r="29">
      <c r="A29" s="12" t="inlineStr">
        <is>
          <t>44400</t>
        </is>
      </c>
      <c r="B29" s="12" t="inlineStr">
        <is>
          <t>Etat, impôts sur les résultats</t>
        </is>
      </c>
      <c r="C29" s="25" t="n">
        <v>-644330.96</v>
      </c>
      <c r="D29" s="25" t="n">
        <v>-2616744</v>
      </c>
      <c r="E29" s="30">
        <f>D29-C29</f>
        <v/>
      </c>
    </row>
    <row r="30">
      <c r="A30" s="12" t="inlineStr">
        <is>
          <t>44410</t>
        </is>
      </c>
      <c r="B30" s="12" t="inlineStr">
        <is>
          <t>AVANCES ET ACOMPTES SUR IBS</t>
        </is>
      </c>
      <c r="C30" s="25" t="n">
        <v>5120187</v>
      </c>
      <c r="D30" s="25" t="n">
        <v>2921073</v>
      </c>
      <c r="E30" s="30">
        <f>D30-C30</f>
        <v/>
      </c>
    </row>
    <row r="31">
      <c r="A31" s="12" t="inlineStr">
        <is>
          <t>44430</t>
        </is>
      </c>
      <c r="B31" s="12" t="inlineStr">
        <is>
          <t>EXCEDENT DE VERSEMENT IMPOTS</t>
        </is>
      </c>
      <c r="C31" s="25" t="n">
        <v>970465</v>
      </c>
      <c r="D31" s="25" t="n">
        <v>2668106</v>
      </c>
      <c r="E31" s="30">
        <f>D31-C31</f>
        <v/>
      </c>
    </row>
    <row r="32">
      <c r="A32" s="12" t="inlineStr">
        <is>
          <t>44510</t>
        </is>
      </c>
      <c r="B32" s="12" t="inlineStr">
        <is>
          <t>TVA A PAYER</t>
        </is>
      </c>
      <c r="C32" s="25" t="n">
        <v>-121436</v>
      </c>
      <c r="D32" s="25" t="n">
        <v>0</v>
      </c>
      <c r="E32" s="30">
        <f>D32-C32</f>
        <v/>
      </c>
    </row>
    <row r="33">
      <c r="A33" s="12" t="inlineStr">
        <is>
          <t>44517</t>
        </is>
      </c>
      <c r="B33" s="12" t="inlineStr">
        <is>
          <t>TVA COLLECTEE S/VENTES A 17 %</t>
        </is>
      </c>
      <c r="C33" s="25" t="n">
        <v>-9377413.710000001</v>
      </c>
      <c r="D33" s="25" t="n">
        <v>0</v>
      </c>
      <c r="E33" s="30">
        <f>D33-C33</f>
        <v/>
      </c>
    </row>
    <row r="34">
      <c r="A34" s="12" t="inlineStr">
        <is>
          <t>44537</t>
        </is>
      </c>
      <c r="B34" s="12" t="inlineStr">
        <is>
          <t>TVA COLLECTEE/VENTES TPM</t>
        </is>
      </c>
      <c r="C34" s="25" t="n">
        <v>-44387281.93</v>
      </c>
      <c r="D34" s="25" t="n">
        <v>-42352540.93</v>
      </c>
      <c r="E34" s="30">
        <f>D34-C34</f>
        <v/>
      </c>
    </row>
    <row r="35">
      <c r="A35" s="12" t="inlineStr">
        <is>
          <t>44550</t>
        </is>
      </c>
      <c r="B35" s="12" t="inlineStr">
        <is>
          <t>PRECOMPTE</t>
        </is>
      </c>
      <c r="C35" s="25" t="n">
        <v>155567.5</v>
      </c>
      <c r="D35" s="25" t="n">
        <v>156920</v>
      </c>
      <c r="E35" s="30">
        <f>D35-C35</f>
        <v/>
      </c>
    </row>
    <row r="36">
      <c r="A36" s="12" t="inlineStr">
        <is>
          <t>44557</t>
        </is>
      </c>
      <c r="B36" s="12" t="inlineStr">
        <is>
          <t>TVA RECUPERABLES</t>
        </is>
      </c>
      <c r="C36" s="25" t="n">
        <v>3454431.45</v>
      </c>
      <c r="D36" s="25" t="n">
        <v>6048716.84</v>
      </c>
      <c r="E36" s="30">
        <f>D36-C36</f>
        <v/>
      </c>
    </row>
    <row r="37">
      <c r="A37" s="12" t="inlineStr">
        <is>
          <t>44710</t>
        </is>
      </c>
      <c r="B37" s="12" t="inlineStr">
        <is>
          <t>TAP DUES</t>
        </is>
      </c>
      <c r="C37" s="25" t="n">
        <v>145841</v>
      </c>
      <c r="D37" s="25" t="n">
        <v>-405176</v>
      </c>
      <c r="E37" s="30">
        <f>D37-C37</f>
        <v/>
      </c>
    </row>
    <row r="38">
      <c r="A38" s="12" t="inlineStr">
        <is>
          <t>44720</t>
        </is>
      </c>
      <c r="B38" s="12" t="inlineStr">
        <is>
          <t>TAXES D'APRENT ET FORM PROFES</t>
        </is>
      </c>
      <c r="C38" s="25" t="n">
        <v>25960</v>
      </c>
      <c r="D38" s="25" t="n">
        <v>0</v>
      </c>
      <c r="E38" s="30">
        <f>D38-C38</f>
        <v/>
      </c>
    </row>
    <row r="39">
      <c r="A39" s="12" t="inlineStr">
        <is>
          <t>44760</t>
        </is>
      </c>
      <c r="B39" s="12" t="inlineStr">
        <is>
          <t>TIMBRES DUES</t>
        </is>
      </c>
      <c r="C39" s="25" t="n">
        <v>-54744.65</v>
      </c>
      <c r="D39" s="25" t="n">
        <v>-15720</v>
      </c>
      <c r="E39" s="30">
        <f>D39-C39</f>
        <v/>
      </c>
    </row>
    <row r="40">
      <c r="A40" s="12" t="inlineStr">
        <is>
          <t>45500</t>
        </is>
      </c>
      <c r="B40" s="12" t="inlineStr">
        <is>
          <t>ASSOCIES-COMPTES COURANTS</t>
        </is>
      </c>
      <c r="C40" s="25" t="n">
        <v>-14221874.59</v>
      </c>
      <c r="D40" s="25" t="n">
        <v>-21979805.85</v>
      </c>
      <c r="E40" s="30">
        <f>D40-C40</f>
        <v/>
      </c>
    </row>
    <row r="41">
      <c r="A41" s="12" t="inlineStr">
        <is>
          <t>48600</t>
        </is>
      </c>
      <c r="B41" s="12" t="inlineStr">
        <is>
          <t>CHARGES CONSTATEES D'AVANCE</t>
        </is>
      </c>
      <c r="C41" s="25" t="n">
        <v>631787.84</v>
      </c>
      <c r="D41" s="25" t="n">
        <v>625032.89</v>
      </c>
      <c r="E41" s="30">
        <f>D41-C41</f>
        <v/>
      </c>
    </row>
    <row r="42">
      <c r="A42" s="12" t="inlineStr">
        <is>
          <t>51202</t>
        </is>
      </c>
      <c r="B42" s="12" t="inlineStr">
        <is>
          <t>BANQUE EL BARAKA</t>
        </is>
      </c>
      <c r="C42" s="25" t="n">
        <v>174036.81</v>
      </c>
      <c r="D42" s="25" t="n">
        <v>168562.81</v>
      </c>
      <c r="E42" s="30">
        <f>D42-C42</f>
        <v/>
      </c>
    </row>
    <row r="43">
      <c r="A43" s="12" t="inlineStr">
        <is>
          <t>51220</t>
        </is>
      </c>
      <c r="B43" s="12" t="inlineStr">
        <is>
          <t>CPA AGENCE EL KSEUR</t>
        </is>
      </c>
      <c r="C43" s="25" t="n">
        <v>755588.6800000001</v>
      </c>
      <c r="D43" s="25" t="n">
        <v>-13950322.68</v>
      </c>
      <c r="E43" s="30">
        <f>D43-C43</f>
        <v/>
      </c>
    </row>
    <row r="44">
      <c r="A44" s="12" t="inlineStr">
        <is>
          <t>51240</t>
        </is>
      </c>
      <c r="B44" s="12" t="inlineStr">
        <is>
          <t>CPA 4000015290-18</t>
        </is>
      </c>
      <c r="C44" s="25" t="n">
        <v>3058279.86</v>
      </c>
      <c r="D44" s="25" t="n">
        <v>93959.14999999999</v>
      </c>
      <c r="E44" s="30">
        <f>D44-C44</f>
        <v/>
      </c>
    </row>
    <row r="45">
      <c r="A45" s="12" t="inlineStr">
        <is>
          <t>51900</t>
        </is>
      </c>
      <c r="B45" s="12" t="inlineStr">
        <is>
          <t>Concours bancaires courants</t>
        </is>
      </c>
      <c r="C45" s="25" t="n">
        <v>-15504804.53</v>
      </c>
      <c r="D45" s="25" t="n">
        <v>-21161600.16</v>
      </c>
      <c r="E45" s="30">
        <f>D45-C45</f>
        <v/>
      </c>
    </row>
    <row r="46">
      <c r="A46" s="12" t="inlineStr">
        <is>
          <t>53000</t>
        </is>
      </c>
      <c r="B46" s="12" t="inlineStr">
        <is>
          <t>CAISSE</t>
        </is>
      </c>
      <c r="C46" s="25" t="n">
        <v>1432477.99</v>
      </c>
      <c r="D46" s="25" t="n">
        <v>760534.53</v>
      </c>
      <c r="E46" s="30">
        <f>D46-C46</f>
        <v/>
      </c>
    </row>
    <row r="47">
      <c r="B47" s="4" t="inlineStr">
        <is>
          <t>Nombre de comptes en écart</t>
        </is>
      </c>
      <c r="C47" s="13">
        <f>COUNTIF(E9:E46,"&lt;&gt;0")</f>
        <v/>
      </c>
      <c r="D47" s="4" t="inlineStr">
        <is>
          <t>Somme des écarts en valeur absolue</t>
        </is>
      </c>
      <c r="E47" s="7">
        <f>SUMPRODUCT(ABS(E9:E46))</f>
        <v/>
      </c>
    </row>
    <row r="49">
      <c r="A49" s="4" t="inlineStr">
        <is>
          <t>Historique du compte 44537 « TVA collectée / ventes TPM » (crédit = dette de TVA)</t>
        </is>
      </c>
    </row>
    <row r="50">
      <c r="A50" s="11" t="inlineStr">
        <is>
          <t>Exercice</t>
        </is>
      </c>
      <c r="B50" s="11" t="inlineStr">
        <is>
          <t>Solde d'ouverture</t>
        </is>
      </c>
      <c r="C50" s="11" t="inlineStr">
        <is>
          <t>TVA collectée de l'exercice</t>
        </is>
      </c>
      <c r="D50" s="11" t="inlineStr">
        <is>
          <t>Apurée par G50 (débits)</t>
        </is>
      </c>
      <c r="E50" s="11" t="inlineStr">
        <is>
          <t>Solde de clôture</t>
        </is>
      </c>
      <c r="F50" s="11" t="inlineStr">
        <is>
          <t>Contrôle</t>
        </is>
      </c>
    </row>
    <row r="51">
      <c r="A51" s="4" t="inlineStr">
        <is>
          <t>2023</t>
        </is>
      </c>
      <c r="B51" s="25" t="n">
        <v>37267981.93</v>
      </c>
      <c r="C51" s="25" t="n">
        <v>7119300</v>
      </c>
      <c r="D51" s="25" t="n">
        <v>0</v>
      </c>
      <c r="E51" s="25" t="n">
        <v>44387281.93</v>
      </c>
      <c r="F51" s="30">
        <f>ROUND(B51+C51-D51-E51,2)</f>
        <v/>
      </c>
    </row>
    <row r="52">
      <c r="A52" s="4" t="inlineStr">
        <is>
          <t>2024</t>
        </is>
      </c>
      <c r="B52" s="25" t="n">
        <v>42352540.93</v>
      </c>
      <c r="C52" s="25" t="n">
        <v>6521750</v>
      </c>
      <c r="D52" s="25" t="n">
        <v>1147983</v>
      </c>
      <c r="E52" s="25" t="n">
        <v>47726307.93</v>
      </c>
      <c r="F52" s="30">
        <f>ROUND(B52+C52-D52-E52,2)</f>
        <v/>
      </c>
    </row>
    <row r="53">
      <c r="A53" s="4" t="inlineStr">
        <is>
          <t>2025</t>
        </is>
      </c>
      <c r="B53" s="25" t="n">
        <v>47726307.93</v>
      </c>
      <c r="C53" s="25" t="n">
        <v>4839300</v>
      </c>
      <c r="D53" s="25" t="n">
        <v>391208</v>
      </c>
      <c r="E53" s="25" t="n">
        <v>52174399.93</v>
      </c>
      <c r="F53" s="30">
        <f>ROUND(B53+C53-D53-E53,2)</f>
        <v/>
      </c>
    </row>
    <row r="54">
      <c r="A54" s="4" t="inlineStr">
        <is>
          <t>Total 2023–2025</t>
        </is>
      </c>
      <c r="C54" s="7">
        <f>SUM(C51:C53)</f>
        <v/>
      </c>
      <c r="D54" s="7">
        <f>SUM(D51:D53)</f>
        <v/>
      </c>
      <c r="E54" s="38">
        <f>D54/C54</f>
        <v/>
      </c>
      <c r="F54" s="21" t="inlineStr">
        <is>
          <t>← part de la TVA TPM apurée</t>
        </is>
      </c>
    </row>
    <row r="56">
      <c r="A56" s="2" t="inlineStr">
        <is>
          <t>Ouverture 2024 (42,35 M) ≠ clôture 2023 du fichier (44,39 M) : écart de 2,03 M, voir tableau ci-dessus. La TVA TPM s'accumule au crédit depuis au moins 2022 (37,27 M à l'ouverture 2023).</t>
        </is>
      </c>
    </row>
  </sheetData>
  <pageMargins left="0.75" right="0.75" top="1" bottom="1" header="0.5" footer="0.5"/>
  <pageSetup orientation="landscape" fitToHeight="0"/>
</worksheet>
</file>

<file path=xl/worksheets/sheet14.xml><?xml version="1.0" encoding="utf-8"?>
<worksheet xmlns="http://schemas.openxmlformats.org/spreadsheetml/2006/main">
  <sheetPr>
    <outlinePr summaryBelow="1" summaryRight="1"/>
    <pageSetUpPr fitToPage="1"/>
  </sheetPr>
  <dimension ref="A1:L243"/>
  <sheetViews>
    <sheetView showGridLines="0" workbookViewId="0">
      <pane xSplit="2" ySplit="21" topLeftCell="C22" activePane="bottomRight" state="frozen"/>
      <selection pane="topRight"/>
      <selection pane="bottomLeft"/>
      <selection pane="bottomRight" activeCell="A1" sqref="A1"/>
    </sheetView>
  </sheetViews>
  <sheetFormatPr baseColWidth="8" defaultRowHeight="15"/>
  <cols>
    <col width="40" customWidth="1" min="1" max="1"/>
    <col width="36" customWidth="1" min="2" max="2"/>
    <col width="15" customWidth="1" min="3" max="3"/>
    <col width="15" customWidth="1" min="4" max="4"/>
    <col width="15" customWidth="1" min="5" max="5"/>
    <col width="15" customWidth="1" min="6" max="6"/>
    <col width="15" customWidth="1" min="7" max="7"/>
    <col width="18" customWidth="1" min="8" max="8"/>
    <col width="15" customWidth="1" min="9" max="9"/>
    <col width="15" customWidth="1" min="10" max="10"/>
    <col width="13" customWidth="1" min="11" max="11"/>
    <col width="22" customWidth="1" min="12" max="12"/>
  </cols>
  <sheetData>
    <row r="1">
      <c r="A1" s="1" t="inlineStr">
        <is>
          <t>Analyse des comptes clients et fournisseurs — situation au 31/12/2025 (base des à-nouveaux 2026)</t>
        </is>
      </c>
    </row>
    <row r="2">
      <c r="A2" s="2" t="inlineStr">
        <is>
          <t>Source : journaux PCCOMPTA 2023, 2024, 2025 (comptes 401, 404, 409, 411, 419), regroupés par nom de tiers. Débit + / crédit −.</t>
        </is>
      </c>
    </row>
    <row r="4">
      <c r="A4" s="11" t="inlineStr">
        <is>
          <t>Catégorie</t>
        </is>
      </c>
      <c r="B4" s="11" t="inlineStr">
        <is>
          <t>Nombre de tiers</t>
        </is>
      </c>
      <c r="C4" s="11" t="inlineStr">
        <is>
          <t>411 au 31/12/2025</t>
        </is>
      </c>
      <c r="D4" s="11" t="inlineStr">
        <is>
          <t>419 au 31/12/2025</t>
        </is>
      </c>
      <c r="E4" s="11" t="inlineStr">
        <is>
          <t>401/404 au 31/12/2025</t>
        </is>
      </c>
      <c r="F4" s="11" t="inlineStr">
        <is>
          <t>409 au 31/12/2025</t>
        </is>
      </c>
      <c r="G4" s="11" t="inlineStr">
        <is>
          <t>Solde net</t>
        </is>
      </c>
      <c r="H4" s="11" t="inlineStr">
        <is>
          <t>Action recommandée</t>
        </is>
      </c>
    </row>
    <row r="5" ht="30" customHeight="1">
      <c r="A5" s="40" t="inlineStr">
        <is>
          <t>Partie liée</t>
        </is>
      </c>
      <c r="B5" s="32">
        <f>COUNTIF($B$22:$B$243,A5)</f>
        <v/>
      </c>
      <c r="C5" s="30">
        <f>SUMIFS($D$22:$D$243,$B$22:$B$243,$A5)</f>
        <v/>
      </c>
      <c r="D5" s="30">
        <f>SUMIFS($E$22:$E$243,$B$22:$B$243,$A5)</f>
        <v/>
      </c>
      <c r="E5" s="30">
        <f>SUMIFS($F$22:$F$243,$B$22:$B$243,$A5)</f>
        <v/>
      </c>
      <c r="F5" s="30">
        <f>SUMIFS($G$22:$G$243,$B$22:$B$243,$A5)</f>
        <v/>
      </c>
      <c r="G5" s="27">
        <f>SUM(C5:F5)</f>
        <v/>
      </c>
      <c r="H5" s="35" t="inlineStr">
        <is>
          <t>Convention écrite, reconnaissance de dette et échéancier ; confirmation de solde ; dépréciation à évaluer</t>
        </is>
      </c>
    </row>
    <row r="6" ht="30" customHeight="1">
      <c r="A6" s="40" t="inlineStr">
        <is>
          <t>Associé en compte de tiers</t>
        </is>
      </c>
      <c r="B6" s="32">
        <f>COUNTIF($B$22:$B$243,A6)</f>
        <v/>
      </c>
      <c r="C6" s="30">
        <f>SUMIFS($D$22:$D$243,$B$22:$B$243,$A6)</f>
        <v/>
      </c>
      <c r="D6" s="30">
        <f>SUMIFS($E$22:$E$243,$B$22:$B$243,$A6)</f>
        <v/>
      </c>
      <c r="E6" s="30">
        <f>SUMIFS($F$22:$F$243,$B$22:$B$243,$A6)</f>
        <v/>
      </c>
      <c r="F6" s="30">
        <f>SUMIFS($G$22:$G$243,$B$22:$B$243,$A6)</f>
        <v/>
      </c>
      <c r="G6" s="27">
        <f>SUM(C6:F6)</f>
        <v/>
      </c>
      <c r="H6" s="35" t="inlineStr">
        <is>
          <t>Reclasser en compte courant d'associé (455/457) après justification</t>
        </is>
      </c>
    </row>
    <row r="7" ht="30" customHeight="1">
      <c r="A7" s="4" t="inlineStr">
        <is>
          <t>Client 411 + avance 419 à compenser</t>
        </is>
      </c>
      <c r="B7" s="32">
        <f>COUNTIF($B$22:$B$243,A7)</f>
        <v/>
      </c>
      <c r="C7" s="30">
        <f>SUMIFS($D$22:$D$243,$B$22:$B$243,$A7)</f>
        <v/>
      </c>
      <c r="D7" s="30">
        <f>SUMIFS($E$22:$E$243,$B$22:$B$243,$A7)</f>
        <v/>
      </c>
      <c r="E7" s="30">
        <f>SUMIFS($F$22:$F$243,$B$22:$B$243,$A7)</f>
        <v/>
      </c>
      <c r="F7" s="30">
        <f>SUMIFS($G$22:$G$243,$B$22:$B$243,$A7)</f>
        <v/>
      </c>
      <c r="G7" s="27">
        <f>SUM(C7:F7)</f>
        <v/>
      </c>
      <c r="H7" s="35" t="inlineStr">
        <is>
          <t>Lettrer et compenser 419 / 411 à hauteur du plus petit montant</t>
        </is>
      </c>
    </row>
    <row r="8" ht="30" customHeight="1">
      <c r="A8" s="4" t="inlineStr">
        <is>
          <t>Client 411 créditeur</t>
        </is>
      </c>
      <c r="B8" s="32">
        <f>COUNTIF($B$22:$B$243,A8)</f>
        <v/>
      </c>
      <c r="C8" s="30">
        <f>SUMIFS($D$22:$D$243,$B$22:$B$243,$A8)</f>
        <v/>
      </c>
      <c r="D8" s="30">
        <f>SUMIFS($E$22:$E$243,$B$22:$B$243,$A8)</f>
        <v/>
      </c>
      <c r="E8" s="30">
        <f>SUMIFS($F$22:$F$243,$B$22:$B$243,$A8)</f>
        <v/>
      </c>
      <c r="F8" s="30">
        <f>SUMIFS($G$22:$G$243,$B$22:$B$243,$A8)</f>
        <v/>
      </c>
      <c r="G8" s="27">
        <f>SUM(C8:F8)</f>
        <v/>
      </c>
      <c r="H8" s="35" t="inlineStr">
        <is>
          <t>Analyser : avoir, trop-perçu ou avance mal imputée ; reclasser en 419 ou rembourser</t>
        </is>
      </c>
    </row>
    <row r="9" ht="30" customHeight="1">
      <c r="A9" s="40" t="inlineStr">
        <is>
          <t>Avance client dormante ≥ 3 ans</t>
        </is>
      </c>
      <c r="B9" s="32">
        <f>COUNTIF($B$22:$B$243,A9)</f>
        <v/>
      </c>
      <c r="C9" s="30">
        <f>SUMIFS($D$22:$D$243,$B$22:$B$243,$A9)</f>
        <v/>
      </c>
      <c r="D9" s="30">
        <f>SUMIFS($E$22:$E$243,$B$22:$B$243,$A9)</f>
        <v/>
      </c>
      <c r="E9" s="30">
        <f>SUMIFS($F$22:$F$243,$B$22:$B$243,$A9)</f>
        <v/>
      </c>
      <c r="F9" s="30">
        <f>SUMIFS($G$22:$G$243,$B$22:$B$243,$A9)</f>
        <v/>
      </c>
      <c r="G9" s="27">
        <f>SUM(C9:F9)</f>
        <v/>
      </c>
      <c r="H9" s="35" t="inlineStr">
        <is>
          <t>Dossier par client : facturer si livré (TVA + CA), rembourser si non livré, sinon justifier</t>
        </is>
      </c>
    </row>
    <row r="10" ht="30" customHeight="1">
      <c r="A10" s="4" t="inlineStr">
        <is>
          <t>Avance client récente</t>
        </is>
      </c>
      <c r="B10" s="32">
        <f>COUNTIF($B$22:$B$243,A10)</f>
        <v/>
      </c>
      <c r="C10" s="30">
        <f>SUMIFS($D$22:$D$243,$B$22:$B$243,$A10)</f>
        <v/>
      </c>
      <c r="D10" s="30">
        <f>SUMIFS($E$22:$E$243,$B$22:$B$243,$A10)</f>
        <v/>
      </c>
      <c r="E10" s="30">
        <f>SUMIFS($F$22:$F$243,$B$22:$B$243,$A10)</f>
        <v/>
      </c>
      <c r="F10" s="30">
        <f>SUMIFS($G$22:$G$243,$B$22:$B$243,$A10)</f>
        <v/>
      </c>
      <c r="G10" s="27">
        <f>SUM(C10:F10)</f>
        <v/>
      </c>
      <c r="H10" s="35" t="inlineStr">
        <is>
          <t>Facturer à la livraison et lettrer</t>
        </is>
      </c>
    </row>
    <row r="11" ht="30" customHeight="1">
      <c r="A11" s="4" t="inlineStr">
        <is>
          <t>Créance client sans mouvement en 2025</t>
        </is>
      </c>
      <c r="B11" s="32">
        <f>COUNTIF($B$22:$B$243,A11)</f>
        <v/>
      </c>
      <c r="C11" s="30">
        <f>SUMIFS($D$22:$D$243,$B$22:$B$243,$A11)</f>
        <v/>
      </c>
      <c r="D11" s="30">
        <f>SUMIFS($E$22:$E$243,$B$22:$B$243,$A11)</f>
        <v/>
      </c>
      <c r="E11" s="30">
        <f>SUMIFS($F$22:$F$243,$B$22:$B$243,$A11)</f>
        <v/>
      </c>
      <c r="F11" s="30">
        <f>SUMIFS($G$22:$G$243,$B$22:$B$243,$A11)</f>
        <v/>
      </c>
      <c r="G11" s="27">
        <f>SUM(C11:F11)</f>
        <v/>
      </c>
      <c r="H11" s="35" t="inlineStr">
        <is>
          <t>Relance et confirmation de solde ; dépréciation (491) si non recouvrable</t>
        </is>
      </c>
    </row>
    <row r="12" ht="30" customHeight="1">
      <c r="A12" s="4" t="inlineStr">
        <is>
          <t>Créance client active</t>
        </is>
      </c>
      <c r="B12" s="32">
        <f>COUNTIF($B$22:$B$243,A12)</f>
        <v/>
      </c>
      <c r="C12" s="30">
        <f>SUMIFS($D$22:$D$243,$B$22:$B$243,$A12)</f>
        <v/>
      </c>
      <c r="D12" s="30">
        <f>SUMIFS($E$22:$E$243,$B$22:$B$243,$A12)</f>
        <v/>
      </c>
      <c r="E12" s="30">
        <f>SUMIFS($F$22:$F$243,$B$22:$B$243,$A12)</f>
        <v/>
      </c>
      <c r="F12" s="30">
        <f>SUMIFS($G$22:$G$243,$B$22:$B$243,$A12)</f>
        <v/>
      </c>
      <c r="G12" s="27">
        <f>SUM(C12:F12)</f>
        <v/>
      </c>
      <c r="H12" s="35" t="inlineStr">
        <is>
          <t>Suivi normal ; lettrage mensuel</t>
        </is>
      </c>
    </row>
    <row r="13" ht="30" customHeight="1">
      <c r="A13" s="4" t="inlineStr">
        <is>
          <t>Fournisseur débiteur (avance versée)</t>
        </is>
      </c>
      <c r="B13" s="32">
        <f>COUNTIF($B$22:$B$243,A13)</f>
        <v/>
      </c>
      <c r="C13" s="30">
        <f>SUMIFS($D$22:$D$243,$B$22:$B$243,$A13)</f>
        <v/>
      </c>
      <c r="D13" s="30">
        <f>SUMIFS($E$22:$E$243,$B$22:$B$243,$A13)</f>
        <v/>
      </c>
      <c r="E13" s="30">
        <f>SUMIFS($F$22:$F$243,$B$22:$B$243,$A13)</f>
        <v/>
      </c>
      <c r="F13" s="30">
        <f>SUMIFS($G$22:$G$243,$B$22:$B$243,$A13)</f>
        <v/>
      </c>
      <c r="G13" s="27">
        <f>SUM(C13:F13)</f>
        <v/>
      </c>
      <c r="H13" s="35" t="inlineStr">
        <is>
          <t>Obtenir facture ou remboursement ; lettrer avec 401</t>
        </is>
      </c>
    </row>
    <row r="14" ht="30" customHeight="1">
      <c r="A14" s="4" t="inlineStr">
        <is>
          <t>Dette fournisseur sans mouvement en 2025</t>
        </is>
      </c>
      <c r="B14" s="32">
        <f>COUNTIF($B$22:$B$243,A14)</f>
        <v/>
      </c>
      <c r="C14" s="30">
        <f>SUMIFS($D$22:$D$243,$B$22:$B$243,$A14)</f>
        <v/>
      </c>
      <c r="D14" s="30">
        <f>SUMIFS($E$22:$E$243,$B$22:$B$243,$A14)</f>
        <v/>
      </c>
      <c r="E14" s="30">
        <f>SUMIFS($F$22:$F$243,$B$22:$B$243,$A14)</f>
        <v/>
      </c>
      <c r="F14" s="30">
        <f>SUMIFS($G$22:$G$243,$B$22:$B$243,$A14)</f>
        <v/>
      </c>
      <c r="G14" s="27">
        <f>SUM(C14:F14)</f>
        <v/>
      </c>
      <c r="H14" s="35" t="inlineStr">
        <is>
          <t>Confirmation de solde ; régler ou constater en produit si dette éteinte et justifiée</t>
        </is>
      </c>
    </row>
    <row r="15" ht="30" customHeight="1">
      <c r="A15" s="4" t="inlineStr">
        <is>
          <t>Fournisseur actif</t>
        </is>
      </c>
      <c r="B15" s="32">
        <f>COUNTIF($B$22:$B$243,A15)</f>
        <v/>
      </c>
      <c r="C15" s="30">
        <f>SUMIFS($D$22:$D$243,$B$22:$B$243,$A15)</f>
        <v/>
      </c>
      <c r="D15" s="30">
        <f>SUMIFS($E$22:$E$243,$B$22:$B$243,$A15)</f>
        <v/>
      </c>
      <c r="E15" s="30">
        <f>SUMIFS($F$22:$F$243,$B$22:$B$243,$A15)</f>
        <v/>
      </c>
      <c r="F15" s="30">
        <f>SUMIFS($G$22:$G$243,$B$22:$B$243,$A15)</f>
        <v/>
      </c>
      <c r="G15" s="27">
        <f>SUM(C15:F15)</f>
        <v/>
      </c>
      <c r="H15" s="35" t="inlineStr">
        <is>
          <t>Suivi normal ; lettrage mensuel</t>
        </is>
      </c>
    </row>
    <row r="16">
      <c r="A16" s="4" t="inlineStr">
        <is>
          <t>TOTAL</t>
        </is>
      </c>
      <c r="B16" s="9">
        <f>SUM(B5:B15)</f>
        <v/>
      </c>
      <c r="C16" s="7">
        <f>SUM(C5:C15)</f>
        <v/>
      </c>
      <c r="D16" s="7">
        <f>SUM(D5:D15)</f>
        <v/>
      </c>
      <c r="E16" s="7">
        <f>SUM(E5:E15)</f>
        <v/>
      </c>
      <c r="F16" s="7">
        <f>SUM(F5:F15)</f>
        <v/>
      </c>
      <c r="G16" s="7">
        <f>SUM(G5:G15)</f>
        <v/>
      </c>
    </row>
    <row r="17">
      <c r="A17" s="21" t="inlineStr">
        <is>
          <t>Contrôle : total 411 / 419 = balance 2025</t>
        </is>
      </c>
      <c r="C17" s="30">
        <f>ROUND(C16-SUMPRODUCT((LEFT('Balance 2024-2025'!$A$5:$A$104,3)="411")*'Balance 2024-2025'!D$5:D$104),0)</f>
        <v/>
      </c>
      <c r="D17" s="30">
        <f>ROUND(D16-SUMPRODUCT((LEFT('Balance 2024-2025'!$A$5:$A$104,3)="419")*'Balance 2024-2025'!D$5:D$104),0)</f>
        <v/>
      </c>
      <c r="H17" s="21" t="inlineStr">
        <is>
          <t>Doit être 0</t>
        </is>
      </c>
    </row>
    <row r="20">
      <c r="A20" s="10" t="inlineStr">
        <is>
          <t>Détail par tiers (colonne L à compléter : décision retenue pour chaque tiers)</t>
        </is>
      </c>
    </row>
    <row r="21">
      <c r="A21" s="11" t="inlineStr">
        <is>
          <t>Tiers</t>
        </is>
      </c>
      <c r="B21" s="11" t="inlineStr">
        <is>
          <t>Catégorie</t>
        </is>
      </c>
      <c r="C21" s="11" t="inlineStr">
        <is>
          <t>411 ouverture 2023</t>
        </is>
      </c>
      <c r="D21" s="11" t="inlineStr">
        <is>
          <t>411 au 31/12/2025</t>
        </is>
      </c>
      <c r="E21" s="11" t="inlineStr">
        <is>
          <t>419 au 31/12/2025</t>
        </is>
      </c>
      <c r="F21" s="11" t="inlineStr">
        <is>
          <t>401/404 au 31/12/2025</t>
        </is>
      </c>
      <c r="G21" s="11" t="inlineStr">
        <is>
          <t>409 au 31/12/2025</t>
        </is>
      </c>
      <c r="H21" s="11" t="inlineStr">
        <is>
          <t>Solde net</t>
        </is>
      </c>
      <c r="I21" s="11" t="inlineStr">
        <is>
          <t>Débits 2025</t>
        </is>
      </c>
      <c r="J21" s="11" t="inlineStr">
        <is>
          <t>Crédits 2025</t>
        </is>
      </c>
      <c r="K21" s="11" t="inlineStr">
        <is>
          <t>Dernier mouvement 2025</t>
        </is>
      </c>
      <c r="L21" s="11" t="inlineStr">
        <is>
          <t>Décision 2026</t>
        </is>
      </c>
    </row>
    <row r="22">
      <c r="A22" s="12" t="inlineStr">
        <is>
          <t>SARL DPR AXXAM BRIQUETERIE</t>
        </is>
      </c>
      <c r="B22" s="12" t="inlineStr">
        <is>
          <t>Partie liée</t>
        </is>
      </c>
      <c r="C22" s="25" t="n">
        <v>277653204.28</v>
      </c>
      <c r="D22" s="25" t="n">
        <v>371014451.28</v>
      </c>
      <c r="E22" s="25" t="n">
        <v>0</v>
      </c>
      <c r="F22" s="25" t="n">
        <v>0</v>
      </c>
      <c r="G22" s="25" t="n">
        <v>0</v>
      </c>
      <c r="H22" s="30">
        <f>SUM(D22:G22)</f>
        <v/>
      </c>
      <c r="I22" s="25" t="n">
        <v>30309300</v>
      </c>
      <c r="J22" s="25" t="n">
        <v>2450200</v>
      </c>
      <c r="K22" s="22" t="inlineStr">
        <is>
          <t>30/09/2025</t>
        </is>
      </c>
      <c r="L22" s="41" t="n"/>
    </row>
    <row r="23">
      <c r="A23" s="12" t="inlineStr">
        <is>
          <t>SARL DPR AXXAM</t>
        </is>
      </c>
      <c r="B23" s="12" t="inlineStr">
        <is>
          <t>Partie liée</t>
        </is>
      </c>
      <c r="C23" s="25" t="n">
        <v>0</v>
      </c>
      <c r="D23" s="25" t="n">
        <v>0</v>
      </c>
      <c r="E23" s="25" t="n">
        <v>-9821942.210000001</v>
      </c>
      <c r="F23" s="25" t="n">
        <v>-23812149.03</v>
      </c>
      <c r="G23" s="25" t="n">
        <v>45350000</v>
      </c>
      <c r="H23" s="30">
        <f>SUM(D23:G23)</f>
        <v/>
      </c>
      <c r="I23" s="25" t="n">
        <v>62500000</v>
      </c>
      <c r="J23" s="25" t="n">
        <v>1815718.45</v>
      </c>
      <c r="K23" s="22" t="inlineStr">
        <is>
          <t>14/12/2025</t>
        </is>
      </c>
      <c r="L23" s="41" t="n"/>
    </row>
    <row r="24">
      <c r="A24" s="12" t="inlineStr">
        <is>
          <t>DJENNADI REYAD</t>
        </is>
      </c>
      <c r="B24" s="12" t="inlineStr">
        <is>
          <t>Associé en compte de tiers</t>
        </is>
      </c>
      <c r="C24" s="25" t="n">
        <v>0</v>
      </c>
      <c r="D24" s="25" t="n">
        <v>-4500000</v>
      </c>
      <c r="E24" s="25" t="n">
        <v>-17609544.19</v>
      </c>
      <c r="F24" s="25" t="n">
        <v>0</v>
      </c>
      <c r="G24" s="25" t="n">
        <v>0</v>
      </c>
      <c r="H24" s="30">
        <f>SUM(D24:G24)</f>
        <v/>
      </c>
      <c r="I24" s="25" t="n">
        <v>0</v>
      </c>
      <c r="J24" s="25" t="n">
        <v>4500000</v>
      </c>
      <c r="K24" s="22" t="inlineStr">
        <is>
          <t>15/12/2025</t>
        </is>
      </c>
      <c r="L24" s="41" t="n"/>
    </row>
    <row r="25">
      <c r="A25" s="12" t="inlineStr">
        <is>
          <t>DJENNADI ABDELKRIM</t>
        </is>
      </c>
      <c r="B25" s="12" t="inlineStr">
        <is>
          <t>Associé en compte de tiers</t>
        </is>
      </c>
      <c r="C25" s="25" t="n">
        <v>0</v>
      </c>
      <c r="D25" s="25" t="n">
        <v>-9699999.99</v>
      </c>
      <c r="E25" s="25" t="n">
        <v>0</v>
      </c>
      <c r="F25" s="25" t="n">
        <v>0</v>
      </c>
      <c r="G25" s="25" t="n">
        <v>0</v>
      </c>
      <c r="H25" s="30">
        <f>SUM(D25:G25)</f>
        <v/>
      </c>
      <c r="I25" s="25" t="n">
        <v>4806900.01</v>
      </c>
      <c r="J25" s="25" t="n">
        <v>14506900</v>
      </c>
      <c r="K25" s="22" t="inlineStr">
        <is>
          <t>25/12/2025</t>
        </is>
      </c>
      <c r="L25" s="41" t="n"/>
    </row>
    <row r="26">
      <c r="A26" s="12" t="inlineStr">
        <is>
          <t>DJENNADI ABD ELKADER</t>
        </is>
      </c>
      <c r="B26" s="12" t="inlineStr">
        <is>
          <t>Associé en compte de tiers</t>
        </is>
      </c>
      <c r="C26" s="25" t="n">
        <v>0</v>
      </c>
      <c r="D26" s="25" t="n">
        <v>0</v>
      </c>
      <c r="E26" s="25" t="n">
        <v>0</v>
      </c>
      <c r="F26" s="25" t="n">
        <v>-2510665</v>
      </c>
      <c r="G26" s="25" t="n">
        <v>0</v>
      </c>
      <c r="H26" s="30">
        <f>SUM(D26:G26)</f>
        <v/>
      </c>
      <c r="I26" s="25" t="n">
        <v>0</v>
      </c>
      <c r="J26" s="25" t="n">
        <v>0</v>
      </c>
      <c r="K26" s="22" t="inlineStr">
        <is>
          <t>aucun</t>
        </is>
      </c>
      <c r="L26" s="41" t="n"/>
    </row>
    <row r="27">
      <c r="A27" s="12" t="inlineStr">
        <is>
          <t>DJENNADI AHCENE</t>
        </is>
      </c>
      <c r="B27" s="12" t="inlineStr">
        <is>
          <t>Associé en compte de tiers</t>
        </is>
      </c>
      <c r="C27" s="25" t="n">
        <v>0</v>
      </c>
      <c r="D27" s="25" t="n">
        <v>0</v>
      </c>
      <c r="E27" s="25" t="n">
        <v>-500000</v>
      </c>
      <c r="F27" s="25" t="n">
        <v>0</v>
      </c>
      <c r="G27" s="25" t="n">
        <v>0</v>
      </c>
      <c r="H27" s="30">
        <f>SUM(D27:G27)</f>
        <v/>
      </c>
      <c r="I27" s="25" t="n">
        <v>0</v>
      </c>
      <c r="J27" s="25" t="n">
        <v>0</v>
      </c>
      <c r="K27" s="22" t="inlineStr">
        <is>
          <t>aucun</t>
        </is>
      </c>
      <c r="L27" s="41" t="n"/>
    </row>
    <row r="28">
      <c r="A28" s="12" t="inlineStr">
        <is>
          <t>AMEUR KHELLAF</t>
        </is>
      </c>
      <c r="B28" s="12" t="inlineStr">
        <is>
          <t>Client 411 + avance 419 à compenser</t>
        </is>
      </c>
      <c r="C28" s="25" t="n">
        <v>99837.81</v>
      </c>
      <c r="D28" s="25" t="n">
        <v>99837.81</v>
      </c>
      <c r="E28" s="25" t="n">
        <v>-11034657.94</v>
      </c>
      <c r="F28" s="25" t="n">
        <v>0</v>
      </c>
      <c r="G28" s="25" t="n">
        <v>0</v>
      </c>
      <c r="H28" s="30">
        <f>SUM(D28:G28)</f>
        <v/>
      </c>
      <c r="I28" s="25" t="n">
        <v>0</v>
      </c>
      <c r="J28" s="25" t="n">
        <v>0</v>
      </c>
      <c r="K28" s="22" t="inlineStr">
        <is>
          <t>aucun</t>
        </is>
      </c>
      <c r="L28" s="41" t="n"/>
    </row>
    <row r="29">
      <c r="A29" s="12" t="inlineStr">
        <is>
          <t>SAIDOUN YACINE</t>
        </is>
      </c>
      <c r="B29" s="12" t="inlineStr">
        <is>
          <t>Client 411 + avance 419 à compenser</t>
        </is>
      </c>
      <c r="C29" s="25" t="n">
        <v>0</v>
      </c>
      <c r="D29" s="25" t="n">
        <v>400000</v>
      </c>
      <c r="E29" s="25" t="n">
        <v>-9857236.42</v>
      </c>
      <c r="F29" s="25" t="n">
        <v>0</v>
      </c>
      <c r="G29" s="25" t="n">
        <v>0</v>
      </c>
      <c r="H29" s="30">
        <f>SUM(D29:G29)</f>
        <v/>
      </c>
      <c r="I29" s="25" t="n">
        <v>484277.89</v>
      </c>
      <c r="J29" s="25" t="n">
        <v>484277.89</v>
      </c>
      <c r="K29" s="22" t="inlineStr">
        <is>
          <t>26/06/2025</t>
        </is>
      </c>
      <c r="L29" s="41" t="n"/>
    </row>
    <row r="30">
      <c r="A30" s="12" t="inlineStr">
        <is>
          <t>ABDOUNE RAFIK</t>
        </is>
      </c>
      <c r="B30" s="12" t="inlineStr">
        <is>
          <t>Client 411 + avance 419 à compenser</t>
        </is>
      </c>
      <c r="C30" s="25" t="n">
        <v>700700</v>
      </c>
      <c r="D30" s="25" t="n">
        <v>700700</v>
      </c>
      <c r="E30" s="25" t="n">
        <v>-435515.5</v>
      </c>
      <c r="F30" s="25" t="n">
        <v>0</v>
      </c>
      <c r="G30" s="25" t="n">
        <v>0</v>
      </c>
      <c r="H30" s="30">
        <f>SUM(D30:G30)</f>
        <v/>
      </c>
      <c r="I30" s="25" t="n">
        <v>0</v>
      </c>
      <c r="J30" s="25" t="n">
        <v>0</v>
      </c>
      <c r="K30" s="22" t="inlineStr">
        <is>
          <t>aucun</t>
        </is>
      </c>
      <c r="L30" s="41" t="n"/>
    </row>
    <row r="31">
      <c r="A31" s="12" t="inlineStr">
        <is>
          <t>GHENABZIA BELKACEM</t>
        </is>
      </c>
      <c r="B31" s="12" t="inlineStr">
        <is>
          <t>Client 411 + avance 419 à compenser</t>
        </is>
      </c>
      <c r="C31" s="25" t="n">
        <v>185540</v>
      </c>
      <c r="D31" s="25" t="n">
        <v>185540</v>
      </c>
      <c r="E31" s="25" t="n">
        <v>-185540</v>
      </c>
      <c r="F31" s="25" t="n">
        <v>0</v>
      </c>
      <c r="G31" s="25" t="n">
        <v>0</v>
      </c>
      <c r="H31" s="30">
        <f>SUM(D31:G31)</f>
        <v/>
      </c>
      <c r="I31" s="25" t="n">
        <v>0</v>
      </c>
      <c r="J31" s="25" t="n">
        <v>0</v>
      </c>
      <c r="K31" s="22" t="inlineStr">
        <is>
          <t>aucun</t>
        </is>
      </c>
      <c r="L31" s="41" t="n"/>
    </row>
    <row r="32">
      <c r="A32" s="12" t="inlineStr">
        <is>
          <t>BENAMARA AYOUB SAHARA MOTORS</t>
        </is>
      </c>
      <c r="B32" s="12" t="inlineStr">
        <is>
          <t>Client 411 créditeur</t>
        </is>
      </c>
      <c r="C32" s="25" t="n">
        <v>0</v>
      </c>
      <c r="D32" s="25" t="n">
        <v>-1989648</v>
      </c>
      <c r="E32" s="25" t="n">
        <v>0</v>
      </c>
      <c r="F32" s="25" t="n">
        <v>0</v>
      </c>
      <c r="G32" s="25" t="n">
        <v>0</v>
      </c>
      <c r="H32" s="30">
        <f>SUM(D32:G32)</f>
        <v/>
      </c>
      <c r="I32" s="25" t="n">
        <v>3918337.01</v>
      </c>
      <c r="J32" s="25" t="n">
        <v>5907985.01</v>
      </c>
      <c r="K32" s="22" t="inlineStr">
        <is>
          <t>13/04/2025</t>
        </is>
      </c>
      <c r="L32" s="41" t="n"/>
    </row>
    <row r="33">
      <c r="A33" s="12" t="inlineStr">
        <is>
          <t>SNC AVI BOUDEDJA ET CIE</t>
        </is>
      </c>
      <c r="B33" s="12" t="inlineStr">
        <is>
          <t>Client 411 créditeur</t>
        </is>
      </c>
      <c r="C33" s="25" t="n">
        <v>0</v>
      </c>
      <c r="D33" s="25" t="n">
        <v>-1361200</v>
      </c>
      <c r="E33" s="25" t="n">
        <v>0</v>
      </c>
      <c r="F33" s="25" t="n">
        <v>0</v>
      </c>
      <c r="G33" s="25" t="n">
        <v>0</v>
      </c>
      <c r="H33" s="30">
        <f>SUM(D33:G33)</f>
        <v/>
      </c>
      <c r="I33" s="25" t="n">
        <v>789309.28</v>
      </c>
      <c r="J33" s="25" t="n">
        <v>2150509.28</v>
      </c>
      <c r="K33" s="22" t="inlineStr">
        <is>
          <t>19/11/2025</t>
        </is>
      </c>
      <c r="L33" s="41" t="n"/>
    </row>
    <row r="34">
      <c r="A34" s="12" t="inlineStr">
        <is>
          <t>EURL MEHTAR SERVICES</t>
        </is>
      </c>
      <c r="B34" s="12" t="inlineStr">
        <is>
          <t>Client 411 créditeur</t>
        </is>
      </c>
      <c r="C34" s="25" t="n">
        <v>0</v>
      </c>
      <c r="D34" s="25" t="n">
        <v>-350000</v>
      </c>
      <c r="E34" s="25" t="n">
        <v>0</v>
      </c>
      <c r="F34" s="25" t="n">
        <v>0</v>
      </c>
      <c r="G34" s="25" t="n">
        <v>0</v>
      </c>
      <c r="H34" s="30">
        <f>SUM(D34:G34)</f>
        <v/>
      </c>
      <c r="I34" s="25" t="n">
        <v>1450000.01</v>
      </c>
      <c r="J34" s="25" t="n">
        <v>1800000.01</v>
      </c>
      <c r="K34" s="22" t="inlineStr">
        <is>
          <t>23/12/2025</t>
        </is>
      </c>
      <c r="L34" s="41" t="n"/>
    </row>
    <row r="35">
      <c r="A35" s="12" t="inlineStr">
        <is>
          <t>SARL GRANIT NEGOCE TRANSPORT</t>
        </is>
      </c>
      <c r="B35" s="12" t="inlineStr">
        <is>
          <t>Client 411 créditeur</t>
        </is>
      </c>
      <c r="C35" s="25" t="n">
        <v>14440</v>
      </c>
      <c r="D35" s="25" t="n">
        <v>-32844</v>
      </c>
      <c r="E35" s="25" t="n">
        <v>0</v>
      </c>
      <c r="F35" s="25" t="n">
        <v>0</v>
      </c>
      <c r="G35" s="25" t="n">
        <v>0</v>
      </c>
      <c r="H35" s="30">
        <f>SUM(D35:G35)</f>
        <v/>
      </c>
      <c r="I35" s="25" t="n">
        <v>0</v>
      </c>
      <c r="J35" s="25" t="n">
        <v>0</v>
      </c>
      <c r="K35" s="22" t="inlineStr">
        <is>
          <t>aucun</t>
        </is>
      </c>
      <c r="L35" s="41" t="n"/>
    </row>
    <row r="36">
      <c r="A36" s="12" t="inlineStr">
        <is>
          <t>DJOUADI BELKACEM</t>
        </is>
      </c>
      <c r="B36" s="12" t="inlineStr">
        <is>
          <t>Avance client dormante ≥ 3 ans</t>
        </is>
      </c>
      <c r="C36" s="25" t="n">
        <v>0</v>
      </c>
      <c r="D36" s="25" t="n">
        <v>0</v>
      </c>
      <c r="E36" s="25" t="n">
        <v>-14706831.93</v>
      </c>
      <c r="F36" s="25" t="n">
        <v>0</v>
      </c>
      <c r="G36" s="25" t="n">
        <v>0</v>
      </c>
      <c r="H36" s="30">
        <f>SUM(D36:G36)</f>
        <v/>
      </c>
      <c r="I36" s="25" t="n">
        <v>0</v>
      </c>
      <c r="J36" s="25" t="n">
        <v>0</v>
      </c>
      <c r="K36" s="22" t="inlineStr">
        <is>
          <t>aucun</t>
        </is>
      </c>
      <c r="L36" s="41" t="n"/>
    </row>
    <row r="37">
      <c r="A37" s="12" t="inlineStr">
        <is>
          <t>ZAIDANI ALI</t>
        </is>
      </c>
      <c r="B37" s="12" t="inlineStr">
        <is>
          <t>Avance client dormante ≥ 3 ans</t>
        </is>
      </c>
      <c r="C37" s="25" t="n">
        <v>0</v>
      </c>
      <c r="D37" s="25" t="n">
        <v>0</v>
      </c>
      <c r="E37" s="25" t="n">
        <v>-12329618.11</v>
      </c>
      <c r="F37" s="25" t="n">
        <v>0</v>
      </c>
      <c r="G37" s="25" t="n">
        <v>0</v>
      </c>
      <c r="H37" s="30">
        <f>SUM(D37:G37)</f>
        <v/>
      </c>
      <c r="I37" s="25" t="n">
        <v>0</v>
      </c>
      <c r="J37" s="25" t="n">
        <v>0</v>
      </c>
      <c r="K37" s="22" t="inlineStr">
        <is>
          <t>aucun</t>
        </is>
      </c>
      <c r="L37" s="41" t="n"/>
    </row>
    <row r="38">
      <c r="A38" s="12" t="inlineStr">
        <is>
          <t>IGHEMOURACENE SALIM</t>
        </is>
      </c>
      <c r="B38" s="12" t="inlineStr">
        <is>
          <t>Avance client dormante ≥ 3 ans</t>
        </is>
      </c>
      <c r="C38" s="25" t="n">
        <v>0</v>
      </c>
      <c r="D38" s="25" t="n">
        <v>0</v>
      </c>
      <c r="E38" s="25" t="n">
        <v>-10191211.8</v>
      </c>
      <c r="F38" s="25" t="n">
        <v>0</v>
      </c>
      <c r="G38" s="25" t="n">
        <v>0</v>
      </c>
      <c r="H38" s="30">
        <f>SUM(D38:G38)</f>
        <v/>
      </c>
      <c r="I38" s="25" t="n">
        <v>0</v>
      </c>
      <c r="J38" s="25" t="n">
        <v>0</v>
      </c>
      <c r="K38" s="22" t="inlineStr">
        <is>
          <t>aucun</t>
        </is>
      </c>
      <c r="L38" s="41" t="n"/>
    </row>
    <row r="39">
      <c r="A39" s="12" t="inlineStr">
        <is>
          <t>MESSAST ABDELOUAHAB</t>
        </is>
      </c>
      <c r="B39" s="12" t="inlineStr">
        <is>
          <t>Avance client dormante ≥ 3 ans</t>
        </is>
      </c>
      <c r="C39" s="25" t="n">
        <v>0</v>
      </c>
      <c r="D39" s="25" t="n">
        <v>0</v>
      </c>
      <c r="E39" s="25" t="n">
        <v>-9987090</v>
      </c>
      <c r="F39" s="25" t="n">
        <v>0</v>
      </c>
      <c r="G39" s="25" t="n">
        <v>0</v>
      </c>
      <c r="H39" s="30">
        <f>SUM(D39:G39)</f>
        <v/>
      </c>
      <c r="I39" s="25" t="n">
        <v>0</v>
      </c>
      <c r="J39" s="25" t="n">
        <v>0</v>
      </c>
      <c r="K39" s="22" t="inlineStr">
        <is>
          <t>aucun</t>
        </is>
      </c>
      <c r="L39" s="41" t="n"/>
    </row>
    <row r="40">
      <c r="A40" s="12" t="inlineStr">
        <is>
          <t>ETB TCE AZIRI FARID</t>
        </is>
      </c>
      <c r="B40" s="12" t="inlineStr">
        <is>
          <t>Avance client dormante ≥ 3 ans</t>
        </is>
      </c>
      <c r="C40" s="25" t="n">
        <v>0</v>
      </c>
      <c r="D40" s="25" t="n">
        <v>0</v>
      </c>
      <c r="E40" s="25" t="n">
        <v>-9627609.779999999</v>
      </c>
      <c r="F40" s="25" t="n">
        <v>0</v>
      </c>
      <c r="G40" s="25" t="n">
        <v>0</v>
      </c>
      <c r="H40" s="30">
        <f>SUM(D40:G40)</f>
        <v/>
      </c>
      <c r="I40" s="25" t="n">
        <v>0</v>
      </c>
      <c r="J40" s="25" t="n">
        <v>0</v>
      </c>
      <c r="K40" s="22" t="inlineStr">
        <is>
          <t>aucun</t>
        </is>
      </c>
      <c r="L40" s="41" t="n"/>
    </row>
    <row r="41">
      <c r="A41" s="12" t="inlineStr">
        <is>
          <t>MANSOURI ZOUBIR</t>
        </is>
      </c>
      <c r="B41" s="12" t="inlineStr">
        <is>
          <t>Avance client dormante ≥ 3 ans</t>
        </is>
      </c>
      <c r="C41" s="25" t="n">
        <v>0</v>
      </c>
      <c r="D41" s="25" t="n">
        <v>0</v>
      </c>
      <c r="E41" s="25" t="n">
        <v>-9254548</v>
      </c>
      <c r="F41" s="25" t="n">
        <v>0</v>
      </c>
      <c r="G41" s="25" t="n">
        <v>0</v>
      </c>
      <c r="H41" s="30">
        <f>SUM(D41:G41)</f>
        <v/>
      </c>
      <c r="I41" s="25" t="n">
        <v>0</v>
      </c>
      <c r="J41" s="25" t="n">
        <v>0</v>
      </c>
      <c r="K41" s="22" t="inlineStr">
        <is>
          <t>aucun</t>
        </is>
      </c>
      <c r="L41" s="41" t="n"/>
    </row>
    <row r="42">
      <c r="A42" s="12" t="inlineStr">
        <is>
          <t>BAKHA MOKHTAR</t>
        </is>
      </c>
      <c r="B42" s="12" t="inlineStr">
        <is>
          <t>Avance client dormante ≥ 3 ans</t>
        </is>
      </c>
      <c r="C42" s="25" t="n">
        <v>0</v>
      </c>
      <c r="D42" s="25" t="n">
        <v>0</v>
      </c>
      <c r="E42" s="25" t="n">
        <v>-7587989.13</v>
      </c>
      <c r="F42" s="25" t="n">
        <v>0</v>
      </c>
      <c r="G42" s="25" t="n">
        <v>0</v>
      </c>
      <c r="H42" s="30">
        <f>SUM(D42:G42)</f>
        <v/>
      </c>
      <c r="I42" s="25" t="n">
        <v>0</v>
      </c>
      <c r="J42" s="25" t="n">
        <v>0</v>
      </c>
      <c r="K42" s="22" t="inlineStr">
        <is>
          <t>aucun</t>
        </is>
      </c>
      <c r="L42" s="41" t="n"/>
    </row>
    <row r="43">
      <c r="A43" s="12" t="inlineStr">
        <is>
          <t>SNC L'AIGLE DES COLINES</t>
        </is>
      </c>
      <c r="B43" s="12" t="inlineStr">
        <is>
          <t>Avance client dormante ≥ 3 ans</t>
        </is>
      </c>
      <c r="C43" s="25" t="n">
        <v>0</v>
      </c>
      <c r="D43" s="25" t="n">
        <v>0</v>
      </c>
      <c r="E43" s="25" t="n">
        <v>-7453500.71</v>
      </c>
      <c r="F43" s="25" t="n">
        <v>0</v>
      </c>
      <c r="G43" s="25" t="n">
        <v>0</v>
      </c>
      <c r="H43" s="30">
        <f>SUM(D43:G43)</f>
        <v/>
      </c>
      <c r="I43" s="25" t="n">
        <v>0</v>
      </c>
      <c r="J43" s="25" t="n">
        <v>0</v>
      </c>
      <c r="K43" s="22" t="inlineStr">
        <is>
          <t>aucun</t>
        </is>
      </c>
      <c r="L43" s="41" t="n"/>
    </row>
    <row r="44">
      <c r="A44" s="12" t="inlineStr">
        <is>
          <t>BOUHZILA MOURAD</t>
        </is>
      </c>
      <c r="B44" s="12" t="inlineStr">
        <is>
          <t>Avance client dormante ≥ 3 ans</t>
        </is>
      </c>
      <c r="C44" s="25" t="n">
        <v>0</v>
      </c>
      <c r="D44" s="25" t="n">
        <v>0</v>
      </c>
      <c r="E44" s="25" t="n">
        <v>-6695583.64</v>
      </c>
      <c r="F44" s="25" t="n">
        <v>0</v>
      </c>
      <c r="G44" s="25" t="n">
        <v>0</v>
      </c>
      <c r="H44" s="30">
        <f>SUM(D44:G44)</f>
        <v/>
      </c>
      <c r="I44" s="25" t="n">
        <v>0</v>
      </c>
      <c r="J44" s="25" t="n">
        <v>0</v>
      </c>
      <c r="K44" s="22" t="inlineStr">
        <is>
          <t>aucun</t>
        </is>
      </c>
      <c r="L44" s="41" t="n"/>
    </row>
    <row r="45">
      <c r="A45" s="12" t="inlineStr">
        <is>
          <t>ZIANI KOCEILA</t>
        </is>
      </c>
      <c r="B45" s="12" t="inlineStr">
        <is>
          <t>Avance client dormante ≥ 3 ans</t>
        </is>
      </c>
      <c r="C45" s="25" t="n">
        <v>0</v>
      </c>
      <c r="D45" s="25" t="n">
        <v>0</v>
      </c>
      <c r="E45" s="25" t="n">
        <v>-5974969.31</v>
      </c>
      <c r="F45" s="25" t="n">
        <v>0</v>
      </c>
      <c r="G45" s="25" t="n">
        <v>0</v>
      </c>
      <c r="H45" s="30">
        <f>SUM(D45:G45)</f>
        <v/>
      </c>
      <c r="I45" s="25" t="n">
        <v>0</v>
      </c>
      <c r="J45" s="25" t="n">
        <v>0</v>
      </c>
      <c r="K45" s="22" t="inlineStr">
        <is>
          <t>aucun</t>
        </is>
      </c>
      <c r="L45" s="41" t="n"/>
    </row>
    <row r="46">
      <c r="A46" s="12" t="inlineStr">
        <is>
          <t>SNC LASMI ET CIE HYGIENNE</t>
        </is>
      </c>
      <c r="B46" s="12" t="inlineStr">
        <is>
          <t>Avance client dormante ≥ 3 ans</t>
        </is>
      </c>
      <c r="C46" s="25" t="n">
        <v>0</v>
      </c>
      <c r="D46" s="25" t="n">
        <v>0</v>
      </c>
      <c r="E46" s="25" t="n">
        <v>-4586600</v>
      </c>
      <c r="F46" s="25" t="n">
        <v>0</v>
      </c>
      <c r="G46" s="25" t="n">
        <v>0</v>
      </c>
      <c r="H46" s="30">
        <f>SUM(D46:G46)</f>
        <v/>
      </c>
      <c r="I46" s="25" t="n">
        <v>0</v>
      </c>
      <c r="J46" s="25" t="n">
        <v>0</v>
      </c>
      <c r="K46" s="22" t="inlineStr">
        <is>
          <t>aucun</t>
        </is>
      </c>
      <c r="L46" s="41" t="n"/>
    </row>
    <row r="47">
      <c r="A47" s="12" t="inlineStr">
        <is>
          <t>KADI MOHAND AREZKI</t>
        </is>
      </c>
      <c r="B47" s="12" t="inlineStr">
        <is>
          <t>Avance client dormante ≥ 3 ans</t>
        </is>
      </c>
      <c r="C47" s="25" t="n">
        <v>0</v>
      </c>
      <c r="D47" s="25" t="n">
        <v>0</v>
      </c>
      <c r="E47" s="25" t="n">
        <v>-4333712.42</v>
      </c>
      <c r="F47" s="25" t="n">
        <v>0</v>
      </c>
      <c r="G47" s="25" t="n">
        <v>0</v>
      </c>
      <c r="H47" s="30">
        <f>SUM(D47:G47)</f>
        <v/>
      </c>
      <c r="I47" s="25" t="n">
        <v>0</v>
      </c>
      <c r="J47" s="25" t="n">
        <v>0</v>
      </c>
      <c r="K47" s="22" t="inlineStr">
        <is>
          <t>aucun</t>
        </is>
      </c>
      <c r="L47" s="41" t="n"/>
    </row>
    <row r="48">
      <c r="A48" s="12" t="inlineStr">
        <is>
          <t>EURL BIZIOU</t>
        </is>
      </c>
      <c r="B48" s="12" t="inlineStr">
        <is>
          <t>Avance client dormante ≥ 3 ans</t>
        </is>
      </c>
      <c r="C48" s="25" t="n">
        <v>0</v>
      </c>
      <c r="D48" s="25" t="n">
        <v>0</v>
      </c>
      <c r="E48" s="25" t="n">
        <v>-4168226.83</v>
      </c>
      <c r="F48" s="25" t="n">
        <v>0</v>
      </c>
      <c r="G48" s="25" t="n">
        <v>0</v>
      </c>
      <c r="H48" s="30">
        <f>SUM(D48:G48)</f>
        <v/>
      </c>
      <c r="I48" s="25" t="n">
        <v>0</v>
      </c>
      <c r="J48" s="25" t="n">
        <v>0</v>
      </c>
      <c r="K48" s="22" t="inlineStr">
        <is>
          <t>aucun</t>
        </is>
      </c>
      <c r="L48" s="41" t="n"/>
    </row>
    <row r="49">
      <c r="A49" s="12" t="inlineStr">
        <is>
          <t>AZIB AZZEDINE</t>
        </is>
      </c>
      <c r="B49" s="12" t="inlineStr">
        <is>
          <t>Avance client dormante ≥ 3 ans</t>
        </is>
      </c>
      <c r="C49" s="25" t="n">
        <v>0</v>
      </c>
      <c r="D49" s="25" t="n">
        <v>0</v>
      </c>
      <c r="E49" s="25" t="n">
        <v>-4087093.07</v>
      </c>
      <c r="F49" s="25" t="n">
        <v>0</v>
      </c>
      <c r="G49" s="25" t="n">
        <v>0</v>
      </c>
      <c r="H49" s="30">
        <f>SUM(D49:G49)</f>
        <v/>
      </c>
      <c r="I49" s="25" t="n">
        <v>0</v>
      </c>
      <c r="J49" s="25" t="n">
        <v>0</v>
      </c>
      <c r="K49" s="22" t="inlineStr">
        <is>
          <t>aucun</t>
        </is>
      </c>
      <c r="L49" s="41" t="n"/>
    </row>
    <row r="50">
      <c r="A50" s="12" t="inlineStr">
        <is>
          <t>SELLAH AKLI</t>
        </is>
      </c>
      <c r="B50" s="12" t="inlineStr">
        <is>
          <t>Avance client dormante ≥ 3 ans</t>
        </is>
      </c>
      <c r="C50" s="25" t="n">
        <v>0</v>
      </c>
      <c r="D50" s="25" t="n">
        <v>0</v>
      </c>
      <c r="E50" s="25" t="n">
        <v>-3702637.99</v>
      </c>
      <c r="F50" s="25" t="n">
        <v>0</v>
      </c>
      <c r="G50" s="25" t="n">
        <v>0</v>
      </c>
      <c r="H50" s="30">
        <f>SUM(D50:G50)</f>
        <v/>
      </c>
      <c r="I50" s="25" t="n">
        <v>0</v>
      </c>
      <c r="J50" s="25" t="n">
        <v>0</v>
      </c>
      <c r="K50" s="22" t="inlineStr">
        <is>
          <t>aucun</t>
        </is>
      </c>
      <c r="L50" s="41" t="n"/>
    </row>
    <row r="51">
      <c r="A51" s="12" t="inlineStr">
        <is>
          <t>BIBI SMAIL</t>
        </is>
      </c>
      <c r="B51" s="12" t="inlineStr">
        <is>
          <t>Avance client dormante ≥ 3 ans</t>
        </is>
      </c>
      <c r="C51" s="25" t="n">
        <v>0</v>
      </c>
      <c r="D51" s="25" t="n">
        <v>0</v>
      </c>
      <c r="E51" s="25" t="n">
        <v>-3702000</v>
      </c>
      <c r="F51" s="25" t="n">
        <v>0</v>
      </c>
      <c r="G51" s="25" t="n">
        <v>0</v>
      </c>
      <c r="H51" s="30">
        <f>SUM(D51:G51)</f>
        <v/>
      </c>
      <c r="I51" s="25" t="n">
        <v>0</v>
      </c>
      <c r="J51" s="25" t="n">
        <v>0</v>
      </c>
      <c r="K51" s="22" t="inlineStr">
        <is>
          <t>aucun</t>
        </is>
      </c>
      <c r="L51" s="41" t="n"/>
    </row>
    <row r="52">
      <c r="A52" s="12" t="inlineStr">
        <is>
          <t>DJOUDI SADEK</t>
        </is>
      </c>
      <c r="B52" s="12" t="inlineStr">
        <is>
          <t>Avance client dormante ≥ 3 ans</t>
        </is>
      </c>
      <c r="C52" s="25" t="n">
        <v>0</v>
      </c>
      <c r="D52" s="25" t="n">
        <v>0</v>
      </c>
      <c r="E52" s="25" t="n">
        <v>-3643857.92</v>
      </c>
      <c r="F52" s="25" t="n">
        <v>0</v>
      </c>
      <c r="G52" s="25" t="n">
        <v>0</v>
      </c>
      <c r="H52" s="30">
        <f>SUM(D52:G52)</f>
        <v/>
      </c>
      <c r="I52" s="25" t="n">
        <v>0</v>
      </c>
      <c r="J52" s="25" t="n">
        <v>0</v>
      </c>
      <c r="K52" s="22" t="inlineStr">
        <is>
          <t>aucun</t>
        </is>
      </c>
      <c r="L52" s="41" t="n"/>
    </row>
    <row r="53">
      <c r="A53" s="12" t="inlineStr">
        <is>
          <t>MECHREF MOUHOUB</t>
        </is>
      </c>
      <c r="B53" s="12" t="inlineStr">
        <is>
          <t>Avance client dormante ≥ 3 ans</t>
        </is>
      </c>
      <c r="C53" s="25" t="n">
        <v>0</v>
      </c>
      <c r="D53" s="25" t="n">
        <v>0</v>
      </c>
      <c r="E53" s="25" t="n">
        <v>-3509008.27</v>
      </c>
      <c r="F53" s="25" t="n">
        <v>0</v>
      </c>
      <c r="G53" s="25" t="n">
        <v>0</v>
      </c>
      <c r="H53" s="30">
        <f>SUM(D53:G53)</f>
        <v/>
      </c>
      <c r="I53" s="25" t="n">
        <v>0</v>
      </c>
      <c r="J53" s="25" t="n">
        <v>0</v>
      </c>
      <c r="K53" s="22" t="inlineStr">
        <is>
          <t>aucun</t>
        </is>
      </c>
      <c r="L53" s="41" t="n"/>
    </row>
    <row r="54">
      <c r="A54" s="12" t="inlineStr">
        <is>
          <t>CHEBAH ABDESSALEM</t>
        </is>
      </c>
      <c r="B54" s="12" t="inlineStr">
        <is>
          <t>Avance client dormante ≥ 3 ans</t>
        </is>
      </c>
      <c r="C54" s="25" t="n">
        <v>0</v>
      </c>
      <c r="D54" s="25" t="n">
        <v>0</v>
      </c>
      <c r="E54" s="25" t="n">
        <v>-3400200</v>
      </c>
      <c r="F54" s="25" t="n">
        <v>0</v>
      </c>
      <c r="G54" s="25" t="n">
        <v>0</v>
      </c>
      <c r="H54" s="30">
        <f>SUM(D54:G54)</f>
        <v/>
      </c>
      <c r="I54" s="25" t="n">
        <v>0</v>
      </c>
      <c r="J54" s="25" t="n">
        <v>0</v>
      </c>
      <c r="K54" s="22" t="inlineStr">
        <is>
          <t>aucun</t>
        </is>
      </c>
      <c r="L54" s="41" t="n"/>
    </row>
    <row r="55">
      <c r="A55" s="12" t="inlineStr">
        <is>
          <t>BENMEZIANE ABBAS</t>
        </is>
      </c>
      <c r="B55" s="12" t="inlineStr">
        <is>
          <t>Avance client dormante ≥ 3 ans</t>
        </is>
      </c>
      <c r="C55" s="25" t="n">
        <v>0</v>
      </c>
      <c r="D55" s="25" t="n">
        <v>0</v>
      </c>
      <c r="E55" s="25" t="n">
        <v>-3133434.14</v>
      </c>
      <c r="F55" s="25" t="n">
        <v>0</v>
      </c>
      <c r="G55" s="25" t="n">
        <v>0</v>
      </c>
      <c r="H55" s="30">
        <f>SUM(D55:G55)</f>
        <v/>
      </c>
      <c r="I55" s="25" t="n">
        <v>0</v>
      </c>
      <c r="J55" s="25" t="n">
        <v>0</v>
      </c>
      <c r="K55" s="22" t="inlineStr">
        <is>
          <t>aucun</t>
        </is>
      </c>
      <c r="L55" s="41" t="n"/>
    </row>
    <row r="56">
      <c r="A56" s="12" t="inlineStr">
        <is>
          <t>BERKANI HAMZA</t>
        </is>
      </c>
      <c r="B56" s="12" t="inlineStr">
        <is>
          <t>Avance client dormante ≥ 3 ans</t>
        </is>
      </c>
      <c r="C56" s="25" t="n">
        <v>0</v>
      </c>
      <c r="D56" s="25" t="n">
        <v>0</v>
      </c>
      <c r="E56" s="25" t="n">
        <v>-2662204.95</v>
      </c>
      <c r="F56" s="25" t="n">
        <v>0</v>
      </c>
      <c r="G56" s="25" t="n">
        <v>0</v>
      </c>
      <c r="H56" s="30">
        <f>SUM(D56:G56)</f>
        <v/>
      </c>
      <c r="I56" s="25" t="n">
        <v>0</v>
      </c>
      <c r="J56" s="25" t="n">
        <v>0</v>
      </c>
      <c r="K56" s="22" t="inlineStr">
        <is>
          <t>aucun</t>
        </is>
      </c>
      <c r="L56" s="41" t="n"/>
    </row>
    <row r="57">
      <c r="A57" s="12" t="inlineStr">
        <is>
          <t>OUASDI SAADI</t>
        </is>
      </c>
      <c r="B57" s="12" t="inlineStr">
        <is>
          <t>Avance client dormante ≥ 3 ans</t>
        </is>
      </c>
      <c r="C57" s="25" t="n">
        <v>0</v>
      </c>
      <c r="D57" s="25" t="n">
        <v>0</v>
      </c>
      <c r="E57" s="25" t="n">
        <v>-2583217.7</v>
      </c>
      <c r="F57" s="25" t="n">
        <v>0</v>
      </c>
      <c r="G57" s="25" t="n">
        <v>0</v>
      </c>
      <c r="H57" s="30">
        <f>SUM(D57:G57)</f>
        <v/>
      </c>
      <c r="I57" s="25" t="n">
        <v>0</v>
      </c>
      <c r="J57" s="25" t="n">
        <v>0</v>
      </c>
      <c r="K57" s="22" t="inlineStr">
        <is>
          <t>aucun</t>
        </is>
      </c>
      <c r="L57" s="41" t="n"/>
    </row>
    <row r="58">
      <c r="A58" s="12" t="inlineStr">
        <is>
          <t>SARL SIARI MEHLIA TPP</t>
        </is>
      </c>
      <c r="B58" s="12" t="inlineStr">
        <is>
          <t>Avance client dormante ≥ 3 ans</t>
        </is>
      </c>
      <c r="C58" s="25" t="n">
        <v>0</v>
      </c>
      <c r="D58" s="25" t="n">
        <v>0</v>
      </c>
      <c r="E58" s="25" t="n">
        <v>-2162328.3</v>
      </c>
      <c r="F58" s="25" t="n">
        <v>0</v>
      </c>
      <c r="G58" s="25" t="n">
        <v>0</v>
      </c>
      <c r="H58" s="30">
        <f>SUM(D58:G58)</f>
        <v/>
      </c>
      <c r="I58" s="25" t="n">
        <v>0</v>
      </c>
      <c r="J58" s="25" t="n">
        <v>0</v>
      </c>
      <c r="K58" s="22" t="inlineStr">
        <is>
          <t>aucun</t>
        </is>
      </c>
      <c r="L58" s="41" t="n"/>
    </row>
    <row r="59">
      <c r="A59" s="12" t="inlineStr">
        <is>
          <t>HADDAD KHELLAF</t>
        </is>
      </c>
      <c r="B59" s="12" t="inlineStr">
        <is>
          <t>Avance client dormante ≥ 3 ans</t>
        </is>
      </c>
      <c r="C59" s="25" t="n">
        <v>0</v>
      </c>
      <c r="D59" s="25" t="n">
        <v>0</v>
      </c>
      <c r="E59" s="25" t="n">
        <v>-2072726.88</v>
      </c>
      <c r="F59" s="25" t="n">
        <v>0</v>
      </c>
      <c r="G59" s="25" t="n">
        <v>0</v>
      </c>
      <c r="H59" s="30">
        <f>SUM(D59:G59)</f>
        <v/>
      </c>
      <c r="I59" s="25" t="n">
        <v>0</v>
      </c>
      <c r="J59" s="25" t="n">
        <v>0</v>
      </c>
      <c r="K59" s="22" t="inlineStr">
        <is>
          <t>aucun</t>
        </is>
      </c>
      <c r="L59" s="41" t="n"/>
    </row>
    <row r="60">
      <c r="A60" s="12" t="inlineStr">
        <is>
          <t>MEHDAOUI SAID</t>
        </is>
      </c>
      <c r="B60" s="12" t="inlineStr">
        <is>
          <t>Avance client dormante ≥ 3 ans</t>
        </is>
      </c>
      <c r="C60" s="25" t="n">
        <v>0</v>
      </c>
      <c r="D60" s="25" t="n">
        <v>0</v>
      </c>
      <c r="E60" s="25" t="n">
        <v>-2069100</v>
      </c>
      <c r="F60" s="25" t="n">
        <v>0</v>
      </c>
      <c r="G60" s="25" t="n">
        <v>0</v>
      </c>
      <c r="H60" s="30">
        <f>SUM(D60:G60)</f>
        <v/>
      </c>
      <c r="I60" s="25" t="n">
        <v>0</v>
      </c>
      <c r="J60" s="25" t="n">
        <v>0</v>
      </c>
      <c r="K60" s="22" t="inlineStr">
        <is>
          <t>aucun</t>
        </is>
      </c>
      <c r="L60" s="41" t="n"/>
    </row>
    <row r="61">
      <c r="A61" s="12" t="inlineStr">
        <is>
          <t>HARFOUCHE REDA</t>
        </is>
      </c>
      <c r="B61" s="12" t="inlineStr">
        <is>
          <t>Avance client dormante ≥ 3 ans</t>
        </is>
      </c>
      <c r="C61" s="25" t="n">
        <v>0</v>
      </c>
      <c r="D61" s="25" t="n">
        <v>0</v>
      </c>
      <c r="E61" s="25" t="n">
        <v>-1972018.2</v>
      </c>
      <c r="F61" s="25" t="n">
        <v>0</v>
      </c>
      <c r="G61" s="25" t="n">
        <v>0</v>
      </c>
      <c r="H61" s="30">
        <f>SUM(D61:G61)</f>
        <v/>
      </c>
      <c r="I61" s="25" t="n">
        <v>0</v>
      </c>
      <c r="J61" s="25" t="n">
        <v>0</v>
      </c>
      <c r="K61" s="22" t="inlineStr">
        <is>
          <t>aucun</t>
        </is>
      </c>
      <c r="L61" s="41" t="n"/>
    </row>
    <row r="62">
      <c r="A62" s="12" t="inlineStr">
        <is>
          <t>SNC NASAF GALOUL ET CIE</t>
        </is>
      </c>
      <c r="B62" s="12" t="inlineStr">
        <is>
          <t>Avance client dormante ≥ 3 ans</t>
        </is>
      </c>
      <c r="C62" s="25" t="n">
        <v>0</v>
      </c>
      <c r="D62" s="25" t="n">
        <v>0</v>
      </c>
      <c r="E62" s="25" t="n">
        <v>-1929169.53</v>
      </c>
      <c r="F62" s="25" t="n">
        <v>0</v>
      </c>
      <c r="G62" s="25" t="n">
        <v>0</v>
      </c>
      <c r="H62" s="30">
        <f>SUM(D62:G62)</f>
        <v/>
      </c>
      <c r="I62" s="25" t="n">
        <v>0</v>
      </c>
      <c r="J62" s="25" t="n">
        <v>0</v>
      </c>
      <c r="K62" s="22" t="inlineStr">
        <is>
          <t>aucun</t>
        </is>
      </c>
      <c r="L62" s="41" t="n"/>
    </row>
    <row r="63">
      <c r="A63" s="12" t="inlineStr">
        <is>
          <t>YAHIAOUI REDOUANE</t>
        </is>
      </c>
      <c r="B63" s="12" t="inlineStr">
        <is>
          <t>Avance client dormante ≥ 3 ans</t>
        </is>
      </c>
      <c r="C63" s="25" t="n">
        <v>0</v>
      </c>
      <c r="D63" s="25" t="n">
        <v>0</v>
      </c>
      <c r="E63" s="25" t="n">
        <v>-1897517.28</v>
      </c>
      <c r="F63" s="25" t="n">
        <v>0</v>
      </c>
      <c r="G63" s="25" t="n">
        <v>0</v>
      </c>
      <c r="H63" s="30">
        <f>SUM(D63:G63)</f>
        <v/>
      </c>
      <c r="I63" s="25" t="n">
        <v>0</v>
      </c>
      <c r="J63" s="25" t="n">
        <v>0</v>
      </c>
      <c r="K63" s="22" t="inlineStr">
        <is>
          <t>aucun</t>
        </is>
      </c>
      <c r="L63" s="41" t="n"/>
    </row>
    <row r="64">
      <c r="A64" s="12" t="inlineStr">
        <is>
          <t>DJOUMI LAID</t>
        </is>
      </c>
      <c r="B64" s="12" t="inlineStr">
        <is>
          <t>Avance client dormante ≥ 3 ans</t>
        </is>
      </c>
      <c r="C64" s="25" t="n">
        <v>0</v>
      </c>
      <c r="D64" s="25" t="n">
        <v>0</v>
      </c>
      <c r="E64" s="25" t="n">
        <v>-1881191.91</v>
      </c>
      <c r="F64" s="25" t="n">
        <v>0</v>
      </c>
      <c r="G64" s="25" t="n">
        <v>0</v>
      </c>
      <c r="H64" s="30">
        <f>SUM(D64:G64)</f>
        <v/>
      </c>
      <c r="I64" s="25" t="n">
        <v>0</v>
      </c>
      <c r="J64" s="25" t="n">
        <v>0</v>
      </c>
      <c r="K64" s="22" t="inlineStr">
        <is>
          <t>aucun</t>
        </is>
      </c>
      <c r="L64" s="41" t="n"/>
    </row>
    <row r="65">
      <c r="A65" s="12" t="inlineStr">
        <is>
          <t>SARL TRANS FAID</t>
        </is>
      </c>
      <c r="B65" s="12" t="inlineStr">
        <is>
          <t>Avance client dormante ≥ 3 ans</t>
        </is>
      </c>
      <c r="C65" s="25" t="n">
        <v>0</v>
      </c>
      <c r="D65" s="25" t="n">
        <v>0</v>
      </c>
      <c r="E65" s="25" t="n">
        <v>-1843316.12</v>
      </c>
      <c r="F65" s="25" t="n">
        <v>0</v>
      </c>
      <c r="G65" s="25" t="n">
        <v>0</v>
      </c>
      <c r="H65" s="30">
        <f>SUM(D65:G65)</f>
        <v/>
      </c>
      <c r="I65" s="25" t="n">
        <v>0</v>
      </c>
      <c r="J65" s="25" t="n">
        <v>0</v>
      </c>
      <c r="K65" s="22" t="inlineStr">
        <is>
          <t>aucun</t>
        </is>
      </c>
      <c r="L65" s="41" t="n"/>
    </row>
    <row r="66">
      <c r="A66" s="12" t="inlineStr">
        <is>
          <t>SARL KECHAYACHE BAT ET ROUTES</t>
        </is>
      </c>
      <c r="B66" s="12" t="inlineStr">
        <is>
          <t>Avance client dormante ≥ 3 ans</t>
        </is>
      </c>
      <c r="C66" s="25" t="n">
        <v>0</v>
      </c>
      <c r="D66" s="25" t="n">
        <v>0</v>
      </c>
      <c r="E66" s="25" t="n">
        <v>-1835871.17</v>
      </c>
      <c r="F66" s="25" t="n">
        <v>0</v>
      </c>
      <c r="G66" s="25" t="n">
        <v>0</v>
      </c>
      <c r="H66" s="30">
        <f>SUM(D66:G66)</f>
        <v/>
      </c>
      <c r="I66" s="25" t="n">
        <v>0</v>
      </c>
      <c r="J66" s="25" t="n">
        <v>0</v>
      </c>
      <c r="K66" s="22" t="inlineStr">
        <is>
          <t>aucun</t>
        </is>
      </c>
      <c r="L66" s="41" t="n"/>
    </row>
    <row r="67">
      <c r="A67" s="12" t="inlineStr">
        <is>
          <t>SAIT ABDESLAM</t>
        </is>
      </c>
      <c r="B67" s="12" t="inlineStr">
        <is>
          <t>Avance client dormante ≥ 3 ans</t>
        </is>
      </c>
      <c r="C67" s="25" t="n">
        <v>0</v>
      </c>
      <c r="D67" s="25" t="n">
        <v>0</v>
      </c>
      <c r="E67" s="25" t="n">
        <v>-1686508.35</v>
      </c>
      <c r="F67" s="25" t="n">
        <v>0</v>
      </c>
      <c r="G67" s="25" t="n">
        <v>0</v>
      </c>
      <c r="H67" s="30">
        <f>SUM(D67:G67)</f>
        <v/>
      </c>
      <c r="I67" s="25" t="n">
        <v>0</v>
      </c>
      <c r="J67" s="25" t="n">
        <v>0</v>
      </c>
      <c r="K67" s="22" t="inlineStr">
        <is>
          <t>aucun</t>
        </is>
      </c>
      <c r="L67" s="41" t="n"/>
    </row>
    <row r="68">
      <c r="A68" s="12" t="inlineStr">
        <is>
          <t>(sans code) 41910</t>
        </is>
      </c>
      <c r="B68" s="12" t="inlineStr">
        <is>
          <t>Avance client dormante ≥ 3 ans</t>
        </is>
      </c>
      <c r="C68" s="25" t="n">
        <v>0</v>
      </c>
      <c r="D68" s="25" t="n">
        <v>0</v>
      </c>
      <c r="E68" s="25" t="n">
        <v>-1612880.99</v>
      </c>
      <c r="F68" s="25" t="n">
        <v>0</v>
      </c>
      <c r="G68" s="25" t="n">
        <v>0</v>
      </c>
      <c r="H68" s="30">
        <f>SUM(D68:G68)</f>
        <v/>
      </c>
      <c r="I68" s="25" t="n">
        <v>0</v>
      </c>
      <c r="J68" s="25" t="n">
        <v>0</v>
      </c>
      <c r="K68" s="22" t="inlineStr">
        <is>
          <t>aucun</t>
        </is>
      </c>
      <c r="L68" s="41" t="n"/>
    </row>
    <row r="69">
      <c r="A69" s="12" t="inlineStr">
        <is>
          <t>FERHAT SALIM</t>
        </is>
      </c>
      <c r="B69" s="12" t="inlineStr">
        <is>
          <t>Avance client dormante ≥ 3 ans</t>
        </is>
      </c>
      <c r="C69" s="25" t="n">
        <v>0</v>
      </c>
      <c r="D69" s="25" t="n">
        <v>0</v>
      </c>
      <c r="E69" s="25" t="n">
        <v>-1600000</v>
      </c>
      <c r="F69" s="25" t="n">
        <v>0</v>
      </c>
      <c r="G69" s="25" t="n">
        <v>0</v>
      </c>
      <c r="H69" s="30">
        <f>SUM(D69:G69)</f>
        <v/>
      </c>
      <c r="I69" s="25" t="n">
        <v>0</v>
      </c>
      <c r="J69" s="25" t="n">
        <v>0</v>
      </c>
      <c r="K69" s="22" t="inlineStr">
        <is>
          <t>aucun</t>
        </is>
      </c>
      <c r="L69" s="41" t="n"/>
    </row>
    <row r="70">
      <c r="A70" s="12" t="inlineStr">
        <is>
          <t>MADI KARIM</t>
        </is>
      </c>
      <c r="B70" s="12" t="inlineStr">
        <is>
          <t>Avance client dormante ≥ 3 ans</t>
        </is>
      </c>
      <c r="C70" s="25" t="n">
        <v>0</v>
      </c>
      <c r="D70" s="25" t="n">
        <v>0</v>
      </c>
      <c r="E70" s="25" t="n">
        <v>-1561986.88</v>
      </c>
      <c r="F70" s="25" t="n">
        <v>0</v>
      </c>
      <c r="G70" s="25" t="n">
        <v>0</v>
      </c>
      <c r="H70" s="30">
        <f>SUM(D70:G70)</f>
        <v/>
      </c>
      <c r="I70" s="25" t="n">
        <v>0</v>
      </c>
      <c r="J70" s="25" t="n">
        <v>0</v>
      </c>
      <c r="K70" s="22" t="inlineStr">
        <is>
          <t>aucun</t>
        </is>
      </c>
      <c r="L70" s="41" t="n"/>
    </row>
    <row r="71">
      <c r="A71" s="12" t="inlineStr">
        <is>
          <t>IDIR NADIR</t>
        </is>
      </c>
      <c r="B71" s="12" t="inlineStr">
        <is>
          <t>Avance client dormante ≥ 3 ans</t>
        </is>
      </c>
      <c r="C71" s="25" t="n">
        <v>0</v>
      </c>
      <c r="D71" s="25" t="n">
        <v>0</v>
      </c>
      <c r="E71" s="25" t="n">
        <v>-1537954.06</v>
      </c>
      <c r="F71" s="25" t="n">
        <v>0</v>
      </c>
      <c r="G71" s="25" t="n">
        <v>0</v>
      </c>
      <c r="H71" s="30">
        <f>SUM(D71:G71)</f>
        <v/>
      </c>
      <c r="I71" s="25" t="n">
        <v>0</v>
      </c>
      <c r="J71" s="25" t="n">
        <v>0</v>
      </c>
      <c r="K71" s="22" t="inlineStr">
        <is>
          <t>aucun</t>
        </is>
      </c>
      <c r="L71" s="41" t="n"/>
    </row>
    <row r="72">
      <c r="A72" s="12" t="inlineStr">
        <is>
          <t>ACHOURI ABDELLATIF</t>
        </is>
      </c>
      <c r="B72" s="12" t="inlineStr">
        <is>
          <t>Avance client dormante ≥ 3 ans</t>
        </is>
      </c>
      <c r="C72" s="25" t="n">
        <v>0</v>
      </c>
      <c r="D72" s="25" t="n">
        <v>0</v>
      </c>
      <c r="E72" s="25" t="n">
        <v>-1500000</v>
      </c>
      <c r="F72" s="25" t="n">
        <v>0</v>
      </c>
      <c r="G72" s="25" t="n">
        <v>0</v>
      </c>
      <c r="H72" s="30">
        <f>SUM(D72:G72)</f>
        <v/>
      </c>
      <c r="I72" s="25" t="n">
        <v>0</v>
      </c>
      <c r="J72" s="25" t="n">
        <v>0</v>
      </c>
      <c r="K72" s="22" t="inlineStr">
        <is>
          <t>aucun</t>
        </is>
      </c>
      <c r="L72" s="41" t="n"/>
    </row>
    <row r="73">
      <c r="A73" s="12" t="inlineStr">
        <is>
          <t>BOUKELA MADJID</t>
        </is>
      </c>
      <c r="B73" s="12" t="inlineStr">
        <is>
          <t>Avance client dormante ≥ 3 ans</t>
        </is>
      </c>
      <c r="C73" s="25" t="n">
        <v>0</v>
      </c>
      <c r="D73" s="25" t="n">
        <v>0</v>
      </c>
      <c r="E73" s="25" t="n">
        <v>-1500000</v>
      </c>
      <c r="F73" s="25" t="n">
        <v>0</v>
      </c>
      <c r="G73" s="25" t="n">
        <v>0</v>
      </c>
      <c r="H73" s="30">
        <f>SUM(D73:G73)</f>
        <v/>
      </c>
      <c r="I73" s="25" t="n">
        <v>0</v>
      </c>
      <c r="J73" s="25" t="n">
        <v>0</v>
      </c>
      <c r="K73" s="22" t="inlineStr">
        <is>
          <t>aucun</t>
        </is>
      </c>
      <c r="L73" s="41" t="n"/>
    </row>
    <row r="74">
      <c r="A74" s="12" t="inlineStr">
        <is>
          <t>HAMZAOUI AMOKRANE</t>
        </is>
      </c>
      <c r="B74" s="12" t="inlineStr">
        <is>
          <t>Avance client dormante ≥ 3 ans</t>
        </is>
      </c>
      <c r="C74" s="25" t="n">
        <v>0</v>
      </c>
      <c r="D74" s="25" t="n">
        <v>0</v>
      </c>
      <c r="E74" s="25" t="n">
        <v>-1443600</v>
      </c>
      <c r="F74" s="25" t="n">
        <v>0</v>
      </c>
      <c r="G74" s="25" t="n">
        <v>0</v>
      </c>
      <c r="H74" s="30">
        <f>SUM(D74:G74)</f>
        <v/>
      </c>
      <c r="I74" s="25" t="n">
        <v>0</v>
      </c>
      <c r="J74" s="25" t="n">
        <v>0</v>
      </c>
      <c r="K74" s="22" t="inlineStr">
        <is>
          <t>aucun</t>
        </is>
      </c>
      <c r="L74" s="41" t="n"/>
    </row>
    <row r="75">
      <c r="A75" s="12" t="inlineStr">
        <is>
          <t>TEI ABDELFATAH</t>
        </is>
      </c>
      <c r="B75" s="12" t="inlineStr">
        <is>
          <t>Avance client dormante ≥ 3 ans</t>
        </is>
      </c>
      <c r="C75" s="25" t="n">
        <v>0</v>
      </c>
      <c r="D75" s="25" t="n">
        <v>0</v>
      </c>
      <c r="E75" s="25" t="n">
        <v>-1399999.98</v>
      </c>
      <c r="F75" s="25" t="n">
        <v>0</v>
      </c>
      <c r="G75" s="25" t="n">
        <v>0</v>
      </c>
      <c r="H75" s="30">
        <f>SUM(D75:G75)</f>
        <v/>
      </c>
      <c r="I75" s="25" t="n">
        <v>0</v>
      </c>
      <c r="J75" s="25" t="n">
        <v>0</v>
      </c>
      <c r="K75" s="22" t="inlineStr">
        <is>
          <t>aucun</t>
        </is>
      </c>
      <c r="L75" s="41" t="n"/>
    </row>
    <row r="76">
      <c r="A76" s="12" t="inlineStr">
        <is>
          <t>SELLAH BACHIR</t>
        </is>
      </c>
      <c r="B76" s="12" t="inlineStr">
        <is>
          <t>Avance client dormante ≥ 3 ans</t>
        </is>
      </c>
      <c r="C76" s="25" t="n">
        <v>0</v>
      </c>
      <c r="D76" s="25" t="n">
        <v>0</v>
      </c>
      <c r="E76" s="25" t="n">
        <v>-1359375.23</v>
      </c>
      <c r="F76" s="25" t="n">
        <v>0</v>
      </c>
      <c r="G76" s="25" t="n">
        <v>0</v>
      </c>
      <c r="H76" s="30">
        <f>SUM(D76:G76)</f>
        <v/>
      </c>
      <c r="I76" s="25" t="n">
        <v>0</v>
      </c>
      <c r="J76" s="25" t="n">
        <v>0</v>
      </c>
      <c r="K76" s="22" t="inlineStr">
        <is>
          <t>aucun</t>
        </is>
      </c>
      <c r="L76" s="41" t="n"/>
    </row>
    <row r="77">
      <c r="A77" s="12" t="inlineStr">
        <is>
          <t>LARABI MADJID</t>
        </is>
      </c>
      <c r="B77" s="12" t="inlineStr">
        <is>
          <t>Avance client dormante ≥ 3 ans</t>
        </is>
      </c>
      <c r="C77" s="25" t="n">
        <v>0</v>
      </c>
      <c r="D77" s="25" t="n">
        <v>0</v>
      </c>
      <c r="E77" s="25" t="n">
        <v>-1347114.28</v>
      </c>
      <c r="F77" s="25" t="n">
        <v>0</v>
      </c>
      <c r="G77" s="25" t="n">
        <v>0</v>
      </c>
      <c r="H77" s="30">
        <f>SUM(D77:G77)</f>
        <v/>
      </c>
      <c r="I77" s="25" t="n">
        <v>0</v>
      </c>
      <c r="J77" s="25" t="n">
        <v>0</v>
      </c>
      <c r="K77" s="22" t="inlineStr">
        <is>
          <t>aucun</t>
        </is>
      </c>
      <c r="L77" s="41" t="n"/>
    </row>
    <row r="78">
      <c r="A78" s="12" t="inlineStr">
        <is>
          <t>BELFADEL MALIK</t>
        </is>
      </c>
      <c r="B78" s="12" t="inlineStr">
        <is>
          <t>Avance client dormante ≥ 3 ans</t>
        </is>
      </c>
      <c r="C78" s="25" t="n">
        <v>0</v>
      </c>
      <c r="D78" s="25" t="n">
        <v>0</v>
      </c>
      <c r="E78" s="25" t="n">
        <v>-1326085.76</v>
      </c>
      <c r="F78" s="25" t="n">
        <v>0</v>
      </c>
      <c r="G78" s="25" t="n">
        <v>0</v>
      </c>
      <c r="H78" s="30">
        <f>SUM(D78:G78)</f>
        <v/>
      </c>
      <c r="I78" s="25" t="n">
        <v>0</v>
      </c>
      <c r="J78" s="25" t="n">
        <v>0</v>
      </c>
      <c r="K78" s="22" t="inlineStr">
        <is>
          <t>aucun</t>
        </is>
      </c>
      <c r="L78" s="41" t="n"/>
    </row>
    <row r="79">
      <c r="A79" s="12" t="inlineStr">
        <is>
          <t>FERHAT SAMIR</t>
        </is>
      </c>
      <c r="B79" s="12" t="inlineStr">
        <is>
          <t>Avance client dormante ≥ 3 ans</t>
        </is>
      </c>
      <c r="C79" s="25" t="n">
        <v>0</v>
      </c>
      <c r="D79" s="25" t="n">
        <v>0</v>
      </c>
      <c r="E79" s="25" t="n">
        <v>-1302896.83</v>
      </c>
      <c r="F79" s="25" t="n">
        <v>0</v>
      </c>
      <c r="G79" s="25" t="n">
        <v>0</v>
      </c>
      <c r="H79" s="30">
        <f>SUM(D79:G79)</f>
        <v/>
      </c>
      <c r="I79" s="25" t="n">
        <v>0</v>
      </c>
      <c r="J79" s="25" t="n">
        <v>0</v>
      </c>
      <c r="K79" s="22" t="inlineStr">
        <is>
          <t>aucun</t>
        </is>
      </c>
      <c r="L79" s="41" t="n"/>
    </row>
    <row r="80">
      <c r="A80" s="12" t="inlineStr">
        <is>
          <t>GASSA MOULOUD</t>
        </is>
      </c>
      <c r="B80" s="12" t="inlineStr">
        <is>
          <t>Avance client dormante ≥ 3 ans</t>
        </is>
      </c>
      <c r="C80" s="25" t="n">
        <v>0</v>
      </c>
      <c r="D80" s="25" t="n">
        <v>0</v>
      </c>
      <c r="E80" s="25" t="n">
        <v>-1291995.08</v>
      </c>
      <c r="F80" s="25" t="n">
        <v>0</v>
      </c>
      <c r="G80" s="25" t="n">
        <v>0</v>
      </c>
      <c r="H80" s="30">
        <f>SUM(D80:G80)</f>
        <v/>
      </c>
      <c r="I80" s="25" t="n">
        <v>0</v>
      </c>
      <c r="J80" s="25" t="n">
        <v>0</v>
      </c>
      <c r="K80" s="22" t="inlineStr">
        <is>
          <t>aucun</t>
        </is>
      </c>
      <c r="L80" s="41" t="n"/>
    </row>
    <row r="81">
      <c r="A81" s="12" t="inlineStr">
        <is>
          <t>IMEDNI TARIK</t>
        </is>
      </c>
      <c r="B81" s="12" t="inlineStr">
        <is>
          <t>Avance client dormante ≥ 3 ans</t>
        </is>
      </c>
      <c r="C81" s="25" t="n">
        <v>0</v>
      </c>
      <c r="D81" s="25" t="n">
        <v>0</v>
      </c>
      <c r="E81" s="25" t="n">
        <v>-1288597.98</v>
      </c>
      <c r="F81" s="25" t="n">
        <v>0</v>
      </c>
      <c r="G81" s="25" t="n">
        <v>0</v>
      </c>
      <c r="H81" s="30">
        <f>SUM(D81:G81)</f>
        <v/>
      </c>
      <c r="I81" s="25" t="n">
        <v>0</v>
      </c>
      <c r="J81" s="25" t="n">
        <v>0</v>
      </c>
      <c r="K81" s="22" t="inlineStr">
        <is>
          <t>aucun</t>
        </is>
      </c>
      <c r="L81" s="41" t="n"/>
    </row>
    <row r="82">
      <c r="A82" s="12" t="inlineStr">
        <is>
          <t>AYACHE ABDELFATEH</t>
        </is>
      </c>
      <c r="B82" s="12" t="inlineStr">
        <is>
          <t>Avance client dormante ≥ 3 ans</t>
        </is>
      </c>
      <c r="C82" s="25" t="n">
        <v>0</v>
      </c>
      <c r="D82" s="25" t="n">
        <v>0</v>
      </c>
      <c r="E82" s="25" t="n">
        <v>-1259817.91</v>
      </c>
      <c r="F82" s="25" t="n">
        <v>0</v>
      </c>
      <c r="G82" s="25" t="n">
        <v>0</v>
      </c>
      <c r="H82" s="30">
        <f>SUM(D82:G82)</f>
        <v/>
      </c>
      <c r="I82" s="25" t="n">
        <v>0</v>
      </c>
      <c r="J82" s="25" t="n">
        <v>0</v>
      </c>
      <c r="K82" s="22" t="inlineStr">
        <is>
          <t>aucun</t>
        </is>
      </c>
      <c r="L82" s="41" t="n"/>
    </row>
    <row r="83">
      <c r="A83" s="12" t="inlineStr">
        <is>
          <t>EURL NET TRANSPORT</t>
        </is>
      </c>
      <c r="B83" s="12" t="inlineStr">
        <is>
          <t>Avance client dormante ≥ 3 ans</t>
        </is>
      </c>
      <c r="C83" s="25" t="n">
        <v>0</v>
      </c>
      <c r="D83" s="25" t="n">
        <v>0</v>
      </c>
      <c r="E83" s="25" t="n">
        <v>-1187441.5</v>
      </c>
      <c r="F83" s="25" t="n">
        <v>0</v>
      </c>
      <c r="G83" s="25" t="n">
        <v>0</v>
      </c>
      <c r="H83" s="30">
        <f>SUM(D83:G83)</f>
        <v/>
      </c>
      <c r="I83" s="25" t="n">
        <v>0</v>
      </c>
      <c r="J83" s="25" t="n">
        <v>0</v>
      </c>
      <c r="K83" s="22" t="inlineStr">
        <is>
          <t>aucun</t>
        </is>
      </c>
      <c r="L83" s="41" t="n"/>
    </row>
    <row r="84">
      <c r="A84" s="12" t="inlineStr">
        <is>
          <t>YOUBI NACER EDDINE</t>
        </is>
      </c>
      <c r="B84" s="12" t="inlineStr">
        <is>
          <t>Avance client dormante ≥ 3 ans</t>
        </is>
      </c>
      <c r="C84" s="25" t="n">
        <v>0</v>
      </c>
      <c r="D84" s="25" t="n">
        <v>0</v>
      </c>
      <c r="E84" s="25" t="n">
        <v>-1185856.04</v>
      </c>
      <c r="F84" s="25" t="n">
        <v>0</v>
      </c>
      <c r="G84" s="25" t="n">
        <v>0</v>
      </c>
      <c r="H84" s="30">
        <f>SUM(D84:G84)</f>
        <v/>
      </c>
      <c r="I84" s="25" t="n">
        <v>0</v>
      </c>
      <c r="J84" s="25" t="n">
        <v>0</v>
      </c>
      <c r="K84" s="22" t="inlineStr">
        <is>
          <t>aucun</t>
        </is>
      </c>
      <c r="L84" s="41" t="n"/>
    </row>
    <row r="85">
      <c r="A85" s="12" t="inlineStr">
        <is>
          <t>FERROUDJ REDOUANE</t>
        </is>
      </c>
      <c r="B85" s="12" t="inlineStr">
        <is>
          <t>Avance client dormante ≥ 3 ans</t>
        </is>
      </c>
      <c r="C85" s="25" t="n">
        <v>0</v>
      </c>
      <c r="D85" s="25" t="n">
        <v>0</v>
      </c>
      <c r="E85" s="25" t="n">
        <v>-1100454.46</v>
      </c>
      <c r="F85" s="25" t="n">
        <v>0</v>
      </c>
      <c r="G85" s="25" t="n">
        <v>0</v>
      </c>
      <c r="H85" s="30">
        <f>SUM(D85:G85)</f>
        <v/>
      </c>
      <c r="I85" s="25" t="n">
        <v>0</v>
      </c>
      <c r="J85" s="25" t="n">
        <v>0</v>
      </c>
      <c r="K85" s="22" t="inlineStr">
        <is>
          <t>aucun</t>
        </is>
      </c>
      <c r="L85" s="41" t="n"/>
    </row>
    <row r="86">
      <c r="A86" s="12" t="inlineStr">
        <is>
          <t>AMEUR LAID</t>
        </is>
      </c>
      <c r="B86" s="12" t="inlineStr">
        <is>
          <t>Avance client dormante ≥ 3 ans</t>
        </is>
      </c>
      <c r="C86" s="25" t="n">
        <v>0</v>
      </c>
      <c r="D86" s="25" t="n">
        <v>0</v>
      </c>
      <c r="E86" s="25" t="n">
        <v>-1093000</v>
      </c>
      <c r="F86" s="25" t="n">
        <v>0</v>
      </c>
      <c r="G86" s="25" t="n">
        <v>0</v>
      </c>
      <c r="H86" s="30">
        <f>SUM(D86:G86)</f>
        <v/>
      </c>
      <c r="I86" s="25" t="n">
        <v>0</v>
      </c>
      <c r="J86" s="25" t="n">
        <v>0</v>
      </c>
      <c r="K86" s="22" t="inlineStr">
        <is>
          <t>aucun</t>
        </is>
      </c>
      <c r="L86" s="41" t="n"/>
    </row>
    <row r="87">
      <c r="A87" s="12" t="inlineStr">
        <is>
          <t>AIT KHEDACHE FAHIM</t>
        </is>
      </c>
      <c r="B87" s="12" t="inlineStr">
        <is>
          <t>Avance client dormante ≥ 3 ans</t>
        </is>
      </c>
      <c r="C87" s="25" t="n">
        <v>0</v>
      </c>
      <c r="D87" s="25" t="n">
        <v>0</v>
      </c>
      <c r="E87" s="25" t="n">
        <v>-1018231.82</v>
      </c>
      <c r="F87" s="25" t="n">
        <v>0</v>
      </c>
      <c r="G87" s="25" t="n">
        <v>0</v>
      </c>
      <c r="H87" s="30">
        <f>SUM(D87:G87)</f>
        <v/>
      </c>
      <c r="I87" s="25" t="n">
        <v>0</v>
      </c>
      <c r="J87" s="25" t="n">
        <v>0</v>
      </c>
      <c r="K87" s="22" t="inlineStr">
        <is>
          <t>aucun</t>
        </is>
      </c>
      <c r="L87" s="41" t="n"/>
    </row>
    <row r="88">
      <c r="A88" s="12" t="inlineStr">
        <is>
          <t>SNC LTNC NAOUI ET CIE</t>
        </is>
      </c>
      <c r="B88" s="12" t="inlineStr">
        <is>
          <t>Avance client dormante ≥ 3 ans</t>
        </is>
      </c>
      <c r="C88" s="25" t="n">
        <v>0</v>
      </c>
      <c r="D88" s="25" t="n">
        <v>0</v>
      </c>
      <c r="E88" s="25" t="n">
        <v>-1002150.73</v>
      </c>
      <c r="F88" s="25" t="n">
        <v>0</v>
      </c>
      <c r="G88" s="25" t="n">
        <v>0</v>
      </c>
      <c r="H88" s="30">
        <f>SUM(D88:G88)</f>
        <v/>
      </c>
      <c r="I88" s="25" t="n">
        <v>0</v>
      </c>
      <c r="J88" s="25" t="n">
        <v>0</v>
      </c>
      <c r="K88" s="22" t="inlineStr">
        <is>
          <t>aucun</t>
        </is>
      </c>
      <c r="L88" s="41" t="n"/>
    </row>
    <row r="89">
      <c r="A89" s="12" t="inlineStr">
        <is>
          <t>ETB TCE BOUHADJELA MOHAMED</t>
        </is>
      </c>
      <c r="B89" s="12" t="inlineStr">
        <is>
          <t>Avance client dormante ≥ 3 ans</t>
        </is>
      </c>
      <c r="C89" s="25" t="n">
        <v>0</v>
      </c>
      <c r="D89" s="25" t="n">
        <v>0</v>
      </c>
      <c r="E89" s="25" t="n">
        <v>-1000000</v>
      </c>
      <c r="F89" s="25" t="n">
        <v>0</v>
      </c>
      <c r="G89" s="25" t="n">
        <v>0</v>
      </c>
      <c r="H89" s="30">
        <f>SUM(D89:G89)</f>
        <v/>
      </c>
      <c r="I89" s="25" t="n">
        <v>0</v>
      </c>
      <c r="J89" s="25" t="n">
        <v>0</v>
      </c>
      <c r="K89" s="22" t="inlineStr">
        <is>
          <t>aucun</t>
        </is>
      </c>
      <c r="L89" s="41" t="n"/>
    </row>
    <row r="90">
      <c r="A90" s="12" t="inlineStr">
        <is>
          <t>GUENDOUZ FERHAT B/BOUZIDI</t>
        </is>
      </c>
      <c r="B90" s="12" t="inlineStr">
        <is>
          <t>Avance client dormante ≥ 3 ans</t>
        </is>
      </c>
      <c r="C90" s="25" t="n">
        <v>0</v>
      </c>
      <c r="D90" s="25" t="n">
        <v>0</v>
      </c>
      <c r="E90" s="25" t="n">
        <v>-1000000</v>
      </c>
      <c r="F90" s="25" t="n">
        <v>0</v>
      </c>
      <c r="G90" s="25" t="n">
        <v>0</v>
      </c>
      <c r="H90" s="30">
        <f>SUM(D90:G90)</f>
        <v/>
      </c>
      <c r="I90" s="25" t="n">
        <v>0</v>
      </c>
      <c r="J90" s="25" t="n">
        <v>0</v>
      </c>
      <c r="K90" s="22" t="inlineStr">
        <is>
          <t>aucun</t>
        </is>
      </c>
      <c r="L90" s="41" t="n"/>
    </row>
    <row r="91">
      <c r="A91" s="12" t="inlineStr">
        <is>
          <t>SNC MOTEUR BLEU ZIANI ET CIE</t>
        </is>
      </c>
      <c r="B91" s="12" t="inlineStr">
        <is>
          <t>Avance client dormante ≥ 3 ans</t>
        </is>
      </c>
      <c r="C91" s="25" t="n">
        <v>0</v>
      </c>
      <c r="D91" s="25" t="n">
        <v>0</v>
      </c>
      <c r="E91" s="25" t="n">
        <v>-1000000</v>
      </c>
      <c r="F91" s="25" t="n">
        <v>0</v>
      </c>
      <c r="G91" s="25" t="n">
        <v>0</v>
      </c>
      <c r="H91" s="30">
        <f>SUM(D91:G91)</f>
        <v/>
      </c>
      <c r="I91" s="25" t="n">
        <v>0</v>
      </c>
      <c r="J91" s="25" t="n">
        <v>0</v>
      </c>
      <c r="K91" s="22" t="inlineStr">
        <is>
          <t>aucun</t>
        </is>
      </c>
      <c r="L91" s="41" t="n"/>
    </row>
    <row r="92">
      <c r="A92" s="12" t="inlineStr">
        <is>
          <t>BOUKAIBA SAMIR</t>
        </is>
      </c>
      <c r="B92" s="12" t="inlineStr">
        <is>
          <t>Avance client dormante ≥ 3 ans</t>
        </is>
      </c>
      <c r="C92" s="25" t="n">
        <v>0</v>
      </c>
      <c r="D92" s="25" t="n">
        <v>0</v>
      </c>
      <c r="E92" s="25" t="n">
        <v>-999466.3199999999</v>
      </c>
      <c r="F92" s="25" t="n">
        <v>0</v>
      </c>
      <c r="G92" s="25" t="n">
        <v>0</v>
      </c>
      <c r="H92" s="30">
        <f>SUM(D92:G92)</f>
        <v/>
      </c>
      <c r="I92" s="25" t="n">
        <v>0</v>
      </c>
      <c r="J92" s="25" t="n">
        <v>0</v>
      </c>
      <c r="K92" s="22" t="inlineStr">
        <is>
          <t>aucun</t>
        </is>
      </c>
      <c r="L92" s="41" t="n"/>
    </row>
    <row r="93">
      <c r="A93" s="12" t="inlineStr">
        <is>
          <t>KERROUCHE LYES</t>
        </is>
      </c>
      <c r="B93" s="12" t="inlineStr">
        <is>
          <t>Avance client dormante ≥ 3 ans</t>
        </is>
      </c>
      <c r="C93" s="25" t="n">
        <v>0</v>
      </c>
      <c r="D93" s="25" t="n">
        <v>0</v>
      </c>
      <c r="E93" s="25" t="n">
        <v>-924449.88</v>
      </c>
      <c r="F93" s="25" t="n">
        <v>0</v>
      </c>
      <c r="G93" s="25" t="n">
        <v>0</v>
      </c>
      <c r="H93" s="30">
        <f>SUM(D93:G93)</f>
        <v/>
      </c>
      <c r="I93" s="25" t="n">
        <v>0</v>
      </c>
      <c r="J93" s="25" t="n">
        <v>0</v>
      </c>
      <c r="K93" s="22" t="inlineStr">
        <is>
          <t>aucun</t>
        </is>
      </c>
      <c r="L93" s="41" t="n"/>
    </row>
    <row r="94">
      <c r="A94" s="12" t="inlineStr">
        <is>
          <t>BOUAMAR HAKIM</t>
        </is>
      </c>
      <c r="B94" s="12" t="inlineStr">
        <is>
          <t>Avance client dormante ≥ 3 ans</t>
        </is>
      </c>
      <c r="C94" s="25" t="n">
        <v>0</v>
      </c>
      <c r="D94" s="25" t="n">
        <v>0</v>
      </c>
      <c r="E94" s="25" t="n">
        <v>-917300</v>
      </c>
      <c r="F94" s="25" t="n">
        <v>0</v>
      </c>
      <c r="G94" s="25" t="n">
        <v>0</v>
      </c>
      <c r="H94" s="30">
        <f>SUM(D94:G94)</f>
        <v/>
      </c>
      <c r="I94" s="25" t="n">
        <v>0</v>
      </c>
      <c r="J94" s="25" t="n">
        <v>0</v>
      </c>
      <c r="K94" s="22" t="inlineStr">
        <is>
          <t>aucun</t>
        </is>
      </c>
      <c r="L94" s="41" t="n"/>
    </row>
    <row r="95">
      <c r="A95" s="12" t="inlineStr">
        <is>
          <t>CHEGRA MOULOUD</t>
        </is>
      </c>
      <c r="B95" s="12" t="inlineStr">
        <is>
          <t>Avance client dormante ≥ 3 ans</t>
        </is>
      </c>
      <c r="C95" s="25" t="n">
        <v>0</v>
      </c>
      <c r="D95" s="25" t="n">
        <v>0</v>
      </c>
      <c r="E95" s="25" t="n">
        <v>-907634.41</v>
      </c>
      <c r="F95" s="25" t="n">
        <v>0</v>
      </c>
      <c r="G95" s="25" t="n">
        <v>0</v>
      </c>
      <c r="H95" s="30">
        <f>SUM(D95:G95)</f>
        <v/>
      </c>
      <c r="I95" s="25" t="n">
        <v>0</v>
      </c>
      <c r="J95" s="25" t="n">
        <v>0</v>
      </c>
      <c r="K95" s="22" t="inlineStr">
        <is>
          <t>aucun</t>
        </is>
      </c>
      <c r="L95" s="41" t="n"/>
    </row>
    <row r="96">
      <c r="A96" s="12" t="inlineStr">
        <is>
          <t>BENDAHMANE LHACHEMI</t>
        </is>
      </c>
      <c r="B96" s="12" t="inlineStr">
        <is>
          <t>Avance client dormante ≥ 3 ans</t>
        </is>
      </c>
      <c r="C96" s="25" t="n">
        <v>0</v>
      </c>
      <c r="D96" s="25" t="n">
        <v>0</v>
      </c>
      <c r="E96" s="25" t="n">
        <v>-906661.23</v>
      </c>
      <c r="F96" s="25" t="n">
        <v>0</v>
      </c>
      <c r="G96" s="25" t="n">
        <v>0</v>
      </c>
      <c r="H96" s="30">
        <f>SUM(D96:G96)</f>
        <v/>
      </c>
      <c r="I96" s="25" t="n">
        <v>0</v>
      </c>
      <c r="J96" s="25" t="n">
        <v>0</v>
      </c>
      <c r="K96" s="22" t="inlineStr">
        <is>
          <t>aucun</t>
        </is>
      </c>
      <c r="L96" s="41" t="n"/>
    </row>
    <row r="97">
      <c r="A97" s="12" t="inlineStr">
        <is>
          <t>GUERBANE NASSIMA</t>
        </is>
      </c>
      <c r="B97" s="12" t="inlineStr">
        <is>
          <t>Avance client dormante ≥ 3 ans</t>
        </is>
      </c>
      <c r="C97" s="25" t="n">
        <v>0</v>
      </c>
      <c r="D97" s="25" t="n">
        <v>0</v>
      </c>
      <c r="E97" s="25" t="n">
        <v>-894116.15</v>
      </c>
      <c r="F97" s="25" t="n">
        <v>0</v>
      </c>
      <c r="G97" s="25" t="n">
        <v>0</v>
      </c>
      <c r="H97" s="30">
        <f>SUM(D97:G97)</f>
        <v/>
      </c>
      <c r="I97" s="25" t="n">
        <v>0</v>
      </c>
      <c r="J97" s="25" t="n">
        <v>0</v>
      </c>
      <c r="K97" s="22" t="inlineStr">
        <is>
          <t>aucun</t>
        </is>
      </c>
      <c r="L97" s="41" t="n"/>
    </row>
    <row r="98">
      <c r="A98" s="12" t="inlineStr">
        <is>
          <t>ZIANI AISSA</t>
        </is>
      </c>
      <c r="B98" s="12" t="inlineStr">
        <is>
          <t>Avance client dormante ≥ 3 ans</t>
        </is>
      </c>
      <c r="C98" s="25" t="n">
        <v>0</v>
      </c>
      <c r="D98" s="25" t="n">
        <v>0</v>
      </c>
      <c r="E98" s="25" t="n">
        <v>-883362.91</v>
      </c>
      <c r="F98" s="25" t="n">
        <v>0</v>
      </c>
      <c r="G98" s="25" t="n">
        <v>0</v>
      </c>
      <c r="H98" s="30">
        <f>SUM(D98:G98)</f>
        <v/>
      </c>
      <c r="I98" s="25" t="n">
        <v>0</v>
      </c>
      <c r="J98" s="25" t="n">
        <v>0</v>
      </c>
      <c r="K98" s="22" t="inlineStr">
        <is>
          <t>aucun</t>
        </is>
      </c>
      <c r="L98" s="41" t="n"/>
    </row>
    <row r="99">
      <c r="A99" s="12" t="inlineStr">
        <is>
          <t>SELLAH SALAH</t>
        </is>
      </c>
      <c r="B99" s="12" t="inlineStr">
        <is>
          <t>Avance client dormante ≥ 3 ans</t>
        </is>
      </c>
      <c r="C99" s="25" t="n">
        <v>0</v>
      </c>
      <c r="D99" s="25" t="n">
        <v>0</v>
      </c>
      <c r="E99" s="25" t="n">
        <v>-820063.63</v>
      </c>
      <c r="F99" s="25" t="n">
        <v>0</v>
      </c>
      <c r="G99" s="25" t="n">
        <v>0</v>
      </c>
      <c r="H99" s="30">
        <f>SUM(D99:G99)</f>
        <v/>
      </c>
      <c r="I99" s="25" t="n">
        <v>0</v>
      </c>
      <c r="J99" s="25" t="n">
        <v>0</v>
      </c>
      <c r="K99" s="22" t="inlineStr">
        <is>
          <t>aucun</t>
        </is>
      </c>
      <c r="L99" s="41" t="n"/>
    </row>
    <row r="100">
      <c r="A100" s="12" t="inlineStr">
        <is>
          <t>BOUDJIT TAHAR</t>
        </is>
      </c>
      <c r="B100" s="12" t="inlineStr">
        <is>
          <t>Avance client dormante ≥ 3 ans</t>
        </is>
      </c>
      <c r="C100" s="25" t="n">
        <v>0</v>
      </c>
      <c r="D100" s="25" t="n">
        <v>0</v>
      </c>
      <c r="E100" s="25" t="n">
        <v>-817760.04</v>
      </c>
      <c r="F100" s="25" t="n">
        <v>0</v>
      </c>
      <c r="G100" s="25" t="n">
        <v>0</v>
      </c>
      <c r="H100" s="30">
        <f>SUM(D100:G100)</f>
        <v/>
      </c>
      <c r="I100" s="25" t="n">
        <v>0</v>
      </c>
      <c r="J100" s="25" t="n">
        <v>0</v>
      </c>
      <c r="K100" s="22" t="inlineStr">
        <is>
          <t>aucun</t>
        </is>
      </c>
      <c r="L100" s="41" t="n"/>
    </row>
    <row r="101">
      <c r="A101" s="12" t="inlineStr">
        <is>
          <t>MELIZOU LYES</t>
        </is>
      </c>
      <c r="B101" s="12" t="inlineStr">
        <is>
          <t>Avance client dormante ≥ 3 ans</t>
        </is>
      </c>
      <c r="C101" s="25" t="n">
        <v>0</v>
      </c>
      <c r="D101" s="25" t="n">
        <v>0</v>
      </c>
      <c r="E101" s="25" t="n">
        <v>-814164.92</v>
      </c>
      <c r="F101" s="25" t="n">
        <v>0</v>
      </c>
      <c r="G101" s="25" t="n">
        <v>0</v>
      </c>
      <c r="H101" s="30">
        <f>SUM(D101:G101)</f>
        <v/>
      </c>
      <c r="I101" s="25" t="n">
        <v>0</v>
      </c>
      <c r="J101" s="25" t="n">
        <v>0</v>
      </c>
      <c r="K101" s="22" t="inlineStr">
        <is>
          <t>aucun</t>
        </is>
      </c>
      <c r="L101" s="41" t="n"/>
    </row>
    <row r="102">
      <c r="A102" s="12" t="inlineStr">
        <is>
          <t>SARL TITOU TPM</t>
        </is>
      </c>
      <c r="B102" s="12" t="inlineStr">
        <is>
          <t>Avance client dormante ≥ 3 ans</t>
        </is>
      </c>
      <c r="C102" s="25" t="n">
        <v>0</v>
      </c>
      <c r="D102" s="25" t="n">
        <v>0</v>
      </c>
      <c r="E102" s="25" t="n">
        <v>-811721</v>
      </c>
      <c r="F102" s="25" t="n">
        <v>0</v>
      </c>
      <c r="G102" s="25" t="n">
        <v>0</v>
      </c>
      <c r="H102" s="30">
        <f>SUM(D102:G102)</f>
        <v/>
      </c>
      <c r="I102" s="25" t="n">
        <v>0</v>
      </c>
      <c r="J102" s="25" t="n">
        <v>0</v>
      </c>
      <c r="K102" s="22" t="inlineStr">
        <is>
          <t>aucun</t>
        </is>
      </c>
      <c r="L102" s="41" t="n"/>
    </row>
    <row r="103">
      <c r="A103" s="12" t="inlineStr">
        <is>
          <t>BOUCHLAGHEM LYES</t>
        </is>
      </c>
      <c r="B103" s="12" t="inlineStr">
        <is>
          <t>Avance client dormante ≥ 3 ans</t>
        </is>
      </c>
      <c r="C103" s="25" t="n">
        <v>0</v>
      </c>
      <c r="D103" s="25" t="n">
        <v>0</v>
      </c>
      <c r="E103" s="25" t="n">
        <v>-810388.17</v>
      </c>
      <c r="F103" s="25" t="n">
        <v>0</v>
      </c>
      <c r="G103" s="25" t="n">
        <v>0</v>
      </c>
      <c r="H103" s="30">
        <f>SUM(D103:G103)</f>
        <v/>
      </c>
      <c r="I103" s="25" t="n">
        <v>0</v>
      </c>
      <c r="J103" s="25" t="n">
        <v>0</v>
      </c>
      <c r="K103" s="22" t="inlineStr">
        <is>
          <t>aucun</t>
        </is>
      </c>
      <c r="L103" s="41" t="n"/>
    </row>
    <row r="104">
      <c r="A104" s="12" t="inlineStr">
        <is>
          <t>BENABAS FATEH</t>
        </is>
      </c>
      <c r="B104" s="12" t="inlineStr">
        <is>
          <t>Avance client dormante ≥ 3 ans</t>
        </is>
      </c>
      <c r="C104" s="25" t="n">
        <v>0</v>
      </c>
      <c r="D104" s="25" t="n">
        <v>0</v>
      </c>
      <c r="E104" s="25" t="n">
        <v>-802905.91</v>
      </c>
      <c r="F104" s="25" t="n">
        <v>0</v>
      </c>
      <c r="G104" s="25" t="n">
        <v>0</v>
      </c>
      <c r="H104" s="30">
        <f>SUM(D104:G104)</f>
        <v/>
      </c>
      <c r="I104" s="25" t="n">
        <v>0</v>
      </c>
      <c r="J104" s="25" t="n">
        <v>0</v>
      </c>
      <c r="K104" s="22" t="inlineStr">
        <is>
          <t>aucun</t>
        </is>
      </c>
      <c r="L104" s="41" t="n"/>
    </row>
    <row r="105">
      <c r="A105" s="12" t="inlineStr">
        <is>
          <t>IDIR MOULOUD</t>
        </is>
      </c>
      <c r="B105" s="12" t="inlineStr">
        <is>
          <t>Avance client dormante ≥ 3 ans</t>
        </is>
      </c>
      <c r="C105" s="25" t="n">
        <v>0</v>
      </c>
      <c r="D105" s="25" t="n">
        <v>0</v>
      </c>
      <c r="E105" s="25" t="n">
        <v>-802553.67</v>
      </c>
      <c r="F105" s="25" t="n">
        <v>0</v>
      </c>
      <c r="G105" s="25" t="n">
        <v>0</v>
      </c>
      <c r="H105" s="30">
        <f>SUM(D105:G105)</f>
        <v/>
      </c>
      <c r="I105" s="25" t="n">
        <v>0</v>
      </c>
      <c r="J105" s="25" t="n">
        <v>0</v>
      </c>
      <c r="K105" s="22" t="inlineStr">
        <is>
          <t>aucun</t>
        </is>
      </c>
      <c r="L105" s="41" t="n"/>
    </row>
    <row r="106">
      <c r="A106" s="12" t="inlineStr">
        <is>
          <t>RECHRECHE YOUCEF</t>
        </is>
      </c>
      <c r="B106" s="12" t="inlineStr">
        <is>
          <t>Avance client dormante ≥ 3 ans</t>
        </is>
      </c>
      <c r="C106" s="25" t="n">
        <v>0</v>
      </c>
      <c r="D106" s="25" t="n">
        <v>0</v>
      </c>
      <c r="E106" s="25" t="n">
        <v>-800016.86</v>
      </c>
      <c r="F106" s="25" t="n">
        <v>0</v>
      </c>
      <c r="G106" s="25" t="n">
        <v>0</v>
      </c>
      <c r="H106" s="30">
        <f>SUM(D106:G106)</f>
        <v/>
      </c>
      <c r="I106" s="25" t="n">
        <v>0</v>
      </c>
      <c r="J106" s="25" t="n">
        <v>0</v>
      </c>
      <c r="K106" s="22" t="inlineStr">
        <is>
          <t>aucun</t>
        </is>
      </c>
      <c r="L106" s="41" t="n"/>
    </row>
    <row r="107">
      <c r="A107" s="12" t="inlineStr">
        <is>
          <t>MENHANE FARIDA</t>
        </is>
      </c>
      <c r="B107" s="12" t="inlineStr">
        <is>
          <t>Avance client dormante ≥ 3 ans</t>
        </is>
      </c>
      <c r="C107" s="25" t="n">
        <v>0</v>
      </c>
      <c r="D107" s="25" t="n">
        <v>0</v>
      </c>
      <c r="E107" s="25" t="n">
        <v>-800012.53</v>
      </c>
      <c r="F107" s="25" t="n">
        <v>0</v>
      </c>
      <c r="G107" s="25" t="n">
        <v>0</v>
      </c>
      <c r="H107" s="30">
        <f>SUM(D107:G107)</f>
        <v/>
      </c>
      <c r="I107" s="25" t="n">
        <v>0</v>
      </c>
      <c r="J107" s="25" t="n">
        <v>0</v>
      </c>
      <c r="K107" s="22" t="inlineStr">
        <is>
          <t>aucun</t>
        </is>
      </c>
      <c r="L107" s="41" t="n"/>
    </row>
    <row r="108">
      <c r="A108" s="12" t="inlineStr">
        <is>
          <t>EURL BENYAHIA CARRIERE</t>
        </is>
      </c>
      <c r="B108" s="12" t="inlineStr">
        <is>
          <t>Avance client dormante ≥ 3 ans</t>
        </is>
      </c>
      <c r="C108" s="25" t="n">
        <v>0</v>
      </c>
      <c r="D108" s="25" t="n">
        <v>0</v>
      </c>
      <c r="E108" s="25" t="n">
        <v>-800000</v>
      </c>
      <c r="F108" s="25" t="n">
        <v>0</v>
      </c>
      <c r="G108" s="25" t="n">
        <v>0</v>
      </c>
      <c r="H108" s="30">
        <f>SUM(D108:G108)</f>
        <v/>
      </c>
      <c r="I108" s="25" t="n">
        <v>0</v>
      </c>
      <c r="J108" s="25" t="n">
        <v>0</v>
      </c>
      <c r="K108" s="22" t="inlineStr">
        <is>
          <t>aucun</t>
        </is>
      </c>
      <c r="L108" s="41" t="n"/>
    </row>
    <row r="109">
      <c r="A109" s="12" t="inlineStr">
        <is>
          <t>EURL CARRIER LES BIBIANS</t>
        </is>
      </c>
      <c r="B109" s="12" t="inlineStr">
        <is>
          <t>Avance client dormante ≥ 3 ans</t>
        </is>
      </c>
      <c r="C109" s="25" t="n">
        <v>0</v>
      </c>
      <c r="D109" s="25" t="n">
        <v>0</v>
      </c>
      <c r="E109" s="25" t="n">
        <v>-800000</v>
      </c>
      <c r="F109" s="25" t="n">
        <v>0</v>
      </c>
      <c r="G109" s="25" t="n">
        <v>0</v>
      </c>
      <c r="H109" s="30">
        <f>SUM(D109:G109)</f>
        <v/>
      </c>
      <c r="I109" s="25" t="n">
        <v>0</v>
      </c>
      <c r="J109" s="25" t="n">
        <v>0</v>
      </c>
      <c r="K109" s="22" t="inlineStr">
        <is>
          <t>aucun</t>
        </is>
      </c>
      <c r="L109" s="41" t="n"/>
    </row>
    <row r="110">
      <c r="A110" s="12" t="inlineStr">
        <is>
          <t>HARBIL LAID</t>
        </is>
      </c>
      <c r="B110" s="12" t="inlineStr">
        <is>
          <t>Avance client dormante ≥ 3 ans</t>
        </is>
      </c>
      <c r="C110" s="25" t="n">
        <v>0</v>
      </c>
      <c r="D110" s="25" t="n">
        <v>0</v>
      </c>
      <c r="E110" s="25" t="n">
        <v>-770000</v>
      </c>
      <c r="F110" s="25" t="n">
        <v>0</v>
      </c>
      <c r="G110" s="25" t="n">
        <v>0</v>
      </c>
      <c r="H110" s="30">
        <f>SUM(D110:G110)</f>
        <v/>
      </c>
      <c r="I110" s="25" t="n">
        <v>0</v>
      </c>
      <c r="J110" s="25" t="n">
        <v>0</v>
      </c>
      <c r="K110" s="22" t="inlineStr">
        <is>
          <t>aucun</t>
        </is>
      </c>
      <c r="L110" s="41" t="n"/>
    </row>
    <row r="111">
      <c r="A111" s="12" t="inlineStr">
        <is>
          <t>DEROUICHE MAHMOUD</t>
        </is>
      </c>
      <c r="B111" s="12" t="inlineStr">
        <is>
          <t>Avance client dormante ≥ 3 ans</t>
        </is>
      </c>
      <c r="C111" s="25" t="n">
        <v>0</v>
      </c>
      <c r="D111" s="25" t="n">
        <v>0</v>
      </c>
      <c r="E111" s="25" t="n">
        <v>-766458.8100000001</v>
      </c>
      <c r="F111" s="25" t="n">
        <v>0</v>
      </c>
      <c r="G111" s="25" t="n">
        <v>0</v>
      </c>
      <c r="H111" s="30">
        <f>SUM(D111:G111)</f>
        <v/>
      </c>
      <c r="I111" s="25" t="n">
        <v>0</v>
      </c>
      <c r="J111" s="25" t="n">
        <v>0</v>
      </c>
      <c r="K111" s="22" t="inlineStr">
        <is>
          <t>aucun</t>
        </is>
      </c>
      <c r="L111" s="41" t="n"/>
    </row>
    <row r="112">
      <c r="A112" s="12" t="inlineStr">
        <is>
          <t>LOUANAS AMAR</t>
        </is>
      </c>
      <c r="B112" s="12" t="inlineStr">
        <is>
          <t>Avance client dormante ≥ 3 ans</t>
        </is>
      </c>
      <c r="C112" s="25" t="n">
        <v>0</v>
      </c>
      <c r="D112" s="25" t="n">
        <v>0</v>
      </c>
      <c r="E112" s="25" t="n">
        <v>-753731.7</v>
      </c>
      <c r="F112" s="25" t="n">
        <v>0</v>
      </c>
      <c r="G112" s="25" t="n">
        <v>0</v>
      </c>
      <c r="H112" s="30">
        <f>SUM(D112:G112)</f>
        <v/>
      </c>
      <c r="I112" s="25" t="n">
        <v>0</v>
      </c>
      <c r="J112" s="25" t="n">
        <v>0</v>
      </c>
      <c r="K112" s="22" t="inlineStr">
        <is>
          <t>aucun</t>
        </is>
      </c>
      <c r="L112" s="41" t="n"/>
    </row>
    <row r="113">
      <c r="A113" s="12" t="inlineStr">
        <is>
          <t>DJOUDI AMAR</t>
        </is>
      </c>
      <c r="B113" s="12" t="inlineStr">
        <is>
          <t>Avance client dormante ≥ 3 ans</t>
        </is>
      </c>
      <c r="C113" s="25" t="n">
        <v>0</v>
      </c>
      <c r="D113" s="25" t="n">
        <v>0</v>
      </c>
      <c r="E113" s="25" t="n">
        <v>-700068.67</v>
      </c>
      <c r="F113" s="25" t="n">
        <v>0</v>
      </c>
      <c r="G113" s="25" t="n">
        <v>0</v>
      </c>
      <c r="H113" s="30">
        <f>SUM(D113:G113)</f>
        <v/>
      </c>
      <c r="I113" s="25" t="n">
        <v>0</v>
      </c>
      <c r="J113" s="25" t="n">
        <v>0</v>
      </c>
      <c r="K113" s="22" t="inlineStr">
        <is>
          <t>aucun</t>
        </is>
      </c>
      <c r="L113" s="41" t="n"/>
    </row>
    <row r="114">
      <c r="A114" s="12" t="inlineStr">
        <is>
          <t>GHERIS MAHMOUD</t>
        </is>
      </c>
      <c r="B114" s="12" t="inlineStr">
        <is>
          <t>Avance client dormante ≥ 3 ans</t>
        </is>
      </c>
      <c r="C114" s="25" t="n">
        <v>0</v>
      </c>
      <c r="D114" s="25" t="n">
        <v>0</v>
      </c>
      <c r="E114" s="25" t="n">
        <v>-700000</v>
      </c>
      <c r="F114" s="25" t="n">
        <v>0</v>
      </c>
      <c r="G114" s="25" t="n">
        <v>0</v>
      </c>
      <c r="H114" s="30">
        <f>SUM(D114:G114)</f>
        <v/>
      </c>
      <c r="I114" s="25" t="n">
        <v>0</v>
      </c>
      <c r="J114" s="25" t="n">
        <v>0</v>
      </c>
      <c r="K114" s="22" t="inlineStr">
        <is>
          <t>aucun</t>
        </is>
      </c>
      <c r="L114" s="41" t="n"/>
    </row>
    <row r="115">
      <c r="A115" s="12" t="inlineStr">
        <is>
          <t>NABET NADIR</t>
        </is>
      </c>
      <c r="B115" s="12" t="inlineStr">
        <is>
          <t>Avance client dormante ≥ 3 ans</t>
        </is>
      </c>
      <c r="C115" s="25" t="n">
        <v>0</v>
      </c>
      <c r="D115" s="25" t="n">
        <v>0</v>
      </c>
      <c r="E115" s="25" t="n">
        <v>-661017.3199999999</v>
      </c>
      <c r="F115" s="25" t="n">
        <v>0</v>
      </c>
      <c r="G115" s="25" t="n">
        <v>0</v>
      </c>
      <c r="H115" s="30">
        <f>SUM(D115:G115)</f>
        <v/>
      </c>
      <c r="I115" s="25" t="n">
        <v>0</v>
      </c>
      <c r="J115" s="25" t="n">
        <v>0</v>
      </c>
      <c r="K115" s="22" t="inlineStr">
        <is>
          <t>aucun</t>
        </is>
      </c>
      <c r="L115" s="41" t="n"/>
    </row>
    <row r="116">
      <c r="A116" s="12" t="inlineStr">
        <is>
          <t>MAHAH ACHOUR</t>
        </is>
      </c>
      <c r="B116" s="12" t="inlineStr">
        <is>
          <t>Avance client dormante ≥ 3 ans</t>
        </is>
      </c>
      <c r="C116" s="25" t="n">
        <v>0</v>
      </c>
      <c r="D116" s="25" t="n">
        <v>0</v>
      </c>
      <c r="E116" s="25" t="n">
        <v>-656638.71</v>
      </c>
      <c r="F116" s="25" t="n">
        <v>0</v>
      </c>
      <c r="G116" s="25" t="n">
        <v>0</v>
      </c>
      <c r="H116" s="30">
        <f>SUM(D116:G116)</f>
        <v/>
      </c>
      <c r="I116" s="25" t="n">
        <v>0</v>
      </c>
      <c r="J116" s="25" t="n">
        <v>0</v>
      </c>
      <c r="K116" s="22" t="inlineStr">
        <is>
          <t>aucun</t>
        </is>
      </c>
      <c r="L116" s="41" t="n"/>
    </row>
    <row r="117">
      <c r="A117" s="12" t="inlineStr">
        <is>
          <t>FERTAL LYAZID</t>
        </is>
      </c>
      <c r="B117" s="12" t="inlineStr">
        <is>
          <t>Avance client dormante ≥ 3 ans</t>
        </is>
      </c>
      <c r="C117" s="25" t="n">
        <v>0</v>
      </c>
      <c r="D117" s="25" t="n">
        <v>0</v>
      </c>
      <c r="E117" s="25" t="n">
        <v>-655410.28</v>
      </c>
      <c r="F117" s="25" t="n">
        <v>0</v>
      </c>
      <c r="G117" s="25" t="n">
        <v>0</v>
      </c>
      <c r="H117" s="30">
        <f>SUM(D117:G117)</f>
        <v/>
      </c>
      <c r="I117" s="25" t="n">
        <v>0</v>
      </c>
      <c r="J117" s="25" t="n">
        <v>0</v>
      </c>
      <c r="K117" s="22" t="inlineStr">
        <is>
          <t>aucun</t>
        </is>
      </c>
      <c r="L117" s="41" t="n"/>
    </row>
    <row r="118">
      <c r="A118" s="12" t="inlineStr">
        <is>
          <t>LAIDANI NABIL</t>
        </is>
      </c>
      <c r="B118" s="12" t="inlineStr">
        <is>
          <t>Avance client dormante ≥ 3 ans</t>
        </is>
      </c>
      <c r="C118" s="25" t="n">
        <v>0</v>
      </c>
      <c r="D118" s="25" t="n">
        <v>0</v>
      </c>
      <c r="E118" s="25" t="n">
        <v>-652291.4399999999</v>
      </c>
      <c r="F118" s="25" t="n">
        <v>0</v>
      </c>
      <c r="G118" s="25" t="n">
        <v>0</v>
      </c>
      <c r="H118" s="30">
        <f>SUM(D118:G118)</f>
        <v/>
      </c>
      <c r="I118" s="25" t="n">
        <v>0</v>
      </c>
      <c r="J118" s="25" t="n">
        <v>0</v>
      </c>
      <c r="K118" s="22" t="inlineStr">
        <is>
          <t>aucun</t>
        </is>
      </c>
      <c r="L118" s="41" t="n"/>
    </row>
    <row r="119">
      <c r="A119" s="12" t="inlineStr">
        <is>
          <t>SELLAH SALIM</t>
        </is>
      </c>
      <c r="B119" s="12" t="inlineStr">
        <is>
          <t>Avance client dormante ≥ 3 ans</t>
        </is>
      </c>
      <c r="C119" s="25" t="n">
        <v>0</v>
      </c>
      <c r="D119" s="25" t="n">
        <v>0</v>
      </c>
      <c r="E119" s="25" t="n">
        <v>-650000</v>
      </c>
      <c r="F119" s="25" t="n">
        <v>0</v>
      </c>
      <c r="G119" s="25" t="n">
        <v>0</v>
      </c>
      <c r="H119" s="30">
        <f>SUM(D119:G119)</f>
        <v/>
      </c>
      <c r="I119" s="25" t="n">
        <v>0</v>
      </c>
      <c r="J119" s="25" t="n">
        <v>0</v>
      </c>
      <c r="K119" s="22" t="inlineStr">
        <is>
          <t>aucun</t>
        </is>
      </c>
      <c r="L119" s="41" t="n"/>
    </row>
    <row r="120">
      <c r="A120" s="12" t="inlineStr">
        <is>
          <t>SARL AHRAS ELECTRO DIESEL</t>
        </is>
      </c>
      <c r="B120" s="12" t="inlineStr">
        <is>
          <t>Avance client dormante ≥ 3 ans</t>
        </is>
      </c>
      <c r="C120" s="25" t="n">
        <v>0</v>
      </c>
      <c r="D120" s="25" t="n">
        <v>0</v>
      </c>
      <c r="E120" s="25" t="n">
        <v>-599999.99</v>
      </c>
      <c r="F120" s="25" t="n">
        <v>0</v>
      </c>
      <c r="G120" s="25" t="n">
        <v>0</v>
      </c>
      <c r="H120" s="30">
        <f>SUM(D120:G120)</f>
        <v/>
      </c>
      <c r="I120" s="25" t="n">
        <v>0</v>
      </c>
      <c r="J120" s="25" t="n">
        <v>0</v>
      </c>
      <c r="K120" s="22" t="inlineStr">
        <is>
          <t>aucun</t>
        </is>
      </c>
      <c r="L120" s="41" t="n"/>
    </row>
    <row r="121">
      <c r="A121" s="12" t="inlineStr">
        <is>
          <t>ATHMANE ABDELLAH</t>
        </is>
      </c>
      <c r="B121" s="12" t="inlineStr">
        <is>
          <t>Avance client dormante ≥ 3 ans</t>
        </is>
      </c>
      <c r="C121" s="25" t="n">
        <v>0</v>
      </c>
      <c r="D121" s="25" t="n">
        <v>0</v>
      </c>
      <c r="E121" s="25" t="n">
        <v>-584760</v>
      </c>
      <c r="F121" s="25" t="n">
        <v>0</v>
      </c>
      <c r="G121" s="25" t="n">
        <v>0</v>
      </c>
      <c r="H121" s="30">
        <f>SUM(D121:G121)</f>
        <v/>
      </c>
      <c r="I121" s="25" t="n">
        <v>0</v>
      </c>
      <c r="J121" s="25" t="n">
        <v>0</v>
      </c>
      <c r="K121" s="22" t="inlineStr">
        <is>
          <t>aucun</t>
        </is>
      </c>
      <c r="L121" s="41" t="n"/>
    </row>
    <row r="122">
      <c r="A122" s="12" t="inlineStr">
        <is>
          <t>SARL BOUKOUCHA SABL OUED AGRIO</t>
        </is>
      </c>
      <c r="B122" s="12" t="inlineStr">
        <is>
          <t>Avance client dormante ≥ 3 ans</t>
        </is>
      </c>
      <c r="C122" s="25" t="n">
        <v>0</v>
      </c>
      <c r="D122" s="25" t="n">
        <v>0</v>
      </c>
      <c r="E122" s="25" t="n">
        <v>-580400</v>
      </c>
      <c r="F122" s="25" t="n">
        <v>0</v>
      </c>
      <c r="G122" s="25" t="n">
        <v>0</v>
      </c>
      <c r="H122" s="30">
        <f>SUM(D122:G122)</f>
        <v/>
      </c>
      <c r="I122" s="25" t="n">
        <v>0</v>
      </c>
      <c r="J122" s="25" t="n">
        <v>0</v>
      </c>
      <c r="K122" s="22" t="inlineStr">
        <is>
          <t>aucun</t>
        </is>
      </c>
      <c r="L122" s="41" t="n"/>
    </row>
    <row r="123">
      <c r="A123" s="12" t="inlineStr">
        <is>
          <t>BOUKIR KHELLAF</t>
        </is>
      </c>
      <c r="B123" s="12" t="inlineStr">
        <is>
          <t>Avance client dormante ≥ 3 ans</t>
        </is>
      </c>
      <c r="C123" s="25" t="n">
        <v>0</v>
      </c>
      <c r="D123" s="25" t="n">
        <v>0</v>
      </c>
      <c r="E123" s="25" t="n">
        <v>-565666.61</v>
      </c>
      <c r="F123" s="25" t="n">
        <v>0</v>
      </c>
      <c r="G123" s="25" t="n">
        <v>0</v>
      </c>
      <c r="H123" s="30">
        <f>SUM(D123:G123)</f>
        <v/>
      </c>
      <c r="I123" s="25" t="n">
        <v>0</v>
      </c>
      <c r="J123" s="25" t="n">
        <v>0</v>
      </c>
      <c r="K123" s="22" t="inlineStr">
        <is>
          <t>aucun</t>
        </is>
      </c>
      <c r="L123" s="41" t="n"/>
    </row>
    <row r="124">
      <c r="A124" s="12" t="inlineStr">
        <is>
          <t>KASMI MOHAND</t>
        </is>
      </c>
      <c r="B124" s="12" t="inlineStr">
        <is>
          <t>Avance client dormante ≥ 3 ans</t>
        </is>
      </c>
      <c r="C124" s="25" t="n">
        <v>0</v>
      </c>
      <c r="D124" s="25" t="n">
        <v>0</v>
      </c>
      <c r="E124" s="25" t="n">
        <v>-564170</v>
      </c>
      <c r="F124" s="25" t="n">
        <v>0</v>
      </c>
      <c r="G124" s="25" t="n">
        <v>0</v>
      </c>
      <c r="H124" s="30">
        <f>SUM(D124:G124)</f>
        <v/>
      </c>
      <c r="I124" s="25" t="n">
        <v>0</v>
      </c>
      <c r="J124" s="25" t="n">
        <v>0</v>
      </c>
      <c r="K124" s="22" t="inlineStr">
        <is>
          <t>aucun</t>
        </is>
      </c>
      <c r="L124" s="41" t="n"/>
    </row>
    <row r="125">
      <c r="A125" s="12" t="inlineStr">
        <is>
          <t>EURL ALL TRANSFERT</t>
        </is>
      </c>
      <c r="B125" s="12" t="inlineStr">
        <is>
          <t>Avance client dormante ≥ 3 ans</t>
        </is>
      </c>
      <c r="C125" s="25" t="n">
        <v>0</v>
      </c>
      <c r="D125" s="25" t="n">
        <v>0</v>
      </c>
      <c r="E125" s="25" t="n">
        <v>-552778.74</v>
      </c>
      <c r="F125" s="25" t="n">
        <v>0</v>
      </c>
      <c r="G125" s="25" t="n">
        <v>0</v>
      </c>
      <c r="H125" s="30">
        <f>SUM(D125:G125)</f>
        <v/>
      </c>
      <c r="I125" s="25" t="n">
        <v>0</v>
      </c>
      <c r="J125" s="25" t="n">
        <v>0</v>
      </c>
      <c r="K125" s="22" t="inlineStr">
        <is>
          <t>aucun</t>
        </is>
      </c>
      <c r="L125" s="41" t="n"/>
    </row>
    <row r="126">
      <c r="A126" s="12" t="inlineStr">
        <is>
          <t>SARL VMLI</t>
        </is>
      </c>
      <c r="B126" s="12" t="inlineStr">
        <is>
          <t>Avance client dormante ≥ 3 ans</t>
        </is>
      </c>
      <c r="C126" s="25" t="n">
        <v>0</v>
      </c>
      <c r="D126" s="25" t="n">
        <v>0</v>
      </c>
      <c r="E126" s="25" t="n">
        <v>-551850</v>
      </c>
      <c r="F126" s="25" t="n">
        <v>0</v>
      </c>
      <c r="G126" s="25" t="n">
        <v>0</v>
      </c>
      <c r="H126" s="30">
        <f>SUM(D126:G126)</f>
        <v/>
      </c>
      <c r="I126" s="25" t="n">
        <v>0</v>
      </c>
      <c r="J126" s="25" t="n">
        <v>0</v>
      </c>
      <c r="K126" s="22" t="inlineStr">
        <is>
          <t>aucun</t>
        </is>
      </c>
      <c r="L126" s="41" t="n"/>
    </row>
    <row r="127">
      <c r="A127" s="12" t="inlineStr">
        <is>
          <t>KRID FATMA ZOHRA</t>
        </is>
      </c>
      <c r="B127" s="12" t="inlineStr">
        <is>
          <t>Avance client dormante ≥ 3 ans</t>
        </is>
      </c>
      <c r="C127" s="25" t="n">
        <v>0</v>
      </c>
      <c r="D127" s="25" t="n">
        <v>0</v>
      </c>
      <c r="E127" s="25" t="n">
        <v>-550000</v>
      </c>
      <c r="F127" s="25" t="n">
        <v>0</v>
      </c>
      <c r="G127" s="25" t="n">
        <v>0</v>
      </c>
      <c r="H127" s="30">
        <f>SUM(D127:G127)</f>
        <v/>
      </c>
      <c r="I127" s="25" t="n">
        <v>0</v>
      </c>
      <c r="J127" s="25" t="n">
        <v>0</v>
      </c>
      <c r="K127" s="22" t="inlineStr">
        <is>
          <t>aucun</t>
        </is>
      </c>
      <c r="L127" s="41" t="n"/>
    </row>
    <row r="128">
      <c r="A128" s="12" t="inlineStr">
        <is>
          <t>CHAABNA SLIMANE</t>
        </is>
      </c>
      <c r="B128" s="12" t="inlineStr">
        <is>
          <t>Avance client dormante ≥ 3 ans</t>
        </is>
      </c>
      <c r="C128" s="25" t="n">
        <v>0</v>
      </c>
      <c r="D128" s="25" t="n">
        <v>0</v>
      </c>
      <c r="E128" s="25" t="n">
        <v>-541673.92</v>
      </c>
      <c r="F128" s="25" t="n">
        <v>0</v>
      </c>
      <c r="G128" s="25" t="n">
        <v>0</v>
      </c>
      <c r="H128" s="30">
        <f>SUM(D128:G128)</f>
        <v/>
      </c>
      <c r="I128" s="25" t="n">
        <v>0</v>
      </c>
      <c r="J128" s="25" t="n">
        <v>0</v>
      </c>
      <c r="K128" s="22" t="inlineStr">
        <is>
          <t>aucun</t>
        </is>
      </c>
      <c r="L128" s="41" t="n"/>
    </row>
    <row r="129">
      <c r="A129" s="12" t="inlineStr">
        <is>
          <t>IDIR TOUFIK</t>
        </is>
      </c>
      <c r="B129" s="12" t="inlineStr">
        <is>
          <t>Avance client dormante ≥ 3 ans</t>
        </is>
      </c>
      <c r="C129" s="25" t="n">
        <v>0</v>
      </c>
      <c r="D129" s="25" t="n">
        <v>0</v>
      </c>
      <c r="E129" s="25" t="n">
        <v>-530808.99</v>
      </c>
      <c r="F129" s="25" t="n">
        <v>0</v>
      </c>
      <c r="G129" s="25" t="n">
        <v>0</v>
      </c>
      <c r="H129" s="30">
        <f>SUM(D129:G129)</f>
        <v/>
      </c>
      <c r="I129" s="25" t="n">
        <v>0</v>
      </c>
      <c r="J129" s="25" t="n">
        <v>0</v>
      </c>
      <c r="K129" s="22" t="inlineStr">
        <is>
          <t>aucun</t>
        </is>
      </c>
      <c r="L129" s="41" t="n"/>
    </row>
    <row r="130">
      <c r="A130" s="12" t="inlineStr">
        <is>
          <t>KEZIZ KHALED</t>
        </is>
      </c>
      <c r="B130" s="12" t="inlineStr">
        <is>
          <t>Avance client dormante ≥ 3 ans</t>
        </is>
      </c>
      <c r="C130" s="25" t="n">
        <v>0</v>
      </c>
      <c r="D130" s="25" t="n">
        <v>0</v>
      </c>
      <c r="E130" s="25" t="n">
        <v>-518874.41</v>
      </c>
      <c r="F130" s="25" t="n">
        <v>0</v>
      </c>
      <c r="G130" s="25" t="n">
        <v>0</v>
      </c>
      <c r="H130" s="30">
        <f>SUM(D130:G130)</f>
        <v/>
      </c>
      <c r="I130" s="25" t="n">
        <v>0</v>
      </c>
      <c r="J130" s="25" t="n">
        <v>0</v>
      </c>
      <c r="K130" s="22" t="inlineStr">
        <is>
          <t>aucun</t>
        </is>
      </c>
      <c r="L130" s="41" t="n"/>
    </row>
    <row r="131">
      <c r="A131" s="12" t="inlineStr">
        <is>
          <t>SELLAH NOUREDINE</t>
        </is>
      </c>
      <c r="B131" s="12" t="inlineStr">
        <is>
          <t>Avance client dormante ≥ 3 ans</t>
        </is>
      </c>
      <c r="C131" s="25" t="n">
        <v>0</v>
      </c>
      <c r="D131" s="25" t="n">
        <v>0</v>
      </c>
      <c r="E131" s="25" t="n">
        <v>-504755.04</v>
      </c>
      <c r="F131" s="25" t="n">
        <v>0</v>
      </c>
      <c r="G131" s="25" t="n">
        <v>0</v>
      </c>
      <c r="H131" s="30">
        <f>SUM(D131:G131)</f>
        <v/>
      </c>
      <c r="I131" s="25" t="n">
        <v>0</v>
      </c>
      <c r="J131" s="25" t="n">
        <v>0</v>
      </c>
      <c r="K131" s="22" t="inlineStr">
        <is>
          <t>aucun</t>
        </is>
      </c>
      <c r="L131" s="41" t="n"/>
    </row>
    <row r="132">
      <c r="A132" s="12" t="inlineStr">
        <is>
          <t>GHANEM BRAHIM</t>
        </is>
      </c>
      <c r="B132" s="12" t="inlineStr">
        <is>
          <t>Avance client dormante ≥ 3 ans</t>
        </is>
      </c>
      <c r="C132" s="25" t="n">
        <v>0</v>
      </c>
      <c r="D132" s="25" t="n">
        <v>0</v>
      </c>
      <c r="E132" s="25" t="n">
        <v>-502131.67</v>
      </c>
      <c r="F132" s="25" t="n">
        <v>0</v>
      </c>
      <c r="G132" s="25" t="n">
        <v>0</v>
      </c>
      <c r="H132" s="30">
        <f>SUM(D132:G132)</f>
        <v/>
      </c>
      <c r="I132" s="25" t="n">
        <v>0</v>
      </c>
      <c r="J132" s="25" t="n">
        <v>0</v>
      </c>
      <c r="K132" s="22" t="inlineStr">
        <is>
          <t>aucun</t>
        </is>
      </c>
      <c r="L132" s="41" t="n"/>
    </row>
    <row r="133">
      <c r="A133" s="12" t="inlineStr">
        <is>
          <t>MEZIANE KHELIFA</t>
        </is>
      </c>
      <c r="B133" s="12" t="inlineStr">
        <is>
          <t>Avance client dormante ≥ 3 ans</t>
        </is>
      </c>
      <c r="C133" s="25" t="n">
        <v>0</v>
      </c>
      <c r="D133" s="25" t="n">
        <v>0</v>
      </c>
      <c r="E133" s="25" t="n">
        <v>-500572.61</v>
      </c>
      <c r="F133" s="25" t="n">
        <v>0</v>
      </c>
      <c r="G133" s="25" t="n">
        <v>0</v>
      </c>
      <c r="H133" s="30">
        <f>SUM(D133:G133)</f>
        <v/>
      </c>
      <c r="I133" s="25" t="n">
        <v>0</v>
      </c>
      <c r="J133" s="25" t="n">
        <v>0</v>
      </c>
      <c r="K133" s="22" t="inlineStr">
        <is>
          <t>aucun</t>
        </is>
      </c>
      <c r="L133" s="41" t="n"/>
    </row>
    <row r="134">
      <c r="A134" s="12" t="inlineStr">
        <is>
          <t>AIT YATA FARES</t>
        </is>
      </c>
      <c r="B134" s="12" t="inlineStr">
        <is>
          <t>Avance client dormante ≥ 3 ans</t>
        </is>
      </c>
      <c r="C134" s="25" t="n">
        <v>0</v>
      </c>
      <c r="D134" s="25" t="n">
        <v>0</v>
      </c>
      <c r="E134" s="25" t="n">
        <v>-500000</v>
      </c>
      <c r="F134" s="25" t="n">
        <v>0</v>
      </c>
      <c r="G134" s="25" t="n">
        <v>0</v>
      </c>
      <c r="H134" s="30">
        <f>SUM(D134:G134)</f>
        <v/>
      </c>
      <c r="I134" s="25" t="n">
        <v>0</v>
      </c>
      <c r="J134" s="25" t="n">
        <v>0</v>
      </c>
      <c r="K134" s="22" t="inlineStr">
        <is>
          <t>aucun</t>
        </is>
      </c>
      <c r="L134" s="41" t="n"/>
    </row>
    <row r="135">
      <c r="A135" s="12" t="inlineStr">
        <is>
          <t>BOUKAIBA FAHEM</t>
        </is>
      </c>
      <c r="B135" s="12" t="inlineStr">
        <is>
          <t>Avance client dormante ≥ 3 ans</t>
        </is>
      </c>
      <c r="C135" s="25" t="n">
        <v>0</v>
      </c>
      <c r="D135" s="25" t="n">
        <v>0</v>
      </c>
      <c r="E135" s="25" t="n">
        <v>-500000</v>
      </c>
      <c r="F135" s="25" t="n">
        <v>0</v>
      </c>
      <c r="G135" s="25" t="n">
        <v>0</v>
      </c>
      <c r="H135" s="30">
        <f>SUM(D135:G135)</f>
        <v/>
      </c>
      <c r="I135" s="25" t="n">
        <v>0</v>
      </c>
      <c r="J135" s="25" t="n">
        <v>0</v>
      </c>
      <c r="K135" s="22" t="inlineStr">
        <is>
          <t>aucun</t>
        </is>
      </c>
      <c r="L135" s="41" t="n"/>
    </row>
    <row r="136">
      <c r="A136" s="12" t="inlineStr">
        <is>
          <t>FERROUDJ NASSIM</t>
        </is>
      </c>
      <c r="B136" s="12" t="inlineStr">
        <is>
          <t>Avance client dormante ≥ 3 ans</t>
        </is>
      </c>
      <c r="C136" s="25" t="n">
        <v>0</v>
      </c>
      <c r="D136" s="25" t="n">
        <v>0</v>
      </c>
      <c r="E136" s="25" t="n">
        <v>-497156.75</v>
      </c>
      <c r="F136" s="25" t="n">
        <v>0</v>
      </c>
      <c r="G136" s="25" t="n">
        <v>0</v>
      </c>
      <c r="H136" s="30">
        <f>SUM(D136:G136)</f>
        <v/>
      </c>
      <c r="I136" s="25" t="n">
        <v>0</v>
      </c>
      <c r="J136" s="25" t="n">
        <v>0</v>
      </c>
      <c r="K136" s="22" t="inlineStr">
        <is>
          <t>aucun</t>
        </is>
      </c>
      <c r="L136" s="41" t="n"/>
    </row>
    <row r="137">
      <c r="A137" s="12" t="inlineStr">
        <is>
          <t>SARL TERGOU  M/CONSTRUCTIONS</t>
        </is>
      </c>
      <c r="B137" s="12" t="inlineStr">
        <is>
          <t>Avance client dormante ≥ 3 ans</t>
        </is>
      </c>
      <c r="C137" s="25" t="n">
        <v>0</v>
      </c>
      <c r="D137" s="25" t="n">
        <v>0</v>
      </c>
      <c r="E137" s="25" t="n">
        <v>-490000</v>
      </c>
      <c r="F137" s="25" t="n">
        <v>0</v>
      </c>
      <c r="G137" s="25" t="n">
        <v>0</v>
      </c>
      <c r="H137" s="30">
        <f>SUM(D137:G137)</f>
        <v/>
      </c>
      <c r="I137" s="25" t="n">
        <v>0</v>
      </c>
      <c r="J137" s="25" t="n">
        <v>0</v>
      </c>
      <c r="K137" s="22" t="inlineStr">
        <is>
          <t>aucun</t>
        </is>
      </c>
      <c r="L137" s="41" t="n"/>
    </row>
    <row r="138">
      <c r="A138" s="12" t="inlineStr">
        <is>
          <t>KERKADENE AMAR</t>
        </is>
      </c>
      <c r="B138" s="12" t="inlineStr">
        <is>
          <t>Avance client dormante ≥ 3 ans</t>
        </is>
      </c>
      <c r="C138" s="25" t="n">
        <v>0</v>
      </c>
      <c r="D138" s="25" t="n">
        <v>0</v>
      </c>
      <c r="E138" s="25" t="n">
        <v>-480000</v>
      </c>
      <c r="F138" s="25" t="n">
        <v>0</v>
      </c>
      <c r="G138" s="25" t="n">
        <v>0</v>
      </c>
      <c r="H138" s="30">
        <f>SUM(D138:G138)</f>
        <v/>
      </c>
      <c r="I138" s="25" t="n">
        <v>0</v>
      </c>
      <c r="J138" s="25" t="n">
        <v>0</v>
      </c>
      <c r="K138" s="22" t="inlineStr">
        <is>
          <t>aucun</t>
        </is>
      </c>
      <c r="L138" s="41" t="n"/>
    </row>
    <row r="139">
      <c r="A139" s="12" t="inlineStr">
        <is>
          <t>MAZOUZ HACENE</t>
        </is>
      </c>
      <c r="B139" s="12" t="inlineStr">
        <is>
          <t>Avance client dormante ≥ 3 ans</t>
        </is>
      </c>
      <c r="C139" s="25" t="n">
        <v>0</v>
      </c>
      <c r="D139" s="25" t="n">
        <v>0</v>
      </c>
      <c r="E139" s="25" t="n">
        <v>-480000</v>
      </c>
      <c r="F139" s="25" t="n">
        <v>0</v>
      </c>
      <c r="G139" s="25" t="n">
        <v>0</v>
      </c>
      <c r="H139" s="30">
        <f>SUM(D139:G139)</f>
        <v/>
      </c>
      <c r="I139" s="25" t="n">
        <v>0</v>
      </c>
      <c r="J139" s="25" t="n">
        <v>0</v>
      </c>
      <c r="K139" s="22" t="inlineStr">
        <is>
          <t>aucun</t>
        </is>
      </c>
      <c r="L139" s="41" t="n"/>
    </row>
    <row r="140">
      <c r="A140" s="12" t="inlineStr">
        <is>
          <t>YAKOUBI MEZIANE</t>
        </is>
      </c>
      <c r="B140" s="12" t="inlineStr">
        <is>
          <t>Avance client dormante ≥ 3 ans</t>
        </is>
      </c>
      <c r="C140" s="25" t="n">
        <v>0</v>
      </c>
      <c r="D140" s="25" t="n">
        <v>0</v>
      </c>
      <c r="E140" s="25" t="n">
        <v>-468398.13</v>
      </c>
      <c r="F140" s="25" t="n">
        <v>0</v>
      </c>
      <c r="G140" s="25" t="n">
        <v>0</v>
      </c>
      <c r="H140" s="30">
        <f>SUM(D140:G140)</f>
        <v/>
      </c>
      <c r="I140" s="25" t="n">
        <v>0</v>
      </c>
      <c r="J140" s="25" t="n">
        <v>0</v>
      </c>
      <c r="K140" s="22" t="inlineStr">
        <is>
          <t>aucun</t>
        </is>
      </c>
      <c r="L140" s="41" t="n"/>
    </row>
    <row r="141">
      <c r="A141" s="12" t="inlineStr">
        <is>
          <t>DEHAM HOCINE</t>
        </is>
      </c>
      <c r="B141" s="12" t="inlineStr">
        <is>
          <t>Avance client dormante ≥ 3 ans</t>
        </is>
      </c>
      <c r="C141" s="25" t="n">
        <v>0</v>
      </c>
      <c r="D141" s="25" t="n">
        <v>0</v>
      </c>
      <c r="E141" s="25" t="n">
        <v>-429959.39</v>
      </c>
      <c r="F141" s="25" t="n">
        <v>0</v>
      </c>
      <c r="G141" s="25" t="n">
        <v>0</v>
      </c>
      <c r="H141" s="30">
        <f>SUM(D141:G141)</f>
        <v/>
      </c>
      <c r="I141" s="25" t="n">
        <v>0</v>
      </c>
      <c r="J141" s="25" t="n">
        <v>0</v>
      </c>
      <c r="K141" s="22" t="inlineStr">
        <is>
          <t>aucun</t>
        </is>
      </c>
      <c r="L141" s="41" t="n"/>
    </row>
    <row r="142">
      <c r="A142" s="12" t="inlineStr">
        <is>
          <t>LOUALI MOHAMED</t>
        </is>
      </c>
      <c r="B142" s="12" t="inlineStr">
        <is>
          <t>Avance client dormante ≥ 3 ans</t>
        </is>
      </c>
      <c r="C142" s="25" t="n">
        <v>0</v>
      </c>
      <c r="D142" s="25" t="n">
        <v>0</v>
      </c>
      <c r="E142" s="25" t="n">
        <v>-401200</v>
      </c>
      <c r="F142" s="25" t="n">
        <v>0</v>
      </c>
      <c r="G142" s="25" t="n">
        <v>0</v>
      </c>
      <c r="H142" s="30">
        <f>SUM(D142:G142)</f>
        <v/>
      </c>
      <c r="I142" s="25" t="n">
        <v>0</v>
      </c>
      <c r="J142" s="25" t="n">
        <v>0</v>
      </c>
      <c r="K142" s="22" t="inlineStr">
        <is>
          <t>aucun</t>
        </is>
      </c>
      <c r="L142" s="41" t="n"/>
    </row>
    <row r="143">
      <c r="A143" s="12" t="inlineStr">
        <is>
          <t>LEBSIR NADIA</t>
        </is>
      </c>
      <c r="B143" s="12" t="inlineStr">
        <is>
          <t>Avance client dormante ≥ 3 ans</t>
        </is>
      </c>
      <c r="C143" s="25" t="n">
        <v>0</v>
      </c>
      <c r="D143" s="25" t="n">
        <v>0</v>
      </c>
      <c r="E143" s="25" t="n">
        <v>-400028.85</v>
      </c>
      <c r="F143" s="25" t="n">
        <v>0</v>
      </c>
      <c r="G143" s="25" t="n">
        <v>0</v>
      </c>
      <c r="H143" s="30">
        <f>SUM(D143:G143)</f>
        <v/>
      </c>
      <c r="I143" s="25" t="n">
        <v>0</v>
      </c>
      <c r="J143" s="25" t="n">
        <v>0</v>
      </c>
      <c r="K143" s="22" t="inlineStr">
        <is>
          <t>aucun</t>
        </is>
      </c>
      <c r="L143" s="41" t="n"/>
    </row>
    <row r="144">
      <c r="A144" s="12" t="inlineStr">
        <is>
          <t>AIT ALI HICHAM DJAMEL PIECES</t>
        </is>
      </c>
      <c r="B144" s="12" t="inlineStr">
        <is>
          <t>Avance client dormante ≥ 3 ans</t>
        </is>
      </c>
      <c r="C144" s="25" t="n">
        <v>0</v>
      </c>
      <c r="D144" s="25" t="n">
        <v>0</v>
      </c>
      <c r="E144" s="25" t="n">
        <v>-400000</v>
      </c>
      <c r="F144" s="25" t="n">
        <v>0</v>
      </c>
      <c r="G144" s="25" t="n">
        <v>0</v>
      </c>
      <c r="H144" s="30">
        <f>SUM(D144:G144)</f>
        <v/>
      </c>
      <c r="I144" s="25" t="n">
        <v>0</v>
      </c>
      <c r="J144" s="25" t="n">
        <v>0</v>
      </c>
      <c r="K144" s="22" t="inlineStr">
        <is>
          <t>aucun</t>
        </is>
      </c>
      <c r="L144" s="41" t="n"/>
    </row>
    <row r="145">
      <c r="A145" s="12" t="inlineStr">
        <is>
          <t>SARL REV ETPBH SIDANE</t>
        </is>
      </c>
      <c r="B145" s="12" t="inlineStr">
        <is>
          <t>Avance client dormante ≥ 3 ans</t>
        </is>
      </c>
      <c r="C145" s="25" t="n">
        <v>0</v>
      </c>
      <c r="D145" s="25" t="n">
        <v>0</v>
      </c>
      <c r="E145" s="25" t="n">
        <v>-393539.72</v>
      </c>
      <c r="F145" s="25" t="n">
        <v>0</v>
      </c>
      <c r="G145" s="25" t="n">
        <v>0</v>
      </c>
      <c r="H145" s="30">
        <f>SUM(D145:G145)</f>
        <v/>
      </c>
      <c r="I145" s="25" t="n">
        <v>0</v>
      </c>
      <c r="J145" s="25" t="n">
        <v>0</v>
      </c>
      <c r="K145" s="22" t="inlineStr">
        <is>
          <t>aucun</t>
        </is>
      </c>
      <c r="L145" s="41" t="n"/>
    </row>
    <row r="146">
      <c r="A146" s="12" t="inlineStr">
        <is>
          <t>SAIDANI HAMOU</t>
        </is>
      </c>
      <c r="B146" s="12" t="inlineStr">
        <is>
          <t>Avance client dormante ≥ 3 ans</t>
        </is>
      </c>
      <c r="C146" s="25" t="n">
        <v>0</v>
      </c>
      <c r="D146" s="25" t="n">
        <v>0</v>
      </c>
      <c r="E146" s="25" t="n">
        <v>-351464.94</v>
      </c>
      <c r="F146" s="25" t="n">
        <v>0</v>
      </c>
      <c r="G146" s="25" t="n">
        <v>0</v>
      </c>
      <c r="H146" s="30">
        <f>SUM(D146:G146)</f>
        <v/>
      </c>
      <c r="I146" s="25" t="n">
        <v>0</v>
      </c>
      <c r="J146" s="25" t="n">
        <v>0</v>
      </c>
      <c r="K146" s="22" t="inlineStr">
        <is>
          <t>aucun</t>
        </is>
      </c>
      <c r="L146" s="41" t="n"/>
    </row>
    <row r="147">
      <c r="A147" s="12" t="inlineStr">
        <is>
          <t>SARL FATRASKI</t>
        </is>
      </c>
      <c r="B147" s="12" t="inlineStr">
        <is>
          <t>Avance client dormante ≥ 3 ans</t>
        </is>
      </c>
      <c r="C147" s="25" t="n">
        <v>0</v>
      </c>
      <c r="D147" s="25" t="n">
        <v>0</v>
      </c>
      <c r="E147" s="25" t="n">
        <v>-351000</v>
      </c>
      <c r="F147" s="25" t="n">
        <v>0</v>
      </c>
      <c r="G147" s="25" t="n">
        <v>0</v>
      </c>
      <c r="H147" s="30">
        <f>SUM(D147:G147)</f>
        <v/>
      </c>
      <c r="I147" s="25" t="n">
        <v>0</v>
      </c>
      <c r="J147" s="25" t="n">
        <v>0</v>
      </c>
      <c r="K147" s="22" t="inlineStr">
        <is>
          <t>aucun</t>
        </is>
      </c>
      <c r="L147" s="41" t="n"/>
    </row>
    <row r="148">
      <c r="A148" s="12" t="inlineStr">
        <is>
          <t>AYACHI AMOR ABDELMALEK</t>
        </is>
      </c>
      <c r="B148" s="12" t="inlineStr">
        <is>
          <t>Avance client dormante ≥ 3 ans</t>
        </is>
      </c>
      <c r="C148" s="25" t="n">
        <v>0</v>
      </c>
      <c r="D148" s="25" t="n">
        <v>0</v>
      </c>
      <c r="E148" s="25" t="n">
        <v>-315000</v>
      </c>
      <c r="F148" s="25" t="n">
        <v>0</v>
      </c>
      <c r="G148" s="25" t="n">
        <v>0</v>
      </c>
      <c r="H148" s="30">
        <f>SUM(D148:G148)</f>
        <v/>
      </c>
      <c r="I148" s="25" t="n">
        <v>0</v>
      </c>
      <c r="J148" s="25" t="n">
        <v>0</v>
      </c>
      <c r="K148" s="22" t="inlineStr">
        <is>
          <t>aucun</t>
        </is>
      </c>
      <c r="L148" s="41" t="n"/>
    </row>
    <row r="149">
      <c r="A149" s="12" t="inlineStr">
        <is>
          <t>BENYAHIA AMAR</t>
        </is>
      </c>
      <c r="B149" s="12" t="inlineStr">
        <is>
          <t>Avance client dormante ≥ 3 ans</t>
        </is>
      </c>
      <c r="C149" s="25" t="n">
        <v>0</v>
      </c>
      <c r="D149" s="25" t="n">
        <v>0</v>
      </c>
      <c r="E149" s="25" t="n">
        <v>-313100</v>
      </c>
      <c r="F149" s="25" t="n">
        <v>0</v>
      </c>
      <c r="G149" s="25" t="n">
        <v>0</v>
      </c>
      <c r="H149" s="30">
        <f>SUM(D149:G149)</f>
        <v/>
      </c>
      <c r="I149" s="25" t="n">
        <v>0</v>
      </c>
      <c r="J149" s="25" t="n">
        <v>0</v>
      </c>
      <c r="K149" s="22" t="inlineStr">
        <is>
          <t>aucun</t>
        </is>
      </c>
      <c r="L149" s="41" t="n"/>
    </row>
    <row r="150">
      <c r="A150" s="12" t="inlineStr">
        <is>
          <t>BENHAMA TAHAR</t>
        </is>
      </c>
      <c r="B150" s="12" t="inlineStr">
        <is>
          <t>Avance client dormante ≥ 3 ans</t>
        </is>
      </c>
      <c r="C150" s="25" t="n">
        <v>0</v>
      </c>
      <c r="D150" s="25" t="n">
        <v>0</v>
      </c>
      <c r="E150" s="25" t="n">
        <v>-308338.53</v>
      </c>
      <c r="F150" s="25" t="n">
        <v>0</v>
      </c>
      <c r="G150" s="25" t="n">
        <v>0</v>
      </c>
      <c r="H150" s="30">
        <f>SUM(D150:G150)</f>
        <v/>
      </c>
      <c r="I150" s="25" t="n">
        <v>0</v>
      </c>
      <c r="J150" s="25" t="n">
        <v>0</v>
      </c>
      <c r="K150" s="22" t="inlineStr">
        <is>
          <t>aucun</t>
        </is>
      </c>
      <c r="L150" s="41" t="n"/>
    </row>
    <row r="151">
      <c r="A151" s="12" t="inlineStr">
        <is>
          <t>BENBERNOU MOHAMED</t>
        </is>
      </c>
      <c r="B151" s="12" t="inlineStr">
        <is>
          <t>Avance client dormante ≥ 3 ans</t>
        </is>
      </c>
      <c r="C151" s="25" t="n">
        <v>0</v>
      </c>
      <c r="D151" s="25" t="n">
        <v>0</v>
      </c>
      <c r="E151" s="25" t="n">
        <v>-300000</v>
      </c>
      <c r="F151" s="25" t="n">
        <v>0</v>
      </c>
      <c r="G151" s="25" t="n">
        <v>0</v>
      </c>
      <c r="H151" s="30">
        <f>SUM(D151:G151)</f>
        <v/>
      </c>
      <c r="I151" s="25" t="n">
        <v>0</v>
      </c>
      <c r="J151" s="25" t="n">
        <v>0</v>
      </c>
      <c r="K151" s="22" t="inlineStr">
        <is>
          <t>aucun</t>
        </is>
      </c>
      <c r="L151" s="41" t="n"/>
    </row>
    <row r="152">
      <c r="A152" s="12" t="inlineStr">
        <is>
          <t>SELLAH ABD ELGHANI</t>
        </is>
      </c>
      <c r="B152" s="12" t="inlineStr">
        <is>
          <t>Avance client dormante ≥ 3 ans</t>
        </is>
      </c>
      <c r="C152" s="25" t="n">
        <v>0</v>
      </c>
      <c r="D152" s="25" t="n">
        <v>0</v>
      </c>
      <c r="E152" s="25" t="n">
        <v>-300000</v>
      </c>
      <c r="F152" s="25" t="n">
        <v>0</v>
      </c>
      <c r="G152" s="25" t="n">
        <v>0</v>
      </c>
      <c r="H152" s="30">
        <f>SUM(D152:G152)</f>
        <v/>
      </c>
      <c r="I152" s="25" t="n">
        <v>0</v>
      </c>
      <c r="J152" s="25" t="n">
        <v>0</v>
      </c>
      <c r="K152" s="22" t="inlineStr">
        <is>
          <t>aucun</t>
        </is>
      </c>
      <c r="L152" s="41" t="n"/>
    </row>
    <row r="153">
      <c r="A153" s="12" t="inlineStr">
        <is>
          <t>YAHIAOUI ZAID</t>
        </is>
      </c>
      <c r="B153" s="12" t="inlineStr">
        <is>
          <t>Avance client dormante ≥ 3 ans</t>
        </is>
      </c>
      <c r="C153" s="25" t="n">
        <v>0</v>
      </c>
      <c r="D153" s="25" t="n">
        <v>0</v>
      </c>
      <c r="E153" s="25" t="n">
        <v>-298900</v>
      </c>
      <c r="F153" s="25" t="n">
        <v>0</v>
      </c>
      <c r="G153" s="25" t="n">
        <v>0</v>
      </c>
      <c r="H153" s="30">
        <f>SUM(D153:G153)</f>
        <v/>
      </c>
      <c r="I153" s="25" t="n">
        <v>0</v>
      </c>
      <c r="J153" s="25" t="n">
        <v>0</v>
      </c>
      <c r="K153" s="22" t="inlineStr">
        <is>
          <t>aucun</t>
        </is>
      </c>
      <c r="L153" s="41" t="n"/>
    </row>
    <row r="154">
      <c r="A154" s="12" t="inlineStr">
        <is>
          <t>IKHLEF DJELLOUL</t>
        </is>
      </c>
      <c r="B154" s="12" t="inlineStr">
        <is>
          <t>Avance client dormante ≥ 3 ans</t>
        </is>
      </c>
      <c r="C154" s="25" t="n">
        <v>0</v>
      </c>
      <c r="D154" s="25" t="n">
        <v>0</v>
      </c>
      <c r="E154" s="25" t="n">
        <v>-298000</v>
      </c>
      <c r="F154" s="25" t="n">
        <v>0</v>
      </c>
      <c r="G154" s="25" t="n">
        <v>0</v>
      </c>
      <c r="H154" s="30">
        <f>SUM(D154:G154)</f>
        <v/>
      </c>
      <c r="I154" s="25" t="n">
        <v>0</v>
      </c>
      <c r="J154" s="25" t="n">
        <v>0</v>
      </c>
      <c r="K154" s="22" t="inlineStr">
        <is>
          <t>aucun</t>
        </is>
      </c>
      <c r="L154" s="41" t="n"/>
    </row>
    <row r="155">
      <c r="A155" s="12" t="inlineStr">
        <is>
          <t>ABDELLI ABDENOUR</t>
        </is>
      </c>
      <c r="B155" s="12" t="inlineStr">
        <is>
          <t>Avance client dormante ≥ 3 ans</t>
        </is>
      </c>
      <c r="C155" s="25" t="n">
        <v>0</v>
      </c>
      <c r="D155" s="25" t="n">
        <v>0</v>
      </c>
      <c r="E155" s="25" t="n">
        <v>-292000</v>
      </c>
      <c r="F155" s="25" t="n">
        <v>0</v>
      </c>
      <c r="G155" s="25" t="n">
        <v>0</v>
      </c>
      <c r="H155" s="30">
        <f>SUM(D155:G155)</f>
        <v/>
      </c>
      <c r="I155" s="25" t="n">
        <v>0</v>
      </c>
      <c r="J155" s="25" t="n">
        <v>0</v>
      </c>
      <c r="K155" s="22" t="inlineStr">
        <is>
          <t>aucun</t>
        </is>
      </c>
      <c r="L155" s="41" t="n"/>
    </row>
    <row r="156">
      <c r="A156" s="12" t="inlineStr">
        <is>
          <t>MENACERI LARBI</t>
        </is>
      </c>
      <c r="B156" s="12" t="inlineStr">
        <is>
          <t>Avance client dormante ≥ 3 ans</t>
        </is>
      </c>
      <c r="C156" s="25" t="n">
        <v>0</v>
      </c>
      <c r="D156" s="25" t="n">
        <v>0</v>
      </c>
      <c r="E156" s="25" t="n">
        <v>-280029.09</v>
      </c>
      <c r="F156" s="25" t="n">
        <v>0</v>
      </c>
      <c r="G156" s="25" t="n">
        <v>0</v>
      </c>
      <c r="H156" s="30">
        <f>SUM(D156:G156)</f>
        <v/>
      </c>
      <c r="I156" s="25" t="n">
        <v>0</v>
      </c>
      <c r="J156" s="25" t="n">
        <v>0</v>
      </c>
      <c r="K156" s="22" t="inlineStr">
        <is>
          <t>aucun</t>
        </is>
      </c>
      <c r="L156" s="41" t="n"/>
    </row>
    <row r="157">
      <c r="A157" s="12" t="inlineStr">
        <is>
          <t>TIGHIDET ABDELMADJID</t>
        </is>
      </c>
      <c r="B157" s="12" t="inlineStr">
        <is>
          <t>Avance client dormante ≥ 3 ans</t>
        </is>
      </c>
      <c r="C157" s="25" t="n">
        <v>0</v>
      </c>
      <c r="D157" s="25" t="n">
        <v>0</v>
      </c>
      <c r="E157" s="25" t="n">
        <v>-254124</v>
      </c>
      <c r="F157" s="25" t="n">
        <v>0</v>
      </c>
      <c r="G157" s="25" t="n">
        <v>0</v>
      </c>
      <c r="H157" s="30">
        <f>SUM(D157:G157)</f>
        <v/>
      </c>
      <c r="I157" s="25" t="n">
        <v>0</v>
      </c>
      <c r="J157" s="25" t="n">
        <v>0</v>
      </c>
      <c r="K157" s="22" t="inlineStr">
        <is>
          <t>aucun</t>
        </is>
      </c>
      <c r="L157" s="41" t="n"/>
    </row>
    <row r="158">
      <c r="A158" s="12" t="inlineStr">
        <is>
          <t>ABDOUNE ABDENACER</t>
        </is>
      </c>
      <c r="B158" s="12" t="inlineStr">
        <is>
          <t>Avance client dormante ≥ 3 ans</t>
        </is>
      </c>
      <c r="C158" s="25" t="n">
        <v>0</v>
      </c>
      <c r="D158" s="25" t="n">
        <v>0</v>
      </c>
      <c r="E158" s="25" t="n">
        <v>-250000</v>
      </c>
      <c r="F158" s="25" t="n">
        <v>0</v>
      </c>
      <c r="G158" s="25" t="n">
        <v>0</v>
      </c>
      <c r="H158" s="30">
        <f>SUM(D158:G158)</f>
        <v/>
      </c>
      <c r="I158" s="25" t="n">
        <v>0</v>
      </c>
      <c r="J158" s="25" t="n">
        <v>0</v>
      </c>
      <c r="K158" s="22" t="inlineStr">
        <is>
          <t>aucun</t>
        </is>
      </c>
      <c r="L158" s="41" t="n"/>
    </row>
    <row r="159">
      <c r="A159" s="12" t="inlineStr">
        <is>
          <t>SPA EPE SODISMAC</t>
        </is>
      </c>
      <c r="B159" s="12" t="inlineStr">
        <is>
          <t>Avance client dormante ≥ 3 ans</t>
        </is>
      </c>
      <c r="C159" s="25" t="n">
        <v>0</v>
      </c>
      <c r="D159" s="25" t="n">
        <v>0</v>
      </c>
      <c r="E159" s="25" t="n">
        <v>-250000</v>
      </c>
      <c r="F159" s="25" t="n">
        <v>0</v>
      </c>
      <c r="G159" s="25" t="n">
        <v>0</v>
      </c>
      <c r="H159" s="30">
        <f>SUM(D159:G159)</f>
        <v/>
      </c>
      <c r="I159" s="25" t="n">
        <v>0</v>
      </c>
      <c r="J159" s="25" t="n">
        <v>0</v>
      </c>
      <c r="K159" s="22" t="inlineStr">
        <is>
          <t>aucun</t>
        </is>
      </c>
      <c r="L159" s="41" t="n"/>
    </row>
    <row r="160">
      <c r="A160" s="12" t="inlineStr">
        <is>
          <t>SALHI OUALI</t>
        </is>
      </c>
      <c r="B160" s="12" t="inlineStr">
        <is>
          <t>Avance client dormante ≥ 3 ans</t>
        </is>
      </c>
      <c r="C160" s="25" t="n">
        <v>0</v>
      </c>
      <c r="D160" s="25" t="n">
        <v>0</v>
      </c>
      <c r="E160" s="25" t="n">
        <v>-210471.27</v>
      </c>
      <c r="F160" s="25" t="n">
        <v>0</v>
      </c>
      <c r="G160" s="25" t="n">
        <v>0</v>
      </c>
      <c r="H160" s="30">
        <f>SUM(D160:G160)</f>
        <v/>
      </c>
      <c r="I160" s="25" t="n">
        <v>0</v>
      </c>
      <c r="J160" s="25" t="n">
        <v>0</v>
      </c>
      <c r="K160" s="22" t="inlineStr">
        <is>
          <t>aucun</t>
        </is>
      </c>
      <c r="L160" s="41" t="n"/>
    </row>
    <row r="161">
      <c r="A161" s="12" t="inlineStr">
        <is>
          <t>AOUCHICHE MASSINISSA</t>
        </is>
      </c>
      <c r="B161" s="12" t="inlineStr">
        <is>
          <t>Avance client dormante ≥ 3 ans</t>
        </is>
      </c>
      <c r="C161" s="25" t="n">
        <v>0</v>
      </c>
      <c r="D161" s="25" t="n">
        <v>0</v>
      </c>
      <c r="E161" s="25" t="n">
        <v>-210129</v>
      </c>
      <c r="F161" s="25" t="n">
        <v>0</v>
      </c>
      <c r="G161" s="25" t="n">
        <v>0</v>
      </c>
      <c r="H161" s="30">
        <f>SUM(D161:G161)</f>
        <v/>
      </c>
      <c r="I161" s="25" t="n">
        <v>0</v>
      </c>
      <c r="J161" s="25" t="n">
        <v>0</v>
      </c>
      <c r="K161" s="22" t="inlineStr">
        <is>
          <t>aucun</t>
        </is>
      </c>
      <c r="L161" s="41" t="n"/>
    </row>
    <row r="162">
      <c r="A162" s="12" t="inlineStr">
        <is>
          <t>BECHRI FAYSSAL</t>
        </is>
      </c>
      <c r="B162" s="12" t="inlineStr">
        <is>
          <t>Avance client dormante ≥ 3 ans</t>
        </is>
      </c>
      <c r="C162" s="25" t="n">
        <v>0</v>
      </c>
      <c r="D162" s="25" t="n">
        <v>0</v>
      </c>
      <c r="E162" s="25" t="n">
        <v>-208260.39</v>
      </c>
      <c r="F162" s="25" t="n">
        <v>0</v>
      </c>
      <c r="G162" s="25" t="n">
        <v>0</v>
      </c>
      <c r="H162" s="30">
        <f>SUM(D162:G162)</f>
        <v/>
      </c>
      <c r="I162" s="25" t="n">
        <v>0</v>
      </c>
      <c r="J162" s="25" t="n">
        <v>0</v>
      </c>
      <c r="K162" s="22" t="inlineStr">
        <is>
          <t>aucun</t>
        </is>
      </c>
      <c r="L162" s="41" t="n"/>
    </row>
    <row r="163">
      <c r="A163" s="12" t="inlineStr">
        <is>
          <t>HALLABI AHMED</t>
        </is>
      </c>
      <c r="B163" s="12" t="inlineStr">
        <is>
          <t>Avance client dormante ≥ 3 ans</t>
        </is>
      </c>
      <c r="C163" s="25" t="n">
        <v>0</v>
      </c>
      <c r="D163" s="25" t="n">
        <v>0</v>
      </c>
      <c r="E163" s="25" t="n">
        <v>-200000</v>
      </c>
      <c r="F163" s="25" t="n">
        <v>0</v>
      </c>
      <c r="G163" s="25" t="n">
        <v>0</v>
      </c>
      <c r="H163" s="30">
        <f>SUM(D163:G163)</f>
        <v/>
      </c>
      <c r="I163" s="25" t="n">
        <v>0</v>
      </c>
      <c r="J163" s="25" t="n">
        <v>0</v>
      </c>
      <c r="K163" s="22" t="inlineStr">
        <is>
          <t>aucun</t>
        </is>
      </c>
      <c r="L163" s="41" t="n"/>
    </row>
    <row r="164">
      <c r="A164" s="12" t="inlineStr">
        <is>
          <t>SALMI ABDESLAM</t>
        </is>
      </c>
      <c r="B164" s="12" t="inlineStr">
        <is>
          <t>Avance client dormante ≥ 3 ans</t>
        </is>
      </c>
      <c r="C164" s="25" t="n">
        <v>0</v>
      </c>
      <c r="D164" s="25" t="n">
        <v>0</v>
      </c>
      <c r="E164" s="25" t="n">
        <v>-200000</v>
      </c>
      <c r="F164" s="25" t="n">
        <v>0</v>
      </c>
      <c r="G164" s="25" t="n">
        <v>0</v>
      </c>
      <c r="H164" s="30">
        <f>SUM(D164:G164)</f>
        <v/>
      </c>
      <c r="I164" s="25" t="n">
        <v>0</v>
      </c>
      <c r="J164" s="25" t="n">
        <v>0</v>
      </c>
      <c r="K164" s="22" t="inlineStr">
        <is>
          <t>aucun</t>
        </is>
      </c>
      <c r="L164" s="41" t="n"/>
    </row>
    <row r="165">
      <c r="A165" s="12" t="inlineStr">
        <is>
          <t>LAMINE YOUCEF</t>
        </is>
      </c>
      <c r="B165" s="12" t="inlineStr">
        <is>
          <t>Avance client dormante ≥ 3 ans</t>
        </is>
      </c>
      <c r="C165" s="25" t="n">
        <v>0</v>
      </c>
      <c r="D165" s="25" t="n">
        <v>0</v>
      </c>
      <c r="E165" s="25" t="n">
        <v>-198326.8</v>
      </c>
      <c r="F165" s="25" t="n">
        <v>0</v>
      </c>
      <c r="G165" s="25" t="n">
        <v>0</v>
      </c>
      <c r="H165" s="30">
        <f>SUM(D165:G165)</f>
        <v/>
      </c>
      <c r="I165" s="25" t="n">
        <v>0</v>
      </c>
      <c r="J165" s="25" t="n">
        <v>0</v>
      </c>
      <c r="K165" s="22" t="inlineStr">
        <is>
          <t>aucun</t>
        </is>
      </c>
      <c r="L165" s="41" t="n"/>
    </row>
    <row r="166">
      <c r="A166" s="12" t="inlineStr">
        <is>
          <t>BENZIOUCHE THAMEUR</t>
        </is>
      </c>
      <c r="B166" s="12" t="inlineStr">
        <is>
          <t>Avance client dormante ≥ 3 ans</t>
        </is>
      </c>
      <c r="C166" s="25" t="n">
        <v>0</v>
      </c>
      <c r="D166" s="25" t="n">
        <v>0</v>
      </c>
      <c r="E166" s="25" t="n">
        <v>-183400</v>
      </c>
      <c r="F166" s="25" t="n">
        <v>0</v>
      </c>
      <c r="G166" s="25" t="n">
        <v>0</v>
      </c>
      <c r="H166" s="30">
        <f>SUM(D166:G166)</f>
        <v/>
      </c>
      <c r="I166" s="25" t="n">
        <v>0</v>
      </c>
      <c r="J166" s="25" t="n">
        <v>0</v>
      </c>
      <c r="K166" s="22" t="inlineStr">
        <is>
          <t>aucun</t>
        </is>
      </c>
      <c r="L166" s="41" t="n"/>
    </row>
    <row r="167">
      <c r="A167" s="12" t="inlineStr">
        <is>
          <t>AZZOUG FARID</t>
        </is>
      </c>
      <c r="B167" s="12" t="inlineStr">
        <is>
          <t>Avance client dormante ≥ 3 ans</t>
        </is>
      </c>
      <c r="C167" s="25" t="n">
        <v>0</v>
      </c>
      <c r="D167" s="25" t="n">
        <v>0</v>
      </c>
      <c r="E167" s="25" t="n">
        <v>-171149.59</v>
      </c>
      <c r="F167" s="25" t="n">
        <v>0</v>
      </c>
      <c r="G167" s="25" t="n">
        <v>0</v>
      </c>
      <c r="H167" s="30">
        <f>SUM(D167:G167)</f>
        <v/>
      </c>
      <c r="I167" s="25" t="n">
        <v>0</v>
      </c>
      <c r="J167" s="25" t="n">
        <v>0</v>
      </c>
      <c r="K167" s="22" t="inlineStr">
        <is>
          <t>aucun</t>
        </is>
      </c>
      <c r="L167" s="41" t="n"/>
    </row>
    <row r="168">
      <c r="A168" s="12" t="inlineStr">
        <is>
          <t>SNC OUAMRI ET FILS</t>
        </is>
      </c>
      <c r="B168" s="12" t="inlineStr">
        <is>
          <t>Avance client dormante ≥ 3 ans</t>
        </is>
      </c>
      <c r="C168" s="25" t="n">
        <v>0</v>
      </c>
      <c r="D168" s="25" t="n">
        <v>0</v>
      </c>
      <c r="E168" s="25" t="n">
        <v>-130000</v>
      </c>
      <c r="F168" s="25" t="n">
        <v>0</v>
      </c>
      <c r="G168" s="25" t="n">
        <v>0</v>
      </c>
      <c r="H168" s="30">
        <f>SUM(D168:G168)</f>
        <v/>
      </c>
      <c r="I168" s="25" t="n">
        <v>0</v>
      </c>
      <c r="J168" s="25" t="n">
        <v>0</v>
      </c>
      <c r="K168" s="22" t="inlineStr">
        <is>
          <t>aucun</t>
        </is>
      </c>
      <c r="L168" s="41" t="n"/>
    </row>
    <row r="169">
      <c r="A169" s="12" t="inlineStr">
        <is>
          <t>CHEBBAH NACER</t>
        </is>
      </c>
      <c r="B169" s="12" t="inlineStr">
        <is>
          <t>Avance client dormante ≥ 3 ans</t>
        </is>
      </c>
      <c r="C169" s="25" t="n">
        <v>0</v>
      </c>
      <c r="D169" s="25" t="n">
        <v>0</v>
      </c>
      <c r="E169" s="25" t="n">
        <v>-100000</v>
      </c>
      <c r="F169" s="25" t="n">
        <v>0</v>
      </c>
      <c r="G169" s="25" t="n">
        <v>0</v>
      </c>
      <c r="H169" s="30">
        <f>SUM(D169:G169)</f>
        <v/>
      </c>
      <c r="I169" s="25" t="n">
        <v>0</v>
      </c>
      <c r="J169" s="25" t="n">
        <v>0</v>
      </c>
      <c r="K169" s="22" t="inlineStr">
        <is>
          <t>aucun</t>
        </is>
      </c>
      <c r="L169" s="41" t="n"/>
    </row>
    <row r="170">
      <c r="A170" s="12" t="inlineStr">
        <is>
          <t>DJOUMI LOUNES</t>
        </is>
      </c>
      <c r="B170" s="12" t="inlineStr">
        <is>
          <t>Avance client dormante ≥ 3 ans</t>
        </is>
      </c>
      <c r="C170" s="25" t="n">
        <v>0</v>
      </c>
      <c r="D170" s="25" t="n">
        <v>0</v>
      </c>
      <c r="E170" s="25" t="n">
        <v>-100000</v>
      </c>
      <c r="F170" s="25" t="n">
        <v>0</v>
      </c>
      <c r="G170" s="25" t="n">
        <v>0</v>
      </c>
      <c r="H170" s="30">
        <f>SUM(D170:G170)</f>
        <v/>
      </c>
      <c r="I170" s="25" t="n">
        <v>0</v>
      </c>
      <c r="J170" s="25" t="n">
        <v>0</v>
      </c>
      <c r="K170" s="22" t="inlineStr">
        <is>
          <t>aucun</t>
        </is>
      </c>
      <c r="L170" s="41" t="n"/>
    </row>
    <row r="171">
      <c r="A171" s="12" t="inlineStr">
        <is>
          <t>IGHEMOURACENE SALAH</t>
        </is>
      </c>
      <c r="B171" s="12" t="inlineStr">
        <is>
          <t>Avance client dormante ≥ 3 ans</t>
        </is>
      </c>
      <c r="C171" s="25" t="n">
        <v>0</v>
      </c>
      <c r="D171" s="25" t="n">
        <v>0</v>
      </c>
      <c r="E171" s="25" t="n">
        <v>-100000</v>
      </c>
      <c r="F171" s="25" t="n">
        <v>0</v>
      </c>
      <c r="G171" s="25" t="n">
        <v>0</v>
      </c>
      <c r="H171" s="30">
        <f>SUM(D171:G171)</f>
        <v/>
      </c>
      <c r="I171" s="25" t="n">
        <v>0</v>
      </c>
      <c r="J171" s="25" t="n">
        <v>0</v>
      </c>
      <c r="K171" s="22" t="inlineStr">
        <is>
          <t>aucun</t>
        </is>
      </c>
      <c r="L171" s="41" t="n"/>
    </row>
    <row r="172">
      <c r="A172" s="12" t="inlineStr">
        <is>
          <t>BENKHELIFA ABDELHAKIM</t>
        </is>
      </c>
      <c r="B172" s="12" t="inlineStr">
        <is>
          <t>Avance client dormante ≥ 3 ans</t>
        </is>
      </c>
      <c r="C172" s="25" t="n">
        <v>0</v>
      </c>
      <c r="D172" s="25" t="n">
        <v>0</v>
      </c>
      <c r="E172" s="25" t="n">
        <v>-60000</v>
      </c>
      <c r="F172" s="25" t="n">
        <v>0</v>
      </c>
      <c r="G172" s="25" t="n">
        <v>0</v>
      </c>
      <c r="H172" s="30">
        <f>SUM(D172:G172)</f>
        <v/>
      </c>
      <c r="I172" s="25" t="n">
        <v>0</v>
      </c>
      <c r="J172" s="25" t="n">
        <v>0</v>
      </c>
      <c r="K172" s="22" t="inlineStr">
        <is>
          <t>aucun</t>
        </is>
      </c>
      <c r="L172" s="41" t="n"/>
    </row>
    <row r="173">
      <c r="A173" s="12" t="inlineStr">
        <is>
          <t>YAHIAOUI ELKHIYER</t>
        </is>
      </c>
      <c r="B173" s="12" t="inlineStr">
        <is>
          <t>Avance client dormante ≥ 3 ans</t>
        </is>
      </c>
      <c r="C173" s="25" t="n">
        <v>0</v>
      </c>
      <c r="D173" s="25" t="n">
        <v>0</v>
      </c>
      <c r="E173" s="25" t="n">
        <v>-51500</v>
      </c>
      <c r="F173" s="25" t="n">
        <v>0</v>
      </c>
      <c r="G173" s="25" t="n">
        <v>0</v>
      </c>
      <c r="H173" s="30">
        <f>SUM(D173:G173)</f>
        <v/>
      </c>
      <c r="I173" s="25" t="n">
        <v>0</v>
      </c>
      <c r="J173" s="25" t="n">
        <v>0</v>
      </c>
      <c r="K173" s="22" t="inlineStr">
        <is>
          <t>aucun</t>
        </is>
      </c>
      <c r="L173" s="41" t="n"/>
    </row>
    <row r="174">
      <c r="A174" s="12" t="inlineStr">
        <is>
          <t>HAGROUD ABD ELAZIZE</t>
        </is>
      </c>
      <c r="B174" s="12" t="inlineStr">
        <is>
          <t>Avance client dormante ≥ 3 ans</t>
        </is>
      </c>
      <c r="C174" s="25" t="n">
        <v>0</v>
      </c>
      <c r="D174" s="25" t="n">
        <v>0</v>
      </c>
      <c r="E174" s="25" t="n">
        <v>-48000</v>
      </c>
      <c r="F174" s="25" t="n">
        <v>0</v>
      </c>
      <c r="G174" s="25" t="n">
        <v>0</v>
      </c>
      <c r="H174" s="30">
        <f>SUM(D174:G174)</f>
        <v/>
      </c>
      <c r="I174" s="25" t="n">
        <v>0</v>
      </c>
      <c r="J174" s="25" t="n">
        <v>0</v>
      </c>
      <c r="K174" s="22" t="inlineStr">
        <is>
          <t>aucun</t>
        </is>
      </c>
      <c r="L174" s="41" t="n"/>
    </row>
    <row r="175">
      <c r="A175" s="12" t="inlineStr">
        <is>
          <t>AIT MOUSSA HANAFI</t>
        </is>
      </c>
      <c r="B175" s="12" t="inlineStr">
        <is>
          <t>Avance client dormante ≥ 3 ans</t>
        </is>
      </c>
      <c r="C175" s="25" t="n">
        <v>0</v>
      </c>
      <c r="D175" s="25" t="n">
        <v>0</v>
      </c>
      <c r="E175" s="25" t="n">
        <v>-38000</v>
      </c>
      <c r="F175" s="25" t="n">
        <v>0</v>
      </c>
      <c r="G175" s="25" t="n">
        <v>0</v>
      </c>
      <c r="H175" s="30">
        <f>SUM(D175:G175)</f>
        <v/>
      </c>
      <c r="I175" s="25" t="n">
        <v>0</v>
      </c>
      <c r="J175" s="25" t="n">
        <v>0</v>
      </c>
      <c r="K175" s="22" t="inlineStr">
        <is>
          <t>aucun</t>
        </is>
      </c>
      <c r="L175" s="41" t="n"/>
    </row>
    <row r="176">
      <c r="A176" s="12" t="inlineStr">
        <is>
          <t>NAIT LARBI BOUALEM</t>
        </is>
      </c>
      <c r="B176" s="12" t="inlineStr">
        <is>
          <t>Avance client dormante ≥ 3 ans</t>
        </is>
      </c>
      <c r="C176" s="25" t="n">
        <v>0</v>
      </c>
      <c r="D176" s="25" t="n">
        <v>0</v>
      </c>
      <c r="E176" s="25" t="n">
        <v>-20000</v>
      </c>
      <c r="F176" s="25" t="n">
        <v>0</v>
      </c>
      <c r="G176" s="25" t="n">
        <v>0</v>
      </c>
      <c r="H176" s="30">
        <f>SUM(D176:G176)</f>
        <v/>
      </c>
      <c r="I176" s="25" t="n">
        <v>0</v>
      </c>
      <c r="J176" s="25" t="n">
        <v>0</v>
      </c>
      <c r="K176" s="22" t="inlineStr">
        <is>
          <t>aucun</t>
        </is>
      </c>
      <c r="L176" s="41" t="n"/>
    </row>
    <row r="177">
      <c r="A177" s="12" t="inlineStr">
        <is>
          <t>IDIRI FAYCAL</t>
        </is>
      </c>
      <c r="B177" s="12" t="inlineStr">
        <is>
          <t>Avance client dormante ≥ 3 ans</t>
        </is>
      </c>
      <c r="C177" s="25" t="n">
        <v>0</v>
      </c>
      <c r="D177" s="25" t="n">
        <v>0</v>
      </c>
      <c r="E177" s="25" t="n">
        <v>-9000</v>
      </c>
      <c r="F177" s="25" t="n">
        <v>0</v>
      </c>
      <c r="G177" s="25" t="n">
        <v>0</v>
      </c>
      <c r="H177" s="30">
        <f>SUM(D177:G177)</f>
        <v/>
      </c>
      <c r="I177" s="25" t="n">
        <v>0</v>
      </c>
      <c r="J177" s="25" t="n">
        <v>0</v>
      </c>
      <c r="K177" s="22" t="inlineStr">
        <is>
          <t>aucun</t>
        </is>
      </c>
      <c r="L177" s="41" t="n"/>
    </row>
    <row r="178">
      <c r="A178" s="12" t="inlineStr">
        <is>
          <t>OUKHALED YASSINE</t>
        </is>
      </c>
      <c r="B178" s="12" t="inlineStr">
        <is>
          <t>Avance client dormante ≥ 3 ans</t>
        </is>
      </c>
      <c r="C178" s="25" t="n">
        <v>0</v>
      </c>
      <c r="D178" s="25" t="n">
        <v>0</v>
      </c>
      <c r="E178" s="25" t="n">
        <v>-5638.26</v>
      </c>
      <c r="F178" s="25" t="n">
        <v>0</v>
      </c>
      <c r="G178" s="25" t="n">
        <v>0</v>
      </c>
      <c r="H178" s="30">
        <f>SUM(D178:G178)</f>
        <v/>
      </c>
      <c r="I178" s="25" t="n">
        <v>0</v>
      </c>
      <c r="J178" s="25" t="n">
        <v>0</v>
      </c>
      <c r="K178" s="22" t="inlineStr">
        <is>
          <t>aucun</t>
        </is>
      </c>
      <c r="L178" s="41" t="n"/>
    </row>
    <row r="179">
      <c r="A179" s="12" t="inlineStr">
        <is>
          <t>SLIMANI MOULOUD</t>
        </is>
      </c>
      <c r="B179" s="12" t="inlineStr">
        <is>
          <t>Avance client dormante ≥ 3 ans</t>
        </is>
      </c>
      <c r="C179" s="25" t="n">
        <v>0</v>
      </c>
      <c r="D179" s="25" t="n">
        <v>0</v>
      </c>
      <c r="E179" s="25" t="n">
        <v>-4000</v>
      </c>
      <c r="F179" s="25" t="n">
        <v>0</v>
      </c>
      <c r="G179" s="25" t="n">
        <v>0</v>
      </c>
      <c r="H179" s="30">
        <f>SUM(D179:G179)</f>
        <v/>
      </c>
      <c r="I179" s="25" t="n">
        <v>0</v>
      </c>
      <c r="J179" s="25" t="n">
        <v>0</v>
      </c>
      <c r="K179" s="22" t="inlineStr">
        <is>
          <t>aucun</t>
        </is>
      </c>
      <c r="L179" s="41" t="n"/>
    </row>
    <row r="180">
      <c r="A180" s="12" t="inlineStr">
        <is>
          <t>SARL TRANS SABLE D'OR</t>
        </is>
      </c>
      <c r="B180" s="12" t="inlineStr">
        <is>
          <t>Avance client récente</t>
        </is>
      </c>
      <c r="C180" s="25" t="n">
        <v>0</v>
      </c>
      <c r="D180" s="25" t="n">
        <v>0</v>
      </c>
      <c r="E180" s="25" t="n">
        <v>-29298614.61</v>
      </c>
      <c r="F180" s="25" t="n">
        <v>0</v>
      </c>
      <c r="G180" s="25" t="n">
        <v>0</v>
      </c>
      <c r="H180" s="30">
        <f>SUM(D180:G180)</f>
        <v/>
      </c>
      <c r="I180" s="25" t="n">
        <v>240000</v>
      </c>
      <c r="J180" s="25" t="n">
        <v>240000</v>
      </c>
      <c r="K180" s="22" t="inlineStr">
        <is>
          <t>12/08/2025</t>
        </is>
      </c>
      <c r="L180" s="41" t="n"/>
    </row>
    <row r="181">
      <c r="A181" s="12" t="inlineStr">
        <is>
          <t>MADI ALLAOUA</t>
        </is>
      </c>
      <c r="B181" s="12" t="inlineStr">
        <is>
          <t>Avance client récente</t>
        </is>
      </c>
      <c r="C181" s="25" t="n">
        <v>0</v>
      </c>
      <c r="D181" s="25" t="n">
        <v>0</v>
      </c>
      <c r="E181" s="25" t="n">
        <v>-2660000</v>
      </c>
      <c r="F181" s="25" t="n">
        <v>0</v>
      </c>
      <c r="G181" s="25" t="n">
        <v>0</v>
      </c>
      <c r="H181" s="30">
        <f>SUM(D181:G181)</f>
        <v/>
      </c>
      <c r="I181" s="25" t="n">
        <v>0</v>
      </c>
      <c r="J181" s="25" t="n">
        <v>649946</v>
      </c>
      <c r="K181" s="22" t="inlineStr">
        <is>
          <t>16/01/2025</t>
        </is>
      </c>
      <c r="L181" s="41" t="n"/>
    </row>
    <row r="182">
      <c r="A182" s="12" t="inlineStr">
        <is>
          <t>REDJIMI EP SELAIMIA NOURELHOUD</t>
        </is>
      </c>
      <c r="B182" s="12" t="inlineStr">
        <is>
          <t>Avance client récente</t>
        </is>
      </c>
      <c r="C182" s="25" t="n">
        <v>0</v>
      </c>
      <c r="D182" s="25" t="n">
        <v>0</v>
      </c>
      <c r="E182" s="25" t="n">
        <v>-1825600</v>
      </c>
      <c r="F182" s="25" t="n">
        <v>0</v>
      </c>
      <c r="G182" s="25" t="n">
        <v>0</v>
      </c>
      <c r="H182" s="30">
        <f>SUM(D182:G182)</f>
        <v/>
      </c>
      <c r="I182" s="25" t="n">
        <v>0</v>
      </c>
      <c r="J182" s="25" t="n">
        <v>1825600</v>
      </c>
      <c r="K182" s="22" t="inlineStr">
        <is>
          <t>20/11/2025</t>
        </is>
      </c>
      <c r="L182" s="41" t="n"/>
    </row>
    <row r="183">
      <c r="A183" s="12" t="inlineStr">
        <is>
          <t>SNC BOVA YASSA ET CIE</t>
        </is>
      </c>
      <c r="B183" s="12" t="inlineStr">
        <is>
          <t>Avance client récente</t>
        </is>
      </c>
      <c r="C183" s="25" t="n">
        <v>0</v>
      </c>
      <c r="D183" s="25" t="n">
        <v>0</v>
      </c>
      <c r="E183" s="25" t="n">
        <v>-802295.0699999999</v>
      </c>
      <c r="F183" s="25" t="n">
        <v>0</v>
      </c>
      <c r="G183" s="25" t="n">
        <v>0</v>
      </c>
      <c r="H183" s="30">
        <f>SUM(D183:G183)</f>
        <v/>
      </c>
      <c r="I183" s="25" t="n">
        <v>630000</v>
      </c>
      <c r="J183" s="25" t="n">
        <v>630000</v>
      </c>
      <c r="K183" s="22" t="inlineStr">
        <is>
          <t>17/07/2025</t>
        </is>
      </c>
      <c r="L183" s="41" t="n"/>
    </row>
    <row r="184">
      <c r="A184" s="12" t="inlineStr">
        <is>
          <t>HENNOUNI ALI</t>
        </is>
      </c>
      <c r="B184" s="12" t="inlineStr">
        <is>
          <t>Avance client récente</t>
        </is>
      </c>
      <c r="C184" s="25" t="n">
        <v>0</v>
      </c>
      <c r="D184" s="25" t="n">
        <v>0</v>
      </c>
      <c r="E184" s="25" t="n">
        <v>-705000</v>
      </c>
      <c r="F184" s="25" t="n">
        <v>0</v>
      </c>
      <c r="G184" s="25" t="n">
        <v>0</v>
      </c>
      <c r="H184" s="30">
        <f>SUM(D184:G184)</f>
        <v/>
      </c>
      <c r="I184" s="25" t="n">
        <v>0</v>
      </c>
      <c r="J184" s="25" t="n">
        <v>200000</v>
      </c>
      <c r="K184" s="22" t="inlineStr">
        <is>
          <t>21/01/2025</t>
        </is>
      </c>
      <c r="L184" s="41" t="n"/>
    </row>
    <row r="185">
      <c r="A185" s="12" t="inlineStr">
        <is>
          <t>IGOUCIMENE FAOUZI</t>
        </is>
      </c>
      <c r="B185" s="12" t="inlineStr">
        <is>
          <t>Avance client récente</t>
        </is>
      </c>
      <c r="C185" s="25" t="n">
        <v>0</v>
      </c>
      <c r="D185" s="25" t="n">
        <v>0</v>
      </c>
      <c r="E185" s="25" t="n">
        <v>-598013.55</v>
      </c>
      <c r="F185" s="25" t="n">
        <v>0</v>
      </c>
      <c r="G185" s="25" t="n">
        <v>0</v>
      </c>
      <c r="H185" s="30">
        <f>SUM(D185:G185)</f>
        <v/>
      </c>
      <c r="I185" s="25" t="n">
        <v>720000</v>
      </c>
      <c r="J185" s="25" t="n">
        <v>720000</v>
      </c>
      <c r="K185" s="22" t="inlineStr">
        <is>
          <t>17/07/2025</t>
        </is>
      </c>
      <c r="L185" s="41" t="n"/>
    </row>
    <row r="186">
      <c r="A186" s="12" t="inlineStr">
        <is>
          <t>MOHELLEBI MOHAMED</t>
        </is>
      </c>
      <c r="B186" s="12" t="inlineStr">
        <is>
          <t>Avance client récente</t>
        </is>
      </c>
      <c r="C186" s="25" t="n">
        <v>0</v>
      </c>
      <c r="D186" s="25" t="n">
        <v>0</v>
      </c>
      <c r="E186" s="25" t="n">
        <v>-593500</v>
      </c>
      <c r="F186" s="25" t="n">
        <v>0</v>
      </c>
      <c r="G186" s="25" t="n">
        <v>0</v>
      </c>
      <c r="H186" s="30">
        <f>SUM(D186:G186)</f>
        <v/>
      </c>
      <c r="I186" s="25" t="n">
        <v>306833.45</v>
      </c>
      <c r="J186" s="25" t="n">
        <v>306833.45</v>
      </c>
      <c r="K186" s="22" t="inlineStr">
        <is>
          <t>24/02/2025</t>
        </is>
      </c>
      <c r="L186" s="41" t="n"/>
    </row>
    <row r="187">
      <c r="A187" s="12" t="inlineStr">
        <is>
          <t>NAFTAL GPL SAIDA</t>
        </is>
      </c>
      <c r="B187" s="12" t="inlineStr">
        <is>
          <t>Avance client récente</t>
        </is>
      </c>
      <c r="C187" s="25" t="n">
        <v>0</v>
      </c>
      <c r="D187" s="25" t="n">
        <v>0</v>
      </c>
      <c r="E187" s="25" t="n">
        <v>-395318</v>
      </c>
      <c r="F187" s="25" t="n">
        <v>0</v>
      </c>
      <c r="G187" s="25" t="n">
        <v>0</v>
      </c>
      <c r="H187" s="30">
        <f>SUM(D187:G187)</f>
        <v/>
      </c>
      <c r="I187" s="25" t="n">
        <v>20148009</v>
      </c>
      <c r="J187" s="25" t="n">
        <v>20148009</v>
      </c>
      <c r="K187" s="22" t="inlineStr">
        <is>
          <t>31/07/2025</t>
        </is>
      </c>
      <c r="L187" s="41" t="n"/>
    </row>
    <row r="188">
      <c r="A188" s="12" t="inlineStr">
        <is>
          <t>ZIANI AMIR</t>
        </is>
      </c>
      <c r="B188" s="12" t="inlineStr">
        <is>
          <t>Avance client récente</t>
        </is>
      </c>
      <c r="C188" s="25" t="n">
        <v>0</v>
      </c>
      <c r="D188" s="25" t="n">
        <v>-0</v>
      </c>
      <c r="E188" s="25" t="n">
        <v>-250000</v>
      </c>
      <c r="F188" s="25" t="n">
        <v>0</v>
      </c>
      <c r="G188" s="25" t="n">
        <v>0</v>
      </c>
      <c r="H188" s="30">
        <f>SUM(D188:G188)</f>
        <v/>
      </c>
      <c r="I188" s="25" t="n">
        <v>10560829.41</v>
      </c>
      <c r="J188" s="25" t="n">
        <v>10560829.41</v>
      </c>
      <c r="K188" s="22" t="inlineStr">
        <is>
          <t>31/12/2025</t>
        </is>
      </c>
      <c r="L188" s="41" t="n"/>
    </row>
    <row r="189">
      <c r="A189" s="12" t="inlineStr">
        <is>
          <t>KADOUR AMAR</t>
        </is>
      </c>
      <c r="B189" s="12" t="inlineStr">
        <is>
          <t>Avance client récente</t>
        </is>
      </c>
      <c r="C189" s="25" t="n">
        <v>0</v>
      </c>
      <c r="D189" s="25" t="n">
        <v>0</v>
      </c>
      <c r="E189" s="25" t="n">
        <v>-240000</v>
      </c>
      <c r="F189" s="25" t="n">
        <v>0</v>
      </c>
      <c r="G189" s="25" t="n">
        <v>0</v>
      </c>
      <c r="H189" s="30">
        <f>SUM(D189:G189)</f>
        <v/>
      </c>
      <c r="I189" s="25" t="n">
        <v>0</v>
      </c>
      <c r="J189" s="25" t="n">
        <v>240000</v>
      </c>
      <c r="K189" s="22" t="inlineStr">
        <is>
          <t>30/09/2025</t>
        </is>
      </c>
      <c r="L189" s="41" t="n"/>
    </row>
    <row r="190">
      <c r="A190" s="12" t="inlineStr">
        <is>
          <t>SNC MOTEUR BLUE ZIANI ET CIE</t>
        </is>
      </c>
      <c r="B190" s="12" t="inlineStr">
        <is>
          <t>Créance client sans mouvement en 2025</t>
        </is>
      </c>
      <c r="C190" s="25" t="n">
        <v>0</v>
      </c>
      <c r="D190" s="25" t="n">
        <v>1000000</v>
      </c>
      <c r="E190" s="25" t="n">
        <v>0</v>
      </c>
      <c r="F190" s="25" t="n">
        <v>0</v>
      </c>
      <c r="G190" s="25" t="n">
        <v>0</v>
      </c>
      <c r="H190" s="30">
        <f>SUM(D190:G190)</f>
        <v/>
      </c>
      <c r="I190" s="25" t="n">
        <v>0</v>
      </c>
      <c r="J190" s="25" t="n">
        <v>0</v>
      </c>
      <c r="K190" s="22" t="inlineStr">
        <is>
          <t>aucun</t>
        </is>
      </c>
      <c r="L190" s="41" t="n"/>
    </row>
    <row r="191">
      <c r="A191" s="12" t="inlineStr">
        <is>
          <t>SARL LOCA PREST</t>
        </is>
      </c>
      <c r="B191" s="12" t="inlineStr">
        <is>
          <t>Créance client sans mouvement en 2025</t>
        </is>
      </c>
      <c r="C191" s="25" t="n">
        <v>707123.6800000001</v>
      </c>
      <c r="D191" s="25" t="n">
        <v>707123.6800000001</v>
      </c>
      <c r="E191" s="25" t="n">
        <v>0</v>
      </c>
      <c r="F191" s="25" t="n">
        <v>0</v>
      </c>
      <c r="G191" s="25" t="n">
        <v>0</v>
      </c>
      <c r="H191" s="30">
        <f>SUM(D191:G191)</f>
        <v/>
      </c>
      <c r="I191" s="25" t="n">
        <v>0</v>
      </c>
      <c r="J191" s="25" t="n">
        <v>0</v>
      </c>
      <c r="K191" s="22" t="inlineStr">
        <is>
          <t>aucun</t>
        </is>
      </c>
      <c r="L191" s="41" t="n"/>
    </row>
    <row r="192">
      <c r="A192" s="12" t="inlineStr">
        <is>
          <t>HAMOUMOU ABDELLAH</t>
        </is>
      </c>
      <c r="B192" s="12" t="inlineStr">
        <is>
          <t>Créance client sans mouvement en 2025</t>
        </is>
      </c>
      <c r="C192" s="25" t="n">
        <v>0</v>
      </c>
      <c r="D192" s="25" t="n">
        <v>600000.01</v>
      </c>
      <c r="E192" s="25" t="n">
        <v>0</v>
      </c>
      <c r="F192" s="25" t="n">
        <v>0</v>
      </c>
      <c r="G192" s="25" t="n">
        <v>0</v>
      </c>
      <c r="H192" s="30">
        <f>SUM(D192:G192)</f>
        <v/>
      </c>
      <c r="I192" s="25" t="n">
        <v>0</v>
      </c>
      <c r="J192" s="25" t="n">
        <v>0</v>
      </c>
      <c r="K192" s="22" t="inlineStr">
        <is>
          <t>aucun</t>
        </is>
      </c>
      <c r="L192" s="41" t="n"/>
    </row>
    <row r="193">
      <c r="A193" s="12" t="inlineStr">
        <is>
          <t>EURL CONPICAM</t>
        </is>
      </c>
      <c r="B193" s="12" t="inlineStr">
        <is>
          <t>Créance client sans mouvement en 2025</t>
        </is>
      </c>
      <c r="C193" s="25" t="n">
        <v>584700.02</v>
      </c>
      <c r="D193" s="25" t="n">
        <v>584700.02</v>
      </c>
      <c r="E193" s="25" t="n">
        <v>0</v>
      </c>
      <c r="F193" s="25" t="n">
        <v>0</v>
      </c>
      <c r="G193" s="25" t="n">
        <v>0</v>
      </c>
      <c r="H193" s="30">
        <f>SUM(D193:G193)</f>
        <v/>
      </c>
      <c r="I193" s="25" t="n">
        <v>0</v>
      </c>
      <c r="J193" s="25" t="n">
        <v>0</v>
      </c>
      <c r="K193" s="22" t="inlineStr">
        <is>
          <t>aucun</t>
        </is>
      </c>
      <c r="L193" s="41" t="n"/>
    </row>
    <row r="194">
      <c r="A194" s="12" t="inlineStr">
        <is>
          <t>(sans code) 41170</t>
        </is>
      </c>
      <c r="B194" s="12" t="inlineStr">
        <is>
          <t>Créance client sans mouvement en 2025</t>
        </is>
      </c>
      <c r="C194" s="25" t="n">
        <v>260873.29</v>
      </c>
      <c r="D194" s="25" t="n">
        <v>490717.68</v>
      </c>
      <c r="E194" s="25" t="n">
        <v>0</v>
      </c>
      <c r="F194" s="25" t="n">
        <v>0</v>
      </c>
      <c r="G194" s="25" t="n">
        <v>0</v>
      </c>
      <c r="H194" s="30">
        <f>SUM(D194:G194)</f>
        <v/>
      </c>
      <c r="I194" s="25" t="n">
        <v>0</v>
      </c>
      <c r="J194" s="25" t="n">
        <v>0</v>
      </c>
      <c r="K194" s="22" t="inlineStr">
        <is>
          <t>aucun</t>
        </is>
      </c>
      <c r="L194" s="41" t="n"/>
    </row>
    <row r="195">
      <c r="A195" s="12" t="inlineStr">
        <is>
          <t>BOUROKBA MANSOUR</t>
        </is>
      </c>
      <c r="B195" s="12" t="inlineStr">
        <is>
          <t>Créance client sans mouvement en 2025</t>
        </is>
      </c>
      <c r="C195" s="25" t="n">
        <v>300000.01</v>
      </c>
      <c r="D195" s="25" t="n">
        <v>300000.01</v>
      </c>
      <c r="E195" s="25" t="n">
        <v>0</v>
      </c>
      <c r="F195" s="25" t="n">
        <v>0</v>
      </c>
      <c r="G195" s="25" t="n">
        <v>0</v>
      </c>
      <c r="H195" s="30">
        <f>SUM(D195:G195)</f>
        <v/>
      </c>
      <c r="I195" s="25" t="n">
        <v>0</v>
      </c>
      <c r="J195" s="25" t="n">
        <v>0</v>
      </c>
      <c r="K195" s="22" t="inlineStr">
        <is>
          <t>aucun</t>
        </is>
      </c>
      <c r="L195" s="41" t="n"/>
    </row>
    <row r="196">
      <c r="A196" s="12" t="inlineStr">
        <is>
          <t>AMIMER ENERGIE SPA</t>
        </is>
      </c>
      <c r="B196" s="12" t="inlineStr">
        <is>
          <t>Créance client sans mouvement en 2025</t>
        </is>
      </c>
      <c r="C196" s="25" t="n">
        <v>228480</v>
      </c>
      <c r="D196" s="25" t="n">
        <v>228480</v>
      </c>
      <c r="E196" s="25" t="n">
        <v>0</v>
      </c>
      <c r="F196" s="25" t="n">
        <v>0</v>
      </c>
      <c r="G196" s="25" t="n">
        <v>0</v>
      </c>
      <c r="H196" s="30">
        <f>SUM(D196:G196)</f>
        <v/>
      </c>
      <c r="I196" s="25" t="n">
        <v>0</v>
      </c>
      <c r="J196" s="25" t="n">
        <v>0</v>
      </c>
      <c r="K196" s="22" t="inlineStr">
        <is>
          <t>aucun</t>
        </is>
      </c>
      <c r="L196" s="41" t="n"/>
    </row>
    <row r="197">
      <c r="A197" s="12" t="inlineStr">
        <is>
          <t>HENIA MOHAMED ELBARK</t>
        </is>
      </c>
      <c r="B197" s="12" t="inlineStr">
        <is>
          <t>Créance client sans mouvement en 2025</t>
        </is>
      </c>
      <c r="C197" s="25" t="n">
        <v>226000.01</v>
      </c>
      <c r="D197" s="25" t="n">
        <v>226000.01</v>
      </c>
      <c r="E197" s="25" t="n">
        <v>0</v>
      </c>
      <c r="F197" s="25" t="n">
        <v>0</v>
      </c>
      <c r="G197" s="25" t="n">
        <v>0</v>
      </c>
      <c r="H197" s="30">
        <f>SUM(D197:G197)</f>
        <v/>
      </c>
      <c r="I197" s="25" t="n">
        <v>0</v>
      </c>
      <c r="J197" s="25" t="n">
        <v>0</v>
      </c>
      <c r="K197" s="22" t="inlineStr">
        <is>
          <t>aucun</t>
        </is>
      </c>
      <c r="L197" s="41" t="n"/>
    </row>
    <row r="198">
      <c r="A198" s="12" t="inlineStr">
        <is>
          <t>NECHAB HACENE</t>
        </is>
      </c>
      <c r="B198" s="12" t="inlineStr">
        <is>
          <t>Créance client sans mouvement en 2025</t>
        </is>
      </c>
      <c r="C198" s="25" t="n">
        <v>0</v>
      </c>
      <c r="D198" s="25" t="n">
        <v>220150</v>
      </c>
      <c r="E198" s="25" t="n">
        <v>0</v>
      </c>
      <c r="F198" s="25" t="n">
        <v>0</v>
      </c>
      <c r="G198" s="25" t="n">
        <v>0</v>
      </c>
      <c r="H198" s="30">
        <f>SUM(D198:G198)</f>
        <v/>
      </c>
      <c r="I198" s="25" t="n">
        <v>0</v>
      </c>
      <c r="J198" s="25" t="n">
        <v>0</v>
      </c>
      <c r="K198" s="22" t="inlineStr">
        <is>
          <t>aucun</t>
        </is>
      </c>
      <c r="L198" s="41" t="n"/>
    </row>
    <row r="199">
      <c r="A199" s="12" t="inlineStr">
        <is>
          <t>RENOFLEX</t>
        </is>
      </c>
      <c r="B199" s="12" t="inlineStr">
        <is>
          <t>Créance client sans mouvement en 2025</t>
        </is>
      </c>
      <c r="C199" s="25" t="n">
        <v>152000</v>
      </c>
      <c r="D199" s="25" t="n">
        <v>152000</v>
      </c>
      <c r="E199" s="25" t="n">
        <v>0</v>
      </c>
      <c r="F199" s="25" t="n">
        <v>0</v>
      </c>
      <c r="G199" s="25" t="n">
        <v>0</v>
      </c>
      <c r="H199" s="30">
        <f>SUM(D199:G199)</f>
        <v/>
      </c>
      <c r="I199" s="25" t="n">
        <v>0</v>
      </c>
      <c r="J199" s="25" t="n">
        <v>0</v>
      </c>
      <c r="K199" s="22" t="inlineStr">
        <is>
          <t>aucun</t>
        </is>
      </c>
      <c r="L199" s="41" t="n"/>
    </row>
    <row r="200">
      <c r="A200" s="12" t="inlineStr">
        <is>
          <t>SARL MTA</t>
        </is>
      </c>
      <c r="B200" s="12" t="inlineStr">
        <is>
          <t>Créance client sans mouvement en 2025</t>
        </is>
      </c>
      <c r="C200" s="25" t="n">
        <v>0</v>
      </c>
      <c r="D200" s="25" t="n">
        <v>151844</v>
      </c>
      <c r="E200" s="25" t="n">
        <v>0</v>
      </c>
      <c r="F200" s="25" t="n">
        <v>0</v>
      </c>
      <c r="G200" s="25" t="n">
        <v>0</v>
      </c>
      <c r="H200" s="30">
        <f>SUM(D200:G200)</f>
        <v/>
      </c>
      <c r="I200" s="25" t="n">
        <v>0</v>
      </c>
      <c r="J200" s="25" t="n">
        <v>0</v>
      </c>
      <c r="K200" s="22" t="inlineStr">
        <is>
          <t>aucun</t>
        </is>
      </c>
      <c r="L200" s="41" t="n"/>
    </row>
    <row r="201">
      <c r="A201" s="12" t="inlineStr">
        <is>
          <t>BELKAID SAMIR</t>
        </is>
      </c>
      <c r="B201" s="12" t="inlineStr">
        <is>
          <t>Créance client sans mouvement en 2025</t>
        </is>
      </c>
      <c r="C201" s="25" t="n">
        <v>116300</v>
      </c>
      <c r="D201" s="25" t="n">
        <v>116300</v>
      </c>
      <c r="E201" s="25" t="n">
        <v>0</v>
      </c>
      <c r="F201" s="25" t="n">
        <v>0</v>
      </c>
      <c r="G201" s="25" t="n">
        <v>0</v>
      </c>
      <c r="H201" s="30">
        <f>SUM(D201:G201)</f>
        <v/>
      </c>
      <c r="I201" s="25" t="n">
        <v>0</v>
      </c>
      <c r="J201" s="25" t="n">
        <v>0</v>
      </c>
      <c r="K201" s="22" t="inlineStr">
        <is>
          <t>aucun</t>
        </is>
      </c>
      <c r="L201" s="41" t="n"/>
    </row>
    <row r="202">
      <c r="A202" s="12" t="inlineStr">
        <is>
          <t>SPA EVEMAC</t>
        </is>
      </c>
      <c r="B202" s="12" t="inlineStr">
        <is>
          <t>Créance client sans mouvement en 2025</t>
        </is>
      </c>
      <c r="C202" s="25" t="n">
        <v>0</v>
      </c>
      <c r="D202" s="25" t="n">
        <v>100000</v>
      </c>
      <c r="E202" s="25" t="n">
        <v>0</v>
      </c>
      <c r="F202" s="25" t="n">
        <v>0</v>
      </c>
      <c r="G202" s="25" t="n">
        <v>0</v>
      </c>
      <c r="H202" s="30">
        <f>SUM(D202:G202)</f>
        <v/>
      </c>
      <c r="I202" s="25" t="n">
        <v>0</v>
      </c>
      <c r="J202" s="25" t="n">
        <v>0</v>
      </c>
      <c r="K202" s="22" t="inlineStr">
        <is>
          <t>aucun</t>
        </is>
      </c>
      <c r="L202" s="41" t="n"/>
    </row>
    <row r="203">
      <c r="A203" s="12" t="inlineStr">
        <is>
          <t>SPA TRANS OUEST</t>
        </is>
      </c>
      <c r="B203" s="12" t="inlineStr">
        <is>
          <t>Créance client sans mouvement en 2025</t>
        </is>
      </c>
      <c r="C203" s="25" t="n">
        <v>76160</v>
      </c>
      <c r="D203" s="25" t="n">
        <v>76160</v>
      </c>
      <c r="E203" s="25" t="n">
        <v>0</v>
      </c>
      <c r="F203" s="25" t="n">
        <v>0</v>
      </c>
      <c r="G203" s="25" t="n">
        <v>0</v>
      </c>
      <c r="H203" s="30">
        <f>SUM(D203:G203)</f>
        <v/>
      </c>
      <c r="I203" s="25" t="n">
        <v>0</v>
      </c>
      <c r="J203" s="25" t="n">
        <v>0</v>
      </c>
      <c r="K203" s="22" t="inlineStr">
        <is>
          <t>aucun</t>
        </is>
      </c>
      <c r="L203" s="41" t="n"/>
    </row>
    <row r="204">
      <c r="A204" s="12" t="inlineStr">
        <is>
          <t>EURL MONTE PARTS</t>
        </is>
      </c>
      <c r="B204" s="12" t="inlineStr">
        <is>
          <t>Créance client sans mouvement en 2025</t>
        </is>
      </c>
      <c r="C204" s="25" t="n">
        <v>74000</v>
      </c>
      <c r="D204" s="25" t="n">
        <v>74000</v>
      </c>
      <c r="E204" s="25" t="n">
        <v>0</v>
      </c>
      <c r="F204" s="25" t="n">
        <v>0</v>
      </c>
      <c r="G204" s="25" t="n">
        <v>0</v>
      </c>
      <c r="H204" s="30">
        <f>SUM(D204:G204)</f>
        <v/>
      </c>
      <c r="I204" s="25" t="n">
        <v>0</v>
      </c>
      <c r="J204" s="25" t="n">
        <v>0</v>
      </c>
      <c r="K204" s="22" t="inlineStr">
        <is>
          <t>aucun</t>
        </is>
      </c>
      <c r="L204" s="41" t="n"/>
    </row>
    <row r="205">
      <c r="A205" s="12" t="inlineStr">
        <is>
          <t>SARL COMPLEXE AGRO ALIMENTAIRE</t>
        </is>
      </c>
      <c r="B205" s="12" t="inlineStr">
        <is>
          <t>Créance client sans mouvement en 2025</t>
        </is>
      </c>
      <c r="C205" s="25" t="n">
        <v>60690</v>
      </c>
      <c r="D205" s="25" t="n">
        <v>60690</v>
      </c>
      <c r="E205" s="25" t="n">
        <v>0</v>
      </c>
      <c r="F205" s="25" t="n">
        <v>0</v>
      </c>
      <c r="G205" s="25" t="n">
        <v>0</v>
      </c>
      <c r="H205" s="30">
        <f>SUM(D205:G205)</f>
        <v/>
      </c>
      <c r="I205" s="25" t="n">
        <v>0</v>
      </c>
      <c r="J205" s="25" t="n">
        <v>0</v>
      </c>
      <c r="K205" s="22" t="inlineStr">
        <is>
          <t>aucun</t>
        </is>
      </c>
      <c r="L205" s="41" t="n"/>
    </row>
    <row r="206">
      <c r="A206" s="12" t="inlineStr">
        <is>
          <t>SPA AGEFAL</t>
        </is>
      </c>
      <c r="B206" s="12" t="inlineStr">
        <is>
          <t>Créance client sans mouvement en 2025</t>
        </is>
      </c>
      <c r="C206" s="25" t="n">
        <v>0</v>
      </c>
      <c r="D206" s="25" t="n">
        <v>60214</v>
      </c>
      <c r="E206" s="25" t="n">
        <v>0</v>
      </c>
      <c r="F206" s="25" t="n">
        <v>0</v>
      </c>
      <c r="G206" s="25" t="n">
        <v>0</v>
      </c>
      <c r="H206" s="30">
        <f>SUM(D206:G206)</f>
        <v/>
      </c>
      <c r="I206" s="25" t="n">
        <v>0</v>
      </c>
      <c r="J206" s="25" t="n">
        <v>0</v>
      </c>
      <c r="K206" s="22" t="inlineStr">
        <is>
          <t>aucun</t>
        </is>
      </c>
      <c r="L206" s="41" t="n"/>
    </row>
    <row r="207">
      <c r="A207" s="12" t="inlineStr">
        <is>
          <t>SARL POULINA</t>
        </is>
      </c>
      <c r="B207" s="12" t="inlineStr">
        <is>
          <t>Créance client sans mouvement en 2025</t>
        </is>
      </c>
      <c r="C207" s="25" t="n">
        <v>42305.99</v>
      </c>
      <c r="D207" s="25" t="n">
        <v>42305.99</v>
      </c>
      <c r="E207" s="25" t="n">
        <v>0</v>
      </c>
      <c r="F207" s="25" t="n">
        <v>0</v>
      </c>
      <c r="G207" s="25" t="n">
        <v>0</v>
      </c>
      <c r="H207" s="30">
        <f>SUM(D207:G207)</f>
        <v/>
      </c>
      <c r="I207" s="25" t="n">
        <v>0</v>
      </c>
      <c r="J207" s="25" t="n">
        <v>0</v>
      </c>
      <c r="K207" s="22" t="inlineStr">
        <is>
          <t>aucun</t>
        </is>
      </c>
      <c r="L207" s="41" t="n"/>
    </row>
    <row r="208">
      <c r="A208" s="12" t="inlineStr">
        <is>
          <t>SPA METIDJI TRANS DE MARCHANDI</t>
        </is>
      </c>
      <c r="B208" s="12" t="inlineStr">
        <is>
          <t>Créance client sans mouvement en 2025</t>
        </is>
      </c>
      <c r="C208" s="25" t="n">
        <v>29750</v>
      </c>
      <c r="D208" s="25" t="n">
        <v>29750</v>
      </c>
      <c r="E208" s="25" t="n">
        <v>0</v>
      </c>
      <c r="F208" s="25" t="n">
        <v>0</v>
      </c>
      <c r="G208" s="25" t="n">
        <v>0</v>
      </c>
      <c r="H208" s="30">
        <f>SUM(D208:G208)</f>
        <v/>
      </c>
      <c r="I208" s="25" t="n">
        <v>0</v>
      </c>
      <c r="J208" s="25" t="n">
        <v>0</v>
      </c>
      <c r="K208" s="22" t="inlineStr">
        <is>
          <t>aucun</t>
        </is>
      </c>
      <c r="L208" s="41" t="n"/>
    </row>
    <row r="209">
      <c r="A209" s="12" t="inlineStr">
        <is>
          <t>SPA TMF LOGISTICS</t>
        </is>
      </c>
      <c r="B209" s="12" t="inlineStr">
        <is>
          <t>Créance client active</t>
        </is>
      </c>
      <c r="C209" s="25" t="n">
        <v>0</v>
      </c>
      <c r="D209" s="25" t="n">
        <v>9248680</v>
      </c>
      <c r="E209" s="25" t="n">
        <v>0</v>
      </c>
      <c r="F209" s="25" t="n">
        <v>0</v>
      </c>
      <c r="G209" s="25" t="n">
        <v>0</v>
      </c>
      <c r="H209" s="30">
        <f>SUM(D209:G209)</f>
        <v/>
      </c>
      <c r="I209" s="25" t="n">
        <v>18522707</v>
      </c>
      <c r="J209" s="25" t="n">
        <v>11541572</v>
      </c>
      <c r="K209" s="22" t="inlineStr">
        <is>
          <t>18/12/2025</t>
        </is>
      </c>
      <c r="L209" s="41" t="n"/>
    </row>
    <row r="210">
      <c r="A210" s="12" t="inlineStr">
        <is>
          <t>BEJAIA LOGISTIQUE</t>
        </is>
      </c>
      <c r="B210" s="12" t="inlineStr">
        <is>
          <t>Créance client active</t>
        </is>
      </c>
      <c r="C210" s="25" t="n">
        <v>1330301</v>
      </c>
      <c r="D210" s="25" t="n">
        <v>7842460</v>
      </c>
      <c r="E210" s="25" t="n">
        <v>0</v>
      </c>
      <c r="F210" s="25" t="n">
        <v>0</v>
      </c>
      <c r="G210" s="25" t="n">
        <v>0</v>
      </c>
      <c r="H210" s="30">
        <f>SUM(D210:G210)</f>
        <v/>
      </c>
      <c r="I210" s="25" t="n">
        <v>30401525</v>
      </c>
      <c r="J210" s="25" t="n">
        <v>23242839</v>
      </c>
      <c r="K210" s="22" t="inlineStr">
        <is>
          <t>29/12/2025</t>
        </is>
      </c>
      <c r="L210" s="41" t="n"/>
    </row>
    <row r="211">
      <c r="A211" s="12" t="inlineStr">
        <is>
          <t>BENAMARA MOHAMMED</t>
        </is>
      </c>
      <c r="B211" s="12" t="inlineStr">
        <is>
          <t>Créance client active</t>
        </is>
      </c>
      <c r="C211" s="25" t="n">
        <v>0</v>
      </c>
      <c r="D211" s="25" t="n">
        <v>1989648</v>
      </c>
      <c r="E211" s="25" t="n">
        <v>0</v>
      </c>
      <c r="F211" s="25" t="n">
        <v>0</v>
      </c>
      <c r="G211" s="25" t="n">
        <v>0</v>
      </c>
      <c r="H211" s="30">
        <f>SUM(D211:G211)</f>
        <v/>
      </c>
      <c r="I211" s="25" t="n">
        <v>1989648</v>
      </c>
      <c r="J211" s="25" t="n">
        <v>0</v>
      </c>
      <c r="K211" s="22" t="inlineStr">
        <is>
          <t>02/03/2025</t>
        </is>
      </c>
      <c r="L211" s="41" t="n"/>
    </row>
    <row r="212">
      <c r="A212" s="12" t="inlineStr">
        <is>
          <t>NUMILOG SPA TRANSPORT ET LOGIS</t>
        </is>
      </c>
      <c r="B212" s="12" t="inlineStr">
        <is>
          <t>Créance client active</t>
        </is>
      </c>
      <c r="C212" s="25" t="n">
        <v>1414434</v>
      </c>
      <c r="D212" s="25" t="n">
        <v>1586984</v>
      </c>
      <c r="E212" s="25" t="n">
        <v>0</v>
      </c>
      <c r="F212" s="25" t="n">
        <v>0</v>
      </c>
      <c r="G212" s="25" t="n">
        <v>0</v>
      </c>
      <c r="H212" s="30">
        <f>SUM(D212:G212)</f>
        <v/>
      </c>
      <c r="I212" s="25" t="n">
        <v>172550</v>
      </c>
      <c r="J212" s="25" t="n">
        <v>0</v>
      </c>
      <c r="K212" s="22" t="inlineStr">
        <is>
          <t>07/10/2025</t>
        </is>
      </c>
      <c r="L212" s="41" t="n"/>
    </row>
    <row r="213">
      <c r="A213" s="12" t="inlineStr">
        <is>
          <t>EURL TERRENO TRANS</t>
        </is>
      </c>
      <c r="B213" s="12" t="inlineStr">
        <is>
          <t>Créance client active</t>
        </is>
      </c>
      <c r="C213" s="25" t="n">
        <v>0</v>
      </c>
      <c r="D213" s="25" t="n">
        <v>1420860</v>
      </c>
      <c r="E213" s="25" t="n">
        <v>0</v>
      </c>
      <c r="F213" s="25" t="n">
        <v>0</v>
      </c>
      <c r="G213" s="25" t="n">
        <v>0</v>
      </c>
      <c r="H213" s="30">
        <f>SUM(D213:G213)</f>
        <v/>
      </c>
      <c r="I213" s="25" t="n">
        <v>16616208</v>
      </c>
      <c r="J213" s="25" t="n">
        <v>16093798</v>
      </c>
      <c r="K213" s="22" t="inlineStr">
        <is>
          <t>15/12/2025</t>
        </is>
      </c>
      <c r="L213" s="41" t="n"/>
    </row>
    <row r="214">
      <c r="A214" s="12" t="inlineStr">
        <is>
          <t>EPE SPA FERROVIAL</t>
        </is>
      </c>
      <c r="B214" s="12" t="inlineStr">
        <is>
          <t>Créance client active</t>
        </is>
      </c>
      <c r="C214" s="25" t="n">
        <v>0</v>
      </c>
      <c r="D214" s="25" t="n">
        <v>1187620</v>
      </c>
      <c r="E214" s="25" t="n">
        <v>0</v>
      </c>
      <c r="F214" s="25" t="n">
        <v>0</v>
      </c>
      <c r="G214" s="25" t="n">
        <v>0</v>
      </c>
      <c r="H214" s="30">
        <f>SUM(D214:G214)</f>
        <v/>
      </c>
      <c r="I214" s="25" t="n">
        <v>215390</v>
      </c>
      <c r="J214" s="25" t="n">
        <v>215390</v>
      </c>
      <c r="K214" s="22" t="inlineStr">
        <is>
          <t>05/11/2025</t>
        </is>
      </c>
      <c r="L214" s="41" t="n"/>
    </row>
    <row r="215">
      <c r="A215" s="12" t="inlineStr">
        <is>
          <t>SARL ATELIER SERVICES TRUCKS</t>
        </is>
      </c>
      <c r="B215" s="12" t="inlineStr">
        <is>
          <t>Créance client active</t>
        </is>
      </c>
      <c r="C215" s="25" t="n">
        <v>0</v>
      </c>
      <c r="D215" s="25" t="n">
        <v>1154000.03</v>
      </c>
      <c r="E215" s="25" t="n">
        <v>0</v>
      </c>
      <c r="F215" s="25" t="n">
        <v>0</v>
      </c>
      <c r="G215" s="25" t="n">
        <v>0</v>
      </c>
      <c r="H215" s="30">
        <f>SUM(D215:G215)</f>
        <v/>
      </c>
      <c r="I215" s="25" t="n">
        <v>33225030.05</v>
      </c>
      <c r="J215" s="25" t="n">
        <v>32071030.02</v>
      </c>
      <c r="K215" s="22" t="inlineStr">
        <is>
          <t>30/12/2025</t>
        </is>
      </c>
      <c r="L215" s="41" t="n"/>
    </row>
    <row r="216">
      <c r="A216" s="12" t="inlineStr">
        <is>
          <t>EURL UNIVERSAL FOOD</t>
        </is>
      </c>
      <c r="B216" s="12" t="inlineStr">
        <is>
          <t>Créance client active</t>
        </is>
      </c>
      <c r="C216" s="25" t="n">
        <v>0</v>
      </c>
      <c r="D216" s="25" t="n">
        <v>961450</v>
      </c>
      <c r="E216" s="25" t="n">
        <v>0</v>
      </c>
      <c r="F216" s="25" t="n">
        <v>0</v>
      </c>
      <c r="G216" s="25" t="n">
        <v>0</v>
      </c>
      <c r="H216" s="30">
        <f>SUM(D216:G216)</f>
        <v/>
      </c>
      <c r="I216" s="25" t="n">
        <v>961450</v>
      </c>
      <c r="J216" s="25" t="n">
        <v>0</v>
      </c>
      <c r="K216" s="22" t="inlineStr">
        <is>
          <t>07/09/2025</t>
        </is>
      </c>
      <c r="L216" s="41" t="n"/>
    </row>
    <row r="217">
      <c r="A217" s="12" t="inlineStr">
        <is>
          <t>SARL ECI BOUDIAB</t>
        </is>
      </c>
      <c r="B217" s="12" t="inlineStr">
        <is>
          <t>Créance client active</t>
        </is>
      </c>
      <c r="C217" s="25" t="n">
        <v>0</v>
      </c>
      <c r="D217" s="25" t="n">
        <v>734706</v>
      </c>
      <c r="E217" s="25" t="n">
        <v>0</v>
      </c>
      <c r="F217" s="25" t="n">
        <v>0</v>
      </c>
      <c r="G217" s="25" t="n">
        <v>0</v>
      </c>
      <c r="H217" s="30">
        <f>SUM(D217:G217)</f>
        <v/>
      </c>
      <c r="I217" s="25" t="n">
        <v>734706</v>
      </c>
      <c r="J217" s="25" t="n">
        <v>0</v>
      </c>
      <c r="K217" s="22" t="inlineStr">
        <is>
          <t>18/12/2025</t>
        </is>
      </c>
      <c r="L217" s="41" t="n"/>
    </row>
    <row r="218">
      <c r="A218" s="12" t="inlineStr">
        <is>
          <t>ENSP SPA</t>
        </is>
      </c>
      <c r="B218" s="12" t="inlineStr">
        <is>
          <t>Créance client active</t>
        </is>
      </c>
      <c r="C218" s="25" t="n">
        <v>15582728.33</v>
      </c>
      <c r="D218" s="25" t="n">
        <v>489329.16</v>
      </c>
      <c r="E218" s="25" t="n">
        <v>0</v>
      </c>
      <c r="F218" s="25" t="n">
        <v>0</v>
      </c>
      <c r="G218" s="25" t="n">
        <v>0</v>
      </c>
      <c r="H218" s="30">
        <f>SUM(D218:G218)</f>
        <v/>
      </c>
      <c r="I218" s="25" t="n">
        <v>0</v>
      </c>
      <c r="J218" s="25" t="n">
        <v>7807278.33</v>
      </c>
      <c r="K218" s="22" t="inlineStr">
        <is>
          <t>06/11/2025</t>
        </is>
      </c>
      <c r="L218" s="41" t="n"/>
    </row>
    <row r="219">
      <c r="A219" s="12" t="inlineStr">
        <is>
          <t>NAFTAL DMR ORAN</t>
        </is>
      </c>
      <c r="B219" s="12" t="inlineStr">
        <is>
          <t>Créance client active</t>
        </is>
      </c>
      <c r="C219" s="25" t="n">
        <v>0</v>
      </c>
      <c r="D219" s="25" t="n">
        <v>393890</v>
      </c>
      <c r="E219" s="25" t="n">
        <v>0</v>
      </c>
      <c r="F219" s="25" t="n">
        <v>0</v>
      </c>
      <c r="G219" s="25" t="n">
        <v>0</v>
      </c>
      <c r="H219" s="30">
        <f>SUM(D219:G219)</f>
        <v/>
      </c>
      <c r="I219" s="25" t="n">
        <v>124230</v>
      </c>
      <c r="J219" s="25" t="n">
        <v>124230</v>
      </c>
      <c r="K219" s="22" t="inlineStr">
        <is>
          <t>30/11/2025</t>
        </is>
      </c>
      <c r="L219" s="41" t="n"/>
    </row>
    <row r="220">
      <c r="A220" s="12" t="inlineStr">
        <is>
          <t>BRASSERIE STAR D'ALGERIE SPA</t>
        </is>
      </c>
      <c r="B220" s="12" t="inlineStr">
        <is>
          <t>Créance client active</t>
        </is>
      </c>
      <c r="C220" s="25" t="n">
        <v>0</v>
      </c>
      <c r="D220" s="25" t="n">
        <v>389725</v>
      </c>
      <c r="E220" s="25" t="n">
        <v>0</v>
      </c>
      <c r="F220" s="25" t="n">
        <v>0</v>
      </c>
      <c r="G220" s="25" t="n">
        <v>0</v>
      </c>
      <c r="H220" s="30">
        <f>SUM(D220:G220)</f>
        <v/>
      </c>
      <c r="I220" s="25" t="n">
        <v>389725</v>
      </c>
      <c r="J220" s="25" t="n">
        <v>0</v>
      </c>
      <c r="K220" s="22" t="inlineStr">
        <is>
          <t>01/07/2025</t>
        </is>
      </c>
      <c r="L220" s="41" t="n"/>
    </row>
    <row r="221">
      <c r="A221" s="12" t="inlineStr">
        <is>
          <t>SARL PETRO BARAKA</t>
        </is>
      </c>
      <c r="B221" s="12" t="inlineStr">
        <is>
          <t>Créance client active</t>
        </is>
      </c>
      <c r="C221" s="25" t="n">
        <v>0</v>
      </c>
      <c r="D221" s="25" t="n">
        <v>228480</v>
      </c>
      <c r="E221" s="25" t="n">
        <v>0</v>
      </c>
      <c r="F221" s="25" t="n">
        <v>0</v>
      </c>
      <c r="G221" s="25" t="n">
        <v>0</v>
      </c>
      <c r="H221" s="30">
        <f>SUM(D221:G221)</f>
        <v/>
      </c>
      <c r="I221" s="25" t="n">
        <v>228480</v>
      </c>
      <c r="J221" s="25" t="n">
        <v>0</v>
      </c>
      <c r="K221" s="22" t="inlineStr">
        <is>
          <t>30/11/2025</t>
        </is>
      </c>
      <c r="L221" s="41" t="n"/>
    </row>
    <row r="222">
      <c r="A222" s="12" t="inlineStr">
        <is>
          <t>DIB AHMED</t>
        </is>
      </c>
      <c r="B222" s="12" t="inlineStr">
        <is>
          <t>Créance client active</t>
        </is>
      </c>
      <c r="C222" s="25" t="n">
        <v>0</v>
      </c>
      <c r="D222" s="25" t="n">
        <v>107159.5</v>
      </c>
      <c r="E222" s="25" t="n">
        <v>0</v>
      </c>
      <c r="F222" s="25" t="n">
        <v>0</v>
      </c>
      <c r="G222" s="25" t="n">
        <v>0</v>
      </c>
      <c r="H222" s="30">
        <f>SUM(D222:G222)</f>
        <v/>
      </c>
      <c r="I222" s="25" t="n">
        <v>107159.5</v>
      </c>
      <c r="J222" s="25" t="n">
        <v>0</v>
      </c>
      <c r="K222" s="22" t="inlineStr">
        <is>
          <t>01/09/2025</t>
        </is>
      </c>
      <c r="L222" s="41" t="n"/>
    </row>
    <row r="223">
      <c r="A223" s="12" t="inlineStr">
        <is>
          <t>HAMMAOUI LAHDI</t>
        </is>
      </c>
      <c r="B223" s="12" t="inlineStr">
        <is>
          <t>Créance client active</t>
        </is>
      </c>
      <c r="C223" s="25" t="n">
        <v>99766.25</v>
      </c>
      <c r="D223" s="25" t="n">
        <v>99766.25</v>
      </c>
      <c r="E223" s="25" t="n">
        <v>0</v>
      </c>
      <c r="F223" s="25" t="n">
        <v>0</v>
      </c>
      <c r="G223" s="25" t="n">
        <v>0</v>
      </c>
      <c r="H223" s="30">
        <f>SUM(D223:G223)</f>
        <v/>
      </c>
      <c r="I223" s="25" t="n">
        <v>259068</v>
      </c>
      <c r="J223" s="25" t="n">
        <v>259068</v>
      </c>
      <c r="K223" s="22" t="inlineStr">
        <is>
          <t>06/05/2025</t>
        </is>
      </c>
      <c r="L223" s="41" t="n"/>
    </row>
    <row r="224">
      <c r="A224" s="12" t="inlineStr">
        <is>
          <t>SPA AGGLOMERES DE L'EST</t>
        </is>
      </c>
      <c r="B224" s="12" t="inlineStr">
        <is>
          <t>Créance client active</t>
        </is>
      </c>
      <c r="C224" s="25" t="n">
        <v>0</v>
      </c>
      <c r="D224" s="25" t="n">
        <v>67830</v>
      </c>
      <c r="E224" s="25" t="n">
        <v>0</v>
      </c>
      <c r="F224" s="25" t="n">
        <v>0</v>
      </c>
      <c r="G224" s="25" t="n">
        <v>0</v>
      </c>
      <c r="H224" s="30">
        <f>SUM(D224:G224)</f>
        <v/>
      </c>
      <c r="I224" s="25" t="n">
        <v>462910</v>
      </c>
      <c r="J224" s="25" t="n">
        <v>395080</v>
      </c>
      <c r="K224" s="22" t="inlineStr">
        <is>
          <t>21/12/2025</t>
        </is>
      </c>
      <c r="L224" s="41" t="n"/>
    </row>
    <row r="225">
      <c r="A225" s="12" t="inlineStr">
        <is>
          <t>GROUPE AVICOLE ELKSEUR ORAC</t>
        </is>
      </c>
      <c r="B225" s="12" t="inlineStr">
        <is>
          <t>Créance client active</t>
        </is>
      </c>
      <c r="C225" s="25" t="n">
        <v>0</v>
      </c>
      <c r="D225" s="25" t="n">
        <v>41650</v>
      </c>
      <c r="E225" s="25" t="n">
        <v>0</v>
      </c>
      <c r="F225" s="25" t="n">
        <v>0</v>
      </c>
      <c r="G225" s="25" t="n">
        <v>0</v>
      </c>
      <c r="H225" s="30">
        <f>SUM(D225:G225)</f>
        <v/>
      </c>
      <c r="I225" s="25" t="n">
        <v>41650</v>
      </c>
      <c r="J225" s="25" t="n">
        <v>0</v>
      </c>
      <c r="K225" s="22" t="inlineStr">
        <is>
          <t>09/10/2025</t>
        </is>
      </c>
      <c r="L225" s="41" t="n"/>
    </row>
    <row r="226">
      <c r="A226" s="12" t="inlineStr">
        <is>
          <t>TAXE DOMICILIATION BANCAIRE</t>
        </is>
      </c>
      <c r="B226" s="12" t="inlineStr">
        <is>
          <t>Fournisseur débiteur (avance versée)</t>
        </is>
      </c>
      <c r="C226" s="25" t="n">
        <v>0</v>
      </c>
      <c r="D226" s="25" t="n">
        <v>0</v>
      </c>
      <c r="E226" s="25" t="n">
        <v>0</v>
      </c>
      <c r="F226" s="25" t="n">
        <v>0</v>
      </c>
      <c r="G226" s="25" t="n">
        <v>456100</v>
      </c>
      <c r="H226" s="30">
        <f>SUM(D226:G226)</f>
        <v/>
      </c>
      <c r="I226" s="25" t="n">
        <v>0</v>
      </c>
      <c r="J226" s="25" t="n">
        <v>20000</v>
      </c>
      <c r="K226" s="22" t="inlineStr">
        <is>
          <t>23/03/2025</t>
        </is>
      </c>
      <c r="L226" s="41" t="n"/>
    </row>
    <row r="227">
      <c r="A227" s="12" t="inlineStr">
        <is>
          <t>KARIM TRANS</t>
        </is>
      </c>
      <c r="B227" s="12" t="inlineStr">
        <is>
          <t>Fournisseur débiteur (avance versée)</t>
        </is>
      </c>
      <c r="C227" s="25" t="n">
        <v>0</v>
      </c>
      <c r="D227" s="25" t="n">
        <v>0</v>
      </c>
      <c r="E227" s="25" t="n">
        <v>0</v>
      </c>
      <c r="F227" s="25" t="n">
        <v>-177751.46</v>
      </c>
      <c r="G227" s="25" t="n">
        <v>200000</v>
      </c>
      <c r="H227" s="30">
        <f>SUM(D227:G227)</f>
        <v/>
      </c>
      <c r="I227" s="25" t="n">
        <v>0</v>
      </c>
      <c r="J227" s="25" t="n">
        <v>0</v>
      </c>
      <c r="K227" s="22" t="inlineStr">
        <is>
          <t>aucun</t>
        </is>
      </c>
      <c r="L227" s="41" t="n"/>
    </row>
    <row r="228">
      <c r="A228" s="12" t="inlineStr">
        <is>
          <t>SARL AXECHAN</t>
        </is>
      </c>
      <c r="B228" s="12" t="inlineStr">
        <is>
          <t>Fournisseur débiteur (avance versée)</t>
        </is>
      </c>
      <c r="C228" s="25" t="n">
        <v>0</v>
      </c>
      <c r="D228" s="25" t="n">
        <v>0</v>
      </c>
      <c r="E228" s="25" t="n">
        <v>0</v>
      </c>
      <c r="F228" s="25" t="n">
        <v>0</v>
      </c>
      <c r="G228" s="25" t="n">
        <v>200000</v>
      </c>
      <c r="H228" s="30">
        <f>SUM(D228:G228)</f>
        <v/>
      </c>
      <c r="I228" s="25" t="n">
        <v>0</v>
      </c>
      <c r="J228" s="25" t="n">
        <v>0</v>
      </c>
      <c r="K228" s="22" t="inlineStr">
        <is>
          <t>aucun</t>
        </is>
      </c>
      <c r="L228" s="41" t="n"/>
    </row>
    <row r="229">
      <c r="A229" s="12" t="inlineStr">
        <is>
          <t>SNC AIT AISSA ET FILS</t>
        </is>
      </c>
      <c r="B229" s="12" t="inlineStr">
        <is>
          <t>Dette fournisseur sans mouvement en 2025</t>
        </is>
      </c>
      <c r="C229" s="25" t="n">
        <v>0</v>
      </c>
      <c r="D229" s="25" t="n">
        <v>0</v>
      </c>
      <c r="E229" s="25" t="n">
        <v>0</v>
      </c>
      <c r="F229" s="25" t="n">
        <v>-14832876.12</v>
      </c>
      <c r="G229" s="25" t="n">
        <v>0</v>
      </c>
      <c r="H229" s="30">
        <f>SUM(D229:G229)</f>
        <v/>
      </c>
      <c r="I229" s="25" t="n">
        <v>0</v>
      </c>
      <c r="J229" s="25" t="n">
        <v>0</v>
      </c>
      <c r="K229" s="22" t="inlineStr">
        <is>
          <t>aucun</t>
        </is>
      </c>
      <c r="L229" s="41" t="n"/>
    </row>
    <row r="230">
      <c r="A230" s="12" t="inlineStr">
        <is>
          <t>SARL CCI</t>
        </is>
      </c>
      <c r="B230" s="12" t="inlineStr">
        <is>
          <t>Dette fournisseur sans mouvement en 2025</t>
        </is>
      </c>
      <c r="C230" s="25" t="n">
        <v>0</v>
      </c>
      <c r="D230" s="25" t="n">
        <v>0</v>
      </c>
      <c r="E230" s="25" t="n">
        <v>0</v>
      </c>
      <c r="F230" s="25" t="n">
        <v>-3302997.49</v>
      </c>
      <c r="G230" s="25" t="n">
        <v>0</v>
      </c>
      <c r="H230" s="30">
        <f>SUM(D230:G230)</f>
        <v/>
      </c>
      <c r="I230" s="25" t="n">
        <v>0</v>
      </c>
      <c r="J230" s="25" t="n">
        <v>0</v>
      </c>
      <c r="K230" s="22" t="inlineStr">
        <is>
          <t>aucun</t>
        </is>
      </c>
      <c r="L230" s="41" t="n"/>
    </row>
    <row r="231">
      <c r="A231" s="12" t="inlineStr">
        <is>
          <t>CAAR</t>
        </is>
      </c>
      <c r="B231" s="12" t="inlineStr">
        <is>
          <t>Dette fournisseur sans mouvement en 2025</t>
        </is>
      </c>
      <c r="C231" s="25" t="n">
        <v>0</v>
      </c>
      <c r="D231" s="25" t="n">
        <v>0</v>
      </c>
      <c r="E231" s="25" t="n">
        <v>0</v>
      </c>
      <c r="F231" s="25" t="n">
        <v>-1934321.62</v>
      </c>
      <c r="G231" s="25" t="n">
        <v>0</v>
      </c>
      <c r="H231" s="30">
        <f>SUM(D231:G231)</f>
        <v/>
      </c>
      <c r="I231" s="25" t="n">
        <v>0</v>
      </c>
      <c r="J231" s="25" t="n">
        <v>0</v>
      </c>
      <c r="K231" s="22" t="inlineStr">
        <is>
          <t>aucun</t>
        </is>
      </c>
      <c r="L231" s="41" t="n"/>
    </row>
    <row r="232">
      <c r="A232" s="12" t="inlineStr">
        <is>
          <t>GAMMA LUBRIFIANTS</t>
        </is>
      </c>
      <c r="B232" s="12" t="inlineStr">
        <is>
          <t>Dette fournisseur sans mouvement en 2025</t>
        </is>
      </c>
      <c r="C232" s="25" t="n">
        <v>0</v>
      </c>
      <c r="D232" s="25" t="n">
        <v>0</v>
      </c>
      <c r="E232" s="25" t="n">
        <v>0</v>
      </c>
      <c r="F232" s="25" t="n">
        <v>-926579.49</v>
      </c>
      <c r="G232" s="25" t="n">
        <v>0</v>
      </c>
      <c r="H232" s="30">
        <f>SUM(D232:G232)</f>
        <v/>
      </c>
      <c r="I232" s="25" t="n">
        <v>0</v>
      </c>
      <c r="J232" s="25" t="n">
        <v>0</v>
      </c>
      <c r="K232" s="22" t="inlineStr">
        <is>
          <t>aucun</t>
        </is>
      </c>
      <c r="L232" s="41" t="n"/>
    </row>
    <row r="233">
      <c r="A233" s="12" t="inlineStr">
        <is>
          <t>EURL HAROUNE TRANSE</t>
        </is>
      </c>
      <c r="B233" s="12" t="inlineStr">
        <is>
          <t>Dette fournisseur sans mouvement en 2025</t>
        </is>
      </c>
      <c r="C233" s="25" t="n">
        <v>0</v>
      </c>
      <c r="D233" s="25" t="n">
        <v>0</v>
      </c>
      <c r="E233" s="25" t="n">
        <v>0</v>
      </c>
      <c r="F233" s="25" t="n">
        <v>-826173.63</v>
      </c>
      <c r="G233" s="25" t="n">
        <v>0</v>
      </c>
      <c r="H233" s="30">
        <f>SUM(D233:G233)</f>
        <v/>
      </c>
      <c r="I233" s="25" t="n">
        <v>0</v>
      </c>
      <c r="J233" s="25" t="n">
        <v>0</v>
      </c>
      <c r="K233" s="22" t="inlineStr">
        <is>
          <t>aucun</t>
        </is>
      </c>
      <c r="L233" s="41" t="n"/>
    </row>
    <row r="234">
      <c r="A234" s="12" t="inlineStr">
        <is>
          <t>SARL PROMO SALONS</t>
        </is>
      </c>
      <c r="B234" s="12" t="inlineStr">
        <is>
          <t>Dette fournisseur sans mouvement en 2025</t>
        </is>
      </c>
      <c r="C234" s="25" t="n">
        <v>0</v>
      </c>
      <c r="D234" s="25" t="n">
        <v>0</v>
      </c>
      <c r="E234" s="25" t="n">
        <v>0</v>
      </c>
      <c r="F234" s="25" t="n">
        <v>-297180</v>
      </c>
      <c r="G234" s="25" t="n">
        <v>0</v>
      </c>
      <c r="H234" s="30">
        <f>SUM(D234:G234)</f>
        <v/>
      </c>
      <c r="I234" s="25" t="n">
        <v>0</v>
      </c>
      <c r="J234" s="25" t="n">
        <v>0</v>
      </c>
      <c r="K234" s="22" t="inlineStr">
        <is>
          <t>aucun</t>
        </is>
      </c>
      <c r="L234" s="41" t="n"/>
    </row>
    <row r="235">
      <c r="A235" s="12" t="inlineStr">
        <is>
          <t>DJERMOULI KAMAL ABDENNOUR</t>
        </is>
      </c>
      <c r="B235" s="12" t="inlineStr">
        <is>
          <t>Dette fournisseur sans mouvement en 2025</t>
        </is>
      </c>
      <c r="C235" s="25" t="n">
        <v>0</v>
      </c>
      <c r="D235" s="25" t="n">
        <v>0</v>
      </c>
      <c r="E235" s="25" t="n">
        <v>0</v>
      </c>
      <c r="F235" s="25" t="n">
        <v>-9100</v>
      </c>
      <c r="G235" s="25" t="n">
        <v>0</v>
      </c>
      <c r="H235" s="30">
        <f>SUM(D235:G235)</f>
        <v/>
      </c>
      <c r="I235" s="25" t="n">
        <v>0</v>
      </c>
      <c r="J235" s="25" t="n">
        <v>0</v>
      </c>
      <c r="K235" s="22" t="inlineStr">
        <is>
          <t>aucun</t>
        </is>
      </c>
      <c r="L235" s="41" t="n"/>
    </row>
    <row r="236">
      <c r="A236" s="12" t="inlineStr">
        <is>
          <t>MESBAH IKHLEF</t>
        </is>
      </c>
      <c r="B236" s="12" t="inlineStr">
        <is>
          <t>Fournisseur actif</t>
        </is>
      </c>
      <c r="C236" s="25" t="n">
        <v>0</v>
      </c>
      <c r="D236" s="25" t="n">
        <v>0</v>
      </c>
      <c r="E236" s="25" t="n">
        <v>0</v>
      </c>
      <c r="F236" s="25" t="n">
        <v>-856800</v>
      </c>
      <c r="G236" s="25" t="n">
        <v>0</v>
      </c>
      <c r="H236" s="30">
        <f>SUM(D236:G236)</f>
        <v/>
      </c>
      <c r="I236" s="25" t="n">
        <v>428400</v>
      </c>
      <c r="J236" s="25" t="n">
        <v>856800</v>
      </c>
      <c r="K236" s="22" t="inlineStr">
        <is>
          <t>31/12/2025</t>
        </is>
      </c>
      <c r="L236" s="41" t="n"/>
    </row>
    <row r="237">
      <c r="A237" s="12" t="inlineStr">
        <is>
          <t>SNC DEBBOUZ ET FRERES</t>
        </is>
      </c>
      <c r="B237" s="12" t="inlineStr">
        <is>
          <t>Fournisseur actif</t>
        </is>
      </c>
      <c r="C237" s="25" t="n">
        <v>0</v>
      </c>
      <c r="D237" s="25" t="n">
        <v>0</v>
      </c>
      <c r="E237" s="25" t="n">
        <v>0</v>
      </c>
      <c r="F237" s="25" t="n">
        <v>-738432.49</v>
      </c>
      <c r="G237" s="25" t="n">
        <v>0</v>
      </c>
      <c r="H237" s="30">
        <f>SUM(D237:G237)</f>
        <v/>
      </c>
      <c r="I237" s="25" t="n">
        <v>6390000</v>
      </c>
      <c r="J237" s="25" t="n">
        <v>5671455</v>
      </c>
      <c r="K237" s="22" t="inlineStr">
        <is>
          <t>31/12/2025</t>
        </is>
      </c>
      <c r="L237" s="41" t="n"/>
    </row>
    <row r="238">
      <c r="A238" s="12" t="inlineStr">
        <is>
          <t>SNC GENERAL BATTERIES&amp;LUBRIFI</t>
        </is>
      </c>
      <c r="B238" s="12" t="inlineStr">
        <is>
          <t>Fournisseur actif</t>
        </is>
      </c>
      <c r="C238" s="25" t="n">
        <v>0</v>
      </c>
      <c r="D238" s="25" t="n">
        <v>0</v>
      </c>
      <c r="E238" s="25" t="n">
        <v>0</v>
      </c>
      <c r="F238" s="25" t="n">
        <v>-499300.03</v>
      </c>
      <c r="G238" s="25" t="n">
        <v>0</v>
      </c>
      <c r="H238" s="30">
        <f>SUM(D238:G238)</f>
        <v/>
      </c>
      <c r="I238" s="25" t="n">
        <v>415850.06</v>
      </c>
      <c r="J238" s="25" t="n">
        <v>499300.03</v>
      </c>
      <c r="K238" s="22" t="inlineStr">
        <is>
          <t>14/12/2025</t>
        </is>
      </c>
      <c r="L238" s="41" t="n"/>
    </row>
    <row r="239">
      <c r="A239" s="12" t="inlineStr">
        <is>
          <t>STATION GAMMA 4</t>
        </is>
      </c>
      <c r="B239" s="12" t="inlineStr">
        <is>
          <t>Fournisseur actif</t>
        </is>
      </c>
      <c r="C239" s="25" t="n">
        <v>0</v>
      </c>
      <c r="D239" s="25" t="n">
        <v>0</v>
      </c>
      <c r="E239" s="25" t="n">
        <v>0</v>
      </c>
      <c r="F239" s="25" t="n">
        <v>-153309.95</v>
      </c>
      <c r="G239" s="25" t="n">
        <v>0</v>
      </c>
      <c r="H239" s="30">
        <f>SUM(D239:G239)</f>
        <v/>
      </c>
      <c r="I239" s="25" t="n">
        <v>0</v>
      </c>
      <c r="J239" s="25" t="n">
        <v>20999.99</v>
      </c>
      <c r="K239" s="22" t="inlineStr">
        <is>
          <t>23/09/2025</t>
        </is>
      </c>
      <c r="L239" s="41" t="n"/>
    </row>
    <row r="240">
      <c r="A240" s="12" t="inlineStr">
        <is>
          <t>SAIGH ABDEL KAMEL</t>
        </is>
      </c>
      <c r="B240" s="12" t="inlineStr">
        <is>
          <t>Fournisseur actif</t>
        </is>
      </c>
      <c r="C240" s="25" t="n">
        <v>0</v>
      </c>
      <c r="D240" s="25" t="n">
        <v>0</v>
      </c>
      <c r="E240" s="25" t="n">
        <v>0</v>
      </c>
      <c r="F240" s="25" t="n">
        <v>-142700</v>
      </c>
      <c r="G240" s="25" t="n">
        <v>0</v>
      </c>
      <c r="H240" s="30">
        <f>SUM(D240:G240)</f>
        <v/>
      </c>
      <c r="I240" s="25" t="n">
        <v>767240</v>
      </c>
      <c r="J240" s="25" t="n">
        <v>222000</v>
      </c>
      <c r="K240" s="22" t="inlineStr">
        <is>
          <t>29/12/2025</t>
        </is>
      </c>
      <c r="L240" s="41" t="n"/>
    </row>
    <row r="241">
      <c r="A241" s="12" t="inlineStr">
        <is>
          <t>SNC RAMTANI&amp;FILS</t>
        </is>
      </c>
      <c r="B241" s="12" t="inlineStr">
        <is>
          <t>Fournisseur actif</t>
        </is>
      </c>
      <c r="C241" s="25" t="n">
        <v>0</v>
      </c>
      <c r="D241" s="25" t="n">
        <v>0</v>
      </c>
      <c r="E241" s="25" t="n">
        <v>0</v>
      </c>
      <c r="F241" s="25" t="n">
        <v>-81181.96000000001</v>
      </c>
      <c r="G241" s="25" t="n">
        <v>0</v>
      </c>
      <c r="H241" s="30">
        <f>SUM(D241:G241)</f>
        <v/>
      </c>
      <c r="I241" s="25" t="n">
        <v>970512.4</v>
      </c>
      <c r="J241" s="25" t="n">
        <v>1051694.36</v>
      </c>
      <c r="K241" s="22" t="inlineStr">
        <is>
          <t>02/11/2025</t>
        </is>
      </c>
      <c r="L241" s="41" t="n"/>
    </row>
    <row r="242">
      <c r="A242" s="12" t="inlineStr">
        <is>
          <t>TRANSIT HAMMACHE DJAMEL</t>
        </is>
      </c>
      <c r="B242" s="12" t="inlineStr">
        <is>
          <t>Fournisseur actif</t>
        </is>
      </c>
      <c r="C242" s="25" t="n">
        <v>0</v>
      </c>
      <c r="D242" s="25" t="n">
        <v>0</v>
      </c>
      <c r="E242" s="25" t="n">
        <v>0</v>
      </c>
      <c r="F242" s="25" t="n">
        <v>-62000</v>
      </c>
      <c r="G242" s="25" t="n">
        <v>0</v>
      </c>
      <c r="H242" s="30">
        <f>SUM(D242:G242)</f>
        <v/>
      </c>
      <c r="I242" s="25" t="n">
        <v>820980.65</v>
      </c>
      <c r="J242" s="25" t="n">
        <v>820980.65</v>
      </c>
      <c r="K242" s="22" t="inlineStr">
        <is>
          <t>09/11/2025</t>
        </is>
      </c>
      <c r="L242" s="41" t="n"/>
    </row>
    <row r="243">
      <c r="A243" s="12" t="inlineStr">
        <is>
          <t>CNRC</t>
        </is>
      </c>
      <c r="B243" s="12" t="inlineStr">
        <is>
          <t>Fournisseur actif</t>
        </is>
      </c>
      <c r="C243" s="25" t="n">
        <v>0</v>
      </c>
      <c r="D243" s="25" t="n">
        <v>0</v>
      </c>
      <c r="E243" s="25" t="n">
        <v>0</v>
      </c>
      <c r="F243" s="25" t="n">
        <v>30110</v>
      </c>
      <c r="G243" s="25" t="n">
        <v>0</v>
      </c>
      <c r="H243" s="30">
        <f>SUM(D243:G243)</f>
        <v/>
      </c>
      <c r="I243" s="25" t="n">
        <v>30110</v>
      </c>
      <c r="J243" s="25" t="n">
        <v>0</v>
      </c>
      <c r="K243" s="22" t="inlineStr">
        <is>
          <t>05/08/2025</t>
        </is>
      </c>
      <c r="L243" s="41" t="n"/>
    </row>
  </sheetData>
  <autoFilter ref="A21:L243"/>
  <dataValidations count="1">
    <dataValidation sqref="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showDropDown="0" showInputMessage="0" showErrorMessage="0" allowBlank="1" type="list">
      <formula1>"Facturer,Rembourser,Compenser,Reclasser associé,Déprécier,Produit (dette éteinte),Recouvrer,Maintenir (justifié)"</formula1>
    </dataValidation>
  </dataValidations>
  <pageMargins left="0.75" right="0.75" top="1" bottom="1" header="0.5" footer="0.5"/>
  <pageSetup orientation="landscape" fitToHeight="0"/>
</worksheet>
</file>

<file path=xl/worksheets/sheet15.xml><?xml version="1.0" encoding="utf-8"?>
<worksheet xmlns="http://schemas.openxmlformats.org/spreadsheetml/2006/main">
  <sheetPr>
    <outlinePr summaryBelow="1" summaryRight="1"/>
    <pageSetUpPr fitToPage="1"/>
  </sheetPr>
  <dimension ref="A1:F49"/>
  <sheetViews>
    <sheetView showGridLines="0" workbookViewId="0">
      <selection activeCell="A1" sqref="A1"/>
    </sheetView>
  </sheetViews>
  <sheetFormatPr baseColWidth="8" defaultRowHeight="15"/>
  <cols>
    <col width="60" customWidth="1" min="1" max="1"/>
    <col width="44" customWidth="1" min="2" max="2"/>
    <col width="16" customWidth="1" min="3" max="3"/>
    <col width="16" customWidth="1" min="4" max="4"/>
    <col width="18" customWidth="1" min="5" max="5"/>
    <col width="55" customWidth="1" min="6" max="6"/>
  </cols>
  <sheetData>
    <row r="1">
      <c r="A1" s="1" t="inlineStr">
        <is>
          <t>Préparer les à-nouveaux 2026 : risques tiers et écritures de régularisation proposées</t>
        </is>
      </c>
    </row>
    <row r="2">
      <c r="A2" s="2" t="inlineStr">
        <is>
          <t>Montants liés aux feuilles « Clients &amp; fournisseurs » et « Balance 2024-2025 ». Toute écriture est à valider sur pièces avant passation.</t>
        </is>
      </c>
    </row>
    <row r="4">
      <c r="A4" s="4" t="inlineStr">
        <is>
          <t>A. SARL DPR AXXAM BRIQUETERIE (client, partie liée) — historique du compte 411</t>
        </is>
      </c>
    </row>
    <row r="5">
      <c r="A5" s="11" t="inlineStr">
        <is>
          <t>Exercice</t>
        </is>
      </c>
      <c r="B5" s="11" t="inlineStr">
        <is>
          <t>Solde d'ouverture</t>
        </is>
      </c>
      <c r="C5" s="11" t="inlineStr">
        <is>
          <t>Facturé</t>
        </is>
      </c>
      <c r="D5" s="11" t="inlineStr">
        <is>
          <t>Encaissé</t>
        </is>
      </c>
      <c r="E5" s="11" t="inlineStr">
        <is>
          <t>Solde de clôture</t>
        </is>
      </c>
      <c r="F5" s="11" t="inlineStr">
        <is>
          <t>Taux d'encaissement</t>
        </is>
      </c>
    </row>
    <row r="6">
      <c r="A6" s="4" t="inlineStr">
        <is>
          <t>2023</t>
        </is>
      </c>
      <c r="B6" s="25" t="n">
        <v>277653204.28</v>
      </c>
      <c r="C6" s="25" t="n">
        <v>44589300</v>
      </c>
      <c r="D6" s="25" t="n">
        <v>16590000</v>
      </c>
      <c r="E6" s="25" t="n">
        <v>305652504.28</v>
      </c>
      <c r="F6" s="19">
        <f>IF(C6=0,"",D6/C6)</f>
        <v/>
      </c>
    </row>
    <row r="7">
      <c r="A7" s="4" t="inlineStr">
        <is>
          <t>2024</t>
        </is>
      </c>
      <c r="B7" s="25" t="n">
        <v>309498601.28</v>
      </c>
      <c r="C7" s="25" t="n">
        <v>40846750</v>
      </c>
      <c r="D7" s="25" t="n">
        <v>7190000</v>
      </c>
      <c r="E7" s="25" t="n">
        <v>343155351.28</v>
      </c>
      <c r="F7" s="19">
        <f>IF(C7=0,"",D7/C7)</f>
        <v/>
      </c>
    </row>
    <row r="8">
      <c r="A8" s="4" t="inlineStr">
        <is>
          <t>2025</t>
        </is>
      </c>
      <c r="B8" s="25" t="n">
        <v>343155351.28</v>
      </c>
      <c r="C8" s="25" t="n">
        <v>30309300</v>
      </c>
      <c r="D8" s="25" t="n">
        <v>2450200</v>
      </c>
      <c r="E8" s="25" t="n">
        <v>371014451.28</v>
      </c>
      <c r="F8" s="19">
        <f>IF(C8=0,"",D8/C8)</f>
        <v/>
      </c>
    </row>
    <row r="9">
      <c r="A9" s="4" t="inlineStr">
        <is>
          <t>Total 2023–2025</t>
        </is>
      </c>
      <c r="C9" s="7">
        <f>SUM(C6:C8)</f>
        <v/>
      </c>
      <c r="D9" s="7">
        <f>SUM(D6:D8)</f>
        <v/>
      </c>
      <c r="F9" s="38">
        <f>D9/C9</f>
        <v/>
      </c>
    </row>
    <row r="10">
      <c r="A10" s="12" t="inlineStr">
        <is>
          <t>Créance antérieure à 2023 encore due (encaissements imputés sur les plus anciennes)</t>
        </is>
      </c>
      <c r="E10" s="39">
        <f>MAX(0,B6-D9)</f>
        <v/>
      </c>
    </row>
    <row r="11">
      <c r="A11" s="12" t="inlineStr">
        <is>
          <t>Poids dans le total clients 411 au 31/12/2025</t>
        </is>
      </c>
      <c r="E11" s="42">
        <f>E8/'Clients &amp; fournisseurs'!C16</f>
        <v/>
      </c>
    </row>
    <row r="12">
      <c r="A12" s="12" t="inlineStr">
        <is>
          <t>Poids par rapport aux capitaux propres au 31/12/2025</t>
        </is>
      </c>
      <c r="E12" s="42">
        <f>E8/(-'États 2024-2025'!D28-'États 2024-2025'!D29+'États 2024-2025'!D16)</f>
        <v/>
      </c>
    </row>
    <row r="14">
      <c r="A14" s="4" t="inlineStr">
        <is>
          <t>B. SARL DPR AXXAM (fournisseur / client, partie liée) — position au 31/12/2025</t>
        </is>
      </c>
    </row>
    <row r="15">
      <c r="A15" s="11" t="inlineStr">
        <is>
          <t>Compte</t>
        </is>
      </c>
      <c r="B15" s="11" t="inlineStr">
        <is>
          <t>Solde</t>
        </is>
      </c>
      <c r="C15" s="11" t="inlineStr">
        <is>
          <t>Commentaire</t>
        </is>
      </c>
    </row>
    <row r="16">
      <c r="A16" s="12" t="inlineStr">
        <is>
          <t>401 fournisseur</t>
        </is>
      </c>
      <c r="B16" s="25" t="n">
        <v>-1984749.03</v>
      </c>
      <c r="C16" s="21" t="inlineStr"/>
    </row>
    <row r="17">
      <c r="A17" s="12" t="inlineStr">
        <is>
          <t>404 fournisseur d'immobilisations</t>
        </is>
      </c>
      <c r="B17" s="25" t="n">
        <v>-21827400</v>
      </c>
      <c r="C17" s="21" t="inlineStr">
        <is>
          <t>Sans mouvement en 2025</t>
        </is>
      </c>
    </row>
    <row r="18">
      <c r="A18" s="12" t="inlineStr">
        <is>
          <t>409 avances versées en 2025</t>
        </is>
      </c>
      <c r="B18" s="25" t="n">
        <v>45350000</v>
      </c>
      <c r="C18" s="21" t="inlineStr">
        <is>
          <t>7,0 M (avril) + 15,0 M (août) + 6,0 M + 9,35 M (nov.) + 8,0 M (déc.)</t>
        </is>
      </c>
    </row>
    <row r="19">
      <c r="A19" s="12" t="inlineStr">
        <is>
          <t>419 avance reçue</t>
        </is>
      </c>
      <c r="B19" s="25" t="n">
        <v>-9821942.210000001</v>
      </c>
      <c r="C19" s="21" t="inlineStr">
        <is>
          <t>Dont remboursement de 6 800 000 en espèces le 06/12/2025</t>
        </is>
      </c>
    </row>
    <row r="20">
      <c r="A20" s="4" t="inlineStr">
        <is>
          <t>Position nette (+ = DPR AXXAM nous doit)</t>
        </is>
      </c>
      <c r="B20" s="7">
        <f>SUM(B16:B19)</f>
        <v/>
      </c>
    </row>
    <row r="21">
      <c r="A21" s="12" t="inlineStr">
        <is>
          <t>Sorties de trésorerie vers DPR AXXAM en 2025</t>
        </is>
      </c>
      <c r="B21" s="25" t="n">
        <v>62500000</v>
      </c>
    </row>
    <row r="22">
      <c r="A22" s="4" t="inlineStr">
        <is>
          <t>Exposition totale groupe DPR AXXAM (briqueterie + position nette)</t>
        </is>
      </c>
      <c r="B22" s="39">
        <f>E8+B20</f>
        <v/>
      </c>
    </row>
    <row r="24">
      <c r="A24" s="4" t="inlineStr">
        <is>
          <t>C. Écritures de régularisation proposées (à passer après justification, avant ou à l'ouverture 2026)</t>
        </is>
      </c>
    </row>
    <row r="25">
      <c r="A25" s="11" t="inlineStr">
        <is>
          <t>N°</t>
        </is>
      </c>
      <c r="B25" s="11" t="inlineStr">
        <is>
          <t>Objet</t>
        </is>
      </c>
      <c r="C25" s="11" t="inlineStr">
        <is>
          <t>Débit</t>
        </is>
      </c>
      <c r="D25" s="11" t="inlineStr">
        <is>
          <t>Crédit</t>
        </is>
      </c>
      <c r="E25" s="11" t="inlineStr">
        <is>
          <t>Montant (DA)</t>
        </is>
      </c>
      <c r="F25" s="11" t="inlineStr">
        <is>
          <t>Condition / pièce requise</t>
        </is>
      </c>
    </row>
    <row r="26" ht="32" customHeight="1">
      <c r="A26" s="4" t="inlineStr">
        <is>
          <t>R1</t>
        </is>
      </c>
      <c r="B26" s="29" t="inlineStr">
        <is>
          <t>Reclasser les soldes des associés logés en 411 / 419 / 401</t>
        </is>
      </c>
      <c r="C26" s="12" t="inlineStr">
        <is>
          <t>411 / 419 / 401</t>
        </is>
      </c>
      <c r="D26" s="12" t="inlineStr">
        <is>
          <t>455 / 457</t>
        </is>
      </c>
      <c r="E26" s="6">
        <f>-'Clients &amp; fournisseurs'!G6</f>
        <v/>
      </c>
      <c r="F26" s="35" t="inlineStr">
        <is>
          <t>Attestation de chaque associé (apport, avance, ou achat personnel)</t>
        </is>
      </c>
    </row>
    <row r="27" ht="32" customHeight="1">
      <c r="A27" s="4" t="inlineStr">
        <is>
          <t>R2</t>
        </is>
      </c>
      <c r="B27" s="29" t="inlineStr">
        <is>
          <t>Compenser avances 419 et créances 411 d'un même client</t>
        </is>
      </c>
      <c r="C27" s="12" t="inlineStr">
        <is>
          <t>419</t>
        </is>
      </c>
      <c r="D27" s="12" t="inlineStr">
        <is>
          <t>411</t>
        </is>
      </c>
      <c r="E27" s="6">
        <f>MIN('Clients &amp; fournisseurs'!C7,-'Clients &amp; fournisseurs'!D7)</f>
        <v/>
      </c>
      <c r="F27" s="35" t="inlineStr">
        <is>
          <t>Lettrage facture / avance par client</t>
        </is>
      </c>
    </row>
    <row r="28" ht="32" customHeight="1">
      <c r="A28" s="4" t="inlineStr">
        <is>
          <t>R3</t>
        </is>
      </c>
      <c r="B28" s="29" t="inlineStr">
        <is>
          <t>Reclasser les 411 créditeurs</t>
        </is>
      </c>
      <c r="C28" s="12" t="inlineStr">
        <is>
          <t>411</t>
        </is>
      </c>
      <c r="D28" s="12" t="inlineStr">
        <is>
          <t>419</t>
        </is>
      </c>
      <c r="E28" s="6">
        <f>-'Clients &amp; fournisseurs'!C8</f>
        <v/>
      </c>
      <c r="F28" s="35" t="inlineStr">
        <is>
          <t>Analyse de chaque solde (avoir, trop-perçu)</t>
        </is>
      </c>
    </row>
    <row r="29" ht="32" customHeight="1">
      <c r="A29" s="4" t="inlineStr">
        <is>
          <t>R4</t>
        </is>
      </c>
      <c r="B29" s="29" t="inlineStr">
        <is>
          <t>Avances clients dormantes ≥ 3 ans : facturer les livraisons effectuées</t>
        </is>
      </c>
      <c r="C29" s="12" t="inlineStr">
        <is>
          <t>419</t>
        </is>
      </c>
      <c r="D29" s="12" t="inlineStr">
        <is>
          <t>700 + 4457</t>
        </is>
      </c>
      <c r="E29" s="33" t="n"/>
      <c r="F29" s="35" t="inlineStr">
        <is>
          <t>Bons de livraison ; montant = part livrée (colonne L « Facturer »)</t>
        </is>
      </c>
    </row>
    <row r="30" ht="32" customHeight="1">
      <c r="A30" s="4" t="inlineStr">
        <is>
          <t>R5</t>
        </is>
      </c>
      <c r="B30" s="29" t="inlineStr">
        <is>
          <t>Avances clients dormantes ≥ 3 ans : rembourser les non-livrées</t>
        </is>
      </c>
      <c r="C30" s="12" t="inlineStr">
        <is>
          <t>419</t>
        </is>
      </c>
      <c r="D30" s="12" t="inlineStr">
        <is>
          <t>512</t>
        </is>
      </c>
      <c r="E30" s="33" t="n"/>
      <c r="F30" s="35" t="inlineStr">
        <is>
          <t>Accord écrit du client ; montant = part « Rembourser »</t>
        </is>
      </c>
    </row>
    <row r="31" ht="32" customHeight="1">
      <c r="A31" s="4" t="inlineStr">
        <is>
          <t>R6</t>
        </is>
      </c>
      <c r="B31" s="29" t="inlineStr">
        <is>
          <t>Dépréciation créances clients sans mouvement en 2025</t>
        </is>
      </c>
      <c r="C31" s="12" t="inlineStr">
        <is>
          <t>685</t>
        </is>
      </c>
      <c r="D31" s="12" t="inlineStr">
        <is>
          <t>491</t>
        </is>
      </c>
      <c r="E31" s="6">
        <f>ROUND('Clients &amp; fournisseurs'!C11*$E$40,2)</f>
        <v/>
      </c>
      <c r="F31" s="35" t="inlineStr">
        <is>
          <t>Relances restées sans effet ; taux en E40</t>
        </is>
      </c>
    </row>
    <row r="32" ht="32" customHeight="1">
      <c r="A32" s="4" t="inlineStr">
        <is>
          <t>R7</t>
        </is>
      </c>
      <c r="B32" s="29" t="inlineStr">
        <is>
          <t>Dépréciation de la créance DPR AXXAM BRIQUETERIE</t>
        </is>
      </c>
      <c r="C32" s="12" t="inlineStr">
        <is>
          <t>685</t>
        </is>
      </c>
      <c r="D32" s="12" t="inlineStr">
        <is>
          <t>491</t>
        </is>
      </c>
      <c r="E32" s="6">
        <f>ROUND(E10*$E$41,2)</f>
        <v/>
      </c>
      <c r="F32" s="35" t="inlineStr">
        <is>
          <t>Analyse de la capacité de paiement ; taux en E41</t>
        </is>
      </c>
    </row>
    <row r="33" ht="32" customHeight="1">
      <c r="A33" s="4" t="inlineStr">
        <is>
          <t>R8</t>
        </is>
      </c>
      <c r="B33" s="29" t="inlineStr">
        <is>
          <t>Dettes fournisseurs sans mouvement en 2025 et éteintes</t>
        </is>
      </c>
      <c r="C33" s="12" t="inlineStr">
        <is>
          <t>401</t>
        </is>
      </c>
      <c r="D33" s="12" t="inlineStr">
        <is>
          <t>758</t>
        </is>
      </c>
      <c r="E33" s="33" t="n"/>
      <c r="F33" s="35" t="inlineStr">
        <is>
          <t>Confirmation écrite ou prescription documentée</t>
        </is>
      </c>
    </row>
    <row r="35">
      <c r="A35" s="12" t="inlineStr">
        <is>
          <t>Pour mémoire : avances clients dormantes ≥ 3 ans à traiter par R4 / R5</t>
        </is>
      </c>
      <c r="E35" s="39">
        <f>-'Clients &amp; fournisseurs'!D9</f>
        <v/>
      </c>
    </row>
    <row r="36">
      <c r="A36" s="12" t="inlineStr">
        <is>
          <t>Pour mémoire : dettes fournisseurs sans mouvement en 2025 (R8)</t>
        </is>
      </c>
      <c r="E36" s="27">
        <f>-'Clients &amp; fournisseurs'!E14</f>
        <v/>
      </c>
    </row>
    <row r="39">
      <c r="A39" s="4" t="inlineStr">
        <is>
          <t>Hypothèses (à fixer avec le commissaire aux comptes)</t>
        </is>
      </c>
    </row>
    <row r="40">
      <c r="A40" s="12" t="inlineStr">
        <is>
          <t>Taux de dépréciation des créances sans mouvement en 2025</t>
        </is>
      </c>
      <c r="E40" s="20" t="n">
        <v>0</v>
      </c>
      <c r="F40" s="21" t="inlineStr">
        <is>
          <t>Mettre 0 % à 100 % selon le recouvrement attendu ; R6 se recalcule</t>
        </is>
      </c>
    </row>
    <row r="41">
      <c r="A41" s="12" t="inlineStr">
        <is>
          <t>Taux de dépréciation de la créance briqueterie antérieure à 2023</t>
        </is>
      </c>
      <c r="E41" s="20" t="n">
        <v>0</v>
      </c>
      <c r="F41" s="21" t="inlineStr">
        <is>
          <t>Idem pour R7</t>
        </is>
      </c>
    </row>
    <row r="43">
      <c r="A43" s="4" t="inlineStr">
        <is>
          <t>D. Règles de tenue à appliquer dès janvier 2026</t>
        </is>
      </c>
    </row>
    <row r="44" ht="30" customHeight="1">
      <c r="A44" s="29" t="inlineStr">
        <is>
          <t>1. Un seul code tiers par client (aujourd'hui : un code C… pour la créance et un code AC… pour l'avance) ; lettrage mensuel 411 / 419 / 401 / 409.</t>
        </is>
      </c>
      <c r="B44" s="17" t="n"/>
      <c r="C44" s="17" t="n"/>
      <c r="D44" s="17" t="n"/>
      <c r="E44" s="17" t="n"/>
      <c r="F44" s="18" t="n"/>
    </row>
    <row r="45" ht="30" customHeight="1">
      <c r="A45" s="29" t="inlineStr">
        <is>
          <t>2. Toute avance client donne lieu à une facture à la livraison ; aucune avance ne reste plus de 12 mois sans facture ni remboursement.</t>
        </is>
      </c>
      <c r="B45" s="17" t="n"/>
      <c r="C45" s="17" t="n"/>
      <c r="D45" s="17" t="n"/>
      <c r="E45" s="17" t="n"/>
      <c r="F45" s="18" t="n"/>
    </row>
    <row r="46" ht="30" customHeight="1">
      <c r="A46" s="29" t="inlineStr">
        <is>
          <t>3. Balance âgée clients et fournisseurs à chaque fin de trimestre ; confirmation de solde annuelle des 20 premiers tiers.</t>
        </is>
      </c>
      <c r="B46" s="17" t="n"/>
      <c r="C46" s="17" t="n"/>
      <c r="D46" s="17" t="n"/>
      <c r="E46" s="17" t="n"/>
      <c r="F46" s="18" t="n"/>
    </row>
    <row r="47" ht="30" customHeight="1">
      <c r="A47" s="29" t="inlineStr">
        <is>
          <t>4. Flux avec DPR AXXAM / DPR AXXAM BRIQUETERIE : convention écrite, factures et règlements par banque uniquement ; pas d'avance sans contrat.</t>
        </is>
      </c>
      <c r="B47" s="17" t="n"/>
      <c r="C47" s="17" t="n"/>
      <c r="D47" s="17" t="n"/>
      <c r="E47" s="17" t="n"/>
      <c r="F47" s="18" t="n"/>
    </row>
    <row r="48" ht="30" customHeight="1">
      <c r="A48" s="29" t="inlineStr">
        <is>
          <t>5. Associés : uniquement en 455 / 457, jamais en comptes clients ou fournisseurs.</t>
        </is>
      </c>
      <c r="B48" s="17" t="n"/>
      <c r="C48" s="17" t="n"/>
      <c r="D48" s="17" t="n"/>
      <c r="E48" s="17" t="n"/>
      <c r="F48" s="18" t="n"/>
    </row>
    <row r="49" ht="30" customHeight="1">
      <c r="A49" s="29" t="inlineStr">
        <is>
          <t>6. Ouverture 2026 : reprendre les à-nouveaux après passation de R1 à R8 et vérifier que la balance d'ouverture 2026 = balance de clôture 2025 ajustée.</t>
        </is>
      </c>
      <c r="B49" s="17" t="n"/>
      <c r="C49" s="17" t="n"/>
      <c r="D49" s="17" t="n"/>
      <c r="E49" s="17" t="n"/>
      <c r="F49" s="18" t="n"/>
    </row>
  </sheetData>
  <mergeCells count="6">
    <mergeCell ref="A49:F49"/>
    <mergeCell ref="A47:F47"/>
    <mergeCell ref="A46:F46"/>
    <mergeCell ref="A44:F44"/>
    <mergeCell ref="A45:F45"/>
    <mergeCell ref="A48:F48"/>
  </mergeCells>
  <pageMargins left="0.75" right="0.75" top="1" bottom="1" header="0.5" footer="0.5"/>
  <pageSetup orientation="landscape" fitToHeight="0"/>
</worksheet>
</file>

<file path=xl/worksheets/sheet16.xml><?xml version="1.0" encoding="utf-8"?>
<worksheet xmlns="http://schemas.openxmlformats.org/spreadsheetml/2006/main">
  <sheetPr>
    <outlinePr summaryBelow="1" summaryRight="1"/>
    <pageSetUpPr fitToPage="1"/>
  </sheetPr>
  <dimension ref="A1:I42"/>
  <sheetViews>
    <sheetView showGridLines="0" workbookViewId="0">
      <pane ySplit="4" topLeftCell="A5" activePane="bottomLeft" state="frozen"/>
      <selection pane="bottomLeft" activeCell="A1" sqref="A1"/>
    </sheetView>
  </sheetViews>
  <sheetFormatPr baseColWidth="8" defaultRowHeight="15"/>
  <cols>
    <col width="6" customWidth="1" min="1" max="1"/>
    <col width="9" customWidth="1" min="2" max="2"/>
    <col width="11" customWidth="1" min="3" max="3"/>
    <col width="13" customWidth="1" min="4" max="4"/>
    <col width="60" customWidth="1" min="5" max="5"/>
    <col width="16" customWidth="1" min="6" max="6"/>
    <col width="52" customWidth="1" min="7" max="7"/>
    <col width="14" customWidth="1" min="8" max="8"/>
    <col width="12" customWidth="1" min="9" max="9"/>
  </cols>
  <sheetData>
    <row r="1">
      <c r="A1" s="1" t="inlineStr">
        <is>
          <t>Anomalies relevées et plan d'actions</t>
        </is>
      </c>
    </row>
    <row r="2">
      <c r="A2" s="2" t="inlineStr">
        <is>
          <t>Priorité : 1 = critique (risque de redressement/pénalités), 2 = à corriger, 3 = à vérifier. Colonnes Responsable/Statut à compléter.</t>
        </is>
      </c>
    </row>
    <row r="4">
      <c r="A4" s="11" t="inlineStr">
        <is>
          <t>N°</t>
        </is>
      </c>
      <c r="B4" s="11" t="inlineStr">
        <is>
          <t>Priorité</t>
        </is>
      </c>
      <c r="C4" s="11" t="inlineStr">
        <is>
          <t>Établissement</t>
        </is>
      </c>
      <c r="D4" s="11" t="inlineStr">
        <is>
          <t>Domaine</t>
        </is>
      </c>
      <c r="E4" s="11" t="inlineStr">
        <is>
          <t>Constat</t>
        </is>
      </c>
      <c r="F4" s="11" t="inlineStr">
        <is>
          <t>Impact estimé (DA)</t>
        </is>
      </c>
      <c r="G4" s="11" t="inlineStr">
        <is>
          <t>Action recommandée</t>
        </is>
      </c>
      <c r="H4" s="11" t="inlineStr">
        <is>
          <t>Responsable</t>
        </is>
      </c>
      <c r="I4" s="11" t="inlineStr">
        <is>
          <t>Statut</t>
        </is>
      </c>
    </row>
    <row r="5" ht="52" customHeight="1">
      <c r="A5" s="4" t="inlineStr">
        <is>
          <t>A01</t>
        </is>
      </c>
      <c r="B5" s="43" t="n">
        <v>1</v>
      </c>
      <c r="C5" s="29" t="inlineStr">
        <is>
          <t>IMPORT</t>
        </is>
      </c>
      <c r="D5" s="29" t="inlineStr">
        <is>
          <t>CNAS</t>
        </is>
      </c>
      <c r="E5" s="29" t="inlineStr">
        <is>
          <t>Déclaration CNAS de février 2026 non fournie (assiette paie 952 475,81 ; 7 STC payés).</t>
        </is>
      </c>
      <c r="F5" s="44">
        <f>'Rappro CNAS'!J6</f>
        <v/>
      </c>
      <c r="G5" s="29" t="inlineStr">
        <is>
          <t>Fournir la déclaration de février + EMS avec 7 sorties ; à défaut, la déposer (pénalités de retard).</t>
        </is>
      </c>
      <c r="H5" s="41" t="n"/>
      <c r="I5" s="41" t="inlineStr">
        <is>
          <t>Ouvert</t>
        </is>
      </c>
    </row>
    <row r="6" ht="52" customHeight="1">
      <c r="A6" s="4" t="inlineStr">
        <is>
          <t>A02</t>
        </is>
      </c>
      <c r="B6" s="43" t="n">
        <v>1</v>
      </c>
      <c r="C6" s="29" t="inlineStr">
        <is>
          <t>IMPORT</t>
        </is>
      </c>
      <c r="D6" s="29" t="inlineStr">
        <is>
          <t>Paie</t>
        </is>
      </c>
      <c r="E6" s="29" t="inlineStr">
        <is>
          <t>Centralisateur de mars 2026 absent (onglet vide) alors que la CNAS de mars déclare 368 389,93 d'assiette, 5 salariés.</t>
        </is>
      </c>
      <c r="F6" s="44">
        <f>'Rappro CNAS'!K7</f>
        <v/>
      </c>
      <c r="G6" s="29" t="inlineStr">
        <is>
          <t>Obtenir le livre de paie de mars et le saisir dans « Paie IMPORT » col. E ; comptabiliser la paie de mars.</t>
        </is>
      </c>
      <c r="H6" s="41" t="n"/>
      <c r="I6" s="41" t="inlineStr">
        <is>
          <t>Ouvert</t>
        </is>
      </c>
    </row>
    <row r="7" ht="52" customHeight="1">
      <c r="A7" s="4" t="inlineStr">
        <is>
          <t>A03</t>
        </is>
      </c>
      <c r="B7" s="43" t="n">
        <v>1</v>
      </c>
      <c r="C7" s="29" t="inlineStr">
        <is>
          <t>IMPORT</t>
        </is>
      </c>
      <c r="D7" s="29" t="inlineStr">
        <is>
          <t>CNAS</t>
        </is>
      </c>
      <c r="E7" s="29" t="inlineStr">
        <is>
          <t>Prime de ponctualité (R540) imposée à l'IRG mais exclue du salaire de poste (assiette CNAS) chaque mois.</t>
        </is>
      </c>
      <c r="F7" s="44">
        <f>'Rappro CNAS'!V13</f>
        <v/>
      </c>
      <c r="G7" s="29" t="inlineStr">
        <is>
          <t>Vérifier le paramétrage de la rubrique R540 (soumise SS) ; régulariser les déclarations concernées.</t>
        </is>
      </c>
      <c r="H7" s="41" t="n"/>
      <c r="I7" s="41" t="inlineStr">
        <is>
          <t>Ouvert</t>
        </is>
      </c>
    </row>
    <row r="8" ht="52" customHeight="1">
      <c r="A8" s="4" t="inlineStr">
        <is>
          <t>A04</t>
        </is>
      </c>
      <c r="B8" s="45" t="n">
        <v>2</v>
      </c>
      <c r="C8" s="29" t="inlineStr">
        <is>
          <t>TPM</t>
        </is>
      </c>
      <c r="D8" s="29" t="inlineStr">
        <is>
          <t>CNAS</t>
        </is>
      </c>
      <c r="E8" s="29" t="inlineStr">
        <is>
          <t>Effectif déclaré au T1 = 2 alors que 3 salariés sont inscrits ; T2 déclare 1 sortie et un effectif final de 2 ⇒ T1 aurait dû être 3.</t>
        </is>
      </c>
      <c r="F8" s="46" t="n"/>
      <c r="G8" s="29" t="inlineStr">
        <is>
          <t>Rectifier l'effectif du T1 auprès de la CNAS.</t>
        </is>
      </c>
      <c r="H8" s="41" t="n"/>
      <c r="I8" s="41" t="inlineStr">
        <is>
          <t>Ouvert</t>
        </is>
      </c>
    </row>
    <row r="9" ht="52" customHeight="1">
      <c r="A9" s="4" t="inlineStr">
        <is>
          <t>A05</t>
        </is>
      </c>
      <c r="B9" s="45" t="n">
        <v>2</v>
      </c>
      <c r="C9" s="29" t="inlineStr">
        <is>
          <t>TPM</t>
        </is>
      </c>
      <c r="D9" s="29" t="inlineStr">
        <is>
          <t>Paie / CNAS</t>
        </is>
      </c>
      <c r="E9" s="29" t="inlineStr">
        <is>
          <t>Salarié totalement absent (non rémunéré) en juillet, disparu de la paie en août sans STC ni sortie déclarée.</t>
        </is>
      </c>
      <c r="F9" s="46" t="n"/>
      <c r="G9" s="29" t="inlineStr">
        <is>
          <t>Établir le STC et déclarer la sortie dans l'EMS du T3 (échéance 30/10/2026).</t>
        </is>
      </c>
      <c r="H9" s="41" t="n"/>
      <c r="I9" s="41" t="inlineStr">
        <is>
          <t>Ouvert</t>
        </is>
      </c>
    </row>
    <row r="10" ht="52" customHeight="1">
      <c r="A10" s="4" t="inlineStr">
        <is>
          <t>A06</t>
        </is>
      </c>
      <c r="B10" s="45" t="n">
        <v>2</v>
      </c>
      <c r="C10" s="29" t="inlineStr">
        <is>
          <t>IMPORT</t>
        </is>
      </c>
      <c r="D10" s="29" t="inlineStr">
        <is>
          <t>CNAS</t>
        </is>
      </c>
      <c r="E10" s="29" t="inlineStr">
        <is>
          <t>STC de 2 237,40 en août : une sortie à déclarer au T3.</t>
        </is>
      </c>
      <c r="F10" s="46" t="n"/>
      <c r="G10" s="29" t="inlineStr">
        <is>
          <t>Déclarer la sortie dans l'EMS du T3.</t>
        </is>
      </c>
      <c r="H10" s="41" t="n"/>
      <c r="I10" s="41" t="inlineStr">
        <is>
          <t>Ouvert</t>
        </is>
      </c>
    </row>
    <row r="11" ht="52" customHeight="1">
      <c r="A11" s="4" t="inlineStr">
        <is>
          <t>A07</t>
        </is>
      </c>
      <c r="B11" s="45" t="n">
        <v>2</v>
      </c>
      <c r="C11" s="29" t="inlineStr">
        <is>
          <t>Les deux</t>
        </is>
      </c>
      <c r="D11" s="29" t="inlineStr">
        <is>
          <t>CNAS</t>
        </is>
      </c>
      <c r="E11" s="29" t="inlineStr">
        <is>
          <t>Déclarations T3 2026 (juil–sept) à établir ; paie de septembre non fournie.</t>
        </is>
      </c>
      <c r="F11" s="44">
        <f>'Rappro CNAS'!J9+'Rappro CNAS'!J12</f>
        <v/>
      </c>
      <c r="G11" s="29" t="inlineStr">
        <is>
          <t>Transmettre les centralisateurs de septembre ; déposer et payer avant le 30/10/2026.</t>
        </is>
      </c>
      <c r="H11" s="41" t="n"/>
      <c r="I11" s="41" t="inlineStr">
        <is>
          <t>Ouvert</t>
        </is>
      </c>
    </row>
    <row r="12" ht="52" customHeight="1">
      <c r="A12" s="4" t="inlineStr">
        <is>
          <t>A08</t>
        </is>
      </c>
      <c r="B12" s="47" t="n">
        <v>3</v>
      </c>
      <c r="C12" s="29" t="inlineStr">
        <is>
          <t>TPM</t>
        </is>
      </c>
      <c r="D12" s="29" t="inlineStr">
        <is>
          <t>Paie</t>
        </is>
      </c>
      <c r="E12" s="29" t="inlineStr">
        <is>
          <t>Avril = mai et juillet = août strictement identiques (mêmes absences, heures sup., IRG) : variables probablement non saisies.</t>
        </is>
      </c>
      <c r="F12" s="46" t="n"/>
      <c r="G12" s="29" t="inlineStr">
        <is>
          <t>Contrôler les pointages et bulletins de mai et août.</t>
        </is>
      </c>
      <c r="H12" s="41" t="n"/>
      <c r="I12" s="41" t="inlineStr">
        <is>
          <t>Ouvert</t>
        </is>
      </c>
    </row>
    <row r="13" ht="52" customHeight="1">
      <c r="A13" s="4" t="inlineStr">
        <is>
          <t>A09</t>
        </is>
      </c>
      <c r="B13" s="47" t="n">
        <v>3</v>
      </c>
      <c r="C13" s="29" t="inlineStr">
        <is>
          <t>TPM</t>
        </is>
      </c>
      <c r="D13" s="29" t="inlineStr">
        <is>
          <t>Paie</t>
        </is>
      </c>
      <c r="E13" s="29" t="inlineStr">
        <is>
          <t>Frais de mission élevés (avril 41 615 ; mai 49 115, soit 47–55 % de l'assiette), non soumis à cotisations.</t>
        </is>
      </c>
      <c r="F13" s="44">
        <f>'Paie TPM'!K26</f>
        <v/>
      </c>
      <c r="G13" s="29" t="inlineStr">
        <is>
          <t>Conserver ordres de mission et justificatifs ; risque de requalification en salaire.</t>
        </is>
      </c>
      <c r="H13" s="41" t="n"/>
      <c r="I13" s="41" t="inlineStr">
        <is>
          <t>Ouvert</t>
        </is>
      </c>
    </row>
    <row r="14" ht="52" customHeight="1">
      <c r="A14" s="4" t="inlineStr">
        <is>
          <t>A10</t>
        </is>
      </c>
      <c r="B14" s="47" t="n">
        <v>3</v>
      </c>
      <c r="C14" s="29" t="inlineStr">
        <is>
          <t>IMPORT</t>
        </is>
      </c>
      <c r="D14" s="29" t="inlineStr">
        <is>
          <t>Paie</t>
        </is>
      </c>
      <c r="E14" s="29" t="inlineStr">
        <is>
          <t>Prime de responsabilité de 5,00 DA (janv.) et 1,14 DA (févr.) : paramètre vraisemblablement erroné (5 au lieu de 5 %).</t>
        </is>
      </c>
      <c r="F14" s="46" t="n"/>
      <c r="G14" s="29" t="inlineStr">
        <is>
          <t>Corriger le paramètre B291 ; régulariser le rappel éventuel.</t>
        </is>
      </c>
      <c r="H14" s="41" t="n"/>
      <c r="I14" s="41" t="inlineStr">
        <is>
          <t>Ouvert</t>
        </is>
      </c>
    </row>
    <row r="15" ht="52" customHeight="1">
      <c r="A15" s="4" t="inlineStr">
        <is>
          <t>A11</t>
        </is>
      </c>
      <c r="B15" s="45" t="n">
        <v>2</v>
      </c>
      <c r="C15" s="29" t="inlineStr">
        <is>
          <t>Les deux</t>
        </is>
      </c>
      <c r="D15" s="29" t="inlineStr">
        <is>
          <t>Trésorerie</t>
        </is>
      </c>
      <c r="E15" s="29" t="inlineStr">
        <is>
          <t>Bordereaux de versement CNAS à « 0,00 » : aucune preuve de paiement des cotisations dans le dossier.</t>
        </is>
      </c>
      <c r="F15" s="44">
        <f>'Rappro CNAS'!K13</f>
        <v/>
      </c>
      <c r="G15" s="29" t="inlineStr">
        <is>
          <t>Joindre les quittances CNAS / avis de virement ; comptabiliser les règlements (débit 431).</t>
        </is>
      </c>
      <c r="H15" s="41" t="n"/>
      <c r="I15" s="41" t="inlineStr">
        <is>
          <t>Ouvert</t>
        </is>
      </c>
    </row>
    <row r="16" ht="52" customHeight="1">
      <c r="A16" s="4" t="inlineStr">
        <is>
          <t>A12</t>
        </is>
      </c>
      <c r="B16" s="45" t="n">
        <v>2</v>
      </c>
      <c r="C16" s="29" t="inlineStr">
        <is>
          <t>Les deux</t>
        </is>
      </c>
      <c r="D16" s="29" t="inlineStr">
        <is>
          <t>Fiscal</t>
        </is>
      </c>
      <c r="E16" s="29" t="inlineStr">
        <is>
          <t>IRG IMPORT : G50 de janvier à août conformes à la paie (écarts d'arrondi ≤ 3 DA ; juillet : 2,30 DA retenus non reversés). Mars non vérifiable (paie absente).</t>
        </is>
      </c>
      <c r="F16" s="44">
        <f>'Échéancier IRG-CNAS'!G13</f>
        <v/>
      </c>
      <c r="G16" s="29" t="inlineStr">
        <is>
          <t>Reverser l'IRG retenu au dinar près ; fournir la paie de mars.</t>
        </is>
      </c>
      <c r="H16" s="41" t="n"/>
      <c r="I16" s="41" t="inlineStr">
        <is>
          <t>Ouvert</t>
        </is>
      </c>
    </row>
    <row r="17" ht="52" customHeight="1">
      <c r="A17" s="4" t="inlineStr">
        <is>
          <t>A13</t>
        </is>
      </c>
      <c r="B17" s="47" t="n">
        <v>3</v>
      </c>
      <c r="C17" s="29" t="inlineStr">
        <is>
          <t>Les deux</t>
        </is>
      </c>
      <c r="D17" s="29" t="inlineStr">
        <is>
          <t>BTPH</t>
        </is>
      </c>
      <c r="E17" s="29" t="inlineStr">
        <is>
          <t>Paie paramétrée CACOBATPH (taux X504) mais aucune déclaration CACOBATPH (congés payés / intempéries) dans le dossier.</t>
        </is>
      </c>
      <c r="F17" s="46" t="n"/>
      <c r="G17" s="29" t="inlineStr">
        <is>
          <t>Fournir les déclarations et paiements CACOBATPH 2026.</t>
        </is>
      </c>
      <c r="H17" s="41" t="n"/>
      <c r="I17" s="41" t="inlineStr">
        <is>
          <t>Ouvert</t>
        </is>
      </c>
    </row>
    <row r="18" ht="52" customHeight="1">
      <c r="A18" s="4" t="inlineStr">
        <is>
          <t>A14</t>
        </is>
      </c>
      <c r="B18" s="47" t="n">
        <v>3</v>
      </c>
      <c r="C18" s="29" t="inlineStr">
        <is>
          <t>Les deux</t>
        </is>
      </c>
      <c r="D18" s="29" t="inlineStr">
        <is>
          <t>Administratif</t>
        </is>
      </c>
      <c r="E18" s="29" t="inlineStr">
        <is>
          <t>Libellés divergents : « D.P.R.COMPAGNY » / « DPR COMPAGNY » ; en-tête de paie TPM à l'adresse VGE TIZI alors que l'affiliation TPM est à TISSA.</t>
        </is>
      </c>
      <c r="F18" s="46" t="n"/>
      <c r="G18" s="29" t="inlineStr">
        <is>
          <t>Harmoniser raison sociale et adresse dans le logiciel de paie.</t>
        </is>
      </c>
      <c r="H18" s="41" t="n"/>
      <c r="I18" s="41" t="inlineStr">
        <is>
          <t>Ouvert</t>
        </is>
      </c>
    </row>
    <row r="19" ht="52" customHeight="1">
      <c r="A19" s="4" t="inlineStr">
        <is>
          <t>A15</t>
        </is>
      </c>
      <c r="B19" s="47" t="n">
        <v>3</v>
      </c>
      <c r="C19" s="29" t="inlineStr">
        <is>
          <t>IMPORT</t>
        </is>
      </c>
      <c r="D19" s="29" t="inlineStr">
        <is>
          <t>CNAS</t>
        </is>
      </c>
      <c r="E19" s="29" t="inlineStr">
        <is>
          <t>Périodicité mixte : déclarations mensuelles (janv., mars) puis trimestrielle (T2).</t>
        </is>
      </c>
      <c r="F19" s="46" t="n"/>
      <c r="G19" s="29" t="inlineStr">
        <is>
          <t>Confirmer auprès de la CNAS le passage au trimestriel après la baisse d'effectif (12 → 5).</t>
        </is>
      </c>
      <c r="H19" s="41" t="n"/>
      <c r="I19" s="41" t="inlineStr">
        <is>
          <t>Ouvert</t>
        </is>
      </c>
    </row>
    <row r="20" ht="52" customHeight="1">
      <c r="A20" s="4" t="inlineStr">
        <is>
          <t>A16</t>
        </is>
      </c>
      <c r="B20" s="47" t="n">
        <v>3</v>
      </c>
      <c r="C20" s="29" t="inlineStr">
        <is>
          <t>Les deux</t>
        </is>
      </c>
      <c r="D20" s="29" t="inlineStr">
        <is>
          <t>Paie</t>
        </is>
      </c>
      <c r="E20" s="29" t="inlineStr">
        <is>
          <t>IRG non vérifiable salarié par salarié (centralisateurs uniquement).</t>
        </is>
      </c>
      <c r="F20" s="46" t="n"/>
      <c r="G20" s="29" t="inlineStr">
        <is>
          <t>Fournir le livre de paie individuel / bulletins.</t>
        </is>
      </c>
      <c r="H20" s="41" t="n"/>
      <c r="I20" s="41" t="inlineStr">
        <is>
          <t>Ouvert</t>
        </is>
      </c>
    </row>
    <row r="21" ht="52" customHeight="1">
      <c r="A21" s="4" t="inlineStr">
        <is>
          <t>A17</t>
        </is>
      </c>
      <c r="B21" s="43" t="n">
        <v>1</v>
      </c>
      <c r="C21" s="29" t="inlineStr">
        <is>
          <t>TPM</t>
        </is>
      </c>
      <c r="D21" s="29" t="inlineStr">
        <is>
          <t>Fiscal / TVA</t>
        </is>
      </c>
      <c r="E21" s="29" t="inlineStr">
        <is>
          <t>TVA collectée TPM (44537) et location (44527) jamais soldées : 58,9 M DA cumulés au 31/12/2025, accumulés depuis au moins 2022 (37,3 M à l'ouverture 2023) ; 2023–2025 : 18,5 M collectés, 1,5 M apurés. En 2025, 4 839 300 de TVA TPM générée, seuls 391 208 passés en G50 (déc.). Les G50 TPM 2026 (juil., août) ne déclarent aucun CA et reportent un précompte de 1 714 499 (= compte 44550).</t>
        </is>
      </c>
      <c r="F21" s="44">
        <f>-('Balance 2024-2025'!D48+'Balance 2024-2025'!D47)</f>
        <v/>
      </c>
      <c r="G21" s="29" t="inlineStr">
        <is>
          <t>Rapprocher avec les G50 TPM 2023–2025 ; si TVA non déclarée, régulariser ; sinon passer les écritures de G50 manquantes.</t>
        </is>
      </c>
      <c r="H21" s="41" t="n"/>
      <c r="I21" s="41" t="inlineStr">
        <is>
          <t>Ouvert</t>
        </is>
      </c>
    </row>
    <row r="22" ht="52" customHeight="1">
      <c r="A22" s="4" t="inlineStr">
        <is>
          <t>A18</t>
        </is>
      </c>
      <c r="B22" s="43" t="n">
        <v>1</v>
      </c>
      <c r="C22" s="29" t="inlineStr">
        <is>
          <t>IMPORT</t>
        </is>
      </c>
      <c r="D22" s="29" t="inlineStr">
        <is>
          <t>Fiscal / TVA</t>
        </is>
      </c>
      <c r="E22" s="29" t="inlineStr">
        <is>
          <t>CA de mars 2026 réalisé 27 006 870 (annotation G50), mais seulement 3 445 200 déclarés en mars « pour manque TVA à récupérer » : 23 561 670 de CA reportés sur avril–août. En avril, le CA annoté (13 157 894,74) est calculé pour obtenir 2 500 000 de TVA. Le CA déclaré mensuellement est ajusté à la TVA déductible disponible.</t>
        </is>
      </c>
      <c r="F22" s="44">
        <f>'G50 2026'!B40</f>
        <v/>
      </c>
      <c r="G22" s="29" t="inlineStr">
        <is>
          <t>Déclarer le CA au titre du mois de réalisation ; rapprocher le CA déclaré du journal des ventes 2026 ; chiffrer les pénalités de retard sur la TVA différée.</t>
        </is>
      </c>
      <c r="H22" s="41" t="n"/>
      <c r="I22" s="41" t="inlineStr">
        <is>
          <t>Ouvert</t>
        </is>
      </c>
    </row>
    <row r="23" ht="52" customHeight="1">
      <c r="A23" s="4" t="inlineStr">
        <is>
          <t>A19</t>
        </is>
      </c>
      <c r="B23" s="43" t="n">
        <v>1</v>
      </c>
      <c r="C23" s="29" t="inlineStr">
        <is>
          <t>TPM</t>
        </is>
      </c>
      <c r="D23" s="29" t="inlineStr">
        <is>
          <t>Fiscal / IRG</t>
        </is>
      </c>
      <c r="E23" s="29" t="inlineStr">
        <is>
          <t>G50 TPM d'avril à juillet identiques (mois imprimé « AVRIL », IRG 9 375 chaque mois) : juin sous-déclaré de 9 614,90 (18 989,90 retenus), juillet sur-déclaré de 5 683,70. Janvier–mars et août conformes.</t>
        </is>
      </c>
      <c r="F23" s="44">
        <f>-'G50 TPM 2026'!G15</f>
        <v/>
      </c>
      <c r="G23" s="29" t="inlineStr">
        <is>
          <t>Déposer une G50 rectificative pour juin (IRG retenu non reversé) et régulariser juillet.</t>
        </is>
      </c>
      <c r="H23" s="41" t="n"/>
      <c r="I23" s="41" t="inlineStr">
        <is>
          <t>Ouvert</t>
        </is>
      </c>
    </row>
    <row r="24" ht="52" customHeight="1">
      <c r="A24" s="4" t="inlineStr">
        <is>
          <t>A20</t>
        </is>
      </c>
      <c r="B24" s="45" t="n">
        <v>2</v>
      </c>
      <c r="C24" s="29" t="inlineStr">
        <is>
          <t>Les deux</t>
        </is>
      </c>
      <c r="D24" s="29" t="inlineStr">
        <is>
          <t>Comptabilité</t>
        </is>
      </c>
      <c r="E24" s="29" t="inlineStr">
        <is>
          <t>Écriture du 31/12/2025 « POUR SOLDE PRCT EXE 2025 » passée en sens inverse (D 44410 / C 444, 3 074 299) : dette IBS 9,79 M et acomptes 6,15 M au lieu d'un net de 3 642 951.</t>
        </is>
      </c>
      <c r="F24" s="44" t="n">
        <v>3074299</v>
      </c>
      <c r="G24" s="29" t="inlineStr">
        <is>
          <t>Contrepasser et compenser (D 444 / C 44410) ; vérifier le paiement du solde IBS 2025 en 2026.</t>
        </is>
      </c>
      <c r="H24" s="41" t="n"/>
      <c r="I24" s="41" t="inlineStr">
        <is>
          <t>Ouvert</t>
        </is>
      </c>
    </row>
    <row r="25" ht="52" customHeight="1">
      <c r="A25" s="4" t="inlineStr">
        <is>
          <t>A21</t>
        </is>
      </c>
      <c r="B25" s="45" t="n">
        <v>2</v>
      </c>
      <c r="C25" s="29" t="inlineStr">
        <is>
          <t>Les deux</t>
        </is>
      </c>
      <c r="D25" s="29" t="inlineStr">
        <is>
          <t>Fiscal / IBS</t>
        </is>
      </c>
      <c r="E25" s="29" t="inlineStr">
        <is>
          <t>Solde IBS 2024 réglé le 03/07/2025 ; IBS 2025 net à liquider de 3 642 951 (précomptes douane déduits).</t>
        </is>
      </c>
      <c r="F25" s="44" t="n">
        <v>3642951</v>
      </c>
      <c r="G25" s="29" t="inlineStr">
        <is>
          <t>Vérifier les dates d'échéance de liquidation, les pénalités éventuelles et la preuve de paiement 2026.</t>
        </is>
      </c>
      <c r="H25" s="41" t="n"/>
      <c r="I25" s="41" t="inlineStr">
        <is>
          <t>Ouvert</t>
        </is>
      </c>
    </row>
    <row r="26" ht="52" customHeight="1">
      <c r="A26" s="4" t="inlineStr">
        <is>
          <t>A22</t>
        </is>
      </c>
      <c r="B26" s="45" t="n">
        <v>2</v>
      </c>
      <c r="C26" s="29" t="inlineStr">
        <is>
          <t>Les deux</t>
        </is>
      </c>
      <c r="D26" s="29" t="inlineStr">
        <is>
          <t>Trésorerie</t>
        </is>
      </c>
      <c r="E26" s="29" t="inlineStr">
        <is>
          <t>Caisse de 12,1 M au 31/12/2025 (pic de 22,5 M) ; remboursement en espèces de 6 800 000 à SARL DPR AXXAM le 06/12/2025.</t>
        </is>
      </c>
      <c r="F26" s="44">
        <f>'Balance 2024-2025'!D67</f>
        <v/>
      </c>
      <c r="G26" s="29" t="inlineStr">
        <is>
          <t>PV de caisse au 31/12 ; respecter l'obligation de paiement scriptural au-delà des seuils réglementaires.</t>
        </is>
      </c>
      <c r="H26" s="41" t="n"/>
      <c r="I26" s="41" t="inlineStr">
        <is>
          <t>Ouvert</t>
        </is>
      </c>
    </row>
    <row r="27" ht="52" customHeight="1">
      <c r="A27" s="4" t="inlineStr">
        <is>
          <t>A23</t>
        </is>
      </c>
      <c r="B27" s="45" t="n">
        <v>2</v>
      </c>
      <c r="C27" s="29" t="inlineStr">
        <is>
          <t>Les deux</t>
        </is>
      </c>
      <c r="D27" s="29" t="inlineStr">
        <is>
          <t>Parties liées</t>
        </is>
      </c>
      <c r="E27" s="29" t="inlineStr">
        <is>
          <t>100 % du CA TPM 2025 (25,47 M) facturé à SARL DPR AXXAM BRIQUETERIE ; aucune facturation TPM d'oct. à déc. 2025 alors que du personnel TPM reste payé.</t>
        </is>
      </c>
      <c r="F27" s="44">
        <f>-'Balance 2024-2025'!D100</f>
        <v/>
      </c>
      <c r="G27" s="29" t="inlineStr">
        <is>
          <t>Documenter les conventions intra-groupe et la facturation d'oct.–déc. 2025.</t>
        </is>
      </c>
      <c r="H27" s="41" t="n"/>
      <c r="I27" s="41" t="inlineStr">
        <is>
          <t>Ouvert</t>
        </is>
      </c>
    </row>
    <row r="28" ht="52" customHeight="1">
      <c r="A28" s="4" t="inlineStr">
        <is>
          <t>A24</t>
        </is>
      </c>
      <c r="B28" s="45" t="n">
        <v>2</v>
      </c>
      <c r="C28" s="29" t="inlineStr">
        <is>
          <t>Les deux</t>
        </is>
      </c>
      <c r="D28" s="29" t="inlineStr">
        <is>
          <t>Comptabilité</t>
        </is>
      </c>
      <c r="E28" s="29" t="inlineStr">
        <is>
          <t>Compte d'attente 47000 non soldé (« SARL FAHAS ?? », « TRESORERIE BEJAIA ?? », chèques).</t>
        </is>
      </c>
      <c r="F28" s="44">
        <f>'Balance 2024-2025'!D59</f>
        <v/>
      </c>
      <c r="G28" s="29" t="inlineStr">
        <is>
          <t>Identifier et apurer avant clôture.</t>
        </is>
      </c>
      <c r="H28" s="41" t="n"/>
      <c r="I28" s="41" t="inlineStr">
        <is>
          <t>Ouvert</t>
        </is>
      </c>
    </row>
    <row r="29" ht="52" customHeight="1">
      <c r="A29" s="4" t="inlineStr">
        <is>
          <t>A25</t>
        </is>
      </c>
      <c r="B29" s="45" t="n">
        <v>2</v>
      </c>
      <c r="C29" s="29" t="inlineStr">
        <is>
          <t>Les deux</t>
        </is>
      </c>
      <c r="D29" s="29" t="inlineStr">
        <is>
          <t>CNAS</t>
        </is>
      </c>
      <c r="E29" s="29" t="inlineStr">
        <is>
          <t>Compte 63120 « prime imposable » non soumise à cotisation : 957 406 en 2025 et 1 139 275 en 2024 (même mécanisme que A03).</t>
        </is>
      </c>
      <c r="F29" s="44">
        <f>'États 2024-2025'!C24+'États 2024-2025'!D24</f>
        <v/>
      </c>
      <c r="G29" s="29" t="inlineStr">
        <is>
          <t>Analyser les primes concernées ; régulariser si elles sont cotisables.</t>
        </is>
      </c>
      <c r="H29" s="41" t="n"/>
      <c r="I29" s="41" t="inlineStr">
        <is>
          <t>Ouvert</t>
        </is>
      </c>
    </row>
    <row r="30" ht="52" customHeight="1">
      <c r="A30" s="4" t="inlineStr">
        <is>
          <t>A26</t>
        </is>
      </c>
      <c r="B30" s="47" t="n">
        <v>3</v>
      </c>
      <c r="C30" s="29" t="inlineStr">
        <is>
          <t>Les deux</t>
        </is>
      </c>
      <c r="D30" s="29" t="inlineStr">
        <is>
          <t>Trésorerie</t>
        </is>
      </c>
      <c r="E30" s="29" t="inlineStr">
        <is>
          <t>Banque CPA El Kseur (51220) créditrice de 12,43 M au 31/12/2025 : découvert présenté en banque.</t>
        </is>
      </c>
      <c r="F30" s="44">
        <f>ABS('Balance 2024-2025'!D63)</f>
        <v/>
      </c>
      <c r="G30" s="29" t="inlineStr">
        <is>
          <t>Reclasser en 519 ; vérifier les agios (aucune charge 661 en 2025).</t>
        </is>
      </c>
      <c r="H30" s="41" t="n"/>
      <c r="I30" s="41" t="inlineStr">
        <is>
          <t>Ouvert</t>
        </is>
      </c>
    </row>
    <row r="31" ht="52" customHeight="1">
      <c r="A31" s="4" t="inlineStr">
        <is>
          <t>A27</t>
        </is>
      </c>
      <c r="B31" s="47" t="n">
        <v>3</v>
      </c>
      <c r="C31" s="29" t="inlineStr">
        <is>
          <t>Les deux</t>
        </is>
      </c>
      <c r="D31" s="29" t="inlineStr">
        <is>
          <t>Fiscal / CNAS</t>
        </is>
      </c>
      <c r="E31" s="29" t="inlineStr">
        <is>
          <t>Reversements IRG 2025 parfois partiels (févr., juin) et rattrapés le mois suivant ; amendes 2025 : douane 100 000, CNAS 1 746.</t>
        </is>
      </c>
      <c r="F31" s="44">
        <f>'Balance 2024-2025'!D93</f>
        <v/>
      </c>
      <c r="G31" s="29" t="inlineStr">
        <is>
          <t>Reverser l'IRG en totalité chaque mois.</t>
        </is>
      </c>
      <c r="H31" s="41" t="n"/>
      <c r="I31" s="41" t="inlineStr">
        <is>
          <t>Ouvert</t>
        </is>
      </c>
    </row>
    <row r="32" ht="52" customHeight="1">
      <c r="A32" s="4" t="inlineStr">
        <is>
          <t>A28</t>
        </is>
      </c>
      <c r="B32" s="47" t="n">
        <v>3</v>
      </c>
      <c r="C32" s="29" t="inlineStr">
        <is>
          <t>IMPORT</t>
        </is>
      </c>
      <c r="D32" s="29" t="inlineStr">
        <is>
          <t>Fiscal</t>
        </is>
      </c>
      <c r="E32" s="29" t="inlineStr">
        <is>
          <t>Modèles G50 non mis à jour : dates de signature de 2021–2022 sur toutes les G50 2026, onglet de saisie figé (mai, TVA 17 %), G50 TPM contenant le récap TVA de déc. 2025 et un extrait de journal 2019 ; libellés de comptes de TVA à 17 %.</t>
        </is>
      </c>
      <c r="F32" s="46" t="n"/>
      <c r="G32" s="29" t="inlineStr">
        <is>
          <t>Mettre à jour le modèle et les libellés (TVA 19 %).</t>
        </is>
      </c>
      <c r="H32" s="41" t="n"/>
      <c r="I32" s="41" t="inlineStr">
        <is>
          <t>Ouvert</t>
        </is>
      </c>
    </row>
    <row r="33" ht="52" customHeight="1">
      <c r="A33" s="4" t="inlineStr">
        <is>
          <t>A29</t>
        </is>
      </c>
      <c r="B33" s="47" t="n">
        <v>3</v>
      </c>
      <c r="C33" s="29" t="inlineStr">
        <is>
          <t>Les deux</t>
        </is>
      </c>
      <c r="D33" s="29" t="inlineStr">
        <is>
          <t>Fiscal</t>
        </is>
      </c>
      <c r="E33" s="29" t="inlineStr">
        <is>
          <t>Taxe d'apprentissage payée deux fois en 2026 : février (87 828 IMPORT sur 8 782 828 + 9 851 TPM sur 985 118) et août (44 091 IMPORT sur 4 409 079 + 6 809 TPM sur 680 900).</t>
        </is>
      </c>
      <c r="F33" s="44">
        <f>'G50 2026'!J26+'G50 TPM 2026'!J17</f>
        <v/>
      </c>
      <c r="G33" s="29" t="inlineStr">
        <is>
          <t>Justifier les bases et la période couverte par chaque paiement (risque de double paiement).</t>
        </is>
      </c>
      <c r="H33" s="41" t="n"/>
      <c r="I33" s="41" t="inlineStr">
        <is>
          <t>Ouvert</t>
        </is>
      </c>
    </row>
    <row r="34" ht="52" customHeight="1">
      <c r="A34" s="4" t="inlineStr">
        <is>
          <t>A30</t>
        </is>
      </c>
      <c r="B34" s="47" t="n">
        <v>3</v>
      </c>
      <c r="C34" s="29" t="inlineStr">
        <is>
          <t>IMPORT</t>
        </is>
      </c>
      <c r="D34" s="29" t="inlineStr">
        <is>
          <t>Fiscal / TVA</t>
        </is>
      </c>
      <c r="E34" s="29" t="inlineStr">
        <is>
          <t>Droit de timbre : taux apparents incohérents (janv. 2,0 %, févr. 1,0 %, avr. 5,05 %, mai 1,79 %) ; même base en avril et mai ; aucun timbre en mars et de juin à août.</t>
        </is>
      </c>
      <c r="F34" s="44">
        <f>'G50 2026'!J24</f>
        <v/>
      </c>
      <c r="G34" s="29" t="inlineStr">
        <is>
          <t>Justifier la base (ventes en espèces) et le taux appliqué.</t>
        </is>
      </c>
      <c r="H34" s="41" t="n"/>
      <c r="I34" s="41" t="inlineStr">
        <is>
          <t>Ouvert</t>
        </is>
      </c>
    </row>
    <row r="35" ht="52" customHeight="1">
      <c r="A35" s="4" t="inlineStr">
        <is>
          <t>A32</t>
        </is>
      </c>
      <c r="B35" s="43" t="n">
        <v>1</v>
      </c>
      <c r="C35" s="29" t="inlineStr">
        <is>
          <t>Société</t>
        </is>
      </c>
      <c r="D35" s="29" t="inlineStr">
        <is>
          <t>Comptabilité</t>
        </is>
      </c>
      <c r="E35" s="29" t="inlineStr">
        <is>
          <t>Journal 2023 fourni provisoire : résultat 18,54 M contre 7,26 M repris en à-nouveau 2024 ; 38 comptes en écart avec les ouvertures 2024 (stocks, fournisseurs, banques, IBS, TVA).</t>
        </is>
      </c>
      <c r="F35" s="44">
        <f>'Contrôle 2023'!B6</f>
        <v/>
      </c>
      <c r="G35" s="29" t="inlineStr">
        <is>
          <t>Obtenir le journal 2023 définitif et la liasse fiscale 2023 ; documenter les écritures de clôture.</t>
        </is>
      </c>
      <c r="H35" s="41" t="n"/>
      <c r="I35" s="41" t="inlineStr">
        <is>
          <t>Ouvert</t>
        </is>
      </c>
    </row>
    <row r="36" ht="52" customHeight="1">
      <c r="A36" s="4" t="inlineStr">
        <is>
          <t>A33</t>
        </is>
      </c>
      <c r="B36" s="43" t="n">
        <v>1</v>
      </c>
      <c r="C36" s="29" t="inlineStr">
        <is>
          <t>Société</t>
        </is>
      </c>
      <c r="D36" s="29" t="inlineStr">
        <is>
          <t>Clients / parties liées</t>
        </is>
      </c>
      <c r="E36" s="29" t="inlineStr">
        <is>
          <t>Créance SARL DPR AXXAM BRIQUETERIE : 371,0 M au 31/12/2025 (96 % du poste clients), en hausse continue depuis 2023 (277,7 M) ; 2023–2025 : 115,7 M facturés, 26,2 M encaissés (23 %).</t>
        </is>
      </c>
      <c r="F36" s="44">
        <f>'Démarrage 2026'!E8</f>
        <v/>
      </c>
      <c r="G36" s="29" t="inlineStr">
        <is>
          <t>Convention, reconnaissance de dette et échéancier ; confirmation de solde ; évaluer la dépréciation (Démarrage 2026, R7).</t>
        </is>
      </c>
      <c r="H36" s="41" t="n"/>
      <c r="I36" s="41" t="inlineStr">
        <is>
          <t>Ouvert</t>
        </is>
      </c>
    </row>
    <row r="37" ht="52" customHeight="1">
      <c r="A37" s="4" t="inlineStr">
        <is>
          <t>A34</t>
        </is>
      </c>
      <c r="B37" s="43" t="n">
        <v>1</v>
      </c>
      <c r="C37" s="29" t="inlineStr">
        <is>
          <t>Société</t>
        </is>
      </c>
      <c r="D37" s="29" t="inlineStr">
        <is>
          <t>Clients / fiscal</t>
        </is>
      </c>
      <c r="E37" s="29" t="inlineStr">
        <is>
          <t>Avances clients (419) dormantes : 229,4 M sur 144 clients, inchangées depuis au moins le 01/01/2023 (hors associés et clients à compenser). Soit livraisons non facturées (CA et TVA non déclarés), soit dettes à rembourser.</t>
        </is>
      </c>
      <c r="F37" s="44">
        <f>'Démarrage 2026'!E35</f>
        <v/>
      </c>
      <c r="G37" s="29" t="inlineStr">
        <is>
          <t>Dossier par client ; facturer ou rembourser (R4 / R5) ; ne pas reprendre ces soldes tels quels en 2026.</t>
        </is>
      </c>
      <c r="H37" s="41" t="n"/>
      <c r="I37" s="41" t="inlineStr">
        <is>
          <t>Ouvert</t>
        </is>
      </c>
    </row>
    <row r="38" ht="52" customHeight="1">
      <c r="A38" s="4" t="inlineStr">
        <is>
          <t>A35</t>
        </is>
      </c>
      <c r="B38" s="43" t="n">
        <v>1</v>
      </c>
      <c r="C38" s="29" t="inlineStr">
        <is>
          <t>Société</t>
        </is>
      </c>
      <c r="D38" s="29" t="inlineStr">
        <is>
          <t>Trésorerie / parties liées</t>
        </is>
      </c>
      <c r="E38" s="29" t="inlineStr">
        <is>
          <t>SARL DPR AXXAM : 62,5 M versés en 2025 (dont 45,35 M d'avances 409 sans facture) et 6,8 M remboursés en espèces, alors que la briqueterie du même groupe ne paie pas.</t>
        </is>
      </c>
      <c r="F38" s="44">
        <f>'Démarrage 2026'!B21</f>
        <v/>
      </c>
      <c r="G38" s="29" t="inlineStr">
        <is>
          <t>Justifier chaque avance (contrat, facture) ; stopper les avances sans convention.</t>
        </is>
      </c>
      <c r="H38" s="41" t="n"/>
      <c r="I38" s="41" t="inlineStr">
        <is>
          <t>Ouvert</t>
        </is>
      </c>
    </row>
    <row r="39" ht="52" customHeight="1">
      <c r="A39" s="4" t="inlineStr">
        <is>
          <t>A36</t>
        </is>
      </c>
      <c r="B39" s="45" t="n">
        <v>2</v>
      </c>
      <c r="C39" s="29" t="inlineStr">
        <is>
          <t>Société</t>
        </is>
      </c>
      <c r="D39" s="29" t="inlineStr">
        <is>
          <t>Associés</t>
        </is>
      </c>
      <c r="E39" s="29" t="inlineStr">
        <is>
          <t>Associés (famille DJENNADI) logés en comptes clients / fournisseurs : soldes créditeurs en 411, 419 et 401.</t>
        </is>
      </c>
      <c r="F39" s="44">
        <f>'Démarrage 2026'!E26</f>
        <v/>
      </c>
      <c r="G39" s="29" t="inlineStr">
        <is>
          <t>Reclasser en 455 / 457 après attestation (R1).</t>
        </is>
      </c>
      <c r="H39" s="41" t="n"/>
      <c r="I39" s="41" t="inlineStr">
        <is>
          <t>Ouvert</t>
        </is>
      </c>
    </row>
    <row r="40" ht="52" customHeight="1">
      <c r="A40" s="4" t="inlineStr">
        <is>
          <t>A31</t>
        </is>
      </c>
      <c r="B40" s="47" t="n">
        <v>3</v>
      </c>
      <c r="C40" s="29" t="inlineStr">
        <is>
          <t>Les deux</t>
        </is>
      </c>
      <c r="D40" s="29" t="inlineStr">
        <is>
          <t>Comptabilité</t>
        </is>
      </c>
      <c r="E40" s="29" t="inlineStr">
        <is>
          <t>Clients débiteurs 387,1 M et avances clients 314,6 M ; fournisseurs débiteurs 46,2 M au 31/12/2025.</t>
        </is>
      </c>
      <c r="F40" s="46" t="n"/>
      <c r="G40" s="29" t="inlineStr">
        <is>
          <t>Lettrer les comptes clients/fournisseurs et compenser les avances soldées.</t>
        </is>
      </c>
      <c r="H40" s="41" t="n"/>
      <c r="I40" s="41" t="inlineStr">
        <is>
          <t>Ouvert</t>
        </is>
      </c>
    </row>
    <row r="42">
      <c r="A42" s="2" t="inlineStr">
        <is>
          <t>Impact : A01 = cotisations calculées de février ; A02 = cotisations de mars déclarées sans justificatif ; A03 = cotisations sur ponctualité ; A07 = cotisations T3 partielles (juil–août) ; A09 = frais de mission TPM cumulés ; A11 = cotisations déclarées sans preuve de paiement ; A12 = IRG cumulé à rapprocher.</t>
        </is>
      </c>
    </row>
  </sheetData>
  <autoFilter ref="A4:I40"/>
  <pageMargins left="0.75" right="0.75" top="1" bottom="1" header="0.5" footer="0.5"/>
  <pageSetup orientation="landscape" fitToHeight="0"/>
</worksheet>
</file>

<file path=xl/worksheets/sheet17.xml><?xml version="1.0" encoding="utf-8"?>
<worksheet xmlns="http://schemas.openxmlformats.org/spreadsheetml/2006/main">
  <sheetPr>
    <outlinePr summaryBelow="1" summaryRight="1"/>
    <pageSetUpPr fitToPage="1"/>
  </sheetPr>
  <dimension ref="A1:F37"/>
  <sheetViews>
    <sheetView showGridLines="0" workbookViewId="0">
      <selection activeCell="A1" sqref="A1"/>
    </sheetView>
  </sheetViews>
  <sheetFormatPr baseColWidth="8" defaultRowHeight="15"/>
  <cols>
    <col width="5" customWidth="1" min="1" max="1"/>
    <col width="52" customWidth="1" min="2" max="2"/>
    <col width="12" customWidth="1" min="3" max="3"/>
    <col width="16" customWidth="1" min="4" max="4"/>
    <col width="12" customWidth="1" min="5" max="5"/>
    <col width="50" customWidth="1" min="6" max="6"/>
  </cols>
  <sheetData>
    <row r="1">
      <c r="A1" s="1" t="inlineStr">
        <is>
          <t>Inventaire des pièces du dossier</t>
        </is>
      </c>
    </row>
    <row r="2">
      <c r="A2" s="2" t="inlineStr">
        <is>
          <t>Reçues = transmises pour ce dossier ; Manquantes = à réclamer.</t>
        </is>
      </c>
    </row>
    <row r="4">
      <c r="A4" s="11" t="inlineStr">
        <is>
          <t>N°</t>
        </is>
      </c>
      <c r="B4" s="11" t="inlineStr">
        <is>
          <t>Pièce</t>
        </is>
      </c>
      <c r="C4" s="11" t="inlineStr">
        <is>
          <t>Établissement</t>
        </is>
      </c>
      <c r="D4" s="11" t="inlineStr">
        <is>
          <t>Période</t>
        </is>
      </c>
      <c r="E4" s="11" t="inlineStr">
        <is>
          <t>Statut</t>
        </is>
      </c>
      <c r="F4" s="11" t="inlineStr">
        <is>
          <t>Remarque</t>
        </is>
      </c>
    </row>
    <row r="5">
      <c r="A5" s="12" t="n">
        <v>1</v>
      </c>
      <c r="B5" s="12" t="inlineStr">
        <is>
          <t>PAIE_2026_DPR_COMPANY_IMPORT.xlsx — centralisateurs</t>
        </is>
      </c>
      <c r="C5" s="12" t="inlineStr">
        <is>
          <t>IMPORT</t>
        </is>
      </c>
      <c r="D5" s="12" t="inlineStr">
        <is>
          <t>Janv–août 2026</t>
        </is>
      </c>
      <c r="E5" s="48" t="inlineStr">
        <is>
          <t>Reçue</t>
        </is>
      </c>
      <c r="F5" s="12" t="inlineStr">
        <is>
          <t>Onglet mars vide</t>
        </is>
      </c>
    </row>
    <row r="6">
      <c r="A6" s="12" t="n">
        <v>2</v>
      </c>
      <c r="B6" s="12" t="inlineStr">
        <is>
          <t>PAIE_2026_DPR_COMPANY_TPM.xlsx — centralisateurs</t>
        </is>
      </c>
      <c r="C6" s="12" t="inlineStr">
        <is>
          <t>TPM</t>
        </is>
      </c>
      <c r="D6" s="12" t="inlineStr">
        <is>
          <t>Janv–août 2026</t>
        </is>
      </c>
      <c r="E6" s="48" t="inlineStr">
        <is>
          <t>Reçue</t>
        </is>
      </c>
      <c r="F6" s="12" t="inlineStr"/>
    </row>
    <row r="7">
      <c r="A7" s="12" t="n">
        <v>3</v>
      </c>
      <c r="B7" s="12" t="inlineStr">
        <is>
          <t>CNAS_SARL_DPR_COMPANY_IMP_012026.pdf</t>
        </is>
      </c>
      <c r="C7" s="12" t="inlineStr">
        <is>
          <t>IMPORT</t>
        </is>
      </c>
      <c r="D7" s="12" t="inlineStr">
        <is>
          <t>Janvier 2026</t>
        </is>
      </c>
      <c r="E7" s="48" t="inlineStr">
        <is>
          <t>Reçue</t>
        </is>
      </c>
      <c r="F7" s="12" t="inlineStr">
        <is>
          <t>Déposée 28/02/2026</t>
        </is>
      </c>
    </row>
    <row r="8">
      <c r="A8" s="12" t="n">
        <v>4</v>
      </c>
      <c r="B8" s="12" t="inlineStr">
        <is>
          <t>CNAS_SARL_DPR_COMPANY_IMP_032026.pdf</t>
        </is>
      </c>
      <c r="C8" s="12" t="inlineStr">
        <is>
          <t>IMPORT</t>
        </is>
      </c>
      <c r="D8" s="12" t="inlineStr">
        <is>
          <t>Mars 2026</t>
        </is>
      </c>
      <c r="E8" s="48" t="inlineStr">
        <is>
          <t>Reçue</t>
        </is>
      </c>
      <c r="F8" s="12" t="inlineStr">
        <is>
          <t>Déposée 28/04/2026</t>
        </is>
      </c>
    </row>
    <row r="9">
      <c r="A9" s="12" t="n">
        <v>5</v>
      </c>
      <c r="B9" s="12" t="inlineStr">
        <is>
          <t>CNAS_T2_2026_SARL_DPR_COMPANY_IMPORT.pdf</t>
        </is>
      </c>
      <c r="C9" s="12" t="inlineStr">
        <is>
          <t>IMPORT</t>
        </is>
      </c>
      <c r="D9" s="12" t="inlineStr">
        <is>
          <t>T2 2026</t>
        </is>
      </c>
      <c r="E9" s="48" t="inlineStr">
        <is>
          <t>Reçue</t>
        </is>
      </c>
      <c r="F9" s="12" t="inlineStr">
        <is>
          <t>Déposée 06/07/2026</t>
        </is>
      </c>
    </row>
    <row r="10">
      <c r="A10" s="12" t="n">
        <v>6</v>
      </c>
      <c r="B10" s="12" t="inlineStr">
        <is>
          <t>CNAS_SARL_DPR_COMPANY_TPM_T1.pdf</t>
        </is>
      </c>
      <c r="C10" s="12" t="inlineStr">
        <is>
          <t>TPM</t>
        </is>
      </c>
      <c r="D10" s="12" t="inlineStr">
        <is>
          <t>T1 2026</t>
        </is>
      </c>
      <c r="E10" s="48" t="inlineStr">
        <is>
          <t>Reçue</t>
        </is>
      </c>
      <c r="F10" s="12" t="inlineStr">
        <is>
          <t>Déposée 28/04/2026 (reçue en double, fichiers identiques)</t>
        </is>
      </c>
    </row>
    <row r="11">
      <c r="A11" s="12" t="n">
        <v>7</v>
      </c>
      <c r="B11" s="12" t="inlineStr">
        <is>
          <t>CNAS_SARL_DPR_COMPANY_TPM_T2.pdf</t>
        </is>
      </c>
      <c r="C11" s="12" t="inlineStr">
        <is>
          <t>TPM</t>
        </is>
      </c>
      <c r="D11" s="12" t="inlineStr">
        <is>
          <t>T2 2026</t>
        </is>
      </c>
      <c r="E11" s="48" t="inlineStr">
        <is>
          <t>Reçue</t>
        </is>
      </c>
      <c r="F11" s="12" t="inlineStr">
        <is>
          <t>Déposée 23/07/2026 ; EMS : 1 sortie</t>
        </is>
      </c>
    </row>
    <row r="12">
      <c r="A12" s="12" t="n">
        <v>8</v>
      </c>
      <c r="B12" s="12" t="inlineStr">
        <is>
          <t>Déclaration CNAS + EMS février 2026</t>
        </is>
      </c>
      <c r="C12" s="12" t="inlineStr">
        <is>
          <t>IMPORT</t>
        </is>
      </c>
      <c r="D12" s="12" t="inlineStr">
        <is>
          <t>Février 2026</t>
        </is>
      </c>
      <c r="E12" s="40" t="inlineStr">
        <is>
          <t>Manquante</t>
        </is>
      </c>
      <c r="F12" s="12" t="inlineStr">
        <is>
          <t>7 sorties attendues</t>
        </is>
      </c>
    </row>
    <row r="13">
      <c r="A13" s="12" t="n">
        <v>9</v>
      </c>
      <c r="B13" s="12" t="inlineStr">
        <is>
          <t>Centralisateur / livre de paie mars 2026</t>
        </is>
      </c>
      <c r="C13" s="12" t="inlineStr">
        <is>
          <t>IMPORT</t>
        </is>
      </c>
      <c r="D13" s="12" t="inlineStr">
        <is>
          <t>Mars 2026</t>
        </is>
      </c>
      <c r="E13" s="40" t="inlineStr">
        <is>
          <t>Manquante</t>
        </is>
      </c>
      <c r="F13" s="12" t="inlineStr"/>
    </row>
    <row r="14">
      <c r="A14" s="12" t="n">
        <v>10</v>
      </c>
      <c r="B14" s="12" t="inlineStr">
        <is>
          <t>Centralisateurs septembre 2026</t>
        </is>
      </c>
      <c r="C14" s="12" t="inlineStr">
        <is>
          <t>Les deux</t>
        </is>
      </c>
      <c r="D14" s="12" t="inlineStr">
        <is>
          <t>Septembre 2026</t>
        </is>
      </c>
      <c r="E14" s="40" t="inlineStr">
        <is>
          <t>Manquante</t>
        </is>
      </c>
      <c r="F14" s="12" t="inlineStr">
        <is>
          <t>Nécessaires pour le T3</t>
        </is>
      </c>
    </row>
    <row r="15">
      <c r="A15" s="12" t="n">
        <v>11</v>
      </c>
      <c r="B15" s="12" t="inlineStr">
        <is>
          <t>Déclarations CNAS T3 2026</t>
        </is>
      </c>
      <c r="C15" s="12" t="inlineStr">
        <is>
          <t>Les deux</t>
        </is>
      </c>
      <c r="D15" s="12" t="inlineStr">
        <is>
          <t>T3 2026</t>
        </is>
      </c>
      <c r="E15" s="40" t="inlineStr">
        <is>
          <t>Manquante</t>
        </is>
      </c>
      <c r="F15" s="12" t="inlineStr">
        <is>
          <t>Échéance 30/10/2026</t>
        </is>
      </c>
    </row>
    <row r="16">
      <c r="A16" s="12" t="n">
        <v>12</v>
      </c>
      <c r="B16" s="12" t="inlineStr">
        <is>
          <t>Quittances / preuves de paiement CNAS</t>
        </is>
      </c>
      <c r="C16" s="12" t="inlineStr">
        <is>
          <t>Les deux</t>
        </is>
      </c>
      <c r="D16" s="12" t="inlineStr">
        <is>
          <t>2026</t>
        </is>
      </c>
      <c r="E16" s="40" t="inlineStr">
        <is>
          <t>Manquante</t>
        </is>
      </c>
      <c r="F16" s="12" t="inlineStr">
        <is>
          <t>Bordereaux à 0,00</t>
        </is>
      </c>
    </row>
    <row r="17">
      <c r="A17" s="12" t="n">
        <v>13</v>
      </c>
      <c r="B17" s="12" t="inlineStr">
        <is>
          <t>G50_ARL_DPR_COMPANY_IMPORT_06-2026.xls</t>
        </is>
      </c>
      <c r="C17" s="12" t="inlineStr">
        <is>
          <t>IMPORT</t>
        </is>
      </c>
      <c r="D17" s="12" t="inlineStr">
        <is>
          <t>Juin 2026</t>
        </is>
      </c>
      <c r="E17" s="48" t="inlineStr">
        <is>
          <t>Reçue</t>
        </is>
      </c>
      <c r="F17" s="12" t="inlineStr">
        <is>
          <t>TVA, IRG, précompte 178 353</t>
        </is>
      </c>
    </row>
    <row r="18">
      <c r="A18" s="12" t="n">
        <v>14</v>
      </c>
      <c r="B18" s="12" t="inlineStr">
        <is>
          <t>G50_ARL_DPR_COMPANY_IMPORT_08-2026_.xls</t>
        </is>
      </c>
      <c r="C18" s="12" t="inlineStr">
        <is>
          <t>IMPORT</t>
        </is>
      </c>
      <c r="D18" s="12" t="inlineStr">
        <is>
          <t>Août 2026</t>
        </is>
      </c>
      <c r="E18" s="48" t="inlineStr">
        <is>
          <t>Reçue</t>
        </is>
      </c>
      <c r="F18" s="12" t="inlineStr">
        <is>
          <t>TVA 838 600, IRG 49 670, TA 44 091</t>
        </is>
      </c>
    </row>
    <row r="19">
      <c r="A19" s="12" t="n">
        <v>15</v>
      </c>
      <c r="B19" s="12" t="inlineStr">
        <is>
          <t>SARL_DPR_COMPAGNY_2024.xls — journal comptable PCCOMPTA</t>
        </is>
      </c>
      <c r="C19" s="12" t="inlineStr">
        <is>
          <t>Société</t>
        </is>
      </c>
      <c r="D19" s="12" t="inlineStr">
        <is>
          <t>Exercice 2024</t>
        </is>
      </c>
      <c r="E19" s="48" t="inlineStr">
        <is>
          <t>Reçue</t>
        </is>
      </c>
      <c r="F19" s="12" t="inlineStr">
        <is>
          <t>6 861 lignes, équilibré</t>
        </is>
      </c>
    </row>
    <row r="20">
      <c r="A20" s="12" t="n">
        <v>16</v>
      </c>
      <c r="B20" s="12" t="inlineStr">
        <is>
          <t>SARL_DPR_COMPAGNY_2025.xls — journal comptable PCCOMPTA</t>
        </is>
      </c>
      <c r="C20" s="12" t="inlineStr">
        <is>
          <t>Société</t>
        </is>
      </c>
      <c r="D20" s="12" t="inlineStr">
        <is>
          <t>Exercice 2025</t>
        </is>
      </c>
      <c r="E20" s="48" t="inlineStr">
        <is>
          <t>Reçue</t>
        </is>
      </c>
      <c r="F20" s="12" t="inlineStr">
        <is>
          <t>5 774 lignes, équilibré</t>
        </is>
      </c>
    </row>
    <row r="21">
      <c r="A21" s="12" t="n">
        <v>17</v>
      </c>
      <c r="B21" s="12" t="inlineStr">
        <is>
          <t>G50_ARL_DPR_COMPANY_IMPORT_03/04/05/07-2026.xls</t>
        </is>
      </c>
      <c r="C21" s="12" t="inlineStr">
        <is>
          <t>IMPORT</t>
        </is>
      </c>
      <c r="D21" s="12" t="inlineStr">
        <is>
          <t>Mars, avril, mai, juillet 2026</t>
        </is>
      </c>
      <c r="E21" s="48" t="inlineStr">
        <is>
          <t>Reçue</t>
        </is>
      </c>
      <c r="F21" s="12" t="inlineStr">
        <is>
          <t>Série mars–août complète</t>
        </is>
      </c>
    </row>
    <row r="22">
      <c r="A22" s="12" t="n">
        <v>18</v>
      </c>
      <c r="B22" s="12" t="inlineStr">
        <is>
          <t>G50_ARL_DPR_COMPANY_IMPORT_01/02-2026.xls</t>
        </is>
      </c>
      <c r="C22" s="12" t="inlineStr">
        <is>
          <t>IMPORT</t>
        </is>
      </c>
      <c r="D22" s="12" t="inlineStr">
        <is>
          <t>Janvier, février 2026</t>
        </is>
      </c>
      <c r="E22" s="48" t="inlineStr">
        <is>
          <t>Reçue</t>
        </is>
      </c>
      <c r="F22" s="12" t="inlineStr">
        <is>
          <t>Série janv.–août complète</t>
        </is>
      </c>
    </row>
    <row r="23">
      <c r="A23" s="12" t="n">
        <v>19</v>
      </c>
      <c r="B23" s="12" t="inlineStr">
        <is>
          <t>G50_07/08-2026_TPM_ET_LOCATION_CONSOLIDE.xls</t>
        </is>
      </c>
      <c r="C23" s="12" t="inlineStr">
        <is>
          <t>TPM</t>
        </is>
      </c>
      <c r="D23" s="12" t="inlineStr">
        <is>
          <t>Juillet, août 2026</t>
        </is>
      </c>
      <c r="E23" s="48" t="inlineStr">
        <is>
          <t>Reçue</t>
        </is>
      </c>
      <c r="F23" s="12" t="inlineStr">
        <is>
          <t>Juillet : mois imprimé AVRIL</t>
        </is>
      </c>
    </row>
    <row r="24">
      <c r="A24" s="12" t="n">
        <v>20</v>
      </c>
      <c r="B24" s="12" t="inlineStr">
        <is>
          <t>G50_04/05/06-2026_TPM_ET_LOCATION_CONSOLIDE.xls</t>
        </is>
      </c>
      <c r="C24" s="12" t="inlineStr">
        <is>
          <t>TPM</t>
        </is>
      </c>
      <c r="D24" s="12" t="inlineStr">
        <is>
          <t>Avril, mai, juin 2026</t>
        </is>
      </c>
      <c r="E24" s="48" t="inlineStr">
        <is>
          <t>Reçue</t>
        </is>
      </c>
      <c r="F24" s="12" t="inlineStr">
        <is>
          <t>Identiques entre elles (mois AVRIL)</t>
        </is>
      </c>
    </row>
    <row r="25">
      <c r="A25" s="12" t="n">
        <v>21</v>
      </c>
      <c r="B25" s="12" t="inlineStr">
        <is>
          <t>DLG_COMPTAZ_SARL_DPR_COMPAGNY_2023.xls — journal 2023</t>
        </is>
      </c>
      <c r="C25" s="12" t="inlineStr">
        <is>
          <t>Société</t>
        </is>
      </c>
      <c r="D25" s="12" t="inlineStr">
        <is>
          <t>Exercice 2023</t>
        </is>
      </c>
      <c r="E25" s="48" t="inlineStr">
        <is>
          <t>Reçue</t>
        </is>
      </c>
      <c r="F25" s="12" t="inlineStr">
        <is>
          <t>Version provisoire (voir A32)</t>
        </is>
      </c>
    </row>
    <row r="26">
      <c r="A26" s="12" t="n">
        <v>22</v>
      </c>
      <c r="B26" s="12" t="inlineStr">
        <is>
          <t>G50_01/02/03-2026_TPM_ET_LOCATION_CONSOLIDE.xls</t>
        </is>
      </c>
      <c r="C26" s="12" t="inlineStr">
        <is>
          <t>TPM</t>
        </is>
      </c>
      <c r="D26" s="12" t="inlineStr">
        <is>
          <t>Janvier, février, mars 2026</t>
        </is>
      </c>
      <c r="E26" s="48" t="inlineStr">
        <is>
          <t>Reçue</t>
        </is>
      </c>
      <c r="F26" s="12" t="inlineStr">
        <is>
          <t>Conformes à la paie</t>
        </is>
      </c>
    </row>
    <row r="27">
      <c r="A27" s="12" t="n">
        <v>23</v>
      </c>
      <c r="B27" s="12" t="inlineStr">
        <is>
          <t>Journal 2023 définitif et liasse fiscale 2023</t>
        </is>
      </c>
      <c r="C27" s="12" t="inlineStr">
        <is>
          <t>Société</t>
        </is>
      </c>
      <c r="D27" s="12" t="inlineStr">
        <is>
          <t>2023</t>
        </is>
      </c>
      <c r="E27" s="40" t="inlineStr">
        <is>
          <t>Manquante</t>
        </is>
      </c>
      <c r="F27" s="12" t="inlineStr">
        <is>
          <t>Voir A32</t>
        </is>
      </c>
    </row>
    <row r="28">
      <c r="A28" s="12" t="n">
        <v>24</v>
      </c>
      <c r="B28" s="12" t="inlineStr">
        <is>
          <t>G50 IMPORT et TPM septembre 2026</t>
        </is>
      </c>
      <c r="C28" s="12" t="inlineStr">
        <is>
          <t>Les deux</t>
        </is>
      </c>
      <c r="D28" s="12" t="inlineStr">
        <is>
          <t>Sept. 2026</t>
        </is>
      </c>
      <c r="E28" s="40" t="inlineStr">
        <is>
          <t>Manquante</t>
        </is>
      </c>
      <c r="F28" s="12" t="inlineStr">
        <is>
          <t>Échéance 20/10/2026</t>
        </is>
      </c>
    </row>
    <row r="29">
      <c r="A29" s="12" t="n">
        <v>25</v>
      </c>
      <c r="B29" s="12" t="inlineStr">
        <is>
          <t>Journal des ventes / factures 2026</t>
        </is>
      </c>
      <c r="C29" s="12" t="inlineStr">
        <is>
          <t>IMPORT</t>
        </is>
      </c>
      <c r="D29" s="12" t="inlineStr">
        <is>
          <t>2026</t>
        </is>
      </c>
      <c r="E29" s="40" t="inlineStr">
        <is>
          <t>Manquante</t>
        </is>
      </c>
      <c r="F29" s="12" t="inlineStr">
        <is>
          <t>Voir A18 : CA réel par mois</t>
        </is>
      </c>
    </row>
    <row r="30">
      <c r="A30" s="12" t="n">
        <v>26</v>
      </c>
      <c r="B30" s="12" t="inlineStr">
        <is>
          <t>G50 TPM 2023–2025 (rapprochement TVA collectée TPM)</t>
        </is>
      </c>
      <c r="C30" s="12" t="inlineStr">
        <is>
          <t>TPM</t>
        </is>
      </c>
      <c r="D30" s="12" t="inlineStr">
        <is>
          <t>2023–2025</t>
        </is>
      </c>
      <c r="E30" s="40" t="inlineStr">
        <is>
          <t>Manquante</t>
        </is>
      </c>
      <c r="F30" s="12" t="inlineStr">
        <is>
          <t>Voir A17</t>
        </is>
      </c>
    </row>
    <row r="31">
      <c r="A31" s="12" t="n">
        <v>27</v>
      </c>
      <c r="B31" s="12" t="inlineStr">
        <is>
          <t>Journal comptable 2026 (PCCOMPTA)</t>
        </is>
      </c>
      <c r="C31" s="12" t="inlineStr">
        <is>
          <t>Société</t>
        </is>
      </c>
      <c r="D31" s="12" t="inlineStr">
        <is>
          <t>2026</t>
        </is>
      </c>
      <c r="E31" s="40" t="inlineStr">
        <is>
          <t>Manquante</t>
        </is>
      </c>
      <c r="F31" s="12" t="inlineStr">
        <is>
          <t>Pour rapprocher paie et G50 avec la comptabilité</t>
        </is>
      </c>
    </row>
    <row r="32">
      <c r="A32" s="12" t="n">
        <v>28</v>
      </c>
      <c r="B32" s="12" t="inlineStr">
        <is>
          <t>Liasse fiscale / bilan 2025 déposé et preuve de paiement IBS</t>
        </is>
      </c>
      <c r="C32" s="12" t="inlineStr">
        <is>
          <t>Société</t>
        </is>
      </c>
      <c r="D32" s="12" t="inlineStr">
        <is>
          <t>2025</t>
        </is>
      </c>
      <c r="E32" s="40" t="inlineStr">
        <is>
          <t>Manquante</t>
        </is>
      </c>
      <c r="F32" s="12" t="inlineStr">
        <is>
          <t>Voir A20, A21</t>
        </is>
      </c>
    </row>
    <row r="33">
      <c r="A33" s="12" t="n">
        <v>29</v>
      </c>
      <c r="B33" s="12" t="inlineStr">
        <is>
          <t>PV de caisse au 31/12/2025</t>
        </is>
      </c>
      <c r="C33" s="12" t="inlineStr">
        <is>
          <t>Société</t>
        </is>
      </c>
      <c r="D33" s="12" t="inlineStr">
        <is>
          <t>2025</t>
        </is>
      </c>
      <c r="E33" s="40" t="inlineStr">
        <is>
          <t>Manquante</t>
        </is>
      </c>
      <c r="F33" s="12" t="inlineStr">
        <is>
          <t>Voir A22</t>
        </is>
      </c>
    </row>
    <row r="34">
      <c r="A34" s="12" t="n">
        <v>30</v>
      </c>
      <c r="B34" s="12" t="inlineStr">
        <is>
          <t>Déclarations et paiements CACOBATPH</t>
        </is>
      </c>
      <c r="C34" s="12" t="inlineStr">
        <is>
          <t>Les deux</t>
        </is>
      </c>
      <c r="D34" s="12" t="inlineStr">
        <is>
          <t>2026</t>
        </is>
      </c>
      <c r="E34" s="40" t="inlineStr">
        <is>
          <t>Manquante</t>
        </is>
      </c>
      <c r="F34" s="12" t="inlineStr"/>
    </row>
    <row r="35">
      <c r="A35" s="12" t="n">
        <v>31</v>
      </c>
      <c r="B35" s="12" t="inlineStr">
        <is>
          <t>Livre de paie individuel / bulletins</t>
        </is>
      </c>
      <c r="C35" s="12" t="inlineStr">
        <is>
          <t>Les deux</t>
        </is>
      </c>
      <c r="D35" s="12" t="inlineStr">
        <is>
          <t>2026</t>
        </is>
      </c>
      <c r="E35" s="40" t="inlineStr">
        <is>
          <t>Manquante</t>
        </is>
      </c>
      <c r="F35" s="12" t="inlineStr">
        <is>
          <t>Pour contrôle IRG</t>
        </is>
      </c>
    </row>
    <row r="36">
      <c r="A36" s="12" t="n">
        <v>32</v>
      </c>
      <c r="B36" s="12" t="inlineStr">
        <is>
          <t>Ordres de mission et justificatifs de frais</t>
        </is>
      </c>
      <c r="C36" s="12" t="inlineStr">
        <is>
          <t>TPM</t>
        </is>
      </c>
      <c r="D36" s="12" t="inlineStr">
        <is>
          <t>2026</t>
        </is>
      </c>
      <c r="E36" s="40" t="inlineStr">
        <is>
          <t>Manquante</t>
        </is>
      </c>
      <c r="F36" s="12" t="inlineStr">
        <is>
          <t>Frais de mission élevés</t>
        </is>
      </c>
    </row>
    <row r="37">
      <c r="A37" s="12" t="n">
        <v>33</v>
      </c>
      <c r="B37" s="12" t="inlineStr">
        <is>
          <t>Relevés bancaires — virements de salaires</t>
        </is>
      </c>
      <c r="C37" s="12" t="inlineStr">
        <is>
          <t>Les deux</t>
        </is>
      </c>
      <c r="D37" s="12" t="inlineStr">
        <is>
          <t>2026</t>
        </is>
      </c>
      <c r="E37" s="40" t="inlineStr">
        <is>
          <t>Manquante</t>
        </is>
      </c>
      <c r="F37" s="12" t="inlineStr">
        <is>
          <t>Pour lettrage du 421</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2026-10-01T22:54:12Z</dcterms:created>
  <dcterms:modified xsi:type="dcterms:W3CDTF">2026-10-01T22:54:14Z</dcterms:modified>
</cp:coreProperties>
</file>