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Anomalies &amp; actions" sheetId="9" state="visible" r:id="rId9"/>
    <sheet name="Pièces" sheetId="10" state="visible" r:id="rId10"/>
  </sheets>
  <definedNames>
    <definedName name="_xlnm._FilterDatabase" localSheetId="5" hidden="1">'Journal paie'!$A$4:$G$140</definedName>
    <definedName name="_xlnm._FilterDatabase" localSheetId="8" hidden="1">'Anomalies &amp; actions'!$A$4:$I$20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3" borderId="1" pivotButton="0" quotePrefix="0" xfId="0"/>
    <xf numFmtId="0" fontId="2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actions'!B5:B20,1)</f>
        <v/>
      </c>
      <c r="C24" s="13">
        <f>COUNTIFS('Anomalies &amp; actions'!B5:B20,1,'Anomalies &amp; actions'!I5:I20,"Ouvert")</f>
        <v/>
      </c>
    </row>
    <row r="25">
      <c r="A25" s="15" t="inlineStr">
        <is>
          <t>2 — À corriger</t>
        </is>
      </c>
      <c r="B25" s="13">
        <f>COUNTIF('Anomalies &amp; actions'!B5:B20,2)</f>
        <v/>
      </c>
      <c r="C25" s="13">
        <f>COUNTIFS('Anomalies &amp; actions'!B5:B20,2,'Anomalies &amp; actions'!I5:I20,"Ouvert")</f>
        <v/>
      </c>
    </row>
    <row r="26">
      <c r="A26" s="16" t="inlineStr">
        <is>
          <t>3 — À vérifier</t>
        </is>
      </c>
      <c r="B26" s="13">
        <f>COUNTIF('Anomalies &amp; actions'!B5:B20,3)</f>
        <v/>
      </c>
      <c r="C26" s="13">
        <f>COUNTIFS('Anomalies &amp; actions'!B5:B20,3,'Anomalies &amp; actions'!I5:I20,"Ouvert")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Paie TPM : éléments soumis hors assiette</t>
        </is>
      </c>
      <c r="B34" s="4">
        <f>IF(ABS('Paie TPM'!K37)&lt;0.01,"OK","ÉCART")</f>
        <v/>
      </c>
    </row>
    <row r="36">
      <c r="A36" s="10" t="inlineStr">
        <is>
          <t>Contenu du classeur</t>
        </is>
      </c>
    </row>
    <row r="37">
      <c r="A37" s="4" t="inlineStr">
        <is>
          <t>Paramètres</t>
        </is>
      </c>
      <c r="B37" s="12" t="inlineStr">
        <is>
          <t>Taux, identifiants, plan de comptes</t>
        </is>
      </c>
      <c r="C37" s="17" t="n"/>
      <c r="D37" s="18" t="n"/>
    </row>
    <row r="38">
      <c r="A38" s="4" t="inlineStr">
        <is>
          <t>Paie IMPORT / Paie TPM</t>
        </is>
      </c>
      <c r="B38" s="12" t="inlineStr">
        <is>
          <t>Récapitulatif mensuel par rubrique + contrôles</t>
        </is>
      </c>
      <c r="C38" s="17" t="n"/>
      <c r="D38" s="18" t="n"/>
    </row>
    <row r="39">
      <c r="A39" s="4" t="inlineStr">
        <is>
          <t>Rappro CNAS</t>
        </is>
      </c>
      <c r="B39" s="12" t="inlineStr">
        <is>
          <t>Rapprochement paie ↔ chaque déclaration CNAS</t>
        </is>
      </c>
      <c r="C39" s="17" t="n"/>
      <c r="D39" s="18" t="n"/>
    </row>
    <row r="40">
      <c r="A40" s="4" t="inlineStr">
        <is>
          <t>Journal paie</t>
        </is>
      </c>
      <c r="B40" s="12" t="inlineStr">
        <is>
          <t>Écritures comptables proposées (SCF)</t>
        </is>
      </c>
      <c r="C40" s="17" t="n"/>
      <c r="D40" s="18" t="n"/>
    </row>
    <row r="41">
      <c r="A41" s="4" t="inlineStr">
        <is>
          <t>Balance comptes</t>
        </is>
      </c>
      <c r="B41" s="12" t="inlineStr">
        <is>
          <t>Cumul par compte et établissement</t>
        </is>
      </c>
      <c r="C41" s="17" t="n"/>
      <c r="D41" s="18" t="n"/>
    </row>
    <row r="42">
      <c r="A42" s="4" t="inlineStr">
        <is>
          <t>Échéancier IRG-CNAS</t>
        </is>
      </c>
      <c r="B42" s="12" t="inlineStr">
        <is>
          <t>IRG mensuel à rapprocher des G50</t>
        </is>
      </c>
      <c r="C42" s="17" t="n"/>
      <c r="D42" s="18" t="n"/>
    </row>
    <row r="43">
      <c r="A43" s="4" t="inlineStr">
        <is>
          <t>Anomalies &amp; actions</t>
        </is>
      </c>
      <c r="B43" s="12" t="inlineStr">
        <is>
          <t>Constats, impact, actions, suivi</t>
        </is>
      </c>
      <c r="C43" s="17" t="n"/>
      <c r="D43" s="18" t="n"/>
    </row>
    <row r="44">
      <c r="A44" s="4" t="inlineStr">
        <is>
          <t>Pièces</t>
        </is>
      </c>
      <c r="B44" s="12" t="inlineStr">
        <is>
          <t>Pièces reçues / manquantes</t>
        </is>
      </c>
      <c r="C44" s="17" t="n"/>
      <c r="D44" s="18" t="n"/>
    </row>
    <row r="46">
      <c r="A46" s="2" t="inlineStr">
        <is>
          <t>Légende : bleu = saisie depuis une pièce ; vert = lien vers une autre feuille ; noir = calcul ; fond jaune = à compléter.</t>
        </is>
      </c>
    </row>
  </sheetData>
  <mergeCells count="8">
    <mergeCell ref="B42:D42"/>
    <mergeCell ref="B37:D37"/>
    <mergeCell ref="B41:D41"/>
    <mergeCell ref="B40:D40"/>
    <mergeCell ref="B44:D44"/>
    <mergeCell ref="B43:D43"/>
    <mergeCell ref="B39:D39"/>
    <mergeCell ref="B38:D3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19" t="n">
        <v>0.345</v>
      </c>
      <c r="C5" s="20" t="inlineStr">
        <is>
          <t>Déclarations CNAS 2026 fournies (code R22)</t>
        </is>
      </c>
    </row>
    <row r="6">
      <c r="A6" s="12" t="inlineStr">
        <is>
          <t>Taux FNPOS (R98)</t>
        </is>
      </c>
      <c r="B6" s="19" t="n">
        <v>0.005</v>
      </c>
      <c r="C6" s="20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19" t="n">
        <v>0.09</v>
      </c>
      <c r="C7" s="20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21">
        <f>B5+B6-B7</f>
        <v/>
      </c>
      <c r="C8" s="20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0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0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0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0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0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déclaré G50 (à saisir)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33" t="n"/>
      <c r="J5" s="30">
        <f>IF(I5="","",I5-G5)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33" t="n"/>
      <c r="J6" s="30">
        <f>IF(I6="","",I6-G6)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33" t="n"/>
      <c r="J7" s="30">
        <f>IF(I7="","",I7-G7)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33" t="n"/>
      <c r="J8" s="30">
        <f>IF(I8="","",I8-G8)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33" t="n"/>
      <c r="J9" s="30">
        <f>IF(I9="","",I9-G9)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33" t="n"/>
      <c r="J10" s="30">
        <f>IF(I10="","",I10-G10)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33" t="n"/>
      <c r="J11" s="30">
        <f>IF(I11="","",I11-G11)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33" t="n"/>
      <c r="J12" s="30">
        <f>IF(I12="","",I12-G12)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Mars 2026 : IRG et net IMPORT inconnus (centralisateur absent). Colonne I (jaune) à compléter depuis les G50 déposées.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35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36">
        <f>'Rappro CNAS'!J6</f>
        <v/>
      </c>
      <c r="G5" s="29" t="inlineStr">
        <is>
          <t>Fournir la déclaration de février + EMS avec 7 sorties ; à défaut, la déposer (pénalités de retard).</t>
        </is>
      </c>
      <c r="H5" s="37" t="n"/>
      <c r="I5" s="37" t="inlineStr">
        <is>
          <t>Ouvert</t>
        </is>
      </c>
    </row>
    <row r="6" ht="52" customHeight="1">
      <c r="A6" s="4" t="inlineStr">
        <is>
          <t>A02</t>
        </is>
      </c>
      <c r="B6" s="35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36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37" t="n"/>
      <c r="I6" s="37" t="inlineStr">
        <is>
          <t>Ouvert</t>
        </is>
      </c>
    </row>
    <row r="7" ht="52" customHeight="1">
      <c r="A7" s="4" t="inlineStr">
        <is>
          <t>A03</t>
        </is>
      </c>
      <c r="B7" s="35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36">
        <f>'Rappro CNAS'!V13</f>
        <v/>
      </c>
      <c r="G7" s="29" t="inlineStr">
        <is>
          <t>Vérifier le paramétrage de la rubrique R540 (soumise SS) ; régulariser les déclarations concernées.</t>
        </is>
      </c>
      <c r="H7" s="37" t="n"/>
      <c r="I7" s="37" t="inlineStr">
        <is>
          <t>Ouvert</t>
        </is>
      </c>
    </row>
    <row r="8" ht="52" customHeight="1">
      <c r="A8" s="4" t="inlineStr">
        <is>
          <t>A04</t>
        </is>
      </c>
      <c r="B8" s="38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39" t="n"/>
      <c r="G8" s="29" t="inlineStr">
        <is>
          <t>Rectifier l'effectif du T1 auprès de la CNAS.</t>
        </is>
      </c>
      <c r="H8" s="37" t="n"/>
      <c r="I8" s="37" t="inlineStr">
        <is>
          <t>Ouvert</t>
        </is>
      </c>
    </row>
    <row r="9" ht="52" customHeight="1">
      <c r="A9" s="4" t="inlineStr">
        <is>
          <t>A05</t>
        </is>
      </c>
      <c r="B9" s="38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39" t="n"/>
      <c r="G9" s="29" t="inlineStr">
        <is>
          <t>Établir le STC et déclarer la sortie dans l'EMS du T3 (échéance 30/10/2026).</t>
        </is>
      </c>
      <c r="H9" s="37" t="n"/>
      <c r="I9" s="37" t="inlineStr">
        <is>
          <t>Ouvert</t>
        </is>
      </c>
    </row>
    <row r="10" ht="52" customHeight="1">
      <c r="A10" s="4" t="inlineStr">
        <is>
          <t>A06</t>
        </is>
      </c>
      <c r="B10" s="38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39" t="n"/>
      <c r="G10" s="29" t="inlineStr">
        <is>
          <t>Déclarer la sortie dans l'EMS du T3.</t>
        </is>
      </c>
      <c r="H10" s="37" t="n"/>
      <c r="I10" s="37" t="inlineStr">
        <is>
          <t>Ouvert</t>
        </is>
      </c>
    </row>
    <row r="11" ht="52" customHeight="1">
      <c r="A11" s="4" t="inlineStr">
        <is>
          <t>A07</t>
        </is>
      </c>
      <c r="B11" s="38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36">
        <f>'Rappro CNAS'!J9+'Rappro CNAS'!J12</f>
        <v/>
      </c>
      <c r="G11" s="29" t="inlineStr">
        <is>
          <t>Transmettre les centralisateurs de septembre ; déposer et payer avant le 30/10/2026.</t>
        </is>
      </c>
      <c r="H11" s="37" t="n"/>
      <c r="I11" s="37" t="inlineStr">
        <is>
          <t>Ouvert</t>
        </is>
      </c>
    </row>
    <row r="12" ht="52" customHeight="1">
      <c r="A12" s="4" t="inlineStr">
        <is>
          <t>A08</t>
        </is>
      </c>
      <c r="B12" s="40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39" t="n"/>
      <c r="G12" s="29" t="inlineStr">
        <is>
          <t>Contrôler les pointages et bulletins de mai et août.</t>
        </is>
      </c>
      <c r="H12" s="37" t="n"/>
      <c r="I12" s="37" t="inlineStr">
        <is>
          <t>Ouvert</t>
        </is>
      </c>
    </row>
    <row r="13" ht="52" customHeight="1">
      <c r="A13" s="4" t="inlineStr">
        <is>
          <t>A09</t>
        </is>
      </c>
      <c r="B13" s="40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36">
        <f>'Paie TPM'!K26</f>
        <v/>
      </c>
      <c r="G13" s="29" t="inlineStr">
        <is>
          <t>Conserver ordres de mission et justificatifs ; risque de requalification en salaire.</t>
        </is>
      </c>
      <c r="H13" s="37" t="n"/>
      <c r="I13" s="37" t="inlineStr">
        <is>
          <t>Ouvert</t>
        </is>
      </c>
    </row>
    <row r="14" ht="52" customHeight="1">
      <c r="A14" s="4" t="inlineStr">
        <is>
          <t>A10</t>
        </is>
      </c>
      <c r="B14" s="40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39" t="n"/>
      <c r="G14" s="29" t="inlineStr">
        <is>
          <t>Corriger le paramètre B291 ; régulariser le rappel éventuel.</t>
        </is>
      </c>
      <c r="H14" s="37" t="n"/>
      <c r="I14" s="37" t="inlineStr">
        <is>
          <t>Ouvert</t>
        </is>
      </c>
    </row>
    <row r="15" ht="52" customHeight="1">
      <c r="A15" s="4" t="inlineStr">
        <is>
          <t>A11</t>
        </is>
      </c>
      <c r="B15" s="38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36">
        <f>'Rappro CNAS'!K13</f>
        <v/>
      </c>
      <c r="G15" s="29" t="inlineStr">
        <is>
          <t>Joindre les quittances CNAS / avis de virement ; comptabiliser les règlements (débit 431).</t>
        </is>
      </c>
      <c r="H15" s="37" t="n"/>
      <c r="I15" s="37" t="inlineStr">
        <is>
          <t>Ouvert</t>
        </is>
      </c>
    </row>
    <row r="16" ht="52" customHeight="1">
      <c r="A16" s="4" t="inlineStr">
        <is>
          <t>A12</t>
        </is>
      </c>
      <c r="B16" s="38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retenu non rapproché des G50 (non fournies).</t>
        </is>
      </c>
      <c r="F16" s="36">
        <f>'Échéancier IRG-CNAS'!G13</f>
        <v/>
      </c>
      <c r="G16" s="29" t="inlineStr">
        <is>
          <t>Fournir les G50 janv.–sept. et compléter la colonne I de l'échéancier.</t>
        </is>
      </c>
      <c r="H16" s="37" t="n"/>
      <c r="I16" s="37" t="inlineStr">
        <is>
          <t>Ouvert</t>
        </is>
      </c>
    </row>
    <row r="17" ht="52" customHeight="1">
      <c r="A17" s="4" t="inlineStr">
        <is>
          <t>A13</t>
        </is>
      </c>
      <c r="B17" s="40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39" t="n"/>
      <c r="G17" s="29" t="inlineStr">
        <is>
          <t>Fournir les déclarations et paiements CACOBATPH 2026.</t>
        </is>
      </c>
      <c r="H17" s="37" t="n"/>
      <c r="I17" s="37" t="inlineStr">
        <is>
          <t>Ouvert</t>
        </is>
      </c>
    </row>
    <row r="18" ht="52" customHeight="1">
      <c r="A18" s="4" t="inlineStr">
        <is>
          <t>A14</t>
        </is>
      </c>
      <c r="B18" s="40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39" t="n"/>
      <c r="G18" s="29" t="inlineStr">
        <is>
          <t>Harmoniser raison sociale et adresse dans le logiciel de paie.</t>
        </is>
      </c>
      <c r="H18" s="37" t="n"/>
      <c r="I18" s="37" t="inlineStr">
        <is>
          <t>Ouvert</t>
        </is>
      </c>
    </row>
    <row r="19" ht="52" customHeight="1">
      <c r="A19" s="4" t="inlineStr">
        <is>
          <t>A15</t>
        </is>
      </c>
      <c r="B19" s="40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39" t="n"/>
      <c r="G19" s="29" t="inlineStr">
        <is>
          <t>Confirmer auprès de la CNAS le passage au trimestriel après la baisse d'effectif (12 → 5).</t>
        </is>
      </c>
      <c r="H19" s="37" t="n"/>
      <c r="I19" s="37" t="inlineStr">
        <is>
          <t>Ouvert</t>
        </is>
      </c>
    </row>
    <row r="20" ht="52" customHeight="1">
      <c r="A20" s="4" t="inlineStr">
        <is>
          <t>A16</t>
        </is>
      </c>
      <c r="B20" s="40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39" t="n"/>
      <c r="G20" s="29" t="inlineStr">
        <is>
          <t>Fournir le livre de paie individuel / bulletins.</t>
        </is>
      </c>
      <c r="H20" s="37" t="n"/>
      <c r="I20" s="37" t="inlineStr">
        <is>
          <t>Ouvert</t>
        </is>
      </c>
    </row>
    <row r="22">
      <c r="A22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20"/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1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1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1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1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1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1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1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2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2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2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2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2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Déclarations G50 (IRG salaires)</t>
        </is>
      </c>
      <c r="C17" s="12" t="inlineStr">
        <is>
          <t>Les deux</t>
        </is>
      </c>
      <c r="D17" s="12" t="inlineStr">
        <is>
          <t>Janv–sept 2026</t>
        </is>
      </c>
      <c r="E17" s="42" t="inlineStr">
        <is>
          <t>Manquante</t>
        </is>
      </c>
      <c r="F17" s="12" t="inlineStr"/>
    </row>
    <row r="18">
      <c r="A18" s="12" t="n">
        <v>14</v>
      </c>
      <c r="B18" s="12" t="inlineStr">
        <is>
          <t>Déclarations et paiements CACOBATPH</t>
        </is>
      </c>
      <c r="C18" s="12" t="inlineStr">
        <is>
          <t>Les deux</t>
        </is>
      </c>
      <c r="D18" s="12" t="inlineStr">
        <is>
          <t>2026</t>
        </is>
      </c>
      <c r="E18" s="42" t="inlineStr">
        <is>
          <t>Manquante</t>
        </is>
      </c>
      <c r="F18" s="12" t="inlineStr"/>
    </row>
    <row r="19">
      <c r="A19" s="12" t="n">
        <v>15</v>
      </c>
      <c r="B19" s="12" t="inlineStr">
        <is>
          <t>Livre de paie individuel / bulletins</t>
        </is>
      </c>
      <c r="C19" s="12" t="inlineStr">
        <is>
          <t>Les deux</t>
        </is>
      </c>
      <c r="D19" s="12" t="inlineStr">
        <is>
          <t>2026</t>
        </is>
      </c>
      <c r="E19" s="42" t="inlineStr">
        <is>
          <t>Manquante</t>
        </is>
      </c>
      <c r="F19" s="12" t="inlineStr">
        <is>
          <t>Pour contrôle IRG</t>
        </is>
      </c>
    </row>
    <row r="20">
      <c r="A20" s="12" t="n">
        <v>16</v>
      </c>
      <c r="B20" s="12" t="inlineStr">
        <is>
          <t>Ordres de mission et justificatifs de frais</t>
        </is>
      </c>
      <c r="C20" s="12" t="inlineStr">
        <is>
          <t>TPM</t>
        </is>
      </c>
      <c r="D20" s="12" t="inlineStr">
        <is>
          <t>2026</t>
        </is>
      </c>
      <c r="E20" s="42" t="inlineStr">
        <is>
          <t>Manquante</t>
        </is>
      </c>
      <c r="F20" s="12" t="inlineStr">
        <is>
          <t>Frais de mission élevés</t>
        </is>
      </c>
    </row>
    <row r="21">
      <c r="A21" s="12" t="n">
        <v>17</v>
      </c>
      <c r="B21" s="12" t="inlineStr">
        <is>
          <t>Relevés bancaires — virements de salaires</t>
        </is>
      </c>
      <c r="C21" s="12" t="inlineStr">
        <is>
          <t>Les deux</t>
        </is>
      </c>
      <c r="D21" s="12" t="inlineStr">
        <is>
          <t>2026</t>
        </is>
      </c>
      <c r="E21" s="42" t="inlineStr">
        <is>
          <t>Manquante</t>
        </is>
      </c>
      <c r="F21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2026-10-01T22:11:04Z</dcterms:created>
  <dcterms:modified xsi:type="dcterms:W3CDTF">2026-10-01T22:11:04Z</dcterms:modified>
</cp:coreProperties>
</file>