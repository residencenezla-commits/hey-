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Paramètres" sheetId="2" state="visible" r:id="rId2"/>
    <sheet name="Paie IMPORT" sheetId="3" state="visible" r:id="rId3"/>
    <sheet name="Paie TPM" sheetId="4" state="visible" r:id="rId4"/>
    <sheet name="Rappro CNAS" sheetId="5" state="visible" r:id="rId5"/>
    <sheet name="Journal paie" sheetId="6" state="visible" r:id="rId6"/>
    <sheet name="Balance comptes" sheetId="7" state="visible" r:id="rId7"/>
    <sheet name="Échéancier IRG-CNAS" sheetId="8" state="visible" r:id="rId8"/>
    <sheet name="G50 2026" sheetId="9" state="visible" r:id="rId9"/>
    <sheet name="Balance 2024-2025" sheetId="10" state="visible" r:id="rId10"/>
    <sheet name="États 2024-2025" sheetId="11" state="visible" r:id="rId11"/>
    <sheet name="G50 TPM 2026" sheetId="12" state="visible" r:id="rId12"/>
    <sheet name="Contrôle 2023" sheetId="13" state="visible" r:id="rId13"/>
    <sheet name="Clients &amp; fournisseurs" sheetId="14" state="visible" r:id="rId14"/>
    <sheet name="Démarrage 2026" sheetId="15" state="visible" r:id="rId15"/>
    <sheet name="Registre de commerce" sheetId="16" state="visible" r:id="rId16"/>
    <sheet name="Relevé CPA 2026" sheetId="17" state="visible" r:id="rId17"/>
    <sheet name="Banque CPA 2026" sheetId="18" state="visible" r:id="rId18"/>
    <sheet name="Anomalies &amp; actions" sheetId="19" state="visible" r:id="rId19"/>
    <sheet name="Pièces" sheetId="20" state="visible" r:id="rId20"/>
  </sheets>
  <definedNames>
    <definedName name="_xlnm._FilterDatabase" localSheetId="5" hidden="1">'Journal paie'!$A$4:$G$140</definedName>
    <definedName name="_xlnm._FilterDatabase" localSheetId="9" hidden="1">'Balance 2024-2025'!$A$4:$E$104</definedName>
    <definedName name="_xlnm._FilterDatabase" localSheetId="13" hidden="1">'Clients &amp; fournisseurs'!$A$21:$L$243</definedName>
    <definedName name="_xlnm._FilterDatabase" localSheetId="16" hidden="1">'Relevé CPA 2026'!$A$4:$L$875</definedName>
    <definedName name="_xlnm._FilterDatabase" localSheetId="18" hidden="1">'Anomalies &amp; actions'!$A$4:$I$55</definedName>
  </definedNames>
  <calcPr calcId="124519" fullCalcOnLoad="1"/>
</workbook>
</file>

<file path=xl/styles.xml><?xml version="1.0" encoding="utf-8"?>
<styleSheet xmlns="http://schemas.openxmlformats.org/spreadsheetml/2006/main">
  <numFmts count="4">
    <numFmt numFmtId="164" formatCode="0.0%"/>
    <numFmt numFmtId="165" formatCode="#,##0;(#,##0);&quot;-&quot;"/>
    <numFmt numFmtId="166" formatCode="#,##0.00;(#,##0.00);&quot;-&quot;"/>
    <numFmt numFmtId="167" formatCode="dd/mm/yyyy"/>
  </numFmts>
  <fonts count="9">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color rgb="000000FF"/>
      <sz val="10"/>
    </font>
    <font>
      <name val="Arial"/>
      <b val="1"/>
      <sz val="10"/>
    </font>
    <font>
      <name val="Arial"/>
      <b val="1"/>
      <color rgb="00C00000"/>
      <sz val="10"/>
    </font>
    <font>
      <name val="Arial"/>
      <color rgb="00008000"/>
      <sz val="10"/>
    </font>
  </fonts>
  <fills count="9">
    <fill>
      <patternFill/>
    </fill>
    <fill>
      <patternFill patternType="gray125"/>
    </fill>
    <fill>
      <patternFill patternType="solid">
        <fgColor rgb="001F3864"/>
      </patternFill>
    </fill>
    <fill>
      <patternFill patternType="solid">
        <fgColor rgb="00FFFF00"/>
      </patternFill>
    </fill>
    <fill>
      <patternFill patternType="solid">
        <fgColor rgb="00EDEDED"/>
      </patternFill>
    </fill>
    <fill>
      <patternFill patternType="solid">
        <fgColor rgb="00D9E1F2"/>
      </patternFill>
    </fill>
    <fill>
      <patternFill patternType="solid">
        <fgColor rgb="00F8CBAD"/>
      </patternFill>
    </fill>
    <fill>
      <patternFill patternType="solid">
        <fgColor rgb="00FFE699"/>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6" fillId="0" borderId="1" pivotButton="0" quotePrefix="0" xfId="0"/>
    <xf numFmtId="0" fontId="8" fillId="0" borderId="1" pivotButton="0" quotePrefix="0" xfId="0"/>
    <xf numFmtId="166" fontId="8" fillId="0" borderId="1" pivotButton="0" quotePrefix="0" xfId="0"/>
    <xf numFmtId="166" fontId="6" fillId="5" borderId="1" pivotButton="0" quotePrefix="0" xfId="0"/>
    <xf numFmtId="165" fontId="8" fillId="0" borderId="1" pivotButton="0" quotePrefix="0" xfId="0"/>
    <xf numFmtId="165" fontId="6" fillId="5" borderId="1" pivotButton="0" quotePrefix="0" xfId="0"/>
    <xf numFmtId="0" fontId="6" fillId="0" borderId="0" pivotButton="0" quotePrefix="0" xfId="0"/>
    <xf numFmtId="0" fontId="3" fillId="2" borderId="1" applyAlignment="1" pivotButton="0" quotePrefix="0" xfId="0">
      <alignment horizontal="center" vertical="center" wrapText="1"/>
    </xf>
    <xf numFmtId="0" fontId="4" fillId="0" borderId="1" pivotButton="0" quotePrefix="0" xfId="0"/>
    <xf numFmtId="165" fontId="6" fillId="0" borderId="1" pivotButton="0" quotePrefix="0" xfId="0"/>
    <xf numFmtId="0" fontId="4" fillId="6" borderId="1" pivotButton="0" quotePrefix="0" xfId="0"/>
    <xf numFmtId="0" fontId="4" fillId="7" borderId="1" pivotButton="0" quotePrefix="0" xfId="0"/>
    <xf numFmtId="0" fontId="4" fillId="8" borderId="1" pivotButton="0" quotePrefix="0" xfId="0"/>
    <xf numFmtId="0" fontId="0" fillId="0" borderId="4" pivotButton="0" quotePrefix="0" xfId="0"/>
    <xf numFmtId="0" fontId="0" fillId="0" borderId="5" pivotButton="0" quotePrefix="0" xfId="0"/>
    <xf numFmtId="164" fontId="4" fillId="0" borderId="1" pivotButton="0" quotePrefix="0" xfId="0"/>
    <xf numFmtId="164" fontId="5" fillId="3" borderId="1" pivotButton="0" quotePrefix="0" xfId="0"/>
    <xf numFmtId="0" fontId="2" fillId="0" borderId="1" pivotButton="0" quotePrefix="0" xfId="0"/>
    <xf numFmtId="0" fontId="5" fillId="0" borderId="1" pivotButton="0" quotePrefix="0" xfId="0"/>
    <xf numFmtId="165" fontId="5" fillId="0" borderId="1" pivotButton="0" quotePrefix="0" xfId="0"/>
    <xf numFmtId="165" fontId="5" fillId="4" borderId="1" pivotButton="0" quotePrefix="0" xfId="0"/>
    <xf numFmtId="166" fontId="5" fillId="0" borderId="1" pivotButton="0" quotePrefix="0" xfId="0"/>
    <xf numFmtId="166" fontId="5" fillId="4" borderId="1" pivotButton="0" quotePrefix="0" xfId="0"/>
    <xf numFmtId="166" fontId="6" fillId="0" borderId="1" pivotButton="0" quotePrefix="0" xfId="0"/>
    <xf numFmtId="166" fontId="5" fillId="5" borderId="1" pivotButton="0" quotePrefix="0" xfId="0"/>
    <xf numFmtId="0" fontId="4" fillId="0" borderId="1" applyAlignment="1" pivotButton="0" quotePrefix="0" xfId="0">
      <alignment vertical="top" wrapText="1"/>
    </xf>
    <xf numFmtId="166" fontId="4" fillId="0" borderId="1" pivotButton="0" quotePrefix="0" xfId="0"/>
    <xf numFmtId="0" fontId="7" fillId="0" borderId="0" pivotButton="0" quotePrefix="0" xfId="0"/>
    <xf numFmtId="165" fontId="4" fillId="0" borderId="1" pivotButton="0" quotePrefix="0" xfId="0"/>
    <xf numFmtId="166" fontId="5" fillId="3" borderId="1" pivotButton="0" quotePrefix="0" xfId="0"/>
    <xf numFmtId="0" fontId="7" fillId="0" borderId="1" pivotButton="0" quotePrefix="0" xfId="0"/>
    <xf numFmtId="0" fontId="2" fillId="0" borderId="1" applyAlignment="1" pivotButton="0" quotePrefix="0" xfId="0">
      <alignment vertical="top" wrapText="1"/>
    </xf>
    <xf numFmtId="10" fontId="4" fillId="0" borderId="1" pivotButton="0" quotePrefix="0" xfId="0"/>
    <xf numFmtId="166" fontId="4" fillId="5" borderId="1" pivotButton="0" quotePrefix="0" xfId="0"/>
    <xf numFmtId="164" fontId="6" fillId="0" borderId="1" pivotButton="0" quotePrefix="0" xfId="0"/>
    <xf numFmtId="166" fontId="6" fillId="6" borderId="1" pivotButton="0" quotePrefix="0" xfId="0"/>
    <xf numFmtId="0" fontId="6" fillId="6" borderId="1" pivotButton="0" quotePrefix="0" xfId="0"/>
    <xf numFmtId="0" fontId="5" fillId="3" borderId="1" pivotButton="0" quotePrefix="0" xfId="0"/>
    <xf numFmtId="164" fontId="6" fillId="6" borderId="1" pivotButton="0" quotePrefix="0" xfId="0"/>
    <xf numFmtId="0" fontId="5" fillId="0" borderId="1" applyAlignment="1" pivotButton="0" quotePrefix="0" xfId="0">
      <alignment vertical="top" wrapText="1"/>
    </xf>
    <xf numFmtId="166" fontId="5" fillId="0" borderId="1" applyAlignment="1" pivotButton="0" quotePrefix="0" xfId="0">
      <alignment vertical="top" wrapText="1"/>
    </xf>
    <xf numFmtId="0" fontId="6" fillId="7" borderId="1" applyAlignment="1" pivotButton="0" quotePrefix="0" xfId="0">
      <alignment vertical="top" wrapText="1"/>
    </xf>
    <xf numFmtId="0" fontId="4" fillId="7" borderId="1" applyAlignment="1" pivotButton="0" quotePrefix="0" xfId="0">
      <alignment vertical="top" wrapText="1"/>
    </xf>
    <xf numFmtId="167" fontId="5" fillId="0" borderId="1" pivotButton="0" quotePrefix="0" xfId="0"/>
    <xf numFmtId="165" fontId="6" fillId="7" borderId="1" pivotButton="0" quotePrefix="0" xfId="0"/>
    <xf numFmtId="167" fontId="5" fillId="3" borderId="1" pivotButton="0" quotePrefix="0" xfId="0"/>
    <xf numFmtId="0" fontId="2" fillId="0" borderId="0" applyAlignment="1" pivotButton="0" quotePrefix="0" xfId="0">
      <alignment vertical="top" wrapText="1"/>
    </xf>
    <xf numFmtId="0" fontId="7" fillId="0" borderId="0" applyAlignment="1" pivotButton="0" quotePrefix="0" xfId="0">
      <alignment vertical="top" wrapText="1"/>
    </xf>
    <xf numFmtId="0" fontId="6" fillId="6" borderId="1" applyAlignment="1" pivotButton="0" quotePrefix="0" xfId="0">
      <alignment vertical="top" wrapText="1"/>
    </xf>
    <xf numFmtId="165" fontId="6" fillId="6" borderId="1" pivotButton="0" quotePrefix="0" xfId="0"/>
    <xf numFmtId="166" fontId="4" fillId="7" borderId="1" pivotButton="0" quotePrefix="0" xfId="0"/>
    <xf numFmtId="166" fontId="6" fillId="8" borderId="1" pivotButton="0" quotePrefix="0" xfId="0"/>
    <xf numFmtId="0" fontId="6" fillId="7" borderId="1" applyAlignment="1" pivotButton="0" quotePrefix="0" xfId="0">
      <alignment horizontal="center" vertical="top"/>
    </xf>
    <xf numFmtId="166" fontId="8" fillId="0" borderId="1" applyAlignment="1" pivotButton="0" quotePrefix="0" xfId="0">
      <alignment vertical="top" wrapText="1"/>
    </xf>
    <xf numFmtId="0" fontId="6" fillId="6" borderId="1" applyAlignment="1" pivotButton="0" quotePrefix="0" xfId="0">
      <alignment horizontal="center" vertical="top"/>
    </xf>
    <xf numFmtId="166" fontId="4" fillId="0" borderId="1" applyAlignment="1" pivotButton="0" quotePrefix="0" xfId="0">
      <alignment vertical="top" wrapText="1"/>
    </xf>
    <xf numFmtId="0" fontId="6" fillId="8" borderId="1" applyAlignment="1" pivotButton="0" quotePrefix="0" xfId="0">
      <alignment horizontal="center" vertical="top"/>
    </xf>
    <xf numFmtId="0" fontId="6" fillId="8" borderId="1" pivotButton="0" quotePrefix="0" xfId="0"/>
  </cellXfs>
  <cellStyles count="1">
    <cellStyle name="Normal" xfId="0" builtinId="0" hidden="0"/>
  </cellStyles>
  <dxfs count="2">
    <dxf>
      <fill>
        <patternFill patternType="solid">
          <fgColor rgb="00E2EFDA"/>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Dossier</author>
  </authors>
  <commentList>
    <comment ref="E4" authorId="0" shapeId="0">
      <text>
        <t>Onglet 032026 VIDE dans le fichier de paie IMPORT : centralisateur de mars à obtenir. La CNAS de mars a pourtant été déclarée (assiette 368 389,93).</t>
      </text>
    </comment>
  </commentList>
</comments>
</file>

<file path=xl/comments/comment2.xml><?xml version="1.0" encoding="utf-8"?>
<comments xmlns="http://schemas.openxmlformats.org/spreadsheetml/2006/main">
  <authors>
    <author>Dossier</author>
  </authors>
  <commentList>
    <comment ref="Q6" authorId="0" shapeId="0">
      <text>
        <t>Le centralisateur donne un effectif STC de 7 en février (rubrique R546).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D66"/>
  <sheetViews>
    <sheetView showGridLines="0" workbookViewId="0">
      <selection activeCell="A1" sqref="A1"/>
    </sheetView>
  </sheetViews>
  <sheetFormatPr baseColWidth="8" defaultRowHeight="15"/>
  <cols>
    <col width="46" customWidth="1" min="1" max="1"/>
    <col width="20" customWidth="1" min="2" max="2"/>
    <col width="20" customWidth="1" min="3" max="3"/>
    <col width="20" customWidth="1" min="4" max="4"/>
  </cols>
  <sheetData>
    <row r="1">
      <c r="A1" s="1" t="inlineStr">
        <is>
          <t>DOSSIER COMPTABLE PAIE &amp; CNAS 2026 — SARL D.P.R. COMPAGNY</t>
        </is>
      </c>
    </row>
    <row r="2">
      <c r="A2" s="2" t="inlineStr">
        <is>
          <t>Arrêté au 01/10/2026 — période couverte : janvier à août 2026 — montants en DA.</t>
        </is>
      </c>
    </row>
    <row r="4">
      <c r="A4" s="3" t="inlineStr">
        <is>
          <t>Établissement</t>
        </is>
      </c>
      <c r="B4" s="3" t="inlineStr">
        <is>
          <t>IMPORT</t>
        </is>
      </c>
      <c r="C4" s="3" t="inlineStr">
        <is>
          <t>TPM</t>
        </is>
      </c>
      <c r="D4" s="3" t="inlineStr">
        <is>
          <t>Total</t>
        </is>
      </c>
    </row>
    <row r="5">
      <c r="A5" s="4" t="inlineStr">
        <is>
          <t>N° cotisant CNAS</t>
        </is>
      </c>
      <c r="B5" s="5">
        <f>Paramètres!B10</f>
        <v/>
      </c>
      <c r="C5" s="5">
        <f>Paramètres!B11</f>
        <v/>
      </c>
      <c r="D5" s="4" t="n"/>
    </row>
    <row r="6">
      <c r="A6" s="4" t="inlineStr">
        <is>
          <t>Masse salariale soumise (R500) jan–août</t>
        </is>
      </c>
      <c r="B6" s="6">
        <f>'Paie IMPORT'!K19</f>
        <v/>
      </c>
      <c r="C6" s="6">
        <f>'Paie TPM'!K19</f>
        <v/>
      </c>
      <c r="D6" s="7">
        <f>B6+C6</f>
        <v/>
      </c>
    </row>
    <row r="7">
      <c r="A7" s="4" t="inlineStr">
        <is>
          <t>Retenues sécurité sociale (9 %)</t>
        </is>
      </c>
      <c r="B7" s="6">
        <f>'Paie IMPORT'!K21</f>
        <v/>
      </c>
      <c r="C7" s="6">
        <f>'Paie TPM'!K21</f>
        <v/>
      </c>
      <c r="D7" s="7">
        <f>B7+C7</f>
        <v/>
      </c>
    </row>
    <row r="8">
      <c r="A8" s="4" t="inlineStr">
        <is>
          <t>IRG retenu</t>
        </is>
      </c>
      <c r="B8" s="6">
        <f>'Paie IMPORT'!K25</f>
        <v/>
      </c>
      <c r="C8" s="6">
        <f>'Paie TPM'!K25</f>
        <v/>
      </c>
      <c r="D8" s="7">
        <f>B8+C8</f>
        <v/>
      </c>
    </row>
    <row r="9">
      <c r="A9" s="4" t="inlineStr">
        <is>
          <t>Net à payer</t>
        </is>
      </c>
      <c r="B9" s="6">
        <f>'Paie IMPORT'!K28</f>
        <v/>
      </c>
      <c r="C9" s="6">
        <f>'Paie TPM'!K28</f>
        <v/>
      </c>
      <c r="D9" s="7">
        <f>B9+C9</f>
        <v/>
      </c>
    </row>
    <row r="10">
      <c r="A10" s="4" t="inlineStr">
        <is>
          <t>Frais de mission</t>
        </is>
      </c>
      <c r="B10" s="6">
        <f>'Paie IMPORT'!K26</f>
        <v/>
      </c>
      <c r="C10" s="6">
        <f>'Paie TPM'!K26</f>
        <v/>
      </c>
      <c r="D10" s="7">
        <f>B10+C10</f>
        <v/>
      </c>
    </row>
    <row r="11">
      <c r="A11" s="4" t="inlineStr">
        <is>
          <t>Cotisations CNAS déclarées (pièces reçues)</t>
        </is>
      </c>
      <c r="B11" s="6">
        <f>SUMIFS('Rappro CNAS'!K5:K12,'Rappro CNAS'!B5:B12,"IMPORT*")</f>
        <v/>
      </c>
      <c r="C11" s="6">
        <f>SUMIFS('Rappro CNAS'!K5:K12,'Rappro CNAS'!B5:B12,"TPM*")</f>
        <v/>
      </c>
      <c r="D11" s="7">
        <f>B11+C11</f>
        <v/>
      </c>
    </row>
    <row r="12">
      <c r="A12" s="4" t="inlineStr">
        <is>
          <t>Cotisations CNAS calculées sur paie (hors mars IMPORT, T3 partiel)</t>
        </is>
      </c>
      <c r="B12" s="6">
        <f>SUMIFS('Rappro CNAS'!J5:J12,'Rappro CNAS'!B5:B12,"IMPORT*")</f>
        <v/>
      </c>
      <c r="C12" s="6">
        <f>SUMIFS('Rappro CNAS'!J5:J12,'Rappro CNAS'!B5:B12,"TPM*")</f>
        <v/>
      </c>
      <c r="D12" s="7">
        <f>B12+C12</f>
        <v/>
      </c>
    </row>
    <row r="13">
      <c r="A13" s="4" t="inlineStr">
        <is>
          <t>Effectif fin août</t>
        </is>
      </c>
      <c r="B13" s="8">
        <f>'Paie IMPORT'!J5</f>
        <v/>
      </c>
      <c r="C13" s="8">
        <f>'Paie TPM'!J5</f>
        <v/>
      </c>
      <c r="D13" s="9">
        <f>B13+C13</f>
        <v/>
      </c>
    </row>
    <row r="15">
      <c r="A15" s="10" t="inlineStr">
        <is>
          <t>Situation des déclarations CNAS</t>
        </is>
      </c>
    </row>
    <row r="16">
      <c r="A16" s="11" t="inlineStr">
        <is>
          <t>Indicateur</t>
        </is>
      </c>
      <c r="B16" s="11" t="inlineStr">
        <is>
          <t>Nombre</t>
        </is>
      </c>
    </row>
    <row r="17">
      <c r="A17" s="12" t="inlineStr">
        <is>
          <t>Déclarations attendues (jan–T3)</t>
        </is>
      </c>
      <c r="B17" s="13">
        <f>COUNTA('Rappro CNAS'!A5:A12)</f>
        <v/>
      </c>
    </row>
    <row r="18">
      <c r="A18" s="12" t="inlineStr">
        <is>
          <t>Déclarations conformes</t>
        </is>
      </c>
      <c r="B18" s="13">
        <f>COUNTIF('Rappro CNAS'!T5:T12,"Conforme")</f>
        <v/>
      </c>
    </row>
    <row r="19">
      <c r="A19" s="12" t="inlineStr">
        <is>
          <t>Déclarations avec écart</t>
        </is>
      </c>
      <c r="B19" s="13">
        <f>COUNTIF('Rappro CNAS'!T5:T12,"ÉCART")</f>
        <v/>
      </c>
    </row>
    <row r="20">
      <c r="A20" s="12" t="inlineStr">
        <is>
          <t>Déclarations à déposer / à fournir</t>
        </is>
      </c>
      <c r="B20" s="13">
        <f>COUNTIF('Rappro CNAS'!T5:T12,"À DÉPOSER*")</f>
        <v/>
      </c>
    </row>
    <row r="22">
      <c r="A22" s="10" t="inlineStr">
        <is>
          <t>Anomalies</t>
        </is>
      </c>
    </row>
    <row r="23">
      <c r="A23" s="11" t="inlineStr">
        <is>
          <t>Priorité</t>
        </is>
      </c>
      <c r="B23" s="11" t="inlineStr">
        <is>
          <t>Nombre</t>
        </is>
      </c>
      <c r="C23" s="11" t="inlineStr">
        <is>
          <t>Ouvertes</t>
        </is>
      </c>
    </row>
    <row r="24">
      <c r="A24" s="14" t="inlineStr">
        <is>
          <t>1 — Critique</t>
        </is>
      </c>
      <c r="B24" s="13">
        <f>COUNTIF('Anomalies &amp; actions'!B5:B55,1)</f>
        <v/>
      </c>
      <c r="C24" s="13">
        <f>COUNTIFS('Anomalies &amp; actions'!B5:B55,1,'Anomalies &amp; actions'!I5:I55,"Ouvert")</f>
        <v/>
      </c>
    </row>
    <row r="25">
      <c r="A25" s="15" t="inlineStr">
        <is>
          <t>2 — À corriger</t>
        </is>
      </c>
      <c r="B25" s="13">
        <f>COUNTIF('Anomalies &amp; actions'!B5:B55,2)</f>
        <v/>
      </c>
      <c r="C25" s="13">
        <f>COUNTIFS('Anomalies &amp; actions'!B5:B55,2,'Anomalies &amp; actions'!I5:I55,"Ouvert")</f>
        <v/>
      </c>
    </row>
    <row r="26">
      <c r="A26" s="16" t="inlineStr">
        <is>
          <t>3 — À vérifier</t>
        </is>
      </c>
      <c r="B26" s="13">
        <f>COUNTIF('Anomalies &amp; actions'!B5:B55,3)</f>
        <v/>
      </c>
      <c r="C26" s="13">
        <f>COUNTIFS('Anomalies &amp; actions'!B5:B55,3,'Anomalies &amp; actions'!I5:I55,"Ouvert")</f>
        <v/>
      </c>
    </row>
    <row r="28">
      <c r="A28" s="10" t="inlineStr">
        <is>
          <t>Contrôles de cohérence</t>
        </is>
      </c>
    </row>
    <row r="29">
      <c r="A29" s="11" t="inlineStr">
        <is>
          <t>Contrôle</t>
        </is>
      </c>
      <c r="B29" s="11" t="inlineStr">
        <is>
          <t>Résultat</t>
        </is>
      </c>
    </row>
    <row r="30">
      <c r="A30" s="12" t="inlineStr">
        <is>
          <t>Journal équilibré (débit = crédit)</t>
        </is>
      </c>
      <c r="B30" s="4">
        <f>IF(ABS('Journal paie'!F142)&lt;0.01,"OK","ERREUR")</f>
        <v/>
      </c>
    </row>
    <row r="31">
      <c r="A31" s="12" t="inlineStr">
        <is>
          <t>Paie IMPORT : gains = retenues (8 mois)</t>
        </is>
      </c>
      <c r="B31" s="4">
        <f>IF(ABS('Paie IMPORT'!K33)&lt;0.01,"OK","ERREUR")</f>
        <v/>
      </c>
    </row>
    <row r="32">
      <c r="A32" s="12" t="inlineStr">
        <is>
          <t>Paie TPM : gains = retenues (8 mois)</t>
        </is>
      </c>
      <c r="B32" s="4">
        <f>IF(ABS('Paie TPM'!K33)&lt;0.01,"OK","ERREUR")</f>
        <v/>
      </c>
    </row>
    <row r="33">
      <c r="A33" s="12" t="inlineStr">
        <is>
          <t>Paie IMPORT : éléments soumis hors assiette</t>
        </is>
      </c>
      <c r="B33" s="4">
        <f>IF(ABS('Paie IMPORT'!K37)&lt;0.01,"OK","ÉCART (voir A03)")</f>
        <v/>
      </c>
    </row>
    <row r="34">
      <c r="A34" s="12" t="inlineStr">
        <is>
          <t>Balance 2024-2025 équilibrée</t>
        </is>
      </c>
      <c r="B34" s="4">
        <f>IF(AND(ABS('Balance 2024-2025'!C105)&lt;0.01,ABS('Balance 2024-2025'!D105)&lt;0.01),"OK","ERREUR")</f>
        <v/>
      </c>
    </row>
    <row r="35">
      <c r="A35" s="12" t="inlineStr">
        <is>
          <t>États : résultat = −(classes 6+7) et bilan bouclé</t>
        </is>
      </c>
      <c r="B35" s="4">
        <f>IF(AND(ABS('États 2024-2025'!C17)&lt;0.01,ABS('États 2024-2025'!D17)&lt;0.01,ABS('États 2024-2025'!C46)&lt;0.01,ABS('États 2024-2025'!D46)&lt;0.01),"OK","ERREUR")</f>
        <v/>
      </c>
    </row>
    <row r="36">
      <c r="A36" s="12" t="inlineStr">
        <is>
          <t>G50 IMPORT janv.–août : totaux et report de précompte</t>
        </is>
      </c>
      <c r="B36" s="4">
        <f>IF(AND(SUMPRODUCT(ABS('G50 2026'!B29:I29))&lt;1,SUMPRODUCT(ABS('G50 2026'!C16:I16))&lt;1),"OK","ÉCART")</f>
        <v/>
      </c>
    </row>
    <row r="37">
      <c r="A37" s="12" t="inlineStr">
        <is>
          <t>G50 TPM janv.–août : totaux</t>
        </is>
      </c>
      <c r="B37" s="4">
        <f>IF(SUMPRODUCT(ABS('G50 TPM 2026'!B20:I20))&lt;1,"OK","ÉCART")</f>
        <v/>
      </c>
    </row>
    <row r="38">
      <c r="A38" s="12" t="inlineStr">
        <is>
          <t>Paie TPM : éléments soumis hors assiette</t>
        </is>
      </c>
      <c r="B38" s="4">
        <f>IF(ABS('Paie TPM'!K37)&lt;0.01,"OK","ÉCART")</f>
        <v/>
      </c>
    </row>
    <row r="39">
      <c r="A39" s="10" t="inlineStr">
        <is>
          <t>Contenu du classeur</t>
        </is>
      </c>
    </row>
    <row r="40">
      <c r="A40" s="4" t="inlineStr">
        <is>
          <t>Paramètres</t>
        </is>
      </c>
      <c r="B40" s="12" t="inlineStr">
        <is>
          <t>Taux, identifiants, plan de comptes</t>
        </is>
      </c>
      <c r="C40" s="17" t="n"/>
      <c r="D40" s="18" t="n"/>
    </row>
    <row r="41">
      <c r="A41" s="4" t="inlineStr">
        <is>
          <t>Paie IMPORT / Paie TPM</t>
        </is>
      </c>
      <c r="B41" s="12" t="inlineStr">
        <is>
          <t>Récapitulatif mensuel par rubrique + contrôles</t>
        </is>
      </c>
      <c r="C41" s="17" t="n"/>
      <c r="D41" s="18" t="n"/>
    </row>
    <row r="42">
      <c r="A42" s="4" t="inlineStr">
        <is>
          <t>Rappro CNAS</t>
        </is>
      </c>
      <c r="B42" s="12" t="inlineStr">
        <is>
          <t>Rapprochement paie ↔ chaque déclaration CNAS</t>
        </is>
      </c>
      <c r="C42" s="17" t="n"/>
      <c r="D42" s="18" t="n"/>
    </row>
    <row r="43">
      <c r="A43" s="4" t="inlineStr">
        <is>
          <t>Journal paie</t>
        </is>
      </c>
      <c r="B43" s="12" t="inlineStr">
        <is>
          <t>Écritures comptables proposées (SCF)</t>
        </is>
      </c>
      <c r="C43" s="17" t="n"/>
      <c r="D43" s="18" t="n"/>
    </row>
    <row r="44">
      <c r="A44" s="4" t="inlineStr">
        <is>
          <t>Balance comptes</t>
        </is>
      </c>
      <c r="B44" s="12" t="inlineStr">
        <is>
          <t>Cumul par compte et établissement</t>
        </is>
      </c>
      <c r="C44" s="17" t="n"/>
      <c r="D44" s="18" t="n"/>
    </row>
    <row r="45">
      <c r="A45" s="4" t="inlineStr">
        <is>
          <t>Échéancier IRG-CNAS</t>
        </is>
      </c>
      <c r="B45" s="12" t="inlineStr">
        <is>
          <t>IRG mensuel à rapprocher des G50</t>
        </is>
      </c>
      <c r="C45" s="17" t="n"/>
      <c r="D45" s="18" t="n"/>
    </row>
    <row r="46">
      <c r="A46" s="4" t="inlineStr">
        <is>
          <t>Anomalies &amp; actions</t>
        </is>
      </c>
      <c r="B46" s="12" t="inlineStr">
        <is>
          <t>Constats, impact, actions, suivi</t>
        </is>
      </c>
      <c r="C46" s="17" t="n"/>
      <c r="D46" s="18" t="n"/>
    </row>
    <row r="47">
      <c r="A47" s="4" t="inlineStr">
        <is>
          <t>Pièces</t>
        </is>
      </c>
      <c r="B47" s="12" t="inlineStr">
        <is>
          <t>Pièces reçues / manquantes</t>
        </is>
      </c>
      <c r="C47" s="17" t="n"/>
      <c r="D47" s="18" t="n"/>
    </row>
    <row r="48">
      <c r="A48" s="4" t="inlineStr">
        <is>
          <t>G50 2026</t>
        </is>
      </c>
      <c r="B48" s="12" t="inlineStr">
        <is>
          <t>Contrôle TVA / IRG / timbre / TA des G50 IMPORT janv.–août</t>
        </is>
      </c>
      <c r="C48" s="17" t="n"/>
      <c r="D48" s="18" t="n"/>
    </row>
    <row r="49">
      <c r="A49" s="4" t="inlineStr">
        <is>
          <t>G50 TPM 2026</t>
        </is>
      </c>
      <c r="B49" s="12" t="inlineStr">
        <is>
          <t>Contrôle des G50 TPM et location (janv.–août)</t>
        </is>
      </c>
      <c r="C49" s="17" t="n"/>
      <c r="D49" s="18" t="n"/>
    </row>
    <row r="50">
      <c r="A50" s="4" t="inlineStr">
        <is>
          <t>Contrôle 2023</t>
        </is>
      </c>
      <c r="B50" s="12" t="inlineStr">
        <is>
          <t>Journal 2023 vs à-nouveaux 2024 ; historique TVA TPM</t>
        </is>
      </c>
      <c r="C50" s="17" t="n"/>
      <c r="D50" s="18" t="n"/>
    </row>
    <row r="51">
      <c r="A51" s="4" t="inlineStr">
        <is>
          <t>Clients &amp; fournisseurs</t>
        </is>
      </c>
      <c r="B51" s="12" t="inlineStr">
        <is>
          <t>Soldes par tiers au 31/12/2025, catégories de risque, décision 2026</t>
        </is>
      </c>
      <c r="C51" s="17" t="n"/>
      <c r="D51" s="18" t="n"/>
    </row>
    <row r="52">
      <c r="A52" s="4" t="inlineStr">
        <is>
          <t>Démarrage 2026</t>
        </is>
      </c>
      <c r="B52" s="12" t="inlineStr">
        <is>
          <t>Parties liées, écritures de régularisation, règles de tenue 2026</t>
        </is>
      </c>
      <c r="C52" s="17" t="n"/>
      <c r="D52" s="18" t="n"/>
    </row>
    <row r="53">
      <c r="A53" s="4" t="inlineStr">
        <is>
          <t>Registre de commerce</t>
        </is>
      </c>
      <c r="B53" s="12" t="inlineStr">
        <is>
          <t>Extraits CNRC 2024 et 2026 : activités, gérants, validité, augmentation de capital</t>
        </is>
      </c>
      <c r="C53" s="17" t="n"/>
      <c r="D53" s="18" t="n"/>
    </row>
    <row r="54">
      <c r="A54" s="4" t="inlineStr">
        <is>
          <t>Banque CPA 2026</t>
        </is>
      </c>
      <c r="B54" s="12" t="inlineStr">
        <is>
          <t>Flux CPA oct. 2025 – oct. 2026, preuves de paiement, rapprochement 31/12/2025</t>
        </is>
      </c>
      <c r="C54" s="17" t="n"/>
      <c r="D54" s="18" t="n"/>
    </row>
    <row r="55">
      <c r="A55" s="4" t="inlineStr">
        <is>
          <t>Relevé CPA 2026</t>
        </is>
      </c>
      <c r="B55" s="12" t="inlineStr">
        <is>
          <t>871 opérations catégorisées, pointage 2025 et pièce proposée</t>
        </is>
      </c>
      <c r="C55" s="17" t="n"/>
      <c r="D55" s="18" t="n"/>
    </row>
    <row r="56">
      <c r="A56" s="4" t="inlineStr">
        <is>
          <t>Balance 2024-2025</t>
        </is>
      </c>
      <c r="B56" s="12" t="inlineStr">
        <is>
          <t>Balance générale issue des journaux PCCOMPTA</t>
        </is>
      </c>
      <c r="C56" s="17" t="n"/>
      <c r="D56" s="18" t="n"/>
    </row>
    <row r="57">
      <c r="A57" s="4" t="inlineStr">
        <is>
          <t>États 2024-2025</t>
        </is>
      </c>
      <c r="B57" s="12" t="inlineStr">
        <is>
          <t>Compte de résultat et bilan simplifiés, indicateurs</t>
        </is>
      </c>
      <c r="C57" s="17" t="n"/>
      <c r="D57" s="18" t="n"/>
    </row>
    <row r="60">
      <c r="A60" s="2" t="inlineStr">
        <is>
          <t>Légende : bleu = saisie depuis une pièce ; vert = lien vers une autre feuille ; noir = calcul ; fond jaune = à compléter.</t>
        </is>
      </c>
    </row>
    <row r="62">
      <c r="A62" s="10" t="inlineStr">
        <is>
          <t>Exercices comptables</t>
        </is>
      </c>
    </row>
    <row r="63">
      <c r="A63" s="11" t="inlineStr">
        <is>
          <t>Indicateur</t>
        </is>
      </c>
      <c r="B63" s="11" t="inlineStr">
        <is>
          <t>2024</t>
        </is>
      </c>
      <c r="C63" s="11" t="inlineStr">
        <is>
          <t>2025</t>
        </is>
      </c>
      <c r="D63" s="11" t="inlineStr">
        <is>
          <t>Variation</t>
        </is>
      </c>
    </row>
    <row r="64">
      <c r="A64" s="4" t="inlineStr">
        <is>
          <t>Chiffre d'affaires</t>
        </is>
      </c>
      <c r="B64" s="6">
        <f>'États 2024-2025'!C5</f>
        <v/>
      </c>
      <c r="C64" s="6">
        <f>'États 2024-2025'!D5</f>
        <v/>
      </c>
      <c r="D64" s="19">
        <f>IF(B64=0,"",C64/B64-1)</f>
        <v/>
      </c>
    </row>
    <row r="65">
      <c r="A65" s="4" t="inlineStr">
        <is>
          <t>Charges de personnel</t>
        </is>
      </c>
      <c r="B65" s="6">
        <f>'États 2024-2025'!C10</f>
        <v/>
      </c>
      <c r="C65" s="6">
        <f>'États 2024-2025'!D10</f>
        <v/>
      </c>
      <c r="D65" s="19">
        <f>IF(B65=0,"",C65/B65-1)</f>
        <v/>
      </c>
    </row>
    <row r="66">
      <c r="A66" s="4" t="inlineStr">
        <is>
          <t>Résultat net</t>
        </is>
      </c>
      <c r="B66" s="6">
        <f>'États 2024-2025'!C16</f>
        <v/>
      </c>
      <c r="C66" s="6">
        <f>'États 2024-2025'!D16</f>
        <v/>
      </c>
      <c r="D66" s="19">
        <f>IF(B66=0,"",C66/B66-1)</f>
        <v/>
      </c>
    </row>
  </sheetData>
  <mergeCells count="18">
    <mergeCell ref="B42:D42"/>
    <mergeCell ref="B54:D54"/>
    <mergeCell ref="B45:D45"/>
    <mergeCell ref="B46:D46"/>
    <mergeCell ref="B41:D41"/>
    <mergeCell ref="B57:D57"/>
    <mergeCell ref="B49:D49"/>
    <mergeCell ref="B50:D50"/>
    <mergeCell ref="B40:D40"/>
    <mergeCell ref="B56:D56"/>
    <mergeCell ref="B52:D52"/>
    <mergeCell ref="B44:D44"/>
    <mergeCell ref="B53:D53"/>
    <mergeCell ref="B43:D43"/>
    <mergeCell ref="B55:D55"/>
    <mergeCell ref="B51:D51"/>
    <mergeCell ref="B47:D47"/>
    <mergeCell ref="B48:D48"/>
  </mergeCell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C23"/>
  <sheetViews>
    <sheetView showGridLines="0" workbookViewId="0">
      <selection activeCell="A1" sqref="A1"/>
    </sheetView>
  </sheetViews>
  <sheetFormatPr baseColWidth="8" defaultRowHeight="15"/>
  <cols>
    <col width="46" customWidth="1" min="1" max="1"/>
    <col width="26" customWidth="1" min="2" max="2"/>
    <col width="70" customWidth="1" min="3" max="3"/>
  </cols>
  <sheetData>
    <row r="1">
      <c r="A1" s="1" t="inlineStr">
        <is>
          <t>Paramètres et hypothèses</t>
        </is>
      </c>
    </row>
    <row r="2">
      <c r="A2" s="2" t="inlineStr">
        <is>
          <t>Cellules en bleu sur fond jaune = hypothèses modifiables. Toutes les feuilles y renvoient.</t>
        </is>
      </c>
    </row>
    <row r="4">
      <c r="A4" s="11" t="inlineStr">
        <is>
          <t>Paramètre</t>
        </is>
      </c>
      <c r="B4" s="11" t="inlineStr">
        <is>
          <t>Valeur</t>
        </is>
      </c>
      <c r="C4" s="11" t="inlineStr">
        <is>
          <t>Source / commentaire</t>
        </is>
      </c>
    </row>
    <row r="5">
      <c r="A5" s="12" t="inlineStr">
        <is>
          <t>Taux CNAS régime général (R22)</t>
        </is>
      </c>
      <c r="B5" s="20" t="n">
        <v>0.345</v>
      </c>
      <c r="C5" s="21" t="inlineStr">
        <is>
          <t>Déclarations CNAS 2026 fournies (code R22)</t>
        </is>
      </c>
    </row>
    <row r="6">
      <c r="A6" s="12" t="inlineStr">
        <is>
          <t>Taux FNPOS (R98)</t>
        </is>
      </c>
      <c r="B6" s="20" t="n">
        <v>0.005</v>
      </c>
      <c r="C6" s="21" t="inlineStr">
        <is>
          <t>Déclarations CNAS 2026 fournies (code R98)</t>
        </is>
      </c>
    </row>
    <row r="7">
      <c r="A7" s="12" t="inlineStr">
        <is>
          <t>Part salariale sécurité sociale</t>
        </is>
      </c>
      <c r="B7" s="20" t="n">
        <v>0.09</v>
      </c>
      <c r="C7" s="21" t="inlineStr">
        <is>
          <t>Rubrique R510 des centralisateurs de paie (9 % du salaire de poste)</t>
        </is>
      </c>
    </row>
    <row r="8">
      <c r="A8" s="12" t="inlineStr">
        <is>
          <t>Part patronale (= R22 + R98 − part salariale)</t>
        </is>
      </c>
      <c r="B8" s="19">
        <f>B5+B6-B7</f>
        <v/>
      </c>
      <c r="C8" s="21" t="inlineStr">
        <is>
          <t>Calculée — charge employeur compte 635</t>
        </is>
      </c>
    </row>
    <row r="9">
      <c r="A9" s="12" t="inlineStr">
        <is>
          <t>Raison sociale</t>
        </is>
      </c>
      <c r="B9" s="22" t="inlineStr">
        <is>
          <t>SARL D.P.R. COMPAGNY</t>
        </is>
      </c>
      <c r="C9" s="21" t="inlineStr">
        <is>
          <t>Déclarations CNAS</t>
        </is>
      </c>
    </row>
    <row r="10">
      <c r="A10" s="12" t="inlineStr">
        <is>
          <t>Établissement IMPORT — n° cotisant CNAS</t>
        </is>
      </c>
      <c r="B10" s="22" t="inlineStr">
        <is>
          <t>06713395 46</t>
        </is>
      </c>
      <c r="C10" s="21" t="inlineStr">
        <is>
          <t>VGE TIZI, CNE SEMAOUN, BEJAIA</t>
        </is>
      </c>
    </row>
    <row r="11">
      <c r="A11" s="12" t="inlineStr">
        <is>
          <t>Établissement TPM — n° cotisant CNAS</t>
        </is>
      </c>
      <c r="B11" s="22" t="inlineStr">
        <is>
          <t>06736613 53</t>
        </is>
      </c>
      <c r="C11" s="21" t="inlineStr">
        <is>
          <t>TISSA, CNE DE SMAOUN, W. BEJAIA</t>
        </is>
      </c>
    </row>
    <row r="12">
      <c r="A12" s="12" t="inlineStr">
        <is>
          <t>Agence CNAS</t>
        </is>
      </c>
      <c r="B12" s="22" t="inlineStr">
        <is>
          <t>10600 — CNAS BEJAIA</t>
        </is>
      </c>
      <c r="C12" s="21" t="inlineStr">
        <is>
          <t>Déclarations CNAS</t>
        </is>
      </c>
    </row>
    <row r="13">
      <c r="A13" s="12" t="inlineStr">
        <is>
          <t>NIS (ONS)</t>
        </is>
      </c>
      <c r="B13" s="22" t="inlineStr">
        <is>
          <t>000306120253953</t>
        </is>
      </c>
      <c r="C13" s="21" t="inlineStr">
        <is>
          <t>Avis d'identification statistique</t>
        </is>
      </c>
    </row>
    <row r="14">
      <c r="A14" s="12" t="inlineStr">
        <is>
          <t>Date d'arrêté du dossier</t>
        </is>
      </c>
      <c r="B14" s="22" t="inlineStr">
        <is>
          <t>01/10/2026</t>
        </is>
      </c>
      <c r="C14" s="21" t="inlineStr">
        <is>
          <t>Date de constitution</t>
        </is>
      </c>
    </row>
    <row r="15">
      <c r="A15" s="10" t="inlineStr">
        <is>
          <t>Plan de comptes utilisé (SCF algérien)</t>
        </is>
      </c>
    </row>
    <row r="16">
      <c r="A16" s="11" t="inlineStr">
        <is>
          <t>Compte</t>
        </is>
      </c>
      <c r="B16" s="11" t="inlineStr">
        <is>
          <t>Intitulé</t>
        </is>
      </c>
      <c r="C16" s="11" t="inlineStr">
        <is>
          <t>Contenu</t>
        </is>
      </c>
    </row>
    <row r="17">
      <c r="A17" s="12" t="inlineStr">
        <is>
          <t>631</t>
        </is>
      </c>
      <c r="B17" s="12" t="inlineStr">
        <is>
          <t>Rémunérations du personnel</t>
        </is>
      </c>
      <c r="C17" s="12" t="inlineStr">
        <is>
          <t>Salaire de poste (R500) + prime de ponctualité (R540)</t>
        </is>
      </c>
    </row>
    <row r="18">
      <c r="A18" s="12" t="inlineStr">
        <is>
          <t>638</t>
        </is>
      </c>
      <c r="B18" s="12" t="inlineStr">
        <is>
          <t>Autres charges de personnel</t>
        </is>
      </c>
      <c r="C18" s="12" t="inlineStr">
        <is>
          <t>Indemnités de panier (R522) et de transport (R532)</t>
        </is>
      </c>
    </row>
    <row r="19">
      <c r="A19" s="12" t="inlineStr">
        <is>
          <t>625</t>
        </is>
      </c>
      <c r="B19" s="12" t="inlineStr">
        <is>
          <t>Déplacements, missions et réceptions</t>
        </is>
      </c>
      <c r="C19" s="12" t="inlineStr">
        <is>
          <t>Frais de mission (R670), à justifier par ordres de mission</t>
        </is>
      </c>
    </row>
    <row r="20">
      <c r="A20" s="12" t="inlineStr">
        <is>
          <t>635</t>
        </is>
      </c>
      <c r="B20" s="12" t="inlineStr">
        <is>
          <t>Cotisations aux organismes sociaux</t>
        </is>
      </c>
      <c r="C20" s="12" t="inlineStr">
        <is>
          <t>Part patronale CNAS (26 % de l'assiette)</t>
        </is>
      </c>
    </row>
    <row r="21">
      <c r="A21" s="12" t="inlineStr">
        <is>
          <t>431</t>
        </is>
      </c>
      <c r="B21" s="12" t="inlineStr">
        <is>
          <t>Organismes sociaux — CNAS</t>
        </is>
      </c>
      <c r="C21" s="12" t="inlineStr">
        <is>
          <t>Parts salariale + patronale à reverser ; salaire unique avancé (à valider)</t>
        </is>
      </c>
    </row>
    <row r="22">
      <c r="A22" s="12" t="inlineStr">
        <is>
          <t>442</t>
        </is>
      </c>
      <c r="B22" s="12" t="inlineStr">
        <is>
          <t>État, impôts et taxes recouvrables sur tiers</t>
        </is>
      </c>
      <c r="C22" s="12" t="inlineStr">
        <is>
          <t>IRG retenu à la source (R660), à reverser via G50</t>
        </is>
      </c>
    </row>
    <row r="23">
      <c r="A23" s="12" t="inlineStr">
        <is>
          <t>421</t>
        </is>
      </c>
      <c r="B23" s="12" t="inlineStr">
        <is>
          <t>Personnel, rémunérations dues</t>
        </is>
      </c>
      <c r="C23" s="12" t="inlineStr">
        <is>
          <t>Net à payer (R770)</t>
        </is>
      </c>
    </row>
  </sheetData>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K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IMPORT (centralisateurs 2026)</t>
        </is>
      </c>
    </row>
    <row r="2">
      <c r="A2" s="2" t="inlineStr">
        <is>
          <t>Source : PAIE_2026_DPR_COMPANY_IMPORT.xlsx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12</v>
      </c>
      <c r="D5" s="23" t="n">
        <v>12</v>
      </c>
      <c r="E5" s="24" t="n"/>
      <c r="F5" s="23" t="n">
        <v>5</v>
      </c>
      <c r="G5" s="23" t="n">
        <v>5</v>
      </c>
      <c r="H5" s="23" t="n">
        <v>5</v>
      </c>
      <c r="I5" s="23" t="n">
        <v>5</v>
      </c>
      <c r="J5" s="23" t="n">
        <v>5</v>
      </c>
      <c r="K5" s="12" t="n"/>
    </row>
    <row r="6">
      <c r="A6" s="12" t="inlineStr">
        <is>
          <t>R030</t>
        </is>
      </c>
      <c r="B6" s="12" t="inlineStr">
        <is>
          <t>Salaire de base</t>
        </is>
      </c>
      <c r="C6" s="25" t="n">
        <v>446760</v>
      </c>
      <c r="D6" s="25" t="n">
        <v>446760</v>
      </c>
      <c r="E6" s="26" t="n"/>
      <c r="F6" s="25" t="n">
        <v>242000</v>
      </c>
      <c r="G6" s="25" t="n">
        <v>242000</v>
      </c>
      <c r="H6" s="25" t="n">
        <v>242000</v>
      </c>
      <c r="I6" s="25" t="n">
        <v>215325</v>
      </c>
      <c r="J6" s="25" t="n">
        <v>215325</v>
      </c>
      <c r="K6" s="27">
        <f>SUM(C6:J6)</f>
        <v/>
      </c>
    </row>
    <row r="7">
      <c r="A7" s="12" t="inlineStr">
        <is>
          <t>R065</t>
        </is>
      </c>
      <c r="B7" s="12" t="inlineStr">
        <is>
          <t>Heures d'absence (retenue)</t>
        </is>
      </c>
      <c r="C7" s="25" t="n">
        <v>12207.85</v>
      </c>
      <c r="D7" s="25" t="n">
        <v>185066.01</v>
      </c>
      <c r="E7" s="26" t="n"/>
      <c r="F7" s="25" t="n"/>
      <c r="G7" s="25" t="n"/>
      <c r="H7" s="25" t="n">
        <v>48000</v>
      </c>
      <c r="I7" s="25" t="n">
        <v>15492.09</v>
      </c>
      <c r="J7" s="25" t="n">
        <v>36892.47</v>
      </c>
      <c r="K7" s="27">
        <f>SUM(C7:J7)</f>
        <v/>
      </c>
    </row>
    <row r="8">
      <c r="A8" s="12" t="inlineStr">
        <is>
          <t>R061</t>
        </is>
      </c>
      <c r="B8" s="12" t="inlineStr">
        <is>
          <t>Jours reprise / congé (retenue)</t>
        </is>
      </c>
      <c r="C8" s="25" t="n"/>
      <c r="D8" s="25" t="n"/>
      <c r="E8" s="26" t="n"/>
      <c r="F8" s="25" t="n"/>
      <c r="G8" s="25" t="n"/>
      <c r="H8" s="25" t="n"/>
      <c r="I8" s="25" t="n">
        <v>194000</v>
      </c>
      <c r="J8" s="25" t="n"/>
      <c r="K8" s="27">
        <f>SUM(C8:J8)</f>
        <v/>
      </c>
    </row>
    <row r="9">
      <c r="A9" s="12" t="inlineStr">
        <is>
          <t>R100</t>
        </is>
      </c>
      <c r="B9" s="12" t="inlineStr">
        <is>
          <t>Congé</t>
        </is>
      </c>
      <c r="C9" s="25" t="n"/>
      <c r="D9" s="25" t="n"/>
      <c r="E9" s="26" t="n"/>
      <c r="F9" s="25" t="n"/>
      <c r="G9" s="25" t="n"/>
      <c r="H9" s="25" t="n"/>
      <c r="I9" s="25" t="n">
        <v>289141.68</v>
      </c>
      <c r="J9" s="25" t="n"/>
      <c r="K9" s="27">
        <f>SUM(C9:J9)</f>
        <v/>
      </c>
    </row>
    <row r="10">
      <c r="A10" s="12" t="inlineStr">
        <is>
          <t>R112</t>
        </is>
      </c>
      <c r="B10" s="12" t="inlineStr">
        <is>
          <t>Heures supp. 50 %</t>
        </is>
      </c>
      <c r="C10" s="25" t="n">
        <v>100947.33</v>
      </c>
      <c r="D10" s="25" t="n">
        <v>28662.09</v>
      </c>
      <c r="E10" s="26" t="n"/>
      <c r="F10" s="25" t="n">
        <v>42370.04</v>
      </c>
      <c r="G10" s="25" t="n">
        <v>54187.96</v>
      </c>
      <c r="H10" s="25" t="n">
        <v>37779.96</v>
      </c>
      <c r="I10" s="25" t="n">
        <v>1494.83</v>
      </c>
      <c r="J10" s="25" t="n">
        <v>34373.73</v>
      </c>
      <c r="K10" s="27">
        <f>SUM(C10:J10)</f>
        <v/>
      </c>
    </row>
    <row r="11">
      <c r="A11" s="12" t="inlineStr">
        <is>
          <t>R122</t>
        </is>
      </c>
      <c r="B11" s="12" t="inlineStr">
        <is>
          <t>Heures supp. 75 %</t>
        </is>
      </c>
      <c r="C11" s="25" t="n">
        <v>89206.89999999999</v>
      </c>
      <c r="D11" s="25" t="n">
        <v>20483.47</v>
      </c>
      <c r="E11" s="26" t="n"/>
      <c r="F11" s="25" t="n">
        <v>26451.42</v>
      </c>
      <c r="G11" s="25" t="n">
        <v>33519.37</v>
      </c>
      <c r="H11" s="25" t="n">
        <v>22111</v>
      </c>
      <c r="I11" s="25" t="n">
        <v>3444.87</v>
      </c>
      <c r="J11" s="25" t="n">
        <v>21594.57</v>
      </c>
      <c r="K11" s="27">
        <f>SUM(C11:J11)</f>
        <v/>
      </c>
    </row>
    <row r="12">
      <c r="A12" s="12" t="inlineStr">
        <is>
          <t>R261</t>
        </is>
      </c>
      <c r="B12" s="12" t="inlineStr">
        <is>
          <t>I.E.P.</t>
        </is>
      </c>
      <c r="C12" s="25" t="n">
        <v>13842.47</v>
      </c>
      <c r="D12" s="25" t="n">
        <v>8092.77</v>
      </c>
      <c r="E12" s="26" t="n"/>
      <c r="F12" s="25" t="n">
        <v>8130</v>
      </c>
      <c r="G12" s="25" t="n">
        <v>8130</v>
      </c>
      <c r="H12" s="25" t="n">
        <v>5250</v>
      </c>
      <c r="I12" s="25" t="n"/>
      <c r="J12" s="25" t="n">
        <v>4228.39</v>
      </c>
      <c r="K12" s="27">
        <f>SUM(C12:J12)</f>
        <v/>
      </c>
    </row>
    <row r="13">
      <c r="A13" s="12" t="inlineStr">
        <is>
          <t>R281</t>
        </is>
      </c>
      <c r="B13" s="12" t="inlineStr">
        <is>
          <t>Nuisance</t>
        </is>
      </c>
      <c r="C13" s="25" t="n">
        <v>61544.89</v>
      </c>
      <c r="D13" s="25" t="n">
        <v>39262.19</v>
      </c>
      <c r="E13" s="26" t="n"/>
      <c r="F13" s="25" t="n">
        <v>37680</v>
      </c>
      <c r="G13" s="25" t="n">
        <v>37680</v>
      </c>
      <c r="H13" s="25" t="n">
        <v>30000</v>
      </c>
      <c r="I13" s="25" t="n">
        <v>583.29</v>
      </c>
      <c r="J13" s="25" t="n">
        <v>27013</v>
      </c>
      <c r="K13" s="27">
        <f>SUM(C13:J13)</f>
        <v/>
      </c>
    </row>
    <row r="14">
      <c r="A14" s="12" t="inlineStr">
        <is>
          <t>R291</t>
        </is>
      </c>
      <c r="B14" s="12" t="inlineStr">
        <is>
          <t>Responsabilité</t>
        </is>
      </c>
      <c r="C14" s="25" t="n">
        <v>5</v>
      </c>
      <c r="D14" s="25" t="n">
        <v>1.14</v>
      </c>
      <c r="E14" s="26" t="n"/>
      <c r="F14" s="25" t="n"/>
      <c r="G14" s="25" t="n"/>
      <c r="H14" s="25" t="n"/>
      <c r="I14" s="25" t="n"/>
      <c r="J14" s="25" t="n"/>
      <c r="K14" s="27">
        <f>SUM(C14:J14)</f>
        <v/>
      </c>
    </row>
    <row r="15">
      <c r="A15" s="12" t="inlineStr">
        <is>
          <t>R301</t>
        </is>
      </c>
      <c r="B15" s="12" t="inlineStr">
        <is>
          <t>P.R.I.</t>
        </is>
      </c>
      <c r="C15" s="25" t="n">
        <v>62673.03</v>
      </c>
      <c r="D15" s="25" t="n">
        <v>38872.02</v>
      </c>
      <c r="E15" s="26" t="n"/>
      <c r="F15" s="25" t="n">
        <v>36780</v>
      </c>
      <c r="G15" s="25" t="n">
        <v>36780</v>
      </c>
      <c r="H15" s="25" t="n">
        <v>29100</v>
      </c>
      <c r="I15" s="25" t="n">
        <v>349.97</v>
      </c>
      <c r="J15" s="25" t="n">
        <v>26327.06</v>
      </c>
      <c r="K15" s="27">
        <f>SUM(C15:J15)</f>
        <v/>
      </c>
    </row>
    <row r="16">
      <c r="A16" s="12" t="inlineStr">
        <is>
          <t>R320</t>
        </is>
      </c>
      <c r="B16" s="12" t="inlineStr">
        <is>
          <t>Prime de performance</t>
        </is>
      </c>
      <c r="C16" s="25" t="n">
        <v>55590</v>
      </c>
      <c r="D16" s="25" t="n">
        <v>21100</v>
      </c>
      <c r="E16" s="26" t="n"/>
      <c r="F16" s="25" t="n">
        <v>17970</v>
      </c>
      <c r="G16" s="25" t="n">
        <v>23470</v>
      </c>
      <c r="H16" s="25" t="n">
        <v>15000</v>
      </c>
      <c r="I16" s="25" t="n">
        <v>9500</v>
      </c>
      <c r="J16" s="25" t="n">
        <v>15000</v>
      </c>
      <c r="K16" s="27">
        <f>SUM(C16:J16)</f>
        <v/>
      </c>
    </row>
    <row r="17">
      <c r="A17" s="12" t="inlineStr">
        <is>
          <t>STC</t>
        </is>
      </c>
      <c r="B17" s="12" t="inlineStr">
        <is>
          <t>Solde de tout compte (R546 / R040)</t>
        </is>
      </c>
      <c r="C17" s="25" t="n"/>
      <c r="D17" s="25" t="n">
        <v>534308.14</v>
      </c>
      <c r="E17" s="26" t="n"/>
      <c r="F17" s="25" t="n"/>
      <c r="G17" s="25" t="n"/>
      <c r="H17" s="25" t="n"/>
      <c r="I17" s="25" t="n"/>
      <c r="J17" s="25" t="n">
        <v>2237.4</v>
      </c>
      <c r="K17" s="27">
        <f>SUM(C17:J17)</f>
        <v/>
      </c>
    </row>
    <row r="18">
      <c r="A18" s="12" t="inlineStr">
        <is>
          <t>R540</t>
        </is>
      </c>
      <c r="B18" s="12" t="inlineStr">
        <is>
          <t>Prime de ponctualité</t>
        </is>
      </c>
      <c r="C18" s="25" t="n">
        <v>17500</v>
      </c>
      <c r="D18" s="25" t="n">
        <v>8000</v>
      </c>
      <c r="E18" s="26" t="n"/>
      <c r="F18" s="25" t="n">
        <v>7500</v>
      </c>
      <c r="G18" s="25" t="n">
        <v>7500</v>
      </c>
      <c r="H18" s="25" t="n">
        <v>5500</v>
      </c>
      <c r="I18" s="25" t="n">
        <v>3000</v>
      </c>
      <c r="J18" s="25" t="n">
        <v>3000</v>
      </c>
      <c r="K18" s="27">
        <f>SUM(C18:J18)</f>
        <v/>
      </c>
    </row>
    <row r="19">
      <c r="A19" s="4" t="inlineStr">
        <is>
          <t>R500</t>
        </is>
      </c>
      <c r="B19" s="4" t="inlineStr">
        <is>
          <t>SALAIRE DE POSTE (assiette CNAS)</t>
        </is>
      </c>
      <c r="C19" s="28" t="n">
        <v>818361.77</v>
      </c>
      <c r="D19" s="28" t="n">
        <v>952475.8100000001</v>
      </c>
      <c r="E19" s="28" t="n"/>
      <c r="F19" s="28" t="n">
        <v>411381.46</v>
      </c>
      <c r="G19" s="28" t="n">
        <v>435767.33</v>
      </c>
      <c r="H19" s="28" t="n">
        <v>333240.96</v>
      </c>
      <c r="I19" s="28" t="n">
        <v>310347.55</v>
      </c>
      <c r="J19" s="28" t="n">
        <v>309206.68</v>
      </c>
      <c r="K19" s="7">
        <f>SUM(C19:J19)</f>
        <v/>
      </c>
    </row>
    <row r="20">
      <c r="A20" s="12" t="inlineStr">
        <is>
          <t>R500E</t>
        </is>
      </c>
      <c r="B20" s="12" t="inlineStr">
        <is>
          <t>Effectif cotisant (R500)</t>
        </is>
      </c>
      <c r="C20" s="23" t="n">
        <v>12</v>
      </c>
      <c r="D20" s="23" t="n">
        <v>12</v>
      </c>
      <c r="E20" s="24" t="n"/>
      <c r="F20" s="23" t="n">
        <v>5</v>
      </c>
      <c r="G20" s="23" t="n">
        <v>5</v>
      </c>
      <c r="H20" s="23" t="n">
        <v>4</v>
      </c>
      <c r="I20" s="23" t="n">
        <v>5</v>
      </c>
      <c r="J20" s="23" t="n">
        <v>5</v>
      </c>
      <c r="K20" s="12" t="n"/>
    </row>
    <row r="21">
      <c r="A21" s="12" t="inlineStr">
        <is>
          <t>R510</t>
        </is>
      </c>
      <c r="B21" s="12" t="inlineStr">
        <is>
          <t>Retenue sécurité sociale 9 %</t>
        </is>
      </c>
      <c r="C21" s="25" t="n">
        <v>73652.56</v>
      </c>
      <c r="D21" s="25" t="n">
        <v>85722.83</v>
      </c>
      <c r="E21" s="26" t="n"/>
      <c r="F21" s="25" t="n">
        <v>37024.34</v>
      </c>
      <c r="G21" s="25" t="n">
        <v>39219.06</v>
      </c>
      <c r="H21" s="25" t="n">
        <v>29991.69</v>
      </c>
      <c r="I21" s="25" t="n">
        <v>27931.28</v>
      </c>
      <c r="J21" s="25" t="n">
        <v>27828.6</v>
      </c>
      <c r="K21" s="27">
        <f>SUM(C21:J21)</f>
        <v/>
      </c>
    </row>
    <row r="22">
      <c r="A22" s="12" t="inlineStr">
        <is>
          <t>R522</t>
        </is>
      </c>
      <c r="B22" s="12" t="inlineStr">
        <is>
          <t>Panier</t>
        </is>
      </c>
      <c r="C22" s="25" t="n">
        <v>36036</v>
      </c>
      <c r="D22" s="25" t="n">
        <v>19188</v>
      </c>
      <c r="E22" s="26" t="n"/>
      <c r="F22" s="25" t="n">
        <v>13728</v>
      </c>
      <c r="G22" s="25" t="n">
        <v>13728</v>
      </c>
      <c r="H22" s="25" t="n">
        <v>10296</v>
      </c>
      <c r="I22" s="25" t="n">
        <v>936</v>
      </c>
      <c r="J22" s="25" t="n">
        <v>9516</v>
      </c>
      <c r="K22" s="27">
        <f>SUM(C22:J22)</f>
        <v/>
      </c>
    </row>
    <row r="23">
      <c r="A23" s="12" t="inlineStr">
        <is>
          <t>R532</t>
        </is>
      </c>
      <c r="B23" s="12" t="inlineStr">
        <is>
          <t>Transport</t>
        </is>
      </c>
      <c r="C23" s="25" t="n">
        <v>20845.62</v>
      </c>
      <c r="D23" s="25" t="n">
        <v>11811.16</v>
      </c>
      <c r="E23" s="26" t="n"/>
      <c r="F23" s="25" t="n">
        <v>8800</v>
      </c>
      <c r="G23" s="25" t="n">
        <v>8800</v>
      </c>
      <c r="H23" s="25" t="n">
        <v>6600</v>
      </c>
      <c r="I23" s="25" t="n">
        <v>601.74</v>
      </c>
      <c r="J23" s="25" t="n">
        <v>6102.95</v>
      </c>
      <c r="K23" s="27">
        <f>SUM(C23:J23)</f>
        <v/>
      </c>
    </row>
    <row r="24">
      <c r="A24" s="4" t="inlineStr">
        <is>
          <t>R650</t>
        </is>
      </c>
      <c r="B24" s="4" t="inlineStr">
        <is>
          <t>Base imposable IRG</t>
        </is>
      </c>
      <c r="C24" s="28" t="n">
        <v>819090.83</v>
      </c>
      <c r="D24" s="28" t="n">
        <v>905752.15</v>
      </c>
      <c r="E24" s="28" t="n"/>
      <c r="F24" s="28" t="n">
        <v>404385.13</v>
      </c>
      <c r="G24" s="28" t="n">
        <v>426576.27</v>
      </c>
      <c r="H24" s="28" t="n">
        <v>325645.27</v>
      </c>
      <c r="I24" s="28" t="n">
        <v>286954.01</v>
      </c>
      <c r="J24" s="28" t="n">
        <v>299997.03</v>
      </c>
      <c r="K24" s="7">
        <f>SUM(C24:J24)</f>
        <v/>
      </c>
    </row>
    <row r="25">
      <c r="A25" s="12" t="inlineStr">
        <is>
          <t>R660</t>
        </is>
      </c>
      <c r="B25" s="12" t="inlineStr">
        <is>
          <t>Retenue IRG</t>
        </is>
      </c>
      <c r="C25" s="25" t="n">
        <v>132616.39</v>
      </c>
      <c r="D25" s="25" t="n">
        <v>162285.9</v>
      </c>
      <c r="E25" s="26" t="n"/>
      <c r="F25" s="25" t="n">
        <v>72478</v>
      </c>
      <c r="G25" s="25" t="n">
        <v>79138</v>
      </c>
      <c r="H25" s="25" t="n">
        <v>59017.5</v>
      </c>
      <c r="I25" s="25" t="n">
        <v>42612.3</v>
      </c>
      <c r="J25" s="25" t="n">
        <v>49667.4</v>
      </c>
      <c r="K25" s="27">
        <f>SUM(C25:J25)</f>
        <v/>
      </c>
    </row>
    <row r="26">
      <c r="A26" s="12" t="inlineStr">
        <is>
          <t>R670</t>
        </is>
      </c>
      <c r="B26" s="12" t="inlineStr">
        <is>
          <t>Frais de mission</t>
        </is>
      </c>
      <c r="C26" s="25" t="n">
        <v>67580</v>
      </c>
      <c r="D26" s="25" t="n">
        <v>14280</v>
      </c>
      <c r="E26" s="26" t="n"/>
      <c r="F26" s="25" t="n">
        <v>7775</v>
      </c>
      <c r="G26" s="25" t="n">
        <v>3640</v>
      </c>
      <c r="H26" s="25" t="n">
        <v>3350</v>
      </c>
      <c r="I26" s="25" t="n">
        <v>4165</v>
      </c>
      <c r="J26" s="25" t="n"/>
      <c r="K26" s="27">
        <f>SUM(C26:J26)</f>
        <v/>
      </c>
    </row>
    <row r="27">
      <c r="A27" s="12" t="inlineStr">
        <is>
          <t>R714</t>
        </is>
      </c>
      <c r="B27" s="12" t="inlineStr">
        <is>
          <t>Salaire unique</t>
        </is>
      </c>
      <c r="C27" s="25" t="n">
        <v>1500</v>
      </c>
      <c r="D27" s="25" t="n">
        <v>1500</v>
      </c>
      <c r="E27" s="26" t="n"/>
      <c r="F27" s="25" t="n">
        <v>2500</v>
      </c>
      <c r="G27" s="25" t="n">
        <v>2500</v>
      </c>
      <c r="H27" s="25" t="n">
        <v>2500</v>
      </c>
      <c r="I27" s="25" t="n">
        <v>2500</v>
      </c>
      <c r="J27" s="25" t="n">
        <v>2500</v>
      </c>
      <c r="K27" s="27">
        <f>SUM(C27:J27)</f>
        <v/>
      </c>
    </row>
    <row r="28">
      <c r="A28" s="12" t="inlineStr">
        <is>
          <t>R770</t>
        </is>
      </c>
      <c r="B28" s="12" t="inlineStr">
        <is>
          <t>NET À PAYER</t>
        </is>
      </c>
      <c r="C28" s="25" t="n">
        <v>755554.4399999999</v>
      </c>
      <c r="D28" s="25" t="n">
        <v>759246.24</v>
      </c>
      <c r="E28" s="26" t="n"/>
      <c r="F28" s="25" t="n">
        <v>342182.12</v>
      </c>
      <c r="G28" s="25" t="n">
        <v>353578.27</v>
      </c>
      <c r="H28" s="25" t="n">
        <v>272477.77</v>
      </c>
      <c r="I28" s="25" t="n">
        <v>251006.71</v>
      </c>
      <c r="J28" s="25" t="n">
        <v>252829.63</v>
      </c>
      <c r="K28" s="27">
        <f>SUM(C28:J28)</f>
        <v/>
      </c>
    </row>
    <row r="29">
      <c r="A29" s="12" t="inlineStr">
        <is>
          <t>TGG</t>
        </is>
      </c>
      <c r="B29" s="12" t="inlineStr">
        <is>
          <t>Total général — gains</t>
        </is>
      </c>
      <c r="C29" s="25" t="n">
        <v>974031.24</v>
      </c>
      <c r="D29" s="25" t="n">
        <v>1192320.98</v>
      </c>
      <c r="E29" s="26" t="n"/>
      <c r="F29" s="25" t="n">
        <v>451684.46</v>
      </c>
      <c r="G29" s="25" t="n">
        <v>471935.33</v>
      </c>
      <c r="H29" s="25" t="n">
        <v>409486.96</v>
      </c>
      <c r="I29" s="25" t="n">
        <v>531042.38</v>
      </c>
      <c r="J29" s="25" t="n">
        <v>367218.1</v>
      </c>
      <c r="K29" s="27">
        <f>SUM(C29:J29)</f>
        <v/>
      </c>
    </row>
    <row r="30">
      <c r="A30" s="12" t="inlineStr">
        <is>
          <t>TGR</t>
        </is>
      </c>
      <c r="B30" s="12" t="inlineStr">
        <is>
          <t>Total général — retenues</t>
        </is>
      </c>
      <c r="C30" s="25" t="n">
        <v>974031.24</v>
      </c>
      <c r="D30" s="25" t="n">
        <v>1192320.98</v>
      </c>
      <c r="E30" s="26" t="n"/>
      <c r="F30" s="25" t="n">
        <v>451684.46</v>
      </c>
      <c r="G30" s="25" t="n">
        <v>471935.33</v>
      </c>
      <c r="H30" s="25" t="n">
        <v>409486.96</v>
      </c>
      <c r="I30" s="25" t="n">
        <v>531042.38</v>
      </c>
      <c r="J30" s="25" t="n">
        <v>367218.1</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row r="39">
      <c r="A39" s="31" t="inlineStr">
        <is>
          <t>Mars 2026 : centralisateur absent du fichier source (colonne grisée). Voir anomalie A02.</t>
        </is>
      </c>
    </row>
  </sheetData>
  <pageMargins left="0.75" right="0.75" top="1" bottom="1" header="0.5" footer="0.5"/>
  <pageSetup orientation="landscape" fitToHeight="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K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TPM (centralisateurs 2026)</t>
        </is>
      </c>
    </row>
    <row r="2">
      <c r="A2" s="2" t="inlineStr">
        <is>
          <t>Source : PAIE_2026_DPR_COMPANY_TPM.xlsx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3</v>
      </c>
      <c r="D5" s="23" t="n">
        <v>3</v>
      </c>
      <c r="E5" s="23" t="n">
        <v>3</v>
      </c>
      <c r="F5" s="23" t="n">
        <v>3</v>
      </c>
      <c r="G5" s="23" t="n">
        <v>3</v>
      </c>
      <c r="H5" s="23" t="n">
        <v>3</v>
      </c>
      <c r="I5" s="23" t="n">
        <v>2</v>
      </c>
      <c r="J5" s="23" t="n">
        <v>1</v>
      </c>
      <c r="K5" s="12" t="n"/>
    </row>
    <row r="6">
      <c r="A6" s="12" t="inlineStr">
        <is>
          <t>R030</t>
        </is>
      </c>
      <c r="B6" s="12" t="inlineStr">
        <is>
          <t>Salaire de base</t>
        </is>
      </c>
      <c r="C6" s="25" t="n">
        <v>90700</v>
      </c>
      <c r="D6" s="25" t="n">
        <v>90700</v>
      </c>
      <c r="E6" s="25" t="n">
        <v>90700</v>
      </c>
      <c r="F6" s="25" t="n">
        <v>90700</v>
      </c>
      <c r="G6" s="25" t="n">
        <v>90700</v>
      </c>
      <c r="H6" s="25" t="n">
        <v>90700</v>
      </c>
      <c r="I6" s="25" t="n">
        <v>58200</v>
      </c>
      <c r="J6" s="25" t="n">
        <v>29100</v>
      </c>
      <c r="K6" s="27">
        <f>SUM(C6:J6)</f>
        <v/>
      </c>
    </row>
    <row r="7">
      <c r="A7" s="12" t="inlineStr">
        <is>
          <t>R065</t>
        </is>
      </c>
      <c r="B7" s="12" t="inlineStr">
        <is>
          <t>Heures d'absence (retenue)</t>
        </is>
      </c>
      <c r="C7" s="25" t="n">
        <v>57135.54</v>
      </c>
      <c r="D7" s="25" t="n">
        <v>46807.84</v>
      </c>
      <c r="E7" s="25" t="n">
        <v>36459.52</v>
      </c>
      <c r="F7" s="25" t="n">
        <v>32051.31</v>
      </c>
      <c r="G7" s="25" t="n">
        <v>32051.31</v>
      </c>
      <c r="H7" s="25" t="n">
        <v>61600</v>
      </c>
      <c r="I7" s="25" t="n">
        <v>29100</v>
      </c>
      <c r="J7" s="25" t="n"/>
      <c r="K7" s="27">
        <f>SUM(C7:J7)</f>
        <v/>
      </c>
    </row>
    <row r="8">
      <c r="A8" s="12" t="inlineStr">
        <is>
          <t>R061</t>
        </is>
      </c>
      <c r="B8" s="12" t="inlineStr">
        <is>
          <t>Jours reprise / congé (retenue)</t>
        </is>
      </c>
      <c r="C8" s="25" t="n"/>
      <c r="D8" s="25" t="n"/>
      <c r="E8" s="25" t="n"/>
      <c r="F8" s="25" t="n"/>
      <c r="G8" s="25" t="n"/>
      <c r="H8" s="25" t="n"/>
      <c r="I8" s="25" t="n"/>
      <c r="J8" s="25" t="n"/>
      <c r="K8" s="27">
        <f>SUM(C8:J8)</f>
        <v/>
      </c>
    </row>
    <row r="9">
      <c r="A9" s="12" t="inlineStr">
        <is>
          <t>R100</t>
        </is>
      </c>
      <c r="B9" s="12" t="inlineStr">
        <is>
          <t>Congé</t>
        </is>
      </c>
      <c r="C9" s="25" t="n"/>
      <c r="D9" s="25" t="n"/>
      <c r="E9" s="25" t="n"/>
      <c r="F9" s="25" t="n"/>
      <c r="G9" s="25" t="n"/>
      <c r="H9" s="25" t="n"/>
      <c r="I9" s="25" t="n"/>
      <c r="J9" s="25" t="n"/>
      <c r="K9" s="27">
        <f>SUM(C9:J9)</f>
        <v/>
      </c>
    </row>
    <row r="10">
      <c r="A10" s="12" t="inlineStr">
        <is>
          <t>R112</t>
        </is>
      </c>
      <c r="B10" s="12" t="inlineStr">
        <is>
          <t>Heures supp. 50 %</t>
        </is>
      </c>
      <c r="C10" s="25" t="n"/>
      <c r="D10" s="25" t="n"/>
      <c r="E10" s="25" t="n">
        <v>8360.809999999999</v>
      </c>
      <c r="F10" s="25" t="n">
        <v>8360.809999999999</v>
      </c>
      <c r="G10" s="25" t="n">
        <v>8360.809999999999</v>
      </c>
      <c r="H10" s="25" t="n">
        <v>7303.12</v>
      </c>
      <c r="I10" s="25" t="n">
        <v>1473.22</v>
      </c>
      <c r="J10" s="25" t="n">
        <v>1473.22</v>
      </c>
      <c r="K10" s="27">
        <f>SUM(C10:J10)</f>
        <v/>
      </c>
    </row>
    <row r="11">
      <c r="A11" s="12" t="inlineStr">
        <is>
          <t>R122</t>
        </is>
      </c>
      <c r="B11" s="12" t="inlineStr">
        <is>
          <t>Heures supp. 75 %</t>
        </is>
      </c>
      <c r="C11" s="25" t="n"/>
      <c r="D11" s="25" t="n"/>
      <c r="E11" s="25" t="n"/>
      <c r="F11" s="25" t="n"/>
      <c r="G11" s="25" t="n"/>
      <c r="H11" s="25" t="n"/>
      <c r="I11" s="25" t="n"/>
      <c r="J11" s="25" t="n"/>
      <c r="K11" s="27">
        <f>SUM(C11:J11)</f>
        <v/>
      </c>
    </row>
    <row r="12">
      <c r="A12" s="12" t="inlineStr">
        <is>
          <t>R261</t>
        </is>
      </c>
      <c r="B12" s="12" t="inlineStr">
        <is>
          <t>I.E.P.</t>
        </is>
      </c>
      <c r="C12" s="25" t="n">
        <v>446.45</v>
      </c>
      <c r="D12" s="25" t="n">
        <v>1479.22</v>
      </c>
      <c r="E12" s="25" t="n">
        <v>2514.05</v>
      </c>
      <c r="F12" s="25" t="n">
        <v>2954.87</v>
      </c>
      <c r="G12" s="25" t="n">
        <v>2954.87</v>
      </c>
      <c r="H12" s="25" t="n"/>
      <c r="I12" s="25" t="n"/>
      <c r="J12" s="25" t="n"/>
      <c r="K12" s="27">
        <f>SUM(C12:J12)</f>
        <v/>
      </c>
    </row>
    <row r="13">
      <c r="A13" s="12" t="inlineStr">
        <is>
          <t>R281</t>
        </is>
      </c>
      <c r="B13" s="12" t="inlineStr">
        <is>
          <t>Nuisance</t>
        </is>
      </c>
      <c r="C13" s="25" t="n">
        <v>5705.96</v>
      </c>
      <c r="D13" s="25" t="n">
        <v>7461.67</v>
      </c>
      <c r="E13" s="25" t="n">
        <v>9220.879999999999</v>
      </c>
      <c r="F13" s="25" t="n">
        <v>9970.280000000001</v>
      </c>
      <c r="G13" s="25" t="n">
        <v>9970.280000000001</v>
      </c>
      <c r="H13" s="25" t="n">
        <v>4947</v>
      </c>
      <c r="I13" s="25" t="n">
        <v>4947</v>
      </c>
      <c r="J13" s="25" t="n">
        <v>4947</v>
      </c>
      <c r="K13" s="27">
        <f>SUM(C13:J13)</f>
        <v/>
      </c>
    </row>
    <row r="14">
      <c r="A14" s="12" t="inlineStr">
        <is>
          <t>R291</t>
        </is>
      </c>
      <c r="B14" s="12" t="inlineStr">
        <is>
          <t>Responsabilité</t>
        </is>
      </c>
      <c r="C14" s="25" t="n"/>
      <c r="D14" s="25" t="n"/>
      <c r="E14" s="25" t="n"/>
      <c r="F14" s="25" t="n"/>
      <c r="G14" s="25" t="n"/>
      <c r="H14" s="25" t="n"/>
      <c r="I14" s="25" t="n"/>
      <c r="J14" s="25" t="n"/>
      <c r="K14" s="27">
        <f>SUM(C14:J14)</f>
        <v/>
      </c>
    </row>
    <row r="15">
      <c r="A15" s="12" t="inlineStr">
        <is>
          <t>R301</t>
        </is>
      </c>
      <c r="B15" s="12" t="inlineStr">
        <is>
          <t>P.R.I.</t>
        </is>
      </c>
      <c r="C15" s="25" t="n">
        <v>5325.67</v>
      </c>
      <c r="D15" s="25" t="n">
        <v>6874.82</v>
      </c>
      <c r="E15" s="25" t="n">
        <v>8427.07</v>
      </c>
      <c r="F15" s="25" t="n">
        <v>9088.299999999999</v>
      </c>
      <c r="G15" s="25" t="n">
        <v>9088.299999999999</v>
      </c>
      <c r="H15" s="25" t="n">
        <v>4656</v>
      </c>
      <c r="I15" s="25" t="n">
        <v>4656</v>
      </c>
      <c r="J15" s="25" t="n">
        <v>4656</v>
      </c>
      <c r="K15" s="27">
        <f>SUM(C15:J15)</f>
        <v/>
      </c>
    </row>
    <row r="16">
      <c r="A16" s="12" t="inlineStr">
        <is>
          <t>R320</t>
        </is>
      </c>
      <c r="B16" s="12" t="inlineStr">
        <is>
          <t>Prime de performance</t>
        </is>
      </c>
      <c r="C16" s="25" t="n"/>
      <c r="D16" s="25" t="n"/>
      <c r="E16" s="25" t="n"/>
      <c r="F16" s="25" t="n"/>
      <c r="G16" s="25" t="n"/>
      <c r="H16" s="25" t="n"/>
      <c r="I16" s="25" t="n"/>
      <c r="J16" s="25" t="n"/>
      <c r="K16" s="27">
        <f>SUM(C16:J16)</f>
        <v/>
      </c>
    </row>
    <row r="17">
      <c r="A17" s="12" t="inlineStr">
        <is>
          <t>STC</t>
        </is>
      </c>
      <c r="B17" s="12" t="inlineStr">
        <is>
          <t>Solde de tout compte (R546 / R040)</t>
        </is>
      </c>
      <c r="C17" s="25" t="n"/>
      <c r="D17" s="25" t="n"/>
      <c r="E17" s="25" t="n"/>
      <c r="F17" s="25" t="n"/>
      <c r="G17" s="25" t="n"/>
      <c r="H17" s="25" t="n">
        <v>87785.02</v>
      </c>
      <c r="I17" s="25" t="n"/>
      <c r="J17" s="25" t="n"/>
      <c r="K17" s="27">
        <f>SUM(C17:J17)</f>
        <v/>
      </c>
    </row>
    <row r="18">
      <c r="A18" s="12" t="inlineStr">
        <is>
          <t>R540</t>
        </is>
      </c>
      <c r="B18" s="12" t="inlineStr">
        <is>
          <t>Prime de ponctualité</t>
        </is>
      </c>
      <c r="C18" s="25" t="n"/>
      <c r="D18" s="25" t="n"/>
      <c r="E18" s="25" t="n"/>
      <c r="F18" s="25" t="n"/>
      <c r="G18" s="25" t="n"/>
      <c r="H18" s="25" t="n"/>
      <c r="I18" s="25" t="n"/>
      <c r="J18" s="25" t="n"/>
      <c r="K18" s="27">
        <f>SUM(C18:J18)</f>
        <v/>
      </c>
    </row>
    <row r="19">
      <c r="A19" s="4" t="inlineStr">
        <is>
          <t>R500</t>
        </is>
      </c>
      <c r="B19" s="4" t="inlineStr">
        <is>
          <t>SALAIRE DE POSTE (assiette CNAS)</t>
        </is>
      </c>
      <c r="C19" s="28" t="n">
        <v>45042.54</v>
      </c>
      <c r="D19" s="28" t="n">
        <v>59707.87</v>
      </c>
      <c r="E19" s="28" t="n">
        <v>82763.28999999999</v>
      </c>
      <c r="F19" s="28" t="n">
        <v>89022.95</v>
      </c>
      <c r="G19" s="28" t="n">
        <v>89022.95</v>
      </c>
      <c r="H19" s="28" t="n">
        <v>133791.14</v>
      </c>
      <c r="I19" s="28" t="n">
        <v>40176.22</v>
      </c>
      <c r="J19" s="28" t="n">
        <v>40176.22</v>
      </c>
      <c r="K19" s="7">
        <f>SUM(C19:J19)</f>
        <v/>
      </c>
    </row>
    <row r="20">
      <c r="A20" s="12" t="inlineStr">
        <is>
          <t>R500E</t>
        </is>
      </c>
      <c r="B20" s="12" t="inlineStr">
        <is>
          <t>Effectif cotisant (R500)</t>
        </is>
      </c>
      <c r="C20" s="23" t="n">
        <v>2</v>
      </c>
      <c r="D20" s="23" t="n">
        <v>2</v>
      </c>
      <c r="E20" s="23" t="n">
        <v>2</v>
      </c>
      <c r="F20" s="23" t="n">
        <v>2</v>
      </c>
      <c r="G20" s="23" t="n">
        <v>2</v>
      </c>
      <c r="H20" s="23" t="n">
        <v>2</v>
      </c>
      <c r="I20" s="23" t="n">
        <v>1</v>
      </c>
      <c r="J20" s="23" t="n">
        <v>1</v>
      </c>
      <c r="K20" s="12" t="n"/>
    </row>
    <row r="21">
      <c r="A21" s="12" t="inlineStr">
        <is>
          <t>R510</t>
        </is>
      </c>
      <c r="B21" s="12" t="inlineStr">
        <is>
          <t>Retenue sécurité sociale 9 %</t>
        </is>
      </c>
      <c r="C21" s="25" t="n">
        <v>4053.83</v>
      </c>
      <c r="D21" s="25" t="n">
        <v>5373.71</v>
      </c>
      <c r="E21" s="25" t="n">
        <v>7448.69</v>
      </c>
      <c r="F21" s="25" t="n">
        <v>8012.06</v>
      </c>
      <c r="G21" s="25" t="n">
        <v>8012.06</v>
      </c>
      <c r="H21" s="25" t="n">
        <v>12041.2</v>
      </c>
      <c r="I21" s="25" t="n">
        <v>3615.86</v>
      </c>
      <c r="J21" s="25" t="n">
        <v>3615.86</v>
      </c>
      <c r="K21" s="27">
        <f>SUM(C21:J21)</f>
        <v/>
      </c>
    </row>
    <row r="22">
      <c r="A22" s="12" t="inlineStr">
        <is>
          <t>R522</t>
        </is>
      </c>
      <c r="B22" s="12" t="inlineStr">
        <is>
          <t>Panier</t>
        </is>
      </c>
      <c r="C22" s="25" t="n">
        <v>3900</v>
      </c>
      <c r="D22" s="25" t="n">
        <v>4992</v>
      </c>
      <c r="E22" s="25" t="n">
        <v>6084</v>
      </c>
      <c r="F22" s="25" t="n">
        <v>6552</v>
      </c>
      <c r="G22" s="25" t="n">
        <v>6552</v>
      </c>
      <c r="H22" s="25" t="n">
        <v>3432</v>
      </c>
      <c r="I22" s="25" t="n">
        <v>3432</v>
      </c>
      <c r="J22" s="25" t="n">
        <v>3432</v>
      </c>
      <c r="K22" s="27">
        <f>SUM(C22:J22)</f>
        <v/>
      </c>
    </row>
    <row r="23">
      <c r="A23" s="12" t="inlineStr">
        <is>
          <t>R532</t>
        </is>
      </c>
      <c r="B23" s="12" t="inlineStr">
        <is>
          <t>Transport</t>
        </is>
      </c>
      <c r="C23" s="25" t="n">
        <v>2502.21</v>
      </c>
      <c r="D23" s="25" t="n">
        <v>3201.31</v>
      </c>
      <c r="E23" s="25" t="n">
        <v>3901.81</v>
      </c>
      <c r="F23" s="25" t="n">
        <v>4200.22</v>
      </c>
      <c r="G23" s="25" t="n">
        <v>4200.22</v>
      </c>
      <c r="H23" s="25" t="n">
        <v>2200</v>
      </c>
      <c r="I23" s="25" t="n">
        <v>2200</v>
      </c>
      <c r="J23" s="25" t="n">
        <v>2200</v>
      </c>
      <c r="K23" s="27">
        <f>SUM(C23:J23)</f>
        <v/>
      </c>
    </row>
    <row r="24">
      <c r="A24" s="4" t="inlineStr">
        <is>
          <t>R650</t>
        </is>
      </c>
      <c r="B24" s="4" t="inlineStr">
        <is>
          <t>Base imposable IRG</t>
        </is>
      </c>
      <c r="C24" s="28" t="n">
        <v>47390.92</v>
      </c>
      <c r="D24" s="28" t="n">
        <v>62527.47</v>
      </c>
      <c r="E24" s="28" t="n">
        <v>85300.39999999999</v>
      </c>
      <c r="F24" s="28" t="n">
        <v>91763.10000000001</v>
      </c>
      <c r="G24" s="28" t="n">
        <v>91763.10000000001</v>
      </c>
      <c r="H24" s="28" t="n">
        <v>127381.94</v>
      </c>
      <c r="I24" s="28" t="n">
        <v>42192.36</v>
      </c>
      <c r="J24" s="28" t="n">
        <v>42192.36</v>
      </c>
      <c r="K24" s="7">
        <f>SUM(C24:J24)</f>
        <v/>
      </c>
    </row>
    <row r="25">
      <c r="A25" s="12" t="inlineStr">
        <is>
          <t>R660</t>
        </is>
      </c>
      <c r="B25" s="12" t="inlineStr">
        <is>
          <t>Retenue IRG</t>
        </is>
      </c>
      <c r="C25" s="25" t="n">
        <v>3329.5</v>
      </c>
      <c r="D25" s="25" t="n">
        <v>3329.5</v>
      </c>
      <c r="E25" s="25" t="n">
        <v>7757.4</v>
      </c>
      <c r="F25" s="25" t="n">
        <v>9375.200000000001</v>
      </c>
      <c r="G25" s="25" t="n">
        <v>9375.200000000001</v>
      </c>
      <c r="H25" s="25" t="n">
        <v>18989.9</v>
      </c>
      <c r="I25" s="25" t="n">
        <v>3691.3</v>
      </c>
      <c r="J25" s="25" t="n">
        <v>3691.3</v>
      </c>
      <c r="K25" s="27">
        <f>SUM(C25:J25)</f>
        <v/>
      </c>
    </row>
    <row r="26">
      <c r="A26" s="12" t="inlineStr">
        <is>
          <t>R670</t>
        </is>
      </c>
      <c r="B26" s="12" t="inlineStr">
        <is>
          <t>Frais de mission</t>
        </is>
      </c>
      <c r="C26" s="25" t="n">
        <v>16210</v>
      </c>
      <c r="D26" s="25" t="n">
        <v>21145</v>
      </c>
      <c r="E26" s="25" t="n">
        <v>34960</v>
      </c>
      <c r="F26" s="25" t="n">
        <v>41615</v>
      </c>
      <c r="G26" s="25" t="n">
        <v>49115</v>
      </c>
      <c r="H26" s="25" t="n">
        <v>625</v>
      </c>
      <c r="I26" s="25" t="n"/>
      <c r="J26" s="25" t="n"/>
      <c r="K26" s="27">
        <f>SUM(C26:J26)</f>
        <v/>
      </c>
    </row>
    <row r="27">
      <c r="A27" s="12" t="inlineStr">
        <is>
          <t>R714</t>
        </is>
      </c>
      <c r="B27" s="12" t="inlineStr">
        <is>
          <t>Salaire unique</t>
        </is>
      </c>
      <c r="C27" s="25" t="n">
        <v>1000</v>
      </c>
      <c r="D27" s="25" t="n">
        <v>1000</v>
      </c>
      <c r="E27" s="25" t="n">
        <v>1000</v>
      </c>
      <c r="F27" s="25" t="n">
        <v>1000</v>
      </c>
      <c r="G27" s="25" t="n">
        <v>1000</v>
      </c>
      <c r="H27" s="25" t="n">
        <v>500</v>
      </c>
      <c r="I27" s="25" t="n">
        <v>500</v>
      </c>
      <c r="J27" s="25" t="n">
        <v>500</v>
      </c>
      <c r="K27" s="27">
        <f>SUM(C27:J27)</f>
        <v/>
      </c>
    </row>
    <row r="28">
      <c r="A28" s="12" t="inlineStr">
        <is>
          <t>R770</t>
        </is>
      </c>
      <c r="B28" s="12" t="inlineStr">
        <is>
          <t>NET À PAYER</t>
        </is>
      </c>
      <c r="C28" s="25" t="n">
        <v>61271.42</v>
      </c>
      <c r="D28" s="25" t="n">
        <v>81342.97</v>
      </c>
      <c r="E28" s="25" t="n">
        <v>113503.01</v>
      </c>
      <c r="F28" s="25" t="n">
        <v>125002.91</v>
      </c>
      <c r="G28" s="25" t="n">
        <v>132502.91</v>
      </c>
      <c r="H28" s="25" t="n">
        <v>109517.04</v>
      </c>
      <c r="I28" s="25" t="n">
        <v>39001.06</v>
      </c>
      <c r="J28" s="25" t="n">
        <v>39001.06</v>
      </c>
      <c r="K28" s="27">
        <f>SUM(C28:J28)</f>
        <v/>
      </c>
    </row>
    <row r="29">
      <c r="A29" s="12" t="inlineStr">
        <is>
          <t>TGG</t>
        </is>
      </c>
      <c r="B29" s="12" t="inlineStr">
        <is>
          <t>Total général — gains</t>
        </is>
      </c>
      <c r="C29" s="25" t="n">
        <v>125790.29</v>
      </c>
      <c r="D29" s="25" t="n">
        <v>136854.02</v>
      </c>
      <c r="E29" s="25" t="n">
        <v>165168.62</v>
      </c>
      <c r="F29" s="25" t="n">
        <v>174441.48</v>
      </c>
      <c r="G29" s="25" t="n">
        <v>181941.48</v>
      </c>
      <c r="H29" s="25" t="n">
        <v>202148.14</v>
      </c>
      <c r="I29" s="25" t="n">
        <v>75408.22</v>
      </c>
      <c r="J29" s="25" t="n">
        <v>46308.22</v>
      </c>
      <c r="K29" s="27">
        <f>SUM(C29:J29)</f>
        <v/>
      </c>
    </row>
    <row r="30">
      <c r="A30" s="12" t="inlineStr">
        <is>
          <t>TGR</t>
        </is>
      </c>
      <c r="B30" s="12" t="inlineStr">
        <is>
          <t>Total général — retenues</t>
        </is>
      </c>
      <c r="C30" s="25" t="n">
        <v>125790.29</v>
      </c>
      <c r="D30" s="25" t="n">
        <v>136854.02</v>
      </c>
      <c r="E30" s="25" t="n">
        <v>165168.62</v>
      </c>
      <c r="F30" s="25" t="n">
        <v>174441.48</v>
      </c>
      <c r="G30" s="25" t="n">
        <v>181941.48</v>
      </c>
      <c r="H30" s="25" t="n">
        <v>202148.14</v>
      </c>
      <c r="I30" s="25" t="n">
        <v>75408.22</v>
      </c>
      <c r="J30" s="25" t="n">
        <v>46308.22</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W1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18" customWidth="1" min="4" max="4"/>
    <col width="15" customWidth="1" min="5" max="5"/>
    <col width="15" customWidth="1" min="6" max="6"/>
    <col width="12" customWidth="1" min="7" max="7"/>
    <col width="14" customWidth="1" min="8" max="8"/>
    <col width="12" customWidth="1" min="9" max="9"/>
    <col width="14" customWidth="1" min="10" max="10"/>
    <col width="14" customWidth="1" min="11" max="11"/>
    <col width="12" customWidth="1" min="12" max="12"/>
    <col width="11" customWidth="1" min="13" max="13"/>
    <col width="10" customWidth="1" min="14" max="14"/>
    <col width="9" customWidth="1" min="15" max="15"/>
    <col width="9" customWidth="1" min="16" max="16"/>
    <col width="9" customWidth="1" min="17" max="17"/>
    <col width="11" customWidth="1" min="18" max="18"/>
    <col width="11" customWidth="1" min="19" max="19"/>
    <col width="20" customWidth="1" min="20" max="20"/>
    <col width="13" customWidth="1" min="21" max="21"/>
    <col width="14" customWidth="1" min="22" max="22"/>
    <col width="60" customWidth="1" min="23" max="23"/>
  </cols>
  <sheetData>
    <row r="1">
      <c r="A1" s="1" t="inlineStr">
        <is>
          <t>Rapprochement paie ↔ déclarations CNAS 2026</t>
        </is>
      </c>
    </row>
    <row r="2">
      <c r="A2" s="2" t="inlineStr">
        <is>
          <t>Assiette paie = somme des salaires de poste (R500) des mois couverts. Colonnes bleues = valeurs lues sur les déclarations CNAS (vides = déclaration non reçue).</t>
        </is>
      </c>
    </row>
    <row r="4" ht="45" customHeight="1">
      <c r="A4" s="11" t="inlineStr">
        <is>
          <t>Réf</t>
        </is>
      </c>
      <c r="B4" s="11" t="inlineStr">
        <is>
          <t>Établissement</t>
        </is>
      </c>
      <c r="C4" s="11" t="inlineStr">
        <is>
          <t>Période</t>
        </is>
      </c>
      <c r="D4" s="11" t="inlineStr">
        <is>
          <t>Mois couverts</t>
        </is>
      </c>
      <c r="E4" s="11" t="inlineStr">
        <is>
          <t>Assiette paie (R500)</t>
        </is>
      </c>
      <c r="F4" s="11" t="inlineStr">
        <is>
          <t>Assiette déclarée</t>
        </is>
      </c>
      <c r="G4" s="11" t="inlineStr">
        <is>
          <t>Écart assiette</t>
        </is>
      </c>
      <c r="H4" s="11" t="inlineStr">
        <is>
          <t>R22 calculé</t>
        </is>
      </c>
      <c r="I4" s="11" t="inlineStr">
        <is>
          <t>R98 calculé</t>
        </is>
      </c>
      <c r="J4" s="11" t="inlineStr">
        <is>
          <t>Total calculé</t>
        </is>
      </c>
      <c r="K4" s="11" t="inlineStr">
        <is>
          <t>Total déclaré</t>
        </is>
      </c>
      <c r="L4" s="11" t="inlineStr">
        <is>
          <t>Écart cotisations</t>
        </is>
      </c>
      <c r="M4" s="11" t="inlineStr">
        <is>
          <t>Effectif fin période (paie)</t>
        </is>
      </c>
      <c r="N4" s="11" t="inlineStr">
        <is>
          <t>Effectif déclaré</t>
        </is>
      </c>
      <c r="O4" s="11" t="inlineStr">
        <is>
          <t>Entrées déclarées</t>
        </is>
      </c>
      <c r="P4" s="11" t="inlineStr">
        <is>
          <t>Sorties déclarées</t>
        </is>
      </c>
      <c r="Q4" s="11" t="inlineStr">
        <is>
          <t>STC payés (paie)</t>
        </is>
      </c>
      <c r="R4" s="11" t="inlineStr">
        <is>
          <t>Date dépôt</t>
        </is>
      </c>
      <c r="S4" s="11" t="inlineStr">
        <is>
          <t>Échéance</t>
        </is>
      </c>
      <c r="T4" s="11" t="inlineStr">
        <is>
          <t>Statut</t>
        </is>
      </c>
      <c r="U4" s="11" t="inlineStr">
        <is>
          <t>Ponctualité non soumise</t>
        </is>
      </c>
      <c r="V4" s="11" t="inlineStr">
        <is>
          <t>Cotisations sur ponctualité (35 %)</t>
        </is>
      </c>
      <c r="W4" s="11" t="inlineStr">
        <is>
          <t>Observation</t>
        </is>
      </c>
    </row>
    <row r="5" ht="48" customHeight="1">
      <c r="A5" s="12" t="inlineStr">
        <is>
          <t>D01</t>
        </is>
      </c>
      <c r="B5" s="12" t="inlineStr">
        <is>
          <t>IMPORT — 06713395 46</t>
        </is>
      </c>
      <c r="C5" s="12" t="inlineStr">
        <is>
          <t>Janvier 2026 (mensuelle)</t>
        </is>
      </c>
      <c r="D5" s="12" t="inlineStr">
        <is>
          <t>Janv</t>
        </is>
      </c>
      <c r="E5" s="6">
        <f>'Paie IMPORT'!C19</f>
        <v/>
      </c>
      <c r="F5" s="25" t="n">
        <v>818361.77</v>
      </c>
      <c r="G5" s="30">
        <f>IF(F5="","",E5-F5)</f>
        <v/>
      </c>
      <c r="H5" s="30">
        <f>ROUND(E5*Paramètres!$B$5,2)</f>
        <v/>
      </c>
      <c r="I5" s="30">
        <f>ROUND(E5*Paramètres!$B$6,2)</f>
        <v/>
      </c>
      <c r="J5" s="27">
        <f>H5+I5</f>
        <v/>
      </c>
      <c r="K5" s="25" t="n">
        <v>286426.62</v>
      </c>
      <c r="L5" s="30">
        <f>IF(K5="","",J5-K5)</f>
        <v/>
      </c>
      <c r="M5" s="8">
        <f>'Paie IMPORT'!C5</f>
        <v/>
      </c>
      <c r="N5" s="23" t="n">
        <v>12</v>
      </c>
      <c r="O5" s="23" t="n">
        <v>0</v>
      </c>
      <c r="P5" s="23" t="n">
        <v>0</v>
      </c>
      <c r="Q5" s="32">
        <f>IF('Paie IMPORT'!C17&gt;0,1,0)</f>
        <v/>
      </c>
      <c r="R5" s="22" t="inlineStr">
        <is>
          <t>28/02/2026</t>
        </is>
      </c>
      <c r="S5" s="22" t="inlineStr">
        <is>
          <t>28/02/2026</t>
        </is>
      </c>
      <c r="T5" s="4">
        <f>IF(K5="","À DÉPOSER / À FOURNIR",IF(AND(ABS(G5)&lt;1,ABS(L5)&lt;1),"Conforme","ÉCART"))</f>
        <v/>
      </c>
      <c r="U5" s="6">
        <f>'Paie IMPORT'!C18</f>
        <v/>
      </c>
      <c r="V5" s="30">
        <f>ROUND(U5*(Paramètres!$B$5+Paramètres!$B$6),2)</f>
        <v/>
      </c>
      <c r="W5" s="29" t="inlineStr">
        <is>
          <t>Conforme. Effectif 12 = paie.</t>
        </is>
      </c>
    </row>
    <row r="6" ht="48" customHeight="1">
      <c r="A6" s="12" t="inlineStr">
        <is>
          <t>D02</t>
        </is>
      </c>
      <c r="B6" s="12" t="inlineStr">
        <is>
          <t>IMPORT — 06713395 46</t>
        </is>
      </c>
      <c r="C6" s="12" t="inlineStr">
        <is>
          <t>Février 2026 (mensuelle)</t>
        </is>
      </c>
      <c r="D6" s="12" t="inlineStr">
        <is>
          <t>Févr</t>
        </is>
      </c>
      <c r="E6" s="6">
        <f>'Paie IMPORT'!D19</f>
        <v/>
      </c>
      <c r="F6" s="33" t="n"/>
      <c r="G6" s="30">
        <f>IF(F6="","",E6-F6)</f>
        <v/>
      </c>
      <c r="H6" s="30">
        <f>ROUND(E6*Paramètres!$B$5,2)</f>
        <v/>
      </c>
      <c r="I6" s="30">
        <f>ROUND(E6*Paramètres!$B$6,2)</f>
        <v/>
      </c>
      <c r="J6" s="27">
        <f>H6+I6</f>
        <v/>
      </c>
      <c r="K6" s="33" t="n"/>
      <c r="L6" s="30">
        <f>IF(K6="","",J6-K6)</f>
        <v/>
      </c>
      <c r="M6" s="8">
        <f>'Paie IMPORT'!D5</f>
        <v/>
      </c>
      <c r="N6" s="23" t="n"/>
      <c r="O6" s="23" t="n"/>
      <c r="P6" s="23" t="n"/>
      <c r="Q6" s="32">
        <f>IF('Paie IMPORT'!D17&gt;0,7,0)</f>
        <v/>
      </c>
      <c r="R6" s="22" t="n"/>
      <c r="S6" s="22" t="inlineStr">
        <is>
          <t>31/03/2026</t>
        </is>
      </c>
      <c r="T6" s="4">
        <f>IF(K6="","À DÉPOSER / À FOURNIR",IF(AND(ABS(G6)&lt;1,ABS(L6)&lt;1),"Conforme","ÉCART"))</f>
        <v/>
      </c>
      <c r="U6" s="6">
        <f>'Paie IMPORT'!D18</f>
        <v/>
      </c>
      <c r="V6" s="30">
        <f>ROUND(U6*(Paramètres!$B$5+Paramètres!$B$6),2)</f>
        <v/>
      </c>
      <c r="W6" s="29" t="inlineStr">
        <is>
          <t>DÉCLARATION NON FOURNIE. 7 STC payés en février : l'EMS doit déclarer 7 sorties (effectif 12 → 5).</t>
        </is>
      </c>
    </row>
    <row r="7" ht="48" customHeight="1">
      <c r="A7" s="12" t="inlineStr">
        <is>
          <t>D03</t>
        </is>
      </c>
      <c r="B7" s="12" t="inlineStr">
        <is>
          <t>IMPORT — 06713395 46</t>
        </is>
      </c>
      <c r="C7" s="12" t="inlineStr">
        <is>
          <t>Mars 2026 (mensuelle)</t>
        </is>
      </c>
      <c r="D7" s="12" t="inlineStr">
        <is>
          <t>Mars</t>
        </is>
      </c>
      <c r="E7" s="6">
        <f>'Paie IMPORT'!E19</f>
        <v/>
      </c>
      <c r="F7" s="25" t="n">
        <v>368389.93</v>
      </c>
      <c r="G7" s="30">
        <f>IF(F7="","",E7-F7)</f>
        <v/>
      </c>
      <c r="H7" s="30">
        <f>ROUND(E7*Paramètres!$B$5,2)</f>
        <v/>
      </c>
      <c r="I7" s="30">
        <f>ROUND(E7*Paramètres!$B$6,2)</f>
        <v/>
      </c>
      <c r="J7" s="27">
        <f>H7+I7</f>
        <v/>
      </c>
      <c r="K7" s="25" t="n">
        <v>128936.48</v>
      </c>
      <c r="L7" s="30">
        <f>IF(K7="","",J7-K7)</f>
        <v/>
      </c>
      <c r="M7" s="8">
        <f>'Paie IMPORT'!E5</f>
        <v/>
      </c>
      <c r="N7" s="23" t="n">
        <v>5</v>
      </c>
      <c r="O7" s="23" t="n">
        <v>0</v>
      </c>
      <c r="P7" s="23" t="n">
        <v>0</v>
      </c>
      <c r="Q7" s="32">
        <f>IF('Paie IMPORT'!E17&gt;0,1,0)</f>
        <v/>
      </c>
      <c r="R7" s="22" t="inlineStr">
        <is>
          <t>28/04/2026</t>
        </is>
      </c>
      <c r="S7" s="22" t="inlineStr">
        <is>
          <t>30/04/2026</t>
        </is>
      </c>
      <c r="T7" s="4">
        <f>IF(K7="","À DÉPOSER / À FOURNIR",IF(AND(ABS(G7)&lt;1,ABS(L7)&lt;1),"Conforme","ÉCART"))</f>
        <v/>
      </c>
      <c r="U7" s="6">
        <f>'Paie IMPORT'!E18</f>
        <v/>
      </c>
      <c r="V7" s="30">
        <f>ROUND(U7*(Paramètres!$B$5+Paramètres!$B$6),2)</f>
        <v/>
      </c>
      <c r="W7" s="29" t="inlineStr">
        <is>
          <t>Centralisateur de mars ABSENT : assiette déclarée non justifiable par la paie.</t>
        </is>
      </c>
    </row>
    <row r="8" ht="48" customHeight="1">
      <c r="A8" s="12" t="inlineStr">
        <is>
          <t>D04</t>
        </is>
      </c>
      <c r="B8" s="12" t="inlineStr">
        <is>
          <t>IMPORT — 06713395 46</t>
        </is>
      </c>
      <c r="C8" s="12" t="inlineStr">
        <is>
          <t>T2 2026 (avr–juin)</t>
        </is>
      </c>
      <c r="D8" s="12" t="inlineStr">
        <is>
          <t>Avr, Mai, Juin</t>
        </is>
      </c>
      <c r="E8" s="6">
        <f>SUM('Paie IMPORT'!F19:H19)</f>
        <v/>
      </c>
      <c r="F8" s="25" t="n">
        <v>1180389.75</v>
      </c>
      <c r="G8" s="30">
        <f>IF(F8="","",E8-F8)</f>
        <v/>
      </c>
      <c r="H8" s="30">
        <f>ROUND(E8*Paramètres!$B$5,2)</f>
        <v/>
      </c>
      <c r="I8" s="30">
        <f>ROUND(E8*Paramètres!$B$6,2)</f>
        <v/>
      </c>
      <c r="J8" s="27">
        <f>H8+I8</f>
        <v/>
      </c>
      <c r="K8" s="25" t="n">
        <v>413136.41</v>
      </c>
      <c r="L8" s="30">
        <f>IF(K8="","",J8-K8)</f>
        <v/>
      </c>
      <c r="M8" s="8">
        <f>'Paie IMPORT'!H5</f>
        <v/>
      </c>
      <c r="N8" s="23" t="n">
        <v>5</v>
      </c>
      <c r="O8" s="23" t="n">
        <v>0</v>
      </c>
      <c r="P8" s="23" t="n">
        <v>0</v>
      </c>
      <c r="Q8" s="32">
        <f>IF('Paie IMPORT'!F17&gt;0,1,0)+IF('Paie IMPORT'!G17&gt;0,1,0)+IF('Paie IMPORT'!H17&gt;0,1,0)</f>
        <v/>
      </c>
      <c r="R8" s="22" t="inlineStr">
        <is>
          <t>06/07/2026</t>
        </is>
      </c>
      <c r="S8" s="22" t="inlineStr">
        <is>
          <t>30/07/2026</t>
        </is>
      </c>
      <c r="T8" s="4">
        <f>IF(K8="","À DÉPOSER / À FOURNIR",IF(AND(ABS(G8)&lt;1,ABS(L8)&lt;1),"Conforme","ÉCART"))</f>
        <v/>
      </c>
      <c r="U8" s="6">
        <f>SUM('Paie IMPORT'!F18:H18)</f>
        <v/>
      </c>
      <c r="V8" s="30">
        <f>ROUND(U8*(Paramètres!$B$5+Paramètres!$B$6),2)</f>
        <v/>
      </c>
      <c r="W8" s="29" t="inlineStr">
        <is>
          <t>Conforme sur l'assiette R500. EMS néant cohérent.</t>
        </is>
      </c>
    </row>
    <row r="9" ht="48" customHeight="1">
      <c r="A9" s="12" t="inlineStr">
        <is>
          <t>D05</t>
        </is>
      </c>
      <c r="B9" s="12" t="inlineStr">
        <is>
          <t>IMPORT — 06713395 46</t>
        </is>
      </c>
      <c r="C9" s="12" t="inlineStr">
        <is>
          <t>T3 2026 (juil–sept)</t>
        </is>
      </c>
      <c r="D9" s="12" t="inlineStr">
        <is>
          <t>Juil, Août (+ sept. à venir)</t>
        </is>
      </c>
      <c r="E9" s="6">
        <f>SUM('Paie IMPORT'!I19:J19)</f>
        <v/>
      </c>
      <c r="F9" s="33" t="n"/>
      <c r="G9" s="30">
        <f>IF(F9="","",E9-F9)</f>
        <v/>
      </c>
      <c r="H9" s="30">
        <f>ROUND(E9*Paramètres!$B$5,2)</f>
        <v/>
      </c>
      <c r="I9" s="30">
        <f>ROUND(E9*Paramètres!$B$6,2)</f>
        <v/>
      </c>
      <c r="J9" s="27">
        <f>H9+I9</f>
        <v/>
      </c>
      <c r="K9" s="33" t="n"/>
      <c r="L9" s="30">
        <f>IF(K9="","",J9-K9)</f>
        <v/>
      </c>
      <c r="M9" s="8">
        <f>'Paie IMPORT'!J5</f>
        <v/>
      </c>
      <c r="N9" s="23" t="n"/>
      <c r="O9" s="23" t="n"/>
      <c r="P9" s="23" t="n"/>
      <c r="Q9" s="32">
        <f>IF('Paie IMPORT'!I17&gt;0,1,0)+IF('Paie IMPORT'!J17&gt;0,1,0)</f>
        <v/>
      </c>
      <c r="R9" s="22" t="n"/>
      <c r="S9" s="22" t="inlineStr">
        <is>
          <t>30/10/2026</t>
        </is>
      </c>
      <c r="T9" s="4">
        <f>IF(K9="","À DÉPOSER / À FOURNIR",IF(AND(ABS(G9)&lt;1,ABS(L9)&lt;1),"Conforme","ÉCART"))</f>
        <v/>
      </c>
      <c r="U9" s="6">
        <f>SUM('Paie IMPORT'!I18:J18)</f>
        <v/>
      </c>
      <c r="V9" s="30">
        <f>ROUND(U9*(Paramètres!$B$5+Paramètres!$B$6),2)</f>
        <v/>
      </c>
      <c r="W9" s="29" t="inlineStr">
        <is>
          <t>À ÉTABLIR. Septembre non fourni (cumul juil–août seulement). 1 STC en août → 1 sortie à déclarer.</t>
        </is>
      </c>
    </row>
    <row r="10" ht="48" customHeight="1">
      <c r="A10" s="12" t="inlineStr">
        <is>
          <t>D06</t>
        </is>
      </c>
      <c r="B10" s="12" t="inlineStr">
        <is>
          <t>TPM — 06736613 53</t>
        </is>
      </c>
      <c r="C10" s="12" t="inlineStr">
        <is>
          <t>T1 2026 (janv–mars)</t>
        </is>
      </c>
      <c r="D10" s="12" t="inlineStr">
        <is>
          <t>Janv, Févr, Mars</t>
        </is>
      </c>
      <c r="E10" s="6">
        <f>SUM('Paie TPM'!C19:E19)</f>
        <v/>
      </c>
      <c r="F10" s="25" t="n">
        <v>187513.7</v>
      </c>
      <c r="G10" s="30">
        <f>IF(F10="","",E10-F10)</f>
        <v/>
      </c>
      <c r="H10" s="30">
        <f>ROUND(E10*Paramètres!$B$5,2)</f>
        <v/>
      </c>
      <c r="I10" s="30">
        <f>ROUND(E10*Paramètres!$B$6,2)</f>
        <v/>
      </c>
      <c r="J10" s="27">
        <f>H10+I10</f>
        <v/>
      </c>
      <c r="K10" s="25" t="n">
        <v>65629.8</v>
      </c>
      <c r="L10" s="30">
        <f>IF(K10="","",J10-K10)</f>
        <v/>
      </c>
      <c r="M10" s="8">
        <f>'Paie TPM'!E5</f>
        <v/>
      </c>
      <c r="N10" s="23" t="n">
        <v>2</v>
      </c>
      <c r="O10" s="23" t="n">
        <v>0</v>
      </c>
      <c r="P10" s="23" t="n">
        <v>0</v>
      </c>
      <c r="Q10" s="32">
        <f>IF('Paie TPM'!C17&gt;0,1,0)+IF('Paie TPM'!D17&gt;0,1,0)+IF('Paie TPM'!E17&gt;0,1,0)</f>
        <v/>
      </c>
      <c r="R10" s="22" t="inlineStr">
        <is>
          <t>28/04/2026</t>
        </is>
      </c>
      <c r="S10" s="22" t="inlineStr">
        <is>
          <t>30/04/2026</t>
        </is>
      </c>
      <c r="T10" s="4">
        <f>IF(K10="","À DÉPOSER / À FOURNIR",IF(AND(ABS(G10)&lt;1,ABS(L10)&lt;1),"Conforme","ÉCART"))</f>
        <v/>
      </c>
      <c r="U10" s="6">
        <f>SUM('Paie TPM'!C18:E18)</f>
        <v/>
      </c>
      <c r="V10" s="30">
        <f>ROUND(U10*(Paramètres!$B$5+Paramètres!$B$6),2)</f>
        <v/>
      </c>
      <c r="W10" s="29" t="inlineStr">
        <is>
          <t>Assiette conforme. Effectif déclaré 2, paie = 3 salariés (1 absent non rémunéré) : T2 = 2 après 1 sortie ⇒ T1 aurait dû être 3.</t>
        </is>
      </c>
    </row>
    <row r="11" ht="48" customHeight="1">
      <c r="A11" s="12" t="inlineStr">
        <is>
          <t>D07</t>
        </is>
      </c>
      <c r="B11" s="12" t="inlineStr">
        <is>
          <t>TPM — 06736613 53</t>
        </is>
      </c>
      <c r="C11" s="12" t="inlineStr">
        <is>
          <t>T2 2026 (avr–juin)</t>
        </is>
      </c>
      <c r="D11" s="12" t="inlineStr">
        <is>
          <t>Avr, Mai, Juin</t>
        </is>
      </c>
      <c r="E11" s="6">
        <f>SUM('Paie TPM'!F19:H19)</f>
        <v/>
      </c>
      <c r="F11" s="25" t="n">
        <v>311837.04</v>
      </c>
      <c r="G11" s="30">
        <f>IF(F11="","",E11-F11)</f>
        <v/>
      </c>
      <c r="H11" s="30">
        <f>ROUND(E11*Paramètres!$B$5,2)</f>
        <v/>
      </c>
      <c r="I11" s="30">
        <f>ROUND(E11*Paramètres!$B$6,2)</f>
        <v/>
      </c>
      <c r="J11" s="27">
        <f>H11+I11</f>
        <v/>
      </c>
      <c r="K11" s="25" t="n">
        <v>109142.97</v>
      </c>
      <c r="L11" s="30">
        <f>IF(K11="","",J11-K11)</f>
        <v/>
      </c>
      <c r="M11" s="8">
        <f>'Paie TPM'!H5</f>
        <v/>
      </c>
      <c r="N11" s="23" t="n">
        <v>2</v>
      </c>
      <c r="O11" s="23" t="n">
        <v>0</v>
      </c>
      <c r="P11" s="23" t="n">
        <v>1</v>
      </c>
      <c r="Q11" s="32">
        <f>IF('Paie TPM'!F17&gt;0,1,0)+IF('Paie TPM'!G17&gt;0,1,0)+IF('Paie TPM'!H17&gt;0,1,0)</f>
        <v/>
      </c>
      <c r="R11" s="22" t="inlineStr">
        <is>
          <t>23/07/2026</t>
        </is>
      </c>
      <c r="S11" s="22" t="inlineStr">
        <is>
          <t>30/07/2026</t>
        </is>
      </c>
      <c r="T11" s="4">
        <f>IF(K11="","À DÉPOSER / À FOURNIR",IF(AND(ABS(G11)&lt;1,ABS(L11)&lt;1),"Conforme","ÉCART"))</f>
        <v/>
      </c>
      <c r="U11" s="6">
        <f>SUM('Paie TPM'!F18:H18)</f>
        <v/>
      </c>
      <c r="V11" s="30">
        <f>ROUND(U11*(Paramètres!$B$5+Paramètres!$B$6),2)</f>
        <v/>
      </c>
      <c r="W11" s="29" t="inlineStr">
        <is>
          <t>Conforme. Sortie ELHOUANNES Boualem (SS 630003079056) au 01/06/2026, STC 87 785,02 en juin.</t>
        </is>
      </c>
    </row>
    <row r="12" ht="48" customHeight="1">
      <c r="A12" s="12" t="inlineStr">
        <is>
          <t>D08</t>
        </is>
      </c>
      <c r="B12" s="12" t="inlineStr">
        <is>
          <t>TPM — 06736613 53</t>
        </is>
      </c>
      <c r="C12" s="12" t="inlineStr">
        <is>
          <t>T3 2026 (juil–sept)</t>
        </is>
      </c>
      <c r="D12" s="12" t="inlineStr">
        <is>
          <t>Juil, Août (+ sept. à venir)</t>
        </is>
      </c>
      <c r="E12" s="6">
        <f>SUM('Paie TPM'!I19:J19)</f>
        <v/>
      </c>
      <c r="F12" s="33" t="n"/>
      <c r="G12" s="30">
        <f>IF(F12="","",E12-F12)</f>
        <v/>
      </c>
      <c r="H12" s="30">
        <f>ROUND(E12*Paramètres!$B$5,2)</f>
        <v/>
      </c>
      <c r="I12" s="30">
        <f>ROUND(E12*Paramètres!$B$6,2)</f>
        <v/>
      </c>
      <c r="J12" s="27">
        <f>H12+I12</f>
        <v/>
      </c>
      <c r="K12" s="33" t="n"/>
      <c r="L12" s="30">
        <f>IF(K12="","",J12-K12)</f>
        <v/>
      </c>
      <c r="M12" s="8">
        <f>'Paie TPM'!J5</f>
        <v/>
      </c>
      <c r="N12" s="23" t="n"/>
      <c r="O12" s="23" t="n"/>
      <c r="P12" s="23" t="n"/>
      <c r="Q12" s="32">
        <f>IF('Paie TPM'!I17&gt;0,1,0)+IF('Paie TPM'!J17&gt;0,1,0)</f>
        <v/>
      </c>
      <c r="R12" s="22" t="n"/>
      <c r="S12" s="22" t="inlineStr">
        <is>
          <t>30/10/2026</t>
        </is>
      </c>
      <c r="T12" s="4">
        <f>IF(K12="","À DÉPOSER / À FOURNIR",IF(AND(ABS(G12)&lt;1,ABS(L12)&lt;1),"Conforme","ÉCART"))</f>
        <v/>
      </c>
      <c r="U12" s="6">
        <f>SUM('Paie TPM'!I18:J18)</f>
        <v/>
      </c>
      <c r="V12" s="30">
        <f>ROUND(U12*(Paramètres!$B$5+Paramètres!$B$6),2)</f>
        <v/>
      </c>
      <c r="W12" s="29" t="inlineStr">
        <is>
          <t>À ÉTABLIR. Effectif 2 en juillet → 1 en août sans STC : 1 sortie + STC à régulariser.</t>
        </is>
      </c>
    </row>
    <row r="13">
      <c r="A13" s="4" t="inlineStr">
        <is>
          <t>TOTAL</t>
        </is>
      </c>
      <c r="E13" s="7">
        <f>SUM(E5:E12)</f>
        <v/>
      </c>
      <c r="F13" s="7">
        <f>SUM(F5:F12)</f>
        <v/>
      </c>
      <c r="H13" s="7">
        <f>SUM(H5:H12)</f>
        <v/>
      </c>
      <c r="I13" s="7">
        <f>SUM(I5:I12)</f>
        <v/>
      </c>
      <c r="J13" s="7">
        <f>SUM(J5:J12)</f>
        <v/>
      </c>
      <c r="K13" s="7">
        <f>SUM(K5:K12)</f>
        <v/>
      </c>
      <c r="U13" s="7">
        <f>SUM(U5:U12)</f>
        <v/>
      </c>
      <c r="V13" s="7">
        <f>SUM(V5:V12)</f>
        <v/>
      </c>
    </row>
    <row r="15">
      <c r="A15" s="2" t="inlineStr">
        <is>
          <t>Note : D03 (mars IMPORT) — l'assiette paie ressort à 0 car le centralisateur de mars est absent ; l'écart affiché disparaîtra dès sa saisie dans « Paie IMPORT », colonne E.</t>
        </is>
      </c>
    </row>
    <row r="16">
      <c r="A16" s="2" t="inlineStr">
        <is>
          <t>Note : les bordereaux de versement portent « Montant de versement 0,00 » : joindre les preuves de paiement (reçus CNAS / virements).</t>
        </is>
      </c>
    </row>
  </sheetData>
  <conditionalFormatting sqref="T5:T12">
    <cfRule type="cellIs" priority="1" operator="equal" dxfId="0">
      <formula>"Conforme"</formula>
    </cfRule>
    <cfRule type="cellIs" priority="2" operator="notEqual" dxfId="1">
      <formula>"Conforme"</formula>
    </cfRule>
  </conditionalFormatting>
  <pageMargins left="0.75" right="0.75" top="1" bottom="1" header="0.5" footer="0.5"/>
  <pageSetup orientation="landscape" fitToHeight="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142"/>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2" customWidth="1" min="3" max="3"/>
    <col width="9" customWidth="1" min="4" max="4"/>
    <col width="58" customWidth="1" min="5" max="5"/>
    <col width="16" customWidth="1" min="6" max="6"/>
    <col width="16" customWidth="1" min="7" max="7"/>
  </cols>
  <sheetData>
    <row r="1">
      <c r="A1" s="1" t="inlineStr">
        <is>
          <t>Journal de paie 2026 — écritures proposées (SCF)</t>
        </is>
      </c>
    </row>
    <row r="2">
      <c r="A2" s="2" t="inlineStr">
        <is>
          <t>Une écriture de paie + une écriture de charges patronales par mois et par établissement. Montants liés aux feuilles « Paie ».</t>
        </is>
      </c>
    </row>
    <row r="4">
      <c r="A4" s="11" t="inlineStr">
        <is>
          <t>Pièce</t>
        </is>
      </c>
      <c r="B4" s="11" t="inlineStr">
        <is>
          <t>Mois</t>
        </is>
      </c>
      <c r="C4" s="11" t="inlineStr">
        <is>
          <t>Établissement</t>
        </is>
      </c>
      <c r="D4" s="11" t="inlineStr">
        <is>
          <t>Compte</t>
        </is>
      </c>
      <c r="E4" s="11" t="inlineStr">
        <is>
          <t>Libellé</t>
        </is>
      </c>
      <c r="F4" s="11" t="inlineStr">
        <is>
          <t>Débit</t>
        </is>
      </c>
      <c r="G4" s="11" t="inlineStr">
        <is>
          <t>Crédit</t>
        </is>
      </c>
    </row>
    <row r="5">
      <c r="A5" s="12" t="inlineStr">
        <is>
          <t>PAIE-IMP-01</t>
        </is>
      </c>
      <c r="B5" s="12" t="inlineStr">
        <is>
          <t>Janv 2026</t>
        </is>
      </c>
      <c r="C5" s="12" t="inlineStr">
        <is>
          <t>IMPORT</t>
        </is>
      </c>
      <c r="D5" s="4" t="inlineStr">
        <is>
          <t>631</t>
        </is>
      </c>
      <c r="E5" s="12" t="inlineStr">
        <is>
          <t>Rémunérations (salaire de poste + ponctualité)</t>
        </is>
      </c>
      <c r="F5" s="6">
        <f>'Paie IMPORT'!C19+'Paie IMPORT'!C18</f>
        <v/>
      </c>
      <c r="G5" s="6" t="n"/>
    </row>
    <row r="6">
      <c r="A6" s="12" t="inlineStr">
        <is>
          <t>PAIE-IMP-01</t>
        </is>
      </c>
      <c r="B6" s="12" t="inlineStr">
        <is>
          <t>Janv 2026</t>
        </is>
      </c>
      <c r="C6" s="12" t="inlineStr">
        <is>
          <t>IMPORT</t>
        </is>
      </c>
      <c r="D6" s="4" t="inlineStr">
        <is>
          <t>638</t>
        </is>
      </c>
      <c r="E6" s="12" t="inlineStr">
        <is>
          <t>Indemnités panier et transport</t>
        </is>
      </c>
      <c r="F6" s="6">
        <f>'Paie IMPORT'!C22+'Paie IMPORT'!C23</f>
        <v/>
      </c>
      <c r="G6" s="6" t="n"/>
    </row>
    <row r="7">
      <c r="A7" s="12" t="inlineStr">
        <is>
          <t>PAIE-IMP-01</t>
        </is>
      </c>
      <c r="B7" s="12" t="inlineStr">
        <is>
          <t>Janv 2026</t>
        </is>
      </c>
      <c r="C7" s="12" t="inlineStr">
        <is>
          <t>IMPORT</t>
        </is>
      </c>
      <c r="D7" s="4" t="inlineStr">
        <is>
          <t>625</t>
        </is>
      </c>
      <c r="E7" s="12" t="inlineStr">
        <is>
          <t>Frais de mission</t>
        </is>
      </c>
      <c r="F7" s="6">
        <f>'Paie IMPORT'!C26</f>
        <v/>
      </c>
      <c r="G7" s="6" t="n"/>
    </row>
    <row r="8">
      <c r="A8" s="12" t="inlineStr">
        <is>
          <t>PAIE-IMP-01</t>
        </is>
      </c>
      <c r="B8" s="12" t="inlineStr">
        <is>
          <t>Janv 2026</t>
        </is>
      </c>
      <c r="C8" s="12" t="inlineStr">
        <is>
          <t>IMPORT</t>
        </is>
      </c>
      <c r="D8" s="4" t="inlineStr">
        <is>
          <t>431</t>
        </is>
      </c>
      <c r="E8" s="12" t="inlineStr">
        <is>
          <t>Salaire unique avancé pour compte CNAS (à valider)</t>
        </is>
      </c>
      <c r="F8" s="6">
        <f>'Paie IMPORT'!C27</f>
        <v/>
      </c>
      <c r="G8" s="6" t="n"/>
    </row>
    <row r="9">
      <c r="A9" s="12" t="inlineStr">
        <is>
          <t>PAIE-IMP-01</t>
        </is>
      </c>
      <c r="B9" s="12" t="inlineStr">
        <is>
          <t>Janv 2026</t>
        </is>
      </c>
      <c r="C9" s="12" t="inlineStr">
        <is>
          <t>IMPORT</t>
        </is>
      </c>
      <c r="D9" s="4" t="inlineStr">
        <is>
          <t>431</t>
        </is>
      </c>
      <c r="E9" s="12" t="inlineStr">
        <is>
          <t>CNAS — retenue salariale 9 %</t>
        </is>
      </c>
      <c r="F9" s="6" t="n"/>
      <c r="G9" s="6">
        <f>'Paie IMPORT'!C21</f>
        <v/>
      </c>
    </row>
    <row r="10">
      <c r="A10" s="12" t="inlineStr">
        <is>
          <t>PAIE-IMP-01</t>
        </is>
      </c>
      <c r="B10" s="12" t="inlineStr">
        <is>
          <t>Janv 2026</t>
        </is>
      </c>
      <c r="C10" s="12" t="inlineStr">
        <is>
          <t>IMPORT</t>
        </is>
      </c>
      <c r="D10" s="4" t="inlineStr">
        <is>
          <t>442</t>
        </is>
      </c>
      <c r="E10" s="12" t="inlineStr">
        <is>
          <t>IRG retenu à la source</t>
        </is>
      </c>
      <c r="F10" s="6" t="n"/>
      <c r="G10" s="6">
        <f>'Paie IMPORT'!C25</f>
        <v/>
      </c>
    </row>
    <row r="11">
      <c r="A11" s="12" t="inlineStr">
        <is>
          <t>PAIE-IMP-01</t>
        </is>
      </c>
      <c r="B11" s="12" t="inlineStr">
        <is>
          <t>Janv 2026</t>
        </is>
      </c>
      <c r="C11" s="12" t="inlineStr">
        <is>
          <t>IMPORT</t>
        </is>
      </c>
      <c r="D11" s="4" t="inlineStr">
        <is>
          <t>421</t>
        </is>
      </c>
      <c r="E11" s="12" t="inlineStr">
        <is>
          <t>Net à payer au personnel</t>
        </is>
      </c>
      <c r="F11" s="6" t="n"/>
      <c r="G11" s="6">
        <f>'Paie IMPORT'!C28</f>
        <v/>
      </c>
    </row>
    <row r="12">
      <c r="A12" s="12" t="inlineStr">
        <is>
          <t>CNAS-IMP-01</t>
        </is>
      </c>
      <c r="B12" s="12" t="inlineStr">
        <is>
          <t>Janv 2026</t>
        </is>
      </c>
      <c r="C12" s="12" t="inlineStr">
        <is>
          <t>IMPORT</t>
        </is>
      </c>
      <c r="D12" s="4" t="inlineStr">
        <is>
          <t>635</t>
        </is>
      </c>
      <c r="E12" s="12" t="inlineStr">
        <is>
          <t>Charges patronales CNAS (26 %)</t>
        </is>
      </c>
      <c r="F12" s="30">
        <f>ROUND('Paie IMPORT'!C19*Paramètres!$B$8,2)</f>
        <v/>
      </c>
      <c r="G12" s="30" t="n"/>
    </row>
    <row r="13">
      <c r="A13" s="12" t="inlineStr">
        <is>
          <t>CNAS-IMP-01</t>
        </is>
      </c>
      <c r="B13" s="12" t="inlineStr">
        <is>
          <t>Janv 2026</t>
        </is>
      </c>
      <c r="C13" s="12" t="inlineStr">
        <is>
          <t>IMPORT</t>
        </is>
      </c>
      <c r="D13" s="4" t="inlineStr">
        <is>
          <t>431</t>
        </is>
      </c>
      <c r="E13" s="12" t="inlineStr">
        <is>
          <t>CNAS — part patronale à reverser</t>
        </is>
      </c>
      <c r="F13" s="30" t="n"/>
      <c r="G13" s="30">
        <f>ROUND('Paie IMPORT'!C19*Paramètres!$B$8,2)</f>
        <v/>
      </c>
    </row>
    <row r="14">
      <c r="A14" s="12" t="inlineStr">
        <is>
          <t>PAIE-IMP-02</t>
        </is>
      </c>
      <c r="B14" s="12" t="inlineStr">
        <is>
          <t>Févr 2026</t>
        </is>
      </c>
      <c r="C14" s="12" t="inlineStr">
        <is>
          <t>IMPORT</t>
        </is>
      </c>
      <c r="D14" s="4" t="inlineStr">
        <is>
          <t>631</t>
        </is>
      </c>
      <c r="E14" s="12" t="inlineStr">
        <is>
          <t>Rémunérations (salaire de poste + ponctualité)</t>
        </is>
      </c>
      <c r="F14" s="6">
        <f>'Paie IMPORT'!D19+'Paie IMPORT'!D18</f>
        <v/>
      </c>
      <c r="G14" s="6" t="n"/>
    </row>
    <row r="15">
      <c r="A15" s="12" t="inlineStr">
        <is>
          <t>PAIE-IMP-02</t>
        </is>
      </c>
      <c r="B15" s="12" t="inlineStr">
        <is>
          <t>Févr 2026</t>
        </is>
      </c>
      <c r="C15" s="12" t="inlineStr">
        <is>
          <t>IMPORT</t>
        </is>
      </c>
      <c r="D15" s="4" t="inlineStr">
        <is>
          <t>638</t>
        </is>
      </c>
      <c r="E15" s="12" t="inlineStr">
        <is>
          <t>Indemnités panier et transport</t>
        </is>
      </c>
      <c r="F15" s="6">
        <f>'Paie IMPORT'!D22+'Paie IMPORT'!D23</f>
        <v/>
      </c>
      <c r="G15" s="6" t="n"/>
    </row>
    <row r="16">
      <c r="A16" s="12" t="inlineStr">
        <is>
          <t>PAIE-IMP-02</t>
        </is>
      </c>
      <c r="B16" s="12" t="inlineStr">
        <is>
          <t>Févr 2026</t>
        </is>
      </c>
      <c r="C16" s="12" t="inlineStr">
        <is>
          <t>IMPORT</t>
        </is>
      </c>
      <c r="D16" s="4" t="inlineStr">
        <is>
          <t>625</t>
        </is>
      </c>
      <c r="E16" s="12" t="inlineStr">
        <is>
          <t>Frais de mission</t>
        </is>
      </c>
      <c r="F16" s="6">
        <f>'Paie IMPORT'!D26</f>
        <v/>
      </c>
      <c r="G16" s="6" t="n"/>
    </row>
    <row r="17">
      <c r="A17" s="12" t="inlineStr">
        <is>
          <t>PAIE-IMP-02</t>
        </is>
      </c>
      <c r="B17" s="12" t="inlineStr">
        <is>
          <t>Févr 2026</t>
        </is>
      </c>
      <c r="C17" s="12" t="inlineStr">
        <is>
          <t>IMPORT</t>
        </is>
      </c>
      <c r="D17" s="4" t="inlineStr">
        <is>
          <t>431</t>
        </is>
      </c>
      <c r="E17" s="12" t="inlineStr">
        <is>
          <t>Salaire unique avancé pour compte CNAS (à valider)</t>
        </is>
      </c>
      <c r="F17" s="6">
        <f>'Paie IMPORT'!D27</f>
        <v/>
      </c>
      <c r="G17" s="6" t="n"/>
    </row>
    <row r="18">
      <c r="A18" s="12" t="inlineStr">
        <is>
          <t>PAIE-IMP-02</t>
        </is>
      </c>
      <c r="B18" s="12" t="inlineStr">
        <is>
          <t>Févr 2026</t>
        </is>
      </c>
      <c r="C18" s="12" t="inlineStr">
        <is>
          <t>IMPORT</t>
        </is>
      </c>
      <c r="D18" s="4" t="inlineStr">
        <is>
          <t>431</t>
        </is>
      </c>
      <c r="E18" s="12" t="inlineStr">
        <is>
          <t>CNAS — retenue salariale 9 %</t>
        </is>
      </c>
      <c r="F18" s="6" t="n"/>
      <c r="G18" s="6">
        <f>'Paie IMPORT'!D21</f>
        <v/>
      </c>
    </row>
    <row r="19">
      <c r="A19" s="12" t="inlineStr">
        <is>
          <t>PAIE-IMP-02</t>
        </is>
      </c>
      <c r="B19" s="12" t="inlineStr">
        <is>
          <t>Févr 2026</t>
        </is>
      </c>
      <c r="C19" s="12" t="inlineStr">
        <is>
          <t>IMPORT</t>
        </is>
      </c>
      <c r="D19" s="4" t="inlineStr">
        <is>
          <t>442</t>
        </is>
      </c>
      <c r="E19" s="12" t="inlineStr">
        <is>
          <t>IRG retenu à la source</t>
        </is>
      </c>
      <c r="F19" s="6" t="n"/>
      <c r="G19" s="6">
        <f>'Paie IMPORT'!D25</f>
        <v/>
      </c>
    </row>
    <row r="20">
      <c r="A20" s="12" t="inlineStr">
        <is>
          <t>PAIE-IMP-02</t>
        </is>
      </c>
      <c r="B20" s="12" t="inlineStr">
        <is>
          <t>Févr 2026</t>
        </is>
      </c>
      <c r="C20" s="12" t="inlineStr">
        <is>
          <t>IMPORT</t>
        </is>
      </c>
      <c r="D20" s="4" t="inlineStr">
        <is>
          <t>421</t>
        </is>
      </c>
      <c r="E20" s="12" t="inlineStr">
        <is>
          <t>Net à payer au personnel</t>
        </is>
      </c>
      <c r="F20" s="6" t="n"/>
      <c r="G20" s="6">
        <f>'Paie IMPORT'!D28</f>
        <v/>
      </c>
    </row>
    <row r="21">
      <c r="A21" s="12" t="inlineStr">
        <is>
          <t>CNAS-IMP-02</t>
        </is>
      </c>
      <c r="B21" s="12" t="inlineStr">
        <is>
          <t>Févr 2026</t>
        </is>
      </c>
      <c r="C21" s="12" t="inlineStr">
        <is>
          <t>IMPORT</t>
        </is>
      </c>
      <c r="D21" s="4" t="inlineStr">
        <is>
          <t>635</t>
        </is>
      </c>
      <c r="E21" s="12" t="inlineStr">
        <is>
          <t>Charges patronales CNAS (26 %)</t>
        </is>
      </c>
      <c r="F21" s="30">
        <f>ROUND('Paie IMPORT'!D19*Paramètres!$B$8,2)</f>
        <v/>
      </c>
      <c r="G21" s="30" t="n"/>
    </row>
    <row r="22">
      <c r="A22" s="12" t="inlineStr">
        <is>
          <t>CNAS-IMP-02</t>
        </is>
      </c>
      <c r="B22" s="12" t="inlineStr">
        <is>
          <t>Févr 2026</t>
        </is>
      </c>
      <c r="C22" s="12" t="inlineStr">
        <is>
          <t>IMPORT</t>
        </is>
      </c>
      <c r="D22" s="4" t="inlineStr">
        <is>
          <t>431</t>
        </is>
      </c>
      <c r="E22" s="12" t="inlineStr">
        <is>
          <t>CNAS — part patronale à reverser</t>
        </is>
      </c>
      <c r="F22" s="30" t="n"/>
      <c r="G22" s="30">
        <f>ROUND('Paie IMPORT'!D19*Paramètres!$B$8,2)</f>
        <v/>
      </c>
    </row>
    <row r="23">
      <c r="A23" s="12" t="inlineStr">
        <is>
          <t>PAIE-IMP-03</t>
        </is>
      </c>
      <c r="B23" s="12" t="inlineStr">
        <is>
          <t>Mars 2026</t>
        </is>
      </c>
      <c r="C23" s="12" t="inlineStr">
        <is>
          <t>IMPORT</t>
        </is>
      </c>
      <c r="D23" s="12" t="n"/>
      <c r="E23" s="34" t="inlineStr">
        <is>
          <t>CENTRALISATEUR ABSENT — écriture impossible (anomalie A02)</t>
        </is>
      </c>
      <c r="F23" s="12" t="n"/>
      <c r="G23" s="12" t="n"/>
    </row>
    <row r="24">
      <c r="A24" s="12" t="inlineStr">
        <is>
          <t>PAIE-IMP-04</t>
        </is>
      </c>
      <c r="B24" s="12" t="inlineStr">
        <is>
          <t>Avr 2026</t>
        </is>
      </c>
      <c r="C24" s="12" t="inlineStr">
        <is>
          <t>IMPORT</t>
        </is>
      </c>
      <c r="D24" s="4" t="inlineStr">
        <is>
          <t>631</t>
        </is>
      </c>
      <c r="E24" s="12" t="inlineStr">
        <is>
          <t>Rémunérations (salaire de poste + ponctualité)</t>
        </is>
      </c>
      <c r="F24" s="6">
        <f>'Paie IMPORT'!F19+'Paie IMPORT'!F18</f>
        <v/>
      </c>
      <c r="G24" s="6" t="n"/>
    </row>
    <row r="25">
      <c r="A25" s="12" t="inlineStr">
        <is>
          <t>PAIE-IMP-04</t>
        </is>
      </c>
      <c r="B25" s="12" t="inlineStr">
        <is>
          <t>Avr 2026</t>
        </is>
      </c>
      <c r="C25" s="12" t="inlineStr">
        <is>
          <t>IMPORT</t>
        </is>
      </c>
      <c r="D25" s="4" t="inlineStr">
        <is>
          <t>638</t>
        </is>
      </c>
      <c r="E25" s="12" t="inlineStr">
        <is>
          <t>Indemnités panier et transport</t>
        </is>
      </c>
      <c r="F25" s="6">
        <f>'Paie IMPORT'!F22+'Paie IMPORT'!F23</f>
        <v/>
      </c>
      <c r="G25" s="6" t="n"/>
    </row>
    <row r="26">
      <c r="A26" s="12" t="inlineStr">
        <is>
          <t>PAIE-IMP-04</t>
        </is>
      </c>
      <c r="B26" s="12" t="inlineStr">
        <is>
          <t>Avr 2026</t>
        </is>
      </c>
      <c r="C26" s="12" t="inlineStr">
        <is>
          <t>IMPORT</t>
        </is>
      </c>
      <c r="D26" s="4" t="inlineStr">
        <is>
          <t>625</t>
        </is>
      </c>
      <c r="E26" s="12" t="inlineStr">
        <is>
          <t>Frais de mission</t>
        </is>
      </c>
      <c r="F26" s="6">
        <f>'Paie IMPORT'!F26</f>
        <v/>
      </c>
      <c r="G26" s="6" t="n"/>
    </row>
    <row r="27">
      <c r="A27" s="12" t="inlineStr">
        <is>
          <t>PAIE-IMP-04</t>
        </is>
      </c>
      <c r="B27" s="12" t="inlineStr">
        <is>
          <t>Avr 2026</t>
        </is>
      </c>
      <c r="C27" s="12" t="inlineStr">
        <is>
          <t>IMPORT</t>
        </is>
      </c>
      <c r="D27" s="4" t="inlineStr">
        <is>
          <t>431</t>
        </is>
      </c>
      <c r="E27" s="12" t="inlineStr">
        <is>
          <t>Salaire unique avancé pour compte CNAS (à valider)</t>
        </is>
      </c>
      <c r="F27" s="6">
        <f>'Paie IMPORT'!F27</f>
        <v/>
      </c>
      <c r="G27" s="6" t="n"/>
    </row>
    <row r="28">
      <c r="A28" s="12" t="inlineStr">
        <is>
          <t>PAIE-IMP-04</t>
        </is>
      </c>
      <c r="B28" s="12" t="inlineStr">
        <is>
          <t>Avr 2026</t>
        </is>
      </c>
      <c r="C28" s="12" t="inlineStr">
        <is>
          <t>IMPORT</t>
        </is>
      </c>
      <c r="D28" s="4" t="inlineStr">
        <is>
          <t>431</t>
        </is>
      </c>
      <c r="E28" s="12" t="inlineStr">
        <is>
          <t>CNAS — retenue salariale 9 %</t>
        </is>
      </c>
      <c r="F28" s="6" t="n"/>
      <c r="G28" s="6">
        <f>'Paie IMPORT'!F21</f>
        <v/>
      </c>
    </row>
    <row r="29">
      <c r="A29" s="12" t="inlineStr">
        <is>
          <t>PAIE-IMP-04</t>
        </is>
      </c>
      <c r="B29" s="12" t="inlineStr">
        <is>
          <t>Avr 2026</t>
        </is>
      </c>
      <c r="C29" s="12" t="inlineStr">
        <is>
          <t>IMPORT</t>
        </is>
      </c>
      <c r="D29" s="4" t="inlineStr">
        <is>
          <t>442</t>
        </is>
      </c>
      <c r="E29" s="12" t="inlineStr">
        <is>
          <t>IRG retenu à la source</t>
        </is>
      </c>
      <c r="F29" s="6" t="n"/>
      <c r="G29" s="6">
        <f>'Paie IMPORT'!F25</f>
        <v/>
      </c>
    </row>
    <row r="30">
      <c r="A30" s="12" t="inlineStr">
        <is>
          <t>PAIE-IMP-04</t>
        </is>
      </c>
      <c r="B30" s="12" t="inlineStr">
        <is>
          <t>Avr 2026</t>
        </is>
      </c>
      <c r="C30" s="12" t="inlineStr">
        <is>
          <t>IMPORT</t>
        </is>
      </c>
      <c r="D30" s="4" t="inlineStr">
        <is>
          <t>421</t>
        </is>
      </c>
      <c r="E30" s="12" t="inlineStr">
        <is>
          <t>Net à payer au personnel</t>
        </is>
      </c>
      <c r="F30" s="6" t="n"/>
      <c r="G30" s="6">
        <f>'Paie IMPORT'!F28</f>
        <v/>
      </c>
    </row>
    <row r="31">
      <c r="A31" s="12" t="inlineStr">
        <is>
          <t>CNAS-IMP-04</t>
        </is>
      </c>
      <c r="B31" s="12" t="inlineStr">
        <is>
          <t>Avr 2026</t>
        </is>
      </c>
      <c r="C31" s="12" t="inlineStr">
        <is>
          <t>IMPORT</t>
        </is>
      </c>
      <c r="D31" s="4" t="inlineStr">
        <is>
          <t>635</t>
        </is>
      </c>
      <c r="E31" s="12" t="inlineStr">
        <is>
          <t>Charges patronales CNAS (26 %)</t>
        </is>
      </c>
      <c r="F31" s="30">
        <f>ROUND('Paie IMPORT'!F19*Paramètres!$B$8,2)</f>
        <v/>
      </c>
      <c r="G31" s="30" t="n"/>
    </row>
    <row r="32">
      <c r="A32" s="12" t="inlineStr">
        <is>
          <t>CNAS-IMP-04</t>
        </is>
      </c>
      <c r="B32" s="12" t="inlineStr">
        <is>
          <t>Avr 2026</t>
        </is>
      </c>
      <c r="C32" s="12" t="inlineStr">
        <is>
          <t>IMPORT</t>
        </is>
      </c>
      <c r="D32" s="4" t="inlineStr">
        <is>
          <t>431</t>
        </is>
      </c>
      <c r="E32" s="12" t="inlineStr">
        <is>
          <t>CNAS — part patronale à reverser</t>
        </is>
      </c>
      <c r="F32" s="30" t="n"/>
      <c r="G32" s="30">
        <f>ROUND('Paie IMPORT'!F19*Paramètres!$B$8,2)</f>
        <v/>
      </c>
    </row>
    <row r="33">
      <c r="A33" s="12" t="inlineStr">
        <is>
          <t>PAIE-IMP-05</t>
        </is>
      </c>
      <c r="B33" s="12" t="inlineStr">
        <is>
          <t>Mai 2026</t>
        </is>
      </c>
      <c r="C33" s="12" t="inlineStr">
        <is>
          <t>IMPORT</t>
        </is>
      </c>
      <c r="D33" s="4" t="inlineStr">
        <is>
          <t>631</t>
        </is>
      </c>
      <c r="E33" s="12" t="inlineStr">
        <is>
          <t>Rémunérations (salaire de poste + ponctualité)</t>
        </is>
      </c>
      <c r="F33" s="6">
        <f>'Paie IMPORT'!G19+'Paie IMPORT'!G18</f>
        <v/>
      </c>
      <c r="G33" s="6" t="n"/>
    </row>
    <row r="34">
      <c r="A34" s="12" t="inlineStr">
        <is>
          <t>PAIE-IMP-05</t>
        </is>
      </c>
      <c r="B34" s="12" t="inlineStr">
        <is>
          <t>Mai 2026</t>
        </is>
      </c>
      <c r="C34" s="12" t="inlineStr">
        <is>
          <t>IMPORT</t>
        </is>
      </c>
      <c r="D34" s="4" t="inlineStr">
        <is>
          <t>638</t>
        </is>
      </c>
      <c r="E34" s="12" t="inlineStr">
        <is>
          <t>Indemnités panier et transport</t>
        </is>
      </c>
      <c r="F34" s="6">
        <f>'Paie IMPORT'!G22+'Paie IMPORT'!G23</f>
        <v/>
      </c>
      <c r="G34" s="6" t="n"/>
    </row>
    <row r="35">
      <c r="A35" s="12" t="inlineStr">
        <is>
          <t>PAIE-IMP-05</t>
        </is>
      </c>
      <c r="B35" s="12" t="inlineStr">
        <is>
          <t>Mai 2026</t>
        </is>
      </c>
      <c r="C35" s="12" t="inlineStr">
        <is>
          <t>IMPORT</t>
        </is>
      </c>
      <c r="D35" s="4" t="inlineStr">
        <is>
          <t>625</t>
        </is>
      </c>
      <c r="E35" s="12" t="inlineStr">
        <is>
          <t>Frais de mission</t>
        </is>
      </c>
      <c r="F35" s="6">
        <f>'Paie IMPORT'!G26</f>
        <v/>
      </c>
      <c r="G35" s="6" t="n"/>
    </row>
    <row r="36">
      <c r="A36" s="12" t="inlineStr">
        <is>
          <t>PAIE-IMP-05</t>
        </is>
      </c>
      <c r="B36" s="12" t="inlineStr">
        <is>
          <t>Mai 2026</t>
        </is>
      </c>
      <c r="C36" s="12" t="inlineStr">
        <is>
          <t>IMPORT</t>
        </is>
      </c>
      <c r="D36" s="4" t="inlineStr">
        <is>
          <t>431</t>
        </is>
      </c>
      <c r="E36" s="12" t="inlineStr">
        <is>
          <t>Salaire unique avancé pour compte CNAS (à valider)</t>
        </is>
      </c>
      <c r="F36" s="6">
        <f>'Paie IMPORT'!G27</f>
        <v/>
      </c>
      <c r="G36" s="6" t="n"/>
    </row>
    <row r="37">
      <c r="A37" s="12" t="inlineStr">
        <is>
          <t>PAIE-IMP-05</t>
        </is>
      </c>
      <c r="B37" s="12" t="inlineStr">
        <is>
          <t>Mai 2026</t>
        </is>
      </c>
      <c r="C37" s="12" t="inlineStr">
        <is>
          <t>IMPORT</t>
        </is>
      </c>
      <c r="D37" s="4" t="inlineStr">
        <is>
          <t>431</t>
        </is>
      </c>
      <c r="E37" s="12" t="inlineStr">
        <is>
          <t>CNAS — retenue salariale 9 %</t>
        </is>
      </c>
      <c r="F37" s="6" t="n"/>
      <c r="G37" s="6">
        <f>'Paie IMPORT'!G21</f>
        <v/>
      </c>
    </row>
    <row r="38">
      <c r="A38" s="12" t="inlineStr">
        <is>
          <t>PAIE-IMP-05</t>
        </is>
      </c>
      <c r="B38" s="12" t="inlineStr">
        <is>
          <t>Mai 2026</t>
        </is>
      </c>
      <c r="C38" s="12" t="inlineStr">
        <is>
          <t>IMPORT</t>
        </is>
      </c>
      <c r="D38" s="4" t="inlineStr">
        <is>
          <t>442</t>
        </is>
      </c>
      <c r="E38" s="12" t="inlineStr">
        <is>
          <t>IRG retenu à la source</t>
        </is>
      </c>
      <c r="F38" s="6" t="n"/>
      <c r="G38" s="6">
        <f>'Paie IMPORT'!G25</f>
        <v/>
      </c>
    </row>
    <row r="39">
      <c r="A39" s="12" t="inlineStr">
        <is>
          <t>PAIE-IMP-05</t>
        </is>
      </c>
      <c r="B39" s="12" t="inlineStr">
        <is>
          <t>Mai 2026</t>
        </is>
      </c>
      <c r="C39" s="12" t="inlineStr">
        <is>
          <t>IMPORT</t>
        </is>
      </c>
      <c r="D39" s="4" t="inlineStr">
        <is>
          <t>421</t>
        </is>
      </c>
      <c r="E39" s="12" t="inlineStr">
        <is>
          <t>Net à payer au personnel</t>
        </is>
      </c>
      <c r="F39" s="6" t="n"/>
      <c r="G39" s="6">
        <f>'Paie IMPORT'!G28</f>
        <v/>
      </c>
    </row>
    <row r="40">
      <c r="A40" s="12" t="inlineStr">
        <is>
          <t>CNAS-IMP-05</t>
        </is>
      </c>
      <c r="B40" s="12" t="inlineStr">
        <is>
          <t>Mai 2026</t>
        </is>
      </c>
      <c r="C40" s="12" t="inlineStr">
        <is>
          <t>IMPORT</t>
        </is>
      </c>
      <c r="D40" s="4" t="inlineStr">
        <is>
          <t>635</t>
        </is>
      </c>
      <c r="E40" s="12" t="inlineStr">
        <is>
          <t>Charges patronales CNAS (26 %)</t>
        </is>
      </c>
      <c r="F40" s="30">
        <f>ROUND('Paie IMPORT'!G19*Paramètres!$B$8,2)</f>
        <v/>
      </c>
      <c r="G40" s="30" t="n"/>
    </row>
    <row r="41">
      <c r="A41" s="12" t="inlineStr">
        <is>
          <t>CNAS-IMP-05</t>
        </is>
      </c>
      <c r="B41" s="12" t="inlineStr">
        <is>
          <t>Mai 2026</t>
        </is>
      </c>
      <c r="C41" s="12" t="inlineStr">
        <is>
          <t>IMPORT</t>
        </is>
      </c>
      <c r="D41" s="4" t="inlineStr">
        <is>
          <t>431</t>
        </is>
      </c>
      <c r="E41" s="12" t="inlineStr">
        <is>
          <t>CNAS — part patronale à reverser</t>
        </is>
      </c>
      <c r="F41" s="30" t="n"/>
      <c r="G41" s="30">
        <f>ROUND('Paie IMPORT'!G19*Paramètres!$B$8,2)</f>
        <v/>
      </c>
    </row>
    <row r="42">
      <c r="A42" s="12" t="inlineStr">
        <is>
          <t>PAIE-IMP-06</t>
        </is>
      </c>
      <c r="B42" s="12" t="inlineStr">
        <is>
          <t>Juin 2026</t>
        </is>
      </c>
      <c r="C42" s="12" t="inlineStr">
        <is>
          <t>IMPORT</t>
        </is>
      </c>
      <c r="D42" s="4" t="inlineStr">
        <is>
          <t>631</t>
        </is>
      </c>
      <c r="E42" s="12" t="inlineStr">
        <is>
          <t>Rémunérations (salaire de poste + ponctualité)</t>
        </is>
      </c>
      <c r="F42" s="6">
        <f>'Paie IMPORT'!H19+'Paie IMPORT'!H18</f>
        <v/>
      </c>
      <c r="G42" s="6" t="n"/>
    </row>
    <row r="43">
      <c r="A43" s="12" t="inlineStr">
        <is>
          <t>PAIE-IMP-06</t>
        </is>
      </c>
      <c r="B43" s="12" t="inlineStr">
        <is>
          <t>Juin 2026</t>
        </is>
      </c>
      <c r="C43" s="12" t="inlineStr">
        <is>
          <t>IMPORT</t>
        </is>
      </c>
      <c r="D43" s="4" t="inlineStr">
        <is>
          <t>638</t>
        </is>
      </c>
      <c r="E43" s="12" t="inlineStr">
        <is>
          <t>Indemnités panier et transport</t>
        </is>
      </c>
      <c r="F43" s="6">
        <f>'Paie IMPORT'!H22+'Paie IMPORT'!H23</f>
        <v/>
      </c>
      <c r="G43" s="6" t="n"/>
    </row>
    <row r="44">
      <c r="A44" s="12" t="inlineStr">
        <is>
          <t>PAIE-IMP-06</t>
        </is>
      </c>
      <c r="B44" s="12" t="inlineStr">
        <is>
          <t>Juin 2026</t>
        </is>
      </c>
      <c r="C44" s="12" t="inlineStr">
        <is>
          <t>IMPORT</t>
        </is>
      </c>
      <c r="D44" s="4" t="inlineStr">
        <is>
          <t>625</t>
        </is>
      </c>
      <c r="E44" s="12" t="inlineStr">
        <is>
          <t>Frais de mission</t>
        </is>
      </c>
      <c r="F44" s="6">
        <f>'Paie IMPORT'!H26</f>
        <v/>
      </c>
      <c r="G44" s="6" t="n"/>
    </row>
    <row r="45">
      <c r="A45" s="12" t="inlineStr">
        <is>
          <t>PAIE-IMP-06</t>
        </is>
      </c>
      <c r="B45" s="12" t="inlineStr">
        <is>
          <t>Juin 2026</t>
        </is>
      </c>
      <c r="C45" s="12" t="inlineStr">
        <is>
          <t>IMPORT</t>
        </is>
      </c>
      <c r="D45" s="4" t="inlineStr">
        <is>
          <t>431</t>
        </is>
      </c>
      <c r="E45" s="12" t="inlineStr">
        <is>
          <t>Salaire unique avancé pour compte CNAS (à valider)</t>
        </is>
      </c>
      <c r="F45" s="6">
        <f>'Paie IMPORT'!H27</f>
        <v/>
      </c>
      <c r="G45" s="6" t="n"/>
    </row>
    <row r="46">
      <c r="A46" s="12" t="inlineStr">
        <is>
          <t>PAIE-IMP-06</t>
        </is>
      </c>
      <c r="B46" s="12" t="inlineStr">
        <is>
          <t>Juin 2026</t>
        </is>
      </c>
      <c r="C46" s="12" t="inlineStr">
        <is>
          <t>IMPORT</t>
        </is>
      </c>
      <c r="D46" s="4" t="inlineStr">
        <is>
          <t>431</t>
        </is>
      </c>
      <c r="E46" s="12" t="inlineStr">
        <is>
          <t>CNAS — retenue salariale 9 %</t>
        </is>
      </c>
      <c r="F46" s="6" t="n"/>
      <c r="G46" s="6">
        <f>'Paie IMPORT'!H21</f>
        <v/>
      </c>
    </row>
    <row r="47">
      <c r="A47" s="12" t="inlineStr">
        <is>
          <t>PAIE-IMP-06</t>
        </is>
      </c>
      <c r="B47" s="12" t="inlineStr">
        <is>
          <t>Juin 2026</t>
        </is>
      </c>
      <c r="C47" s="12" t="inlineStr">
        <is>
          <t>IMPORT</t>
        </is>
      </c>
      <c r="D47" s="4" t="inlineStr">
        <is>
          <t>442</t>
        </is>
      </c>
      <c r="E47" s="12" t="inlineStr">
        <is>
          <t>IRG retenu à la source</t>
        </is>
      </c>
      <c r="F47" s="6" t="n"/>
      <c r="G47" s="6">
        <f>'Paie IMPORT'!H25</f>
        <v/>
      </c>
    </row>
    <row r="48">
      <c r="A48" s="12" t="inlineStr">
        <is>
          <t>PAIE-IMP-06</t>
        </is>
      </c>
      <c r="B48" s="12" t="inlineStr">
        <is>
          <t>Juin 2026</t>
        </is>
      </c>
      <c r="C48" s="12" t="inlineStr">
        <is>
          <t>IMPORT</t>
        </is>
      </c>
      <c r="D48" s="4" t="inlineStr">
        <is>
          <t>421</t>
        </is>
      </c>
      <c r="E48" s="12" t="inlineStr">
        <is>
          <t>Net à payer au personnel</t>
        </is>
      </c>
      <c r="F48" s="6" t="n"/>
      <c r="G48" s="6">
        <f>'Paie IMPORT'!H28</f>
        <v/>
      </c>
    </row>
    <row r="49">
      <c r="A49" s="12" t="inlineStr">
        <is>
          <t>CNAS-IMP-06</t>
        </is>
      </c>
      <c r="B49" s="12" t="inlineStr">
        <is>
          <t>Juin 2026</t>
        </is>
      </c>
      <c r="C49" s="12" t="inlineStr">
        <is>
          <t>IMPORT</t>
        </is>
      </c>
      <c r="D49" s="4" t="inlineStr">
        <is>
          <t>635</t>
        </is>
      </c>
      <c r="E49" s="12" t="inlineStr">
        <is>
          <t>Charges patronales CNAS (26 %)</t>
        </is>
      </c>
      <c r="F49" s="30">
        <f>ROUND('Paie IMPORT'!H19*Paramètres!$B$8,2)</f>
        <v/>
      </c>
      <c r="G49" s="30" t="n"/>
    </row>
    <row r="50">
      <c r="A50" s="12" t="inlineStr">
        <is>
          <t>CNAS-IMP-06</t>
        </is>
      </c>
      <c r="B50" s="12" t="inlineStr">
        <is>
          <t>Juin 2026</t>
        </is>
      </c>
      <c r="C50" s="12" t="inlineStr">
        <is>
          <t>IMPORT</t>
        </is>
      </c>
      <c r="D50" s="4" t="inlineStr">
        <is>
          <t>431</t>
        </is>
      </c>
      <c r="E50" s="12" t="inlineStr">
        <is>
          <t>CNAS — part patronale à reverser</t>
        </is>
      </c>
      <c r="F50" s="30" t="n"/>
      <c r="G50" s="30">
        <f>ROUND('Paie IMPORT'!H19*Paramètres!$B$8,2)</f>
        <v/>
      </c>
    </row>
    <row r="51">
      <c r="A51" s="12" t="inlineStr">
        <is>
          <t>PAIE-IMP-07</t>
        </is>
      </c>
      <c r="B51" s="12" t="inlineStr">
        <is>
          <t>Juil 2026</t>
        </is>
      </c>
      <c r="C51" s="12" t="inlineStr">
        <is>
          <t>IMPORT</t>
        </is>
      </c>
      <c r="D51" s="4" t="inlineStr">
        <is>
          <t>631</t>
        </is>
      </c>
      <c r="E51" s="12" t="inlineStr">
        <is>
          <t>Rémunérations (salaire de poste + ponctualité)</t>
        </is>
      </c>
      <c r="F51" s="6">
        <f>'Paie IMPORT'!I19+'Paie IMPORT'!I18</f>
        <v/>
      </c>
      <c r="G51" s="6" t="n"/>
    </row>
    <row r="52">
      <c r="A52" s="12" t="inlineStr">
        <is>
          <t>PAIE-IMP-07</t>
        </is>
      </c>
      <c r="B52" s="12" t="inlineStr">
        <is>
          <t>Juil 2026</t>
        </is>
      </c>
      <c r="C52" s="12" t="inlineStr">
        <is>
          <t>IMPORT</t>
        </is>
      </c>
      <c r="D52" s="4" t="inlineStr">
        <is>
          <t>638</t>
        </is>
      </c>
      <c r="E52" s="12" t="inlineStr">
        <is>
          <t>Indemnités panier et transport</t>
        </is>
      </c>
      <c r="F52" s="6">
        <f>'Paie IMPORT'!I22+'Paie IMPORT'!I23</f>
        <v/>
      </c>
      <c r="G52" s="6" t="n"/>
    </row>
    <row r="53">
      <c r="A53" s="12" t="inlineStr">
        <is>
          <t>PAIE-IMP-07</t>
        </is>
      </c>
      <c r="B53" s="12" t="inlineStr">
        <is>
          <t>Juil 2026</t>
        </is>
      </c>
      <c r="C53" s="12" t="inlineStr">
        <is>
          <t>IMPORT</t>
        </is>
      </c>
      <c r="D53" s="4" t="inlineStr">
        <is>
          <t>625</t>
        </is>
      </c>
      <c r="E53" s="12" t="inlineStr">
        <is>
          <t>Frais de mission</t>
        </is>
      </c>
      <c r="F53" s="6">
        <f>'Paie IMPORT'!I26</f>
        <v/>
      </c>
      <c r="G53" s="6" t="n"/>
    </row>
    <row r="54">
      <c r="A54" s="12" t="inlineStr">
        <is>
          <t>PAIE-IMP-07</t>
        </is>
      </c>
      <c r="B54" s="12" t="inlineStr">
        <is>
          <t>Juil 2026</t>
        </is>
      </c>
      <c r="C54" s="12" t="inlineStr">
        <is>
          <t>IMPORT</t>
        </is>
      </c>
      <c r="D54" s="4" t="inlineStr">
        <is>
          <t>431</t>
        </is>
      </c>
      <c r="E54" s="12" t="inlineStr">
        <is>
          <t>Salaire unique avancé pour compte CNAS (à valider)</t>
        </is>
      </c>
      <c r="F54" s="6">
        <f>'Paie IMPORT'!I27</f>
        <v/>
      </c>
      <c r="G54" s="6" t="n"/>
    </row>
    <row r="55">
      <c r="A55" s="12" t="inlineStr">
        <is>
          <t>PAIE-IMP-07</t>
        </is>
      </c>
      <c r="B55" s="12" t="inlineStr">
        <is>
          <t>Juil 2026</t>
        </is>
      </c>
      <c r="C55" s="12" t="inlineStr">
        <is>
          <t>IMPORT</t>
        </is>
      </c>
      <c r="D55" s="4" t="inlineStr">
        <is>
          <t>431</t>
        </is>
      </c>
      <c r="E55" s="12" t="inlineStr">
        <is>
          <t>CNAS — retenue salariale 9 %</t>
        </is>
      </c>
      <c r="F55" s="6" t="n"/>
      <c r="G55" s="6">
        <f>'Paie IMPORT'!I21</f>
        <v/>
      </c>
    </row>
    <row r="56">
      <c r="A56" s="12" t="inlineStr">
        <is>
          <t>PAIE-IMP-07</t>
        </is>
      </c>
      <c r="B56" s="12" t="inlineStr">
        <is>
          <t>Juil 2026</t>
        </is>
      </c>
      <c r="C56" s="12" t="inlineStr">
        <is>
          <t>IMPORT</t>
        </is>
      </c>
      <c r="D56" s="4" t="inlineStr">
        <is>
          <t>442</t>
        </is>
      </c>
      <c r="E56" s="12" t="inlineStr">
        <is>
          <t>IRG retenu à la source</t>
        </is>
      </c>
      <c r="F56" s="6" t="n"/>
      <c r="G56" s="6">
        <f>'Paie IMPORT'!I25</f>
        <v/>
      </c>
    </row>
    <row r="57">
      <c r="A57" s="12" t="inlineStr">
        <is>
          <t>PAIE-IMP-07</t>
        </is>
      </c>
      <c r="B57" s="12" t="inlineStr">
        <is>
          <t>Juil 2026</t>
        </is>
      </c>
      <c r="C57" s="12" t="inlineStr">
        <is>
          <t>IMPORT</t>
        </is>
      </c>
      <c r="D57" s="4" t="inlineStr">
        <is>
          <t>421</t>
        </is>
      </c>
      <c r="E57" s="12" t="inlineStr">
        <is>
          <t>Net à payer au personnel</t>
        </is>
      </c>
      <c r="F57" s="6" t="n"/>
      <c r="G57" s="6">
        <f>'Paie IMPORT'!I28</f>
        <v/>
      </c>
    </row>
    <row r="58">
      <c r="A58" s="12" t="inlineStr">
        <is>
          <t>CNAS-IMP-07</t>
        </is>
      </c>
      <c r="B58" s="12" t="inlineStr">
        <is>
          <t>Juil 2026</t>
        </is>
      </c>
      <c r="C58" s="12" t="inlineStr">
        <is>
          <t>IMPORT</t>
        </is>
      </c>
      <c r="D58" s="4" t="inlineStr">
        <is>
          <t>635</t>
        </is>
      </c>
      <c r="E58" s="12" t="inlineStr">
        <is>
          <t>Charges patronales CNAS (26 %)</t>
        </is>
      </c>
      <c r="F58" s="30">
        <f>ROUND('Paie IMPORT'!I19*Paramètres!$B$8,2)</f>
        <v/>
      </c>
      <c r="G58" s="30" t="n"/>
    </row>
    <row r="59">
      <c r="A59" s="12" t="inlineStr">
        <is>
          <t>CNAS-IMP-07</t>
        </is>
      </c>
      <c r="B59" s="12" t="inlineStr">
        <is>
          <t>Juil 2026</t>
        </is>
      </c>
      <c r="C59" s="12" t="inlineStr">
        <is>
          <t>IMPORT</t>
        </is>
      </c>
      <c r="D59" s="4" t="inlineStr">
        <is>
          <t>431</t>
        </is>
      </c>
      <c r="E59" s="12" t="inlineStr">
        <is>
          <t>CNAS — part patronale à reverser</t>
        </is>
      </c>
      <c r="F59" s="30" t="n"/>
      <c r="G59" s="30">
        <f>ROUND('Paie IMPORT'!I19*Paramètres!$B$8,2)</f>
        <v/>
      </c>
    </row>
    <row r="60">
      <c r="A60" s="12" t="inlineStr">
        <is>
          <t>PAIE-IMP-08</t>
        </is>
      </c>
      <c r="B60" s="12" t="inlineStr">
        <is>
          <t>Août 2026</t>
        </is>
      </c>
      <c r="C60" s="12" t="inlineStr">
        <is>
          <t>IMPORT</t>
        </is>
      </c>
      <c r="D60" s="4" t="inlineStr">
        <is>
          <t>631</t>
        </is>
      </c>
      <c r="E60" s="12" t="inlineStr">
        <is>
          <t>Rémunérations (salaire de poste + ponctualité)</t>
        </is>
      </c>
      <c r="F60" s="6">
        <f>'Paie IMPORT'!J19+'Paie IMPORT'!J18</f>
        <v/>
      </c>
      <c r="G60" s="6" t="n"/>
    </row>
    <row r="61">
      <c r="A61" s="12" t="inlineStr">
        <is>
          <t>PAIE-IMP-08</t>
        </is>
      </c>
      <c r="B61" s="12" t="inlineStr">
        <is>
          <t>Août 2026</t>
        </is>
      </c>
      <c r="C61" s="12" t="inlineStr">
        <is>
          <t>IMPORT</t>
        </is>
      </c>
      <c r="D61" s="4" t="inlineStr">
        <is>
          <t>638</t>
        </is>
      </c>
      <c r="E61" s="12" t="inlineStr">
        <is>
          <t>Indemnités panier et transport</t>
        </is>
      </c>
      <c r="F61" s="6">
        <f>'Paie IMPORT'!J22+'Paie IMPORT'!J23</f>
        <v/>
      </c>
      <c r="G61" s="6" t="n"/>
    </row>
    <row r="62">
      <c r="A62" s="12" t="inlineStr">
        <is>
          <t>PAIE-IMP-08</t>
        </is>
      </c>
      <c r="B62" s="12" t="inlineStr">
        <is>
          <t>Août 2026</t>
        </is>
      </c>
      <c r="C62" s="12" t="inlineStr">
        <is>
          <t>IMPORT</t>
        </is>
      </c>
      <c r="D62" s="4" t="inlineStr">
        <is>
          <t>625</t>
        </is>
      </c>
      <c r="E62" s="12" t="inlineStr">
        <is>
          <t>Frais de mission</t>
        </is>
      </c>
      <c r="F62" s="6">
        <f>'Paie IMPORT'!J26</f>
        <v/>
      </c>
      <c r="G62" s="6" t="n"/>
    </row>
    <row r="63">
      <c r="A63" s="12" t="inlineStr">
        <is>
          <t>PAIE-IMP-08</t>
        </is>
      </c>
      <c r="B63" s="12" t="inlineStr">
        <is>
          <t>Août 2026</t>
        </is>
      </c>
      <c r="C63" s="12" t="inlineStr">
        <is>
          <t>IMPORT</t>
        </is>
      </c>
      <c r="D63" s="4" t="inlineStr">
        <is>
          <t>431</t>
        </is>
      </c>
      <c r="E63" s="12" t="inlineStr">
        <is>
          <t>Salaire unique avancé pour compte CNAS (à valider)</t>
        </is>
      </c>
      <c r="F63" s="6">
        <f>'Paie IMPORT'!J27</f>
        <v/>
      </c>
      <c r="G63" s="6" t="n"/>
    </row>
    <row r="64">
      <c r="A64" s="12" t="inlineStr">
        <is>
          <t>PAIE-IMP-08</t>
        </is>
      </c>
      <c r="B64" s="12" t="inlineStr">
        <is>
          <t>Août 2026</t>
        </is>
      </c>
      <c r="C64" s="12" t="inlineStr">
        <is>
          <t>IMPORT</t>
        </is>
      </c>
      <c r="D64" s="4" t="inlineStr">
        <is>
          <t>431</t>
        </is>
      </c>
      <c r="E64" s="12" t="inlineStr">
        <is>
          <t>CNAS — retenue salariale 9 %</t>
        </is>
      </c>
      <c r="F64" s="6" t="n"/>
      <c r="G64" s="6">
        <f>'Paie IMPORT'!J21</f>
        <v/>
      </c>
    </row>
    <row r="65">
      <c r="A65" s="12" t="inlineStr">
        <is>
          <t>PAIE-IMP-08</t>
        </is>
      </c>
      <c r="B65" s="12" t="inlineStr">
        <is>
          <t>Août 2026</t>
        </is>
      </c>
      <c r="C65" s="12" t="inlineStr">
        <is>
          <t>IMPORT</t>
        </is>
      </c>
      <c r="D65" s="4" t="inlineStr">
        <is>
          <t>442</t>
        </is>
      </c>
      <c r="E65" s="12" t="inlineStr">
        <is>
          <t>IRG retenu à la source</t>
        </is>
      </c>
      <c r="F65" s="6" t="n"/>
      <c r="G65" s="6">
        <f>'Paie IMPORT'!J25</f>
        <v/>
      </c>
    </row>
    <row r="66">
      <c r="A66" s="12" t="inlineStr">
        <is>
          <t>PAIE-IMP-08</t>
        </is>
      </c>
      <c r="B66" s="12" t="inlineStr">
        <is>
          <t>Août 2026</t>
        </is>
      </c>
      <c r="C66" s="12" t="inlineStr">
        <is>
          <t>IMPORT</t>
        </is>
      </c>
      <c r="D66" s="4" t="inlineStr">
        <is>
          <t>421</t>
        </is>
      </c>
      <c r="E66" s="12" t="inlineStr">
        <is>
          <t>Net à payer au personnel</t>
        </is>
      </c>
      <c r="F66" s="6" t="n"/>
      <c r="G66" s="6">
        <f>'Paie IMPORT'!J28</f>
        <v/>
      </c>
    </row>
    <row r="67">
      <c r="A67" s="12" t="inlineStr">
        <is>
          <t>CNAS-IMP-08</t>
        </is>
      </c>
      <c r="B67" s="12" t="inlineStr">
        <is>
          <t>Août 2026</t>
        </is>
      </c>
      <c r="C67" s="12" t="inlineStr">
        <is>
          <t>IMPORT</t>
        </is>
      </c>
      <c r="D67" s="4" t="inlineStr">
        <is>
          <t>635</t>
        </is>
      </c>
      <c r="E67" s="12" t="inlineStr">
        <is>
          <t>Charges patronales CNAS (26 %)</t>
        </is>
      </c>
      <c r="F67" s="30">
        <f>ROUND('Paie IMPORT'!J19*Paramètres!$B$8,2)</f>
        <v/>
      </c>
      <c r="G67" s="30" t="n"/>
    </row>
    <row r="68">
      <c r="A68" s="12" t="inlineStr">
        <is>
          <t>CNAS-IMP-08</t>
        </is>
      </c>
      <c r="B68" s="12" t="inlineStr">
        <is>
          <t>Août 2026</t>
        </is>
      </c>
      <c r="C68" s="12" t="inlineStr">
        <is>
          <t>IMPORT</t>
        </is>
      </c>
      <c r="D68" s="4" t="inlineStr">
        <is>
          <t>431</t>
        </is>
      </c>
      <c r="E68" s="12" t="inlineStr">
        <is>
          <t>CNAS — part patronale à reverser</t>
        </is>
      </c>
      <c r="F68" s="30" t="n"/>
      <c r="G68" s="30">
        <f>ROUND('Paie IMPORT'!J19*Paramètres!$B$8,2)</f>
        <v/>
      </c>
    </row>
    <row r="69">
      <c r="A69" s="12" t="inlineStr">
        <is>
          <t>PAIE-TPM-01</t>
        </is>
      </c>
      <c r="B69" s="12" t="inlineStr">
        <is>
          <t>Janv 2026</t>
        </is>
      </c>
      <c r="C69" s="12" t="inlineStr">
        <is>
          <t>TPM</t>
        </is>
      </c>
      <c r="D69" s="4" t="inlineStr">
        <is>
          <t>631</t>
        </is>
      </c>
      <c r="E69" s="12" t="inlineStr">
        <is>
          <t>Rémunérations (salaire de poste + ponctualité)</t>
        </is>
      </c>
      <c r="F69" s="6">
        <f>'Paie TPM'!C19+'Paie TPM'!C18</f>
        <v/>
      </c>
      <c r="G69" s="6" t="n"/>
    </row>
    <row r="70">
      <c r="A70" s="12" t="inlineStr">
        <is>
          <t>PAIE-TPM-01</t>
        </is>
      </c>
      <c r="B70" s="12" t="inlineStr">
        <is>
          <t>Janv 2026</t>
        </is>
      </c>
      <c r="C70" s="12" t="inlineStr">
        <is>
          <t>TPM</t>
        </is>
      </c>
      <c r="D70" s="4" t="inlineStr">
        <is>
          <t>638</t>
        </is>
      </c>
      <c r="E70" s="12" t="inlineStr">
        <is>
          <t>Indemnités panier et transport</t>
        </is>
      </c>
      <c r="F70" s="6">
        <f>'Paie TPM'!C22+'Paie TPM'!C23</f>
        <v/>
      </c>
      <c r="G70" s="6" t="n"/>
    </row>
    <row r="71">
      <c r="A71" s="12" t="inlineStr">
        <is>
          <t>PAIE-TPM-01</t>
        </is>
      </c>
      <c r="B71" s="12" t="inlineStr">
        <is>
          <t>Janv 2026</t>
        </is>
      </c>
      <c r="C71" s="12" t="inlineStr">
        <is>
          <t>TPM</t>
        </is>
      </c>
      <c r="D71" s="4" t="inlineStr">
        <is>
          <t>625</t>
        </is>
      </c>
      <c r="E71" s="12" t="inlineStr">
        <is>
          <t>Frais de mission</t>
        </is>
      </c>
      <c r="F71" s="6">
        <f>'Paie TPM'!C26</f>
        <v/>
      </c>
      <c r="G71" s="6" t="n"/>
    </row>
    <row r="72">
      <c r="A72" s="12" t="inlineStr">
        <is>
          <t>PAIE-TPM-01</t>
        </is>
      </c>
      <c r="B72" s="12" t="inlineStr">
        <is>
          <t>Janv 2026</t>
        </is>
      </c>
      <c r="C72" s="12" t="inlineStr">
        <is>
          <t>TPM</t>
        </is>
      </c>
      <c r="D72" s="4" t="inlineStr">
        <is>
          <t>431</t>
        </is>
      </c>
      <c r="E72" s="12" t="inlineStr">
        <is>
          <t>Salaire unique avancé pour compte CNAS (à valider)</t>
        </is>
      </c>
      <c r="F72" s="6">
        <f>'Paie TPM'!C27</f>
        <v/>
      </c>
      <c r="G72" s="6" t="n"/>
    </row>
    <row r="73">
      <c r="A73" s="12" t="inlineStr">
        <is>
          <t>PAIE-TPM-01</t>
        </is>
      </c>
      <c r="B73" s="12" t="inlineStr">
        <is>
          <t>Janv 2026</t>
        </is>
      </c>
      <c r="C73" s="12" t="inlineStr">
        <is>
          <t>TPM</t>
        </is>
      </c>
      <c r="D73" s="4" t="inlineStr">
        <is>
          <t>431</t>
        </is>
      </c>
      <c r="E73" s="12" t="inlineStr">
        <is>
          <t>CNAS — retenue salariale 9 %</t>
        </is>
      </c>
      <c r="F73" s="6" t="n"/>
      <c r="G73" s="6">
        <f>'Paie TPM'!C21</f>
        <v/>
      </c>
    </row>
    <row r="74">
      <c r="A74" s="12" t="inlineStr">
        <is>
          <t>PAIE-TPM-01</t>
        </is>
      </c>
      <c r="B74" s="12" t="inlineStr">
        <is>
          <t>Janv 2026</t>
        </is>
      </c>
      <c r="C74" s="12" t="inlineStr">
        <is>
          <t>TPM</t>
        </is>
      </c>
      <c r="D74" s="4" t="inlineStr">
        <is>
          <t>442</t>
        </is>
      </c>
      <c r="E74" s="12" t="inlineStr">
        <is>
          <t>IRG retenu à la source</t>
        </is>
      </c>
      <c r="F74" s="6" t="n"/>
      <c r="G74" s="6">
        <f>'Paie TPM'!C25</f>
        <v/>
      </c>
    </row>
    <row r="75">
      <c r="A75" s="12" t="inlineStr">
        <is>
          <t>PAIE-TPM-01</t>
        </is>
      </c>
      <c r="B75" s="12" t="inlineStr">
        <is>
          <t>Janv 2026</t>
        </is>
      </c>
      <c r="C75" s="12" t="inlineStr">
        <is>
          <t>TPM</t>
        </is>
      </c>
      <c r="D75" s="4" t="inlineStr">
        <is>
          <t>421</t>
        </is>
      </c>
      <c r="E75" s="12" t="inlineStr">
        <is>
          <t>Net à payer au personnel</t>
        </is>
      </c>
      <c r="F75" s="6" t="n"/>
      <c r="G75" s="6">
        <f>'Paie TPM'!C28</f>
        <v/>
      </c>
    </row>
    <row r="76">
      <c r="A76" s="12" t="inlineStr">
        <is>
          <t>CNAS-TPM-01</t>
        </is>
      </c>
      <c r="B76" s="12" t="inlineStr">
        <is>
          <t>Janv 2026</t>
        </is>
      </c>
      <c r="C76" s="12" t="inlineStr">
        <is>
          <t>TPM</t>
        </is>
      </c>
      <c r="D76" s="4" t="inlineStr">
        <is>
          <t>635</t>
        </is>
      </c>
      <c r="E76" s="12" t="inlineStr">
        <is>
          <t>Charges patronales CNAS (26 %)</t>
        </is>
      </c>
      <c r="F76" s="30">
        <f>ROUND('Paie TPM'!C19*Paramètres!$B$8,2)</f>
        <v/>
      </c>
      <c r="G76" s="30" t="n"/>
    </row>
    <row r="77">
      <c r="A77" s="12" t="inlineStr">
        <is>
          <t>CNAS-TPM-01</t>
        </is>
      </c>
      <c r="B77" s="12" t="inlineStr">
        <is>
          <t>Janv 2026</t>
        </is>
      </c>
      <c r="C77" s="12" t="inlineStr">
        <is>
          <t>TPM</t>
        </is>
      </c>
      <c r="D77" s="4" t="inlineStr">
        <is>
          <t>431</t>
        </is>
      </c>
      <c r="E77" s="12" t="inlineStr">
        <is>
          <t>CNAS — part patronale à reverser</t>
        </is>
      </c>
      <c r="F77" s="30" t="n"/>
      <c r="G77" s="30">
        <f>ROUND('Paie TPM'!C19*Paramètres!$B$8,2)</f>
        <v/>
      </c>
    </row>
    <row r="78">
      <c r="A78" s="12" t="inlineStr">
        <is>
          <t>PAIE-TPM-02</t>
        </is>
      </c>
      <c r="B78" s="12" t="inlineStr">
        <is>
          <t>Févr 2026</t>
        </is>
      </c>
      <c r="C78" s="12" t="inlineStr">
        <is>
          <t>TPM</t>
        </is>
      </c>
      <c r="D78" s="4" t="inlineStr">
        <is>
          <t>631</t>
        </is>
      </c>
      <c r="E78" s="12" t="inlineStr">
        <is>
          <t>Rémunérations (salaire de poste + ponctualité)</t>
        </is>
      </c>
      <c r="F78" s="6">
        <f>'Paie TPM'!D19+'Paie TPM'!D18</f>
        <v/>
      </c>
      <c r="G78" s="6" t="n"/>
    </row>
    <row r="79">
      <c r="A79" s="12" t="inlineStr">
        <is>
          <t>PAIE-TPM-02</t>
        </is>
      </c>
      <c r="B79" s="12" t="inlineStr">
        <is>
          <t>Févr 2026</t>
        </is>
      </c>
      <c r="C79" s="12" t="inlineStr">
        <is>
          <t>TPM</t>
        </is>
      </c>
      <c r="D79" s="4" t="inlineStr">
        <is>
          <t>638</t>
        </is>
      </c>
      <c r="E79" s="12" t="inlineStr">
        <is>
          <t>Indemnités panier et transport</t>
        </is>
      </c>
      <c r="F79" s="6">
        <f>'Paie TPM'!D22+'Paie TPM'!D23</f>
        <v/>
      </c>
      <c r="G79" s="6" t="n"/>
    </row>
    <row r="80">
      <c r="A80" s="12" t="inlineStr">
        <is>
          <t>PAIE-TPM-02</t>
        </is>
      </c>
      <c r="B80" s="12" t="inlineStr">
        <is>
          <t>Févr 2026</t>
        </is>
      </c>
      <c r="C80" s="12" t="inlineStr">
        <is>
          <t>TPM</t>
        </is>
      </c>
      <c r="D80" s="4" t="inlineStr">
        <is>
          <t>625</t>
        </is>
      </c>
      <c r="E80" s="12" t="inlineStr">
        <is>
          <t>Frais de mission</t>
        </is>
      </c>
      <c r="F80" s="6">
        <f>'Paie TPM'!D26</f>
        <v/>
      </c>
      <c r="G80" s="6" t="n"/>
    </row>
    <row r="81">
      <c r="A81" s="12" t="inlineStr">
        <is>
          <t>PAIE-TPM-02</t>
        </is>
      </c>
      <c r="B81" s="12" t="inlineStr">
        <is>
          <t>Févr 2026</t>
        </is>
      </c>
      <c r="C81" s="12" t="inlineStr">
        <is>
          <t>TPM</t>
        </is>
      </c>
      <c r="D81" s="4" t="inlineStr">
        <is>
          <t>431</t>
        </is>
      </c>
      <c r="E81" s="12" t="inlineStr">
        <is>
          <t>Salaire unique avancé pour compte CNAS (à valider)</t>
        </is>
      </c>
      <c r="F81" s="6">
        <f>'Paie TPM'!D27</f>
        <v/>
      </c>
      <c r="G81" s="6" t="n"/>
    </row>
    <row r="82">
      <c r="A82" s="12" t="inlineStr">
        <is>
          <t>PAIE-TPM-02</t>
        </is>
      </c>
      <c r="B82" s="12" t="inlineStr">
        <is>
          <t>Févr 2026</t>
        </is>
      </c>
      <c r="C82" s="12" t="inlineStr">
        <is>
          <t>TPM</t>
        </is>
      </c>
      <c r="D82" s="4" t="inlineStr">
        <is>
          <t>431</t>
        </is>
      </c>
      <c r="E82" s="12" t="inlineStr">
        <is>
          <t>CNAS — retenue salariale 9 %</t>
        </is>
      </c>
      <c r="F82" s="6" t="n"/>
      <c r="G82" s="6">
        <f>'Paie TPM'!D21</f>
        <v/>
      </c>
    </row>
    <row r="83">
      <c r="A83" s="12" t="inlineStr">
        <is>
          <t>PAIE-TPM-02</t>
        </is>
      </c>
      <c r="B83" s="12" t="inlineStr">
        <is>
          <t>Févr 2026</t>
        </is>
      </c>
      <c r="C83" s="12" t="inlineStr">
        <is>
          <t>TPM</t>
        </is>
      </c>
      <c r="D83" s="4" t="inlineStr">
        <is>
          <t>442</t>
        </is>
      </c>
      <c r="E83" s="12" t="inlineStr">
        <is>
          <t>IRG retenu à la source</t>
        </is>
      </c>
      <c r="F83" s="6" t="n"/>
      <c r="G83" s="6">
        <f>'Paie TPM'!D25</f>
        <v/>
      </c>
    </row>
    <row r="84">
      <c r="A84" s="12" t="inlineStr">
        <is>
          <t>PAIE-TPM-02</t>
        </is>
      </c>
      <c r="B84" s="12" t="inlineStr">
        <is>
          <t>Févr 2026</t>
        </is>
      </c>
      <c r="C84" s="12" t="inlineStr">
        <is>
          <t>TPM</t>
        </is>
      </c>
      <c r="D84" s="4" t="inlineStr">
        <is>
          <t>421</t>
        </is>
      </c>
      <c r="E84" s="12" t="inlineStr">
        <is>
          <t>Net à payer au personnel</t>
        </is>
      </c>
      <c r="F84" s="6" t="n"/>
      <c r="G84" s="6">
        <f>'Paie TPM'!D28</f>
        <v/>
      </c>
    </row>
    <row r="85">
      <c r="A85" s="12" t="inlineStr">
        <is>
          <t>CNAS-TPM-02</t>
        </is>
      </c>
      <c r="B85" s="12" t="inlineStr">
        <is>
          <t>Févr 2026</t>
        </is>
      </c>
      <c r="C85" s="12" t="inlineStr">
        <is>
          <t>TPM</t>
        </is>
      </c>
      <c r="D85" s="4" t="inlineStr">
        <is>
          <t>635</t>
        </is>
      </c>
      <c r="E85" s="12" t="inlineStr">
        <is>
          <t>Charges patronales CNAS (26 %)</t>
        </is>
      </c>
      <c r="F85" s="30">
        <f>ROUND('Paie TPM'!D19*Paramètres!$B$8,2)</f>
        <v/>
      </c>
      <c r="G85" s="30" t="n"/>
    </row>
    <row r="86">
      <c r="A86" s="12" t="inlineStr">
        <is>
          <t>CNAS-TPM-02</t>
        </is>
      </c>
      <c r="B86" s="12" t="inlineStr">
        <is>
          <t>Févr 2026</t>
        </is>
      </c>
      <c r="C86" s="12" t="inlineStr">
        <is>
          <t>TPM</t>
        </is>
      </c>
      <c r="D86" s="4" t="inlineStr">
        <is>
          <t>431</t>
        </is>
      </c>
      <c r="E86" s="12" t="inlineStr">
        <is>
          <t>CNAS — part patronale à reverser</t>
        </is>
      </c>
      <c r="F86" s="30" t="n"/>
      <c r="G86" s="30">
        <f>ROUND('Paie TPM'!D19*Paramètres!$B$8,2)</f>
        <v/>
      </c>
    </row>
    <row r="87">
      <c r="A87" s="12" t="inlineStr">
        <is>
          <t>PAIE-TPM-03</t>
        </is>
      </c>
      <c r="B87" s="12" t="inlineStr">
        <is>
          <t>Mars 2026</t>
        </is>
      </c>
      <c r="C87" s="12" t="inlineStr">
        <is>
          <t>TPM</t>
        </is>
      </c>
      <c r="D87" s="4" t="inlineStr">
        <is>
          <t>631</t>
        </is>
      </c>
      <c r="E87" s="12" t="inlineStr">
        <is>
          <t>Rémunérations (salaire de poste + ponctualité)</t>
        </is>
      </c>
      <c r="F87" s="6">
        <f>'Paie TPM'!E19+'Paie TPM'!E18</f>
        <v/>
      </c>
      <c r="G87" s="6" t="n"/>
    </row>
    <row r="88">
      <c r="A88" s="12" t="inlineStr">
        <is>
          <t>PAIE-TPM-03</t>
        </is>
      </c>
      <c r="B88" s="12" t="inlineStr">
        <is>
          <t>Mars 2026</t>
        </is>
      </c>
      <c r="C88" s="12" t="inlineStr">
        <is>
          <t>TPM</t>
        </is>
      </c>
      <c r="D88" s="4" t="inlineStr">
        <is>
          <t>638</t>
        </is>
      </c>
      <c r="E88" s="12" t="inlineStr">
        <is>
          <t>Indemnités panier et transport</t>
        </is>
      </c>
      <c r="F88" s="6">
        <f>'Paie TPM'!E22+'Paie TPM'!E23</f>
        <v/>
      </c>
      <c r="G88" s="6" t="n"/>
    </row>
    <row r="89">
      <c r="A89" s="12" t="inlineStr">
        <is>
          <t>PAIE-TPM-03</t>
        </is>
      </c>
      <c r="B89" s="12" t="inlineStr">
        <is>
          <t>Mars 2026</t>
        </is>
      </c>
      <c r="C89" s="12" t="inlineStr">
        <is>
          <t>TPM</t>
        </is>
      </c>
      <c r="D89" s="4" t="inlineStr">
        <is>
          <t>625</t>
        </is>
      </c>
      <c r="E89" s="12" t="inlineStr">
        <is>
          <t>Frais de mission</t>
        </is>
      </c>
      <c r="F89" s="6">
        <f>'Paie TPM'!E26</f>
        <v/>
      </c>
      <c r="G89" s="6" t="n"/>
    </row>
    <row r="90">
      <c r="A90" s="12" t="inlineStr">
        <is>
          <t>PAIE-TPM-03</t>
        </is>
      </c>
      <c r="B90" s="12" t="inlineStr">
        <is>
          <t>Mars 2026</t>
        </is>
      </c>
      <c r="C90" s="12" t="inlineStr">
        <is>
          <t>TPM</t>
        </is>
      </c>
      <c r="D90" s="4" t="inlineStr">
        <is>
          <t>431</t>
        </is>
      </c>
      <c r="E90" s="12" t="inlineStr">
        <is>
          <t>Salaire unique avancé pour compte CNAS (à valider)</t>
        </is>
      </c>
      <c r="F90" s="6">
        <f>'Paie TPM'!E27</f>
        <v/>
      </c>
      <c r="G90" s="6" t="n"/>
    </row>
    <row r="91">
      <c r="A91" s="12" t="inlineStr">
        <is>
          <t>PAIE-TPM-03</t>
        </is>
      </c>
      <c r="B91" s="12" t="inlineStr">
        <is>
          <t>Mars 2026</t>
        </is>
      </c>
      <c r="C91" s="12" t="inlineStr">
        <is>
          <t>TPM</t>
        </is>
      </c>
      <c r="D91" s="4" t="inlineStr">
        <is>
          <t>431</t>
        </is>
      </c>
      <c r="E91" s="12" t="inlineStr">
        <is>
          <t>CNAS — retenue salariale 9 %</t>
        </is>
      </c>
      <c r="F91" s="6" t="n"/>
      <c r="G91" s="6">
        <f>'Paie TPM'!E21</f>
        <v/>
      </c>
    </row>
    <row r="92">
      <c r="A92" s="12" t="inlineStr">
        <is>
          <t>PAIE-TPM-03</t>
        </is>
      </c>
      <c r="B92" s="12" t="inlineStr">
        <is>
          <t>Mars 2026</t>
        </is>
      </c>
      <c r="C92" s="12" t="inlineStr">
        <is>
          <t>TPM</t>
        </is>
      </c>
      <c r="D92" s="4" t="inlineStr">
        <is>
          <t>442</t>
        </is>
      </c>
      <c r="E92" s="12" t="inlineStr">
        <is>
          <t>IRG retenu à la source</t>
        </is>
      </c>
      <c r="F92" s="6" t="n"/>
      <c r="G92" s="6">
        <f>'Paie TPM'!E25</f>
        <v/>
      </c>
    </row>
    <row r="93">
      <c r="A93" s="12" t="inlineStr">
        <is>
          <t>PAIE-TPM-03</t>
        </is>
      </c>
      <c r="B93" s="12" t="inlineStr">
        <is>
          <t>Mars 2026</t>
        </is>
      </c>
      <c r="C93" s="12" t="inlineStr">
        <is>
          <t>TPM</t>
        </is>
      </c>
      <c r="D93" s="4" t="inlineStr">
        <is>
          <t>421</t>
        </is>
      </c>
      <c r="E93" s="12" t="inlineStr">
        <is>
          <t>Net à payer au personnel</t>
        </is>
      </c>
      <c r="F93" s="6" t="n"/>
      <c r="G93" s="6">
        <f>'Paie TPM'!E28</f>
        <v/>
      </c>
    </row>
    <row r="94">
      <c r="A94" s="12" t="inlineStr">
        <is>
          <t>CNAS-TPM-03</t>
        </is>
      </c>
      <c r="B94" s="12" t="inlineStr">
        <is>
          <t>Mars 2026</t>
        </is>
      </c>
      <c r="C94" s="12" t="inlineStr">
        <is>
          <t>TPM</t>
        </is>
      </c>
      <c r="D94" s="4" t="inlineStr">
        <is>
          <t>635</t>
        </is>
      </c>
      <c r="E94" s="12" t="inlineStr">
        <is>
          <t>Charges patronales CNAS (26 %)</t>
        </is>
      </c>
      <c r="F94" s="30">
        <f>ROUND('Paie TPM'!E19*Paramètres!$B$8,2)</f>
        <v/>
      </c>
      <c r="G94" s="30" t="n"/>
    </row>
    <row r="95">
      <c r="A95" s="12" t="inlineStr">
        <is>
          <t>CNAS-TPM-03</t>
        </is>
      </c>
      <c r="B95" s="12" t="inlineStr">
        <is>
          <t>Mars 2026</t>
        </is>
      </c>
      <c r="C95" s="12" t="inlineStr">
        <is>
          <t>TPM</t>
        </is>
      </c>
      <c r="D95" s="4" t="inlineStr">
        <is>
          <t>431</t>
        </is>
      </c>
      <c r="E95" s="12" t="inlineStr">
        <is>
          <t>CNAS — part patronale à reverser</t>
        </is>
      </c>
      <c r="F95" s="30" t="n"/>
      <c r="G95" s="30">
        <f>ROUND('Paie TPM'!E19*Paramètres!$B$8,2)</f>
        <v/>
      </c>
    </row>
    <row r="96">
      <c r="A96" s="12" t="inlineStr">
        <is>
          <t>PAIE-TPM-04</t>
        </is>
      </c>
      <c r="B96" s="12" t="inlineStr">
        <is>
          <t>Avr 2026</t>
        </is>
      </c>
      <c r="C96" s="12" t="inlineStr">
        <is>
          <t>TPM</t>
        </is>
      </c>
      <c r="D96" s="4" t="inlineStr">
        <is>
          <t>631</t>
        </is>
      </c>
      <c r="E96" s="12" t="inlineStr">
        <is>
          <t>Rémunérations (salaire de poste + ponctualité)</t>
        </is>
      </c>
      <c r="F96" s="6">
        <f>'Paie TPM'!F19+'Paie TPM'!F18</f>
        <v/>
      </c>
      <c r="G96" s="6" t="n"/>
    </row>
    <row r="97">
      <c r="A97" s="12" t="inlineStr">
        <is>
          <t>PAIE-TPM-04</t>
        </is>
      </c>
      <c r="B97" s="12" t="inlineStr">
        <is>
          <t>Avr 2026</t>
        </is>
      </c>
      <c r="C97" s="12" t="inlineStr">
        <is>
          <t>TPM</t>
        </is>
      </c>
      <c r="D97" s="4" t="inlineStr">
        <is>
          <t>638</t>
        </is>
      </c>
      <c r="E97" s="12" t="inlineStr">
        <is>
          <t>Indemnités panier et transport</t>
        </is>
      </c>
      <c r="F97" s="6">
        <f>'Paie TPM'!F22+'Paie TPM'!F23</f>
        <v/>
      </c>
      <c r="G97" s="6" t="n"/>
    </row>
    <row r="98">
      <c r="A98" s="12" t="inlineStr">
        <is>
          <t>PAIE-TPM-04</t>
        </is>
      </c>
      <c r="B98" s="12" t="inlineStr">
        <is>
          <t>Avr 2026</t>
        </is>
      </c>
      <c r="C98" s="12" t="inlineStr">
        <is>
          <t>TPM</t>
        </is>
      </c>
      <c r="D98" s="4" t="inlineStr">
        <is>
          <t>625</t>
        </is>
      </c>
      <c r="E98" s="12" t="inlineStr">
        <is>
          <t>Frais de mission</t>
        </is>
      </c>
      <c r="F98" s="6">
        <f>'Paie TPM'!F26</f>
        <v/>
      </c>
      <c r="G98" s="6" t="n"/>
    </row>
    <row r="99">
      <c r="A99" s="12" t="inlineStr">
        <is>
          <t>PAIE-TPM-04</t>
        </is>
      </c>
      <c r="B99" s="12" t="inlineStr">
        <is>
          <t>Avr 2026</t>
        </is>
      </c>
      <c r="C99" s="12" t="inlineStr">
        <is>
          <t>TPM</t>
        </is>
      </c>
      <c r="D99" s="4" t="inlineStr">
        <is>
          <t>431</t>
        </is>
      </c>
      <c r="E99" s="12" t="inlineStr">
        <is>
          <t>Salaire unique avancé pour compte CNAS (à valider)</t>
        </is>
      </c>
      <c r="F99" s="6">
        <f>'Paie TPM'!F27</f>
        <v/>
      </c>
      <c r="G99" s="6" t="n"/>
    </row>
    <row r="100">
      <c r="A100" s="12" t="inlineStr">
        <is>
          <t>PAIE-TPM-04</t>
        </is>
      </c>
      <c r="B100" s="12" t="inlineStr">
        <is>
          <t>Avr 2026</t>
        </is>
      </c>
      <c r="C100" s="12" t="inlineStr">
        <is>
          <t>TPM</t>
        </is>
      </c>
      <c r="D100" s="4" t="inlineStr">
        <is>
          <t>431</t>
        </is>
      </c>
      <c r="E100" s="12" t="inlineStr">
        <is>
          <t>CNAS — retenue salariale 9 %</t>
        </is>
      </c>
      <c r="F100" s="6" t="n"/>
      <c r="G100" s="6">
        <f>'Paie TPM'!F21</f>
        <v/>
      </c>
    </row>
    <row r="101">
      <c r="A101" s="12" t="inlineStr">
        <is>
          <t>PAIE-TPM-04</t>
        </is>
      </c>
      <c r="B101" s="12" t="inlineStr">
        <is>
          <t>Avr 2026</t>
        </is>
      </c>
      <c r="C101" s="12" t="inlineStr">
        <is>
          <t>TPM</t>
        </is>
      </c>
      <c r="D101" s="4" t="inlineStr">
        <is>
          <t>442</t>
        </is>
      </c>
      <c r="E101" s="12" t="inlineStr">
        <is>
          <t>IRG retenu à la source</t>
        </is>
      </c>
      <c r="F101" s="6" t="n"/>
      <c r="G101" s="6">
        <f>'Paie TPM'!F25</f>
        <v/>
      </c>
    </row>
    <row r="102">
      <c r="A102" s="12" t="inlineStr">
        <is>
          <t>PAIE-TPM-04</t>
        </is>
      </c>
      <c r="B102" s="12" t="inlineStr">
        <is>
          <t>Avr 2026</t>
        </is>
      </c>
      <c r="C102" s="12" t="inlineStr">
        <is>
          <t>TPM</t>
        </is>
      </c>
      <c r="D102" s="4" t="inlineStr">
        <is>
          <t>421</t>
        </is>
      </c>
      <c r="E102" s="12" t="inlineStr">
        <is>
          <t>Net à payer au personnel</t>
        </is>
      </c>
      <c r="F102" s="6" t="n"/>
      <c r="G102" s="6">
        <f>'Paie TPM'!F28</f>
        <v/>
      </c>
    </row>
    <row r="103">
      <c r="A103" s="12" t="inlineStr">
        <is>
          <t>CNAS-TPM-04</t>
        </is>
      </c>
      <c r="B103" s="12" t="inlineStr">
        <is>
          <t>Avr 2026</t>
        </is>
      </c>
      <c r="C103" s="12" t="inlineStr">
        <is>
          <t>TPM</t>
        </is>
      </c>
      <c r="D103" s="4" t="inlineStr">
        <is>
          <t>635</t>
        </is>
      </c>
      <c r="E103" s="12" t="inlineStr">
        <is>
          <t>Charges patronales CNAS (26 %)</t>
        </is>
      </c>
      <c r="F103" s="30">
        <f>ROUND('Paie TPM'!F19*Paramètres!$B$8,2)</f>
        <v/>
      </c>
      <c r="G103" s="30" t="n"/>
    </row>
    <row r="104">
      <c r="A104" s="12" t="inlineStr">
        <is>
          <t>CNAS-TPM-04</t>
        </is>
      </c>
      <c r="B104" s="12" t="inlineStr">
        <is>
          <t>Avr 2026</t>
        </is>
      </c>
      <c r="C104" s="12" t="inlineStr">
        <is>
          <t>TPM</t>
        </is>
      </c>
      <c r="D104" s="4" t="inlineStr">
        <is>
          <t>431</t>
        </is>
      </c>
      <c r="E104" s="12" t="inlineStr">
        <is>
          <t>CNAS — part patronale à reverser</t>
        </is>
      </c>
      <c r="F104" s="30" t="n"/>
      <c r="G104" s="30">
        <f>ROUND('Paie TPM'!F19*Paramètres!$B$8,2)</f>
        <v/>
      </c>
    </row>
    <row r="105">
      <c r="A105" s="12" t="inlineStr">
        <is>
          <t>PAIE-TPM-05</t>
        </is>
      </c>
      <c r="B105" s="12" t="inlineStr">
        <is>
          <t>Mai 2026</t>
        </is>
      </c>
      <c r="C105" s="12" t="inlineStr">
        <is>
          <t>TPM</t>
        </is>
      </c>
      <c r="D105" s="4" t="inlineStr">
        <is>
          <t>631</t>
        </is>
      </c>
      <c r="E105" s="12" t="inlineStr">
        <is>
          <t>Rémunérations (salaire de poste + ponctualité)</t>
        </is>
      </c>
      <c r="F105" s="6">
        <f>'Paie TPM'!G19+'Paie TPM'!G18</f>
        <v/>
      </c>
      <c r="G105" s="6" t="n"/>
    </row>
    <row r="106">
      <c r="A106" s="12" t="inlineStr">
        <is>
          <t>PAIE-TPM-05</t>
        </is>
      </c>
      <c r="B106" s="12" t="inlineStr">
        <is>
          <t>Mai 2026</t>
        </is>
      </c>
      <c r="C106" s="12" t="inlineStr">
        <is>
          <t>TPM</t>
        </is>
      </c>
      <c r="D106" s="4" t="inlineStr">
        <is>
          <t>638</t>
        </is>
      </c>
      <c r="E106" s="12" t="inlineStr">
        <is>
          <t>Indemnités panier et transport</t>
        </is>
      </c>
      <c r="F106" s="6">
        <f>'Paie TPM'!G22+'Paie TPM'!G23</f>
        <v/>
      </c>
      <c r="G106" s="6" t="n"/>
    </row>
    <row r="107">
      <c r="A107" s="12" t="inlineStr">
        <is>
          <t>PAIE-TPM-05</t>
        </is>
      </c>
      <c r="B107" s="12" t="inlineStr">
        <is>
          <t>Mai 2026</t>
        </is>
      </c>
      <c r="C107" s="12" t="inlineStr">
        <is>
          <t>TPM</t>
        </is>
      </c>
      <c r="D107" s="4" t="inlineStr">
        <is>
          <t>625</t>
        </is>
      </c>
      <c r="E107" s="12" t="inlineStr">
        <is>
          <t>Frais de mission</t>
        </is>
      </c>
      <c r="F107" s="6">
        <f>'Paie TPM'!G26</f>
        <v/>
      </c>
      <c r="G107" s="6" t="n"/>
    </row>
    <row r="108">
      <c r="A108" s="12" t="inlineStr">
        <is>
          <t>PAIE-TPM-05</t>
        </is>
      </c>
      <c r="B108" s="12" t="inlineStr">
        <is>
          <t>Mai 2026</t>
        </is>
      </c>
      <c r="C108" s="12" t="inlineStr">
        <is>
          <t>TPM</t>
        </is>
      </c>
      <c r="D108" s="4" t="inlineStr">
        <is>
          <t>431</t>
        </is>
      </c>
      <c r="E108" s="12" t="inlineStr">
        <is>
          <t>Salaire unique avancé pour compte CNAS (à valider)</t>
        </is>
      </c>
      <c r="F108" s="6">
        <f>'Paie TPM'!G27</f>
        <v/>
      </c>
      <c r="G108" s="6" t="n"/>
    </row>
    <row r="109">
      <c r="A109" s="12" t="inlineStr">
        <is>
          <t>PAIE-TPM-05</t>
        </is>
      </c>
      <c r="B109" s="12" t="inlineStr">
        <is>
          <t>Mai 2026</t>
        </is>
      </c>
      <c r="C109" s="12" t="inlineStr">
        <is>
          <t>TPM</t>
        </is>
      </c>
      <c r="D109" s="4" t="inlineStr">
        <is>
          <t>431</t>
        </is>
      </c>
      <c r="E109" s="12" t="inlineStr">
        <is>
          <t>CNAS — retenue salariale 9 %</t>
        </is>
      </c>
      <c r="F109" s="6" t="n"/>
      <c r="G109" s="6">
        <f>'Paie TPM'!G21</f>
        <v/>
      </c>
    </row>
    <row r="110">
      <c r="A110" s="12" t="inlineStr">
        <is>
          <t>PAIE-TPM-05</t>
        </is>
      </c>
      <c r="B110" s="12" t="inlineStr">
        <is>
          <t>Mai 2026</t>
        </is>
      </c>
      <c r="C110" s="12" t="inlineStr">
        <is>
          <t>TPM</t>
        </is>
      </c>
      <c r="D110" s="4" t="inlineStr">
        <is>
          <t>442</t>
        </is>
      </c>
      <c r="E110" s="12" t="inlineStr">
        <is>
          <t>IRG retenu à la source</t>
        </is>
      </c>
      <c r="F110" s="6" t="n"/>
      <c r="G110" s="6">
        <f>'Paie TPM'!G25</f>
        <v/>
      </c>
    </row>
    <row r="111">
      <c r="A111" s="12" t="inlineStr">
        <is>
          <t>PAIE-TPM-05</t>
        </is>
      </c>
      <c r="B111" s="12" t="inlineStr">
        <is>
          <t>Mai 2026</t>
        </is>
      </c>
      <c r="C111" s="12" t="inlineStr">
        <is>
          <t>TPM</t>
        </is>
      </c>
      <c r="D111" s="4" t="inlineStr">
        <is>
          <t>421</t>
        </is>
      </c>
      <c r="E111" s="12" t="inlineStr">
        <is>
          <t>Net à payer au personnel</t>
        </is>
      </c>
      <c r="F111" s="6" t="n"/>
      <c r="G111" s="6">
        <f>'Paie TPM'!G28</f>
        <v/>
      </c>
    </row>
    <row r="112">
      <c r="A112" s="12" t="inlineStr">
        <is>
          <t>CNAS-TPM-05</t>
        </is>
      </c>
      <c r="B112" s="12" t="inlineStr">
        <is>
          <t>Mai 2026</t>
        </is>
      </c>
      <c r="C112" s="12" t="inlineStr">
        <is>
          <t>TPM</t>
        </is>
      </c>
      <c r="D112" s="4" t="inlineStr">
        <is>
          <t>635</t>
        </is>
      </c>
      <c r="E112" s="12" t="inlineStr">
        <is>
          <t>Charges patronales CNAS (26 %)</t>
        </is>
      </c>
      <c r="F112" s="30">
        <f>ROUND('Paie TPM'!G19*Paramètres!$B$8,2)</f>
        <v/>
      </c>
      <c r="G112" s="30" t="n"/>
    </row>
    <row r="113">
      <c r="A113" s="12" t="inlineStr">
        <is>
          <t>CNAS-TPM-05</t>
        </is>
      </c>
      <c r="B113" s="12" t="inlineStr">
        <is>
          <t>Mai 2026</t>
        </is>
      </c>
      <c r="C113" s="12" t="inlineStr">
        <is>
          <t>TPM</t>
        </is>
      </c>
      <c r="D113" s="4" t="inlineStr">
        <is>
          <t>431</t>
        </is>
      </c>
      <c r="E113" s="12" t="inlineStr">
        <is>
          <t>CNAS — part patronale à reverser</t>
        </is>
      </c>
      <c r="F113" s="30" t="n"/>
      <c r="G113" s="30">
        <f>ROUND('Paie TPM'!G19*Paramètres!$B$8,2)</f>
        <v/>
      </c>
    </row>
    <row r="114">
      <c r="A114" s="12" t="inlineStr">
        <is>
          <t>PAIE-TPM-06</t>
        </is>
      </c>
      <c r="B114" s="12" t="inlineStr">
        <is>
          <t>Juin 2026</t>
        </is>
      </c>
      <c r="C114" s="12" t="inlineStr">
        <is>
          <t>TPM</t>
        </is>
      </c>
      <c r="D114" s="4" t="inlineStr">
        <is>
          <t>631</t>
        </is>
      </c>
      <c r="E114" s="12" t="inlineStr">
        <is>
          <t>Rémunérations (salaire de poste + ponctualité)</t>
        </is>
      </c>
      <c r="F114" s="6">
        <f>'Paie TPM'!H19+'Paie TPM'!H18</f>
        <v/>
      </c>
      <c r="G114" s="6" t="n"/>
    </row>
    <row r="115">
      <c r="A115" s="12" t="inlineStr">
        <is>
          <t>PAIE-TPM-06</t>
        </is>
      </c>
      <c r="B115" s="12" t="inlineStr">
        <is>
          <t>Juin 2026</t>
        </is>
      </c>
      <c r="C115" s="12" t="inlineStr">
        <is>
          <t>TPM</t>
        </is>
      </c>
      <c r="D115" s="4" t="inlineStr">
        <is>
          <t>638</t>
        </is>
      </c>
      <c r="E115" s="12" t="inlineStr">
        <is>
          <t>Indemnités panier et transport</t>
        </is>
      </c>
      <c r="F115" s="6">
        <f>'Paie TPM'!H22+'Paie TPM'!H23</f>
        <v/>
      </c>
      <c r="G115" s="6" t="n"/>
    </row>
    <row r="116">
      <c r="A116" s="12" t="inlineStr">
        <is>
          <t>PAIE-TPM-06</t>
        </is>
      </c>
      <c r="B116" s="12" t="inlineStr">
        <is>
          <t>Juin 2026</t>
        </is>
      </c>
      <c r="C116" s="12" t="inlineStr">
        <is>
          <t>TPM</t>
        </is>
      </c>
      <c r="D116" s="4" t="inlineStr">
        <is>
          <t>625</t>
        </is>
      </c>
      <c r="E116" s="12" t="inlineStr">
        <is>
          <t>Frais de mission</t>
        </is>
      </c>
      <c r="F116" s="6">
        <f>'Paie TPM'!H26</f>
        <v/>
      </c>
      <c r="G116" s="6" t="n"/>
    </row>
    <row r="117">
      <c r="A117" s="12" t="inlineStr">
        <is>
          <t>PAIE-TPM-06</t>
        </is>
      </c>
      <c r="B117" s="12" t="inlineStr">
        <is>
          <t>Juin 2026</t>
        </is>
      </c>
      <c r="C117" s="12" t="inlineStr">
        <is>
          <t>TPM</t>
        </is>
      </c>
      <c r="D117" s="4" t="inlineStr">
        <is>
          <t>431</t>
        </is>
      </c>
      <c r="E117" s="12" t="inlineStr">
        <is>
          <t>Salaire unique avancé pour compte CNAS (à valider)</t>
        </is>
      </c>
      <c r="F117" s="6">
        <f>'Paie TPM'!H27</f>
        <v/>
      </c>
      <c r="G117" s="6" t="n"/>
    </row>
    <row r="118">
      <c r="A118" s="12" t="inlineStr">
        <is>
          <t>PAIE-TPM-06</t>
        </is>
      </c>
      <c r="B118" s="12" t="inlineStr">
        <is>
          <t>Juin 2026</t>
        </is>
      </c>
      <c r="C118" s="12" t="inlineStr">
        <is>
          <t>TPM</t>
        </is>
      </c>
      <c r="D118" s="4" t="inlineStr">
        <is>
          <t>431</t>
        </is>
      </c>
      <c r="E118" s="12" t="inlineStr">
        <is>
          <t>CNAS — retenue salariale 9 %</t>
        </is>
      </c>
      <c r="F118" s="6" t="n"/>
      <c r="G118" s="6">
        <f>'Paie TPM'!H21</f>
        <v/>
      </c>
    </row>
    <row r="119">
      <c r="A119" s="12" t="inlineStr">
        <is>
          <t>PAIE-TPM-06</t>
        </is>
      </c>
      <c r="B119" s="12" t="inlineStr">
        <is>
          <t>Juin 2026</t>
        </is>
      </c>
      <c r="C119" s="12" t="inlineStr">
        <is>
          <t>TPM</t>
        </is>
      </c>
      <c r="D119" s="4" t="inlineStr">
        <is>
          <t>442</t>
        </is>
      </c>
      <c r="E119" s="12" t="inlineStr">
        <is>
          <t>IRG retenu à la source</t>
        </is>
      </c>
      <c r="F119" s="6" t="n"/>
      <c r="G119" s="6">
        <f>'Paie TPM'!H25</f>
        <v/>
      </c>
    </row>
    <row r="120">
      <c r="A120" s="12" t="inlineStr">
        <is>
          <t>PAIE-TPM-06</t>
        </is>
      </c>
      <c r="B120" s="12" t="inlineStr">
        <is>
          <t>Juin 2026</t>
        </is>
      </c>
      <c r="C120" s="12" t="inlineStr">
        <is>
          <t>TPM</t>
        </is>
      </c>
      <c r="D120" s="4" t="inlineStr">
        <is>
          <t>421</t>
        </is>
      </c>
      <c r="E120" s="12" t="inlineStr">
        <is>
          <t>Net à payer au personnel</t>
        </is>
      </c>
      <c r="F120" s="6" t="n"/>
      <c r="G120" s="6">
        <f>'Paie TPM'!H28</f>
        <v/>
      </c>
    </row>
    <row r="121">
      <c r="A121" s="12" t="inlineStr">
        <is>
          <t>CNAS-TPM-06</t>
        </is>
      </c>
      <c r="B121" s="12" t="inlineStr">
        <is>
          <t>Juin 2026</t>
        </is>
      </c>
      <c r="C121" s="12" t="inlineStr">
        <is>
          <t>TPM</t>
        </is>
      </c>
      <c r="D121" s="4" t="inlineStr">
        <is>
          <t>635</t>
        </is>
      </c>
      <c r="E121" s="12" t="inlineStr">
        <is>
          <t>Charges patronales CNAS (26 %)</t>
        </is>
      </c>
      <c r="F121" s="30">
        <f>ROUND('Paie TPM'!H19*Paramètres!$B$8,2)</f>
        <v/>
      </c>
      <c r="G121" s="30" t="n"/>
    </row>
    <row r="122">
      <c r="A122" s="12" t="inlineStr">
        <is>
          <t>CNAS-TPM-06</t>
        </is>
      </c>
      <c r="B122" s="12" t="inlineStr">
        <is>
          <t>Juin 2026</t>
        </is>
      </c>
      <c r="C122" s="12" t="inlineStr">
        <is>
          <t>TPM</t>
        </is>
      </c>
      <c r="D122" s="4" t="inlineStr">
        <is>
          <t>431</t>
        </is>
      </c>
      <c r="E122" s="12" t="inlineStr">
        <is>
          <t>CNAS — part patronale à reverser</t>
        </is>
      </c>
      <c r="F122" s="30" t="n"/>
      <c r="G122" s="30">
        <f>ROUND('Paie TPM'!H19*Paramètres!$B$8,2)</f>
        <v/>
      </c>
    </row>
    <row r="123">
      <c r="A123" s="12" t="inlineStr">
        <is>
          <t>PAIE-TPM-07</t>
        </is>
      </c>
      <c r="B123" s="12" t="inlineStr">
        <is>
          <t>Juil 2026</t>
        </is>
      </c>
      <c r="C123" s="12" t="inlineStr">
        <is>
          <t>TPM</t>
        </is>
      </c>
      <c r="D123" s="4" t="inlineStr">
        <is>
          <t>631</t>
        </is>
      </c>
      <c r="E123" s="12" t="inlineStr">
        <is>
          <t>Rémunérations (salaire de poste + ponctualité)</t>
        </is>
      </c>
      <c r="F123" s="6">
        <f>'Paie TPM'!I19+'Paie TPM'!I18</f>
        <v/>
      </c>
      <c r="G123" s="6" t="n"/>
    </row>
    <row r="124">
      <c r="A124" s="12" t="inlineStr">
        <is>
          <t>PAIE-TPM-07</t>
        </is>
      </c>
      <c r="B124" s="12" t="inlineStr">
        <is>
          <t>Juil 2026</t>
        </is>
      </c>
      <c r="C124" s="12" t="inlineStr">
        <is>
          <t>TPM</t>
        </is>
      </c>
      <c r="D124" s="4" t="inlineStr">
        <is>
          <t>638</t>
        </is>
      </c>
      <c r="E124" s="12" t="inlineStr">
        <is>
          <t>Indemnités panier et transport</t>
        </is>
      </c>
      <c r="F124" s="6">
        <f>'Paie TPM'!I22+'Paie TPM'!I23</f>
        <v/>
      </c>
      <c r="G124" s="6" t="n"/>
    </row>
    <row r="125">
      <c r="A125" s="12" t="inlineStr">
        <is>
          <t>PAIE-TPM-07</t>
        </is>
      </c>
      <c r="B125" s="12" t="inlineStr">
        <is>
          <t>Juil 2026</t>
        </is>
      </c>
      <c r="C125" s="12" t="inlineStr">
        <is>
          <t>TPM</t>
        </is>
      </c>
      <c r="D125" s="4" t="inlineStr">
        <is>
          <t>625</t>
        </is>
      </c>
      <c r="E125" s="12" t="inlineStr">
        <is>
          <t>Frais de mission</t>
        </is>
      </c>
      <c r="F125" s="6">
        <f>'Paie TPM'!I26</f>
        <v/>
      </c>
      <c r="G125" s="6" t="n"/>
    </row>
    <row r="126">
      <c r="A126" s="12" t="inlineStr">
        <is>
          <t>PAIE-TPM-07</t>
        </is>
      </c>
      <c r="B126" s="12" t="inlineStr">
        <is>
          <t>Juil 2026</t>
        </is>
      </c>
      <c r="C126" s="12" t="inlineStr">
        <is>
          <t>TPM</t>
        </is>
      </c>
      <c r="D126" s="4" t="inlineStr">
        <is>
          <t>431</t>
        </is>
      </c>
      <c r="E126" s="12" t="inlineStr">
        <is>
          <t>Salaire unique avancé pour compte CNAS (à valider)</t>
        </is>
      </c>
      <c r="F126" s="6">
        <f>'Paie TPM'!I27</f>
        <v/>
      </c>
      <c r="G126" s="6" t="n"/>
    </row>
    <row r="127">
      <c r="A127" s="12" t="inlineStr">
        <is>
          <t>PAIE-TPM-07</t>
        </is>
      </c>
      <c r="B127" s="12" t="inlineStr">
        <is>
          <t>Juil 2026</t>
        </is>
      </c>
      <c r="C127" s="12" t="inlineStr">
        <is>
          <t>TPM</t>
        </is>
      </c>
      <c r="D127" s="4" t="inlineStr">
        <is>
          <t>431</t>
        </is>
      </c>
      <c r="E127" s="12" t="inlineStr">
        <is>
          <t>CNAS — retenue salariale 9 %</t>
        </is>
      </c>
      <c r="F127" s="6" t="n"/>
      <c r="G127" s="6">
        <f>'Paie TPM'!I21</f>
        <v/>
      </c>
    </row>
    <row r="128">
      <c r="A128" s="12" t="inlineStr">
        <is>
          <t>PAIE-TPM-07</t>
        </is>
      </c>
      <c r="B128" s="12" t="inlineStr">
        <is>
          <t>Juil 2026</t>
        </is>
      </c>
      <c r="C128" s="12" t="inlineStr">
        <is>
          <t>TPM</t>
        </is>
      </c>
      <c r="D128" s="4" t="inlineStr">
        <is>
          <t>442</t>
        </is>
      </c>
      <c r="E128" s="12" t="inlineStr">
        <is>
          <t>IRG retenu à la source</t>
        </is>
      </c>
      <c r="F128" s="6" t="n"/>
      <c r="G128" s="6">
        <f>'Paie TPM'!I25</f>
        <v/>
      </c>
    </row>
    <row r="129">
      <c r="A129" s="12" t="inlineStr">
        <is>
          <t>PAIE-TPM-07</t>
        </is>
      </c>
      <c r="B129" s="12" t="inlineStr">
        <is>
          <t>Juil 2026</t>
        </is>
      </c>
      <c r="C129" s="12" t="inlineStr">
        <is>
          <t>TPM</t>
        </is>
      </c>
      <c r="D129" s="4" t="inlineStr">
        <is>
          <t>421</t>
        </is>
      </c>
      <c r="E129" s="12" t="inlineStr">
        <is>
          <t>Net à payer au personnel</t>
        </is>
      </c>
      <c r="F129" s="6" t="n"/>
      <c r="G129" s="6">
        <f>'Paie TPM'!I28</f>
        <v/>
      </c>
    </row>
    <row r="130">
      <c r="A130" s="12" t="inlineStr">
        <is>
          <t>CNAS-TPM-07</t>
        </is>
      </c>
      <c r="B130" s="12" t="inlineStr">
        <is>
          <t>Juil 2026</t>
        </is>
      </c>
      <c r="C130" s="12" t="inlineStr">
        <is>
          <t>TPM</t>
        </is>
      </c>
      <c r="D130" s="4" t="inlineStr">
        <is>
          <t>635</t>
        </is>
      </c>
      <c r="E130" s="12" t="inlineStr">
        <is>
          <t>Charges patronales CNAS (26 %)</t>
        </is>
      </c>
      <c r="F130" s="30">
        <f>ROUND('Paie TPM'!I19*Paramètres!$B$8,2)</f>
        <v/>
      </c>
      <c r="G130" s="30" t="n"/>
    </row>
    <row r="131">
      <c r="A131" s="12" t="inlineStr">
        <is>
          <t>CNAS-TPM-07</t>
        </is>
      </c>
      <c r="B131" s="12" t="inlineStr">
        <is>
          <t>Juil 2026</t>
        </is>
      </c>
      <c r="C131" s="12" t="inlineStr">
        <is>
          <t>TPM</t>
        </is>
      </c>
      <c r="D131" s="4" t="inlineStr">
        <is>
          <t>431</t>
        </is>
      </c>
      <c r="E131" s="12" t="inlineStr">
        <is>
          <t>CNAS — part patronale à reverser</t>
        </is>
      </c>
      <c r="F131" s="30" t="n"/>
      <c r="G131" s="30">
        <f>ROUND('Paie TPM'!I19*Paramètres!$B$8,2)</f>
        <v/>
      </c>
    </row>
    <row r="132">
      <c r="A132" s="12" t="inlineStr">
        <is>
          <t>PAIE-TPM-08</t>
        </is>
      </c>
      <c r="B132" s="12" t="inlineStr">
        <is>
          <t>Août 2026</t>
        </is>
      </c>
      <c r="C132" s="12" t="inlineStr">
        <is>
          <t>TPM</t>
        </is>
      </c>
      <c r="D132" s="4" t="inlineStr">
        <is>
          <t>631</t>
        </is>
      </c>
      <c r="E132" s="12" t="inlineStr">
        <is>
          <t>Rémunérations (salaire de poste + ponctualité)</t>
        </is>
      </c>
      <c r="F132" s="6">
        <f>'Paie TPM'!J19+'Paie TPM'!J18</f>
        <v/>
      </c>
      <c r="G132" s="6" t="n"/>
    </row>
    <row r="133">
      <c r="A133" s="12" t="inlineStr">
        <is>
          <t>PAIE-TPM-08</t>
        </is>
      </c>
      <c r="B133" s="12" t="inlineStr">
        <is>
          <t>Août 2026</t>
        </is>
      </c>
      <c r="C133" s="12" t="inlineStr">
        <is>
          <t>TPM</t>
        </is>
      </c>
      <c r="D133" s="4" t="inlineStr">
        <is>
          <t>638</t>
        </is>
      </c>
      <c r="E133" s="12" t="inlineStr">
        <is>
          <t>Indemnités panier et transport</t>
        </is>
      </c>
      <c r="F133" s="6">
        <f>'Paie TPM'!J22+'Paie TPM'!J23</f>
        <v/>
      </c>
      <c r="G133" s="6" t="n"/>
    </row>
    <row r="134">
      <c r="A134" s="12" t="inlineStr">
        <is>
          <t>PAIE-TPM-08</t>
        </is>
      </c>
      <c r="B134" s="12" t="inlineStr">
        <is>
          <t>Août 2026</t>
        </is>
      </c>
      <c r="C134" s="12" t="inlineStr">
        <is>
          <t>TPM</t>
        </is>
      </c>
      <c r="D134" s="4" t="inlineStr">
        <is>
          <t>625</t>
        </is>
      </c>
      <c r="E134" s="12" t="inlineStr">
        <is>
          <t>Frais de mission</t>
        </is>
      </c>
      <c r="F134" s="6">
        <f>'Paie TPM'!J26</f>
        <v/>
      </c>
      <c r="G134" s="6" t="n"/>
    </row>
    <row r="135">
      <c r="A135" s="12" t="inlineStr">
        <is>
          <t>PAIE-TPM-08</t>
        </is>
      </c>
      <c r="B135" s="12" t="inlineStr">
        <is>
          <t>Août 2026</t>
        </is>
      </c>
      <c r="C135" s="12" t="inlineStr">
        <is>
          <t>TPM</t>
        </is>
      </c>
      <c r="D135" s="4" t="inlineStr">
        <is>
          <t>431</t>
        </is>
      </c>
      <c r="E135" s="12" t="inlineStr">
        <is>
          <t>Salaire unique avancé pour compte CNAS (à valider)</t>
        </is>
      </c>
      <c r="F135" s="6">
        <f>'Paie TPM'!J27</f>
        <v/>
      </c>
      <c r="G135" s="6" t="n"/>
    </row>
    <row r="136">
      <c r="A136" s="12" t="inlineStr">
        <is>
          <t>PAIE-TPM-08</t>
        </is>
      </c>
      <c r="B136" s="12" t="inlineStr">
        <is>
          <t>Août 2026</t>
        </is>
      </c>
      <c r="C136" s="12" t="inlineStr">
        <is>
          <t>TPM</t>
        </is>
      </c>
      <c r="D136" s="4" t="inlineStr">
        <is>
          <t>431</t>
        </is>
      </c>
      <c r="E136" s="12" t="inlineStr">
        <is>
          <t>CNAS — retenue salariale 9 %</t>
        </is>
      </c>
      <c r="F136" s="6" t="n"/>
      <c r="G136" s="6">
        <f>'Paie TPM'!J21</f>
        <v/>
      </c>
    </row>
    <row r="137">
      <c r="A137" s="12" t="inlineStr">
        <is>
          <t>PAIE-TPM-08</t>
        </is>
      </c>
      <c r="B137" s="12" t="inlineStr">
        <is>
          <t>Août 2026</t>
        </is>
      </c>
      <c r="C137" s="12" t="inlineStr">
        <is>
          <t>TPM</t>
        </is>
      </c>
      <c r="D137" s="4" t="inlineStr">
        <is>
          <t>442</t>
        </is>
      </c>
      <c r="E137" s="12" t="inlineStr">
        <is>
          <t>IRG retenu à la source</t>
        </is>
      </c>
      <c r="F137" s="6" t="n"/>
      <c r="G137" s="6">
        <f>'Paie TPM'!J25</f>
        <v/>
      </c>
    </row>
    <row r="138">
      <c r="A138" s="12" t="inlineStr">
        <is>
          <t>PAIE-TPM-08</t>
        </is>
      </c>
      <c r="B138" s="12" t="inlineStr">
        <is>
          <t>Août 2026</t>
        </is>
      </c>
      <c r="C138" s="12" t="inlineStr">
        <is>
          <t>TPM</t>
        </is>
      </c>
      <c r="D138" s="4" t="inlineStr">
        <is>
          <t>421</t>
        </is>
      </c>
      <c r="E138" s="12" t="inlineStr">
        <is>
          <t>Net à payer au personnel</t>
        </is>
      </c>
      <c r="F138" s="6" t="n"/>
      <c r="G138" s="6">
        <f>'Paie TPM'!J28</f>
        <v/>
      </c>
    </row>
    <row r="139">
      <c r="A139" s="12" t="inlineStr">
        <is>
          <t>CNAS-TPM-08</t>
        </is>
      </c>
      <c r="B139" s="12" t="inlineStr">
        <is>
          <t>Août 2026</t>
        </is>
      </c>
      <c r="C139" s="12" t="inlineStr">
        <is>
          <t>TPM</t>
        </is>
      </c>
      <c r="D139" s="4" t="inlineStr">
        <is>
          <t>635</t>
        </is>
      </c>
      <c r="E139" s="12" t="inlineStr">
        <is>
          <t>Charges patronales CNAS (26 %)</t>
        </is>
      </c>
      <c r="F139" s="30">
        <f>ROUND('Paie TPM'!J19*Paramètres!$B$8,2)</f>
        <v/>
      </c>
      <c r="G139" s="30" t="n"/>
    </row>
    <row r="140">
      <c r="A140" s="12" t="inlineStr">
        <is>
          <t>CNAS-TPM-08</t>
        </is>
      </c>
      <c r="B140" s="12" t="inlineStr">
        <is>
          <t>Août 2026</t>
        </is>
      </c>
      <c r="C140" s="12" t="inlineStr">
        <is>
          <t>TPM</t>
        </is>
      </c>
      <c r="D140" s="4" t="inlineStr">
        <is>
          <t>431</t>
        </is>
      </c>
      <c r="E140" s="12" t="inlineStr">
        <is>
          <t>CNAS — part patronale à reverser</t>
        </is>
      </c>
      <c r="F140" s="30" t="n"/>
      <c r="G140" s="30">
        <f>ROUND('Paie TPM'!J19*Paramètres!$B$8,2)</f>
        <v/>
      </c>
    </row>
    <row r="141">
      <c r="E141" s="4" t="inlineStr">
        <is>
          <t>TOTAUX</t>
        </is>
      </c>
      <c r="F141" s="7">
        <f>SUM(F5:F140)</f>
        <v/>
      </c>
      <c r="G141" s="7">
        <f>SUM(G5:G140)</f>
        <v/>
      </c>
    </row>
    <row r="142">
      <c r="E142" s="4" t="inlineStr">
        <is>
          <t>Contrôle débit − crédit (doit être 0)</t>
        </is>
      </c>
      <c r="F142" s="27">
        <f>F141-G141</f>
        <v/>
      </c>
    </row>
  </sheetData>
  <autoFilter ref="A4:G140"/>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I14"/>
  <sheetViews>
    <sheetView showGridLines="0" workbookViewId="0">
      <selection activeCell="A1" sqref="A1"/>
    </sheetView>
  </sheetViews>
  <sheetFormatPr baseColWidth="8" defaultRowHeight="15"/>
  <cols>
    <col width="9" customWidth="1" min="1" max="1"/>
    <col width="44"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Balance des comptes de paie — cumul janvier–août 2026</t>
        </is>
      </c>
    </row>
    <row r="2">
      <c r="A2" s="2" t="inlineStr">
        <is>
          <t>Calculée par SUMIFS sur le journal de paie.</t>
        </is>
      </c>
    </row>
    <row r="4">
      <c r="A4" s="11" t="inlineStr">
        <is>
          <t>Compte</t>
        </is>
      </c>
      <c r="B4" s="11" t="inlineStr">
        <is>
          <t>Intitulé</t>
        </is>
      </c>
      <c r="C4" s="11" t="inlineStr">
        <is>
          <t>Débit IMPORT</t>
        </is>
      </c>
      <c r="D4" s="11" t="inlineStr">
        <is>
          <t>Crédit IMPORT</t>
        </is>
      </c>
      <c r="E4" s="11" t="inlineStr">
        <is>
          <t>Débit TPM</t>
        </is>
      </c>
      <c r="F4" s="11" t="inlineStr">
        <is>
          <t>Crédit TPM</t>
        </is>
      </c>
      <c r="G4" s="11" t="inlineStr">
        <is>
          <t>Débit total</t>
        </is>
      </c>
      <c r="H4" s="11" t="inlineStr">
        <is>
          <t>Crédit total</t>
        </is>
      </c>
      <c r="I4" s="11" t="inlineStr">
        <is>
          <t>Solde (D − C)</t>
        </is>
      </c>
    </row>
    <row r="5">
      <c r="A5" s="4" t="inlineStr">
        <is>
          <t>631</t>
        </is>
      </c>
      <c r="B5" s="12" t="inlineStr">
        <is>
          <t>Rémunérations du personnel</t>
        </is>
      </c>
      <c r="C5" s="30">
        <f>SUMIFS('Journal paie'!$F$5:$F$140,'Journal paie'!$D$5:$D$140,A5,'Journal paie'!$C$5:$C$140,"IMPORT")</f>
        <v/>
      </c>
      <c r="D5" s="30">
        <f>SUMIFS('Journal paie'!$G$5:$G$140,'Journal paie'!$D$5:$D$140,A5,'Journal paie'!$C$5:$C$140,"IMPORT")</f>
        <v/>
      </c>
      <c r="E5" s="30">
        <f>SUMIFS('Journal paie'!$F$5:$F$140,'Journal paie'!$D$5:$D$140,A5,'Journal paie'!$C$5:$C$140,"TPM")</f>
        <v/>
      </c>
      <c r="F5" s="30">
        <f>SUMIFS('Journal paie'!$G$5:$G$140,'Journal paie'!$D$5:$D$140,A5,'Journal paie'!$C$5:$C$140,"TPM")</f>
        <v/>
      </c>
      <c r="G5" s="27">
        <f>C5+E5</f>
        <v/>
      </c>
      <c r="H5" s="27">
        <f>D5+F5</f>
        <v/>
      </c>
      <c r="I5" s="27">
        <f>G5-H5</f>
        <v/>
      </c>
    </row>
    <row r="6">
      <c r="A6" s="4" t="inlineStr">
        <is>
          <t>638</t>
        </is>
      </c>
      <c r="B6" s="12" t="inlineStr">
        <is>
          <t>Autres charges de personnel</t>
        </is>
      </c>
      <c r="C6" s="30">
        <f>SUMIFS('Journal paie'!$F$5:$F$140,'Journal paie'!$D$5:$D$140,A6,'Journal paie'!$C$5:$C$140,"IMPORT")</f>
        <v/>
      </c>
      <c r="D6" s="30">
        <f>SUMIFS('Journal paie'!$G$5:$G$140,'Journal paie'!$D$5:$D$140,A6,'Journal paie'!$C$5:$C$140,"IMPORT")</f>
        <v/>
      </c>
      <c r="E6" s="30">
        <f>SUMIFS('Journal paie'!$F$5:$F$140,'Journal paie'!$D$5:$D$140,A6,'Journal paie'!$C$5:$C$140,"TPM")</f>
        <v/>
      </c>
      <c r="F6" s="30">
        <f>SUMIFS('Journal paie'!$G$5:$G$140,'Journal paie'!$D$5:$D$140,A6,'Journal paie'!$C$5:$C$140,"TPM")</f>
        <v/>
      </c>
      <c r="G6" s="27">
        <f>C6+E6</f>
        <v/>
      </c>
      <c r="H6" s="27">
        <f>D6+F6</f>
        <v/>
      </c>
      <c r="I6" s="27">
        <f>G6-H6</f>
        <v/>
      </c>
    </row>
    <row r="7">
      <c r="A7" s="4" t="inlineStr">
        <is>
          <t>625</t>
        </is>
      </c>
      <c r="B7" s="12" t="inlineStr">
        <is>
          <t>Déplacements, missions et réceptions</t>
        </is>
      </c>
      <c r="C7" s="30">
        <f>SUMIFS('Journal paie'!$F$5:$F$140,'Journal paie'!$D$5:$D$140,A7,'Journal paie'!$C$5:$C$140,"IMPORT")</f>
        <v/>
      </c>
      <c r="D7" s="30">
        <f>SUMIFS('Journal paie'!$G$5:$G$140,'Journal paie'!$D$5:$D$140,A7,'Journal paie'!$C$5:$C$140,"IMPORT")</f>
        <v/>
      </c>
      <c r="E7" s="30">
        <f>SUMIFS('Journal paie'!$F$5:$F$140,'Journal paie'!$D$5:$D$140,A7,'Journal paie'!$C$5:$C$140,"TPM")</f>
        <v/>
      </c>
      <c r="F7" s="30">
        <f>SUMIFS('Journal paie'!$G$5:$G$140,'Journal paie'!$D$5:$D$140,A7,'Journal paie'!$C$5:$C$140,"TPM")</f>
        <v/>
      </c>
      <c r="G7" s="27">
        <f>C7+E7</f>
        <v/>
      </c>
      <c r="H7" s="27">
        <f>D7+F7</f>
        <v/>
      </c>
      <c r="I7" s="27">
        <f>G7-H7</f>
        <v/>
      </c>
    </row>
    <row r="8">
      <c r="A8" s="4" t="inlineStr">
        <is>
          <t>635</t>
        </is>
      </c>
      <c r="B8" s="12" t="inlineStr">
        <is>
          <t>Cotisations aux organismes sociaux</t>
        </is>
      </c>
      <c r="C8" s="30">
        <f>SUMIFS('Journal paie'!$F$5:$F$140,'Journal paie'!$D$5:$D$140,A8,'Journal paie'!$C$5:$C$140,"IMPORT")</f>
        <v/>
      </c>
      <c r="D8" s="30">
        <f>SUMIFS('Journal paie'!$G$5:$G$140,'Journal paie'!$D$5:$D$140,A8,'Journal paie'!$C$5:$C$140,"IMPORT")</f>
        <v/>
      </c>
      <c r="E8" s="30">
        <f>SUMIFS('Journal paie'!$F$5:$F$140,'Journal paie'!$D$5:$D$140,A8,'Journal paie'!$C$5:$C$140,"TPM")</f>
        <v/>
      </c>
      <c r="F8" s="30">
        <f>SUMIFS('Journal paie'!$G$5:$G$140,'Journal paie'!$D$5:$D$140,A8,'Journal paie'!$C$5:$C$140,"TPM")</f>
        <v/>
      </c>
      <c r="G8" s="27">
        <f>C8+E8</f>
        <v/>
      </c>
      <c r="H8" s="27">
        <f>D8+F8</f>
        <v/>
      </c>
      <c r="I8" s="27">
        <f>G8-H8</f>
        <v/>
      </c>
    </row>
    <row r="9">
      <c r="A9" s="4" t="inlineStr">
        <is>
          <t>431</t>
        </is>
      </c>
      <c r="B9" s="12" t="inlineStr">
        <is>
          <t>Organismes sociaux — CNAS</t>
        </is>
      </c>
      <c r="C9" s="30">
        <f>SUMIFS('Journal paie'!$F$5:$F$140,'Journal paie'!$D$5:$D$140,A9,'Journal paie'!$C$5:$C$140,"IMPORT")</f>
        <v/>
      </c>
      <c r="D9" s="30">
        <f>SUMIFS('Journal paie'!$G$5:$G$140,'Journal paie'!$D$5:$D$140,A9,'Journal paie'!$C$5:$C$140,"IMPORT")</f>
        <v/>
      </c>
      <c r="E9" s="30">
        <f>SUMIFS('Journal paie'!$F$5:$F$140,'Journal paie'!$D$5:$D$140,A9,'Journal paie'!$C$5:$C$140,"TPM")</f>
        <v/>
      </c>
      <c r="F9" s="30">
        <f>SUMIFS('Journal paie'!$G$5:$G$140,'Journal paie'!$D$5:$D$140,A9,'Journal paie'!$C$5:$C$140,"TPM")</f>
        <v/>
      </c>
      <c r="G9" s="27">
        <f>C9+E9</f>
        <v/>
      </c>
      <c r="H9" s="27">
        <f>D9+F9</f>
        <v/>
      </c>
      <c r="I9" s="27">
        <f>G9-H9</f>
        <v/>
      </c>
    </row>
    <row r="10">
      <c r="A10" s="4" t="inlineStr">
        <is>
          <t>442</t>
        </is>
      </c>
      <c r="B10" s="12" t="inlineStr">
        <is>
          <t>État, impôts et taxes recouvrables sur tiers</t>
        </is>
      </c>
      <c r="C10" s="30">
        <f>SUMIFS('Journal paie'!$F$5:$F$140,'Journal paie'!$D$5:$D$140,A10,'Journal paie'!$C$5:$C$140,"IMPORT")</f>
        <v/>
      </c>
      <c r="D10" s="30">
        <f>SUMIFS('Journal paie'!$G$5:$G$140,'Journal paie'!$D$5:$D$140,A10,'Journal paie'!$C$5:$C$140,"IMPORT")</f>
        <v/>
      </c>
      <c r="E10" s="30">
        <f>SUMIFS('Journal paie'!$F$5:$F$140,'Journal paie'!$D$5:$D$140,A10,'Journal paie'!$C$5:$C$140,"TPM")</f>
        <v/>
      </c>
      <c r="F10" s="30">
        <f>SUMIFS('Journal paie'!$G$5:$G$140,'Journal paie'!$D$5:$D$140,A10,'Journal paie'!$C$5:$C$140,"TPM")</f>
        <v/>
      </c>
      <c r="G10" s="27">
        <f>C10+E10</f>
        <v/>
      </c>
      <c r="H10" s="27">
        <f>D10+F10</f>
        <v/>
      </c>
      <c r="I10" s="27">
        <f>G10-H10</f>
        <v/>
      </c>
    </row>
    <row r="11">
      <c r="A11" s="4" t="inlineStr">
        <is>
          <t>421</t>
        </is>
      </c>
      <c r="B11" s="12" t="inlineStr">
        <is>
          <t>Personnel, rémunérations dues</t>
        </is>
      </c>
      <c r="C11" s="30">
        <f>SUMIFS('Journal paie'!$F$5:$F$140,'Journal paie'!$D$5:$D$140,A11,'Journal paie'!$C$5:$C$140,"IMPORT")</f>
        <v/>
      </c>
      <c r="D11" s="30">
        <f>SUMIFS('Journal paie'!$G$5:$G$140,'Journal paie'!$D$5:$D$140,A11,'Journal paie'!$C$5:$C$140,"IMPORT")</f>
        <v/>
      </c>
      <c r="E11" s="30">
        <f>SUMIFS('Journal paie'!$F$5:$F$140,'Journal paie'!$D$5:$D$140,A11,'Journal paie'!$C$5:$C$140,"TPM")</f>
        <v/>
      </c>
      <c r="F11" s="30">
        <f>SUMIFS('Journal paie'!$G$5:$G$140,'Journal paie'!$D$5:$D$140,A11,'Journal paie'!$C$5:$C$140,"TPM")</f>
        <v/>
      </c>
      <c r="G11" s="27">
        <f>C11+E11</f>
        <v/>
      </c>
      <c r="H11" s="27">
        <f>D11+F11</f>
        <v/>
      </c>
      <c r="I11" s="27">
        <f>G11-H11</f>
        <v/>
      </c>
    </row>
    <row r="12">
      <c r="B12" s="4" t="inlineStr">
        <is>
          <t>TOTAL</t>
        </is>
      </c>
      <c r="C12" s="7">
        <f>SUM(C5:C11)</f>
        <v/>
      </c>
      <c r="D12" s="7">
        <f>SUM(D5:D11)</f>
        <v/>
      </c>
      <c r="E12" s="7">
        <f>SUM(E5:E11)</f>
        <v/>
      </c>
      <c r="F12" s="7">
        <f>SUM(F5:F11)</f>
        <v/>
      </c>
      <c r="G12" s="7">
        <f>SUM(G5:G11)</f>
        <v/>
      </c>
      <c r="H12" s="7">
        <f>SUM(H5:H11)</f>
        <v/>
      </c>
      <c r="I12" s="7">
        <f>SUM(I5:I11)</f>
        <v/>
      </c>
    </row>
    <row r="14">
      <c r="A14" s="2" t="inlineStr">
        <is>
          <t>Le solde du 431 représente les cotisations CNAS générées par la paie (hors mars IMPORT) ; il doit être soldé par les règlements CNAS. Les soldes 442 et 421 sont soldés par les G50 et les virements de salaires.</t>
        </is>
      </c>
    </row>
  </sheetData>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fitToPage="1"/>
  </sheetPr>
  <dimension ref="A1:N15"/>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Échéancier mensuel — IRG (G50) et masse salariale</t>
        </is>
      </c>
    </row>
    <row r="2">
      <c r="A2" s="2" t="inlineStr">
        <is>
          <t>IRG retenu à reverser par G50 avant le 20 du mois suivant. À rapprocher des G50 déposées (non fournies).</t>
        </is>
      </c>
    </row>
    <row r="4" ht="45" customHeight="1">
      <c r="A4" s="11" t="inlineStr">
        <is>
          <t>Mois</t>
        </is>
      </c>
      <c r="B4" s="11" t="inlineStr">
        <is>
          <t>Assiette CNAS IMPORT</t>
        </is>
      </c>
      <c r="C4" s="11" t="inlineStr">
        <is>
          <t>Assiette CNAS TPM</t>
        </is>
      </c>
      <c r="D4" s="11" t="inlineStr">
        <is>
          <t>Assiette totale</t>
        </is>
      </c>
      <c r="E4" s="11" t="inlineStr">
        <is>
          <t>IRG IMPORT</t>
        </is>
      </c>
      <c r="F4" s="11" t="inlineStr">
        <is>
          <t>IRG TPM</t>
        </is>
      </c>
      <c r="G4" s="11" t="inlineStr">
        <is>
          <t>IRG total à reverser (G50)</t>
        </is>
      </c>
      <c r="H4" s="11" t="inlineStr">
        <is>
          <t>Échéance G50</t>
        </is>
      </c>
      <c r="I4" s="11" t="inlineStr">
        <is>
          <t>IRG IMPORT déclaré G50</t>
        </is>
      </c>
      <c r="J4" s="11" t="inlineStr">
        <is>
          <t>Écart IRG</t>
        </is>
      </c>
      <c r="K4" s="11" t="inlineStr">
        <is>
          <t>Net payé IMPORT</t>
        </is>
      </c>
      <c r="L4" s="11" t="inlineStr">
        <is>
          <t>Net payé TPM</t>
        </is>
      </c>
      <c r="M4" s="11" t="inlineStr">
        <is>
          <t>Effectif IMPORT</t>
        </is>
      </c>
      <c r="N4" s="11" t="inlineStr">
        <is>
          <t>Effectif TPM</t>
        </is>
      </c>
    </row>
    <row r="5">
      <c r="A5" s="4" t="inlineStr">
        <is>
          <t>Janv 2026</t>
        </is>
      </c>
      <c r="B5" s="6">
        <f>'Paie IMPORT'!C19</f>
        <v/>
      </c>
      <c r="C5" s="6">
        <f>'Paie TPM'!C19</f>
        <v/>
      </c>
      <c r="D5" s="30">
        <f>B5+C5</f>
        <v/>
      </c>
      <c r="E5" s="6">
        <f>'Paie IMPORT'!C25</f>
        <v/>
      </c>
      <c r="F5" s="6">
        <f>'Paie TPM'!C25</f>
        <v/>
      </c>
      <c r="G5" s="27">
        <f>E5+F5</f>
        <v/>
      </c>
      <c r="H5" s="22" t="inlineStr">
        <is>
          <t>20/02/2026</t>
        </is>
      </c>
      <c r="I5" s="6">
        <f>'G50 2026'!B19</f>
        <v/>
      </c>
      <c r="J5" s="30">
        <f>IF(I5="","",IF(E5=0,"paie absente",I5-E5))</f>
        <v/>
      </c>
      <c r="K5" s="6">
        <f>'Paie IMPORT'!C28</f>
        <v/>
      </c>
      <c r="L5" s="6">
        <f>'Paie TPM'!C28</f>
        <v/>
      </c>
      <c r="M5" s="8">
        <f>'Paie IMPORT'!C5</f>
        <v/>
      </c>
      <c r="N5" s="8">
        <f>'Paie TPM'!C5</f>
        <v/>
      </c>
    </row>
    <row r="6">
      <c r="A6" s="4" t="inlineStr">
        <is>
          <t>Févr 2026</t>
        </is>
      </c>
      <c r="B6" s="6">
        <f>'Paie IMPORT'!D19</f>
        <v/>
      </c>
      <c r="C6" s="6">
        <f>'Paie TPM'!D19</f>
        <v/>
      </c>
      <c r="D6" s="30">
        <f>B6+C6</f>
        <v/>
      </c>
      <c r="E6" s="6">
        <f>'Paie IMPORT'!D25</f>
        <v/>
      </c>
      <c r="F6" s="6">
        <f>'Paie TPM'!D25</f>
        <v/>
      </c>
      <c r="G6" s="27">
        <f>E6+F6</f>
        <v/>
      </c>
      <c r="H6" s="22" t="inlineStr">
        <is>
          <t>20/03/2026</t>
        </is>
      </c>
      <c r="I6" s="6">
        <f>'G50 2026'!C19</f>
        <v/>
      </c>
      <c r="J6" s="30">
        <f>IF(I6="","",IF(E6=0,"paie absente",I6-E6))</f>
        <v/>
      </c>
      <c r="K6" s="6">
        <f>'Paie IMPORT'!D28</f>
        <v/>
      </c>
      <c r="L6" s="6">
        <f>'Paie TPM'!D28</f>
        <v/>
      </c>
      <c r="M6" s="8">
        <f>'Paie IMPORT'!D5</f>
        <v/>
      </c>
      <c r="N6" s="8">
        <f>'Paie TPM'!D5</f>
        <v/>
      </c>
    </row>
    <row r="7">
      <c r="A7" s="4" t="inlineStr">
        <is>
          <t>Mars 2026</t>
        </is>
      </c>
      <c r="B7" s="6">
        <f>'Paie IMPORT'!E19</f>
        <v/>
      </c>
      <c r="C7" s="6">
        <f>'Paie TPM'!E19</f>
        <v/>
      </c>
      <c r="D7" s="30">
        <f>B7+C7</f>
        <v/>
      </c>
      <c r="E7" s="6">
        <f>'Paie IMPORT'!E25</f>
        <v/>
      </c>
      <c r="F7" s="6">
        <f>'Paie TPM'!E25</f>
        <v/>
      </c>
      <c r="G7" s="27">
        <f>E7+F7</f>
        <v/>
      </c>
      <c r="H7" s="22" t="inlineStr">
        <is>
          <t>20/04/2026</t>
        </is>
      </c>
      <c r="I7" s="6">
        <f>'G50 2026'!D19</f>
        <v/>
      </c>
      <c r="J7" s="30">
        <f>IF(I7="","",IF(E7=0,"paie absente",I7-E7))</f>
        <v/>
      </c>
      <c r="K7" s="6">
        <f>'Paie IMPORT'!E28</f>
        <v/>
      </c>
      <c r="L7" s="6">
        <f>'Paie TPM'!E28</f>
        <v/>
      </c>
      <c r="M7" s="8">
        <f>'Paie IMPORT'!E5</f>
        <v/>
      </c>
      <c r="N7" s="8">
        <f>'Paie TPM'!E5</f>
        <v/>
      </c>
    </row>
    <row r="8">
      <c r="A8" s="4" t="inlineStr">
        <is>
          <t>Avr 2026</t>
        </is>
      </c>
      <c r="B8" s="6">
        <f>'Paie IMPORT'!F19</f>
        <v/>
      </c>
      <c r="C8" s="6">
        <f>'Paie TPM'!F19</f>
        <v/>
      </c>
      <c r="D8" s="30">
        <f>B8+C8</f>
        <v/>
      </c>
      <c r="E8" s="6">
        <f>'Paie IMPORT'!F25</f>
        <v/>
      </c>
      <c r="F8" s="6">
        <f>'Paie TPM'!F25</f>
        <v/>
      </c>
      <c r="G8" s="27">
        <f>E8+F8</f>
        <v/>
      </c>
      <c r="H8" s="22" t="inlineStr">
        <is>
          <t>20/05/2026</t>
        </is>
      </c>
      <c r="I8" s="6">
        <f>'G50 2026'!E19</f>
        <v/>
      </c>
      <c r="J8" s="30">
        <f>IF(I8="","",IF(E8=0,"paie absente",I8-E8))</f>
        <v/>
      </c>
      <c r="K8" s="6">
        <f>'Paie IMPORT'!F28</f>
        <v/>
      </c>
      <c r="L8" s="6">
        <f>'Paie TPM'!F28</f>
        <v/>
      </c>
      <c r="M8" s="8">
        <f>'Paie IMPORT'!F5</f>
        <v/>
      </c>
      <c r="N8" s="8">
        <f>'Paie TPM'!F5</f>
        <v/>
      </c>
    </row>
    <row r="9">
      <c r="A9" s="4" t="inlineStr">
        <is>
          <t>Mai 2026</t>
        </is>
      </c>
      <c r="B9" s="6">
        <f>'Paie IMPORT'!G19</f>
        <v/>
      </c>
      <c r="C9" s="6">
        <f>'Paie TPM'!G19</f>
        <v/>
      </c>
      <c r="D9" s="30">
        <f>B9+C9</f>
        <v/>
      </c>
      <c r="E9" s="6">
        <f>'Paie IMPORT'!G25</f>
        <v/>
      </c>
      <c r="F9" s="6">
        <f>'Paie TPM'!G25</f>
        <v/>
      </c>
      <c r="G9" s="27">
        <f>E9+F9</f>
        <v/>
      </c>
      <c r="H9" s="22" t="inlineStr">
        <is>
          <t>20/06/2026</t>
        </is>
      </c>
      <c r="I9" s="6">
        <f>'G50 2026'!F19</f>
        <v/>
      </c>
      <c r="J9" s="30">
        <f>IF(I9="","",IF(E9=0,"paie absente",I9-E9))</f>
        <v/>
      </c>
      <c r="K9" s="6">
        <f>'Paie IMPORT'!G28</f>
        <v/>
      </c>
      <c r="L9" s="6">
        <f>'Paie TPM'!G28</f>
        <v/>
      </c>
      <c r="M9" s="8">
        <f>'Paie IMPORT'!G5</f>
        <v/>
      </c>
      <c r="N9" s="8">
        <f>'Paie TPM'!G5</f>
        <v/>
      </c>
    </row>
    <row r="10">
      <c r="A10" s="4" t="inlineStr">
        <is>
          <t>Juin 2026</t>
        </is>
      </c>
      <c r="B10" s="6">
        <f>'Paie IMPORT'!H19</f>
        <v/>
      </c>
      <c r="C10" s="6">
        <f>'Paie TPM'!H19</f>
        <v/>
      </c>
      <c r="D10" s="30">
        <f>B10+C10</f>
        <v/>
      </c>
      <c r="E10" s="6">
        <f>'Paie IMPORT'!H25</f>
        <v/>
      </c>
      <c r="F10" s="6">
        <f>'Paie TPM'!H25</f>
        <v/>
      </c>
      <c r="G10" s="27">
        <f>E10+F10</f>
        <v/>
      </c>
      <c r="H10" s="22" t="inlineStr">
        <is>
          <t>20/07/2026</t>
        </is>
      </c>
      <c r="I10" s="6">
        <f>'G50 2026'!G19</f>
        <v/>
      </c>
      <c r="J10" s="30">
        <f>IF(I10="","",IF(E10=0,"paie absente",I10-E10))</f>
        <v/>
      </c>
      <c r="K10" s="6">
        <f>'Paie IMPORT'!H28</f>
        <v/>
      </c>
      <c r="L10" s="6">
        <f>'Paie TPM'!H28</f>
        <v/>
      </c>
      <c r="M10" s="8">
        <f>'Paie IMPORT'!H5</f>
        <v/>
      </c>
      <c r="N10" s="8">
        <f>'Paie TPM'!H5</f>
        <v/>
      </c>
    </row>
    <row r="11">
      <c r="A11" s="4" t="inlineStr">
        <is>
          <t>Juil 2026</t>
        </is>
      </c>
      <c r="B11" s="6">
        <f>'Paie IMPORT'!I19</f>
        <v/>
      </c>
      <c r="C11" s="6">
        <f>'Paie TPM'!I19</f>
        <v/>
      </c>
      <c r="D11" s="30">
        <f>B11+C11</f>
        <v/>
      </c>
      <c r="E11" s="6">
        <f>'Paie IMPORT'!I25</f>
        <v/>
      </c>
      <c r="F11" s="6">
        <f>'Paie TPM'!I25</f>
        <v/>
      </c>
      <c r="G11" s="27">
        <f>E11+F11</f>
        <v/>
      </c>
      <c r="H11" s="22" t="inlineStr">
        <is>
          <t>20/08/2026</t>
        </is>
      </c>
      <c r="I11" s="6">
        <f>'G50 2026'!H19</f>
        <v/>
      </c>
      <c r="J11" s="30">
        <f>IF(I11="","",IF(E11=0,"paie absente",I11-E11))</f>
        <v/>
      </c>
      <c r="K11" s="6">
        <f>'Paie IMPORT'!I28</f>
        <v/>
      </c>
      <c r="L11" s="6">
        <f>'Paie TPM'!I28</f>
        <v/>
      </c>
      <c r="M11" s="8">
        <f>'Paie IMPORT'!I5</f>
        <v/>
      </c>
      <c r="N11" s="8">
        <f>'Paie TPM'!I5</f>
        <v/>
      </c>
    </row>
    <row r="12">
      <c r="A12" s="4" t="inlineStr">
        <is>
          <t>Août 2026</t>
        </is>
      </c>
      <c r="B12" s="6">
        <f>'Paie IMPORT'!J19</f>
        <v/>
      </c>
      <c r="C12" s="6">
        <f>'Paie TPM'!J19</f>
        <v/>
      </c>
      <c r="D12" s="30">
        <f>B12+C12</f>
        <v/>
      </c>
      <c r="E12" s="6">
        <f>'Paie IMPORT'!J25</f>
        <v/>
      </c>
      <c r="F12" s="6">
        <f>'Paie TPM'!J25</f>
        <v/>
      </c>
      <c r="G12" s="27">
        <f>E12+F12</f>
        <v/>
      </c>
      <c r="H12" s="22" t="inlineStr">
        <is>
          <t>20/09/2026</t>
        </is>
      </c>
      <c r="I12" s="6">
        <f>'G50 2026'!I19</f>
        <v/>
      </c>
      <c r="J12" s="30">
        <f>IF(I12="","",IF(E12=0,"paie absente",I12-E12))</f>
        <v/>
      </c>
      <c r="K12" s="6">
        <f>'Paie IMPORT'!J28</f>
        <v/>
      </c>
      <c r="L12" s="6">
        <f>'Paie TPM'!J28</f>
        <v/>
      </c>
      <c r="M12" s="8">
        <f>'Paie IMPORT'!J5</f>
        <v/>
      </c>
      <c r="N12" s="8">
        <f>'Paie TPM'!J5</f>
        <v/>
      </c>
    </row>
    <row r="13">
      <c r="A13" s="4" t="inlineStr">
        <is>
          <t>TOTAL</t>
        </is>
      </c>
      <c r="B13" s="7">
        <f>SUM(B5:B12)</f>
        <v/>
      </c>
      <c r="C13" s="7">
        <f>SUM(C5:C12)</f>
        <v/>
      </c>
      <c r="D13" s="7">
        <f>SUM(D5:D12)</f>
        <v/>
      </c>
      <c r="E13" s="7">
        <f>SUM(E5:E12)</f>
        <v/>
      </c>
      <c r="F13" s="7">
        <f>SUM(F5:F12)</f>
        <v/>
      </c>
      <c r="G13" s="7">
        <f>SUM(G5:G12)</f>
        <v/>
      </c>
      <c r="I13" s="7">
        <f>SUM(I5:I12)</f>
        <v/>
      </c>
      <c r="K13" s="7">
        <f>SUM(K5:K12)</f>
        <v/>
      </c>
      <c r="L13" s="7">
        <f>SUM(L5:L12)</f>
        <v/>
      </c>
    </row>
    <row r="15">
      <c r="A15" s="2" t="inlineStr">
        <is>
          <t>Colonne I : G50 IMPORT janvier à août reçues (liées à « G50 2026 »). Écart IRG = G50 − IRG paie IMPORT. L'IRG TPM (colonne F) doit figurer sur une G50 TPM distincte (non fournie).</t>
        </is>
      </c>
    </row>
  </sheetData>
  <pageMargins left="0.75" right="0.75" top="1" bottom="1" header="0.5" footer="0.5"/>
  <pageSetup orientation="landscape" fitToHeight="0"/>
</worksheet>
</file>

<file path=xl/worksheets/sheet9.xml><?xml version="1.0" encoding="utf-8"?>
<worksheet xmlns="http://schemas.openxmlformats.org/spreadsheetml/2006/main">
  <sheetPr>
    <outlinePr summaryBelow="1" summaryRight="1"/>
    <pageSetUpPr fitToPage="1"/>
  </sheetPr>
  <dimension ref="A1:K4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55" customWidth="1" min="11" max="11"/>
  </cols>
  <sheetData>
    <row r="1">
      <c r="A1" s="1" t="inlineStr">
        <is>
          <t>Contrôle des G50 IMPORT 2026 (NIF 000306018423274 — art. 06120024511)</t>
        </is>
      </c>
    </row>
    <row r="2">
      <c r="A2" s="2" t="inlineStr">
        <is>
          <t>Sources : fichiers G50_ARL_DPR_COMPANY_IMPORT_01 à 08-2026.xls (feuilles G.50-1/2/3). Valeurs en bleu = lues sur les G50.</t>
        </is>
      </c>
    </row>
    <row r="4">
      <c r="A4" s="4" t="inlineStr">
        <is>
          <t>Taux de TVA (revente en l'état)</t>
        </is>
      </c>
      <c r="B4" s="20" t="n">
        <v>0.19</v>
      </c>
      <c r="C4" s="21" t="inlineStr">
        <is>
          <t>Taux porté sur les G50 (ligne E3B22)</t>
        </is>
      </c>
    </row>
    <row r="6">
      <c r="A6" s="11" t="inlineStr">
        <is>
          <t>Rubrique</t>
        </is>
      </c>
      <c r="B6" s="11" t="inlineStr">
        <is>
          <t>Janv 2026</t>
        </is>
      </c>
      <c r="C6" s="11" t="inlineStr">
        <is>
          <t>Févr 2026</t>
        </is>
      </c>
      <c r="D6" s="11" t="inlineStr">
        <is>
          <t>Mars 2026</t>
        </is>
      </c>
      <c r="E6" s="11" t="inlineStr">
        <is>
          <t>Avr 2026</t>
        </is>
      </c>
      <c r="F6" s="11" t="inlineStr">
        <is>
          <t>Mai 2026</t>
        </is>
      </c>
      <c r="G6" s="11" t="inlineStr">
        <is>
          <t>Juin 2026</t>
        </is>
      </c>
      <c r="H6" s="11" t="inlineStr">
        <is>
          <t>Juil 2026</t>
        </is>
      </c>
      <c r="I6" s="11" t="inlineStr">
        <is>
          <t>Août 2026</t>
        </is>
      </c>
      <c r="J6" s="11" t="inlineStr">
        <is>
          <t>Cumul</t>
        </is>
      </c>
      <c r="K6" s="11" t="inlineStr">
        <is>
          <t>Commentaire</t>
        </is>
      </c>
    </row>
    <row r="7">
      <c r="A7" s="12" t="inlineStr">
        <is>
          <t>CA imposable déclaré (E3B22)</t>
        </is>
      </c>
      <c r="B7" s="25" t="n">
        <v>11994522</v>
      </c>
      <c r="C7" s="25" t="n">
        <v>27783649</v>
      </c>
      <c r="D7" s="25" t="n">
        <v>3445200</v>
      </c>
      <c r="E7" s="25" t="n">
        <v>23988307</v>
      </c>
      <c r="F7" s="25" t="n">
        <v>16671298</v>
      </c>
      <c r="G7" s="25" t="n">
        <v>10479294</v>
      </c>
      <c r="H7" s="25" t="n">
        <v>7604135</v>
      </c>
      <c r="I7" s="25" t="n">
        <v>4413684</v>
      </c>
      <c r="J7" s="7">
        <f>SUM(B7:I7)</f>
        <v/>
      </c>
      <c r="K7" s="35" t="inlineStr">
        <is>
          <t>Revente en l'état</t>
        </is>
      </c>
    </row>
    <row r="8">
      <c r="A8" s="12" t="inlineStr">
        <is>
          <t>TVA collectée déclarée</t>
        </is>
      </c>
      <c r="B8" s="25" t="n">
        <v>2278959</v>
      </c>
      <c r="C8" s="25" t="n">
        <v>5278893</v>
      </c>
      <c r="D8" s="25" t="n">
        <v>654588</v>
      </c>
      <c r="E8" s="25" t="n">
        <v>4557778</v>
      </c>
      <c r="F8" s="25" t="n">
        <v>3167547</v>
      </c>
      <c r="G8" s="25" t="n">
        <v>1991066</v>
      </c>
      <c r="H8" s="25" t="n">
        <v>1444786</v>
      </c>
      <c r="I8" s="25" t="n">
        <v>838600</v>
      </c>
      <c r="J8" s="7">
        <f>SUM(B8:I8)</f>
        <v/>
      </c>
      <c r="K8" s="35" t="inlineStr"/>
    </row>
    <row r="9">
      <c r="A9" s="12" t="inlineStr">
        <is>
          <t>TVA recalculée (CA × taux)</t>
        </is>
      </c>
      <c r="B9" s="30">
        <f>ROUND(B7*$B$4,0)</f>
        <v/>
      </c>
      <c r="C9" s="30">
        <f>ROUND(C7*$B$4,0)</f>
        <v/>
      </c>
      <c r="D9" s="30">
        <f>ROUND(D7*$B$4,0)</f>
        <v/>
      </c>
      <c r="E9" s="30">
        <f>ROUND(E7*$B$4,0)</f>
        <v/>
      </c>
      <c r="F9" s="30">
        <f>ROUND(F7*$B$4,0)</f>
        <v/>
      </c>
      <c r="G9" s="30">
        <f>ROUND(G7*$B$4,0)</f>
        <v/>
      </c>
      <c r="H9" s="30">
        <f>ROUND(H7*$B$4,0)</f>
        <v/>
      </c>
      <c r="I9" s="30">
        <f>ROUND(I7*$B$4,0)</f>
        <v/>
      </c>
      <c r="J9" s="7">
        <f>SUM(B9:I9)</f>
        <v/>
      </c>
      <c r="K9" s="35" t="inlineStr">
        <is>
          <t>Calcul</t>
        </is>
      </c>
    </row>
    <row r="10">
      <c r="A10" s="4" t="inlineStr">
        <is>
          <t>Écart TVA déclarée − recalculée</t>
        </is>
      </c>
      <c r="B10" s="30">
        <f>B8-B9</f>
        <v/>
      </c>
      <c r="C10" s="30">
        <f>C8-C9</f>
        <v/>
      </c>
      <c r="D10" s="30">
        <f>D8-D9</f>
        <v/>
      </c>
      <c r="E10" s="30">
        <f>E8-E9</f>
        <v/>
      </c>
      <c r="F10" s="30">
        <f>F8-F9</f>
        <v/>
      </c>
      <c r="G10" s="30">
        <f>G8-G9</f>
        <v/>
      </c>
      <c r="H10" s="30">
        <f>H8-H9</f>
        <v/>
      </c>
      <c r="I10" s="30">
        <f>I8-I9</f>
        <v/>
      </c>
      <c r="J10" s="7">
        <f>SUM(B10:I10)</f>
        <v/>
      </c>
      <c r="K10" s="35" t="inlineStr">
        <is>
          <t>Arrondi admis ±1</t>
        </is>
      </c>
    </row>
    <row r="11">
      <c r="A11" s="12" t="inlineStr">
        <is>
          <t>Précompte antérieur (E3B91)</t>
        </is>
      </c>
      <c r="B11" s="25" t="n">
        <v>0</v>
      </c>
      <c r="C11" s="25" t="n">
        <v>0</v>
      </c>
      <c r="D11" s="25" t="n">
        <v>0</v>
      </c>
      <c r="E11" s="25" t="n">
        <v>0</v>
      </c>
      <c r="F11" s="25" t="n">
        <v>0</v>
      </c>
      <c r="G11" s="25" t="n">
        <v>386205</v>
      </c>
      <c r="H11" s="25" t="n">
        <v>178353</v>
      </c>
      <c r="I11" s="25" t="n">
        <v>0</v>
      </c>
      <c r="J11" s="7">
        <f>SUM(B11:I11)</f>
        <v/>
      </c>
      <c r="K11" s="35" t="inlineStr"/>
    </row>
    <row r="12">
      <c r="A12" s="12" t="inlineStr">
        <is>
          <t>TVA déductible achats (E3B92)</t>
        </is>
      </c>
      <c r="B12" s="25" t="n">
        <v>1150880</v>
      </c>
      <c r="C12" s="25" t="n">
        <v>2199941</v>
      </c>
      <c r="D12" s="25" t="n">
        <v>0</v>
      </c>
      <c r="E12" s="25" t="n">
        <v>3919465</v>
      </c>
      <c r="F12" s="25" t="n">
        <v>3553752</v>
      </c>
      <c r="G12" s="25" t="n">
        <v>1783214</v>
      </c>
      <c r="H12" s="25" t="n">
        <v>0</v>
      </c>
      <c r="I12" s="25" t="n">
        <v>0</v>
      </c>
      <c r="J12" s="7">
        <f>SUM(B12:I12)</f>
        <v/>
      </c>
      <c r="K12" s="35" t="inlineStr"/>
    </row>
    <row r="13">
      <c r="A13" s="4" t="inlineStr">
        <is>
          <t>Total déductions</t>
        </is>
      </c>
      <c r="B13" s="30">
        <f>B11+B12</f>
        <v/>
      </c>
      <c r="C13" s="30">
        <f>C11+C12</f>
        <v/>
      </c>
      <c r="D13" s="30">
        <f>D11+D12</f>
        <v/>
      </c>
      <c r="E13" s="30">
        <f>E11+E12</f>
        <v/>
      </c>
      <c r="F13" s="30">
        <f>F11+F12</f>
        <v/>
      </c>
      <c r="G13" s="30">
        <f>G11+G12</f>
        <v/>
      </c>
      <c r="H13" s="30">
        <f>H11+H12</f>
        <v/>
      </c>
      <c r="I13" s="30">
        <f>I11+I12</f>
        <v/>
      </c>
      <c r="J13" s="7">
        <f>SUM(B13:I13)</f>
        <v/>
      </c>
      <c r="K13" s="35" t="inlineStr">
        <is>
          <t>Calcul</t>
        </is>
      </c>
    </row>
    <row r="14">
      <c r="A14" s="4" t="inlineStr">
        <is>
          <t>TVA à payer (C − B)</t>
        </is>
      </c>
      <c r="B14" s="30">
        <f>MAX(0,B8-B13)</f>
        <v/>
      </c>
      <c r="C14" s="30">
        <f>MAX(0,C8-C13)</f>
        <v/>
      </c>
      <c r="D14" s="30">
        <f>MAX(0,D8-D13)</f>
        <v/>
      </c>
      <c r="E14" s="30">
        <f>MAX(0,E8-E13)</f>
        <v/>
      </c>
      <c r="F14" s="30">
        <f>MAX(0,F8-F13)</f>
        <v/>
      </c>
      <c r="G14" s="30">
        <f>MAX(0,G8-G13)</f>
        <v/>
      </c>
      <c r="H14" s="30">
        <f>MAX(0,H8-H13)</f>
        <v/>
      </c>
      <c r="I14" s="30">
        <f>MAX(0,I8-I13)</f>
        <v/>
      </c>
      <c r="J14" s="7">
        <f>SUM(B14:I14)</f>
        <v/>
      </c>
      <c r="K14" s="35" t="inlineStr">
        <is>
          <t>Calcul</t>
        </is>
      </c>
    </row>
    <row r="15">
      <c r="A15" s="12" t="inlineStr">
        <is>
          <t>Précompte à reporter (B − C)</t>
        </is>
      </c>
      <c r="B15" s="30">
        <f>MAX(0,B13-B8)</f>
        <v/>
      </c>
      <c r="C15" s="30">
        <f>MAX(0,C13-C8)</f>
        <v/>
      </c>
      <c r="D15" s="30">
        <f>MAX(0,D13-D8)</f>
        <v/>
      </c>
      <c r="E15" s="30">
        <f>MAX(0,E13-E8)</f>
        <v/>
      </c>
      <c r="F15" s="30">
        <f>MAX(0,F13-F8)</f>
        <v/>
      </c>
      <c r="G15" s="30">
        <f>MAX(0,G13-G8)</f>
        <v/>
      </c>
      <c r="H15" s="30">
        <f>MAX(0,H13-H8)</f>
        <v/>
      </c>
      <c r="I15" s="30">
        <f>MAX(0,I13-I8)</f>
        <v/>
      </c>
      <c r="J15" s="27" t="n"/>
      <c r="K15" s="35" t="inlineStr">
        <is>
          <t>Calcul</t>
        </is>
      </c>
    </row>
    <row r="16">
      <c r="A16" s="4" t="inlineStr">
        <is>
          <t>Contrôle report : précompte repris − reporté le mois précédent</t>
        </is>
      </c>
      <c r="B16" s="22" t="n"/>
      <c r="C16" s="30">
        <f>C11-B15</f>
        <v/>
      </c>
      <c r="D16" s="30">
        <f>D11-C15</f>
        <v/>
      </c>
      <c r="E16" s="30">
        <f>E11-D15</f>
        <v/>
      </c>
      <c r="F16" s="30">
        <f>F11-E15</f>
        <v/>
      </c>
      <c r="G16" s="30">
        <f>G11-F15</f>
        <v/>
      </c>
      <c r="H16" s="30">
        <f>H11-G15</f>
        <v/>
      </c>
      <c r="I16" s="30">
        <f>I11-H15</f>
        <v/>
      </c>
      <c r="J16" s="27" t="n"/>
      <c r="K16" s="35" t="inlineStr">
        <is>
          <t>Doit être 0 (chaîne mai → juin → juillet)</t>
        </is>
      </c>
    </row>
    <row r="17">
      <c r="A17" s="12" t="inlineStr">
        <is>
          <t>IRG salaires — base déclarée (E1L20)</t>
        </is>
      </c>
      <c r="B17" s="25" t="n">
        <v>819091</v>
      </c>
      <c r="C17" s="25" t="n">
        <v>905752</v>
      </c>
      <c r="D17" s="25" t="n">
        <v>365763</v>
      </c>
      <c r="E17" s="25" t="n">
        <v>404385</v>
      </c>
      <c r="F17" s="25" t="n">
        <v>426576</v>
      </c>
      <c r="G17" s="25" t="n">
        <v>325645</v>
      </c>
      <c r="H17" s="25" t="n">
        <v>286954</v>
      </c>
      <c r="I17" s="25" t="n">
        <v>300000</v>
      </c>
      <c r="J17" s="7">
        <f>SUM(B17:I17)</f>
        <v/>
      </c>
      <c r="K17" s="35" t="inlineStr"/>
    </row>
    <row r="18">
      <c r="A18" s="12" t="inlineStr">
        <is>
          <t>IRG salaires — base paie IMPORT (R650)</t>
        </is>
      </c>
      <c r="B18" s="6">
        <f>'Paie IMPORT'!C24</f>
        <v/>
      </c>
      <c r="C18" s="6">
        <f>'Paie IMPORT'!D24</f>
        <v/>
      </c>
      <c r="D18" s="6">
        <f>'Paie IMPORT'!E24</f>
        <v/>
      </c>
      <c r="E18" s="6">
        <f>'Paie IMPORT'!F24</f>
        <v/>
      </c>
      <c r="F18" s="6">
        <f>'Paie IMPORT'!G24</f>
        <v/>
      </c>
      <c r="G18" s="6">
        <f>'Paie IMPORT'!H24</f>
        <v/>
      </c>
      <c r="H18" s="6">
        <f>'Paie IMPORT'!I24</f>
        <v/>
      </c>
      <c r="I18" s="6">
        <f>'Paie IMPORT'!J24</f>
        <v/>
      </c>
      <c r="J18" s="7">
        <f>SUM(B18:I18)</f>
        <v/>
      </c>
      <c r="K18" s="35" t="inlineStr">
        <is>
          <t>Lien paie (mars : centralisateur absent)</t>
        </is>
      </c>
    </row>
    <row r="19">
      <c r="A19" s="12" t="inlineStr">
        <is>
          <t>IRG salaires — montant déclaré</t>
        </is>
      </c>
      <c r="B19" s="25" t="n">
        <v>132616</v>
      </c>
      <c r="C19" s="25" t="n">
        <v>162286</v>
      </c>
      <c r="D19" s="25" t="n">
        <v>60932</v>
      </c>
      <c r="E19" s="25" t="n">
        <v>72478</v>
      </c>
      <c r="F19" s="25" t="n">
        <v>79138</v>
      </c>
      <c r="G19" s="25" t="n">
        <v>59018</v>
      </c>
      <c r="H19" s="25" t="n">
        <v>42610</v>
      </c>
      <c r="I19" s="25" t="n">
        <v>49670</v>
      </c>
      <c r="J19" s="7">
        <f>SUM(B19:I19)</f>
        <v/>
      </c>
      <c r="K19" s="35" t="inlineStr"/>
    </row>
    <row r="20">
      <c r="A20" s="12" t="inlineStr">
        <is>
          <t>IRG salaires — retenu en paie IMPORT (R660)</t>
        </is>
      </c>
      <c r="B20" s="6">
        <f>'Paie IMPORT'!C25</f>
        <v/>
      </c>
      <c r="C20" s="6">
        <f>'Paie IMPORT'!D25</f>
        <v/>
      </c>
      <c r="D20" s="6">
        <f>'Paie IMPORT'!E25</f>
        <v/>
      </c>
      <c r="E20" s="6">
        <f>'Paie IMPORT'!F25</f>
        <v/>
      </c>
      <c r="F20" s="6">
        <f>'Paie IMPORT'!G25</f>
        <v/>
      </c>
      <c r="G20" s="6">
        <f>'Paie IMPORT'!H25</f>
        <v/>
      </c>
      <c r="H20" s="6">
        <f>'Paie IMPORT'!I25</f>
        <v/>
      </c>
      <c r="I20" s="6">
        <f>'Paie IMPORT'!J25</f>
        <v/>
      </c>
      <c r="J20" s="7">
        <f>SUM(B20:I20)</f>
        <v/>
      </c>
      <c r="K20" s="35" t="inlineStr">
        <is>
          <t>Lien paie</t>
        </is>
      </c>
    </row>
    <row r="21">
      <c r="A21" s="4" t="inlineStr">
        <is>
          <t>Écart IRG déclaré − paie</t>
        </is>
      </c>
      <c r="B21" s="30">
        <f>IF(B20=0,"paie absente",B19-B20)</f>
        <v/>
      </c>
      <c r="C21" s="30">
        <f>IF(C20=0,"paie absente",C19-C20)</f>
        <v/>
      </c>
      <c r="D21" s="30">
        <f>IF(D20=0,"paie absente",D19-D20)</f>
        <v/>
      </c>
      <c r="E21" s="30">
        <f>IF(E20=0,"paie absente",E19-E20)</f>
        <v/>
      </c>
      <c r="F21" s="30">
        <f>IF(F20=0,"paie absente",F19-F20)</f>
        <v/>
      </c>
      <c r="G21" s="30">
        <f>IF(G20=0,"paie absente",G19-G20)</f>
        <v/>
      </c>
      <c r="H21" s="30">
        <f>IF(H20=0,"paie absente",H19-H20)</f>
        <v/>
      </c>
      <c r="I21" s="30">
        <f>IF(I20=0,"paie absente",I19-I20)</f>
        <v/>
      </c>
      <c r="J21" s="27" t="n"/>
      <c r="K21" s="35" t="inlineStr">
        <is>
          <t>Négatif = IRG retenu non reversé</t>
        </is>
      </c>
    </row>
    <row r="22">
      <c r="A22" s="12" t="inlineStr">
        <is>
          <t>IRG retenu en paie TPM (déclaré sur G50 TPM, voir onglet G50 TPM)</t>
        </is>
      </c>
      <c r="B22" s="6">
        <f>'Paie TPM'!C25</f>
        <v/>
      </c>
      <c r="C22" s="6">
        <f>'Paie TPM'!D25</f>
        <v/>
      </c>
      <c r="D22" s="6">
        <f>'Paie TPM'!E25</f>
        <v/>
      </c>
      <c r="E22" s="6">
        <f>'Paie TPM'!F25</f>
        <v/>
      </c>
      <c r="F22" s="6">
        <f>'Paie TPM'!G25</f>
        <v/>
      </c>
      <c r="G22" s="6">
        <f>'Paie TPM'!H25</f>
        <v/>
      </c>
      <c r="H22" s="6">
        <f>'Paie TPM'!I25</f>
        <v/>
      </c>
      <c r="I22" s="6">
        <f>'Paie TPM'!J25</f>
        <v/>
      </c>
      <c r="J22" s="7">
        <f>SUM(B22:I22)</f>
        <v/>
      </c>
      <c r="K22" s="35" t="inlineStr">
        <is>
          <t>G50 TPM fournies : juillet et août seulement</t>
        </is>
      </c>
    </row>
    <row r="23">
      <c r="A23" s="12" t="inlineStr">
        <is>
          <t>Droit de timbre — base</t>
        </is>
      </c>
      <c r="B23" s="25" t="n">
        <v>1526130</v>
      </c>
      <c r="C23" s="25" t="n">
        <v>6372000</v>
      </c>
      <c r="D23" s="25" t="n">
        <v>0</v>
      </c>
      <c r="E23" s="25" t="n">
        <v>177058</v>
      </c>
      <c r="F23" s="25" t="n">
        <v>177058</v>
      </c>
      <c r="G23" s="25" t="n">
        <v>0</v>
      </c>
      <c r="H23" s="25" t="n">
        <v>0</v>
      </c>
      <c r="I23" s="25" t="n">
        <v>0</v>
      </c>
      <c r="J23" s="7">
        <f>SUM(B23:I23)</f>
        <v/>
      </c>
      <c r="K23" s="35" t="inlineStr"/>
    </row>
    <row r="24">
      <c r="A24" s="12" t="inlineStr">
        <is>
          <t>Droit de timbre — montant</t>
        </is>
      </c>
      <c r="B24" s="25" t="n">
        <v>30525</v>
      </c>
      <c r="C24" s="25" t="n">
        <v>63720</v>
      </c>
      <c r="D24" s="25" t="n">
        <v>0</v>
      </c>
      <c r="E24" s="25" t="n">
        <v>8944</v>
      </c>
      <c r="F24" s="25" t="n">
        <v>3173</v>
      </c>
      <c r="G24" s="25" t="n">
        <v>0</v>
      </c>
      <c r="H24" s="25" t="n">
        <v>0</v>
      </c>
      <c r="I24" s="25" t="n">
        <v>0</v>
      </c>
      <c r="J24" s="7">
        <f>SUM(B24:I24)</f>
        <v/>
      </c>
      <c r="K24" s="35" t="inlineStr">
        <is>
          <t>Taux apparents incohérents (ligne 31)</t>
        </is>
      </c>
    </row>
    <row r="25">
      <c r="A25" s="12" t="inlineStr">
        <is>
          <t>Taxe d'apprentissage — base</t>
        </is>
      </c>
      <c r="B25" s="25" t="n">
        <v>0</v>
      </c>
      <c r="C25" s="25" t="n">
        <v>8782828</v>
      </c>
      <c r="D25" s="25" t="n">
        <v>0</v>
      </c>
      <c r="E25" s="25" t="n">
        <v>0</v>
      </c>
      <c r="F25" s="25" t="n">
        <v>0</v>
      </c>
      <c r="G25" s="25" t="n">
        <v>0</v>
      </c>
      <c r="H25" s="25" t="n">
        <v>0</v>
      </c>
      <c r="I25" s="25" t="n">
        <v>4409079</v>
      </c>
      <c r="J25" s="7">
        <f>SUM(B25:I25)</f>
        <v/>
      </c>
      <c r="K25" s="35" t="inlineStr"/>
    </row>
    <row r="26">
      <c r="A26" s="12" t="inlineStr">
        <is>
          <t>Taxe d'apprentissage — montant</t>
        </is>
      </c>
      <c r="B26" s="25" t="n">
        <v>0</v>
      </c>
      <c r="C26" s="25" t="n">
        <v>87828</v>
      </c>
      <c r="D26" s="25" t="n">
        <v>0</v>
      </c>
      <c r="E26" s="25" t="n">
        <v>0</v>
      </c>
      <c r="F26" s="25" t="n">
        <v>0</v>
      </c>
      <c r="G26" s="25" t="n">
        <v>0</v>
      </c>
      <c r="H26" s="25" t="n">
        <v>0</v>
      </c>
      <c r="I26" s="25" t="n">
        <v>44091</v>
      </c>
      <c r="J26" s="7">
        <f>SUM(B26:I26)</f>
        <v/>
      </c>
      <c r="K26" s="35" t="inlineStr">
        <is>
          <t>1 % ; payée en février ET en août : bases à justifier</t>
        </is>
      </c>
    </row>
    <row r="27">
      <c r="A27" s="4" t="inlineStr">
        <is>
          <t>Total à payer déclaré</t>
        </is>
      </c>
      <c r="B27" s="25" t="n">
        <v>1291220</v>
      </c>
      <c r="C27" s="25" t="n">
        <v>3392786</v>
      </c>
      <c r="D27" s="25" t="n">
        <v>715520</v>
      </c>
      <c r="E27" s="25" t="n">
        <v>719735</v>
      </c>
      <c r="F27" s="25" t="n">
        <v>82311</v>
      </c>
      <c r="G27" s="25" t="n">
        <v>59018</v>
      </c>
      <c r="H27" s="25" t="n">
        <v>1309043</v>
      </c>
      <c r="I27" s="25" t="n">
        <v>932361</v>
      </c>
      <c r="J27" s="7">
        <f>SUM(B27:I27)</f>
        <v/>
      </c>
      <c r="K27" s="35" t="inlineStr"/>
    </row>
    <row r="28">
      <c r="A28" s="4" t="inlineStr">
        <is>
          <t>Total recalculé (TVA + IRG + timbre + TA)</t>
        </is>
      </c>
      <c r="B28" s="30">
        <f>B14+B19+B24+B26</f>
        <v/>
      </c>
      <c r="C28" s="30">
        <f>C14+C19+C24+C26</f>
        <v/>
      </c>
      <c r="D28" s="30">
        <f>D14+D19+D24+D26</f>
        <v/>
      </c>
      <c r="E28" s="30">
        <f>E14+E19+E24+E26</f>
        <v/>
      </c>
      <c r="F28" s="30">
        <f>F14+F19+F24+F26</f>
        <v/>
      </c>
      <c r="G28" s="30">
        <f>G14+G19+G24+G26</f>
        <v/>
      </c>
      <c r="H28" s="30">
        <f>H14+H19+H24+H26</f>
        <v/>
      </c>
      <c r="I28" s="30">
        <f>I14+I19+I24+I26</f>
        <v/>
      </c>
      <c r="J28" s="7">
        <f>SUM(B28:I28)</f>
        <v/>
      </c>
      <c r="K28" s="35" t="inlineStr">
        <is>
          <t>Calcul</t>
        </is>
      </c>
    </row>
    <row r="29">
      <c r="A29" s="4" t="inlineStr">
        <is>
          <t>Écart total</t>
        </is>
      </c>
      <c r="B29" s="30">
        <f>B27-B28</f>
        <v/>
      </c>
      <c r="C29" s="30">
        <f>C27-C28</f>
        <v/>
      </c>
      <c r="D29" s="30">
        <f>D27-D28</f>
        <v/>
      </c>
      <c r="E29" s="30">
        <f>E27-E28</f>
        <v/>
      </c>
      <c r="F29" s="30">
        <f>F27-F28</f>
        <v/>
      </c>
      <c r="G29" s="30">
        <f>G27-G28</f>
        <v/>
      </c>
      <c r="H29" s="30">
        <f>H27-H28</f>
        <v/>
      </c>
      <c r="I29" s="30">
        <f>I27-I28</f>
        <v/>
      </c>
      <c r="J29" s="7">
        <f>SUM(B29:I29)</f>
        <v/>
      </c>
      <c r="K29" s="35" t="inlineStr">
        <is>
          <t>Doit être 0</t>
        </is>
      </c>
    </row>
    <row r="30">
      <c r="A30" s="12" t="inlineStr">
        <is>
          <t>Date de signature imprimée</t>
        </is>
      </c>
      <c r="B30" s="22" t="inlineStr">
        <is>
          <t>18/02/2022</t>
        </is>
      </c>
      <c r="C30" s="22" t="inlineStr">
        <is>
          <t>19/03/2022</t>
        </is>
      </c>
      <c r="D30" s="22" t="inlineStr">
        <is>
          <t>17/04/2021</t>
        </is>
      </c>
      <c r="E30" s="22" t="inlineStr">
        <is>
          <t>18/05/2022</t>
        </is>
      </c>
      <c r="F30" s="22" t="inlineStr">
        <is>
          <t>18/06/2022</t>
        </is>
      </c>
      <c r="G30" s="22" t="inlineStr">
        <is>
          <t>28/07/2022</t>
        </is>
      </c>
      <c r="H30" s="22" t="inlineStr">
        <is>
          <t>19/08/2022</t>
        </is>
      </c>
      <c r="I30" s="22" t="inlineStr">
        <is>
          <t>19/08/2022</t>
        </is>
      </c>
      <c r="J30" s="27" t="n"/>
      <c r="K30" s="35" t="inlineStr">
        <is>
          <t>Dates obsolètes : modèle non mis à jour</t>
        </is>
      </c>
    </row>
    <row r="31">
      <c r="A31" s="12" t="inlineStr">
        <is>
          <t>Taux apparent du droit de timbre (montant / base)</t>
        </is>
      </c>
      <c r="B31" s="36">
        <f>IF(B23=0,"",B24/B23)</f>
        <v/>
      </c>
      <c r="C31" s="36">
        <f>IF(C23=0,"",C24/C23)</f>
        <v/>
      </c>
      <c r="D31" s="36">
        <f>IF(D23=0,"",D24/D23)</f>
        <v/>
      </c>
      <c r="E31" s="36">
        <f>IF(E23=0,"",E24/E23)</f>
        <v/>
      </c>
      <c r="F31" s="36">
        <f>IF(F23=0,"",F24/F23)</f>
        <v/>
      </c>
      <c r="G31" s="36">
        <f>IF(G23=0,"",G24/G23)</f>
        <v/>
      </c>
      <c r="H31" s="36">
        <f>IF(H23=0,"",H24/H23)</f>
        <v/>
      </c>
      <c r="I31" s="36">
        <f>IF(I23=0,"",I24/I23)</f>
        <v/>
      </c>
      <c r="K31" s="21" t="inlineStr">
        <is>
          <t>Taux appliqués différents d'un mois à l'autre</t>
        </is>
      </c>
    </row>
    <row r="33">
      <c r="A33" s="4" t="inlineStr">
        <is>
          <t>Annotations portées en marge des G50 (suivi du CA de mars 2026)</t>
        </is>
      </c>
    </row>
    <row r="34">
      <c r="A34" s="11" t="inlineStr">
        <is>
          <t>Rubrique</t>
        </is>
      </c>
      <c r="B34" s="11" t="inlineStr">
        <is>
          <t>Montant</t>
        </is>
      </c>
      <c r="C34" s="11" t="inlineStr"/>
      <c r="D34" s="11" t="inlineStr"/>
      <c r="E34" s="11" t="inlineStr"/>
      <c r="F34" s="11" t="inlineStr"/>
      <c r="G34" s="11" t="inlineStr"/>
      <c r="H34" s="11" t="inlineStr"/>
      <c r="I34" s="11" t="inlineStr"/>
      <c r="J34" s="11" t="inlineStr"/>
      <c r="K34" s="11" t="inlineStr">
        <is>
          <t>Commentaire</t>
        </is>
      </c>
    </row>
    <row r="35">
      <c r="A35" s="29" t="inlineStr">
        <is>
          <t>CA réalisé en mars 2026 (« TOTAL CA 03/2026 », G50 mars)</t>
        </is>
      </c>
      <c r="B35" s="25" t="n">
        <v>27006870</v>
      </c>
      <c r="K35" s="35" t="inlineStr">
        <is>
          <t>Annotation G50 mars et avril</t>
        </is>
      </c>
    </row>
    <row r="36">
      <c r="A36" s="29" t="inlineStr">
        <is>
          <t>TVA correspondante (« TOTAL TVA 03/2026 »)</t>
        </is>
      </c>
      <c r="B36" s="25" t="n">
        <v>5131305</v>
      </c>
      <c r="K36" s="35" t="inlineStr"/>
    </row>
    <row r="37">
      <c r="A37" s="29" t="inlineStr">
        <is>
          <t>TVA recalculée sur le CA de mars</t>
        </is>
      </c>
      <c r="B37" s="30">
        <f>ROUND(B35*$B$4,0)</f>
        <v/>
      </c>
      <c r="K37" s="35" t="inlineStr">
        <is>
          <t>Contrôle</t>
        </is>
      </c>
    </row>
    <row r="38">
      <c r="A38" s="29" t="inlineStr">
        <is>
          <t>CA de mars effectivement déclaré en mars</t>
        </is>
      </c>
      <c r="B38" s="30">
        <f>D7</f>
        <v/>
      </c>
      <c r="K38" s="35" t="inlineStr">
        <is>
          <t>G50 mars</t>
        </is>
      </c>
    </row>
    <row r="39">
      <c r="A39" s="29" t="inlineStr">
        <is>
          <t>CA de mars reporté sur les mois suivants</t>
        </is>
      </c>
      <c r="B39" s="37">
        <f>B35-B38</f>
        <v/>
      </c>
      <c r="K39" s="35" t="inlineStr">
        <is>
          <t>Annoté « RESTE A DECLARER CA » 23 561 670</t>
        </is>
      </c>
    </row>
    <row r="40">
      <c r="A40" s="29" t="inlineStr">
        <is>
          <t>TVA de mars payée en retard</t>
        </is>
      </c>
      <c r="B40" s="37">
        <f>ROUND(B39*$B$4,0)</f>
        <v/>
      </c>
      <c r="K40" s="35" t="inlineStr">
        <is>
          <t>Annoté « RESTE A DECLARER TVA » 4 476 717</t>
        </is>
      </c>
    </row>
    <row r="41">
      <c r="A41" s="29" t="inlineStr">
        <is>
          <t>« CA DECLARE 04/2026 » annoté en avril</t>
        </is>
      </c>
      <c r="B41" s="25" t="n">
        <v>13157894.74</v>
      </c>
      <c r="K41" s="35" t="inlineStr">
        <is>
          <t>Soit 2 500 000 / 19 % : CA calculé à partir d'un objectif de TVA</t>
        </is>
      </c>
    </row>
    <row r="42">
      <c r="A42" s="29" t="inlineStr">
        <is>
          <t>TVA cible correspondante</t>
        </is>
      </c>
      <c r="B42" s="30">
        <f>ROUND(B41*$B$4,2)</f>
        <v/>
      </c>
      <c r="K42" s="35" t="inlineStr">
        <is>
          <t>Contrôle</t>
        </is>
      </c>
    </row>
    <row r="43">
      <c r="A43" s="29" t="inlineStr">
        <is>
          <t>« RESTE A DECLARER TVA » annoté en juillet et août</t>
        </is>
      </c>
      <c r="B43" s="25" t="n">
        <v>5417538</v>
      </c>
      <c r="K43" s="35" t="inlineStr">
        <is>
          <t>Montant restant selon le suivi interne</t>
        </is>
      </c>
    </row>
    <row r="45">
      <c r="A45" s="4" t="inlineStr">
        <is>
          <t>Comparaison avec le CA IMPORT 2025 des mêmes mois (compte 70001, journal 2025)</t>
        </is>
      </c>
    </row>
    <row r="46">
      <c r="A46" s="11" t="inlineStr">
        <is>
          <t>Rubrique</t>
        </is>
      </c>
      <c r="B46" s="11" t="inlineStr">
        <is>
          <t>Janv</t>
        </is>
      </c>
      <c r="C46" s="11" t="inlineStr">
        <is>
          <t>Févr</t>
        </is>
      </c>
      <c r="D46" s="11" t="inlineStr">
        <is>
          <t>Mars</t>
        </is>
      </c>
      <c r="E46" s="11" t="inlineStr">
        <is>
          <t>Avr</t>
        </is>
      </c>
      <c r="F46" s="11" t="inlineStr">
        <is>
          <t>Mai</t>
        </is>
      </c>
      <c r="G46" s="11" t="inlineStr">
        <is>
          <t>Juin</t>
        </is>
      </c>
      <c r="H46" s="11" t="inlineStr">
        <is>
          <t>Juil</t>
        </is>
      </c>
      <c r="I46" s="11" t="inlineStr">
        <is>
          <t>Août</t>
        </is>
      </c>
      <c r="J46" s="11" t="inlineStr">
        <is>
          <t>Cumul</t>
        </is>
      </c>
      <c r="K46" s="11" t="inlineStr">
        <is>
          <t>Commentaire</t>
        </is>
      </c>
    </row>
    <row r="47">
      <c r="A47" s="12" t="inlineStr">
        <is>
          <t>CA 2025 (journal comptable)</t>
        </is>
      </c>
      <c r="B47" s="25" t="n">
        <v>17864580</v>
      </c>
      <c r="C47" s="25" t="n">
        <v>25568207</v>
      </c>
      <c r="D47" s="25" t="n">
        <v>31947529</v>
      </c>
      <c r="E47" s="25" t="n">
        <v>29534571</v>
      </c>
      <c r="F47" s="25" t="n">
        <v>41310810</v>
      </c>
      <c r="G47" s="25" t="n">
        <v>28042831</v>
      </c>
      <c r="H47" s="25" t="n">
        <v>23178604</v>
      </c>
      <c r="I47" s="25" t="n">
        <v>15524844</v>
      </c>
      <c r="J47" s="7">
        <f>SUM(B47:I47)</f>
        <v/>
      </c>
    </row>
    <row r="48">
      <c r="A48" s="12" t="inlineStr">
        <is>
          <t>CA 2026 déclaré sur G50</t>
        </is>
      </c>
      <c r="B48" s="30">
        <f>B7</f>
        <v/>
      </c>
      <c r="C48" s="30">
        <f>C7</f>
        <v/>
      </c>
      <c r="D48" s="30">
        <f>D7</f>
        <v/>
      </c>
      <c r="E48" s="30">
        <f>E7</f>
        <v/>
      </c>
      <c r="F48" s="30">
        <f>F7</f>
        <v/>
      </c>
      <c r="G48" s="30">
        <f>G7</f>
        <v/>
      </c>
      <c r="H48" s="30">
        <f>H7</f>
        <v/>
      </c>
      <c r="I48" s="30">
        <f>I7</f>
        <v/>
      </c>
      <c r="J48" s="7">
        <f>SUM(B48:I48)</f>
        <v/>
      </c>
      <c r="K48" s="35" t="inlineStr">
        <is>
          <t>Le CA 2026 déclaré mois par mois ne reflète pas le CA réalisé (voir annotations) : rapprocher avec le journal des ventes 2026.</t>
        </is>
      </c>
    </row>
    <row r="49">
      <c r="A49" s="12" t="inlineStr">
        <is>
          <t>Variation 2026 / 2025</t>
        </is>
      </c>
      <c r="B49" s="19">
        <f>IF(B47=0,"",B48/B47-1)</f>
        <v/>
      </c>
      <c r="C49" s="19">
        <f>IF(C47=0,"",C48/C47-1)</f>
        <v/>
      </c>
      <c r="D49" s="19">
        <f>IF(D47=0,"",D48/D47-1)</f>
        <v/>
      </c>
      <c r="E49" s="19">
        <f>IF(E47=0,"",E48/E47-1)</f>
        <v/>
      </c>
      <c r="F49" s="19">
        <f>IF(F47=0,"",F48/F47-1)</f>
        <v/>
      </c>
      <c r="G49" s="19">
        <f>IF(G47=0,"",G48/G47-1)</f>
        <v/>
      </c>
      <c r="H49" s="19">
        <f>IF(H47=0,"",H48/H47-1)</f>
        <v/>
      </c>
      <c r="I49" s="19">
        <f>IF(I47=0,"",I48/I47-1)</f>
        <v/>
      </c>
      <c r="J49" s="38">
        <f>J48/J47-1</f>
        <v/>
      </c>
    </row>
  </sheetData>
  <pageMargins left="0.75" right="0.75" top="1" bottom="1" header="0.5" footer="0.5"/>
  <pageSetup orientation="landscape" fitToHeight="0"/>
</worksheet>
</file>

<file path=xl/worksheets/sheet10.xml><?xml version="1.0" encoding="utf-8"?>
<worksheet xmlns="http://schemas.openxmlformats.org/spreadsheetml/2006/main">
  <sheetPr>
    <outlinePr summaryBelow="1" summaryRight="1"/>
    <pageSetUpPr fitToPage="1"/>
  </sheetPr>
  <dimension ref="A1:E10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6" customWidth="1" min="2" max="2"/>
    <col width="17" customWidth="1" min="3" max="3"/>
    <col width="17" customWidth="1" min="4" max="4"/>
    <col width="17" customWidth="1" min="5" max="5"/>
  </cols>
  <sheetData>
    <row r="1">
      <c r="A1" s="1" t="inlineStr">
        <is>
          <t>Balance générale des exercices 2024 et 2025 (avant clôture)</t>
        </is>
      </c>
    </row>
    <row r="2">
      <c r="A2" s="2" t="inlineStr">
        <is>
          <t>Source : exports PCCOMPTA SARL_DPR_COMPAGNY_2024.xls / 2025.xls (feuille JOURNAL). Solde = débit − crédit (crédit négatif). Contrôles faits : journaux équilibrés ; ouvertures 2025 = clôtures 2024.</t>
        </is>
      </c>
    </row>
    <row r="4">
      <c r="A4" s="11" t="inlineStr">
        <is>
          <t>Compte</t>
        </is>
      </c>
      <c r="B4" s="11" t="inlineStr">
        <is>
          <t>Libellé</t>
        </is>
      </c>
      <c r="C4" s="11" t="inlineStr">
        <is>
          <t>Solde 31/12/2024</t>
        </is>
      </c>
      <c r="D4" s="11" t="inlineStr">
        <is>
          <t>Solde 31/12/2025</t>
        </is>
      </c>
      <c r="E4" s="11" t="inlineStr">
        <is>
          <t>Variation</t>
        </is>
      </c>
    </row>
    <row r="5">
      <c r="A5" s="12" t="inlineStr">
        <is>
          <t>10100</t>
        </is>
      </c>
      <c r="B5" s="12" t="inlineStr">
        <is>
          <t>CAPITAL EMIS</t>
        </is>
      </c>
      <c r="C5" s="25" t="n">
        <v>-106000000</v>
      </c>
      <c r="D5" s="25" t="n">
        <v>-106000000</v>
      </c>
      <c r="E5" s="30">
        <f>D5-C5</f>
        <v/>
      </c>
    </row>
    <row r="6">
      <c r="A6" s="12" t="inlineStr">
        <is>
          <t>10500</t>
        </is>
      </c>
      <c r="B6" s="12" t="inlineStr">
        <is>
          <t>Ecart de réévaluation</t>
        </is>
      </c>
      <c r="C6" s="25" t="n">
        <v>-120163.5</v>
      </c>
      <c r="D6" s="25" t="n">
        <v>-120163.5</v>
      </c>
      <c r="E6" s="30">
        <f>D6-C6</f>
        <v/>
      </c>
    </row>
    <row r="7">
      <c r="A7" s="12" t="inlineStr">
        <is>
          <t>10610</t>
        </is>
      </c>
      <c r="B7" s="12" t="inlineStr">
        <is>
          <t>RESERVES LEGALES</t>
        </is>
      </c>
      <c r="C7" s="25" t="n">
        <v>-5546118.38</v>
      </c>
      <c r="D7" s="25" t="n">
        <v>-7003771.38</v>
      </c>
      <c r="E7" s="30">
        <f>D7-C7</f>
        <v/>
      </c>
    </row>
    <row r="8">
      <c r="A8" s="12" t="inlineStr">
        <is>
          <t>10611</t>
        </is>
      </c>
      <c r="B8" s="12" t="inlineStr">
        <is>
          <t>BENEFICES A REINVESTIR</t>
        </is>
      </c>
      <c r="C8" s="25" t="n">
        <v>-25922342.3</v>
      </c>
      <c r="D8" s="25" t="n">
        <v>-25922342.3</v>
      </c>
      <c r="E8" s="30">
        <f>D8-C8</f>
        <v/>
      </c>
    </row>
    <row r="9">
      <c r="A9" s="12" t="inlineStr">
        <is>
          <t>10620</t>
        </is>
      </c>
      <c r="B9" s="12" t="inlineStr">
        <is>
          <t>RESERVES STATUTAIRES</t>
        </is>
      </c>
      <c r="C9" s="25" t="n">
        <v>-211183</v>
      </c>
      <c r="D9" s="25" t="n">
        <v>-211183</v>
      </c>
      <c r="E9" s="30">
        <f>D9-C9</f>
        <v/>
      </c>
    </row>
    <row r="10">
      <c r="A10" s="12" t="inlineStr">
        <is>
          <t>10630</t>
        </is>
      </c>
      <c r="B10" s="12" t="inlineStr">
        <is>
          <t>RESERVES FACULTATIVES</t>
        </is>
      </c>
      <c r="C10" s="25" t="n">
        <v>-16395661</v>
      </c>
      <c r="D10" s="25" t="n">
        <v>-44091060.12</v>
      </c>
      <c r="E10" s="30">
        <f>D10-C10</f>
        <v/>
      </c>
    </row>
    <row r="11">
      <c r="A11" s="12" t="inlineStr">
        <is>
          <t>11000</t>
        </is>
      </c>
      <c r="B11" s="12" t="inlineStr">
        <is>
          <t>REPORT A NOUVEAU</t>
        </is>
      </c>
      <c r="C11" s="25" t="n">
        <v>1508496.57</v>
      </c>
      <c r="D11" s="25" t="n">
        <v>1508496.57</v>
      </c>
      <c r="E11" s="30">
        <f>D11-C11</f>
        <v/>
      </c>
    </row>
    <row r="12">
      <c r="A12" s="12" t="inlineStr">
        <is>
          <t>11001</t>
        </is>
      </c>
      <c r="B12" s="12" t="inlineStr">
        <is>
          <t>AJUST RESUL CH METHODE CPTE</t>
        </is>
      </c>
      <c r="C12" s="25" t="n">
        <v>150790.11</v>
      </c>
      <c r="D12" s="25" t="n">
        <v>150790.11</v>
      </c>
      <c r="E12" s="30">
        <f>D12-C12</f>
        <v/>
      </c>
    </row>
    <row r="13">
      <c r="A13" s="12" t="inlineStr">
        <is>
          <t>21100</t>
        </is>
      </c>
      <c r="B13" s="12" t="inlineStr">
        <is>
          <t>TERRAINS</t>
        </is>
      </c>
      <c r="C13" s="25" t="n">
        <v>21600000</v>
      </c>
      <c r="D13" s="25" t="n">
        <v>21600000</v>
      </c>
      <c r="E13" s="30">
        <f>D13-C13</f>
        <v/>
      </c>
    </row>
    <row r="14">
      <c r="A14" s="12" t="inlineStr">
        <is>
          <t>21300</t>
        </is>
      </c>
      <c r="B14" s="12" t="inlineStr">
        <is>
          <t>Constructions</t>
        </is>
      </c>
      <c r="C14" s="25" t="n">
        <v>13891000.5</v>
      </c>
      <c r="D14" s="25" t="n">
        <v>13891000.5</v>
      </c>
      <c r="E14" s="30">
        <f>D14-C14</f>
        <v/>
      </c>
    </row>
    <row r="15">
      <c r="A15" s="12" t="inlineStr">
        <is>
          <t>21301</t>
        </is>
      </c>
      <c r="B15" s="12" t="inlineStr">
        <is>
          <t>CHARPENTE METALIQUE</t>
        </is>
      </c>
      <c r="C15" s="25" t="n">
        <v>20222222.46</v>
      </c>
      <c r="D15" s="25" t="n">
        <v>20222222.46</v>
      </c>
      <c r="E15" s="30">
        <f>D15-C15</f>
        <v/>
      </c>
    </row>
    <row r="16">
      <c r="A16" s="12" t="inlineStr">
        <is>
          <t>21500</t>
        </is>
      </c>
      <c r="B16" s="12" t="inlineStr">
        <is>
          <t>INSTALATIONS TECHNIQUES,MAERIE</t>
        </is>
      </c>
      <c r="C16" s="25" t="n">
        <v>2713848.82</v>
      </c>
      <c r="D16" s="25" t="n">
        <v>2713848.82</v>
      </c>
      <c r="E16" s="30">
        <f>D16-C16</f>
        <v/>
      </c>
    </row>
    <row r="17">
      <c r="A17" s="12" t="inlineStr">
        <is>
          <t>21801</t>
        </is>
      </c>
      <c r="B17" s="12" t="inlineStr">
        <is>
          <t>MATERIEL DE TRANSPORT</t>
        </is>
      </c>
      <c r="C17" s="25" t="n">
        <v>106588184.02</v>
      </c>
      <c r="D17" s="25" t="n">
        <v>106588184.02</v>
      </c>
      <c r="E17" s="30">
        <f>D17-C17</f>
        <v/>
      </c>
    </row>
    <row r="18">
      <c r="A18" s="12" t="inlineStr">
        <is>
          <t>21802</t>
        </is>
      </c>
      <c r="B18" s="12" t="inlineStr">
        <is>
          <t>MOBILIER DE BUREAU</t>
        </is>
      </c>
      <c r="C18" s="25" t="n">
        <v>453233.14</v>
      </c>
      <c r="D18" s="25" t="n">
        <v>453233.14</v>
      </c>
      <c r="E18" s="30">
        <f>D18-C18</f>
        <v/>
      </c>
    </row>
    <row r="19">
      <c r="A19" s="12" t="inlineStr">
        <is>
          <t>21804</t>
        </is>
      </c>
      <c r="B19" s="12" t="inlineStr">
        <is>
          <t>EQUIPEMENTS INFORMATIQUES</t>
        </is>
      </c>
      <c r="C19" s="25" t="n">
        <v>393513.02</v>
      </c>
      <c r="D19" s="25" t="n">
        <v>393513.02</v>
      </c>
      <c r="E19" s="30">
        <f>D19-C19</f>
        <v/>
      </c>
    </row>
    <row r="20">
      <c r="A20" s="12" t="inlineStr">
        <is>
          <t>21805</t>
        </is>
      </c>
      <c r="B20" s="12" t="inlineStr">
        <is>
          <t>INSTAL GEN,AGENC,AMENAG DIVERS</t>
        </is>
      </c>
      <c r="C20" s="25" t="n">
        <v>18454720.08</v>
      </c>
      <c r="D20" s="25" t="n">
        <v>23167908.61</v>
      </c>
      <c r="E20" s="30">
        <f>D20-C20</f>
        <v/>
      </c>
    </row>
    <row r="21">
      <c r="A21" s="12" t="inlineStr">
        <is>
          <t>27500</t>
        </is>
      </c>
      <c r="B21" s="12" t="inlineStr">
        <is>
          <t>DEPOTS ET CAUTIONNEMENTS VERSE</t>
        </is>
      </c>
      <c r="C21" s="25" t="n">
        <v>2595248.73</v>
      </c>
      <c r="D21" s="25" t="n">
        <v>5010048.63</v>
      </c>
      <c r="E21" s="30">
        <f>D21-C21</f>
        <v/>
      </c>
    </row>
    <row r="22">
      <c r="A22" s="12" t="inlineStr">
        <is>
          <t>28130</t>
        </is>
      </c>
      <c r="B22" s="12" t="inlineStr">
        <is>
          <t>Amortissement constructions</t>
        </is>
      </c>
      <c r="C22" s="25" t="n">
        <v>-4815237.35</v>
      </c>
      <c r="D22" s="25" t="n">
        <v>-8074650.41</v>
      </c>
      <c r="E22" s="30">
        <f>D22-C22</f>
        <v/>
      </c>
    </row>
    <row r="23">
      <c r="A23" s="12" t="inlineStr">
        <is>
          <t>28150</t>
        </is>
      </c>
      <c r="B23" s="12" t="inlineStr">
        <is>
          <t>AMORT MAT ET OUTILLAGES</t>
        </is>
      </c>
      <c r="C23" s="25" t="n">
        <v>-1823077.75</v>
      </c>
      <c r="D23" s="25" t="n">
        <v>-2005155.07</v>
      </c>
      <c r="E23" s="30">
        <f>D23-C23</f>
        <v/>
      </c>
    </row>
    <row r="24">
      <c r="A24" s="12" t="inlineStr">
        <is>
          <t>28181</t>
        </is>
      </c>
      <c r="B24" s="12" t="inlineStr">
        <is>
          <t>AMORT MAT DE TRANSPORT</t>
        </is>
      </c>
      <c r="C24" s="25" t="n">
        <v>-106588184.02</v>
      </c>
      <c r="D24" s="25" t="n">
        <v>-106588184.02</v>
      </c>
      <c r="E24" s="30">
        <f>D24-C24</f>
        <v/>
      </c>
    </row>
    <row r="25">
      <c r="A25" s="12" t="inlineStr">
        <is>
          <t>28182</t>
        </is>
      </c>
      <c r="B25" s="12" t="inlineStr">
        <is>
          <t>AMORT MOBILIER DE BUREAU</t>
        </is>
      </c>
      <c r="C25" s="25" t="n">
        <v>-352780.21</v>
      </c>
      <c r="D25" s="25" t="n">
        <v>-393583.52</v>
      </c>
      <c r="E25" s="30">
        <f>D25-C25</f>
        <v/>
      </c>
    </row>
    <row r="26">
      <c r="A26" s="12" t="inlineStr">
        <is>
          <t>28184</t>
        </is>
      </c>
      <c r="B26" s="12" t="inlineStr">
        <is>
          <t>AMORT EQUIPEMENTS INFORMATIQUE</t>
        </is>
      </c>
      <c r="C26" s="25" t="n">
        <v>-393513.02</v>
      </c>
      <c r="D26" s="25" t="n">
        <v>-393513.02</v>
      </c>
      <c r="E26" s="30">
        <f>D26-C26</f>
        <v/>
      </c>
    </row>
    <row r="27">
      <c r="A27" s="12" t="inlineStr">
        <is>
          <t>28185</t>
        </is>
      </c>
      <c r="B27" s="12" t="inlineStr">
        <is>
          <t>AMORT INST GEN AGENC ET AMENAG</t>
        </is>
      </c>
      <c r="C27" s="25" t="n">
        <v>-4730683.93</v>
      </c>
      <c r="D27" s="25" t="n">
        <v>-6449464.88</v>
      </c>
      <c r="E27" s="30">
        <f>D27-C27</f>
        <v/>
      </c>
    </row>
    <row r="28">
      <c r="A28" s="12" t="inlineStr">
        <is>
          <t>30002</t>
        </is>
      </c>
      <c r="B28" s="12" t="inlineStr">
        <is>
          <t>ST IMPORTATION</t>
        </is>
      </c>
      <c r="C28" s="25" t="n">
        <v>297774892.13</v>
      </c>
      <c r="D28" s="25" t="n">
        <v>228734007.94</v>
      </c>
      <c r="E28" s="30">
        <f>D28-C28</f>
        <v/>
      </c>
    </row>
    <row r="29">
      <c r="A29" s="12" t="inlineStr">
        <is>
          <t>40100</t>
        </is>
      </c>
      <c r="B29" s="12" t="inlineStr">
        <is>
          <t>Fournisseurs de stocks et serv</t>
        </is>
      </c>
      <c r="C29" s="25" t="n">
        <v>-35860251.28</v>
      </c>
      <c r="D29" s="25" t="n">
        <v>-26166634.7</v>
      </c>
      <c r="E29" s="30">
        <f>D29-C29</f>
        <v/>
      </c>
    </row>
    <row r="30">
      <c r="A30" s="12" t="inlineStr">
        <is>
          <t>40130</t>
        </is>
      </c>
      <c r="B30" s="12" t="inlineStr">
        <is>
          <t>FOUR. LOCAUX DE SERVICES</t>
        </is>
      </c>
      <c r="C30" s="25" t="n">
        <v>-2659901.62</v>
      </c>
      <c r="D30" s="25" t="n">
        <v>-3058191.62</v>
      </c>
      <c r="E30" s="30">
        <f>D30-C30</f>
        <v/>
      </c>
    </row>
    <row r="31">
      <c r="A31" s="12" t="inlineStr">
        <is>
          <t>40400</t>
        </is>
      </c>
      <c r="B31" s="12" t="inlineStr">
        <is>
          <t>Fournisseurs d'immobilisations</t>
        </is>
      </c>
      <c r="C31" s="25" t="n">
        <v>-21827400</v>
      </c>
      <c r="D31" s="25" t="n">
        <v>-21908581.96</v>
      </c>
      <c r="E31" s="30">
        <f>D31-C31</f>
        <v/>
      </c>
    </row>
    <row r="32">
      <c r="A32" s="12" t="inlineStr">
        <is>
          <t>40900</t>
        </is>
      </c>
      <c r="B32" s="12" t="inlineStr">
        <is>
          <t>Fournisseurs débiteurs : avanc</t>
        </is>
      </c>
      <c r="C32" s="25" t="n">
        <v>876100</v>
      </c>
      <c r="D32" s="25" t="n">
        <v>46206100</v>
      </c>
      <c r="E32" s="30">
        <f>D32-C32</f>
        <v/>
      </c>
    </row>
    <row r="33">
      <c r="A33" s="12" t="inlineStr">
        <is>
          <t>41100</t>
        </is>
      </c>
      <c r="B33" s="12" t="inlineStr">
        <is>
          <t>Clients</t>
        </is>
      </c>
      <c r="C33" s="25" t="n">
        <v>394285419.73</v>
      </c>
      <c r="D33" s="25" t="n">
        <v>387140792.76</v>
      </c>
      <c r="E33" s="30">
        <f>D33-C33</f>
        <v/>
      </c>
    </row>
    <row r="34">
      <c r="A34" s="12" t="inlineStr">
        <is>
          <t>41170</t>
        </is>
      </c>
      <c r="B34" s="12" t="inlineStr">
        <is>
          <t>CLIENTS-RETENUES DE GARANTIE</t>
        </is>
      </c>
      <c r="C34" s="25" t="n">
        <v>490717.68</v>
      </c>
      <c r="D34" s="25" t="n">
        <v>490717.68</v>
      </c>
      <c r="E34" s="30">
        <f>D34-C34</f>
        <v/>
      </c>
    </row>
    <row r="35">
      <c r="A35" s="12" t="inlineStr">
        <is>
          <t>41900</t>
        </is>
      </c>
      <c r="B35" s="12" t="inlineStr">
        <is>
          <t>Clients créditeurs -avances re</t>
        </is>
      </c>
      <c r="C35" s="25" t="n">
        <v>-319301380.72</v>
      </c>
      <c r="D35" s="25" t="n">
        <v>-314566980.72</v>
      </c>
      <c r="E35" s="30">
        <f>D35-C35</f>
        <v/>
      </c>
    </row>
    <row r="36">
      <c r="A36" s="12" t="inlineStr">
        <is>
          <t>41910</t>
        </is>
      </c>
      <c r="B36" s="12" t="inlineStr">
        <is>
          <t>AVANCES RECUES DES CLIENTS</t>
        </is>
      </c>
      <c r="C36" s="25" t="n">
        <v>-1612880.99</v>
      </c>
      <c r="D36" s="25" t="n">
        <v>-1612880.99</v>
      </c>
      <c r="E36" s="30">
        <f>D36-C36</f>
        <v/>
      </c>
    </row>
    <row r="37">
      <c r="A37" s="12" t="inlineStr">
        <is>
          <t>42100</t>
        </is>
      </c>
      <c r="B37" s="12" t="inlineStr">
        <is>
          <t>PERSONNEL,REMUNERATIONS DUES</t>
        </is>
      </c>
      <c r="C37" s="25" t="n">
        <v>-880236.13</v>
      </c>
      <c r="D37" s="25" t="n">
        <v>-927713.04</v>
      </c>
      <c r="E37" s="30">
        <f>D37-C37</f>
        <v/>
      </c>
    </row>
    <row r="38">
      <c r="A38" s="12" t="inlineStr">
        <is>
          <t>43100</t>
        </is>
      </c>
      <c r="B38" s="12" t="inlineStr">
        <is>
          <t>SECURITE SOCIALE</t>
        </is>
      </c>
      <c r="C38" s="25" t="n">
        <v>-101587.09</v>
      </c>
      <c r="D38" s="25" t="n">
        <v>-154771.05</v>
      </c>
      <c r="E38" s="30">
        <f>D38-C38</f>
        <v/>
      </c>
    </row>
    <row r="39">
      <c r="A39" s="12" t="inlineStr">
        <is>
          <t>43200</t>
        </is>
      </c>
      <c r="B39" s="12" t="inlineStr">
        <is>
          <t>Autres organismes sociaux</t>
        </is>
      </c>
      <c r="C39" s="25" t="n">
        <v>-310928.8</v>
      </c>
      <c r="D39" s="25" t="n">
        <v>-447116.45</v>
      </c>
      <c r="E39" s="30">
        <f>D39-C39</f>
        <v/>
      </c>
    </row>
    <row r="40">
      <c r="A40" s="12" t="inlineStr">
        <is>
          <t>44210</t>
        </is>
      </c>
      <c r="B40" s="12" t="inlineStr">
        <is>
          <t>RETENUES : IRG</t>
        </is>
      </c>
      <c r="C40" s="25" t="n">
        <v>-120531.9</v>
      </c>
      <c r="D40" s="25" t="n">
        <v>-139890.6</v>
      </c>
      <c r="E40" s="30">
        <f>D40-C40</f>
        <v/>
      </c>
    </row>
    <row r="41">
      <c r="A41" s="12" t="inlineStr">
        <is>
          <t>44400</t>
        </is>
      </c>
      <c r="B41" s="12" t="inlineStr">
        <is>
          <t>Etat, impôts sur les résultats</t>
        </is>
      </c>
      <c r="C41" s="25" t="n">
        <v>-9339504</v>
      </c>
      <c r="D41" s="25" t="n">
        <v>-9791549.220000001</v>
      </c>
      <c r="E41" s="30">
        <f>D41-C41</f>
        <v/>
      </c>
    </row>
    <row r="42">
      <c r="A42" s="12" t="inlineStr">
        <is>
          <t>44410</t>
        </is>
      </c>
      <c r="B42" s="12" t="inlineStr">
        <is>
          <t>AVANCES ET ACOMPTES SUR IBS</t>
        </is>
      </c>
      <c r="C42" s="25" t="n">
        <v>4948930</v>
      </c>
      <c r="D42" s="25" t="n">
        <v>6148598</v>
      </c>
      <c r="E42" s="30">
        <f>D42-C42</f>
        <v/>
      </c>
    </row>
    <row r="43">
      <c r="A43" s="12" t="inlineStr">
        <is>
          <t>44430</t>
        </is>
      </c>
      <c r="B43" s="12" t="inlineStr">
        <is>
          <t>EXCEDENT DE VERSEMENT IMPOTS</t>
        </is>
      </c>
      <c r="C43" s="25" t="n">
        <v>2972435</v>
      </c>
      <c r="D43" s="25" t="n">
        <v>0</v>
      </c>
      <c r="E43" s="30">
        <f>D43-C43</f>
        <v/>
      </c>
    </row>
    <row r="44">
      <c r="A44" s="12" t="inlineStr">
        <is>
          <t>44501</t>
        </is>
      </c>
      <c r="B44" s="12" t="inlineStr">
        <is>
          <t>TVA DEDUCT S/INVEST. A 17 %</t>
        </is>
      </c>
      <c r="C44" s="25" t="n">
        <v>2249353.17</v>
      </c>
      <c r="D44" s="25" t="n">
        <v>541052</v>
      </c>
      <c r="E44" s="30">
        <f>D44-C44</f>
        <v/>
      </c>
    </row>
    <row r="45">
      <c r="A45" s="12" t="inlineStr">
        <is>
          <t>44510</t>
        </is>
      </c>
      <c r="B45" s="12" t="inlineStr">
        <is>
          <t>TVA A PAYER</t>
        </is>
      </c>
      <c r="C45" s="25" t="n">
        <v>-129798</v>
      </c>
      <c r="D45" s="25" t="n">
        <v>-5672989</v>
      </c>
      <c r="E45" s="30">
        <f>D45-C45</f>
        <v/>
      </c>
    </row>
    <row r="46">
      <c r="A46" s="12" t="inlineStr">
        <is>
          <t>44517</t>
        </is>
      </c>
      <c r="B46" s="12" t="inlineStr">
        <is>
          <t>TVA COLLECTEE S/VENTES A 17 %</t>
        </is>
      </c>
      <c r="C46" s="25" t="n">
        <v>0</v>
      </c>
      <c r="D46" s="25" t="n">
        <v>100569.85</v>
      </c>
      <c r="E46" s="30">
        <f>D46-C46</f>
        <v/>
      </c>
    </row>
    <row r="47">
      <c r="A47" s="12" t="inlineStr">
        <is>
          <t>44527</t>
        </is>
      </c>
      <c r="B47" s="12" t="inlineStr">
        <is>
          <t>TVA COLLECTEE/VENTES LOCATION</t>
        </is>
      </c>
      <c r="C47" s="25" t="n">
        <v>-6708151</v>
      </c>
      <c r="D47" s="25" t="n">
        <v>-6708151</v>
      </c>
      <c r="E47" s="30">
        <f>D47-C47</f>
        <v/>
      </c>
    </row>
    <row r="48">
      <c r="A48" s="12" t="inlineStr">
        <is>
          <t>44537</t>
        </is>
      </c>
      <c r="B48" s="12" t="inlineStr">
        <is>
          <t>TVA COLLECTEE/VENTES TPM</t>
        </is>
      </c>
      <c r="C48" s="25" t="n">
        <v>-47726307.93</v>
      </c>
      <c r="D48" s="25" t="n">
        <v>-52174399.93</v>
      </c>
      <c r="E48" s="30">
        <f>D48-C48</f>
        <v/>
      </c>
    </row>
    <row r="49">
      <c r="A49" s="12" t="inlineStr">
        <is>
          <t>44550</t>
        </is>
      </c>
      <c r="B49" s="12" t="inlineStr">
        <is>
          <t>PRECOMPTE</t>
        </is>
      </c>
      <c r="C49" s="25" t="n">
        <v>1056445</v>
      </c>
      <c r="D49" s="25" t="n">
        <v>1714499</v>
      </c>
      <c r="E49" s="30">
        <f>D49-C49</f>
        <v/>
      </c>
    </row>
    <row r="50">
      <c r="A50" s="12" t="inlineStr">
        <is>
          <t>44552</t>
        </is>
      </c>
      <c r="B50" s="12" t="inlineStr">
        <is>
          <t>TVA RECUPERABLE LOCATION</t>
        </is>
      </c>
      <c r="C50" s="25" t="n">
        <v>2822746.99</v>
      </c>
      <c r="D50" s="25" t="n">
        <v>2822746.99</v>
      </c>
      <c r="E50" s="30">
        <f>D50-C50</f>
        <v/>
      </c>
    </row>
    <row r="51">
      <c r="A51" s="12" t="inlineStr">
        <is>
          <t>44555</t>
        </is>
      </c>
      <c r="B51" s="12" t="inlineStr">
        <is>
          <t>TVA RECUPERABLE TPM</t>
        </is>
      </c>
      <c r="C51" s="25" t="n">
        <v>947829.09</v>
      </c>
      <c r="D51" s="25" t="n">
        <v>947829.09</v>
      </c>
      <c r="E51" s="30">
        <f>D51-C51</f>
        <v/>
      </c>
    </row>
    <row r="52">
      <c r="A52" s="12" t="inlineStr">
        <is>
          <t>44557</t>
        </is>
      </c>
      <c r="B52" s="12" t="inlineStr">
        <is>
          <t>TVA RECUPERABLES</t>
        </is>
      </c>
      <c r="C52" s="25" t="n">
        <v>4059079.35</v>
      </c>
      <c r="D52" s="25" t="n">
        <v>1449028.86</v>
      </c>
      <c r="E52" s="30">
        <f>D52-C52</f>
        <v/>
      </c>
    </row>
    <row r="53">
      <c r="A53" s="12" t="inlineStr">
        <is>
          <t>44760</t>
        </is>
      </c>
      <c r="B53" s="12" t="inlineStr">
        <is>
          <t>TIMBRES DUES</t>
        </is>
      </c>
      <c r="C53" s="25" t="n">
        <v>-8303</v>
      </c>
      <c r="D53" s="25" t="n">
        <v>-125326</v>
      </c>
      <c r="E53" s="30">
        <f>D53-C53</f>
        <v/>
      </c>
    </row>
    <row r="54">
      <c r="A54" s="12" t="inlineStr">
        <is>
          <t>45500</t>
        </is>
      </c>
      <c r="B54" s="12" t="inlineStr">
        <is>
          <t>ASSOCIES-COMPTES COURANTS</t>
        </is>
      </c>
      <c r="C54" s="25" t="n">
        <v>-107115774.76</v>
      </c>
      <c r="D54" s="25" t="n">
        <v>-72963530.66</v>
      </c>
      <c r="E54" s="30">
        <f>D54-C54</f>
        <v/>
      </c>
    </row>
    <row r="55">
      <c r="A55" s="12" t="inlineStr">
        <is>
          <t>45701</t>
        </is>
      </c>
      <c r="B55" s="12" t="inlineStr">
        <is>
          <t>Associe MR DJENADI AHCENE</t>
        </is>
      </c>
      <c r="C55" s="25" t="n">
        <v>-9948879.470000001</v>
      </c>
      <c r="D55" s="25" t="n">
        <v>-9948879.470000001</v>
      </c>
      <c r="E55" s="30">
        <f>D55-C55</f>
        <v/>
      </c>
    </row>
    <row r="56">
      <c r="A56" s="12" t="inlineStr">
        <is>
          <t>45702</t>
        </is>
      </c>
      <c r="B56" s="12" t="inlineStr">
        <is>
          <t>Associe MR DJENNDI ABDELKRIM</t>
        </is>
      </c>
      <c r="C56" s="25" t="n">
        <v>-10149190.12</v>
      </c>
      <c r="D56" s="25" t="n">
        <v>-10149190.12</v>
      </c>
      <c r="E56" s="30">
        <f>D56-C56</f>
        <v/>
      </c>
    </row>
    <row r="57">
      <c r="A57" s="12" t="inlineStr">
        <is>
          <t>45703</t>
        </is>
      </c>
      <c r="B57" s="12" t="inlineStr">
        <is>
          <t>Associe MR DJENNADI RYAD</t>
        </is>
      </c>
      <c r="C57" s="25" t="n">
        <v>-10944558.62</v>
      </c>
      <c r="D57" s="25" t="n">
        <v>-10944558.62</v>
      </c>
      <c r="E57" s="30">
        <f>D57-C57</f>
        <v/>
      </c>
    </row>
    <row r="58">
      <c r="A58" s="12" t="inlineStr">
        <is>
          <t>45820</t>
        </is>
      </c>
      <c r="B58" s="12" t="inlineStr">
        <is>
          <t>CREANCE RETACHEES S-CENTRE COM</t>
        </is>
      </c>
      <c r="C58" s="25" t="n">
        <v>315900</v>
      </c>
      <c r="D58" s="25" t="n">
        <v>315900</v>
      </c>
      <c r="E58" s="30">
        <f>D58-C58</f>
        <v/>
      </c>
    </row>
    <row r="59">
      <c r="A59" s="12" t="inlineStr">
        <is>
          <t>47000</t>
        </is>
      </c>
      <c r="B59" s="12" t="inlineStr">
        <is>
          <t>Comptes transitoires ou d'atte</t>
        </is>
      </c>
      <c r="C59" s="25" t="n">
        <v>0</v>
      </c>
      <c r="D59" s="25" t="n">
        <v>653136.02</v>
      </c>
      <c r="E59" s="30">
        <f>D59-C59</f>
        <v/>
      </c>
    </row>
    <row r="60">
      <c r="A60" s="12" t="inlineStr">
        <is>
          <t>48600</t>
        </is>
      </c>
      <c r="B60" s="12" t="inlineStr">
        <is>
          <t>CHARGES CONSTATEES D'AVANCE</t>
        </is>
      </c>
      <c r="C60" s="25" t="n">
        <v>371111.01</v>
      </c>
      <c r="D60" s="25" t="n">
        <v>756123.85</v>
      </c>
      <c r="E60" s="30">
        <f>D60-C60</f>
        <v/>
      </c>
    </row>
    <row r="61">
      <c r="A61" s="12" t="inlineStr">
        <is>
          <t>51202</t>
        </is>
      </c>
      <c r="B61" s="12" t="inlineStr">
        <is>
          <t>BANQUE EL BARAKA</t>
        </is>
      </c>
      <c r="C61" s="25" t="n">
        <v>44774.33</v>
      </c>
      <c r="D61" s="25" t="n">
        <v>44774.33</v>
      </c>
      <c r="E61" s="30">
        <f>D61-C61</f>
        <v/>
      </c>
    </row>
    <row r="62">
      <c r="A62" s="12" t="inlineStr">
        <is>
          <t>51210</t>
        </is>
      </c>
      <c r="B62" s="12" t="inlineStr">
        <is>
          <t>BANQUE C.P.A.</t>
        </is>
      </c>
      <c r="C62" s="25" t="n">
        <v>35356.01</v>
      </c>
      <c r="D62" s="25" t="n">
        <v>35356.01</v>
      </c>
      <c r="E62" s="30">
        <f>D62-C62</f>
        <v/>
      </c>
    </row>
    <row r="63">
      <c r="A63" s="12" t="inlineStr">
        <is>
          <t>51220</t>
        </is>
      </c>
      <c r="B63" s="12" t="inlineStr">
        <is>
          <t>CPA AGENCE EL KSEUR</t>
        </is>
      </c>
      <c r="C63" s="25" t="n">
        <v>1556080.07</v>
      </c>
      <c r="D63" s="25" t="n">
        <v>-12432811.92</v>
      </c>
      <c r="E63" s="30">
        <f>D63-C63</f>
        <v/>
      </c>
    </row>
    <row r="64">
      <c r="A64" s="12" t="inlineStr">
        <is>
          <t>51230</t>
        </is>
      </c>
      <c r="B64" s="12" t="inlineStr">
        <is>
          <t>BANQUE B.N.A.</t>
        </is>
      </c>
      <c r="C64" s="25" t="n">
        <v>14299.64</v>
      </c>
      <c r="D64" s="25" t="n">
        <v>14299.64</v>
      </c>
      <c r="E64" s="30">
        <f>D64-C64</f>
        <v/>
      </c>
    </row>
    <row r="65">
      <c r="A65" s="12" t="inlineStr">
        <is>
          <t>51240</t>
        </is>
      </c>
      <c r="B65" s="12" t="inlineStr">
        <is>
          <t>CPA 4000015290-18</t>
        </is>
      </c>
      <c r="C65" s="25" t="n">
        <v>14466.74</v>
      </c>
      <c r="D65" s="25" t="n">
        <v>43204.52</v>
      </c>
      <c r="E65" s="30">
        <f>D65-C65</f>
        <v/>
      </c>
    </row>
    <row r="66">
      <c r="A66" s="12" t="inlineStr">
        <is>
          <t>51900</t>
        </is>
      </c>
      <c r="B66" s="12" t="inlineStr">
        <is>
          <t>Concours bancaires courants</t>
        </is>
      </c>
      <c r="C66" s="25" t="n">
        <v>-18085375.06</v>
      </c>
      <c r="D66" s="25" t="n">
        <v>-7199607</v>
      </c>
      <c r="E66" s="30">
        <f>D66-C66</f>
        <v/>
      </c>
    </row>
    <row r="67">
      <c r="A67" s="12" t="inlineStr">
        <is>
          <t>53000</t>
        </is>
      </c>
      <c r="B67" s="12" t="inlineStr">
        <is>
          <t>CAISSE</t>
        </is>
      </c>
      <c r="C67" s="25" t="n">
        <v>1475743.68</v>
      </c>
      <c r="D67" s="25" t="n">
        <v>12101412.51</v>
      </c>
      <c r="E67" s="30">
        <f>D67-C67</f>
        <v/>
      </c>
    </row>
    <row r="68">
      <c r="A68" s="12" t="inlineStr">
        <is>
          <t>54200</t>
        </is>
      </c>
      <c r="B68" s="12" t="inlineStr">
        <is>
          <t>ACCREDITIFS</t>
        </is>
      </c>
      <c r="C68" s="25" t="n">
        <v>0</v>
      </c>
      <c r="D68" s="25" t="n">
        <v>7500000</v>
      </c>
      <c r="E68" s="30">
        <f>D68-C68</f>
        <v/>
      </c>
    </row>
    <row r="69">
      <c r="A69" s="12" t="inlineStr">
        <is>
          <t>60002</t>
        </is>
      </c>
      <c r="B69" s="12" t="inlineStr">
        <is>
          <t>CONSOMMATION IMPORTATION</t>
        </is>
      </c>
      <c r="C69" s="25" t="n">
        <v>241766555.74</v>
      </c>
      <c r="D69" s="25" t="n">
        <v>224264245.83</v>
      </c>
      <c r="E69" s="30">
        <f>D69-C69</f>
        <v/>
      </c>
    </row>
    <row r="70">
      <c r="A70" s="12" t="inlineStr">
        <is>
          <t>60203</t>
        </is>
      </c>
      <c r="B70" s="12" t="inlineStr">
        <is>
          <t>PETITS OUTILLAGES CONSOMMEES</t>
        </is>
      </c>
      <c r="C70" s="25" t="n">
        <v>0</v>
      </c>
      <c r="D70" s="25" t="n">
        <v>6722689.08</v>
      </c>
      <c r="E70" s="30">
        <f>D70-C70</f>
        <v/>
      </c>
    </row>
    <row r="71">
      <c r="A71" s="12" t="inlineStr">
        <is>
          <t>60711</t>
        </is>
      </c>
      <c r="B71" s="12" t="inlineStr">
        <is>
          <t>CARBURANTS LUBRIFIANTS</t>
        </is>
      </c>
      <c r="C71" s="25" t="n">
        <v>11490176.72</v>
      </c>
      <c r="D71" s="25" t="n">
        <v>5801707.07</v>
      </c>
      <c r="E71" s="30">
        <f>D71-C71</f>
        <v/>
      </c>
    </row>
    <row r="72">
      <c r="A72" s="12" t="inlineStr">
        <is>
          <t>60760</t>
        </is>
      </c>
      <c r="B72" s="12" t="inlineStr">
        <is>
          <t>TENUE DE TRAVAIL</t>
        </is>
      </c>
      <c r="C72" s="25" t="n">
        <v>0</v>
      </c>
      <c r="D72" s="25" t="n">
        <v>189720.17</v>
      </c>
      <c r="E72" s="30">
        <f>D72-C72</f>
        <v/>
      </c>
    </row>
    <row r="73">
      <c r="A73" s="12" t="inlineStr">
        <is>
          <t>61500</t>
        </is>
      </c>
      <c r="B73" s="12" t="inlineStr">
        <is>
          <t>Entretien, réparations et main</t>
        </is>
      </c>
      <c r="C73" s="25" t="n">
        <v>5219555.36</v>
      </c>
      <c r="D73" s="25" t="n">
        <v>3491254.27</v>
      </c>
      <c r="E73" s="30">
        <f>D73-C73</f>
        <v/>
      </c>
    </row>
    <row r="74">
      <c r="A74" s="12" t="inlineStr">
        <is>
          <t>61510</t>
        </is>
      </c>
      <c r="B74" s="12" t="inlineStr">
        <is>
          <t>ENT.ET REPARATION MAT.TRANSP</t>
        </is>
      </c>
      <c r="C74" s="25" t="n">
        <v>0</v>
      </c>
      <c r="D74" s="25" t="n">
        <v>2094922.6</v>
      </c>
      <c r="E74" s="30">
        <f>D74-C74</f>
        <v/>
      </c>
    </row>
    <row r="75">
      <c r="A75" s="12" t="inlineStr">
        <is>
          <t>61590</t>
        </is>
      </c>
      <c r="B75" s="12" t="inlineStr">
        <is>
          <t>ENTRETIEN CONSTRUCTIONS</t>
        </is>
      </c>
      <c r="C75" s="25" t="n">
        <v>0</v>
      </c>
      <c r="D75" s="25" t="n">
        <v>1496059.2</v>
      </c>
      <c r="E75" s="30">
        <f>D75-C75</f>
        <v/>
      </c>
    </row>
    <row r="76">
      <c r="A76" s="12" t="inlineStr">
        <is>
          <t>61600</t>
        </is>
      </c>
      <c r="B76" s="12" t="inlineStr">
        <is>
          <t>Primes d'assurances</t>
        </is>
      </c>
      <c r="C76" s="25" t="n">
        <v>684693.0600000001</v>
      </c>
      <c r="D76" s="25" t="n">
        <v>35001.16</v>
      </c>
      <c r="E76" s="30">
        <f>D76-C76</f>
        <v/>
      </c>
    </row>
    <row r="77">
      <c r="A77" s="12" t="inlineStr">
        <is>
          <t>61800</t>
        </is>
      </c>
      <c r="B77" s="12" t="inlineStr">
        <is>
          <t>Documentation et divers</t>
        </is>
      </c>
      <c r="C77" s="25" t="n">
        <v>3000</v>
      </c>
      <c r="D77" s="25" t="n">
        <v>10000</v>
      </c>
      <c r="E77" s="30">
        <f>D77-C77</f>
        <v/>
      </c>
    </row>
    <row r="78">
      <c r="A78" s="12" t="inlineStr">
        <is>
          <t>62200</t>
        </is>
      </c>
      <c r="B78" s="12" t="inlineStr">
        <is>
          <t>Rémunérations d'intermédiaires</t>
        </is>
      </c>
      <c r="C78" s="25" t="n">
        <v>400000</v>
      </c>
      <c r="D78" s="25" t="n">
        <v>950000</v>
      </c>
      <c r="E78" s="30">
        <f>D78-C78</f>
        <v/>
      </c>
    </row>
    <row r="79">
      <c r="A79" s="12" t="inlineStr">
        <is>
          <t>62300</t>
        </is>
      </c>
      <c r="B79" s="12" t="inlineStr">
        <is>
          <t>PUBLICITE</t>
        </is>
      </c>
      <c r="C79" s="25" t="n">
        <v>30110</v>
      </c>
      <c r="D79" s="25" t="n">
        <v>0</v>
      </c>
      <c r="E79" s="30">
        <f>D79-C79</f>
        <v/>
      </c>
    </row>
    <row r="80">
      <c r="A80" s="12" t="inlineStr">
        <is>
          <t>62500</t>
        </is>
      </c>
      <c r="B80" s="12" t="inlineStr">
        <is>
          <t>DEPLACEMENTS, MISSIONS ET RECE</t>
        </is>
      </c>
      <c r="C80" s="25" t="n">
        <v>0</v>
      </c>
      <c r="D80" s="25" t="n">
        <v>548858</v>
      </c>
      <c r="E80" s="30">
        <f>D80-C80</f>
        <v/>
      </c>
    </row>
    <row r="81">
      <c r="A81" s="12" t="inlineStr">
        <is>
          <t>62750</t>
        </is>
      </c>
      <c r="B81" s="12" t="inlineStr">
        <is>
          <t>COMMISSIONS DIVERSES</t>
        </is>
      </c>
      <c r="C81" s="25" t="n">
        <v>4282012.25</v>
      </c>
      <c r="D81" s="25" t="n">
        <v>2600090.68</v>
      </c>
      <c r="E81" s="30">
        <f>D81-C81</f>
        <v/>
      </c>
    </row>
    <row r="82">
      <c r="A82" s="12" t="inlineStr">
        <is>
          <t>62800</t>
        </is>
      </c>
      <c r="B82" s="12" t="inlineStr">
        <is>
          <t>COTISATIONS ET DIVERS</t>
        </is>
      </c>
      <c r="C82" s="25" t="n">
        <v>3000</v>
      </c>
      <c r="D82" s="25" t="n">
        <v>3000</v>
      </c>
      <c r="E82" s="30">
        <f>D82-C82</f>
        <v/>
      </c>
    </row>
    <row r="83">
      <c r="A83" s="12" t="inlineStr">
        <is>
          <t>63100</t>
        </is>
      </c>
      <c r="B83" s="12" t="inlineStr">
        <is>
          <t>TRAITEMENTS ET SALAIRES</t>
        </is>
      </c>
      <c r="C83" s="25" t="n">
        <v>6756552.71</v>
      </c>
      <c r="D83" s="25" t="n">
        <v>5186256.27</v>
      </c>
      <c r="E83" s="30">
        <f>D83-C83</f>
        <v/>
      </c>
    </row>
    <row r="84">
      <c r="A84" s="12" t="inlineStr">
        <is>
          <t>63110</t>
        </is>
      </c>
      <c r="B84" s="12" t="inlineStr">
        <is>
          <t>PRIME COTISABLE</t>
        </is>
      </c>
      <c r="C84" s="25" t="n">
        <v>3658478.79</v>
      </c>
      <c r="D84" s="25" t="n">
        <v>3767087.54</v>
      </c>
      <c r="E84" s="30">
        <f>D84-C84</f>
        <v/>
      </c>
    </row>
    <row r="85">
      <c r="A85" s="12" t="inlineStr">
        <is>
          <t>63120</t>
        </is>
      </c>
      <c r="B85" s="12" t="inlineStr">
        <is>
          <t>PRIME IMPOSABLE</t>
        </is>
      </c>
      <c r="C85" s="25" t="n">
        <v>1139274.76</v>
      </c>
      <c r="D85" s="25" t="n">
        <v>957406.3199999999</v>
      </c>
      <c r="E85" s="30">
        <f>D85-C85</f>
        <v/>
      </c>
    </row>
    <row r="86">
      <c r="A86" s="12" t="inlineStr">
        <is>
          <t>63130</t>
        </is>
      </c>
      <c r="B86" s="12" t="inlineStr">
        <is>
          <t>CONGE</t>
        </is>
      </c>
      <c r="C86" s="25" t="n">
        <v>575527</v>
      </c>
      <c r="D86" s="25" t="n">
        <v>814602.6800000001</v>
      </c>
      <c r="E86" s="30">
        <f>D86-C86</f>
        <v/>
      </c>
    </row>
    <row r="87">
      <c r="A87" s="12" t="inlineStr">
        <is>
          <t>63140</t>
        </is>
      </c>
      <c r="B87" s="12" t="inlineStr">
        <is>
          <t>PRIME N/COTIS ET N/IMPOSABLE</t>
        </is>
      </c>
      <c r="C87" s="25" t="n">
        <v>1681888</v>
      </c>
      <c r="D87" s="25" t="n">
        <v>1167170.91</v>
      </c>
      <c r="E87" s="30">
        <f>D87-C87</f>
        <v/>
      </c>
    </row>
    <row r="88">
      <c r="A88" s="12" t="inlineStr">
        <is>
          <t>63500</t>
        </is>
      </c>
      <c r="B88" s="12" t="inlineStr">
        <is>
          <t>COTISATIONS  S.S. 26 %</t>
        </is>
      </c>
      <c r="C88" s="25" t="n">
        <v>2827536.61</v>
      </c>
      <c r="D88" s="25" t="n">
        <v>2539666.2</v>
      </c>
      <c r="E88" s="30">
        <f>D88-C88</f>
        <v/>
      </c>
    </row>
    <row r="89">
      <c r="A89" s="12" t="inlineStr">
        <is>
          <t>64110</t>
        </is>
      </c>
      <c r="B89" s="12" t="inlineStr">
        <is>
          <t>TAXE D'APRENTISSAGE</t>
        </is>
      </c>
      <c r="C89" s="25" t="n">
        <v>130007</v>
      </c>
      <c r="D89" s="25" t="n">
        <v>121298</v>
      </c>
      <c r="E89" s="30">
        <f>D89-C89</f>
        <v/>
      </c>
    </row>
    <row r="90">
      <c r="A90" s="12" t="inlineStr">
        <is>
          <t>64500</t>
        </is>
      </c>
      <c r="B90" s="12" t="inlineStr">
        <is>
          <t>Autres impôts et taxes (hors i</t>
        </is>
      </c>
      <c r="C90" s="25" t="n">
        <v>0</v>
      </c>
      <c r="D90" s="25" t="n">
        <v>762430</v>
      </c>
      <c r="E90" s="30">
        <f>D90-C90</f>
        <v/>
      </c>
    </row>
    <row r="91">
      <c r="A91" s="12" t="inlineStr">
        <is>
          <t>64520</t>
        </is>
      </c>
      <c r="B91" s="12" t="inlineStr">
        <is>
          <t>DROITS DE TIMBRE</t>
        </is>
      </c>
      <c r="C91" s="25" t="n">
        <v>1581</v>
      </c>
      <c r="D91" s="25" t="n">
        <v>35408</v>
      </c>
      <c r="E91" s="30">
        <f>D91-C91</f>
        <v/>
      </c>
    </row>
    <row r="92">
      <c r="A92" s="12" t="inlineStr">
        <is>
          <t>64580</t>
        </is>
      </c>
      <c r="B92" s="12" t="inlineStr">
        <is>
          <t>AUTRES DROITS,IMP ET TAXES DIV</t>
        </is>
      </c>
      <c r="C92" s="25" t="n">
        <v>168067</v>
      </c>
      <c r="D92" s="25" t="n">
        <v>0</v>
      </c>
      <c r="E92" s="30">
        <f>D92-C92</f>
        <v/>
      </c>
    </row>
    <row r="93">
      <c r="A93" s="12" t="inlineStr">
        <is>
          <t>65600</t>
        </is>
      </c>
      <c r="B93" s="12" t="inlineStr">
        <is>
          <t>AMENDES ET PENALITES,SUBVENTIO</t>
        </is>
      </c>
      <c r="C93" s="25" t="n">
        <v>73764.14</v>
      </c>
      <c r="D93" s="25" t="n">
        <v>101746.09</v>
      </c>
      <c r="E93" s="30">
        <f>D93-C93</f>
        <v/>
      </c>
    </row>
    <row r="94">
      <c r="A94" s="12" t="inlineStr">
        <is>
          <t>65700</t>
        </is>
      </c>
      <c r="B94" s="12" t="inlineStr">
        <is>
          <t>Charges exceptionnelles de ges</t>
        </is>
      </c>
      <c r="C94" s="25" t="n">
        <v>192906.51</v>
      </c>
      <c r="D94" s="25" t="n">
        <v>0.24</v>
      </c>
      <c r="E94" s="30">
        <f>D94-C94</f>
        <v/>
      </c>
    </row>
    <row r="95">
      <c r="A95" s="12" t="inlineStr">
        <is>
          <t>66100</t>
        </is>
      </c>
      <c r="B95" s="12" t="inlineStr">
        <is>
          <t>CHARGES D'INTERETS</t>
        </is>
      </c>
      <c r="C95" s="25" t="n">
        <v>768876.2</v>
      </c>
      <c r="D95" s="25" t="n">
        <v>0</v>
      </c>
      <c r="E95" s="30">
        <f>D95-C95</f>
        <v/>
      </c>
    </row>
    <row r="96">
      <c r="A96" s="12" t="inlineStr">
        <is>
          <t>66600</t>
        </is>
      </c>
      <c r="B96" s="12" t="inlineStr">
        <is>
          <t>PERTES DE CHANGES</t>
        </is>
      </c>
      <c r="C96" s="25" t="n">
        <v>1629647.3</v>
      </c>
      <c r="D96" s="25" t="n">
        <v>1665438.98</v>
      </c>
      <c r="E96" s="30">
        <f>D96-C96</f>
        <v/>
      </c>
    </row>
    <row r="97">
      <c r="A97" s="12" t="inlineStr">
        <is>
          <t>68100</t>
        </is>
      </c>
      <c r="B97" s="12" t="inlineStr">
        <is>
          <t>DOTATIONS AUX AMORTISSEMENTS</t>
        </is>
      </c>
      <c r="C97" s="25" t="n">
        <v>4852169.54</v>
      </c>
      <c r="D97" s="25" t="n">
        <v>5201074.64</v>
      </c>
      <c r="E97" s="30">
        <f>D97-C97</f>
        <v/>
      </c>
    </row>
    <row r="98">
      <c r="A98" s="12" t="inlineStr">
        <is>
          <t>69500</t>
        </is>
      </c>
      <c r="B98" s="12" t="inlineStr">
        <is>
          <t>Impôts sur les bénéfices basés</t>
        </is>
      </c>
      <c r="C98" s="25" t="n">
        <v>9339504</v>
      </c>
      <c r="D98" s="25" t="n">
        <v>6717250.22</v>
      </c>
      <c r="E98" s="30">
        <f>D98-C98</f>
        <v/>
      </c>
    </row>
    <row r="99">
      <c r="A99" s="12" t="inlineStr">
        <is>
          <t>70001</t>
        </is>
      </c>
      <c r="B99" s="12" t="inlineStr">
        <is>
          <t>VENTES M/SES EN GROS TVA</t>
        </is>
      </c>
      <c r="C99" s="25" t="n">
        <v>-285284536</v>
      </c>
      <c r="D99" s="25" t="n">
        <v>-269117095.65</v>
      </c>
      <c r="E99" s="30">
        <f>D99-C99</f>
        <v/>
      </c>
    </row>
    <row r="100">
      <c r="A100" s="12" t="inlineStr">
        <is>
          <t>70602</t>
        </is>
      </c>
      <c r="B100" s="12" t="inlineStr">
        <is>
          <t>AUTRES PRESTATIONS SERVICE TPM</t>
        </is>
      </c>
      <c r="C100" s="25" t="n">
        <v>-34325000</v>
      </c>
      <c r="D100" s="25" t="n">
        <v>-25470000</v>
      </c>
      <c r="E100" s="30">
        <f>D100-C100</f>
        <v/>
      </c>
    </row>
    <row r="101">
      <c r="A101" s="12" t="inlineStr">
        <is>
          <t>75200</t>
        </is>
      </c>
      <c r="B101" s="12" t="inlineStr">
        <is>
          <t>Plus values sur sorties d'acti</t>
        </is>
      </c>
      <c r="C101" s="25" t="n">
        <v>-6000000</v>
      </c>
      <c r="D101" s="25" t="n">
        <v>0</v>
      </c>
      <c r="E101" s="30">
        <f>D101-C101</f>
        <v/>
      </c>
    </row>
    <row r="102">
      <c r="A102" s="12" t="inlineStr">
        <is>
          <t>75700</t>
        </is>
      </c>
      <c r="B102" s="12" t="inlineStr">
        <is>
          <t>PRODUITS EXCEPTIONNELS SUR OPE</t>
        </is>
      </c>
      <c r="C102" s="25" t="n">
        <v>-7.14</v>
      </c>
      <c r="D102" s="25" t="n">
        <v>-1.01</v>
      </c>
      <c r="E102" s="30">
        <f>D102-C102</f>
        <v/>
      </c>
    </row>
    <row r="103">
      <c r="A103" s="12" t="inlineStr">
        <is>
          <t>76600</t>
        </is>
      </c>
      <c r="B103" s="12" t="inlineStr">
        <is>
          <t>GAINS DE CHANGES</t>
        </is>
      </c>
      <c r="C103" s="25" t="n">
        <v>-1190285.72</v>
      </c>
      <c r="D103" s="25" t="n">
        <v>-1769857.13</v>
      </c>
      <c r="E103" s="30">
        <f>D103-C103</f>
        <v/>
      </c>
    </row>
    <row r="104">
      <c r="A104" s="12" t="inlineStr">
        <is>
          <t>76800</t>
        </is>
      </c>
      <c r="B104" s="12" t="inlineStr">
        <is>
          <t>Autres produits financiers</t>
        </is>
      </c>
      <c r="C104" s="25" t="n">
        <v>-28106.95</v>
      </c>
      <c r="D104" s="25" t="n">
        <v>0</v>
      </c>
      <c r="E104" s="30">
        <f>D104-C104</f>
        <v/>
      </c>
    </row>
    <row r="105">
      <c r="B105" s="4" t="inlineStr">
        <is>
          <t>TOTAL (doit être 0 : balance équilibrée)</t>
        </is>
      </c>
      <c r="C105" s="7">
        <f>ROUND(SUM(C5:C104),2)</f>
        <v/>
      </c>
      <c r="D105" s="7">
        <f>ROUND(SUM(D5:D104),2)</f>
        <v/>
      </c>
    </row>
  </sheetData>
  <autoFilter ref="A4:E104"/>
  <pageMargins left="0.75" right="0.75" top="1" bottom="1" header="0.5" footer="0.5"/>
  <pageSetup orientation="landscape" fitToHeight="0"/>
</worksheet>
</file>

<file path=xl/worksheets/sheet11.xml><?xml version="1.0" encoding="utf-8"?>
<worksheet xmlns="http://schemas.openxmlformats.org/spreadsheetml/2006/main">
  <sheetPr>
    <outlinePr summaryBelow="1" summaryRight="1"/>
    <pageSetUpPr fitToPage="1"/>
  </sheetPr>
  <dimension ref="A1:E48"/>
  <sheetViews>
    <sheetView showGridLines="0" workbookViewId="0">
      <selection activeCell="A1" sqref="A1"/>
    </sheetView>
  </sheetViews>
  <sheetFormatPr baseColWidth="8" defaultRowHeight="15"/>
  <cols>
    <col width="48" customWidth="1" min="1" max="1"/>
    <col width="14" customWidth="1" min="2" max="2"/>
    <col width="18" customWidth="1" min="3" max="3"/>
    <col width="18" customWidth="1" min="4" max="4"/>
    <col width="18" customWidth="1" min="5" max="5"/>
  </cols>
  <sheetData>
    <row r="1">
      <c r="A1" s="1" t="inlineStr">
        <is>
          <t>Compte de résultat et bilan simplifiés — 2024 / 2025</t>
        </is>
      </c>
    </row>
    <row r="2">
      <c r="A2" s="2" t="inlineStr">
        <is>
          <t>Calculés par préfixe de compte depuis « Balance 2024-2025 ».</t>
        </is>
      </c>
    </row>
    <row r="4">
      <c r="A4" s="11" t="inlineStr">
        <is>
          <t>Compte de résultat (DA)</t>
        </is>
      </c>
      <c r="B4" s="11" t="inlineStr">
        <is>
          <t>Préfixes</t>
        </is>
      </c>
      <c r="C4" s="11" t="inlineStr">
        <is>
          <t>2024</t>
        </is>
      </c>
      <c r="D4" s="11" t="inlineStr">
        <is>
          <t>2025</t>
        </is>
      </c>
      <c r="E4" s="11" t="inlineStr">
        <is>
          <t>Variation %</t>
        </is>
      </c>
    </row>
    <row r="5">
      <c r="A5" s="12" t="inlineStr">
        <is>
          <t>Chiffre d'affaires</t>
        </is>
      </c>
      <c r="B5" s="12" t="inlineStr">
        <is>
          <t>70</t>
        </is>
      </c>
      <c r="C5" s="30">
        <f>-(SUMPRODUCT((LEFT('Balance 2024-2025'!$A$5:$A$104,2)="70")*'Balance 2024-2025'!C$5:C$104))</f>
        <v/>
      </c>
      <c r="D5" s="30">
        <f>-(SUMPRODUCT((LEFT('Balance 2024-2025'!$A$5:$A$104,2)="70")*'Balance 2024-2025'!D$5:D$104))</f>
        <v/>
      </c>
      <c r="E5" s="19">
        <f>IF(C5=0,"",D5/C5-1)</f>
        <v/>
      </c>
    </row>
    <row r="6">
      <c r="A6" s="12" t="inlineStr">
        <is>
          <t>Autres produits opérationnels</t>
        </is>
      </c>
      <c r="B6" s="12" t="inlineStr">
        <is>
          <t>75</t>
        </is>
      </c>
      <c r="C6" s="30">
        <f>-(SUMPRODUCT((LEFT('Balance 2024-2025'!$A$5:$A$104,2)="75")*'Balance 2024-2025'!C$5:C$104))</f>
        <v/>
      </c>
      <c r="D6" s="30">
        <f>-(SUMPRODUCT((LEFT('Balance 2024-2025'!$A$5:$A$104,2)="75")*'Balance 2024-2025'!D$5:D$104))</f>
        <v/>
      </c>
      <c r="E6" s="19">
        <f>IF(C6=0,"",D6/C6-1)</f>
        <v/>
      </c>
    </row>
    <row r="7">
      <c r="A7" s="12" t="inlineStr">
        <is>
          <t>Produits financiers</t>
        </is>
      </c>
      <c r="B7" s="12" t="inlineStr">
        <is>
          <t>76</t>
        </is>
      </c>
      <c r="C7" s="30">
        <f>-(SUMPRODUCT((LEFT('Balance 2024-2025'!$A$5:$A$104,2)="76")*'Balance 2024-2025'!C$5:C$104))</f>
        <v/>
      </c>
      <c r="D7" s="30">
        <f>-(SUMPRODUCT((LEFT('Balance 2024-2025'!$A$5:$A$104,2)="76")*'Balance 2024-2025'!D$5:D$104))</f>
        <v/>
      </c>
      <c r="E7" s="19">
        <f>IF(C7=0,"",D7/C7-1)</f>
        <v/>
      </c>
    </row>
    <row r="8">
      <c r="A8" s="12" t="inlineStr">
        <is>
          <t>Achats consommés</t>
        </is>
      </c>
      <c r="B8" s="12" t="inlineStr">
        <is>
          <t>60</t>
        </is>
      </c>
      <c r="C8" s="30">
        <f>(SUMPRODUCT((LEFT('Balance 2024-2025'!$A$5:$A$104,2)="60")*'Balance 2024-2025'!C$5:C$104))</f>
        <v/>
      </c>
      <c r="D8" s="30">
        <f>(SUMPRODUCT((LEFT('Balance 2024-2025'!$A$5:$A$104,2)="60")*'Balance 2024-2025'!D$5:D$104))</f>
        <v/>
      </c>
      <c r="E8" s="19">
        <f>IF(C8=0,"",D8/C8-1)</f>
        <v/>
      </c>
    </row>
    <row r="9">
      <c r="A9" s="12" t="inlineStr">
        <is>
          <t>Services extérieurs et autres</t>
        </is>
      </c>
      <c r="B9" s="12" t="inlineStr">
        <is>
          <t>61, 62</t>
        </is>
      </c>
      <c r="C9" s="30">
        <f>(SUMPRODUCT((LEFT('Balance 2024-2025'!$A$5:$A$104,2)="61")*'Balance 2024-2025'!C$5:C$104)+SUMPRODUCT((LEFT('Balance 2024-2025'!$A$5:$A$104,2)="62")*'Balance 2024-2025'!C$5:C$104))</f>
        <v/>
      </c>
      <c r="D9" s="30">
        <f>(SUMPRODUCT((LEFT('Balance 2024-2025'!$A$5:$A$104,2)="61")*'Balance 2024-2025'!D$5:D$104)+SUMPRODUCT((LEFT('Balance 2024-2025'!$A$5:$A$104,2)="62")*'Balance 2024-2025'!D$5:D$104))</f>
        <v/>
      </c>
      <c r="E9" s="19">
        <f>IF(C9=0,"",D9/C9-1)</f>
        <v/>
      </c>
    </row>
    <row r="10">
      <c r="A10" s="12" t="inlineStr">
        <is>
          <t>Charges de personnel</t>
        </is>
      </c>
      <c r="B10" s="12" t="inlineStr">
        <is>
          <t>63</t>
        </is>
      </c>
      <c r="C10" s="30">
        <f>(SUMPRODUCT((LEFT('Balance 2024-2025'!$A$5:$A$104,2)="63")*'Balance 2024-2025'!C$5:C$104))</f>
        <v/>
      </c>
      <c r="D10" s="30">
        <f>(SUMPRODUCT((LEFT('Balance 2024-2025'!$A$5:$A$104,2)="63")*'Balance 2024-2025'!D$5:D$104))</f>
        <v/>
      </c>
      <c r="E10" s="19">
        <f>IF(C10=0,"",D10/C10-1)</f>
        <v/>
      </c>
    </row>
    <row r="11">
      <c r="A11" s="12" t="inlineStr">
        <is>
          <t>Impôts, taxes et versements assimilés</t>
        </is>
      </c>
      <c r="B11" s="12" t="inlineStr">
        <is>
          <t>64</t>
        </is>
      </c>
      <c r="C11" s="30">
        <f>(SUMPRODUCT((LEFT('Balance 2024-2025'!$A$5:$A$104,2)="64")*'Balance 2024-2025'!C$5:C$104))</f>
        <v/>
      </c>
      <c r="D11" s="30">
        <f>(SUMPRODUCT((LEFT('Balance 2024-2025'!$A$5:$A$104,2)="64")*'Balance 2024-2025'!D$5:D$104))</f>
        <v/>
      </c>
      <c r="E11" s="19">
        <f>IF(C11=0,"",D11/C11-1)</f>
        <v/>
      </c>
    </row>
    <row r="12">
      <c r="A12" s="12" t="inlineStr">
        <is>
          <t>Autres charges opérationnelles</t>
        </is>
      </c>
      <c r="B12" s="12" t="inlineStr">
        <is>
          <t>65</t>
        </is>
      </c>
      <c r="C12" s="30">
        <f>(SUMPRODUCT((LEFT('Balance 2024-2025'!$A$5:$A$104,2)="65")*'Balance 2024-2025'!C$5:C$104))</f>
        <v/>
      </c>
      <c r="D12" s="30">
        <f>(SUMPRODUCT((LEFT('Balance 2024-2025'!$A$5:$A$104,2)="65")*'Balance 2024-2025'!D$5:D$104))</f>
        <v/>
      </c>
      <c r="E12" s="19">
        <f>IF(C12=0,"",D12/C12-1)</f>
        <v/>
      </c>
    </row>
    <row r="13">
      <c r="A13" s="12" t="inlineStr">
        <is>
          <t>Charges financières</t>
        </is>
      </c>
      <c r="B13" s="12" t="inlineStr">
        <is>
          <t>66</t>
        </is>
      </c>
      <c r="C13" s="30">
        <f>(SUMPRODUCT((LEFT('Balance 2024-2025'!$A$5:$A$104,2)="66")*'Balance 2024-2025'!C$5:C$104))</f>
        <v/>
      </c>
      <c r="D13" s="30">
        <f>(SUMPRODUCT((LEFT('Balance 2024-2025'!$A$5:$A$104,2)="66")*'Balance 2024-2025'!D$5:D$104))</f>
        <v/>
      </c>
      <c r="E13" s="19">
        <f>IF(C13=0,"",D13/C13-1)</f>
        <v/>
      </c>
    </row>
    <row r="14">
      <c r="A14" s="12" t="inlineStr">
        <is>
          <t>Dotations aux amortissements</t>
        </is>
      </c>
      <c r="B14" s="12" t="inlineStr">
        <is>
          <t>68</t>
        </is>
      </c>
      <c r="C14" s="30">
        <f>(SUMPRODUCT((LEFT('Balance 2024-2025'!$A$5:$A$104,2)="68")*'Balance 2024-2025'!C$5:C$104))</f>
        <v/>
      </c>
      <c r="D14" s="30">
        <f>(SUMPRODUCT((LEFT('Balance 2024-2025'!$A$5:$A$104,2)="68")*'Balance 2024-2025'!D$5:D$104))</f>
        <v/>
      </c>
      <c r="E14" s="19">
        <f>IF(C14=0,"",D14/C14-1)</f>
        <v/>
      </c>
    </row>
    <row r="15">
      <c r="A15" s="12" t="inlineStr">
        <is>
          <t>Impôt sur les bénéfices (IBS)</t>
        </is>
      </c>
      <c r="B15" s="12" t="inlineStr">
        <is>
          <t>69</t>
        </is>
      </c>
      <c r="C15" s="30">
        <f>(SUMPRODUCT((LEFT('Balance 2024-2025'!$A$5:$A$104,2)="69")*'Balance 2024-2025'!C$5:C$104))</f>
        <v/>
      </c>
      <c r="D15" s="30">
        <f>(SUMPRODUCT((LEFT('Balance 2024-2025'!$A$5:$A$104,2)="69")*'Balance 2024-2025'!D$5:D$104))</f>
        <v/>
      </c>
      <c r="E15" s="19">
        <f>IF(C15=0,"",D15/C15-1)</f>
        <v/>
      </c>
    </row>
    <row r="16">
      <c r="A16" s="4" t="inlineStr">
        <is>
          <t>RÉSULTAT NET</t>
        </is>
      </c>
      <c r="C16" s="7">
        <f>SUM(C5:C7)-SUM(C8:C15)</f>
        <v/>
      </c>
      <c r="D16" s="7">
        <f>SUM(D5:D7)-SUM(D8:D15)</f>
        <v/>
      </c>
      <c r="E16" s="38">
        <f>IF(C16=0,"",D16/C16-1)</f>
        <v/>
      </c>
    </row>
    <row r="17">
      <c r="A17" s="21" t="inlineStr">
        <is>
          <t>Contrôle : −(classes 6 + 7) − résultat (doit être 0)</t>
        </is>
      </c>
      <c r="C17" s="30">
        <f>ROUND(-(SUMPRODUCT((LEFT('Balance 2024-2025'!$A$5:$A$104,1)="6")*'Balance 2024-2025'!C$5:C$104)+SUMPRODUCT((LEFT('Balance 2024-2025'!$A$5:$A$104,1)="7")*'Balance 2024-2025'!C$5:C$104))-C16,2)</f>
        <v/>
      </c>
      <c r="D17" s="30">
        <f>ROUND(-(SUMPRODUCT((LEFT('Balance 2024-2025'!$A$5:$A$104,1)="6")*'Balance 2024-2025'!D$5:D$104)+SUMPRODUCT((LEFT('Balance 2024-2025'!$A$5:$A$104,1)="7")*'Balance 2024-2025'!D$5:D$104))-D16,2)</f>
        <v/>
      </c>
    </row>
    <row r="19">
      <c r="A19" s="11" t="inlineStr">
        <is>
          <t>Indicateurs</t>
        </is>
      </c>
      <c r="B19" s="11" t="inlineStr"/>
      <c r="C19" s="11" t="inlineStr">
        <is>
          <t>2024</t>
        </is>
      </c>
      <c r="D19" s="11" t="inlineStr">
        <is>
          <t>2025</t>
        </is>
      </c>
      <c r="E19" s="11" t="inlineStr"/>
    </row>
    <row r="20">
      <c r="A20" s="12" t="inlineStr">
        <is>
          <t>Résultat avant impôt</t>
        </is>
      </c>
      <c r="C20" s="30">
        <f>C16+C15</f>
        <v/>
      </c>
      <c r="D20" s="30">
        <f>D16+D15</f>
        <v/>
      </c>
    </row>
    <row r="21">
      <c r="A21" s="12" t="inlineStr">
        <is>
          <t>Taux effectif IBS</t>
        </is>
      </c>
      <c r="C21" s="19">
        <f>IF(C20=0,"",C15/C20)</f>
        <v/>
      </c>
      <c r="D21" s="19">
        <f>IF(D20=0,"",D15/D20)</f>
        <v/>
      </c>
    </row>
    <row r="22">
      <c r="A22" s="12" t="inlineStr">
        <is>
          <t>Marge nette (résultat / CA)</t>
        </is>
      </c>
      <c r="C22" s="19">
        <f>C16/C5</f>
        <v/>
      </c>
      <c r="D22" s="19">
        <f>D16/D5</f>
        <v/>
      </c>
    </row>
    <row r="23">
      <c r="A23" s="12" t="inlineStr">
        <is>
          <t>Charges de personnel / CA</t>
        </is>
      </c>
      <c r="C23" s="19">
        <f>C10/C5</f>
        <v/>
      </c>
      <c r="D23" s="19">
        <f>D10/D5</f>
        <v/>
      </c>
    </row>
    <row r="24">
      <c r="A24" s="12" t="inlineStr">
        <is>
          <t>Primes « imposables non cotisables » (63120)</t>
        </is>
      </c>
      <c r="C24" s="30">
        <f>SUMPRODUCT((LEFT('Balance 2024-2025'!$A$5:$A$104,5)="63120")*'Balance 2024-2025'!C$5:C$104)</f>
        <v/>
      </c>
      <c r="D24" s="30">
        <f>SUMPRODUCT((LEFT('Balance 2024-2025'!$A$5:$A$104,5)="63120")*'Balance 2024-2025'!D$5:D$104)</f>
        <v/>
      </c>
    </row>
    <row r="25">
      <c r="A25" s="12" t="inlineStr">
        <is>
          <t>Cotisations CNAS potentielles sur 63120 (35 %)</t>
        </is>
      </c>
      <c r="C25" s="30">
        <f>ROUND(C24*(Paramètres!$B$5+Paramètres!$B$6),2)</f>
        <v/>
      </c>
      <c r="D25" s="30">
        <f>ROUND(D24*(Paramètres!$B$5+Paramètres!$B$6),2)</f>
        <v/>
      </c>
    </row>
    <row r="27">
      <c r="A27" s="11" t="inlineStr">
        <is>
          <t>Bilan — soldes par groupe (débit + / crédit −)</t>
        </is>
      </c>
      <c r="B27" s="11" t="inlineStr">
        <is>
          <t>Préfixes</t>
        </is>
      </c>
      <c r="C27" s="11" t="inlineStr">
        <is>
          <t>31/12/2024</t>
        </is>
      </c>
      <c r="D27" s="11" t="inlineStr">
        <is>
          <t>31/12/2025</t>
        </is>
      </c>
      <c r="E27" s="11" t="inlineStr">
        <is>
          <t>Variation</t>
        </is>
      </c>
    </row>
    <row r="28">
      <c r="A28" s="12" t="inlineStr">
        <is>
          <t>Capitaux propres (capital, réserves, RAN)</t>
        </is>
      </c>
      <c r="B28" s="12" t="inlineStr">
        <is>
          <t>10, 11</t>
        </is>
      </c>
      <c r="C28" s="30">
        <f>SUMPRODUCT((LEFT('Balance 2024-2025'!$A$5:$A$104,2)="10")*'Balance 2024-2025'!C$5:C$104)+SUMPRODUCT((LEFT('Balance 2024-2025'!$A$5:$A$104,2)="11")*'Balance 2024-2025'!C$5:C$104)</f>
        <v/>
      </c>
      <c r="D28" s="30">
        <f>SUMPRODUCT((LEFT('Balance 2024-2025'!$A$5:$A$104,2)="10")*'Balance 2024-2025'!D$5:D$104)+SUMPRODUCT((LEFT('Balance 2024-2025'!$A$5:$A$104,2)="11")*'Balance 2024-2025'!D$5:D$104)</f>
        <v/>
      </c>
      <c r="E28" s="30">
        <f>D28-C28</f>
        <v/>
      </c>
    </row>
    <row r="29">
      <c r="A29" s="12" t="inlineStr">
        <is>
          <t>Résultat en instance d'affectation</t>
        </is>
      </c>
      <c r="B29" s="12" t="inlineStr">
        <is>
          <t>12</t>
        </is>
      </c>
      <c r="C29" s="30">
        <f>SUMPRODUCT((LEFT('Balance 2024-2025'!$A$5:$A$104,2)="12")*'Balance 2024-2025'!C$5:C$104)</f>
        <v/>
      </c>
      <c r="D29" s="30">
        <f>SUMPRODUCT((LEFT('Balance 2024-2025'!$A$5:$A$104,2)="12")*'Balance 2024-2025'!D$5:D$104)</f>
        <v/>
      </c>
      <c r="E29" s="30">
        <f>D29-C29</f>
        <v/>
      </c>
    </row>
    <row r="30">
      <c r="A30" s="12" t="inlineStr">
        <is>
          <t>Immobilisations nettes</t>
        </is>
      </c>
      <c r="B30" s="12" t="inlineStr">
        <is>
          <t>2</t>
        </is>
      </c>
      <c r="C30" s="30">
        <f>SUMPRODUCT((LEFT('Balance 2024-2025'!$A$5:$A$104,1)="2")*'Balance 2024-2025'!C$5:C$104)</f>
        <v/>
      </c>
      <c r="D30" s="30">
        <f>SUMPRODUCT((LEFT('Balance 2024-2025'!$A$5:$A$104,1)="2")*'Balance 2024-2025'!D$5:D$104)</f>
        <v/>
      </c>
      <c r="E30" s="30">
        <f>D30-C30</f>
        <v/>
      </c>
    </row>
    <row r="31">
      <c r="A31" s="12" t="inlineStr">
        <is>
          <t>Stocks</t>
        </is>
      </c>
      <c r="B31" s="12" t="inlineStr">
        <is>
          <t>3</t>
        </is>
      </c>
      <c r="C31" s="30">
        <f>SUMPRODUCT((LEFT('Balance 2024-2025'!$A$5:$A$104,1)="3")*'Balance 2024-2025'!C$5:C$104)</f>
        <v/>
      </c>
      <c r="D31" s="30">
        <f>SUMPRODUCT((LEFT('Balance 2024-2025'!$A$5:$A$104,1)="3")*'Balance 2024-2025'!D$5:D$104)</f>
        <v/>
      </c>
      <c r="E31" s="30">
        <f>D31-C31</f>
        <v/>
      </c>
    </row>
    <row r="32">
      <c r="A32" s="12" t="inlineStr">
        <is>
          <t>Fournisseurs</t>
        </is>
      </c>
      <c r="B32" s="12" t="inlineStr">
        <is>
          <t>401, 404</t>
        </is>
      </c>
      <c r="C32" s="30">
        <f>SUMPRODUCT((LEFT('Balance 2024-2025'!$A$5:$A$104,3)="401")*'Balance 2024-2025'!C$5:C$104)+SUMPRODUCT((LEFT('Balance 2024-2025'!$A$5:$A$104,3)="404")*'Balance 2024-2025'!C$5:C$104)</f>
        <v/>
      </c>
      <c r="D32" s="30">
        <f>SUMPRODUCT((LEFT('Balance 2024-2025'!$A$5:$A$104,3)="401")*'Balance 2024-2025'!D$5:D$104)+SUMPRODUCT((LEFT('Balance 2024-2025'!$A$5:$A$104,3)="404")*'Balance 2024-2025'!D$5:D$104)</f>
        <v/>
      </c>
      <c r="E32" s="30">
        <f>D32-C32</f>
        <v/>
      </c>
    </row>
    <row r="33">
      <c r="A33" s="12" t="inlineStr">
        <is>
          <t>Fournisseurs débiteurs (avances)</t>
        </is>
      </c>
      <c r="B33" s="12" t="inlineStr">
        <is>
          <t>409</t>
        </is>
      </c>
      <c r="C33" s="30">
        <f>SUMPRODUCT((LEFT('Balance 2024-2025'!$A$5:$A$104,3)="409")*'Balance 2024-2025'!C$5:C$104)</f>
        <v/>
      </c>
      <c r="D33" s="30">
        <f>SUMPRODUCT((LEFT('Balance 2024-2025'!$A$5:$A$104,3)="409")*'Balance 2024-2025'!D$5:D$104)</f>
        <v/>
      </c>
      <c r="E33" s="30">
        <f>D33-C33</f>
        <v/>
      </c>
    </row>
    <row r="34">
      <c r="A34" s="12" t="inlineStr">
        <is>
          <t>Clients</t>
        </is>
      </c>
      <c r="B34" s="12" t="inlineStr">
        <is>
          <t>411</t>
        </is>
      </c>
      <c r="C34" s="30">
        <f>SUMPRODUCT((LEFT('Balance 2024-2025'!$A$5:$A$104,3)="411")*'Balance 2024-2025'!C$5:C$104)</f>
        <v/>
      </c>
      <c r="D34" s="30">
        <f>SUMPRODUCT((LEFT('Balance 2024-2025'!$A$5:$A$104,3)="411")*'Balance 2024-2025'!D$5:D$104)</f>
        <v/>
      </c>
      <c r="E34" s="30">
        <f>D34-C34</f>
        <v/>
      </c>
    </row>
    <row r="35">
      <c r="A35" s="12" t="inlineStr">
        <is>
          <t>Clients créditeurs / avances reçues</t>
        </is>
      </c>
      <c r="B35" s="12" t="inlineStr">
        <is>
          <t>419</t>
        </is>
      </c>
      <c r="C35" s="30">
        <f>SUMPRODUCT((LEFT('Balance 2024-2025'!$A$5:$A$104,3)="419")*'Balance 2024-2025'!C$5:C$104)</f>
        <v/>
      </c>
      <c r="D35" s="30">
        <f>SUMPRODUCT((LEFT('Balance 2024-2025'!$A$5:$A$104,3)="419")*'Balance 2024-2025'!D$5:D$104)</f>
        <v/>
      </c>
      <c r="E35" s="30">
        <f>D35-C35</f>
        <v/>
      </c>
    </row>
    <row r="36">
      <c r="A36" s="12" t="inlineStr">
        <is>
          <t>Personnel</t>
        </is>
      </c>
      <c r="B36" s="12" t="inlineStr">
        <is>
          <t>42</t>
        </is>
      </c>
      <c r="C36" s="30">
        <f>SUMPRODUCT((LEFT('Balance 2024-2025'!$A$5:$A$104,2)="42")*'Balance 2024-2025'!C$5:C$104)</f>
        <v/>
      </c>
      <c r="D36" s="30">
        <f>SUMPRODUCT((LEFT('Balance 2024-2025'!$A$5:$A$104,2)="42")*'Balance 2024-2025'!D$5:D$104)</f>
        <v/>
      </c>
      <c r="E36" s="30">
        <f>D36-C36</f>
        <v/>
      </c>
    </row>
    <row r="37">
      <c r="A37" s="12" t="inlineStr">
        <is>
          <t>Organismes sociaux</t>
        </is>
      </c>
      <c r="B37" s="12" t="inlineStr">
        <is>
          <t>43</t>
        </is>
      </c>
      <c r="C37" s="30">
        <f>SUMPRODUCT((LEFT('Balance 2024-2025'!$A$5:$A$104,2)="43")*'Balance 2024-2025'!C$5:C$104)</f>
        <v/>
      </c>
      <c r="D37" s="30">
        <f>SUMPRODUCT((LEFT('Balance 2024-2025'!$A$5:$A$104,2)="43")*'Balance 2024-2025'!D$5:D$104)</f>
        <v/>
      </c>
      <c r="E37" s="30">
        <f>D37-C37</f>
        <v/>
      </c>
    </row>
    <row r="38">
      <c r="A38" s="12" t="inlineStr">
        <is>
          <t>IBS (dette 444 + acomptes 4441)</t>
        </is>
      </c>
      <c r="B38" s="12" t="inlineStr">
        <is>
          <t>444</t>
        </is>
      </c>
      <c r="C38" s="30">
        <f>SUMPRODUCT((LEFT('Balance 2024-2025'!$A$5:$A$104,3)="444")*'Balance 2024-2025'!C$5:C$104)</f>
        <v/>
      </c>
      <c r="D38" s="30">
        <f>SUMPRODUCT((LEFT('Balance 2024-2025'!$A$5:$A$104,3)="444")*'Balance 2024-2025'!D$5:D$104)</f>
        <v/>
      </c>
      <c r="E38" s="30">
        <f>D38-C38</f>
        <v/>
      </c>
    </row>
    <row r="39">
      <c r="A39" s="12" t="inlineStr">
        <is>
          <t>IRG retenu, TVA et autres impôts</t>
        </is>
      </c>
      <c r="B39" s="12" t="inlineStr">
        <is>
          <t>442, 445, 447</t>
        </is>
      </c>
      <c r="C39" s="30">
        <f>SUMPRODUCT((LEFT('Balance 2024-2025'!$A$5:$A$104,3)="442")*'Balance 2024-2025'!C$5:C$104)+SUMPRODUCT((LEFT('Balance 2024-2025'!$A$5:$A$104,3)="445")*'Balance 2024-2025'!C$5:C$104)+SUMPRODUCT((LEFT('Balance 2024-2025'!$A$5:$A$104,3)="447")*'Balance 2024-2025'!C$5:C$104)</f>
        <v/>
      </c>
      <c r="D39" s="30">
        <f>SUMPRODUCT((LEFT('Balance 2024-2025'!$A$5:$A$104,3)="442")*'Balance 2024-2025'!D$5:D$104)+SUMPRODUCT((LEFT('Balance 2024-2025'!$A$5:$A$104,3)="445")*'Balance 2024-2025'!D$5:D$104)+SUMPRODUCT((LEFT('Balance 2024-2025'!$A$5:$A$104,3)="447")*'Balance 2024-2025'!D$5:D$104)</f>
        <v/>
      </c>
      <c r="E39" s="30">
        <f>D39-C39</f>
        <v/>
      </c>
    </row>
    <row r="40">
      <c r="A40" s="12" t="inlineStr">
        <is>
          <t>Associés — comptes courants</t>
        </is>
      </c>
      <c r="B40" s="12" t="inlineStr">
        <is>
          <t>455, 457</t>
        </is>
      </c>
      <c r="C40" s="30">
        <f>SUMPRODUCT((LEFT('Balance 2024-2025'!$A$5:$A$104,3)="455")*'Balance 2024-2025'!C$5:C$104)+SUMPRODUCT((LEFT('Balance 2024-2025'!$A$5:$A$104,3)="457")*'Balance 2024-2025'!C$5:C$104)</f>
        <v/>
      </c>
      <c r="D40" s="30">
        <f>SUMPRODUCT((LEFT('Balance 2024-2025'!$A$5:$A$104,3)="455")*'Balance 2024-2025'!D$5:D$104)+SUMPRODUCT((LEFT('Balance 2024-2025'!$A$5:$A$104,3)="457")*'Balance 2024-2025'!D$5:D$104)</f>
        <v/>
      </c>
      <c r="E40" s="30">
        <f>D40-C40</f>
        <v/>
      </c>
    </row>
    <row r="41">
      <c r="A41" s="12" t="inlineStr">
        <is>
          <t>Autres débiteurs, attente, régularisation</t>
        </is>
      </c>
      <c r="B41" s="12" t="inlineStr">
        <is>
          <t>458, 47, 48</t>
        </is>
      </c>
      <c r="C41" s="30">
        <f>SUMPRODUCT((LEFT('Balance 2024-2025'!$A$5:$A$104,3)="458")*'Balance 2024-2025'!C$5:C$104)+SUMPRODUCT((LEFT('Balance 2024-2025'!$A$5:$A$104,2)="47")*'Balance 2024-2025'!C$5:C$104)+SUMPRODUCT((LEFT('Balance 2024-2025'!$A$5:$A$104,2)="48")*'Balance 2024-2025'!C$5:C$104)</f>
        <v/>
      </c>
      <c r="D41" s="30">
        <f>SUMPRODUCT((LEFT('Balance 2024-2025'!$A$5:$A$104,3)="458")*'Balance 2024-2025'!D$5:D$104)+SUMPRODUCT((LEFT('Balance 2024-2025'!$A$5:$A$104,2)="47")*'Balance 2024-2025'!D$5:D$104)+SUMPRODUCT((LEFT('Balance 2024-2025'!$A$5:$A$104,2)="48")*'Balance 2024-2025'!D$5:D$104)</f>
        <v/>
      </c>
      <c r="E41" s="30">
        <f>D41-C41</f>
        <v/>
      </c>
    </row>
    <row r="42">
      <c r="A42" s="12" t="inlineStr">
        <is>
          <t>Banques</t>
        </is>
      </c>
      <c r="B42" s="12" t="inlineStr">
        <is>
          <t>512</t>
        </is>
      </c>
      <c r="C42" s="30">
        <f>SUMPRODUCT((LEFT('Balance 2024-2025'!$A$5:$A$104,3)="512")*'Balance 2024-2025'!C$5:C$104)</f>
        <v/>
      </c>
      <c r="D42" s="30">
        <f>SUMPRODUCT((LEFT('Balance 2024-2025'!$A$5:$A$104,3)="512")*'Balance 2024-2025'!D$5:D$104)</f>
        <v/>
      </c>
      <c r="E42" s="30">
        <f>D42-C42</f>
        <v/>
      </c>
    </row>
    <row r="43">
      <c r="A43" s="12" t="inlineStr">
        <is>
          <t>Concours bancaires courants</t>
        </is>
      </c>
      <c r="B43" s="12" t="inlineStr">
        <is>
          <t>519</t>
        </is>
      </c>
      <c r="C43" s="30">
        <f>SUMPRODUCT((LEFT('Balance 2024-2025'!$A$5:$A$104,3)="519")*'Balance 2024-2025'!C$5:C$104)</f>
        <v/>
      </c>
      <c r="D43" s="30">
        <f>SUMPRODUCT((LEFT('Balance 2024-2025'!$A$5:$A$104,3)="519")*'Balance 2024-2025'!D$5:D$104)</f>
        <v/>
      </c>
      <c r="E43" s="30">
        <f>D43-C43</f>
        <v/>
      </c>
    </row>
    <row r="44">
      <c r="A44" s="12" t="inlineStr">
        <is>
          <t>Caisse</t>
        </is>
      </c>
      <c r="B44" s="12" t="inlineStr">
        <is>
          <t>53</t>
        </is>
      </c>
      <c r="C44" s="30">
        <f>SUMPRODUCT((LEFT('Balance 2024-2025'!$A$5:$A$104,2)="53")*'Balance 2024-2025'!C$5:C$104)</f>
        <v/>
      </c>
      <c r="D44" s="30">
        <f>SUMPRODUCT((LEFT('Balance 2024-2025'!$A$5:$A$104,2)="53")*'Balance 2024-2025'!D$5:D$104)</f>
        <v/>
      </c>
      <c r="E44" s="30">
        <f>D44-C44</f>
        <v/>
      </c>
    </row>
    <row r="45">
      <c r="A45" s="12" t="inlineStr">
        <is>
          <t>Accréditifs</t>
        </is>
      </c>
      <c r="B45" s="12" t="inlineStr">
        <is>
          <t>54</t>
        </is>
      </c>
      <c r="C45" s="30">
        <f>SUMPRODUCT((LEFT('Balance 2024-2025'!$A$5:$A$104,2)="54")*'Balance 2024-2025'!C$5:C$104)</f>
        <v/>
      </c>
      <c r="D45" s="30">
        <f>SUMPRODUCT((LEFT('Balance 2024-2025'!$A$5:$A$104,2)="54")*'Balance 2024-2025'!D$5:D$104)</f>
        <v/>
      </c>
      <c r="E45" s="30">
        <f>D45-C45</f>
        <v/>
      </c>
    </row>
    <row r="46">
      <c r="A46" s="21" t="inlineStr">
        <is>
          <t>Contrôle : somme des groupes − résultat (doit être 0)</t>
        </is>
      </c>
      <c r="C46" s="30">
        <f>ROUND(SUM(C28:C45)-C16,2)</f>
        <v/>
      </c>
      <c r="D46" s="30">
        <f>ROUND(SUM(D28:D45)-D16,2)</f>
        <v/>
      </c>
    </row>
    <row r="48">
      <c r="A48" s="2" t="inlineStr">
        <is>
          <t>Le 2024 « Résultat en instance » est à 0 car la balance 2024 est avant affectation ; le résultat 2024 (29,15 M) a été affecté le 28/05/2025 (réserve légale 5 % + réserves facultatives).</t>
        </is>
      </c>
    </row>
  </sheetData>
  <pageMargins left="0.75" right="0.75" top="1" bottom="1" header="0.5" footer="0.5"/>
  <pageSetup orientation="landscape" fitToHeight="0"/>
</worksheet>
</file>

<file path=xl/worksheets/sheet12.xml><?xml version="1.0" encoding="utf-8"?>
<worksheet xmlns="http://schemas.openxmlformats.org/spreadsheetml/2006/main">
  <sheetPr>
    <outlinePr summaryBelow="1" summaryRight="1"/>
    <pageSetUpPr fitToPage="1"/>
  </sheetPr>
  <dimension ref="A1:K24"/>
  <sheetViews>
    <sheetView showGridLines="0" workbookViewId="0">
      <selection activeCell="A1" sqref="A1"/>
    </sheetView>
  </sheetViews>
  <sheetFormatPr baseColWidth="8" defaultRowHeight="15"/>
  <cols>
    <col width="5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48" customWidth="1" min="11" max="11"/>
  </cols>
  <sheetData>
    <row r="1">
      <c r="A1" s="1" t="inlineStr">
        <is>
          <t>Contrôle des G50 « TPM et location » consolidées 2026 (même NIF 000306018423274)</t>
        </is>
      </c>
    </row>
    <row r="2">
      <c r="A2" s="2" t="inlineStr">
        <is>
          <t>Sources : G50_01 à 08-2026_TPM_ET_LOCATION_CONSOLIDE.xls. Activité portée : transport et distribution de toutes marchandises.</t>
        </is>
      </c>
    </row>
    <row r="4">
      <c r="A4" s="11" t="inlineStr">
        <is>
          <t>Rubrique</t>
        </is>
      </c>
      <c r="B4" s="11" t="inlineStr">
        <is>
          <t>Janv 2026</t>
        </is>
      </c>
      <c r="C4" s="11" t="inlineStr">
        <is>
          <t>Févr 2026</t>
        </is>
      </c>
      <c r="D4" s="11" t="inlineStr">
        <is>
          <t>Mars 2026</t>
        </is>
      </c>
      <c r="E4" s="11" t="inlineStr">
        <is>
          <t>Avril 2026</t>
        </is>
      </c>
      <c r="F4" s="11" t="inlineStr">
        <is>
          <t>Mai 2026</t>
        </is>
      </c>
      <c r="G4" s="11" t="inlineStr">
        <is>
          <t>Juin 2026</t>
        </is>
      </c>
      <c r="H4" s="11" t="inlineStr">
        <is>
          <t>Juil 2026</t>
        </is>
      </c>
      <c r="I4" s="11" t="inlineStr">
        <is>
          <t>Août 2026</t>
        </is>
      </c>
      <c r="J4" s="11" t="inlineStr">
        <is>
          <t>Cumul</t>
        </is>
      </c>
      <c r="K4" s="11" t="inlineStr">
        <is>
          <t>Commentaire</t>
        </is>
      </c>
    </row>
    <row r="5">
      <c r="A5" s="12" t="inlineStr">
        <is>
          <t>Mois imprimé sur la G50</t>
        </is>
      </c>
      <c r="B5" s="22" t="inlineStr">
        <is>
          <t>JANVIER</t>
        </is>
      </c>
      <c r="C5" s="22" t="inlineStr">
        <is>
          <t>FEVRIER</t>
        </is>
      </c>
      <c r="D5" s="22" t="inlineStr">
        <is>
          <t>MARS</t>
        </is>
      </c>
      <c r="E5" s="22" t="inlineStr">
        <is>
          <t>AVRIL</t>
        </is>
      </c>
      <c r="F5" s="22" t="inlineStr">
        <is>
          <t>AVRIL</t>
        </is>
      </c>
      <c r="G5" s="22" t="inlineStr">
        <is>
          <t>AVRIL</t>
        </is>
      </c>
      <c r="H5" s="22" t="inlineStr">
        <is>
          <t>AVRIL</t>
        </is>
      </c>
      <c r="I5" s="22" t="inlineStr">
        <is>
          <t>AOUT</t>
        </is>
      </c>
      <c r="J5" s="27" t="n"/>
      <c r="K5" s="35" t="inlineStr">
        <is>
          <t>Avril à juillet : même G50 recopiée (mois « AVRIL »)</t>
        </is>
      </c>
    </row>
    <row r="6">
      <c r="A6" s="12" t="inlineStr">
        <is>
          <t>CA imposable déclaré</t>
        </is>
      </c>
      <c r="B6" s="25" t="n">
        <v>0</v>
      </c>
      <c r="C6" s="25" t="n">
        <v>0</v>
      </c>
      <c r="D6" s="25" t="n">
        <v>0</v>
      </c>
      <c r="E6" s="25" t="n">
        <v>0</v>
      </c>
      <c r="F6" s="25" t="n">
        <v>0</v>
      </c>
      <c r="G6" s="25" t="n">
        <v>0</v>
      </c>
      <c r="H6" s="25" t="n">
        <v>0</v>
      </c>
      <c r="I6" s="25" t="n">
        <v>0</v>
      </c>
      <c r="J6" s="7">
        <f>SUM(B6:I6)</f>
        <v/>
      </c>
      <c r="K6" s="35" t="inlineStr">
        <is>
          <t>Aucun CA TPM / location déclaré</t>
        </is>
      </c>
    </row>
    <row r="7">
      <c r="A7" s="12" t="inlineStr">
        <is>
          <t>TVA collectée déclarée</t>
        </is>
      </c>
      <c r="B7" s="25" t="n">
        <v>0</v>
      </c>
      <c r="C7" s="25" t="n">
        <v>0</v>
      </c>
      <c r="D7" s="25" t="n">
        <v>0</v>
      </c>
      <c r="E7" s="25" t="n">
        <v>0</v>
      </c>
      <c r="F7" s="25" t="n">
        <v>0</v>
      </c>
      <c r="G7" s="25" t="n">
        <v>0</v>
      </c>
      <c r="H7" s="25" t="n">
        <v>0</v>
      </c>
      <c r="I7" s="25" t="n">
        <v>0</v>
      </c>
      <c r="J7" s="7">
        <f>SUM(B7:I7)</f>
        <v/>
      </c>
      <c r="K7" s="35" t="inlineStr"/>
    </row>
    <row r="8">
      <c r="A8" s="12" t="inlineStr">
        <is>
          <t>Précompte antérieur (E3B91)</t>
        </is>
      </c>
      <c r="B8" s="25" t="n">
        <v>1714499</v>
      </c>
      <c r="C8" s="25" t="n">
        <v>1714499</v>
      </c>
      <c r="D8" s="25" t="n">
        <v>1714499</v>
      </c>
      <c r="E8" s="25" t="n">
        <v>1714499</v>
      </c>
      <c r="F8" s="25" t="n">
        <v>1714499</v>
      </c>
      <c r="G8" s="25" t="n">
        <v>1714499</v>
      </c>
      <c r="H8" s="25" t="n">
        <v>1714499</v>
      </c>
      <c r="I8" s="25" t="n">
        <v>1714499</v>
      </c>
      <c r="J8" s="27" t="n"/>
      <c r="K8" s="35" t="inlineStr"/>
    </row>
    <row r="9">
      <c r="A9" s="12" t="inlineStr">
        <is>
          <t>Précompte à reporter (E3B99)</t>
        </is>
      </c>
      <c r="B9" s="25" t="n">
        <v>1714499</v>
      </c>
      <c r="C9" s="25" t="n">
        <v>1714499</v>
      </c>
      <c r="D9" s="25" t="n">
        <v>1714499</v>
      </c>
      <c r="E9" s="25" t="n">
        <v>1714499</v>
      </c>
      <c r="F9" s="25" t="n">
        <v>1714499</v>
      </c>
      <c r="G9" s="25" t="n">
        <v>1714499</v>
      </c>
      <c r="H9" s="25" t="n">
        <v>1714499</v>
      </c>
      <c r="I9" s="25" t="n">
        <v>1714499</v>
      </c>
      <c r="J9" s="27" t="n"/>
      <c r="K9" s="35" t="inlineStr"/>
    </row>
    <row r="10">
      <c r="A10" s="12" t="inlineStr">
        <is>
          <t>Précompte au compte 44550 au 31/12/2025 (comptabilité)</t>
        </is>
      </c>
      <c r="B10" s="6">
        <f>'Balance 2024-2025'!D49</f>
        <v/>
      </c>
      <c r="C10" s="6">
        <f>'Balance 2024-2025'!D49</f>
        <v/>
      </c>
      <c r="D10" s="6">
        <f>'Balance 2024-2025'!D49</f>
        <v/>
      </c>
      <c r="E10" s="6">
        <f>'Balance 2024-2025'!D49</f>
        <v/>
      </c>
      <c r="F10" s="6">
        <f>'Balance 2024-2025'!D49</f>
        <v/>
      </c>
      <c r="G10" s="6">
        <f>'Balance 2024-2025'!D49</f>
        <v/>
      </c>
      <c r="H10" s="6">
        <f>'Balance 2024-2025'!D49</f>
        <v/>
      </c>
      <c r="I10" s="6">
        <f>'Balance 2024-2025'!D49</f>
        <v/>
      </c>
      <c r="J10" s="27" t="n"/>
      <c r="K10" s="35" t="inlineStr">
        <is>
          <t>Identique : crédit reporté depuis 2025</t>
        </is>
      </c>
    </row>
    <row r="11">
      <c r="A11" s="12" t="inlineStr">
        <is>
          <t>IRG salaires — base déclarée</t>
        </is>
      </c>
      <c r="B11" s="25" t="n">
        <v>47391</v>
      </c>
      <c r="C11" s="25" t="n">
        <v>62527</v>
      </c>
      <c r="D11" s="25" t="n">
        <v>85300</v>
      </c>
      <c r="E11" s="25" t="n">
        <v>91763</v>
      </c>
      <c r="F11" s="25" t="n">
        <v>91763</v>
      </c>
      <c r="G11" s="25" t="n">
        <v>91763</v>
      </c>
      <c r="H11" s="25" t="n">
        <v>91763</v>
      </c>
      <c r="I11" s="25" t="n">
        <v>42190</v>
      </c>
      <c r="J11" s="7">
        <f>SUM(B11:I11)</f>
        <v/>
      </c>
      <c r="K11" s="35" t="inlineStr"/>
    </row>
    <row r="12">
      <c r="A12" s="12" t="inlineStr">
        <is>
          <t>IRG salaires — base paie TPM (R650) du mois</t>
        </is>
      </c>
      <c r="B12" s="6">
        <f>'Paie TPM'!C24</f>
        <v/>
      </c>
      <c r="C12" s="6">
        <f>'Paie TPM'!D24</f>
        <v/>
      </c>
      <c r="D12" s="6">
        <f>'Paie TPM'!E24</f>
        <v/>
      </c>
      <c r="E12" s="6">
        <f>'Paie TPM'!F24</f>
        <v/>
      </c>
      <c r="F12" s="6">
        <f>'Paie TPM'!G24</f>
        <v/>
      </c>
      <c r="G12" s="6">
        <f>'Paie TPM'!H24</f>
        <v/>
      </c>
      <c r="H12" s="6">
        <f>'Paie TPM'!I24</f>
        <v/>
      </c>
      <c r="I12" s="6">
        <f>'Paie TPM'!J24</f>
        <v/>
      </c>
      <c r="J12" s="7">
        <f>SUM(B12:I12)</f>
        <v/>
      </c>
      <c r="K12" s="35" t="inlineStr">
        <is>
          <t>Lien paie</t>
        </is>
      </c>
    </row>
    <row r="13">
      <c r="A13" s="12" t="inlineStr">
        <is>
          <t>IRG salaires — montant déclaré</t>
        </is>
      </c>
      <c r="B13" s="25" t="n">
        <v>3330</v>
      </c>
      <c r="C13" s="25" t="n">
        <v>3330</v>
      </c>
      <c r="D13" s="25" t="n">
        <v>7757</v>
      </c>
      <c r="E13" s="25" t="n">
        <v>9375</v>
      </c>
      <c r="F13" s="25" t="n">
        <v>9375</v>
      </c>
      <c r="G13" s="25" t="n">
        <v>9375</v>
      </c>
      <c r="H13" s="25" t="n">
        <v>9375</v>
      </c>
      <c r="I13" s="25" t="n">
        <v>3690</v>
      </c>
      <c r="J13" s="7">
        <f>SUM(B13:I13)</f>
        <v/>
      </c>
      <c r="K13" s="35" t="inlineStr"/>
    </row>
    <row r="14">
      <c r="A14" s="12" t="inlineStr">
        <is>
          <t>IRG salaires — retenu en paie TPM (R660) du mois</t>
        </is>
      </c>
      <c r="B14" s="6">
        <f>'Paie TPM'!C25</f>
        <v/>
      </c>
      <c r="C14" s="6">
        <f>'Paie TPM'!D25</f>
        <v/>
      </c>
      <c r="D14" s="6">
        <f>'Paie TPM'!E25</f>
        <v/>
      </c>
      <c r="E14" s="6">
        <f>'Paie TPM'!F25</f>
        <v/>
      </c>
      <c r="F14" s="6">
        <f>'Paie TPM'!G25</f>
        <v/>
      </c>
      <c r="G14" s="6">
        <f>'Paie TPM'!H25</f>
        <v/>
      </c>
      <c r="H14" s="6">
        <f>'Paie TPM'!I25</f>
        <v/>
      </c>
      <c r="I14" s="6">
        <f>'Paie TPM'!J25</f>
        <v/>
      </c>
      <c r="J14" s="7">
        <f>SUM(B14:I14)</f>
        <v/>
      </c>
      <c r="K14" s="35" t="inlineStr">
        <is>
          <t>Lien paie</t>
        </is>
      </c>
    </row>
    <row r="15">
      <c r="A15" s="4" t="inlineStr">
        <is>
          <t>Écart IRG déclaré − paie</t>
        </is>
      </c>
      <c r="B15" s="30">
        <f>B13-B14</f>
        <v/>
      </c>
      <c r="C15" s="30">
        <f>C13-C14</f>
        <v/>
      </c>
      <c r="D15" s="30">
        <f>D13-D14</f>
        <v/>
      </c>
      <c r="E15" s="30">
        <f>E13-E14</f>
        <v/>
      </c>
      <c r="F15" s="30">
        <f>F13-F14</f>
        <v/>
      </c>
      <c r="G15" s="30">
        <f>G13-G14</f>
        <v/>
      </c>
      <c r="H15" s="30">
        <f>H13-H14</f>
        <v/>
      </c>
      <c r="I15" s="30">
        <f>I13-I14</f>
        <v/>
      </c>
      <c r="J15" s="7">
        <f>SUM(B15:I15)</f>
        <v/>
      </c>
      <c r="K15" s="35" t="inlineStr">
        <is>
          <t>Négatif = IRG retenu non reversé</t>
        </is>
      </c>
    </row>
    <row r="16">
      <c r="A16" s="12" t="inlineStr">
        <is>
          <t>Taxe d'apprentissage — base</t>
        </is>
      </c>
      <c r="B16" s="25" t="n">
        <v>0</v>
      </c>
      <c r="C16" s="25" t="n">
        <v>985118</v>
      </c>
      <c r="D16" s="25" t="n">
        <v>0</v>
      </c>
      <c r="E16" s="25" t="n">
        <v>0</v>
      </c>
      <c r="F16" s="25" t="n">
        <v>0</v>
      </c>
      <c r="G16" s="25" t="n">
        <v>0</v>
      </c>
      <c r="H16" s="25" t="n">
        <v>0</v>
      </c>
      <c r="I16" s="25" t="n">
        <v>680900</v>
      </c>
      <c r="J16" s="7">
        <f>SUM(B16:I16)</f>
        <v/>
      </c>
      <c r="K16" s="35" t="inlineStr">
        <is>
          <t>Payée en février et en août : bases à justifier</t>
        </is>
      </c>
    </row>
    <row r="17">
      <c r="A17" s="12" t="inlineStr">
        <is>
          <t>Taxe d'apprentissage — montant</t>
        </is>
      </c>
      <c r="B17" s="25" t="n">
        <v>0</v>
      </c>
      <c r="C17" s="25" t="n">
        <v>9851</v>
      </c>
      <c r="D17" s="25" t="n">
        <v>0</v>
      </c>
      <c r="E17" s="25" t="n">
        <v>0</v>
      </c>
      <c r="F17" s="25" t="n">
        <v>0</v>
      </c>
      <c r="G17" s="25" t="n">
        <v>0</v>
      </c>
      <c r="H17" s="25" t="n">
        <v>0</v>
      </c>
      <c r="I17" s="25" t="n">
        <v>6809</v>
      </c>
      <c r="J17" s="7">
        <f>SUM(B17:I17)</f>
        <v/>
      </c>
      <c r="K17" s="35" t="inlineStr"/>
    </row>
    <row r="18">
      <c r="A18" s="4" t="inlineStr">
        <is>
          <t>Total à payer déclaré</t>
        </is>
      </c>
      <c r="B18" s="25" t="n">
        <v>3330</v>
      </c>
      <c r="C18" s="25" t="n">
        <v>13181</v>
      </c>
      <c r="D18" s="25" t="n">
        <v>7757</v>
      </c>
      <c r="E18" s="25" t="n">
        <v>9375</v>
      </c>
      <c r="F18" s="25" t="n">
        <v>9375</v>
      </c>
      <c r="G18" s="25" t="n">
        <v>9375</v>
      </c>
      <c r="H18" s="25" t="n">
        <v>9375</v>
      </c>
      <c r="I18" s="25" t="n">
        <v>10499</v>
      </c>
      <c r="J18" s="7">
        <f>SUM(B18:I18)</f>
        <v/>
      </c>
      <c r="K18" s="35" t="inlineStr"/>
    </row>
    <row r="19">
      <c r="A19" s="4" t="inlineStr">
        <is>
          <t>Total recalculé (TVA + IRG + TA)</t>
        </is>
      </c>
      <c r="B19" s="30">
        <f>MAX(0,B7-B8)+B13+B17</f>
        <v/>
      </c>
      <c r="C19" s="30">
        <f>MAX(0,C7-C8)+C13+C17</f>
        <v/>
      </c>
      <c r="D19" s="30">
        <f>MAX(0,D7-D8)+D13+D17</f>
        <v/>
      </c>
      <c r="E19" s="30">
        <f>MAX(0,E7-E8)+E13+E17</f>
        <v/>
      </c>
      <c r="F19" s="30">
        <f>MAX(0,F7-F8)+F13+F17</f>
        <v/>
      </c>
      <c r="G19" s="30">
        <f>MAX(0,G7-G8)+G13+G17</f>
        <v/>
      </c>
      <c r="H19" s="30">
        <f>MAX(0,H7-H8)+H13+H17</f>
        <v/>
      </c>
      <c r="I19" s="30">
        <f>MAX(0,I7-I8)+I13+I17</f>
        <v/>
      </c>
      <c r="J19" s="7">
        <f>SUM(B19:I19)</f>
        <v/>
      </c>
      <c r="K19" s="35" t="inlineStr">
        <is>
          <t>Calcul</t>
        </is>
      </c>
    </row>
    <row r="20">
      <c r="A20" s="4" t="inlineStr">
        <is>
          <t>Écart total</t>
        </is>
      </c>
      <c r="B20" s="30">
        <f>B18-B19</f>
        <v/>
      </c>
      <c r="C20" s="30">
        <f>C18-C19</f>
        <v/>
      </c>
      <c r="D20" s="30">
        <f>D18-D19</f>
        <v/>
      </c>
      <c r="E20" s="30">
        <f>E18-E19</f>
        <v/>
      </c>
      <c r="F20" s="30">
        <f>F18-F19</f>
        <v/>
      </c>
      <c r="G20" s="30">
        <f>G18-G19</f>
        <v/>
      </c>
      <c r="H20" s="30">
        <f>H18-H19</f>
        <v/>
      </c>
      <c r="I20" s="30">
        <f>I18-I19</f>
        <v/>
      </c>
      <c r="J20" s="7">
        <f>SUM(B20:I20)</f>
        <v/>
      </c>
      <c r="K20" s="35" t="inlineStr">
        <is>
          <t>Doit être 0</t>
        </is>
      </c>
    </row>
    <row r="23">
      <c r="A23" s="2" t="inlineStr">
        <is>
          <t>Modèle G50 TPM : la feuille « Recap-TVA » porte encore la G50 de décembre 2025 (factures BOBOR PNEUS) et « Feuil1 » un extrait de journal 2019 ; à nettoyer avant dépôt.</t>
        </is>
      </c>
    </row>
    <row r="24">
      <c r="A24" s="2" t="inlineStr">
        <is>
          <t>Janvier à mars : G50 conformes à la paie TPM (écarts d'arrondi &lt; 1 DA).</t>
        </is>
      </c>
    </row>
  </sheetData>
  <pageMargins left="0.75" right="0.75" top="1" bottom="1" header="0.5" footer="0.5"/>
  <pageSetup orientation="landscape" fitToHeight="0"/>
</worksheet>
</file>

<file path=xl/worksheets/sheet1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44" customWidth="1" min="1" max="1"/>
    <col width="40" customWidth="1" min="2" max="2"/>
    <col width="20" customWidth="1" min="3" max="3"/>
    <col width="20" customWidth="1" min="4" max="4"/>
    <col width="20" customWidth="1" min="5" max="5"/>
    <col width="20" customWidth="1" min="6" max="6"/>
  </cols>
  <sheetData>
    <row r="1">
      <c r="A1" s="1" t="inlineStr">
        <is>
          <t>Journal 2023 et historique de la TVA collectée TPM</t>
        </is>
      </c>
    </row>
    <row r="2">
      <c r="A2" s="2" t="inlineStr">
        <is>
          <t>Source : DLG_COMPTAZ_SARL_DPR_COMPAGNY_2023.xls (3 365 lignes, équilibré) comparé aux à-nouveaux du journal 2024.</t>
        </is>
      </c>
    </row>
    <row r="4">
      <c r="A4" s="4" t="inlineStr">
        <is>
          <t>Résultat 2023 selon le journal 2023 fourni</t>
        </is>
      </c>
      <c r="B4" s="25" t="n">
        <v>18539102.4</v>
      </c>
      <c r="C4" s="21" t="inlineStr">
        <is>
          <t>Journal 2023 sans écriture d'IBS (69) ni d'inventaire complète ; décembre 2023 : 31 lignes seulement</t>
        </is>
      </c>
    </row>
    <row r="5">
      <c r="A5" s="4" t="inlineStr">
        <is>
          <t>Résultat 2023 repris en à-nouveau 2024 (compte 12000)</t>
        </is>
      </c>
      <c r="B5" s="25" t="n">
        <v>7260903.16</v>
      </c>
    </row>
    <row r="6">
      <c r="A6" s="4" t="inlineStr">
        <is>
          <t>Écart</t>
        </is>
      </c>
      <c r="B6" s="39">
        <f>B4-B5</f>
        <v/>
      </c>
      <c r="C6" s="21" t="inlineStr">
        <is>
          <t>Le fichier 2023 fourni est une version provisoire, antérieure aux écritures de clôture</t>
        </is>
      </c>
    </row>
    <row r="8">
      <c r="A8" s="11" t="inlineStr">
        <is>
          <t>Compte</t>
        </is>
      </c>
      <c r="B8" s="11" t="inlineStr">
        <is>
          <t>Libellé</t>
        </is>
      </c>
      <c r="C8" s="11" t="inlineStr">
        <is>
          <t>Solde clôture 2023 (fichier)</t>
        </is>
      </c>
      <c r="D8" s="11" t="inlineStr">
        <is>
          <t>À-nouveau 2024</t>
        </is>
      </c>
      <c r="E8" s="11" t="inlineStr">
        <is>
          <t>Écart</t>
        </is>
      </c>
    </row>
    <row r="9">
      <c r="A9" s="12" t="inlineStr">
        <is>
          <t>12000</t>
        </is>
      </c>
      <c r="B9" s="12" t="inlineStr">
        <is>
          <t>RESULTAT DE L'EXERCICE</t>
        </is>
      </c>
      <c r="C9" s="25" t="n">
        <v>0</v>
      </c>
      <c r="D9" s="25" t="n">
        <v>-7260903.16</v>
      </c>
      <c r="E9" s="30">
        <f>D9-C9</f>
        <v/>
      </c>
    </row>
    <row r="10">
      <c r="A10" s="12" t="inlineStr">
        <is>
          <t>21805</t>
        </is>
      </c>
      <c r="B10" s="12" t="inlineStr">
        <is>
          <t>INSTAL GEN,AGENC,AMENAG DIVERS</t>
        </is>
      </c>
      <c r="C10" s="25" t="n">
        <v>8403329.18</v>
      </c>
      <c r="D10" s="25" t="n">
        <v>9463661.109999999</v>
      </c>
      <c r="E10" s="30">
        <f>D10-C10</f>
        <v/>
      </c>
    </row>
    <row r="11">
      <c r="A11" s="12" t="inlineStr">
        <is>
          <t>28150</t>
        </is>
      </c>
      <c r="B11" s="12" t="inlineStr">
        <is>
          <t>AMORT MAT ET OUTILLAGES</t>
        </is>
      </c>
      <c r="C11" s="25" t="n">
        <v>-1249096.22</v>
      </c>
      <c r="D11" s="25" t="n">
        <v>-1416000.43</v>
      </c>
      <c r="E11" s="30">
        <f>D11-C11</f>
        <v/>
      </c>
    </row>
    <row r="12">
      <c r="A12" s="12" t="inlineStr">
        <is>
          <t>28185</t>
        </is>
      </c>
      <c r="B12" s="12" t="inlineStr">
        <is>
          <t>AMORT INST GEN AGENC ET AMENAG</t>
        </is>
      </c>
      <c r="C12" s="25" t="n">
        <v>-3541844.12</v>
      </c>
      <c r="D12" s="25" t="n">
        <v>-3612465.95</v>
      </c>
      <c r="E12" s="30">
        <f>D12-C12</f>
        <v/>
      </c>
    </row>
    <row r="13">
      <c r="A13" s="12" t="inlineStr">
        <is>
          <t>30002</t>
        </is>
      </c>
      <c r="B13" s="12" t="inlineStr">
        <is>
          <t>ST IMPORTATION</t>
        </is>
      </c>
      <c r="C13" s="25" t="n">
        <v>202015456.47</v>
      </c>
      <c r="D13" s="25" t="n">
        <v>253727049.44</v>
      </c>
      <c r="E13" s="30">
        <f>D13-C13</f>
        <v/>
      </c>
    </row>
    <row r="14">
      <c r="A14" s="12" t="inlineStr">
        <is>
          <t>32201</t>
        </is>
      </c>
      <c r="B14" s="12" t="inlineStr">
        <is>
          <t>ST PIECES DE RECHANGE</t>
        </is>
      </c>
      <c r="C14" s="25" t="n">
        <v>3509934.64</v>
      </c>
      <c r="D14" s="25" t="n">
        <v>0</v>
      </c>
      <c r="E14" s="30">
        <f>D14-C14</f>
        <v/>
      </c>
    </row>
    <row r="15">
      <c r="A15" s="12" t="inlineStr">
        <is>
          <t>37000</t>
        </is>
      </c>
      <c r="B15" s="12" t="inlineStr">
        <is>
          <t>STOCKS A L'EXTERIEUR</t>
        </is>
      </c>
      <c r="C15" s="25" t="n">
        <v>0</v>
      </c>
      <c r="D15" s="25" t="n">
        <v>47936182.2</v>
      </c>
      <c r="E15" s="30">
        <f>D15-C15</f>
        <v/>
      </c>
    </row>
    <row r="16">
      <c r="A16" s="12" t="inlineStr">
        <is>
          <t>38002</t>
        </is>
      </c>
      <c r="B16" s="12" t="inlineStr">
        <is>
          <t>ACHATS IMPORTATION</t>
        </is>
      </c>
      <c r="C16" s="25" t="n">
        <v>17544780.31</v>
      </c>
      <c r="D16" s="25" t="n">
        <v>0</v>
      </c>
      <c r="E16" s="30">
        <f>D16-C16</f>
        <v/>
      </c>
    </row>
    <row r="17">
      <c r="A17" s="12" t="inlineStr">
        <is>
          <t>40100</t>
        </is>
      </c>
      <c r="B17" s="12" t="inlineStr">
        <is>
          <t>Fournisseurs de stocks et serv</t>
        </is>
      </c>
      <c r="C17" s="25" t="n">
        <v>-30009104.62</v>
      </c>
      <c r="D17" s="25" t="n">
        <v>-69749175.87</v>
      </c>
      <c r="E17" s="30">
        <f>D17-C17</f>
        <v/>
      </c>
    </row>
    <row r="18">
      <c r="A18" s="12" t="inlineStr">
        <is>
          <t>40102</t>
        </is>
      </c>
      <c r="B18" s="12" t="inlineStr">
        <is>
          <t>FOURNSSEURS ETRANGERS</t>
        </is>
      </c>
      <c r="C18" s="25" t="n">
        <v>-25535217.72</v>
      </c>
      <c r="D18" s="25" t="n">
        <v>-57476811.5</v>
      </c>
      <c r="E18" s="30">
        <f>D18-C18</f>
        <v/>
      </c>
    </row>
    <row r="19">
      <c r="A19" s="12" t="inlineStr">
        <is>
          <t>40130</t>
        </is>
      </c>
      <c r="B19" s="12" t="inlineStr">
        <is>
          <t>FOUR. LOCAUX DE SERVICES</t>
        </is>
      </c>
      <c r="C19" s="25" t="n">
        <v>-2957587.75</v>
      </c>
      <c r="D19" s="25" t="n">
        <v>-1726194.44</v>
      </c>
      <c r="E19" s="30">
        <f>D19-C19</f>
        <v/>
      </c>
    </row>
    <row r="20">
      <c r="A20" s="12" t="inlineStr">
        <is>
          <t>40400</t>
        </is>
      </c>
      <c r="B20" s="12" t="inlineStr">
        <is>
          <t>Fournisseurs d'immobilisations</t>
        </is>
      </c>
      <c r="C20" s="25" t="n">
        <v>-4045605</v>
      </c>
      <c r="D20" s="25" t="n">
        <v>-5307400</v>
      </c>
      <c r="E20" s="30">
        <f>D20-C20</f>
        <v/>
      </c>
    </row>
    <row r="21">
      <c r="A21" s="12" t="inlineStr">
        <is>
          <t>40800</t>
        </is>
      </c>
      <c r="B21" s="12" t="inlineStr">
        <is>
          <t>FOURNIS FACTURES NON PARVENUES</t>
        </is>
      </c>
      <c r="C21" s="25" t="n">
        <v>-23580</v>
      </c>
      <c r="D21" s="25" t="n">
        <v>0</v>
      </c>
      <c r="E21" s="30">
        <f>D21-C21</f>
        <v/>
      </c>
    </row>
    <row r="22">
      <c r="A22" s="12" t="inlineStr">
        <is>
          <t>40900</t>
        </is>
      </c>
      <c r="B22" s="12" t="inlineStr">
        <is>
          <t>Fournisseurs débiteurs : avanc</t>
        </is>
      </c>
      <c r="C22" s="25" t="n">
        <v>344533</v>
      </c>
      <c r="D22" s="25" t="n">
        <v>1175567</v>
      </c>
      <c r="E22" s="30">
        <f>D22-C22</f>
        <v/>
      </c>
    </row>
    <row r="23">
      <c r="A23" s="12" t="inlineStr">
        <is>
          <t>41100</t>
        </is>
      </c>
      <c r="B23" s="12" t="inlineStr">
        <is>
          <t>Clients</t>
        </is>
      </c>
      <c r="C23" s="25" t="n">
        <v>353909705.59</v>
      </c>
      <c r="D23" s="25" t="n">
        <v>361308738.12</v>
      </c>
      <c r="E23" s="30">
        <f>D23-C23</f>
        <v/>
      </c>
    </row>
    <row r="24">
      <c r="A24" s="12" t="inlineStr">
        <is>
          <t>41900</t>
        </is>
      </c>
      <c r="B24" s="12" t="inlineStr">
        <is>
          <t>Clients créditeurs -avances re</t>
        </is>
      </c>
      <c r="C24" s="25" t="n">
        <v>-295064234.32</v>
      </c>
      <c r="D24" s="25" t="n">
        <v>-303664234.32</v>
      </c>
      <c r="E24" s="30">
        <f>D24-C24</f>
        <v/>
      </c>
    </row>
    <row r="25">
      <c r="A25" s="12" t="inlineStr">
        <is>
          <t>42100</t>
        </is>
      </c>
      <c r="B25" s="12" t="inlineStr">
        <is>
          <t>PERSONNEL,REMUNERATIONS DUES</t>
        </is>
      </c>
      <c r="C25" s="25" t="n">
        <v>-2778976.78</v>
      </c>
      <c r="D25" s="25" t="n">
        <v>-1061592.31</v>
      </c>
      <c r="E25" s="30">
        <f>D25-C25</f>
        <v/>
      </c>
    </row>
    <row r="26">
      <c r="A26" s="12" t="inlineStr">
        <is>
          <t>43100</t>
        </is>
      </c>
      <c r="B26" s="12" t="inlineStr">
        <is>
          <t>SECURITE SOCIALE</t>
        </is>
      </c>
      <c r="C26" s="25" t="n">
        <v>-247850.03</v>
      </c>
      <c r="D26" s="25" t="n">
        <v>-223067.66</v>
      </c>
      <c r="E26" s="30">
        <f>D26-C26</f>
        <v/>
      </c>
    </row>
    <row r="27">
      <c r="A27" s="12" t="inlineStr">
        <is>
          <t>43200</t>
        </is>
      </c>
      <c r="B27" s="12" t="inlineStr">
        <is>
          <t>Autres organismes sociaux</t>
        </is>
      </c>
      <c r="C27" s="25" t="n">
        <v>-830851.87</v>
      </c>
      <c r="D27" s="25" t="n">
        <v>-610922.03</v>
      </c>
      <c r="E27" s="30">
        <f>D27-C27</f>
        <v/>
      </c>
    </row>
    <row r="28">
      <c r="A28" s="12" t="inlineStr">
        <is>
          <t>44210</t>
        </is>
      </c>
      <c r="B28" s="12" t="inlineStr">
        <is>
          <t>RETENUES : IRG</t>
        </is>
      </c>
      <c r="C28" s="25" t="n">
        <v>-166632.72</v>
      </c>
      <c r="D28" s="25" t="n">
        <v>-112633.4</v>
      </c>
      <c r="E28" s="30">
        <f>D28-C28</f>
        <v/>
      </c>
    </row>
    <row r="29">
      <c r="A29" s="12" t="inlineStr">
        <is>
          <t>44400</t>
        </is>
      </c>
      <c r="B29" s="12" t="inlineStr">
        <is>
          <t>Etat, impôts sur les résultats</t>
        </is>
      </c>
      <c r="C29" s="25" t="n">
        <v>-644330.96</v>
      </c>
      <c r="D29" s="25" t="n">
        <v>-2616744</v>
      </c>
      <c r="E29" s="30">
        <f>D29-C29</f>
        <v/>
      </c>
    </row>
    <row r="30">
      <c r="A30" s="12" t="inlineStr">
        <is>
          <t>44410</t>
        </is>
      </c>
      <c r="B30" s="12" t="inlineStr">
        <is>
          <t>AVANCES ET ACOMPTES SUR IBS</t>
        </is>
      </c>
      <c r="C30" s="25" t="n">
        <v>5120187</v>
      </c>
      <c r="D30" s="25" t="n">
        <v>2921073</v>
      </c>
      <c r="E30" s="30">
        <f>D30-C30</f>
        <v/>
      </c>
    </row>
    <row r="31">
      <c r="A31" s="12" t="inlineStr">
        <is>
          <t>44430</t>
        </is>
      </c>
      <c r="B31" s="12" t="inlineStr">
        <is>
          <t>EXCEDENT DE VERSEMENT IMPOTS</t>
        </is>
      </c>
      <c r="C31" s="25" t="n">
        <v>970465</v>
      </c>
      <c r="D31" s="25" t="n">
        <v>2668106</v>
      </c>
      <c r="E31" s="30">
        <f>D31-C31</f>
        <v/>
      </c>
    </row>
    <row r="32">
      <c r="A32" s="12" t="inlineStr">
        <is>
          <t>44510</t>
        </is>
      </c>
      <c r="B32" s="12" t="inlineStr">
        <is>
          <t>TVA A PAYER</t>
        </is>
      </c>
      <c r="C32" s="25" t="n">
        <v>-121436</v>
      </c>
      <c r="D32" s="25" t="n">
        <v>0</v>
      </c>
      <c r="E32" s="30">
        <f>D32-C32</f>
        <v/>
      </c>
    </row>
    <row r="33">
      <c r="A33" s="12" t="inlineStr">
        <is>
          <t>44517</t>
        </is>
      </c>
      <c r="B33" s="12" t="inlineStr">
        <is>
          <t>TVA COLLECTEE S/VENTES A 17 %</t>
        </is>
      </c>
      <c r="C33" s="25" t="n">
        <v>-9377413.710000001</v>
      </c>
      <c r="D33" s="25" t="n">
        <v>0</v>
      </c>
      <c r="E33" s="30">
        <f>D33-C33</f>
        <v/>
      </c>
    </row>
    <row r="34">
      <c r="A34" s="12" t="inlineStr">
        <is>
          <t>44537</t>
        </is>
      </c>
      <c r="B34" s="12" t="inlineStr">
        <is>
          <t>TVA COLLECTEE/VENTES TPM</t>
        </is>
      </c>
      <c r="C34" s="25" t="n">
        <v>-44387281.93</v>
      </c>
      <c r="D34" s="25" t="n">
        <v>-42352540.93</v>
      </c>
      <c r="E34" s="30">
        <f>D34-C34</f>
        <v/>
      </c>
    </row>
    <row r="35">
      <c r="A35" s="12" t="inlineStr">
        <is>
          <t>44550</t>
        </is>
      </c>
      <c r="B35" s="12" t="inlineStr">
        <is>
          <t>PRECOMPTE</t>
        </is>
      </c>
      <c r="C35" s="25" t="n">
        <v>155567.5</v>
      </c>
      <c r="D35" s="25" t="n">
        <v>156920</v>
      </c>
      <c r="E35" s="30">
        <f>D35-C35</f>
        <v/>
      </c>
    </row>
    <row r="36">
      <c r="A36" s="12" t="inlineStr">
        <is>
          <t>44557</t>
        </is>
      </c>
      <c r="B36" s="12" t="inlineStr">
        <is>
          <t>TVA RECUPERABLES</t>
        </is>
      </c>
      <c r="C36" s="25" t="n">
        <v>3454431.45</v>
      </c>
      <c r="D36" s="25" t="n">
        <v>6048716.84</v>
      </c>
      <c r="E36" s="30">
        <f>D36-C36</f>
        <v/>
      </c>
    </row>
    <row r="37">
      <c r="A37" s="12" t="inlineStr">
        <is>
          <t>44710</t>
        </is>
      </c>
      <c r="B37" s="12" t="inlineStr">
        <is>
          <t>TAP DUES</t>
        </is>
      </c>
      <c r="C37" s="25" t="n">
        <v>145841</v>
      </c>
      <c r="D37" s="25" t="n">
        <v>-405176</v>
      </c>
      <c r="E37" s="30">
        <f>D37-C37</f>
        <v/>
      </c>
    </row>
    <row r="38">
      <c r="A38" s="12" t="inlineStr">
        <is>
          <t>44720</t>
        </is>
      </c>
      <c r="B38" s="12" t="inlineStr">
        <is>
          <t>TAXES D'APRENT ET FORM PROFES</t>
        </is>
      </c>
      <c r="C38" s="25" t="n">
        <v>25960</v>
      </c>
      <c r="D38" s="25" t="n">
        <v>0</v>
      </c>
      <c r="E38" s="30">
        <f>D38-C38</f>
        <v/>
      </c>
    </row>
    <row r="39">
      <c r="A39" s="12" t="inlineStr">
        <is>
          <t>44760</t>
        </is>
      </c>
      <c r="B39" s="12" t="inlineStr">
        <is>
          <t>TIMBRES DUES</t>
        </is>
      </c>
      <c r="C39" s="25" t="n">
        <v>-54744.65</v>
      </c>
      <c r="D39" s="25" t="n">
        <v>-15720</v>
      </c>
      <c r="E39" s="30">
        <f>D39-C39</f>
        <v/>
      </c>
    </row>
    <row r="40">
      <c r="A40" s="12" t="inlineStr">
        <is>
          <t>45500</t>
        </is>
      </c>
      <c r="B40" s="12" t="inlineStr">
        <is>
          <t>ASSOCIES-COMPTES COURANTS</t>
        </is>
      </c>
      <c r="C40" s="25" t="n">
        <v>-14221874.59</v>
      </c>
      <c r="D40" s="25" t="n">
        <v>-21979805.85</v>
      </c>
      <c r="E40" s="30">
        <f>D40-C40</f>
        <v/>
      </c>
    </row>
    <row r="41">
      <c r="A41" s="12" t="inlineStr">
        <is>
          <t>48600</t>
        </is>
      </c>
      <c r="B41" s="12" t="inlineStr">
        <is>
          <t>CHARGES CONSTATEES D'AVANCE</t>
        </is>
      </c>
      <c r="C41" s="25" t="n">
        <v>631787.84</v>
      </c>
      <c r="D41" s="25" t="n">
        <v>625032.89</v>
      </c>
      <c r="E41" s="30">
        <f>D41-C41</f>
        <v/>
      </c>
    </row>
    <row r="42">
      <c r="A42" s="12" t="inlineStr">
        <is>
          <t>51202</t>
        </is>
      </c>
      <c r="B42" s="12" t="inlineStr">
        <is>
          <t>BANQUE EL BARAKA</t>
        </is>
      </c>
      <c r="C42" s="25" t="n">
        <v>174036.81</v>
      </c>
      <c r="D42" s="25" t="n">
        <v>168562.81</v>
      </c>
      <c r="E42" s="30">
        <f>D42-C42</f>
        <v/>
      </c>
    </row>
    <row r="43">
      <c r="A43" s="12" t="inlineStr">
        <is>
          <t>51220</t>
        </is>
      </c>
      <c r="B43" s="12" t="inlineStr">
        <is>
          <t>CPA AGENCE EL KSEUR</t>
        </is>
      </c>
      <c r="C43" s="25" t="n">
        <v>755588.6800000001</v>
      </c>
      <c r="D43" s="25" t="n">
        <v>-13950322.68</v>
      </c>
      <c r="E43" s="30">
        <f>D43-C43</f>
        <v/>
      </c>
    </row>
    <row r="44">
      <c r="A44" s="12" t="inlineStr">
        <is>
          <t>51240</t>
        </is>
      </c>
      <c r="B44" s="12" t="inlineStr">
        <is>
          <t>CPA 4000015290-18</t>
        </is>
      </c>
      <c r="C44" s="25" t="n">
        <v>3058279.86</v>
      </c>
      <c r="D44" s="25" t="n">
        <v>93959.14999999999</v>
      </c>
      <c r="E44" s="30">
        <f>D44-C44</f>
        <v/>
      </c>
    </row>
    <row r="45">
      <c r="A45" s="12" t="inlineStr">
        <is>
          <t>51900</t>
        </is>
      </c>
      <c r="B45" s="12" t="inlineStr">
        <is>
          <t>Concours bancaires courants</t>
        </is>
      </c>
      <c r="C45" s="25" t="n">
        <v>-15504804.53</v>
      </c>
      <c r="D45" s="25" t="n">
        <v>-21161600.16</v>
      </c>
      <c r="E45" s="30">
        <f>D45-C45</f>
        <v/>
      </c>
    </row>
    <row r="46">
      <c r="A46" s="12" t="inlineStr">
        <is>
          <t>53000</t>
        </is>
      </c>
      <c r="B46" s="12" t="inlineStr">
        <is>
          <t>CAISSE</t>
        </is>
      </c>
      <c r="C46" s="25" t="n">
        <v>1432477.99</v>
      </c>
      <c r="D46" s="25" t="n">
        <v>760534.53</v>
      </c>
      <c r="E46" s="30">
        <f>D46-C46</f>
        <v/>
      </c>
    </row>
    <row r="47">
      <c r="B47" s="4" t="inlineStr">
        <is>
          <t>Nombre de comptes en écart</t>
        </is>
      </c>
      <c r="C47" s="13">
        <f>COUNTIF(E9:E46,"&lt;&gt;0")</f>
        <v/>
      </c>
      <c r="D47" s="4" t="inlineStr">
        <is>
          <t>Somme des écarts en valeur absolue</t>
        </is>
      </c>
      <c r="E47" s="7">
        <f>SUMPRODUCT(ABS(E9:E46))</f>
        <v/>
      </c>
    </row>
    <row r="49">
      <c r="A49" s="4" t="inlineStr">
        <is>
          <t>Historique du compte 44537 « TVA collectée / ventes TPM » (crédit = dette de TVA)</t>
        </is>
      </c>
    </row>
    <row r="50">
      <c r="A50" s="11" t="inlineStr">
        <is>
          <t>Exercice</t>
        </is>
      </c>
      <c r="B50" s="11" t="inlineStr">
        <is>
          <t>Solde d'ouverture</t>
        </is>
      </c>
      <c r="C50" s="11" t="inlineStr">
        <is>
          <t>TVA collectée de l'exercice</t>
        </is>
      </c>
      <c r="D50" s="11" t="inlineStr">
        <is>
          <t>Apurée par G50 (débits)</t>
        </is>
      </c>
      <c r="E50" s="11" t="inlineStr">
        <is>
          <t>Solde de clôture</t>
        </is>
      </c>
      <c r="F50" s="11" t="inlineStr">
        <is>
          <t>Contrôle</t>
        </is>
      </c>
    </row>
    <row r="51">
      <c r="A51" s="4" t="inlineStr">
        <is>
          <t>2023</t>
        </is>
      </c>
      <c r="B51" s="25" t="n">
        <v>37267981.93</v>
      </c>
      <c r="C51" s="25" t="n">
        <v>7119300</v>
      </c>
      <c r="D51" s="25" t="n">
        <v>0</v>
      </c>
      <c r="E51" s="25" t="n">
        <v>44387281.93</v>
      </c>
      <c r="F51" s="30">
        <f>ROUND(B51+C51-D51-E51,2)</f>
        <v/>
      </c>
    </row>
    <row r="52">
      <c r="A52" s="4" t="inlineStr">
        <is>
          <t>2024</t>
        </is>
      </c>
      <c r="B52" s="25" t="n">
        <v>42352540.93</v>
      </c>
      <c r="C52" s="25" t="n">
        <v>6521750</v>
      </c>
      <c r="D52" s="25" t="n">
        <v>1147983</v>
      </c>
      <c r="E52" s="25" t="n">
        <v>47726307.93</v>
      </c>
      <c r="F52" s="30">
        <f>ROUND(B52+C52-D52-E52,2)</f>
        <v/>
      </c>
    </row>
    <row r="53">
      <c r="A53" s="4" t="inlineStr">
        <is>
          <t>2025</t>
        </is>
      </c>
      <c r="B53" s="25" t="n">
        <v>47726307.93</v>
      </c>
      <c r="C53" s="25" t="n">
        <v>4839300</v>
      </c>
      <c r="D53" s="25" t="n">
        <v>391208</v>
      </c>
      <c r="E53" s="25" t="n">
        <v>52174399.93</v>
      </c>
      <c r="F53" s="30">
        <f>ROUND(B53+C53-D53-E53,2)</f>
        <v/>
      </c>
    </row>
    <row r="54">
      <c r="A54" s="4" t="inlineStr">
        <is>
          <t>Total 2023–2025</t>
        </is>
      </c>
      <c r="C54" s="7">
        <f>SUM(C51:C53)</f>
        <v/>
      </c>
      <c r="D54" s="7">
        <f>SUM(D51:D53)</f>
        <v/>
      </c>
      <c r="E54" s="38">
        <f>D54/C54</f>
        <v/>
      </c>
      <c r="F54" s="21" t="inlineStr">
        <is>
          <t>← part de la TVA TPM apurée</t>
        </is>
      </c>
    </row>
    <row r="56">
      <c r="A56" s="2" t="inlineStr">
        <is>
          <t>Ouverture 2024 (42,35 M) ≠ clôture 2023 du fichier (44,39 M) : écart de 2,03 M, voir tableau ci-dessus. La TVA TPM s'accumule au crédit depuis au moins 2022 (37,27 M à l'ouverture 2023).</t>
        </is>
      </c>
    </row>
  </sheetData>
  <pageMargins left="0.75" right="0.75" top="1" bottom="1" header="0.5" footer="0.5"/>
  <pageSetup orientation="landscape" fitToHeight="0"/>
</worksheet>
</file>

<file path=xl/worksheets/sheet14.xml><?xml version="1.0" encoding="utf-8"?>
<worksheet xmlns="http://schemas.openxmlformats.org/spreadsheetml/2006/main">
  <sheetPr>
    <outlinePr summaryBelow="1" summaryRight="1"/>
    <pageSetUpPr fitToPage="1"/>
  </sheetPr>
  <dimension ref="A1:L243"/>
  <sheetViews>
    <sheetView showGridLines="0" workbookViewId="0">
      <pane xSplit="2" ySplit="21" topLeftCell="C22" activePane="bottomRight" state="frozen"/>
      <selection pane="topRight"/>
      <selection pane="bottomLeft"/>
      <selection pane="bottomRight" activeCell="A1" sqref="A1"/>
    </sheetView>
  </sheetViews>
  <sheetFormatPr baseColWidth="8" defaultRowHeight="15"/>
  <cols>
    <col width="40" customWidth="1" min="1" max="1"/>
    <col width="36" customWidth="1" min="2" max="2"/>
    <col width="15" customWidth="1" min="3" max="3"/>
    <col width="15" customWidth="1" min="4" max="4"/>
    <col width="15" customWidth="1" min="5" max="5"/>
    <col width="15" customWidth="1" min="6" max="6"/>
    <col width="15" customWidth="1" min="7" max="7"/>
    <col width="18" customWidth="1" min="8" max="8"/>
    <col width="15" customWidth="1" min="9" max="9"/>
    <col width="15" customWidth="1" min="10" max="10"/>
    <col width="13" customWidth="1" min="11" max="11"/>
    <col width="22" customWidth="1" min="12" max="12"/>
  </cols>
  <sheetData>
    <row r="1">
      <c r="A1" s="1" t="inlineStr">
        <is>
          <t>Analyse des comptes clients et fournisseurs — situation au 31/12/2025 (base des à-nouveaux 2026)</t>
        </is>
      </c>
    </row>
    <row r="2">
      <c r="A2" s="2" t="inlineStr">
        <is>
          <t>Source : journaux PCCOMPTA 2023, 2024, 2025 (comptes 401, 404, 409, 411, 419), regroupés par nom de tiers. Débit + / crédit −.</t>
        </is>
      </c>
    </row>
    <row r="4">
      <c r="A4" s="11" t="inlineStr">
        <is>
          <t>Catégorie</t>
        </is>
      </c>
      <c r="B4" s="11" t="inlineStr">
        <is>
          <t>Nombre de tiers</t>
        </is>
      </c>
      <c r="C4" s="11" t="inlineStr">
        <is>
          <t>411 au 31/12/2025</t>
        </is>
      </c>
      <c r="D4" s="11" t="inlineStr">
        <is>
          <t>419 au 31/12/2025</t>
        </is>
      </c>
      <c r="E4" s="11" t="inlineStr">
        <is>
          <t>401/404 au 31/12/2025</t>
        </is>
      </c>
      <c r="F4" s="11" t="inlineStr">
        <is>
          <t>409 au 31/12/2025</t>
        </is>
      </c>
      <c r="G4" s="11" t="inlineStr">
        <is>
          <t>Solde net</t>
        </is>
      </c>
      <c r="H4" s="11" t="inlineStr">
        <is>
          <t>Action recommandée</t>
        </is>
      </c>
    </row>
    <row r="5" ht="30" customHeight="1">
      <c r="A5" s="40" t="inlineStr">
        <is>
          <t>Partie liée</t>
        </is>
      </c>
      <c r="B5" s="32">
        <f>COUNTIF($B$22:$B$243,A5)</f>
        <v/>
      </c>
      <c r="C5" s="30">
        <f>SUMIFS($D$22:$D$243,$B$22:$B$243,$A5)</f>
        <v/>
      </c>
      <c r="D5" s="30">
        <f>SUMIFS($E$22:$E$243,$B$22:$B$243,$A5)</f>
        <v/>
      </c>
      <c r="E5" s="30">
        <f>SUMIFS($F$22:$F$243,$B$22:$B$243,$A5)</f>
        <v/>
      </c>
      <c r="F5" s="30">
        <f>SUMIFS($G$22:$G$243,$B$22:$B$243,$A5)</f>
        <v/>
      </c>
      <c r="G5" s="27">
        <f>SUM(C5:F5)</f>
        <v/>
      </c>
      <c r="H5" s="35" t="inlineStr">
        <is>
          <t>Convention écrite, reconnaissance de dette et échéancier ; confirmation de solde ; dépréciation à évaluer</t>
        </is>
      </c>
    </row>
    <row r="6" ht="30" customHeight="1">
      <c r="A6" s="40" t="inlineStr">
        <is>
          <t>Associé en compte de tiers</t>
        </is>
      </c>
      <c r="B6" s="32">
        <f>COUNTIF($B$22:$B$243,A6)</f>
        <v/>
      </c>
      <c r="C6" s="30">
        <f>SUMIFS($D$22:$D$243,$B$22:$B$243,$A6)</f>
        <v/>
      </c>
      <c r="D6" s="30">
        <f>SUMIFS($E$22:$E$243,$B$22:$B$243,$A6)</f>
        <v/>
      </c>
      <c r="E6" s="30">
        <f>SUMIFS($F$22:$F$243,$B$22:$B$243,$A6)</f>
        <v/>
      </c>
      <c r="F6" s="30">
        <f>SUMIFS($G$22:$G$243,$B$22:$B$243,$A6)</f>
        <v/>
      </c>
      <c r="G6" s="27">
        <f>SUM(C6:F6)</f>
        <v/>
      </c>
      <c r="H6" s="35" t="inlineStr">
        <is>
          <t>Reclasser en compte courant d'associé (455/457) après justification</t>
        </is>
      </c>
    </row>
    <row r="7" ht="30" customHeight="1">
      <c r="A7" s="4" t="inlineStr">
        <is>
          <t>Client 411 + avance 419 à compenser</t>
        </is>
      </c>
      <c r="B7" s="32">
        <f>COUNTIF($B$22:$B$243,A7)</f>
        <v/>
      </c>
      <c r="C7" s="30">
        <f>SUMIFS($D$22:$D$243,$B$22:$B$243,$A7)</f>
        <v/>
      </c>
      <c r="D7" s="30">
        <f>SUMIFS($E$22:$E$243,$B$22:$B$243,$A7)</f>
        <v/>
      </c>
      <c r="E7" s="30">
        <f>SUMIFS($F$22:$F$243,$B$22:$B$243,$A7)</f>
        <v/>
      </c>
      <c r="F7" s="30">
        <f>SUMIFS($G$22:$G$243,$B$22:$B$243,$A7)</f>
        <v/>
      </c>
      <c r="G7" s="27">
        <f>SUM(C7:F7)</f>
        <v/>
      </c>
      <c r="H7" s="35" t="inlineStr">
        <is>
          <t>Lettrer et compenser 419 / 411 à hauteur du plus petit montant</t>
        </is>
      </c>
    </row>
    <row r="8" ht="30" customHeight="1">
      <c r="A8" s="4" t="inlineStr">
        <is>
          <t>Client 411 créditeur</t>
        </is>
      </c>
      <c r="B8" s="32">
        <f>COUNTIF($B$22:$B$243,A8)</f>
        <v/>
      </c>
      <c r="C8" s="30">
        <f>SUMIFS($D$22:$D$243,$B$22:$B$243,$A8)</f>
        <v/>
      </c>
      <c r="D8" s="30">
        <f>SUMIFS($E$22:$E$243,$B$22:$B$243,$A8)</f>
        <v/>
      </c>
      <c r="E8" s="30">
        <f>SUMIFS($F$22:$F$243,$B$22:$B$243,$A8)</f>
        <v/>
      </c>
      <c r="F8" s="30">
        <f>SUMIFS($G$22:$G$243,$B$22:$B$243,$A8)</f>
        <v/>
      </c>
      <c r="G8" s="27">
        <f>SUM(C8:F8)</f>
        <v/>
      </c>
      <c r="H8" s="35" t="inlineStr">
        <is>
          <t>Analyser : avoir, trop-perçu ou avance mal imputée ; reclasser en 419 ou rembourser</t>
        </is>
      </c>
    </row>
    <row r="9" ht="30" customHeight="1">
      <c r="A9" s="40" t="inlineStr">
        <is>
          <t>Avance client dormante ≥ 3 ans</t>
        </is>
      </c>
      <c r="B9" s="32">
        <f>COUNTIF($B$22:$B$243,A9)</f>
        <v/>
      </c>
      <c r="C9" s="30">
        <f>SUMIFS($D$22:$D$243,$B$22:$B$243,$A9)</f>
        <v/>
      </c>
      <c r="D9" s="30">
        <f>SUMIFS($E$22:$E$243,$B$22:$B$243,$A9)</f>
        <v/>
      </c>
      <c r="E9" s="30">
        <f>SUMIFS($F$22:$F$243,$B$22:$B$243,$A9)</f>
        <v/>
      </c>
      <c r="F9" s="30">
        <f>SUMIFS($G$22:$G$243,$B$22:$B$243,$A9)</f>
        <v/>
      </c>
      <c r="G9" s="27">
        <f>SUM(C9:F9)</f>
        <v/>
      </c>
      <c r="H9" s="35" t="inlineStr">
        <is>
          <t>Dossier par client : facturer si livré (TVA + CA), rembourser si non livré, sinon justifier</t>
        </is>
      </c>
    </row>
    <row r="10" ht="30" customHeight="1">
      <c r="A10" s="4" t="inlineStr">
        <is>
          <t>Avance client récente</t>
        </is>
      </c>
      <c r="B10" s="32">
        <f>COUNTIF($B$22:$B$243,A10)</f>
        <v/>
      </c>
      <c r="C10" s="30">
        <f>SUMIFS($D$22:$D$243,$B$22:$B$243,$A10)</f>
        <v/>
      </c>
      <c r="D10" s="30">
        <f>SUMIFS($E$22:$E$243,$B$22:$B$243,$A10)</f>
        <v/>
      </c>
      <c r="E10" s="30">
        <f>SUMIFS($F$22:$F$243,$B$22:$B$243,$A10)</f>
        <v/>
      </c>
      <c r="F10" s="30">
        <f>SUMIFS($G$22:$G$243,$B$22:$B$243,$A10)</f>
        <v/>
      </c>
      <c r="G10" s="27">
        <f>SUM(C10:F10)</f>
        <v/>
      </c>
      <c r="H10" s="35" t="inlineStr">
        <is>
          <t>Facturer à la livraison et lettrer</t>
        </is>
      </c>
    </row>
    <row r="11" ht="30" customHeight="1">
      <c r="A11" s="4" t="inlineStr">
        <is>
          <t>Créance client sans mouvement en 2025</t>
        </is>
      </c>
      <c r="B11" s="32">
        <f>COUNTIF($B$22:$B$243,A11)</f>
        <v/>
      </c>
      <c r="C11" s="30">
        <f>SUMIFS($D$22:$D$243,$B$22:$B$243,$A11)</f>
        <v/>
      </c>
      <c r="D11" s="30">
        <f>SUMIFS($E$22:$E$243,$B$22:$B$243,$A11)</f>
        <v/>
      </c>
      <c r="E11" s="30">
        <f>SUMIFS($F$22:$F$243,$B$22:$B$243,$A11)</f>
        <v/>
      </c>
      <c r="F11" s="30">
        <f>SUMIFS($G$22:$G$243,$B$22:$B$243,$A11)</f>
        <v/>
      </c>
      <c r="G11" s="27">
        <f>SUM(C11:F11)</f>
        <v/>
      </c>
      <c r="H11" s="35" t="inlineStr">
        <is>
          <t>Relance et confirmation de solde ; dépréciation (491) si non recouvrable</t>
        </is>
      </c>
    </row>
    <row r="12" ht="30" customHeight="1">
      <c r="A12" s="4" t="inlineStr">
        <is>
          <t>Créance client active</t>
        </is>
      </c>
      <c r="B12" s="32">
        <f>COUNTIF($B$22:$B$243,A12)</f>
        <v/>
      </c>
      <c r="C12" s="30">
        <f>SUMIFS($D$22:$D$243,$B$22:$B$243,$A12)</f>
        <v/>
      </c>
      <c r="D12" s="30">
        <f>SUMIFS($E$22:$E$243,$B$22:$B$243,$A12)</f>
        <v/>
      </c>
      <c r="E12" s="30">
        <f>SUMIFS($F$22:$F$243,$B$22:$B$243,$A12)</f>
        <v/>
      </c>
      <c r="F12" s="30">
        <f>SUMIFS($G$22:$G$243,$B$22:$B$243,$A12)</f>
        <v/>
      </c>
      <c r="G12" s="27">
        <f>SUM(C12:F12)</f>
        <v/>
      </c>
      <c r="H12" s="35" t="inlineStr">
        <is>
          <t>Suivi normal ; lettrage mensuel</t>
        </is>
      </c>
    </row>
    <row r="13" ht="30" customHeight="1">
      <c r="A13" s="4" t="inlineStr">
        <is>
          <t>Fournisseur débiteur (avance versée)</t>
        </is>
      </c>
      <c r="B13" s="32">
        <f>COUNTIF($B$22:$B$243,A13)</f>
        <v/>
      </c>
      <c r="C13" s="30">
        <f>SUMIFS($D$22:$D$243,$B$22:$B$243,$A13)</f>
        <v/>
      </c>
      <c r="D13" s="30">
        <f>SUMIFS($E$22:$E$243,$B$22:$B$243,$A13)</f>
        <v/>
      </c>
      <c r="E13" s="30">
        <f>SUMIFS($F$22:$F$243,$B$22:$B$243,$A13)</f>
        <v/>
      </c>
      <c r="F13" s="30">
        <f>SUMIFS($G$22:$G$243,$B$22:$B$243,$A13)</f>
        <v/>
      </c>
      <c r="G13" s="27">
        <f>SUM(C13:F13)</f>
        <v/>
      </c>
      <c r="H13" s="35" t="inlineStr">
        <is>
          <t>Obtenir facture ou remboursement ; lettrer avec 401</t>
        </is>
      </c>
    </row>
    <row r="14" ht="30" customHeight="1">
      <c r="A14" s="4" t="inlineStr">
        <is>
          <t>Dette fournisseur sans mouvement en 2025</t>
        </is>
      </c>
      <c r="B14" s="32">
        <f>COUNTIF($B$22:$B$243,A14)</f>
        <v/>
      </c>
      <c r="C14" s="30">
        <f>SUMIFS($D$22:$D$243,$B$22:$B$243,$A14)</f>
        <v/>
      </c>
      <c r="D14" s="30">
        <f>SUMIFS($E$22:$E$243,$B$22:$B$243,$A14)</f>
        <v/>
      </c>
      <c r="E14" s="30">
        <f>SUMIFS($F$22:$F$243,$B$22:$B$243,$A14)</f>
        <v/>
      </c>
      <c r="F14" s="30">
        <f>SUMIFS($G$22:$G$243,$B$22:$B$243,$A14)</f>
        <v/>
      </c>
      <c r="G14" s="27">
        <f>SUM(C14:F14)</f>
        <v/>
      </c>
      <c r="H14" s="35" t="inlineStr">
        <is>
          <t>Confirmation de solde ; régler ou constater en produit si dette éteinte et justifiée</t>
        </is>
      </c>
    </row>
    <row r="15" ht="30" customHeight="1">
      <c r="A15" s="4" t="inlineStr">
        <is>
          <t>Fournisseur actif</t>
        </is>
      </c>
      <c r="B15" s="32">
        <f>COUNTIF($B$22:$B$243,A15)</f>
        <v/>
      </c>
      <c r="C15" s="30">
        <f>SUMIFS($D$22:$D$243,$B$22:$B$243,$A15)</f>
        <v/>
      </c>
      <c r="D15" s="30">
        <f>SUMIFS($E$22:$E$243,$B$22:$B$243,$A15)</f>
        <v/>
      </c>
      <c r="E15" s="30">
        <f>SUMIFS($F$22:$F$243,$B$22:$B$243,$A15)</f>
        <v/>
      </c>
      <c r="F15" s="30">
        <f>SUMIFS($G$22:$G$243,$B$22:$B$243,$A15)</f>
        <v/>
      </c>
      <c r="G15" s="27">
        <f>SUM(C15:F15)</f>
        <v/>
      </c>
      <c r="H15" s="35" t="inlineStr">
        <is>
          <t>Suivi normal ; lettrage mensuel</t>
        </is>
      </c>
    </row>
    <row r="16">
      <c r="A16" s="4" t="inlineStr">
        <is>
          <t>TOTAL</t>
        </is>
      </c>
      <c r="B16" s="9">
        <f>SUM(B5:B15)</f>
        <v/>
      </c>
      <c r="C16" s="7">
        <f>SUM(C5:C15)</f>
        <v/>
      </c>
      <c r="D16" s="7">
        <f>SUM(D5:D15)</f>
        <v/>
      </c>
      <c r="E16" s="7">
        <f>SUM(E5:E15)</f>
        <v/>
      </c>
      <c r="F16" s="7">
        <f>SUM(F5:F15)</f>
        <v/>
      </c>
      <c r="G16" s="7">
        <f>SUM(G5:G15)</f>
        <v/>
      </c>
    </row>
    <row r="17">
      <c r="A17" s="21" t="inlineStr">
        <is>
          <t>Contrôle : total 411 / 419 = balance 2025</t>
        </is>
      </c>
      <c r="C17" s="30">
        <f>ROUND(C16-SUMPRODUCT((LEFT('Balance 2024-2025'!$A$5:$A$104,3)="411")*'Balance 2024-2025'!D$5:D$104),0)</f>
        <v/>
      </c>
      <c r="D17" s="30">
        <f>ROUND(D16-SUMPRODUCT((LEFT('Balance 2024-2025'!$A$5:$A$104,3)="419")*'Balance 2024-2025'!D$5:D$104),0)</f>
        <v/>
      </c>
      <c r="H17" s="21" t="inlineStr">
        <is>
          <t>Doit être 0</t>
        </is>
      </c>
    </row>
    <row r="20">
      <c r="A20" s="10" t="inlineStr">
        <is>
          <t>Détail par tiers (colonne L à compléter : décision retenue pour chaque tiers)</t>
        </is>
      </c>
    </row>
    <row r="21">
      <c r="A21" s="11" t="inlineStr">
        <is>
          <t>Tiers</t>
        </is>
      </c>
      <c r="B21" s="11" t="inlineStr">
        <is>
          <t>Catégorie</t>
        </is>
      </c>
      <c r="C21" s="11" t="inlineStr">
        <is>
          <t>411 ouverture 2023</t>
        </is>
      </c>
      <c r="D21" s="11" t="inlineStr">
        <is>
          <t>411 au 31/12/2025</t>
        </is>
      </c>
      <c r="E21" s="11" t="inlineStr">
        <is>
          <t>419 au 31/12/2025</t>
        </is>
      </c>
      <c r="F21" s="11" t="inlineStr">
        <is>
          <t>401/404 au 31/12/2025</t>
        </is>
      </c>
      <c r="G21" s="11" t="inlineStr">
        <is>
          <t>409 au 31/12/2025</t>
        </is>
      </c>
      <c r="H21" s="11" t="inlineStr">
        <is>
          <t>Solde net</t>
        </is>
      </c>
      <c r="I21" s="11" t="inlineStr">
        <is>
          <t>Débits 2025</t>
        </is>
      </c>
      <c r="J21" s="11" t="inlineStr">
        <is>
          <t>Crédits 2025</t>
        </is>
      </c>
      <c r="K21" s="11" t="inlineStr">
        <is>
          <t>Dernier mouvement 2025</t>
        </is>
      </c>
      <c r="L21" s="11" t="inlineStr">
        <is>
          <t>Décision 2026</t>
        </is>
      </c>
    </row>
    <row r="22">
      <c r="A22" s="12" t="inlineStr">
        <is>
          <t>SARL DPR AXXAM BRIQUETERIE</t>
        </is>
      </c>
      <c r="B22" s="12" t="inlineStr">
        <is>
          <t>Partie liée</t>
        </is>
      </c>
      <c r="C22" s="25" t="n">
        <v>277653204.28</v>
      </c>
      <c r="D22" s="25" t="n">
        <v>371014451.28</v>
      </c>
      <c r="E22" s="25" t="n">
        <v>0</v>
      </c>
      <c r="F22" s="25" t="n">
        <v>0</v>
      </c>
      <c r="G22" s="25" t="n">
        <v>0</v>
      </c>
      <c r="H22" s="30">
        <f>SUM(D22:G22)</f>
        <v/>
      </c>
      <c r="I22" s="25" t="n">
        <v>30309300</v>
      </c>
      <c r="J22" s="25" t="n">
        <v>2450200</v>
      </c>
      <c r="K22" s="22" t="inlineStr">
        <is>
          <t>30/09/2025</t>
        </is>
      </c>
      <c r="L22" s="41" t="n"/>
    </row>
    <row r="23">
      <c r="A23" s="12" t="inlineStr">
        <is>
          <t>SARL DPR AXXAM</t>
        </is>
      </c>
      <c r="B23" s="12" t="inlineStr">
        <is>
          <t>Partie liée</t>
        </is>
      </c>
      <c r="C23" s="25" t="n">
        <v>0</v>
      </c>
      <c r="D23" s="25" t="n">
        <v>0</v>
      </c>
      <c r="E23" s="25" t="n">
        <v>-9821942.210000001</v>
      </c>
      <c r="F23" s="25" t="n">
        <v>-23812149.03</v>
      </c>
      <c r="G23" s="25" t="n">
        <v>45350000</v>
      </c>
      <c r="H23" s="30">
        <f>SUM(D23:G23)</f>
        <v/>
      </c>
      <c r="I23" s="25" t="n">
        <v>62500000</v>
      </c>
      <c r="J23" s="25" t="n">
        <v>1815718.45</v>
      </c>
      <c r="K23" s="22" t="inlineStr">
        <is>
          <t>14/12/2025</t>
        </is>
      </c>
      <c r="L23" s="41" t="n"/>
    </row>
    <row r="24">
      <c r="A24" s="12" t="inlineStr">
        <is>
          <t>DJENNADI REYAD</t>
        </is>
      </c>
      <c r="B24" s="12" t="inlineStr">
        <is>
          <t>Associé en compte de tiers</t>
        </is>
      </c>
      <c r="C24" s="25" t="n">
        <v>0</v>
      </c>
      <c r="D24" s="25" t="n">
        <v>-4500000</v>
      </c>
      <c r="E24" s="25" t="n">
        <v>-17609544.19</v>
      </c>
      <c r="F24" s="25" t="n">
        <v>0</v>
      </c>
      <c r="G24" s="25" t="n">
        <v>0</v>
      </c>
      <c r="H24" s="30">
        <f>SUM(D24:G24)</f>
        <v/>
      </c>
      <c r="I24" s="25" t="n">
        <v>0</v>
      </c>
      <c r="J24" s="25" t="n">
        <v>4500000</v>
      </c>
      <c r="K24" s="22" t="inlineStr">
        <is>
          <t>15/12/2025</t>
        </is>
      </c>
      <c r="L24" s="41" t="n"/>
    </row>
    <row r="25">
      <c r="A25" s="12" t="inlineStr">
        <is>
          <t>DJENNADI ABDELKRIM</t>
        </is>
      </c>
      <c r="B25" s="12" t="inlineStr">
        <is>
          <t>Associé en compte de tiers</t>
        </is>
      </c>
      <c r="C25" s="25" t="n">
        <v>0</v>
      </c>
      <c r="D25" s="25" t="n">
        <v>-9699999.99</v>
      </c>
      <c r="E25" s="25" t="n">
        <v>0</v>
      </c>
      <c r="F25" s="25" t="n">
        <v>0</v>
      </c>
      <c r="G25" s="25" t="n">
        <v>0</v>
      </c>
      <c r="H25" s="30">
        <f>SUM(D25:G25)</f>
        <v/>
      </c>
      <c r="I25" s="25" t="n">
        <v>4806900.01</v>
      </c>
      <c r="J25" s="25" t="n">
        <v>14506900</v>
      </c>
      <c r="K25" s="22" t="inlineStr">
        <is>
          <t>25/12/2025</t>
        </is>
      </c>
      <c r="L25" s="41" t="n"/>
    </row>
    <row r="26">
      <c r="A26" s="12" t="inlineStr">
        <is>
          <t>DJENNADI ABD ELKADER</t>
        </is>
      </c>
      <c r="B26" s="12" t="inlineStr">
        <is>
          <t>Associé en compte de tiers</t>
        </is>
      </c>
      <c r="C26" s="25" t="n">
        <v>0</v>
      </c>
      <c r="D26" s="25" t="n">
        <v>0</v>
      </c>
      <c r="E26" s="25" t="n">
        <v>0</v>
      </c>
      <c r="F26" s="25" t="n">
        <v>-2510665</v>
      </c>
      <c r="G26" s="25" t="n">
        <v>0</v>
      </c>
      <c r="H26" s="30">
        <f>SUM(D26:G26)</f>
        <v/>
      </c>
      <c r="I26" s="25" t="n">
        <v>0</v>
      </c>
      <c r="J26" s="25" t="n">
        <v>0</v>
      </c>
      <c r="K26" s="22" t="inlineStr">
        <is>
          <t>aucun</t>
        </is>
      </c>
      <c r="L26" s="41" t="n"/>
    </row>
    <row r="27">
      <c r="A27" s="12" t="inlineStr">
        <is>
          <t>DJENNADI AHCENE</t>
        </is>
      </c>
      <c r="B27" s="12" t="inlineStr">
        <is>
          <t>Associé en compte de tiers</t>
        </is>
      </c>
      <c r="C27" s="25" t="n">
        <v>0</v>
      </c>
      <c r="D27" s="25" t="n">
        <v>0</v>
      </c>
      <c r="E27" s="25" t="n">
        <v>-500000</v>
      </c>
      <c r="F27" s="25" t="n">
        <v>0</v>
      </c>
      <c r="G27" s="25" t="n">
        <v>0</v>
      </c>
      <c r="H27" s="30">
        <f>SUM(D27:G27)</f>
        <v/>
      </c>
      <c r="I27" s="25" t="n">
        <v>0</v>
      </c>
      <c r="J27" s="25" t="n">
        <v>0</v>
      </c>
      <c r="K27" s="22" t="inlineStr">
        <is>
          <t>aucun</t>
        </is>
      </c>
      <c r="L27" s="41" t="n"/>
    </row>
    <row r="28">
      <c r="A28" s="12" t="inlineStr">
        <is>
          <t>AMEUR KHELLAF</t>
        </is>
      </c>
      <c r="B28" s="12" t="inlineStr">
        <is>
          <t>Client 411 + avance 419 à compenser</t>
        </is>
      </c>
      <c r="C28" s="25" t="n">
        <v>99837.81</v>
      </c>
      <c r="D28" s="25" t="n">
        <v>99837.81</v>
      </c>
      <c r="E28" s="25" t="n">
        <v>-11034657.94</v>
      </c>
      <c r="F28" s="25" t="n">
        <v>0</v>
      </c>
      <c r="G28" s="25" t="n">
        <v>0</v>
      </c>
      <c r="H28" s="30">
        <f>SUM(D28:G28)</f>
        <v/>
      </c>
      <c r="I28" s="25" t="n">
        <v>0</v>
      </c>
      <c r="J28" s="25" t="n">
        <v>0</v>
      </c>
      <c r="K28" s="22" t="inlineStr">
        <is>
          <t>aucun</t>
        </is>
      </c>
      <c r="L28" s="41" t="n"/>
    </row>
    <row r="29">
      <c r="A29" s="12" t="inlineStr">
        <is>
          <t>SAIDOUN YACINE</t>
        </is>
      </c>
      <c r="B29" s="12" t="inlineStr">
        <is>
          <t>Client 411 + avance 419 à compenser</t>
        </is>
      </c>
      <c r="C29" s="25" t="n">
        <v>0</v>
      </c>
      <c r="D29" s="25" t="n">
        <v>400000</v>
      </c>
      <c r="E29" s="25" t="n">
        <v>-9857236.42</v>
      </c>
      <c r="F29" s="25" t="n">
        <v>0</v>
      </c>
      <c r="G29" s="25" t="n">
        <v>0</v>
      </c>
      <c r="H29" s="30">
        <f>SUM(D29:G29)</f>
        <v/>
      </c>
      <c r="I29" s="25" t="n">
        <v>484277.89</v>
      </c>
      <c r="J29" s="25" t="n">
        <v>484277.89</v>
      </c>
      <c r="K29" s="22" t="inlineStr">
        <is>
          <t>26/06/2025</t>
        </is>
      </c>
      <c r="L29" s="41" t="n"/>
    </row>
    <row r="30">
      <c r="A30" s="12" t="inlineStr">
        <is>
          <t>ABDOUNE RAFIK</t>
        </is>
      </c>
      <c r="B30" s="12" t="inlineStr">
        <is>
          <t>Client 411 + avance 419 à compenser</t>
        </is>
      </c>
      <c r="C30" s="25" t="n">
        <v>700700</v>
      </c>
      <c r="D30" s="25" t="n">
        <v>700700</v>
      </c>
      <c r="E30" s="25" t="n">
        <v>-435515.5</v>
      </c>
      <c r="F30" s="25" t="n">
        <v>0</v>
      </c>
      <c r="G30" s="25" t="n">
        <v>0</v>
      </c>
      <c r="H30" s="30">
        <f>SUM(D30:G30)</f>
        <v/>
      </c>
      <c r="I30" s="25" t="n">
        <v>0</v>
      </c>
      <c r="J30" s="25" t="n">
        <v>0</v>
      </c>
      <c r="K30" s="22" t="inlineStr">
        <is>
          <t>aucun</t>
        </is>
      </c>
      <c r="L30" s="41" t="n"/>
    </row>
    <row r="31">
      <c r="A31" s="12" t="inlineStr">
        <is>
          <t>GHENABZIA BELKACEM</t>
        </is>
      </c>
      <c r="B31" s="12" t="inlineStr">
        <is>
          <t>Client 411 + avance 419 à compenser</t>
        </is>
      </c>
      <c r="C31" s="25" t="n">
        <v>185540</v>
      </c>
      <c r="D31" s="25" t="n">
        <v>185540</v>
      </c>
      <c r="E31" s="25" t="n">
        <v>-185540</v>
      </c>
      <c r="F31" s="25" t="n">
        <v>0</v>
      </c>
      <c r="G31" s="25" t="n">
        <v>0</v>
      </c>
      <c r="H31" s="30">
        <f>SUM(D31:G31)</f>
        <v/>
      </c>
      <c r="I31" s="25" t="n">
        <v>0</v>
      </c>
      <c r="J31" s="25" t="n">
        <v>0</v>
      </c>
      <c r="K31" s="22" t="inlineStr">
        <is>
          <t>aucun</t>
        </is>
      </c>
      <c r="L31" s="41" t="n"/>
    </row>
    <row r="32">
      <c r="A32" s="12" t="inlineStr">
        <is>
          <t>BENAMARA AYOUB SAHARA MOTORS</t>
        </is>
      </c>
      <c r="B32" s="12" t="inlineStr">
        <is>
          <t>Client 411 créditeur</t>
        </is>
      </c>
      <c r="C32" s="25" t="n">
        <v>0</v>
      </c>
      <c r="D32" s="25" t="n">
        <v>-1989648</v>
      </c>
      <c r="E32" s="25" t="n">
        <v>0</v>
      </c>
      <c r="F32" s="25" t="n">
        <v>0</v>
      </c>
      <c r="G32" s="25" t="n">
        <v>0</v>
      </c>
      <c r="H32" s="30">
        <f>SUM(D32:G32)</f>
        <v/>
      </c>
      <c r="I32" s="25" t="n">
        <v>3918337.01</v>
      </c>
      <c r="J32" s="25" t="n">
        <v>5907985.01</v>
      </c>
      <c r="K32" s="22" t="inlineStr">
        <is>
          <t>13/04/2025</t>
        </is>
      </c>
      <c r="L32" s="41" t="n"/>
    </row>
    <row r="33">
      <c r="A33" s="12" t="inlineStr">
        <is>
          <t>SNC AVI BOUDEDJA ET CIE</t>
        </is>
      </c>
      <c r="B33" s="12" t="inlineStr">
        <is>
          <t>Client 411 créditeur</t>
        </is>
      </c>
      <c r="C33" s="25" t="n">
        <v>0</v>
      </c>
      <c r="D33" s="25" t="n">
        <v>-1361200</v>
      </c>
      <c r="E33" s="25" t="n">
        <v>0</v>
      </c>
      <c r="F33" s="25" t="n">
        <v>0</v>
      </c>
      <c r="G33" s="25" t="n">
        <v>0</v>
      </c>
      <c r="H33" s="30">
        <f>SUM(D33:G33)</f>
        <v/>
      </c>
      <c r="I33" s="25" t="n">
        <v>789309.28</v>
      </c>
      <c r="J33" s="25" t="n">
        <v>2150509.28</v>
      </c>
      <c r="K33" s="22" t="inlineStr">
        <is>
          <t>19/11/2025</t>
        </is>
      </c>
      <c r="L33" s="41" t="n"/>
    </row>
    <row r="34">
      <c r="A34" s="12" t="inlineStr">
        <is>
          <t>EURL MEHTAR SERVICES</t>
        </is>
      </c>
      <c r="B34" s="12" t="inlineStr">
        <is>
          <t>Client 411 créditeur</t>
        </is>
      </c>
      <c r="C34" s="25" t="n">
        <v>0</v>
      </c>
      <c r="D34" s="25" t="n">
        <v>-350000</v>
      </c>
      <c r="E34" s="25" t="n">
        <v>0</v>
      </c>
      <c r="F34" s="25" t="n">
        <v>0</v>
      </c>
      <c r="G34" s="25" t="n">
        <v>0</v>
      </c>
      <c r="H34" s="30">
        <f>SUM(D34:G34)</f>
        <v/>
      </c>
      <c r="I34" s="25" t="n">
        <v>1450000.01</v>
      </c>
      <c r="J34" s="25" t="n">
        <v>1800000.01</v>
      </c>
      <c r="K34" s="22" t="inlineStr">
        <is>
          <t>23/12/2025</t>
        </is>
      </c>
      <c r="L34" s="41" t="n"/>
    </row>
    <row r="35">
      <c r="A35" s="12" t="inlineStr">
        <is>
          <t>SARL GRANIT NEGOCE TRANSPORT</t>
        </is>
      </c>
      <c r="B35" s="12" t="inlineStr">
        <is>
          <t>Client 411 créditeur</t>
        </is>
      </c>
      <c r="C35" s="25" t="n">
        <v>14440</v>
      </c>
      <c r="D35" s="25" t="n">
        <v>-32844</v>
      </c>
      <c r="E35" s="25" t="n">
        <v>0</v>
      </c>
      <c r="F35" s="25" t="n">
        <v>0</v>
      </c>
      <c r="G35" s="25" t="n">
        <v>0</v>
      </c>
      <c r="H35" s="30">
        <f>SUM(D35:G35)</f>
        <v/>
      </c>
      <c r="I35" s="25" t="n">
        <v>0</v>
      </c>
      <c r="J35" s="25" t="n">
        <v>0</v>
      </c>
      <c r="K35" s="22" t="inlineStr">
        <is>
          <t>aucun</t>
        </is>
      </c>
      <c r="L35" s="41" t="n"/>
    </row>
    <row r="36">
      <c r="A36" s="12" t="inlineStr">
        <is>
          <t>DJOUADI BELKACEM</t>
        </is>
      </c>
      <c r="B36" s="12" t="inlineStr">
        <is>
          <t>Avance client dormante ≥ 3 ans</t>
        </is>
      </c>
      <c r="C36" s="25" t="n">
        <v>0</v>
      </c>
      <c r="D36" s="25" t="n">
        <v>0</v>
      </c>
      <c r="E36" s="25" t="n">
        <v>-14706831.93</v>
      </c>
      <c r="F36" s="25" t="n">
        <v>0</v>
      </c>
      <c r="G36" s="25" t="n">
        <v>0</v>
      </c>
      <c r="H36" s="30">
        <f>SUM(D36:G36)</f>
        <v/>
      </c>
      <c r="I36" s="25" t="n">
        <v>0</v>
      </c>
      <c r="J36" s="25" t="n">
        <v>0</v>
      </c>
      <c r="K36" s="22" t="inlineStr">
        <is>
          <t>aucun</t>
        </is>
      </c>
      <c r="L36" s="41" t="n"/>
    </row>
    <row r="37">
      <c r="A37" s="12" t="inlineStr">
        <is>
          <t>ZAIDANI ALI</t>
        </is>
      </c>
      <c r="B37" s="12" t="inlineStr">
        <is>
          <t>Avance client dormante ≥ 3 ans</t>
        </is>
      </c>
      <c r="C37" s="25" t="n">
        <v>0</v>
      </c>
      <c r="D37" s="25" t="n">
        <v>0</v>
      </c>
      <c r="E37" s="25" t="n">
        <v>-12329618.11</v>
      </c>
      <c r="F37" s="25" t="n">
        <v>0</v>
      </c>
      <c r="G37" s="25" t="n">
        <v>0</v>
      </c>
      <c r="H37" s="30">
        <f>SUM(D37:G37)</f>
        <v/>
      </c>
      <c r="I37" s="25" t="n">
        <v>0</v>
      </c>
      <c r="J37" s="25" t="n">
        <v>0</v>
      </c>
      <c r="K37" s="22" t="inlineStr">
        <is>
          <t>aucun</t>
        </is>
      </c>
      <c r="L37" s="41" t="n"/>
    </row>
    <row r="38">
      <c r="A38" s="12" t="inlineStr">
        <is>
          <t>IGHEMOURACENE SALIM</t>
        </is>
      </c>
      <c r="B38" s="12" t="inlineStr">
        <is>
          <t>Avance client dormante ≥ 3 ans</t>
        </is>
      </c>
      <c r="C38" s="25" t="n">
        <v>0</v>
      </c>
      <c r="D38" s="25" t="n">
        <v>0</v>
      </c>
      <c r="E38" s="25" t="n">
        <v>-10191211.8</v>
      </c>
      <c r="F38" s="25" t="n">
        <v>0</v>
      </c>
      <c r="G38" s="25" t="n">
        <v>0</v>
      </c>
      <c r="H38" s="30">
        <f>SUM(D38:G38)</f>
        <v/>
      </c>
      <c r="I38" s="25" t="n">
        <v>0</v>
      </c>
      <c r="J38" s="25" t="n">
        <v>0</v>
      </c>
      <c r="K38" s="22" t="inlineStr">
        <is>
          <t>aucun</t>
        </is>
      </c>
      <c r="L38" s="41" t="n"/>
    </row>
    <row r="39">
      <c r="A39" s="12" t="inlineStr">
        <is>
          <t>MESSAST ABDELOUAHAB</t>
        </is>
      </c>
      <c r="B39" s="12" t="inlineStr">
        <is>
          <t>Avance client dormante ≥ 3 ans</t>
        </is>
      </c>
      <c r="C39" s="25" t="n">
        <v>0</v>
      </c>
      <c r="D39" s="25" t="n">
        <v>0</v>
      </c>
      <c r="E39" s="25" t="n">
        <v>-9987090</v>
      </c>
      <c r="F39" s="25" t="n">
        <v>0</v>
      </c>
      <c r="G39" s="25" t="n">
        <v>0</v>
      </c>
      <c r="H39" s="30">
        <f>SUM(D39:G39)</f>
        <v/>
      </c>
      <c r="I39" s="25" t="n">
        <v>0</v>
      </c>
      <c r="J39" s="25" t="n">
        <v>0</v>
      </c>
      <c r="K39" s="22" t="inlineStr">
        <is>
          <t>aucun</t>
        </is>
      </c>
      <c r="L39" s="41" t="n"/>
    </row>
    <row r="40">
      <c r="A40" s="12" t="inlineStr">
        <is>
          <t>ETB TCE AZIRI FARID</t>
        </is>
      </c>
      <c r="B40" s="12" t="inlineStr">
        <is>
          <t>Avance client dormante ≥ 3 ans</t>
        </is>
      </c>
      <c r="C40" s="25" t="n">
        <v>0</v>
      </c>
      <c r="D40" s="25" t="n">
        <v>0</v>
      </c>
      <c r="E40" s="25" t="n">
        <v>-9627609.779999999</v>
      </c>
      <c r="F40" s="25" t="n">
        <v>0</v>
      </c>
      <c r="G40" s="25" t="n">
        <v>0</v>
      </c>
      <c r="H40" s="30">
        <f>SUM(D40:G40)</f>
        <v/>
      </c>
      <c r="I40" s="25" t="n">
        <v>0</v>
      </c>
      <c r="J40" s="25" t="n">
        <v>0</v>
      </c>
      <c r="K40" s="22" t="inlineStr">
        <is>
          <t>aucun</t>
        </is>
      </c>
      <c r="L40" s="41" t="n"/>
    </row>
    <row r="41">
      <c r="A41" s="12" t="inlineStr">
        <is>
          <t>MANSOURI ZOUBIR</t>
        </is>
      </c>
      <c r="B41" s="12" t="inlineStr">
        <is>
          <t>Avance client dormante ≥ 3 ans</t>
        </is>
      </c>
      <c r="C41" s="25" t="n">
        <v>0</v>
      </c>
      <c r="D41" s="25" t="n">
        <v>0</v>
      </c>
      <c r="E41" s="25" t="n">
        <v>-9254548</v>
      </c>
      <c r="F41" s="25" t="n">
        <v>0</v>
      </c>
      <c r="G41" s="25" t="n">
        <v>0</v>
      </c>
      <c r="H41" s="30">
        <f>SUM(D41:G41)</f>
        <v/>
      </c>
      <c r="I41" s="25" t="n">
        <v>0</v>
      </c>
      <c r="J41" s="25" t="n">
        <v>0</v>
      </c>
      <c r="K41" s="22" t="inlineStr">
        <is>
          <t>aucun</t>
        </is>
      </c>
      <c r="L41" s="41" t="n"/>
    </row>
    <row r="42">
      <c r="A42" s="12" t="inlineStr">
        <is>
          <t>BAKHA MOKHTAR</t>
        </is>
      </c>
      <c r="B42" s="12" t="inlineStr">
        <is>
          <t>Avance client dormante ≥ 3 ans</t>
        </is>
      </c>
      <c r="C42" s="25" t="n">
        <v>0</v>
      </c>
      <c r="D42" s="25" t="n">
        <v>0</v>
      </c>
      <c r="E42" s="25" t="n">
        <v>-7587989.13</v>
      </c>
      <c r="F42" s="25" t="n">
        <v>0</v>
      </c>
      <c r="G42" s="25" t="n">
        <v>0</v>
      </c>
      <c r="H42" s="30">
        <f>SUM(D42:G42)</f>
        <v/>
      </c>
      <c r="I42" s="25" t="n">
        <v>0</v>
      </c>
      <c r="J42" s="25" t="n">
        <v>0</v>
      </c>
      <c r="K42" s="22" t="inlineStr">
        <is>
          <t>aucun</t>
        </is>
      </c>
      <c r="L42" s="41" t="n"/>
    </row>
    <row r="43">
      <c r="A43" s="12" t="inlineStr">
        <is>
          <t>SNC L'AIGLE DES COLINES</t>
        </is>
      </c>
      <c r="B43" s="12" t="inlineStr">
        <is>
          <t>Avance client dormante ≥ 3 ans</t>
        </is>
      </c>
      <c r="C43" s="25" t="n">
        <v>0</v>
      </c>
      <c r="D43" s="25" t="n">
        <v>0</v>
      </c>
      <c r="E43" s="25" t="n">
        <v>-7453500.71</v>
      </c>
      <c r="F43" s="25" t="n">
        <v>0</v>
      </c>
      <c r="G43" s="25" t="n">
        <v>0</v>
      </c>
      <c r="H43" s="30">
        <f>SUM(D43:G43)</f>
        <v/>
      </c>
      <c r="I43" s="25" t="n">
        <v>0</v>
      </c>
      <c r="J43" s="25" t="n">
        <v>0</v>
      </c>
      <c r="K43" s="22" t="inlineStr">
        <is>
          <t>aucun</t>
        </is>
      </c>
      <c r="L43" s="41" t="n"/>
    </row>
    <row r="44">
      <c r="A44" s="12" t="inlineStr">
        <is>
          <t>BOUHZILA MOURAD</t>
        </is>
      </c>
      <c r="B44" s="12" t="inlineStr">
        <is>
          <t>Avance client dormante ≥ 3 ans</t>
        </is>
      </c>
      <c r="C44" s="25" t="n">
        <v>0</v>
      </c>
      <c r="D44" s="25" t="n">
        <v>0</v>
      </c>
      <c r="E44" s="25" t="n">
        <v>-6695583.64</v>
      </c>
      <c r="F44" s="25" t="n">
        <v>0</v>
      </c>
      <c r="G44" s="25" t="n">
        <v>0</v>
      </c>
      <c r="H44" s="30">
        <f>SUM(D44:G44)</f>
        <v/>
      </c>
      <c r="I44" s="25" t="n">
        <v>0</v>
      </c>
      <c r="J44" s="25" t="n">
        <v>0</v>
      </c>
      <c r="K44" s="22" t="inlineStr">
        <is>
          <t>aucun</t>
        </is>
      </c>
      <c r="L44" s="41" t="n"/>
    </row>
    <row r="45">
      <c r="A45" s="12" t="inlineStr">
        <is>
          <t>ZIANI KOCEILA</t>
        </is>
      </c>
      <c r="B45" s="12" t="inlineStr">
        <is>
          <t>Avance client dormante ≥ 3 ans</t>
        </is>
      </c>
      <c r="C45" s="25" t="n">
        <v>0</v>
      </c>
      <c r="D45" s="25" t="n">
        <v>0</v>
      </c>
      <c r="E45" s="25" t="n">
        <v>-5974969.31</v>
      </c>
      <c r="F45" s="25" t="n">
        <v>0</v>
      </c>
      <c r="G45" s="25" t="n">
        <v>0</v>
      </c>
      <c r="H45" s="30">
        <f>SUM(D45:G45)</f>
        <v/>
      </c>
      <c r="I45" s="25" t="n">
        <v>0</v>
      </c>
      <c r="J45" s="25" t="n">
        <v>0</v>
      </c>
      <c r="K45" s="22" t="inlineStr">
        <is>
          <t>aucun</t>
        </is>
      </c>
      <c r="L45" s="41" t="n"/>
    </row>
    <row r="46">
      <c r="A46" s="12" t="inlineStr">
        <is>
          <t>SNC LASMI ET CIE HYGIENNE</t>
        </is>
      </c>
      <c r="B46" s="12" t="inlineStr">
        <is>
          <t>Avance client dormante ≥ 3 ans</t>
        </is>
      </c>
      <c r="C46" s="25" t="n">
        <v>0</v>
      </c>
      <c r="D46" s="25" t="n">
        <v>0</v>
      </c>
      <c r="E46" s="25" t="n">
        <v>-4586600</v>
      </c>
      <c r="F46" s="25" t="n">
        <v>0</v>
      </c>
      <c r="G46" s="25" t="n">
        <v>0</v>
      </c>
      <c r="H46" s="30">
        <f>SUM(D46:G46)</f>
        <v/>
      </c>
      <c r="I46" s="25" t="n">
        <v>0</v>
      </c>
      <c r="J46" s="25" t="n">
        <v>0</v>
      </c>
      <c r="K46" s="22" t="inlineStr">
        <is>
          <t>aucun</t>
        </is>
      </c>
      <c r="L46" s="41" t="n"/>
    </row>
    <row r="47">
      <c r="A47" s="12" t="inlineStr">
        <is>
          <t>KADI MOHAND AREZKI</t>
        </is>
      </c>
      <c r="B47" s="12" t="inlineStr">
        <is>
          <t>Avance client dormante ≥ 3 ans</t>
        </is>
      </c>
      <c r="C47" s="25" t="n">
        <v>0</v>
      </c>
      <c r="D47" s="25" t="n">
        <v>0</v>
      </c>
      <c r="E47" s="25" t="n">
        <v>-4333712.42</v>
      </c>
      <c r="F47" s="25" t="n">
        <v>0</v>
      </c>
      <c r="G47" s="25" t="n">
        <v>0</v>
      </c>
      <c r="H47" s="30">
        <f>SUM(D47:G47)</f>
        <v/>
      </c>
      <c r="I47" s="25" t="n">
        <v>0</v>
      </c>
      <c r="J47" s="25" t="n">
        <v>0</v>
      </c>
      <c r="K47" s="22" t="inlineStr">
        <is>
          <t>aucun</t>
        </is>
      </c>
      <c r="L47" s="41" t="n"/>
    </row>
    <row r="48">
      <c r="A48" s="12" t="inlineStr">
        <is>
          <t>EURL BIZIOU</t>
        </is>
      </c>
      <c r="B48" s="12" t="inlineStr">
        <is>
          <t>Avance client dormante ≥ 3 ans</t>
        </is>
      </c>
      <c r="C48" s="25" t="n">
        <v>0</v>
      </c>
      <c r="D48" s="25" t="n">
        <v>0</v>
      </c>
      <c r="E48" s="25" t="n">
        <v>-4168226.83</v>
      </c>
      <c r="F48" s="25" t="n">
        <v>0</v>
      </c>
      <c r="G48" s="25" t="n">
        <v>0</v>
      </c>
      <c r="H48" s="30">
        <f>SUM(D48:G48)</f>
        <v/>
      </c>
      <c r="I48" s="25" t="n">
        <v>0</v>
      </c>
      <c r="J48" s="25" t="n">
        <v>0</v>
      </c>
      <c r="K48" s="22" t="inlineStr">
        <is>
          <t>aucun</t>
        </is>
      </c>
      <c r="L48" s="41" t="n"/>
    </row>
    <row r="49">
      <c r="A49" s="12" t="inlineStr">
        <is>
          <t>AZIB AZZEDINE</t>
        </is>
      </c>
      <c r="B49" s="12" t="inlineStr">
        <is>
          <t>Avance client dormante ≥ 3 ans</t>
        </is>
      </c>
      <c r="C49" s="25" t="n">
        <v>0</v>
      </c>
      <c r="D49" s="25" t="n">
        <v>0</v>
      </c>
      <c r="E49" s="25" t="n">
        <v>-4087093.07</v>
      </c>
      <c r="F49" s="25" t="n">
        <v>0</v>
      </c>
      <c r="G49" s="25" t="n">
        <v>0</v>
      </c>
      <c r="H49" s="30">
        <f>SUM(D49:G49)</f>
        <v/>
      </c>
      <c r="I49" s="25" t="n">
        <v>0</v>
      </c>
      <c r="J49" s="25" t="n">
        <v>0</v>
      </c>
      <c r="K49" s="22" t="inlineStr">
        <is>
          <t>aucun</t>
        </is>
      </c>
      <c r="L49" s="41" t="n"/>
    </row>
    <row r="50">
      <c r="A50" s="12" t="inlineStr">
        <is>
          <t>SELLAH AKLI</t>
        </is>
      </c>
      <c r="B50" s="12" t="inlineStr">
        <is>
          <t>Avance client dormante ≥ 3 ans</t>
        </is>
      </c>
      <c r="C50" s="25" t="n">
        <v>0</v>
      </c>
      <c r="D50" s="25" t="n">
        <v>0</v>
      </c>
      <c r="E50" s="25" t="n">
        <v>-3702637.99</v>
      </c>
      <c r="F50" s="25" t="n">
        <v>0</v>
      </c>
      <c r="G50" s="25" t="n">
        <v>0</v>
      </c>
      <c r="H50" s="30">
        <f>SUM(D50:G50)</f>
        <v/>
      </c>
      <c r="I50" s="25" t="n">
        <v>0</v>
      </c>
      <c r="J50" s="25" t="n">
        <v>0</v>
      </c>
      <c r="K50" s="22" t="inlineStr">
        <is>
          <t>aucun</t>
        </is>
      </c>
      <c r="L50" s="41" t="n"/>
    </row>
    <row r="51">
      <c r="A51" s="12" t="inlineStr">
        <is>
          <t>BIBI SMAIL</t>
        </is>
      </c>
      <c r="B51" s="12" t="inlineStr">
        <is>
          <t>Avance client dormante ≥ 3 ans</t>
        </is>
      </c>
      <c r="C51" s="25" t="n">
        <v>0</v>
      </c>
      <c r="D51" s="25" t="n">
        <v>0</v>
      </c>
      <c r="E51" s="25" t="n">
        <v>-3702000</v>
      </c>
      <c r="F51" s="25" t="n">
        <v>0</v>
      </c>
      <c r="G51" s="25" t="n">
        <v>0</v>
      </c>
      <c r="H51" s="30">
        <f>SUM(D51:G51)</f>
        <v/>
      </c>
      <c r="I51" s="25" t="n">
        <v>0</v>
      </c>
      <c r="J51" s="25" t="n">
        <v>0</v>
      </c>
      <c r="K51" s="22" t="inlineStr">
        <is>
          <t>aucun</t>
        </is>
      </c>
      <c r="L51" s="41" t="n"/>
    </row>
    <row r="52">
      <c r="A52" s="12" t="inlineStr">
        <is>
          <t>DJOUDI SADEK</t>
        </is>
      </c>
      <c r="B52" s="12" t="inlineStr">
        <is>
          <t>Avance client dormante ≥ 3 ans</t>
        </is>
      </c>
      <c r="C52" s="25" t="n">
        <v>0</v>
      </c>
      <c r="D52" s="25" t="n">
        <v>0</v>
      </c>
      <c r="E52" s="25" t="n">
        <v>-3643857.92</v>
      </c>
      <c r="F52" s="25" t="n">
        <v>0</v>
      </c>
      <c r="G52" s="25" t="n">
        <v>0</v>
      </c>
      <c r="H52" s="30">
        <f>SUM(D52:G52)</f>
        <v/>
      </c>
      <c r="I52" s="25" t="n">
        <v>0</v>
      </c>
      <c r="J52" s="25" t="n">
        <v>0</v>
      </c>
      <c r="K52" s="22" t="inlineStr">
        <is>
          <t>aucun</t>
        </is>
      </c>
      <c r="L52" s="41" t="n"/>
    </row>
    <row r="53">
      <c r="A53" s="12" t="inlineStr">
        <is>
          <t>MECHREF MOUHOUB</t>
        </is>
      </c>
      <c r="B53" s="12" t="inlineStr">
        <is>
          <t>Avance client dormante ≥ 3 ans</t>
        </is>
      </c>
      <c r="C53" s="25" t="n">
        <v>0</v>
      </c>
      <c r="D53" s="25" t="n">
        <v>0</v>
      </c>
      <c r="E53" s="25" t="n">
        <v>-3509008.27</v>
      </c>
      <c r="F53" s="25" t="n">
        <v>0</v>
      </c>
      <c r="G53" s="25" t="n">
        <v>0</v>
      </c>
      <c r="H53" s="30">
        <f>SUM(D53:G53)</f>
        <v/>
      </c>
      <c r="I53" s="25" t="n">
        <v>0</v>
      </c>
      <c r="J53" s="25" t="n">
        <v>0</v>
      </c>
      <c r="K53" s="22" t="inlineStr">
        <is>
          <t>aucun</t>
        </is>
      </c>
      <c r="L53" s="41" t="n"/>
    </row>
    <row r="54">
      <c r="A54" s="12" t="inlineStr">
        <is>
          <t>CHEBAH ABDESSALEM</t>
        </is>
      </c>
      <c r="B54" s="12" t="inlineStr">
        <is>
          <t>Avance client dormante ≥ 3 ans</t>
        </is>
      </c>
      <c r="C54" s="25" t="n">
        <v>0</v>
      </c>
      <c r="D54" s="25" t="n">
        <v>0</v>
      </c>
      <c r="E54" s="25" t="n">
        <v>-3400200</v>
      </c>
      <c r="F54" s="25" t="n">
        <v>0</v>
      </c>
      <c r="G54" s="25" t="n">
        <v>0</v>
      </c>
      <c r="H54" s="30">
        <f>SUM(D54:G54)</f>
        <v/>
      </c>
      <c r="I54" s="25" t="n">
        <v>0</v>
      </c>
      <c r="J54" s="25" t="n">
        <v>0</v>
      </c>
      <c r="K54" s="22" t="inlineStr">
        <is>
          <t>aucun</t>
        </is>
      </c>
      <c r="L54" s="41" t="n"/>
    </row>
    <row r="55">
      <c r="A55" s="12" t="inlineStr">
        <is>
          <t>BENMEZIANE ABBAS</t>
        </is>
      </c>
      <c r="B55" s="12" t="inlineStr">
        <is>
          <t>Avance client dormante ≥ 3 ans</t>
        </is>
      </c>
      <c r="C55" s="25" t="n">
        <v>0</v>
      </c>
      <c r="D55" s="25" t="n">
        <v>0</v>
      </c>
      <c r="E55" s="25" t="n">
        <v>-3133434.14</v>
      </c>
      <c r="F55" s="25" t="n">
        <v>0</v>
      </c>
      <c r="G55" s="25" t="n">
        <v>0</v>
      </c>
      <c r="H55" s="30">
        <f>SUM(D55:G55)</f>
        <v/>
      </c>
      <c r="I55" s="25" t="n">
        <v>0</v>
      </c>
      <c r="J55" s="25" t="n">
        <v>0</v>
      </c>
      <c r="K55" s="22" t="inlineStr">
        <is>
          <t>aucun</t>
        </is>
      </c>
      <c r="L55" s="41" t="n"/>
    </row>
    <row r="56">
      <c r="A56" s="12" t="inlineStr">
        <is>
          <t>BERKANI HAMZA</t>
        </is>
      </c>
      <c r="B56" s="12" t="inlineStr">
        <is>
          <t>Avance client dormante ≥ 3 ans</t>
        </is>
      </c>
      <c r="C56" s="25" t="n">
        <v>0</v>
      </c>
      <c r="D56" s="25" t="n">
        <v>0</v>
      </c>
      <c r="E56" s="25" t="n">
        <v>-2662204.95</v>
      </c>
      <c r="F56" s="25" t="n">
        <v>0</v>
      </c>
      <c r="G56" s="25" t="n">
        <v>0</v>
      </c>
      <c r="H56" s="30">
        <f>SUM(D56:G56)</f>
        <v/>
      </c>
      <c r="I56" s="25" t="n">
        <v>0</v>
      </c>
      <c r="J56" s="25" t="n">
        <v>0</v>
      </c>
      <c r="K56" s="22" t="inlineStr">
        <is>
          <t>aucun</t>
        </is>
      </c>
      <c r="L56" s="41" t="n"/>
    </row>
    <row r="57">
      <c r="A57" s="12" t="inlineStr">
        <is>
          <t>OUASDI SAADI</t>
        </is>
      </c>
      <c r="B57" s="12" t="inlineStr">
        <is>
          <t>Avance client dormante ≥ 3 ans</t>
        </is>
      </c>
      <c r="C57" s="25" t="n">
        <v>0</v>
      </c>
      <c r="D57" s="25" t="n">
        <v>0</v>
      </c>
      <c r="E57" s="25" t="n">
        <v>-2583217.7</v>
      </c>
      <c r="F57" s="25" t="n">
        <v>0</v>
      </c>
      <c r="G57" s="25" t="n">
        <v>0</v>
      </c>
      <c r="H57" s="30">
        <f>SUM(D57:G57)</f>
        <v/>
      </c>
      <c r="I57" s="25" t="n">
        <v>0</v>
      </c>
      <c r="J57" s="25" t="n">
        <v>0</v>
      </c>
      <c r="K57" s="22" t="inlineStr">
        <is>
          <t>aucun</t>
        </is>
      </c>
      <c r="L57" s="41" t="n"/>
    </row>
    <row r="58">
      <c r="A58" s="12" t="inlineStr">
        <is>
          <t>SARL SIARI MEHLIA TPP</t>
        </is>
      </c>
      <c r="B58" s="12" t="inlineStr">
        <is>
          <t>Avance client dormante ≥ 3 ans</t>
        </is>
      </c>
      <c r="C58" s="25" t="n">
        <v>0</v>
      </c>
      <c r="D58" s="25" t="n">
        <v>0</v>
      </c>
      <c r="E58" s="25" t="n">
        <v>-2162328.3</v>
      </c>
      <c r="F58" s="25" t="n">
        <v>0</v>
      </c>
      <c r="G58" s="25" t="n">
        <v>0</v>
      </c>
      <c r="H58" s="30">
        <f>SUM(D58:G58)</f>
        <v/>
      </c>
      <c r="I58" s="25" t="n">
        <v>0</v>
      </c>
      <c r="J58" s="25" t="n">
        <v>0</v>
      </c>
      <c r="K58" s="22" t="inlineStr">
        <is>
          <t>aucun</t>
        </is>
      </c>
      <c r="L58" s="41" t="n"/>
    </row>
    <row r="59">
      <c r="A59" s="12" t="inlineStr">
        <is>
          <t>HADDAD KHELLAF</t>
        </is>
      </c>
      <c r="B59" s="12" t="inlineStr">
        <is>
          <t>Avance client dormante ≥ 3 ans</t>
        </is>
      </c>
      <c r="C59" s="25" t="n">
        <v>0</v>
      </c>
      <c r="D59" s="25" t="n">
        <v>0</v>
      </c>
      <c r="E59" s="25" t="n">
        <v>-2072726.88</v>
      </c>
      <c r="F59" s="25" t="n">
        <v>0</v>
      </c>
      <c r="G59" s="25" t="n">
        <v>0</v>
      </c>
      <c r="H59" s="30">
        <f>SUM(D59:G59)</f>
        <v/>
      </c>
      <c r="I59" s="25" t="n">
        <v>0</v>
      </c>
      <c r="J59" s="25" t="n">
        <v>0</v>
      </c>
      <c r="K59" s="22" t="inlineStr">
        <is>
          <t>aucun</t>
        </is>
      </c>
      <c r="L59" s="41" t="n"/>
    </row>
    <row r="60">
      <c r="A60" s="12" t="inlineStr">
        <is>
          <t>MEHDAOUI SAID</t>
        </is>
      </c>
      <c r="B60" s="12" t="inlineStr">
        <is>
          <t>Avance client dormante ≥ 3 ans</t>
        </is>
      </c>
      <c r="C60" s="25" t="n">
        <v>0</v>
      </c>
      <c r="D60" s="25" t="n">
        <v>0</v>
      </c>
      <c r="E60" s="25" t="n">
        <v>-2069100</v>
      </c>
      <c r="F60" s="25" t="n">
        <v>0</v>
      </c>
      <c r="G60" s="25" t="n">
        <v>0</v>
      </c>
      <c r="H60" s="30">
        <f>SUM(D60:G60)</f>
        <v/>
      </c>
      <c r="I60" s="25" t="n">
        <v>0</v>
      </c>
      <c r="J60" s="25" t="n">
        <v>0</v>
      </c>
      <c r="K60" s="22" t="inlineStr">
        <is>
          <t>aucun</t>
        </is>
      </c>
      <c r="L60" s="41" t="n"/>
    </row>
    <row r="61">
      <c r="A61" s="12" t="inlineStr">
        <is>
          <t>HARFOUCHE REDA</t>
        </is>
      </c>
      <c r="B61" s="12" t="inlineStr">
        <is>
          <t>Avance client dormante ≥ 3 ans</t>
        </is>
      </c>
      <c r="C61" s="25" t="n">
        <v>0</v>
      </c>
      <c r="D61" s="25" t="n">
        <v>0</v>
      </c>
      <c r="E61" s="25" t="n">
        <v>-1972018.2</v>
      </c>
      <c r="F61" s="25" t="n">
        <v>0</v>
      </c>
      <c r="G61" s="25" t="n">
        <v>0</v>
      </c>
      <c r="H61" s="30">
        <f>SUM(D61:G61)</f>
        <v/>
      </c>
      <c r="I61" s="25" t="n">
        <v>0</v>
      </c>
      <c r="J61" s="25" t="n">
        <v>0</v>
      </c>
      <c r="K61" s="22" t="inlineStr">
        <is>
          <t>aucun</t>
        </is>
      </c>
      <c r="L61" s="41" t="n"/>
    </row>
    <row r="62">
      <c r="A62" s="12" t="inlineStr">
        <is>
          <t>SNC NASAF GALOUL ET CIE</t>
        </is>
      </c>
      <c r="B62" s="12" t="inlineStr">
        <is>
          <t>Avance client dormante ≥ 3 ans</t>
        </is>
      </c>
      <c r="C62" s="25" t="n">
        <v>0</v>
      </c>
      <c r="D62" s="25" t="n">
        <v>0</v>
      </c>
      <c r="E62" s="25" t="n">
        <v>-1929169.53</v>
      </c>
      <c r="F62" s="25" t="n">
        <v>0</v>
      </c>
      <c r="G62" s="25" t="n">
        <v>0</v>
      </c>
      <c r="H62" s="30">
        <f>SUM(D62:G62)</f>
        <v/>
      </c>
      <c r="I62" s="25" t="n">
        <v>0</v>
      </c>
      <c r="J62" s="25" t="n">
        <v>0</v>
      </c>
      <c r="K62" s="22" t="inlineStr">
        <is>
          <t>aucun</t>
        </is>
      </c>
      <c r="L62" s="41" t="n"/>
    </row>
    <row r="63">
      <c r="A63" s="12" t="inlineStr">
        <is>
          <t>YAHIAOUI REDOUANE</t>
        </is>
      </c>
      <c r="B63" s="12" t="inlineStr">
        <is>
          <t>Avance client dormante ≥ 3 ans</t>
        </is>
      </c>
      <c r="C63" s="25" t="n">
        <v>0</v>
      </c>
      <c r="D63" s="25" t="n">
        <v>0</v>
      </c>
      <c r="E63" s="25" t="n">
        <v>-1897517.28</v>
      </c>
      <c r="F63" s="25" t="n">
        <v>0</v>
      </c>
      <c r="G63" s="25" t="n">
        <v>0</v>
      </c>
      <c r="H63" s="30">
        <f>SUM(D63:G63)</f>
        <v/>
      </c>
      <c r="I63" s="25" t="n">
        <v>0</v>
      </c>
      <c r="J63" s="25" t="n">
        <v>0</v>
      </c>
      <c r="K63" s="22" t="inlineStr">
        <is>
          <t>aucun</t>
        </is>
      </c>
      <c r="L63" s="41" t="n"/>
    </row>
    <row r="64">
      <c r="A64" s="12" t="inlineStr">
        <is>
          <t>DJOUMI LAID</t>
        </is>
      </c>
      <c r="B64" s="12" t="inlineStr">
        <is>
          <t>Avance client dormante ≥ 3 ans</t>
        </is>
      </c>
      <c r="C64" s="25" t="n">
        <v>0</v>
      </c>
      <c r="D64" s="25" t="n">
        <v>0</v>
      </c>
      <c r="E64" s="25" t="n">
        <v>-1881191.91</v>
      </c>
      <c r="F64" s="25" t="n">
        <v>0</v>
      </c>
      <c r="G64" s="25" t="n">
        <v>0</v>
      </c>
      <c r="H64" s="30">
        <f>SUM(D64:G64)</f>
        <v/>
      </c>
      <c r="I64" s="25" t="n">
        <v>0</v>
      </c>
      <c r="J64" s="25" t="n">
        <v>0</v>
      </c>
      <c r="K64" s="22" t="inlineStr">
        <is>
          <t>aucun</t>
        </is>
      </c>
      <c r="L64" s="41" t="n"/>
    </row>
    <row r="65">
      <c r="A65" s="12" t="inlineStr">
        <is>
          <t>SARL TRANS FAID</t>
        </is>
      </c>
      <c r="B65" s="12" t="inlineStr">
        <is>
          <t>Avance client dormante ≥ 3 ans</t>
        </is>
      </c>
      <c r="C65" s="25" t="n">
        <v>0</v>
      </c>
      <c r="D65" s="25" t="n">
        <v>0</v>
      </c>
      <c r="E65" s="25" t="n">
        <v>-1843316.12</v>
      </c>
      <c r="F65" s="25" t="n">
        <v>0</v>
      </c>
      <c r="G65" s="25" t="n">
        <v>0</v>
      </c>
      <c r="H65" s="30">
        <f>SUM(D65:G65)</f>
        <v/>
      </c>
      <c r="I65" s="25" t="n">
        <v>0</v>
      </c>
      <c r="J65" s="25" t="n">
        <v>0</v>
      </c>
      <c r="K65" s="22" t="inlineStr">
        <is>
          <t>aucun</t>
        </is>
      </c>
      <c r="L65" s="41" t="n"/>
    </row>
    <row r="66">
      <c r="A66" s="12" t="inlineStr">
        <is>
          <t>SARL KECHAYACHE BAT ET ROUTES</t>
        </is>
      </c>
      <c r="B66" s="12" t="inlineStr">
        <is>
          <t>Avance client dormante ≥ 3 ans</t>
        </is>
      </c>
      <c r="C66" s="25" t="n">
        <v>0</v>
      </c>
      <c r="D66" s="25" t="n">
        <v>0</v>
      </c>
      <c r="E66" s="25" t="n">
        <v>-1835871.17</v>
      </c>
      <c r="F66" s="25" t="n">
        <v>0</v>
      </c>
      <c r="G66" s="25" t="n">
        <v>0</v>
      </c>
      <c r="H66" s="30">
        <f>SUM(D66:G66)</f>
        <v/>
      </c>
      <c r="I66" s="25" t="n">
        <v>0</v>
      </c>
      <c r="J66" s="25" t="n">
        <v>0</v>
      </c>
      <c r="K66" s="22" t="inlineStr">
        <is>
          <t>aucun</t>
        </is>
      </c>
      <c r="L66" s="41" t="n"/>
    </row>
    <row r="67">
      <c r="A67" s="12" t="inlineStr">
        <is>
          <t>SAIT ABDESLAM</t>
        </is>
      </c>
      <c r="B67" s="12" t="inlineStr">
        <is>
          <t>Avance client dormante ≥ 3 ans</t>
        </is>
      </c>
      <c r="C67" s="25" t="n">
        <v>0</v>
      </c>
      <c r="D67" s="25" t="n">
        <v>0</v>
      </c>
      <c r="E67" s="25" t="n">
        <v>-1686508.35</v>
      </c>
      <c r="F67" s="25" t="n">
        <v>0</v>
      </c>
      <c r="G67" s="25" t="n">
        <v>0</v>
      </c>
      <c r="H67" s="30">
        <f>SUM(D67:G67)</f>
        <v/>
      </c>
      <c r="I67" s="25" t="n">
        <v>0</v>
      </c>
      <c r="J67" s="25" t="n">
        <v>0</v>
      </c>
      <c r="K67" s="22" t="inlineStr">
        <is>
          <t>aucun</t>
        </is>
      </c>
      <c r="L67" s="41" t="n"/>
    </row>
    <row r="68">
      <c r="A68" s="12" t="inlineStr">
        <is>
          <t>(sans code) 41910</t>
        </is>
      </c>
      <c r="B68" s="12" t="inlineStr">
        <is>
          <t>Avance client dormante ≥ 3 ans</t>
        </is>
      </c>
      <c r="C68" s="25" t="n">
        <v>0</v>
      </c>
      <c r="D68" s="25" t="n">
        <v>0</v>
      </c>
      <c r="E68" s="25" t="n">
        <v>-1612880.99</v>
      </c>
      <c r="F68" s="25" t="n">
        <v>0</v>
      </c>
      <c r="G68" s="25" t="n">
        <v>0</v>
      </c>
      <c r="H68" s="30">
        <f>SUM(D68:G68)</f>
        <v/>
      </c>
      <c r="I68" s="25" t="n">
        <v>0</v>
      </c>
      <c r="J68" s="25" t="n">
        <v>0</v>
      </c>
      <c r="K68" s="22" t="inlineStr">
        <is>
          <t>aucun</t>
        </is>
      </c>
      <c r="L68" s="41" t="n"/>
    </row>
    <row r="69">
      <c r="A69" s="12" t="inlineStr">
        <is>
          <t>FERHAT SALIM</t>
        </is>
      </c>
      <c r="B69" s="12" t="inlineStr">
        <is>
          <t>Avance client dormante ≥ 3 ans</t>
        </is>
      </c>
      <c r="C69" s="25" t="n">
        <v>0</v>
      </c>
      <c r="D69" s="25" t="n">
        <v>0</v>
      </c>
      <c r="E69" s="25" t="n">
        <v>-1600000</v>
      </c>
      <c r="F69" s="25" t="n">
        <v>0</v>
      </c>
      <c r="G69" s="25" t="n">
        <v>0</v>
      </c>
      <c r="H69" s="30">
        <f>SUM(D69:G69)</f>
        <v/>
      </c>
      <c r="I69" s="25" t="n">
        <v>0</v>
      </c>
      <c r="J69" s="25" t="n">
        <v>0</v>
      </c>
      <c r="K69" s="22" t="inlineStr">
        <is>
          <t>aucun</t>
        </is>
      </c>
      <c r="L69" s="41" t="n"/>
    </row>
    <row r="70">
      <c r="A70" s="12" t="inlineStr">
        <is>
          <t>MADI KARIM</t>
        </is>
      </c>
      <c r="B70" s="12" t="inlineStr">
        <is>
          <t>Avance client dormante ≥ 3 ans</t>
        </is>
      </c>
      <c r="C70" s="25" t="n">
        <v>0</v>
      </c>
      <c r="D70" s="25" t="n">
        <v>0</v>
      </c>
      <c r="E70" s="25" t="n">
        <v>-1561986.88</v>
      </c>
      <c r="F70" s="25" t="n">
        <v>0</v>
      </c>
      <c r="G70" s="25" t="n">
        <v>0</v>
      </c>
      <c r="H70" s="30">
        <f>SUM(D70:G70)</f>
        <v/>
      </c>
      <c r="I70" s="25" t="n">
        <v>0</v>
      </c>
      <c r="J70" s="25" t="n">
        <v>0</v>
      </c>
      <c r="K70" s="22" t="inlineStr">
        <is>
          <t>aucun</t>
        </is>
      </c>
      <c r="L70" s="41" t="n"/>
    </row>
    <row r="71">
      <c r="A71" s="12" t="inlineStr">
        <is>
          <t>IDIR NADIR</t>
        </is>
      </c>
      <c r="B71" s="12" t="inlineStr">
        <is>
          <t>Avance client dormante ≥ 3 ans</t>
        </is>
      </c>
      <c r="C71" s="25" t="n">
        <v>0</v>
      </c>
      <c r="D71" s="25" t="n">
        <v>0</v>
      </c>
      <c r="E71" s="25" t="n">
        <v>-1537954.06</v>
      </c>
      <c r="F71" s="25" t="n">
        <v>0</v>
      </c>
      <c r="G71" s="25" t="n">
        <v>0</v>
      </c>
      <c r="H71" s="30">
        <f>SUM(D71:G71)</f>
        <v/>
      </c>
      <c r="I71" s="25" t="n">
        <v>0</v>
      </c>
      <c r="J71" s="25" t="n">
        <v>0</v>
      </c>
      <c r="K71" s="22" t="inlineStr">
        <is>
          <t>aucun</t>
        </is>
      </c>
      <c r="L71" s="41" t="n"/>
    </row>
    <row r="72">
      <c r="A72" s="12" t="inlineStr">
        <is>
          <t>ACHOURI ABDELLATIF</t>
        </is>
      </c>
      <c r="B72" s="12" t="inlineStr">
        <is>
          <t>Avance client dormante ≥ 3 ans</t>
        </is>
      </c>
      <c r="C72" s="25" t="n">
        <v>0</v>
      </c>
      <c r="D72" s="25" t="n">
        <v>0</v>
      </c>
      <c r="E72" s="25" t="n">
        <v>-1500000</v>
      </c>
      <c r="F72" s="25" t="n">
        <v>0</v>
      </c>
      <c r="G72" s="25" t="n">
        <v>0</v>
      </c>
      <c r="H72" s="30">
        <f>SUM(D72:G72)</f>
        <v/>
      </c>
      <c r="I72" s="25" t="n">
        <v>0</v>
      </c>
      <c r="J72" s="25" t="n">
        <v>0</v>
      </c>
      <c r="K72" s="22" t="inlineStr">
        <is>
          <t>aucun</t>
        </is>
      </c>
      <c r="L72" s="41" t="n"/>
    </row>
    <row r="73">
      <c r="A73" s="12" t="inlineStr">
        <is>
          <t>BOUKELA MADJID</t>
        </is>
      </c>
      <c r="B73" s="12" t="inlineStr">
        <is>
          <t>Avance client dormante ≥ 3 ans</t>
        </is>
      </c>
      <c r="C73" s="25" t="n">
        <v>0</v>
      </c>
      <c r="D73" s="25" t="n">
        <v>0</v>
      </c>
      <c r="E73" s="25" t="n">
        <v>-1500000</v>
      </c>
      <c r="F73" s="25" t="n">
        <v>0</v>
      </c>
      <c r="G73" s="25" t="n">
        <v>0</v>
      </c>
      <c r="H73" s="30">
        <f>SUM(D73:G73)</f>
        <v/>
      </c>
      <c r="I73" s="25" t="n">
        <v>0</v>
      </c>
      <c r="J73" s="25" t="n">
        <v>0</v>
      </c>
      <c r="K73" s="22" t="inlineStr">
        <is>
          <t>aucun</t>
        </is>
      </c>
      <c r="L73" s="41" t="n"/>
    </row>
    <row r="74">
      <c r="A74" s="12" t="inlineStr">
        <is>
          <t>HAMZAOUI AMOKRANE</t>
        </is>
      </c>
      <c r="B74" s="12" t="inlineStr">
        <is>
          <t>Avance client dormante ≥ 3 ans</t>
        </is>
      </c>
      <c r="C74" s="25" t="n">
        <v>0</v>
      </c>
      <c r="D74" s="25" t="n">
        <v>0</v>
      </c>
      <c r="E74" s="25" t="n">
        <v>-1443600</v>
      </c>
      <c r="F74" s="25" t="n">
        <v>0</v>
      </c>
      <c r="G74" s="25" t="n">
        <v>0</v>
      </c>
      <c r="H74" s="30">
        <f>SUM(D74:G74)</f>
        <v/>
      </c>
      <c r="I74" s="25" t="n">
        <v>0</v>
      </c>
      <c r="J74" s="25" t="n">
        <v>0</v>
      </c>
      <c r="K74" s="22" t="inlineStr">
        <is>
          <t>aucun</t>
        </is>
      </c>
      <c r="L74" s="41" t="n"/>
    </row>
    <row r="75">
      <c r="A75" s="12" t="inlineStr">
        <is>
          <t>TEI ABDELFATAH</t>
        </is>
      </c>
      <c r="B75" s="12" t="inlineStr">
        <is>
          <t>Avance client dormante ≥ 3 ans</t>
        </is>
      </c>
      <c r="C75" s="25" t="n">
        <v>0</v>
      </c>
      <c r="D75" s="25" t="n">
        <v>0</v>
      </c>
      <c r="E75" s="25" t="n">
        <v>-1399999.98</v>
      </c>
      <c r="F75" s="25" t="n">
        <v>0</v>
      </c>
      <c r="G75" s="25" t="n">
        <v>0</v>
      </c>
      <c r="H75" s="30">
        <f>SUM(D75:G75)</f>
        <v/>
      </c>
      <c r="I75" s="25" t="n">
        <v>0</v>
      </c>
      <c r="J75" s="25" t="n">
        <v>0</v>
      </c>
      <c r="K75" s="22" t="inlineStr">
        <is>
          <t>aucun</t>
        </is>
      </c>
      <c r="L75" s="41" t="n"/>
    </row>
    <row r="76">
      <c r="A76" s="12" t="inlineStr">
        <is>
          <t>SELLAH BACHIR</t>
        </is>
      </c>
      <c r="B76" s="12" t="inlineStr">
        <is>
          <t>Avance client dormante ≥ 3 ans</t>
        </is>
      </c>
      <c r="C76" s="25" t="n">
        <v>0</v>
      </c>
      <c r="D76" s="25" t="n">
        <v>0</v>
      </c>
      <c r="E76" s="25" t="n">
        <v>-1359375.23</v>
      </c>
      <c r="F76" s="25" t="n">
        <v>0</v>
      </c>
      <c r="G76" s="25" t="n">
        <v>0</v>
      </c>
      <c r="H76" s="30">
        <f>SUM(D76:G76)</f>
        <v/>
      </c>
      <c r="I76" s="25" t="n">
        <v>0</v>
      </c>
      <c r="J76" s="25" t="n">
        <v>0</v>
      </c>
      <c r="K76" s="22" t="inlineStr">
        <is>
          <t>aucun</t>
        </is>
      </c>
      <c r="L76" s="41" t="n"/>
    </row>
    <row r="77">
      <c r="A77" s="12" t="inlineStr">
        <is>
          <t>LARABI MADJID</t>
        </is>
      </c>
      <c r="B77" s="12" t="inlineStr">
        <is>
          <t>Avance client dormante ≥ 3 ans</t>
        </is>
      </c>
      <c r="C77" s="25" t="n">
        <v>0</v>
      </c>
      <c r="D77" s="25" t="n">
        <v>0</v>
      </c>
      <c r="E77" s="25" t="n">
        <v>-1347114.28</v>
      </c>
      <c r="F77" s="25" t="n">
        <v>0</v>
      </c>
      <c r="G77" s="25" t="n">
        <v>0</v>
      </c>
      <c r="H77" s="30">
        <f>SUM(D77:G77)</f>
        <v/>
      </c>
      <c r="I77" s="25" t="n">
        <v>0</v>
      </c>
      <c r="J77" s="25" t="n">
        <v>0</v>
      </c>
      <c r="K77" s="22" t="inlineStr">
        <is>
          <t>aucun</t>
        </is>
      </c>
      <c r="L77" s="41" t="n"/>
    </row>
    <row r="78">
      <c r="A78" s="12" t="inlineStr">
        <is>
          <t>BELFADEL MALIK</t>
        </is>
      </c>
      <c r="B78" s="12" t="inlineStr">
        <is>
          <t>Avance client dormante ≥ 3 ans</t>
        </is>
      </c>
      <c r="C78" s="25" t="n">
        <v>0</v>
      </c>
      <c r="D78" s="25" t="n">
        <v>0</v>
      </c>
      <c r="E78" s="25" t="n">
        <v>-1326085.76</v>
      </c>
      <c r="F78" s="25" t="n">
        <v>0</v>
      </c>
      <c r="G78" s="25" t="n">
        <v>0</v>
      </c>
      <c r="H78" s="30">
        <f>SUM(D78:G78)</f>
        <v/>
      </c>
      <c r="I78" s="25" t="n">
        <v>0</v>
      </c>
      <c r="J78" s="25" t="n">
        <v>0</v>
      </c>
      <c r="K78" s="22" t="inlineStr">
        <is>
          <t>aucun</t>
        </is>
      </c>
      <c r="L78" s="41" t="n"/>
    </row>
    <row r="79">
      <c r="A79" s="12" t="inlineStr">
        <is>
          <t>FERHAT SAMIR</t>
        </is>
      </c>
      <c r="B79" s="12" t="inlineStr">
        <is>
          <t>Avance client dormante ≥ 3 ans</t>
        </is>
      </c>
      <c r="C79" s="25" t="n">
        <v>0</v>
      </c>
      <c r="D79" s="25" t="n">
        <v>0</v>
      </c>
      <c r="E79" s="25" t="n">
        <v>-1302896.83</v>
      </c>
      <c r="F79" s="25" t="n">
        <v>0</v>
      </c>
      <c r="G79" s="25" t="n">
        <v>0</v>
      </c>
      <c r="H79" s="30">
        <f>SUM(D79:G79)</f>
        <v/>
      </c>
      <c r="I79" s="25" t="n">
        <v>0</v>
      </c>
      <c r="J79" s="25" t="n">
        <v>0</v>
      </c>
      <c r="K79" s="22" t="inlineStr">
        <is>
          <t>aucun</t>
        </is>
      </c>
      <c r="L79" s="41" t="n"/>
    </row>
    <row r="80">
      <c r="A80" s="12" t="inlineStr">
        <is>
          <t>GASSA MOULOUD</t>
        </is>
      </c>
      <c r="B80" s="12" t="inlineStr">
        <is>
          <t>Avance client dormante ≥ 3 ans</t>
        </is>
      </c>
      <c r="C80" s="25" t="n">
        <v>0</v>
      </c>
      <c r="D80" s="25" t="n">
        <v>0</v>
      </c>
      <c r="E80" s="25" t="n">
        <v>-1291995.08</v>
      </c>
      <c r="F80" s="25" t="n">
        <v>0</v>
      </c>
      <c r="G80" s="25" t="n">
        <v>0</v>
      </c>
      <c r="H80" s="30">
        <f>SUM(D80:G80)</f>
        <v/>
      </c>
      <c r="I80" s="25" t="n">
        <v>0</v>
      </c>
      <c r="J80" s="25" t="n">
        <v>0</v>
      </c>
      <c r="K80" s="22" t="inlineStr">
        <is>
          <t>aucun</t>
        </is>
      </c>
      <c r="L80" s="41" t="n"/>
    </row>
    <row r="81">
      <c r="A81" s="12" t="inlineStr">
        <is>
          <t>IMEDNI TARIK</t>
        </is>
      </c>
      <c r="B81" s="12" t="inlineStr">
        <is>
          <t>Avance client dormante ≥ 3 ans</t>
        </is>
      </c>
      <c r="C81" s="25" t="n">
        <v>0</v>
      </c>
      <c r="D81" s="25" t="n">
        <v>0</v>
      </c>
      <c r="E81" s="25" t="n">
        <v>-1288597.98</v>
      </c>
      <c r="F81" s="25" t="n">
        <v>0</v>
      </c>
      <c r="G81" s="25" t="n">
        <v>0</v>
      </c>
      <c r="H81" s="30">
        <f>SUM(D81:G81)</f>
        <v/>
      </c>
      <c r="I81" s="25" t="n">
        <v>0</v>
      </c>
      <c r="J81" s="25" t="n">
        <v>0</v>
      </c>
      <c r="K81" s="22" t="inlineStr">
        <is>
          <t>aucun</t>
        </is>
      </c>
      <c r="L81" s="41" t="n"/>
    </row>
    <row r="82">
      <c r="A82" s="12" t="inlineStr">
        <is>
          <t>AYACHE ABDELFATEH</t>
        </is>
      </c>
      <c r="B82" s="12" t="inlineStr">
        <is>
          <t>Avance client dormante ≥ 3 ans</t>
        </is>
      </c>
      <c r="C82" s="25" t="n">
        <v>0</v>
      </c>
      <c r="D82" s="25" t="n">
        <v>0</v>
      </c>
      <c r="E82" s="25" t="n">
        <v>-1259817.91</v>
      </c>
      <c r="F82" s="25" t="n">
        <v>0</v>
      </c>
      <c r="G82" s="25" t="n">
        <v>0</v>
      </c>
      <c r="H82" s="30">
        <f>SUM(D82:G82)</f>
        <v/>
      </c>
      <c r="I82" s="25" t="n">
        <v>0</v>
      </c>
      <c r="J82" s="25" t="n">
        <v>0</v>
      </c>
      <c r="K82" s="22" t="inlineStr">
        <is>
          <t>aucun</t>
        </is>
      </c>
      <c r="L82" s="41" t="n"/>
    </row>
    <row r="83">
      <c r="A83" s="12" t="inlineStr">
        <is>
          <t>EURL NET TRANSPORT</t>
        </is>
      </c>
      <c r="B83" s="12" t="inlineStr">
        <is>
          <t>Avance client dormante ≥ 3 ans</t>
        </is>
      </c>
      <c r="C83" s="25" t="n">
        <v>0</v>
      </c>
      <c r="D83" s="25" t="n">
        <v>0</v>
      </c>
      <c r="E83" s="25" t="n">
        <v>-1187441.5</v>
      </c>
      <c r="F83" s="25" t="n">
        <v>0</v>
      </c>
      <c r="G83" s="25" t="n">
        <v>0</v>
      </c>
      <c r="H83" s="30">
        <f>SUM(D83:G83)</f>
        <v/>
      </c>
      <c r="I83" s="25" t="n">
        <v>0</v>
      </c>
      <c r="J83" s="25" t="n">
        <v>0</v>
      </c>
      <c r="K83" s="22" t="inlineStr">
        <is>
          <t>aucun</t>
        </is>
      </c>
      <c r="L83" s="41" t="n"/>
    </row>
    <row r="84">
      <c r="A84" s="12" t="inlineStr">
        <is>
          <t>YOUBI NACER EDDINE</t>
        </is>
      </c>
      <c r="B84" s="12" t="inlineStr">
        <is>
          <t>Avance client dormante ≥ 3 ans</t>
        </is>
      </c>
      <c r="C84" s="25" t="n">
        <v>0</v>
      </c>
      <c r="D84" s="25" t="n">
        <v>0</v>
      </c>
      <c r="E84" s="25" t="n">
        <v>-1185856.04</v>
      </c>
      <c r="F84" s="25" t="n">
        <v>0</v>
      </c>
      <c r="G84" s="25" t="n">
        <v>0</v>
      </c>
      <c r="H84" s="30">
        <f>SUM(D84:G84)</f>
        <v/>
      </c>
      <c r="I84" s="25" t="n">
        <v>0</v>
      </c>
      <c r="J84" s="25" t="n">
        <v>0</v>
      </c>
      <c r="K84" s="22" t="inlineStr">
        <is>
          <t>aucun</t>
        </is>
      </c>
      <c r="L84" s="41" t="n"/>
    </row>
    <row r="85">
      <c r="A85" s="12" t="inlineStr">
        <is>
          <t>FERROUDJ REDOUANE</t>
        </is>
      </c>
      <c r="B85" s="12" t="inlineStr">
        <is>
          <t>Avance client dormante ≥ 3 ans</t>
        </is>
      </c>
      <c r="C85" s="25" t="n">
        <v>0</v>
      </c>
      <c r="D85" s="25" t="n">
        <v>0</v>
      </c>
      <c r="E85" s="25" t="n">
        <v>-1100454.46</v>
      </c>
      <c r="F85" s="25" t="n">
        <v>0</v>
      </c>
      <c r="G85" s="25" t="n">
        <v>0</v>
      </c>
      <c r="H85" s="30">
        <f>SUM(D85:G85)</f>
        <v/>
      </c>
      <c r="I85" s="25" t="n">
        <v>0</v>
      </c>
      <c r="J85" s="25" t="n">
        <v>0</v>
      </c>
      <c r="K85" s="22" t="inlineStr">
        <is>
          <t>aucun</t>
        </is>
      </c>
      <c r="L85" s="41" t="n"/>
    </row>
    <row r="86">
      <c r="A86" s="12" t="inlineStr">
        <is>
          <t>AMEUR LAID</t>
        </is>
      </c>
      <c r="B86" s="12" t="inlineStr">
        <is>
          <t>Avance client dormante ≥ 3 ans</t>
        </is>
      </c>
      <c r="C86" s="25" t="n">
        <v>0</v>
      </c>
      <c r="D86" s="25" t="n">
        <v>0</v>
      </c>
      <c r="E86" s="25" t="n">
        <v>-1093000</v>
      </c>
      <c r="F86" s="25" t="n">
        <v>0</v>
      </c>
      <c r="G86" s="25" t="n">
        <v>0</v>
      </c>
      <c r="H86" s="30">
        <f>SUM(D86:G86)</f>
        <v/>
      </c>
      <c r="I86" s="25" t="n">
        <v>0</v>
      </c>
      <c r="J86" s="25" t="n">
        <v>0</v>
      </c>
      <c r="K86" s="22" t="inlineStr">
        <is>
          <t>aucun</t>
        </is>
      </c>
      <c r="L86" s="41" t="n"/>
    </row>
    <row r="87">
      <c r="A87" s="12" t="inlineStr">
        <is>
          <t>AIT KHEDACHE FAHIM</t>
        </is>
      </c>
      <c r="B87" s="12" t="inlineStr">
        <is>
          <t>Avance client dormante ≥ 3 ans</t>
        </is>
      </c>
      <c r="C87" s="25" t="n">
        <v>0</v>
      </c>
      <c r="D87" s="25" t="n">
        <v>0</v>
      </c>
      <c r="E87" s="25" t="n">
        <v>-1018231.82</v>
      </c>
      <c r="F87" s="25" t="n">
        <v>0</v>
      </c>
      <c r="G87" s="25" t="n">
        <v>0</v>
      </c>
      <c r="H87" s="30">
        <f>SUM(D87:G87)</f>
        <v/>
      </c>
      <c r="I87" s="25" t="n">
        <v>0</v>
      </c>
      <c r="J87" s="25" t="n">
        <v>0</v>
      </c>
      <c r="K87" s="22" t="inlineStr">
        <is>
          <t>aucun</t>
        </is>
      </c>
      <c r="L87" s="41" t="n"/>
    </row>
    <row r="88">
      <c r="A88" s="12" t="inlineStr">
        <is>
          <t>SNC LTNC NAOUI ET CIE</t>
        </is>
      </c>
      <c r="B88" s="12" t="inlineStr">
        <is>
          <t>Avance client dormante ≥ 3 ans</t>
        </is>
      </c>
      <c r="C88" s="25" t="n">
        <v>0</v>
      </c>
      <c r="D88" s="25" t="n">
        <v>0</v>
      </c>
      <c r="E88" s="25" t="n">
        <v>-1002150.73</v>
      </c>
      <c r="F88" s="25" t="n">
        <v>0</v>
      </c>
      <c r="G88" s="25" t="n">
        <v>0</v>
      </c>
      <c r="H88" s="30">
        <f>SUM(D88:G88)</f>
        <v/>
      </c>
      <c r="I88" s="25" t="n">
        <v>0</v>
      </c>
      <c r="J88" s="25" t="n">
        <v>0</v>
      </c>
      <c r="K88" s="22" t="inlineStr">
        <is>
          <t>aucun</t>
        </is>
      </c>
      <c r="L88" s="41" t="n"/>
    </row>
    <row r="89">
      <c r="A89" s="12" t="inlineStr">
        <is>
          <t>ETB TCE BOUHADJELA MOHAMED</t>
        </is>
      </c>
      <c r="B89" s="12" t="inlineStr">
        <is>
          <t>Avance client dormante ≥ 3 ans</t>
        </is>
      </c>
      <c r="C89" s="25" t="n">
        <v>0</v>
      </c>
      <c r="D89" s="25" t="n">
        <v>0</v>
      </c>
      <c r="E89" s="25" t="n">
        <v>-1000000</v>
      </c>
      <c r="F89" s="25" t="n">
        <v>0</v>
      </c>
      <c r="G89" s="25" t="n">
        <v>0</v>
      </c>
      <c r="H89" s="30">
        <f>SUM(D89:G89)</f>
        <v/>
      </c>
      <c r="I89" s="25" t="n">
        <v>0</v>
      </c>
      <c r="J89" s="25" t="n">
        <v>0</v>
      </c>
      <c r="K89" s="22" t="inlineStr">
        <is>
          <t>aucun</t>
        </is>
      </c>
      <c r="L89" s="41" t="n"/>
    </row>
    <row r="90">
      <c r="A90" s="12" t="inlineStr">
        <is>
          <t>GUENDOUZ FERHAT B/BOUZIDI</t>
        </is>
      </c>
      <c r="B90" s="12" t="inlineStr">
        <is>
          <t>Avance client dormante ≥ 3 ans</t>
        </is>
      </c>
      <c r="C90" s="25" t="n">
        <v>0</v>
      </c>
      <c r="D90" s="25" t="n">
        <v>0</v>
      </c>
      <c r="E90" s="25" t="n">
        <v>-1000000</v>
      </c>
      <c r="F90" s="25" t="n">
        <v>0</v>
      </c>
      <c r="G90" s="25" t="n">
        <v>0</v>
      </c>
      <c r="H90" s="30">
        <f>SUM(D90:G90)</f>
        <v/>
      </c>
      <c r="I90" s="25" t="n">
        <v>0</v>
      </c>
      <c r="J90" s="25" t="n">
        <v>0</v>
      </c>
      <c r="K90" s="22" t="inlineStr">
        <is>
          <t>aucun</t>
        </is>
      </c>
      <c r="L90" s="41" t="n"/>
    </row>
    <row r="91">
      <c r="A91" s="12" t="inlineStr">
        <is>
          <t>SNC MOTEUR BLEU ZIANI ET CIE</t>
        </is>
      </c>
      <c r="B91" s="12" t="inlineStr">
        <is>
          <t>Avance client dormante ≥ 3 ans</t>
        </is>
      </c>
      <c r="C91" s="25" t="n">
        <v>0</v>
      </c>
      <c r="D91" s="25" t="n">
        <v>0</v>
      </c>
      <c r="E91" s="25" t="n">
        <v>-1000000</v>
      </c>
      <c r="F91" s="25" t="n">
        <v>0</v>
      </c>
      <c r="G91" s="25" t="n">
        <v>0</v>
      </c>
      <c r="H91" s="30">
        <f>SUM(D91:G91)</f>
        <v/>
      </c>
      <c r="I91" s="25" t="n">
        <v>0</v>
      </c>
      <c r="J91" s="25" t="n">
        <v>0</v>
      </c>
      <c r="K91" s="22" t="inlineStr">
        <is>
          <t>aucun</t>
        </is>
      </c>
      <c r="L91" s="41" t="n"/>
    </row>
    <row r="92">
      <c r="A92" s="12" t="inlineStr">
        <is>
          <t>BOUKAIBA SAMIR</t>
        </is>
      </c>
      <c r="B92" s="12" t="inlineStr">
        <is>
          <t>Avance client dormante ≥ 3 ans</t>
        </is>
      </c>
      <c r="C92" s="25" t="n">
        <v>0</v>
      </c>
      <c r="D92" s="25" t="n">
        <v>0</v>
      </c>
      <c r="E92" s="25" t="n">
        <v>-999466.3199999999</v>
      </c>
      <c r="F92" s="25" t="n">
        <v>0</v>
      </c>
      <c r="G92" s="25" t="n">
        <v>0</v>
      </c>
      <c r="H92" s="30">
        <f>SUM(D92:G92)</f>
        <v/>
      </c>
      <c r="I92" s="25" t="n">
        <v>0</v>
      </c>
      <c r="J92" s="25" t="n">
        <v>0</v>
      </c>
      <c r="K92" s="22" t="inlineStr">
        <is>
          <t>aucun</t>
        </is>
      </c>
      <c r="L92" s="41" t="n"/>
    </row>
    <row r="93">
      <c r="A93" s="12" t="inlineStr">
        <is>
          <t>KERROUCHE LYES</t>
        </is>
      </c>
      <c r="B93" s="12" t="inlineStr">
        <is>
          <t>Avance client dormante ≥ 3 ans</t>
        </is>
      </c>
      <c r="C93" s="25" t="n">
        <v>0</v>
      </c>
      <c r="D93" s="25" t="n">
        <v>0</v>
      </c>
      <c r="E93" s="25" t="n">
        <v>-924449.88</v>
      </c>
      <c r="F93" s="25" t="n">
        <v>0</v>
      </c>
      <c r="G93" s="25" t="n">
        <v>0</v>
      </c>
      <c r="H93" s="30">
        <f>SUM(D93:G93)</f>
        <v/>
      </c>
      <c r="I93" s="25" t="n">
        <v>0</v>
      </c>
      <c r="J93" s="25" t="n">
        <v>0</v>
      </c>
      <c r="K93" s="22" t="inlineStr">
        <is>
          <t>aucun</t>
        </is>
      </c>
      <c r="L93" s="41" t="n"/>
    </row>
    <row r="94">
      <c r="A94" s="12" t="inlineStr">
        <is>
          <t>BOUAMAR HAKIM</t>
        </is>
      </c>
      <c r="B94" s="12" t="inlineStr">
        <is>
          <t>Avance client dormante ≥ 3 ans</t>
        </is>
      </c>
      <c r="C94" s="25" t="n">
        <v>0</v>
      </c>
      <c r="D94" s="25" t="n">
        <v>0</v>
      </c>
      <c r="E94" s="25" t="n">
        <v>-917300</v>
      </c>
      <c r="F94" s="25" t="n">
        <v>0</v>
      </c>
      <c r="G94" s="25" t="n">
        <v>0</v>
      </c>
      <c r="H94" s="30">
        <f>SUM(D94:G94)</f>
        <v/>
      </c>
      <c r="I94" s="25" t="n">
        <v>0</v>
      </c>
      <c r="J94" s="25" t="n">
        <v>0</v>
      </c>
      <c r="K94" s="22" t="inlineStr">
        <is>
          <t>aucun</t>
        </is>
      </c>
      <c r="L94" s="41" t="n"/>
    </row>
    <row r="95">
      <c r="A95" s="12" t="inlineStr">
        <is>
          <t>CHEGRA MOULOUD</t>
        </is>
      </c>
      <c r="B95" s="12" t="inlineStr">
        <is>
          <t>Avance client dormante ≥ 3 ans</t>
        </is>
      </c>
      <c r="C95" s="25" t="n">
        <v>0</v>
      </c>
      <c r="D95" s="25" t="n">
        <v>0</v>
      </c>
      <c r="E95" s="25" t="n">
        <v>-907634.41</v>
      </c>
      <c r="F95" s="25" t="n">
        <v>0</v>
      </c>
      <c r="G95" s="25" t="n">
        <v>0</v>
      </c>
      <c r="H95" s="30">
        <f>SUM(D95:G95)</f>
        <v/>
      </c>
      <c r="I95" s="25" t="n">
        <v>0</v>
      </c>
      <c r="J95" s="25" t="n">
        <v>0</v>
      </c>
      <c r="K95" s="22" t="inlineStr">
        <is>
          <t>aucun</t>
        </is>
      </c>
      <c r="L95" s="41" t="n"/>
    </row>
    <row r="96">
      <c r="A96" s="12" t="inlineStr">
        <is>
          <t>BENDAHMANE LHACHEMI</t>
        </is>
      </c>
      <c r="B96" s="12" t="inlineStr">
        <is>
          <t>Avance client dormante ≥ 3 ans</t>
        </is>
      </c>
      <c r="C96" s="25" t="n">
        <v>0</v>
      </c>
      <c r="D96" s="25" t="n">
        <v>0</v>
      </c>
      <c r="E96" s="25" t="n">
        <v>-906661.23</v>
      </c>
      <c r="F96" s="25" t="n">
        <v>0</v>
      </c>
      <c r="G96" s="25" t="n">
        <v>0</v>
      </c>
      <c r="H96" s="30">
        <f>SUM(D96:G96)</f>
        <v/>
      </c>
      <c r="I96" s="25" t="n">
        <v>0</v>
      </c>
      <c r="J96" s="25" t="n">
        <v>0</v>
      </c>
      <c r="K96" s="22" t="inlineStr">
        <is>
          <t>aucun</t>
        </is>
      </c>
      <c r="L96" s="41" t="n"/>
    </row>
    <row r="97">
      <c r="A97" s="12" t="inlineStr">
        <is>
          <t>GUERBANE NASSIMA</t>
        </is>
      </c>
      <c r="B97" s="12" t="inlineStr">
        <is>
          <t>Avance client dormante ≥ 3 ans</t>
        </is>
      </c>
      <c r="C97" s="25" t="n">
        <v>0</v>
      </c>
      <c r="D97" s="25" t="n">
        <v>0</v>
      </c>
      <c r="E97" s="25" t="n">
        <v>-894116.15</v>
      </c>
      <c r="F97" s="25" t="n">
        <v>0</v>
      </c>
      <c r="G97" s="25" t="n">
        <v>0</v>
      </c>
      <c r="H97" s="30">
        <f>SUM(D97:G97)</f>
        <v/>
      </c>
      <c r="I97" s="25" t="n">
        <v>0</v>
      </c>
      <c r="J97" s="25" t="n">
        <v>0</v>
      </c>
      <c r="K97" s="22" t="inlineStr">
        <is>
          <t>aucun</t>
        </is>
      </c>
      <c r="L97" s="41" t="n"/>
    </row>
    <row r="98">
      <c r="A98" s="12" t="inlineStr">
        <is>
          <t>ZIANI AISSA</t>
        </is>
      </c>
      <c r="B98" s="12" t="inlineStr">
        <is>
          <t>Avance client dormante ≥ 3 ans</t>
        </is>
      </c>
      <c r="C98" s="25" t="n">
        <v>0</v>
      </c>
      <c r="D98" s="25" t="n">
        <v>0</v>
      </c>
      <c r="E98" s="25" t="n">
        <v>-883362.91</v>
      </c>
      <c r="F98" s="25" t="n">
        <v>0</v>
      </c>
      <c r="G98" s="25" t="n">
        <v>0</v>
      </c>
      <c r="H98" s="30">
        <f>SUM(D98:G98)</f>
        <v/>
      </c>
      <c r="I98" s="25" t="n">
        <v>0</v>
      </c>
      <c r="J98" s="25" t="n">
        <v>0</v>
      </c>
      <c r="K98" s="22" t="inlineStr">
        <is>
          <t>aucun</t>
        </is>
      </c>
      <c r="L98" s="41" t="n"/>
    </row>
    <row r="99">
      <c r="A99" s="12" t="inlineStr">
        <is>
          <t>SELLAH SALAH</t>
        </is>
      </c>
      <c r="B99" s="12" t="inlineStr">
        <is>
          <t>Avance client dormante ≥ 3 ans</t>
        </is>
      </c>
      <c r="C99" s="25" t="n">
        <v>0</v>
      </c>
      <c r="D99" s="25" t="n">
        <v>0</v>
      </c>
      <c r="E99" s="25" t="n">
        <v>-820063.63</v>
      </c>
      <c r="F99" s="25" t="n">
        <v>0</v>
      </c>
      <c r="G99" s="25" t="n">
        <v>0</v>
      </c>
      <c r="H99" s="30">
        <f>SUM(D99:G99)</f>
        <v/>
      </c>
      <c r="I99" s="25" t="n">
        <v>0</v>
      </c>
      <c r="J99" s="25" t="n">
        <v>0</v>
      </c>
      <c r="K99" s="22" t="inlineStr">
        <is>
          <t>aucun</t>
        </is>
      </c>
      <c r="L99" s="41" t="n"/>
    </row>
    <row r="100">
      <c r="A100" s="12" t="inlineStr">
        <is>
          <t>BOUDJIT TAHAR</t>
        </is>
      </c>
      <c r="B100" s="12" t="inlineStr">
        <is>
          <t>Avance client dormante ≥ 3 ans</t>
        </is>
      </c>
      <c r="C100" s="25" t="n">
        <v>0</v>
      </c>
      <c r="D100" s="25" t="n">
        <v>0</v>
      </c>
      <c r="E100" s="25" t="n">
        <v>-817760.04</v>
      </c>
      <c r="F100" s="25" t="n">
        <v>0</v>
      </c>
      <c r="G100" s="25" t="n">
        <v>0</v>
      </c>
      <c r="H100" s="30">
        <f>SUM(D100:G100)</f>
        <v/>
      </c>
      <c r="I100" s="25" t="n">
        <v>0</v>
      </c>
      <c r="J100" s="25" t="n">
        <v>0</v>
      </c>
      <c r="K100" s="22" t="inlineStr">
        <is>
          <t>aucun</t>
        </is>
      </c>
      <c r="L100" s="41" t="n"/>
    </row>
    <row r="101">
      <c r="A101" s="12" t="inlineStr">
        <is>
          <t>MELIZOU LYES</t>
        </is>
      </c>
      <c r="B101" s="12" t="inlineStr">
        <is>
          <t>Avance client dormante ≥ 3 ans</t>
        </is>
      </c>
      <c r="C101" s="25" t="n">
        <v>0</v>
      </c>
      <c r="D101" s="25" t="n">
        <v>0</v>
      </c>
      <c r="E101" s="25" t="n">
        <v>-814164.92</v>
      </c>
      <c r="F101" s="25" t="n">
        <v>0</v>
      </c>
      <c r="G101" s="25" t="n">
        <v>0</v>
      </c>
      <c r="H101" s="30">
        <f>SUM(D101:G101)</f>
        <v/>
      </c>
      <c r="I101" s="25" t="n">
        <v>0</v>
      </c>
      <c r="J101" s="25" t="n">
        <v>0</v>
      </c>
      <c r="K101" s="22" t="inlineStr">
        <is>
          <t>aucun</t>
        </is>
      </c>
      <c r="L101" s="41" t="n"/>
    </row>
    <row r="102">
      <c r="A102" s="12" t="inlineStr">
        <is>
          <t>SARL TITOU TPM</t>
        </is>
      </c>
      <c r="B102" s="12" t="inlineStr">
        <is>
          <t>Avance client dormante ≥ 3 ans</t>
        </is>
      </c>
      <c r="C102" s="25" t="n">
        <v>0</v>
      </c>
      <c r="D102" s="25" t="n">
        <v>0</v>
      </c>
      <c r="E102" s="25" t="n">
        <v>-811721</v>
      </c>
      <c r="F102" s="25" t="n">
        <v>0</v>
      </c>
      <c r="G102" s="25" t="n">
        <v>0</v>
      </c>
      <c r="H102" s="30">
        <f>SUM(D102:G102)</f>
        <v/>
      </c>
      <c r="I102" s="25" t="n">
        <v>0</v>
      </c>
      <c r="J102" s="25" t="n">
        <v>0</v>
      </c>
      <c r="K102" s="22" t="inlineStr">
        <is>
          <t>aucun</t>
        </is>
      </c>
      <c r="L102" s="41" t="n"/>
    </row>
    <row r="103">
      <c r="A103" s="12" t="inlineStr">
        <is>
          <t>BOUCHLAGHEM LYES</t>
        </is>
      </c>
      <c r="B103" s="12" t="inlineStr">
        <is>
          <t>Avance client dormante ≥ 3 ans</t>
        </is>
      </c>
      <c r="C103" s="25" t="n">
        <v>0</v>
      </c>
      <c r="D103" s="25" t="n">
        <v>0</v>
      </c>
      <c r="E103" s="25" t="n">
        <v>-810388.17</v>
      </c>
      <c r="F103" s="25" t="n">
        <v>0</v>
      </c>
      <c r="G103" s="25" t="n">
        <v>0</v>
      </c>
      <c r="H103" s="30">
        <f>SUM(D103:G103)</f>
        <v/>
      </c>
      <c r="I103" s="25" t="n">
        <v>0</v>
      </c>
      <c r="J103" s="25" t="n">
        <v>0</v>
      </c>
      <c r="K103" s="22" t="inlineStr">
        <is>
          <t>aucun</t>
        </is>
      </c>
      <c r="L103" s="41" t="n"/>
    </row>
    <row r="104">
      <c r="A104" s="12" t="inlineStr">
        <is>
          <t>BENABAS FATEH</t>
        </is>
      </c>
      <c r="B104" s="12" t="inlineStr">
        <is>
          <t>Avance client dormante ≥ 3 ans</t>
        </is>
      </c>
      <c r="C104" s="25" t="n">
        <v>0</v>
      </c>
      <c r="D104" s="25" t="n">
        <v>0</v>
      </c>
      <c r="E104" s="25" t="n">
        <v>-802905.91</v>
      </c>
      <c r="F104" s="25" t="n">
        <v>0</v>
      </c>
      <c r="G104" s="25" t="n">
        <v>0</v>
      </c>
      <c r="H104" s="30">
        <f>SUM(D104:G104)</f>
        <v/>
      </c>
      <c r="I104" s="25" t="n">
        <v>0</v>
      </c>
      <c r="J104" s="25" t="n">
        <v>0</v>
      </c>
      <c r="K104" s="22" t="inlineStr">
        <is>
          <t>aucun</t>
        </is>
      </c>
      <c r="L104" s="41" t="n"/>
    </row>
    <row r="105">
      <c r="A105" s="12" t="inlineStr">
        <is>
          <t>IDIR MOULOUD</t>
        </is>
      </c>
      <c r="B105" s="12" t="inlineStr">
        <is>
          <t>Avance client dormante ≥ 3 ans</t>
        </is>
      </c>
      <c r="C105" s="25" t="n">
        <v>0</v>
      </c>
      <c r="D105" s="25" t="n">
        <v>0</v>
      </c>
      <c r="E105" s="25" t="n">
        <v>-802553.67</v>
      </c>
      <c r="F105" s="25" t="n">
        <v>0</v>
      </c>
      <c r="G105" s="25" t="n">
        <v>0</v>
      </c>
      <c r="H105" s="30">
        <f>SUM(D105:G105)</f>
        <v/>
      </c>
      <c r="I105" s="25" t="n">
        <v>0</v>
      </c>
      <c r="J105" s="25" t="n">
        <v>0</v>
      </c>
      <c r="K105" s="22" t="inlineStr">
        <is>
          <t>aucun</t>
        </is>
      </c>
      <c r="L105" s="41" t="n"/>
    </row>
    <row r="106">
      <c r="A106" s="12" t="inlineStr">
        <is>
          <t>RECHRECHE YOUCEF</t>
        </is>
      </c>
      <c r="B106" s="12" t="inlineStr">
        <is>
          <t>Avance client dormante ≥ 3 ans</t>
        </is>
      </c>
      <c r="C106" s="25" t="n">
        <v>0</v>
      </c>
      <c r="D106" s="25" t="n">
        <v>0</v>
      </c>
      <c r="E106" s="25" t="n">
        <v>-800016.86</v>
      </c>
      <c r="F106" s="25" t="n">
        <v>0</v>
      </c>
      <c r="G106" s="25" t="n">
        <v>0</v>
      </c>
      <c r="H106" s="30">
        <f>SUM(D106:G106)</f>
        <v/>
      </c>
      <c r="I106" s="25" t="n">
        <v>0</v>
      </c>
      <c r="J106" s="25" t="n">
        <v>0</v>
      </c>
      <c r="K106" s="22" t="inlineStr">
        <is>
          <t>aucun</t>
        </is>
      </c>
      <c r="L106" s="41" t="n"/>
    </row>
    <row r="107">
      <c r="A107" s="12" t="inlineStr">
        <is>
          <t>MENHANE FARIDA</t>
        </is>
      </c>
      <c r="B107" s="12" t="inlineStr">
        <is>
          <t>Avance client dormante ≥ 3 ans</t>
        </is>
      </c>
      <c r="C107" s="25" t="n">
        <v>0</v>
      </c>
      <c r="D107" s="25" t="n">
        <v>0</v>
      </c>
      <c r="E107" s="25" t="n">
        <v>-800012.53</v>
      </c>
      <c r="F107" s="25" t="n">
        <v>0</v>
      </c>
      <c r="G107" s="25" t="n">
        <v>0</v>
      </c>
      <c r="H107" s="30">
        <f>SUM(D107:G107)</f>
        <v/>
      </c>
      <c r="I107" s="25" t="n">
        <v>0</v>
      </c>
      <c r="J107" s="25" t="n">
        <v>0</v>
      </c>
      <c r="K107" s="22" t="inlineStr">
        <is>
          <t>aucun</t>
        </is>
      </c>
      <c r="L107" s="41" t="n"/>
    </row>
    <row r="108">
      <c r="A108" s="12" t="inlineStr">
        <is>
          <t>EURL BENYAHIA CARRIERE</t>
        </is>
      </c>
      <c r="B108" s="12" t="inlineStr">
        <is>
          <t>Avance client dormante ≥ 3 ans</t>
        </is>
      </c>
      <c r="C108" s="25" t="n">
        <v>0</v>
      </c>
      <c r="D108" s="25" t="n">
        <v>0</v>
      </c>
      <c r="E108" s="25" t="n">
        <v>-800000</v>
      </c>
      <c r="F108" s="25" t="n">
        <v>0</v>
      </c>
      <c r="G108" s="25" t="n">
        <v>0</v>
      </c>
      <c r="H108" s="30">
        <f>SUM(D108:G108)</f>
        <v/>
      </c>
      <c r="I108" s="25" t="n">
        <v>0</v>
      </c>
      <c r="J108" s="25" t="n">
        <v>0</v>
      </c>
      <c r="K108" s="22" t="inlineStr">
        <is>
          <t>aucun</t>
        </is>
      </c>
      <c r="L108" s="41" t="n"/>
    </row>
    <row r="109">
      <c r="A109" s="12" t="inlineStr">
        <is>
          <t>EURL CARRIER LES BIBIANS</t>
        </is>
      </c>
      <c r="B109" s="12" t="inlineStr">
        <is>
          <t>Avance client dormante ≥ 3 ans</t>
        </is>
      </c>
      <c r="C109" s="25" t="n">
        <v>0</v>
      </c>
      <c r="D109" s="25" t="n">
        <v>0</v>
      </c>
      <c r="E109" s="25" t="n">
        <v>-800000</v>
      </c>
      <c r="F109" s="25" t="n">
        <v>0</v>
      </c>
      <c r="G109" s="25" t="n">
        <v>0</v>
      </c>
      <c r="H109" s="30">
        <f>SUM(D109:G109)</f>
        <v/>
      </c>
      <c r="I109" s="25" t="n">
        <v>0</v>
      </c>
      <c r="J109" s="25" t="n">
        <v>0</v>
      </c>
      <c r="K109" s="22" t="inlineStr">
        <is>
          <t>aucun</t>
        </is>
      </c>
      <c r="L109" s="41" t="n"/>
    </row>
    <row r="110">
      <c r="A110" s="12" t="inlineStr">
        <is>
          <t>HARBIL LAID</t>
        </is>
      </c>
      <c r="B110" s="12" t="inlineStr">
        <is>
          <t>Avance client dormante ≥ 3 ans</t>
        </is>
      </c>
      <c r="C110" s="25" t="n">
        <v>0</v>
      </c>
      <c r="D110" s="25" t="n">
        <v>0</v>
      </c>
      <c r="E110" s="25" t="n">
        <v>-770000</v>
      </c>
      <c r="F110" s="25" t="n">
        <v>0</v>
      </c>
      <c r="G110" s="25" t="n">
        <v>0</v>
      </c>
      <c r="H110" s="30">
        <f>SUM(D110:G110)</f>
        <v/>
      </c>
      <c r="I110" s="25" t="n">
        <v>0</v>
      </c>
      <c r="J110" s="25" t="n">
        <v>0</v>
      </c>
      <c r="K110" s="22" t="inlineStr">
        <is>
          <t>aucun</t>
        </is>
      </c>
      <c r="L110" s="41" t="n"/>
    </row>
    <row r="111">
      <c r="A111" s="12" t="inlineStr">
        <is>
          <t>DEROUICHE MAHMOUD</t>
        </is>
      </c>
      <c r="B111" s="12" t="inlineStr">
        <is>
          <t>Avance client dormante ≥ 3 ans</t>
        </is>
      </c>
      <c r="C111" s="25" t="n">
        <v>0</v>
      </c>
      <c r="D111" s="25" t="n">
        <v>0</v>
      </c>
      <c r="E111" s="25" t="n">
        <v>-766458.8100000001</v>
      </c>
      <c r="F111" s="25" t="n">
        <v>0</v>
      </c>
      <c r="G111" s="25" t="n">
        <v>0</v>
      </c>
      <c r="H111" s="30">
        <f>SUM(D111:G111)</f>
        <v/>
      </c>
      <c r="I111" s="25" t="n">
        <v>0</v>
      </c>
      <c r="J111" s="25" t="n">
        <v>0</v>
      </c>
      <c r="K111" s="22" t="inlineStr">
        <is>
          <t>aucun</t>
        </is>
      </c>
      <c r="L111" s="41" t="n"/>
    </row>
    <row r="112">
      <c r="A112" s="12" t="inlineStr">
        <is>
          <t>LOUANAS AMAR</t>
        </is>
      </c>
      <c r="B112" s="12" t="inlineStr">
        <is>
          <t>Avance client dormante ≥ 3 ans</t>
        </is>
      </c>
      <c r="C112" s="25" t="n">
        <v>0</v>
      </c>
      <c r="D112" s="25" t="n">
        <v>0</v>
      </c>
      <c r="E112" s="25" t="n">
        <v>-753731.7</v>
      </c>
      <c r="F112" s="25" t="n">
        <v>0</v>
      </c>
      <c r="G112" s="25" t="n">
        <v>0</v>
      </c>
      <c r="H112" s="30">
        <f>SUM(D112:G112)</f>
        <v/>
      </c>
      <c r="I112" s="25" t="n">
        <v>0</v>
      </c>
      <c r="J112" s="25" t="n">
        <v>0</v>
      </c>
      <c r="K112" s="22" t="inlineStr">
        <is>
          <t>aucun</t>
        </is>
      </c>
      <c r="L112" s="41" t="n"/>
    </row>
    <row r="113">
      <c r="A113" s="12" t="inlineStr">
        <is>
          <t>DJOUDI AMAR</t>
        </is>
      </c>
      <c r="B113" s="12" t="inlineStr">
        <is>
          <t>Avance client dormante ≥ 3 ans</t>
        </is>
      </c>
      <c r="C113" s="25" t="n">
        <v>0</v>
      </c>
      <c r="D113" s="25" t="n">
        <v>0</v>
      </c>
      <c r="E113" s="25" t="n">
        <v>-700068.67</v>
      </c>
      <c r="F113" s="25" t="n">
        <v>0</v>
      </c>
      <c r="G113" s="25" t="n">
        <v>0</v>
      </c>
      <c r="H113" s="30">
        <f>SUM(D113:G113)</f>
        <v/>
      </c>
      <c r="I113" s="25" t="n">
        <v>0</v>
      </c>
      <c r="J113" s="25" t="n">
        <v>0</v>
      </c>
      <c r="K113" s="22" t="inlineStr">
        <is>
          <t>aucun</t>
        </is>
      </c>
      <c r="L113" s="41" t="n"/>
    </row>
    <row r="114">
      <c r="A114" s="12" t="inlineStr">
        <is>
          <t>GHERIS MAHMOUD</t>
        </is>
      </c>
      <c r="B114" s="12" t="inlineStr">
        <is>
          <t>Avance client dormante ≥ 3 ans</t>
        </is>
      </c>
      <c r="C114" s="25" t="n">
        <v>0</v>
      </c>
      <c r="D114" s="25" t="n">
        <v>0</v>
      </c>
      <c r="E114" s="25" t="n">
        <v>-700000</v>
      </c>
      <c r="F114" s="25" t="n">
        <v>0</v>
      </c>
      <c r="G114" s="25" t="n">
        <v>0</v>
      </c>
      <c r="H114" s="30">
        <f>SUM(D114:G114)</f>
        <v/>
      </c>
      <c r="I114" s="25" t="n">
        <v>0</v>
      </c>
      <c r="J114" s="25" t="n">
        <v>0</v>
      </c>
      <c r="K114" s="22" t="inlineStr">
        <is>
          <t>aucun</t>
        </is>
      </c>
      <c r="L114" s="41" t="n"/>
    </row>
    <row r="115">
      <c r="A115" s="12" t="inlineStr">
        <is>
          <t>NABET NADIR</t>
        </is>
      </c>
      <c r="B115" s="12" t="inlineStr">
        <is>
          <t>Avance client dormante ≥ 3 ans</t>
        </is>
      </c>
      <c r="C115" s="25" t="n">
        <v>0</v>
      </c>
      <c r="D115" s="25" t="n">
        <v>0</v>
      </c>
      <c r="E115" s="25" t="n">
        <v>-661017.3199999999</v>
      </c>
      <c r="F115" s="25" t="n">
        <v>0</v>
      </c>
      <c r="G115" s="25" t="n">
        <v>0</v>
      </c>
      <c r="H115" s="30">
        <f>SUM(D115:G115)</f>
        <v/>
      </c>
      <c r="I115" s="25" t="n">
        <v>0</v>
      </c>
      <c r="J115" s="25" t="n">
        <v>0</v>
      </c>
      <c r="K115" s="22" t="inlineStr">
        <is>
          <t>aucun</t>
        </is>
      </c>
      <c r="L115" s="41" t="n"/>
    </row>
    <row r="116">
      <c r="A116" s="12" t="inlineStr">
        <is>
          <t>MAHAH ACHOUR</t>
        </is>
      </c>
      <c r="B116" s="12" t="inlineStr">
        <is>
          <t>Avance client dormante ≥ 3 ans</t>
        </is>
      </c>
      <c r="C116" s="25" t="n">
        <v>0</v>
      </c>
      <c r="D116" s="25" t="n">
        <v>0</v>
      </c>
      <c r="E116" s="25" t="n">
        <v>-656638.71</v>
      </c>
      <c r="F116" s="25" t="n">
        <v>0</v>
      </c>
      <c r="G116" s="25" t="n">
        <v>0</v>
      </c>
      <c r="H116" s="30">
        <f>SUM(D116:G116)</f>
        <v/>
      </c>
      <c r="I116" s="25" t="n">
        <v>0</v>
      </c>
      <c r="J116" s="25" t="n">
        <v>0</v>
      </c>
      <c r="K116" s="22" t="inlineStr">
        <is>
          <t>aucun</t>
        </is>
      </c>
      <c r="L116" s="41" t="n"/>
    </row>
    <row r="117">
      <c r="A117" s="12" t="inlineStr">
        <is>
          <t>FERTAL LYAZID</t>
        </is>
      </c>
      <c r="B117" s="12" t="inlineStr">
        <is>
          <t>Avance client dormante ≥ 3 ans</t>
        </is>
      </c>
      <c r="C117" s="25" t="n">
        <v>0</v>
      </c>
      <c r="D117" s="25" t="n">
        <v>0</v>
      </c>
      <c r="E117" s="25" t="n">
        <v>-655410.28</v>
      </c>
      <c r="F117" s="25" t="n">
        <v>0</v>
      </c>
      <c r="G117" s="25" t="n">
        <v>0</v>
      </c>
      <c r="H117" s="30">
        <f>SUM(D117:G117)</f>
        <v/>
      </c>
      <c r="I117" s="25" t="n">
        <v>0</v>
      </c>
      <c r="J117" s="25" t="n">
        <v>0</v>
      </c>
      <c r="K117" s="22" t="inlineStr">
        <is>
          <t>aucun</t>
        </is>
      </c>
      <c r="L117" s="41" t="n"/>
    </row>
    <row r="118">
      <c r="A118" s="12" t="inlineStr">
        <is>
          <t>LAIDANI NABIL</t>
        </is>
      </c>
      <c r="B118" s="12" t="inlineStr">
        <is>
          <t>Avance client dormante ≥ 3 ans</t>
        </is>
      </c>
      <c r="C118" s="25" t="n">
        <v>0</v>
      </c>
      <c r="D118" s="25" t="n">
        <v>0</v>
      </c>
      <c r="E118" s="25" t="n">
        <v>-652291.4399999999</v>
      </c>
      <c r="F118" s="25" t="n">
        <v>0</v>
      </c>
      <c r="G118" s="25" t="n">
        <v>0</v>
      </c>
      <c r="H118" s="30">
        <f>SUM(D118:G118)</f>
        <v/>
      </c>
      <c r="I118" s="25" t="n">
        <v>0</v>
      </c>
      <c r="J118" s="25" t="n">
        <v>0</v>
      </c>
      <c r="K118" s="22" t="inlineStr">
        <is>
          <t>aucun</t>
        </is>
      </c>
      <c r="L118" s="41" t="n"/>
    </row>
    <row r="119">
      <c r="A119" s="12" t="inlineStr">
        <is>
          <t>SELLAH SALIM</t>
        </is>
      </c>
      <c r="B119" s="12" t="inlineStr">
        <is>
          <t>Avance client dormante ≥ 3 ans</t>
        </is>
      </c>
      <c r="C119" s="25" t="n">
        <v>0</v>
      </c>
      <c r="D119" s="25" t="n">
        <v>0</v>
      </c>
      <c r="E119" s="25" t="n">
        <v>-650000</v>
      </c>
      <c r="F119" s="25" t="n">
        <v>0</v>
      </c>
      <c r="G119" s="25" t="n">
        <v>0</v>
      </c>
      <c r="H119" s="30">
        <f>SUM(D119:G119)</f>
        <v/>
      </c>
      <c r="I119" s="25" t="n">
        <v>0</v>
      </c>
      <c r="J119" s="25" t="n">
        <v>0</v>
      </c>
      <c r="K119" s="22" t="inlineStr">
        <is>
          <t>aucun</t>
        </is>
      </c>
      <c r="L119" s="41" t="n"/>
    </row>
    <row r="120">
      <c r="A120" s="12" t="inlineStr">
        <is>
          <t>SARL AHRAS ELECTRO DIESEL</t>
        </is>
      </c>
      <c r="B120" s="12" t="inlineStr">
        <is>
          <t>Avance client dormante ≥ 3 ans</t>
        </is>
      </c>
      <c r="C120" s="25" t="n">
        <v>0</v>
      </c>
      <c r="D120" s="25" t="n">
        <v>0</v>
      </c>
      <c r="E120" s="25" t="n">
        <v>-599999.99</v>
      </c>
      <c r="F120" s="25" t="n">
        <v>0</v>
      </c>
      <c r="G120" s="25" t="n">
        <v>0</v>
      </c>
      <c r="H120" s="30">
        <f>SUM(D120:G120)</f>
        <v/>
      </c>
      <c r="I120" s="25" t="n">
        <v>0</v>
      </c>
      <c r="J120" s="25" t="n">
        <v>0</v>
      </c>
      <c r="K120" s="22" t="inlineStr">
        <is>
          <t>aucun</t>
        </is>
      </c>
      <c r="L120" s="41" t="n"/>
    </row>
    <row r="121">
      <c r="A121" s="12" t="inlineStr">
        <is>
          <t>ATHMANE ABDELLAH</t>
        </is>
      </c>
      <c r="B121" s="12" t="inlineStr">
        <is>
          <t>Avance client dormante ≥ 3 ans</t>
        </is>
      </c>
      <c r="C121" s="25" t="n">
        <v>0</v>
      </c>
      <c r="D121" s="25" t="n">
        <v>0</v>
      </c>
      <c r="E121" s="25" t="n">
        <v>-584760</v>
      </c>
      <c r="F121" s="25" t="n">
        <v>0</v>
      </c>
      <c r="G121" s="25" t="n">
        <v>0</v>
      </c>
      <c r="H121" s="30">
        <f>SUM(D121:G121)</f>
        <v/>
      </c>
      <c r="I121" s="25" t="n">
        <v>0</v>
      </c>
      <c r="J121" s="25" t="n">
        <v>0</v>
      </c>
      <c r="K121" s="22" t="inlineStr">
        <is>
          <t>aucun</t>
        </is>
      </c>
      <c r="L121" s="41" t="n"/>
    </row>
    <row r="122">
      <c r="A122" s="12" t="inlineStr">
        <is>
          <t>SARL BOUKOUCHA SABL OUED AGRIO</t>
        </is>
      </c>
      <c r="B122" s="12" t="inlineStr">
        <is>
          <t>Avance client dormante ≥ 3 ans</t>
        </is>
      </c>
      <c r="C122" s="25" t="n">
        <v>0</v>
      </c>
      <c r="D122" s="25" t="n">
        <v>0</v>
      </c>
      <c r="E122" s="25" t="n">
        <v>-580400</v>
      </c>
      <c r="F122" s="25" t="n">
        <v>0</v>
      </c>
      <c r="G122" s="25" t="n">
        <v>0</v>
      </c>
      <c r="H122" s="30">
        <f>SUM(D122:G122)</f>
        <v/>
      </c>
      <c r="I122" s="25" t="n">
        <v>0</v>
      </c>
      <c r="J122" s="25" t="n">
        <v>0</v>
      </c>
      <c r="K122" s="22" t="inlineStr">
        <is>
          <t>aucun</t>
        </is>
      </c>
      <c r="L122" s="41" t="n"/>
    </row>
    <row r="123">
      <c r="A123" s="12" t="inlineStr">
        <is>
          <t>BOUKIR KHELLAF</t>
        </is>
      </c>
      <c r="B123" s="12" t="inlineStr">
        <is>
          <t>Avance client dormante ≥ 3 ans</t>
        </is>
      </c>
      <c r="C123" s="25" t="n">
        <v>0</v>
      </c>
      <c r="D123" s="25" t="n">
        <v>0</v>
      </c>
      <c r="E123" s="25" t="n">
        <v>-565666.61</v>
      </c>
      <c r="F123" s="25" t="n">
        <v>0</v>
      </c>
      <c r="G123" s="25" t="n">
        <v>0</v>
      </c>
      <c r="H123" s="30">
        <f>SUM(D123:G123)</f>
        <v/>
      </c>
      <c r="I123" s="25" t="n">
        <v>0</v>
      </c>
      <c r="J123" s="25" t="n">
        <v>0</v>
      </c>
      <c r="K123" s="22" t="inlineStr">
        <is>
          <t>aucun</t>
        </is>
      </c>
      <c r="L123" s="41" t="n"/>
    </row>
    <row r="124">
      <c r="A124" s="12" t="inlineStr">
        <is>
          <t>KASMI MOHAND</t>
        </is>
      </c>
      <c r="B124" s="12" t="inlineStr">
        <is>
          <t>Avance client dormante ≥ 3 ans</t>
        </is>
      </c>
      <c r="C124" s="25" t="n">
        <v>0</v>
      </c>
      <c r="D124" s="25" t="n">
        <v>0</v>
      </c>
      <c r="E124" s="25" t="n">
        <v>-564170</v>
      </c>
      <c r="F124" s="25" t="n">
        <v>0</v>
      </c>
      <c r="G124" s="25" t="n">
        <v>0</v>
      </c>
      <c r="H124" s="30">
        <f>SUM(D124:G124)</f>
        <v/>
      </c>
      <c r="I124" s="25" t="n">
        <v>0</v>
      </c>
      <c r="J124" s="25" t="n">
        <v>0</v>
      </c>
      <c r="K124" s="22" t="inlineStr">
        <is>
          <t>aucun</t>
        </is>
      </c>
      <c r="L124" s="41" t="n"/>
    </row>
    <row r="125">
      <c r="A125" s="12" t="inlineStr">
        <is>
          <t>EURL ALL TRANSFERT</t>
        </is>
      </c>
      <c r="B125" s="12" t="inlineStr">
        <is>
          <t>Avance client dormante ≥ 3 ans</t>
        </is>
      </c>
      <c r="C125" s="25" t="n">
        <v>0</v>
      </c>
      <c r="D125" s="25" t="n">
        <v>0</v>
      </c>
      <c r="E125" s="25" t="n">
        <v>-552778.74</v>
      </c>
      <c r="F125" s="25" t="n">
        <v>0</v>
      </c>
      <c r="G125" s="25" t="n">
        <v>0</v>
      </c>
      <c r="H125" s="30">
        <f>SUM(D125:G125)</f>
        <v/>
      </c>
      <c r="I125" s="25" t="n">
        <v>0</v>
      </c>
      <c r="J125" s="25" t="n">
        <v>0</v>
      </c>
      <c r="K125" s="22" t="inlineStr">
        <is>
          <t>aucun</t>
        </is>
      </c>
      <c r="L125" s="41" t="n"/>
    </row>
    <row r="126">
      <c r="A126" s="12" t="inlineStr">
        <is>
          <t>SARL VMLI</t>
        </is>
      </c>
      <c r="B126" s="12" t="inlineStr">
        <is>
          <t>Avance client dormante ≥ 3 ans</t>
        </is>
      </c>
      <c r="C126" s="25" t="n">
        <v>0</v>
      </c>
      <c r="D126" s="25" t="n">
        <v>0</v>
      </c>
      <c r="E126" s="25" t="n">
        <v>-551850</v>
      </c>
      <c r="F126" s="25" t="n">
        <v>0</v>
      </c>
      <c r="G126" s="25" t="n">
        <v>0</v>
      </c>
      <c r="H126" s="30">
        <f>SUM(D126:G126)</f>
        <v/>
      </c>
      <c r="I126" s="25" t="n">
        <v>0</v>
      </c>
      <c r="J126" s="25" t="n">
        <v>0</v>
      </c>
      <c r="K126" s="22" t="inlineStr">
        <is>
          <t>aucun</t>
        </is>
      </c>
      <c r="L126" s="41" t="n"/>
    </row>
    <row r="127">
      <c r="A127" s="12" t="inlineStr">
        <is>
          <t>KRID FATMA ZOHRA</t>
        </is>
      </c>
      <c r="B127" s="12" t="inlineStr">
        <is>
          <t>Avance client dormante ≥ 3 ans</t>
        </is>
      </c>
      <c r="C127" s="25" t="n">
        <v>0</v>
      </c>
      <c r="D127" s="25" t="n">
        <v>0</v>
      </c>
      <c r="E127" s="25" t="n">
        <v>-550000</v>
      </c>
      <c r="F127" s="25" t="n">
        <v>0</v>
      </c>
      <c r="G127" s="25" t="n">
        <v>0</v>
      </c>
      <c r="H127" s="30">
        <f>SUM(D127:G127)</f>
        <v/>
      </c>
      <c r="I127" s="25" t="n">
        <v>0</v>
      </c>
      <c r="J127" s="25" t="n">
        <v>0</v>
      </c>
      <c r="K127" s="22" t="inlineStr">
        <is>
          <t>aucun</t>
        </is>
      </c>
      <c r="L127" s="41" t="n"/>
    </row>
    <row r="128">
      <c r="A128" s="12" t="inlineStr">
        <is>
          <t>CHAABNA SLIMANE</t>
        </is>
      </c>
      <c r="B128" s="12" t="inlineStr">
        <is>
          <t>Avance client dormante ≥ 3 ans</t>
        </is>
      </c>
      <c r="C128" s="25" t="n">
        <v>0</v>
      </c>
      <c r="D128" s="25" t="n">
        <v>0</v>
      </c>
      <c r="E128" s="25" t="n">
        <v>-541673.92</v>
      </c>
      <c r="F128" s="25" t="n">
        <v>0</v>
      </c>
      <c r="G128" s="25" t="n">
        <v>0</v>
      </c>
      <c r="H128" s="30">
        <f>SUM(D128:G128)</f>
        <v/>
      </c>
      <c r="I128" s="25" t="n">
        <v>0</v>
      </c>
      <c r="J128" s="25" t="n">
        <v>0</v>
      </c>
      <c r="K128" s="22" t="inlineStr">
        <is>
          <t>aucun</t>
        </is>
      </c>
      <c r="L128" s="41" t="n"/>
    </row>
    <row r="129">
      <c r="A129" s="12" t="inlineStr">
        <is>
          <t>IDIR TOUFIK</t>
        </is>
      </c>
      <c r="B129" s="12" t="inlineStr">
        <is>
          <t>Avance client dormante ≥ 3 ans</t>
        </is>
      </c>
      <c r="C129" s="25" t="n">
        <v>0</v>
      </c>
      <c r="D129" s="25" t="n">
        <v>0</v>
      </c>
      <c r="E129" s="25" t="n">
        <v>-530808.99</v>
      </c>
      <c r="F129" s="25" t="n">
        <v>0</v>
      </c>
      <c r="G129" s="25" t="n">
        <v>0</v>
      </c>
      <c r="H129" s="30">
        <f>SUM(D129:G129)</f>
        <v/>
      </c>
      <c r="I129" s="25" t="n">
        <v>0</v>
      </c>
      <c r="J129" s="25" t="n">
        <v>0</v>
      </c>
      <c r="K129" s="22" t="inlineStr">
        <is>
          <t>aucun</t>
        </is>
      </c>
      <c r="L129" s="41" t="n"/>
    </row>
    <row r="130">
      <c r="A130" s="12" t="inlineStr">
        <is>
          <t>KEZIZ KHALED</t>
        </is>
      </c>
      <c r="B130" s="12" t="inlineStr">
        <is>
          <t>Avance client dormante ≥ 3 ans</t>
        </is>
      </c>
      <c r="C130" s="25" t="n">
        <v>0</v>
      </c>
      <c r="D130" s="25" t="n">
        <v>0</v>
      </c>
      <c r="E130" s="25" t="n">
        <v>-518874.41</v>
      </c>
      <c r="F130" s="25" t="n">
        <v>0</v>
      </c>
      <c r="G130" s="25" t="n">
        <v>0</v>
      </c>
      <c r="H130" s="30">
        <f>SUM(D130:G130)</f>
        <v/>
      </c>
      <c r="I130" s="25" t="n">
        <v>0</v>
      </c>
      <c r="J130" s="25" t="n">
        <v>0</v>
      </c>
      <c r="K130" s="22" t="inlineStr">
        <is>
          <t>aucun</t>
        </is>
      </c>
      <c r="L130" s="41" t="n"/>
    </row>
    <row r="131">
      <c r="A131" s="12" t="inlineStr">
        <is>
          <t>SELLAH NOUREDINE</t>
        </is>
      </c>
      <c r="B131" s="12" t="inlineStr">
        <is>
          <t>Avance client dormante ≥ 3 ans</t>
        </is>
      </c>
      <c r="C131" s="25" t="n">
        <v>0</v>
      </c>
      <c r="D131" s="25" t="n">
        <v>0</v>
      </c>
      <c r="E131" s="25" t="n">
        <v>-504755.04</v>
      </c>
      <c r="F131" s="25" t="n">
        <v>0</v>
      </c>
      <c r="G131" s="25" t="n">
        <v>0</v>
      </c>
      <c r="H131" s="30">
        <f>SUM(D131:G131)</f>
        <v/>
      </c>
      <c r="I131" s="25" t="n">
        <v>0</v>
      </c>
      <c r="J131" s="25" t="n">
        <v>0</v>
      </c>
      <c r="K131" s="22" t="inlineStr">
        <is>
          <t>aucun</t>
        </is>
      </c>
      <c r="L131" s="41" t="n"/>
    </row>
    <row r="132">
      <c r="A132" s="12" t="inlineStr">
        <is>
          <t>GHANEM BRAHIM</t>
        </is>
      </c>
      <c r="B132" s="12" t="inlineStr">
        <is>
          <t>Avance client dormante ≥ 3 ans</t>
        </is>
      </c>
      <c r="C132" s="25" t="n">
        <v>0</v>
      </c>
      <c r="D132" s="25" t="n">
        <v>0</v>
      </c>
      <c r="E132" s="25" t="n">
        <v>-502131.67</v>
      </c>
      <c r="F132" s="25" t="n">
        <v>0</v>
      </c>
      <c r="G132" s="25" t="n">
        <v>0</v>
      </c>
      <c r="H132" s="30">
        <f>SUM(D132:G132)</f>
        <v/>
      </c>
      <c r="I132" s="25" t="n">
        <v>0</v>
      </c>
      <c r="J132" s="25" t="n">
        <v>0</v>
      </c>
      <c r="K132" s="22" t="inlineStr">
        <is>
          <t>aucun</t>
        </is>
      </c>
      <c r="L132" s="41" t="n"/>
    </row>
    <row r="133">
      <c r="A133" s="12" t="inlineStr">
        <is>
          <t>MEZIANE KHELIFA</t>
        </is>
      </c>
      <c r="B133" s="12" t="inlineStr">
        <is>
          <t>Avance client dormante ≥ 3 ans</t>
        </is>
      </c>
      <c r="C133" s="25" t="n">
        <v>0</v>
      </c>
      <c r="D133" s="25" t="n">
        <v>0</v>
      </c>
      <c r="E133" s="25" t="n">
        <v>-500572.61</v>
      </c>
      <c r="F133" s="25" t="n">
        <v>0</v>
      </c>
      <c r="G133" s="25" t="n">
        <v>0</v>
      </c>
      <c r="H133" s="30">
        <f>SUM(D133:G133)</f>
        <v/>
      </c>
      <c r="I133" s="25" t="n">
        <v>0</v>
      </c>
      <c r="J133" s="25" t="n">
        <v>0</v>
      </c>
      <c r="K133" s="22" t="inlineStr">
        <is>
          <t>aucun</t>
        </is>
      </c>
      <c r="L133" s="41" t="n"/>
    </row>
    <row r="134">
      <c r="A134" s="12" t="inlineStr">
        <is>
          <t>AIT YATA FARES</t>
        </is>
      </c>
      <c r="B134" s="12" t="inlineStr">
        <is>
          <t>Avance client dormante ≥ 3 ans</t>
        </is>
      </c>
      <c r="C134" s="25" t="n">
        <v>0</v>
      </c>
      <c r="D134" s="25" t="n">
        <v>0</v>
      </c>
      <c r="E134" s="25" t="n">
        <v>-500000</v>
      </c>
      <c r="F134" s="25" t="n">
        <v>0</v>
      </c>
      <c r="G134" s="25" t="n">
        <v>0</v>
      </c>
      <c r="H134" s="30">
        <f>SUM(D134:G134)</f>
        <v/>
      </c>
      <c r="I134" s="25" t="n">
        <v>0</v>
      </c>
      <c r="J134" s="25" t="n">
        <v>0</v>
      </c>
      <c r="K134" s="22" t="inlineStr">
        <is>
          <t>aucun</t>
        </is>
      </c>
      <c r="L134" s="41" t="n"/>
    </row>
    <row r="135">
      <c r="A135" s="12" t="inlineStr">
        <is>
          <t>BOUKAIBA FAHEM</t>
        </is>
      </c>
      <c r="B135" s="12" t="inlineStr">
        <is>
          <t>Avance client dormante ≥ 3 ans</t>
        </is>
      </c>
      <c r="C135" s="25" t="n">
        <v>0</v>
      </c>
      <c r="D135" s="25" t="n">
        <v>0</v>
      </c>
      <c r="E135" s="25" t="n">
        <v>-500000</v>
      </c>
      <c r="F135" s="25" t="n">
        <v>0</v>
      </c>
      <c r="G135" s="25" t="n">
        <v>0</v>
      </c>
      <c r="H135" s="30">
        <f>SUM(D135:G135)</f>
        <v/>
      </c>
      <c r="I135" s="25" t="n">
        <v>0</v>
      </c>
      <c r="J135" s="25" t="n">
        <v>0</v>
      </c>
      <c r="K135" s="22" t="inlineStr">
        <is>
          <t>aucun</t>
        </is>
      </c>
      <c r="L135" s="41" t="n"/>
    </row>
    <row r="136">
      <c r="A136" s="12" t="inlineStr">
        <is>
          <t>FERROUDJ NASSIM</t>
        </is>
      </c>
      <c r="B136" s="12" t="inlineStr">
        <is>
          <t>Avance client dormante ≥ 3 ans</t>
        </is>
      </c>
      <c r="C136" s="25" t="n">
        <v>0</v>
      </c>
      <c r="D136" s="25" t="n">
        <v>0</v>
      </c>
      <c r="E136" s="25" t="n">
        <v>-497156.75</v>
      </c>
      <c r="F136" s="25" t="n">
        <v>0</v>
      </c>
      <c r="G136" s="25" t="n">
        <v>0</v>
      </c>
      <c r="H136" s="30">
        <f>SUM(D136:G136)</f>
        <v/>
      </c>
      <c r="I136" s="25" t="n">
        <v>0</v>
      </c>
      <c r="J136" s="25" t="n">
        <v>0</v>
      </c>
      <c r="K136" s="22" t="inlineStr">
        <is>
          <t>aucun</t>
        </is>
      </c>
      <c r="L136" s="41" t="n"/>
    </row>
    <row r="137">
      <c r="A137" s="12" t="inlineStr">
        <is>
          <t>SARL TERGOU  M/CONSTRUCTIONS</t>
        </is>
      </c>
      <c r="B137" s="12" t="inlineStr">
        <is>
          <t>Avance client dormante ≥ 3 ans</t>
        </is>
      </c>
      <c r="C137" s="25" t="n">
        <v>0</v>
      </c>
      <c r="D137" s="25" t="n">
        <v>0</v>
      </c>
      <c r="E137" s="25" t="n">
        <v>-490000</v>
      </c>
      <c r="F137" s="25" t="n">
        <v>0</v>
      </c>
      <c r="G137" s="25" t="n">
        <v>0</v>
      </c>
      <c r="H137" s="30">
        <f>SUM(D137:G137)</f>
        <v/>
      </c>
      <c r="I137" s="25" t="n">
        <v>0</v>
      </c>
      <c r="J137" s="25" t="n">
        <v>0</v>
      </c>
      <c r="K137" s="22" t="inlineStr">
        <is>
          <t>aucun</t>
        </is>
      </c>
      <c r="L137" s="41" t="n"/>
    </row>
    <row r="138">
      <c r="A138" s="12" t="inlineStr">
        <is>
          <t>KERKADENE AMAR</t>
        </is>
      </c>
      <c r="B138" s="12" t="inlineStr">
        <is>
          <t>Avance client dormante ≥ 3 ans</t>
        </is>
      </c>
      <c r="C138" s="25" t="n">
        <v>0</v>
      </c>
      <c r="D138" s="25" t="n">
        <v>0</v>
      </c>
      <c r="E138" s="25" t="n">
        <v>-480000</v>
      </c>
      <c r="F138" s="25" t="n">
        <v>0</v>
      </c>
      <c r="G138" s="25" t="n">
        <v>0</v>
      </c>
      <c r="H138" s="30">
        <f>SUM(D138:G138)</f>
        <v/>
      </c>
      <c r="I138" s="25" t="n">
        <v>0</v>
      </c>
      <c r="J138" s="25" t="n">
        <v>0</v>
      </c>
      <c r="K138" s="22" t="inlineStr">
        <is>
          <t>aucun</t>
        </is>
      </c>
      <c r="L138" s="41" t="n"/>
    </row>
    <row r="139">
      <c r="A139" s="12" t="inlineStr">
        <is>
          <t>MAZOUZ HACENE</t>
        </is>
      </c>
      <c r="B139" s="12" t="inlineStr">
        <is>
          <t>Avance client dormante ≥ 3 ans</t>
        </is>
      </c>
      <c r="C139" s="25" t="n">
        <v>0</v>
      </c>
      <c r="D139" s="25" t="n">
        <v>0</v>
      </c>
      <c r="E139" s="25" t="n">
        <v>-480000</v>
      </c>
      <c r="F139" s="25" t="n">
        <v>0</v>
      </c>
      <c r="G139" s="25" t="n">
        <v>0</v>
      </c>
      <c r="H139" s="30">
        <f>SUM(D139:G139)</f>
        <v/>
      </c>
      <c r="I139" s="25" t="n">
        <v>0</v>
      </c>
      <c r="J139" s="25" t="n">
        <v>0</v>
      </c>
      <c r="K139" s="22" t="inlineStr">
        <is>
          <t>aucun</t>
        </is>
      </c>
      <c r="L139" s="41" t="n"/>
    </row>
    <row r="140">
      <c r="A140" s="12" t="inlineStr">
        <is>
          <t>YAKOUBI MEZIANE</t>
        </is>
      </c>
      <c r="B140" s="12" t="inlineStr">
        <is>
          <t>Avance client dormante ≥ 3 ans</t>
        </is>
      </c>
      <c r="C140" s="25" t="n">
        <v>0</v>
      </c>
      <c r="D140" s="25" t="n">
        <v>0</v>
      </c>
      <c r="E140" s="25" t="n">
        <v>-468398.13</v>
      </c>
      <c r="F140" s="25" t="n">
        <v>0</v>
      </c>
      <c r="G140" s="25" t="n">
        <v>0</v>
      </c>
      <c r="H140" s="30">
        <f>SUM(D140:G140)</f>
        <v/>
      </c>
      <c r="I140" s="25" t="n">
        <v>0</v>
      </c>
      <c r="J140" s="25" t="n">
        <v>0</v>
      </c>
      <c r="K140" s="22" t="inlineStr">
        <is>
          <t>aucun</t>
        </is>
      </c>
      <c r="L140" s="41" t="n"/>
    </row>
    <row r="141">
      <c r="A141" s="12" t="inlineStr">
        <is>
          <t>DEHAM HOCINE</t>
        </is>
      </c>
      <c r="B141" s="12" t="inlineStr">
        <is>
          <t>Avance client dormante ≥ 3 ans</t>
        </is>
      </c>
      <c r="C141" s="25" t="n">
        <v>0</v>
      </c>
      <c r="D141" s="25" t="n">
        <v>0</v>
      </c>
      <c r="E141" s="25" t="n">
        <v>-429959.39</v>
      </c>
      <c r="F141" s="25" t="n">
        <v>0</v>
      </c>
      <c r="G141" s="25" t="n">
        <v>0</v>
      </c>
      <c r="H141" s="30">
        <f>SUM(D141:G141)</f>
        <v/>
      </c>
      <c r="I141" s="25" t="n">
        <v>0</v>
      </c>
      <c r="J141" s="25" t="n">
        <v>0</v>
      </c>
      <c r="K141" s="22" t="inlineStr">
        <is>
          <t>aucun</t>
        </is>
      </c>
      <c r="L141" s="41" t="n"/>
    </row>
    <row r="142">
      <c r="A142" s="12" t="inlineStr">
        <is>
          <t>LOUALI MOHAMED</t>
        </is>
      </c>
      <c r="B142" s="12" t="inlineStr">
        <is>
          <t>Avance client dormante ≥ 3 ans</t>
        </is>
      </c>
      <c r="C142" s="25" t="n">
        <v>0</v>
      </c>
      <c r="D142" s="25" t="n">
        <v>0</v>
      </c>
      <c r="E142" s="25" t="n">
        <v>-401200</v>
      </c>
      <c r="F142" s="25" t="n">
        <v>0</v>
      </c>
      <c r="G142" s="25" t="n">
        <v>0</v>
      </c>
      <c r="H142" s="30">
        <f>SUM(D142:G142)</f>
        <v/>
      </c>
      <c r="I142" s="25" t="n">
        <v>0</v>
      </c>
      <c r="J142" s="25" t="n">
        <v>0</v>
      </c>
      <c r="K142" s="22" t="inlineStr">
        <is>
          <t>aucun</t>
        </is>
      </c>
      <c r="L142" s="41" t="n"/>
    </row>
    <row r="143">
      <c r="A143" s="12" t="inlineStr">
        <is>
          <t>LEBSIR NADIA</t>
        </is>
      </c>
      <c r="B143" s="12" t="inlineStr">
        <is>
          <t>Avance client dormante ≥ 3 ans</t>
        </is>
      </c>
      <c r="C143" s="25" t="n">
        <v>0</v>
      </c>
      <c r="D143" s="25" t="n">
        <v>0</v>
      </c>
      <c r="E143" s="25" t="n">
        <v>-400028.85</v>
      </c>
      <c r="F143" s="25" t="n">
        <v>0</v>
      </c>
      <c r="G143" s="25" t="n">
        <v>0</v>
      </c>
      <c r="H143" s="30">
        <f>SUM(D143:G143)</f>
        <v/>
      </c>
      <c r="I143" s="25" t="n">
        <v>0</v>
      </c>
      <c r="J143" s="25" t="n">
        <v>0</v>
      </c>
      <c r="K143" s="22" t="inlineStr">
        <is>
          <t>aucun</t>
        </is>
      </c>
      <c r="L143" s="41" t="n"/>
    </row>
    <row r="144">
      <c r="A144" s="12" t="inlineStr">
        <is>
          <t>AIT ALI HICHAM DJAMEL PIECES</t>
        </is>
      </c>
      <c r="B144" s="12" t="inlineStr">
        <is>
          <t>Avance client dormante ≥ 3 ans</t>
        </is>
      </c>
      <c r="C144" s="25" t="n">
        <v>0</v>
      </c>
      <c r="D144" s="25" t="n">
        <v>0</v>
      </c>
      <c r="E144" s="25" t="n">
        <v>-400000</v>
      </c>
      <c r="F144" s="25" t="n">
        <v>0</v>
      </c>
      <c r="G144" s="25" t="n">
        <v>0</v>
      </c>
      <c r="H144" s="30">
        <f>SUM(D144:G144)</f>
        <v/>
      </c>
      <c r="I144" s="25" t="n">
        <v>0</v>
      </c>
      <c r="J144" s="25" t="n">
        <v>0</v>
      </c>
      <c r="K144" s="22" t="inlineStr">
        <is>
          <t>aucun</t>
        </is>
      </c>
      <c r="L144" s="41" t="n"/>
    </row>
    <row r="145">
      <c r="A145" s="12" t="inlineStr">
        <is>
          <t>SARL REV ETPBH SIDANE</t>
        </is>
      </c>
      <c r="B145" s="12" t="inlineStr">
        <is>
          <t>Avance client dormante ≥ 3 ans</t>
        </is>
      </c>
      <c r="C145" s="25" t="n">
        <v>0</v>
      </c>
      <c r="D145" s="25" t="n">
        <v>0</v>
      </c>
      <c r="E145" s="25" t="n">
        <v>-393539.72</v>
      </c>
      <c r="F145" s="25" t="n">
        <v>0</v>
      </c>
      <c r="G145" s="25" t="n">
        <v>0</v>
      </c>
      <c r="H145" s="30">
        <f>SUM(D145:G145)</f>
        <v/>
      </c>
      <c r="I145" s="25" t="n">
        <v>0</v>
      </c>
      <c r="J145" s="25" t="n">
        <v>0</v>
      </c>
      <c r="K145" s="22" t="inlineStr">
        <is>
          <t>aucun</t>
        </is>
      </c>
      <c r="L145" s="41" t="n"/>
    </row>
    <row r="146">
      <c r="A146" s="12" t="inlineStr">
        <is>
          <t>SAIDANI HAMOU</t>
        </is>
      </c>
      <c r="B146" s="12" t="inlineStr">
        <is>
          <t>Avance client dormante ≥ 3 ans</t>
        </is>
      </c>
      <c r="C146" s="25" t="n">
        <v>0</v>
      </c>
      <c r="D146" s="25" t="n">
        <v>0</v>
      </c>
      <c r="E146" s="25" t="n">
        <v>-351464.94</v>
      </c>
      <c r="F146" s="25" t="n">
        <v>0</v>
      </c>
      <c r="G146" s="25" t="n">
        <v>0</v>
      </c>
      <c r="H146" s="30">
        <f>SUM(D146:G146)</f>
        <v/>
      </c>
      <c r="I146" s="25" t="n">
        <v>0</v>
      </c>
      <c r="J146" s="25" t="n">
        <v>0</v>
      </c>
      <c r="K146" s="22" t="inlineStr">
        <is>
          <t>aucun</t>
        </is>
      </c>
      <c r="L146" s="41" t="n"/>
    </row>
    <row r="147">
      <c r="A147" s="12" t="inlineStr">
        <is>
          <t>SARL FATRASKI</t>
        </is>
      </c>
      <c r="B147" s="12" t="inlineStr">
        <is>
          <t>Avance client dormante ≥ 3 ans</t>
        </is>
      </c>
      <c r="C147" s="25" t="n">
        <v>0</v>
      </c>
      <c r="D147" s="25" t="n">
        <v>0</v>
      </c>
      <c r="E147" s="25" t="n">
        <v>-351000</v>
      </c>
      <c r="F147" s="25" t="n">
        <v>0</v>
      </c>
      <c r="G147" s="25" t="n">
        <v>0</v>
      </c>
      <c r="H147" s="30">
        <f>SUM(D147:G147)</f>
        <v/>
      </c>
      <c r="I147" s="25" t="n">
        <v>0</v>
      </c>
      <c r="J147" s="25" t="n">
        <v>0</v>
      </c>
      <c r="K147" s="22" t="inlineStr">
        <is>
          <t>aucun</t>
        </is>
      </c>
      <c r="L147" s="41" t="n"/>
    </row>
    <row r="148">
      <c r="A148" s="12" t="inlineStr">
        <is>
          <t>AYACHI AMOR ABDELMALEK</t>
        </is>
      </c>
      <c r="B148" s="12" t="inlineStr">
        <is>
          <t>Avance client dormante ≥ 3 ans</t>
        </is>
      </c>
      <c r="C148" s="25" t="n">
        <v>0</v>
      </c>
      <c r="D148" s="25" t="n">
        <v>0</v>
      </c>
      <c r="E148" s="25" t="n">
        <v>-315000</v>
      </c>
      <c r="F148" s="25" t="n">
        <v>0</v>
      </c>
      <c r="G148" s="25" t="n">
        <v>0</v>
      </c>
      <c r="H148" s="30">
        <f>SUM(D148:G148)</f>
        <v/>
      </c>
      <c r="I148" s="25" t="n">
        <v>0</v>
      </c>
      <c r="J148" s="25" t="n">
        <v>0</v>
      </c>
      <c r="K148" s="22" t="inlineStr">
        <is>
          <t>aucun</t>
        </is>
      </c>
      <c r="L148" s="41" t="n"/>
    </row>
    <row r="149">
      <c r="A149" s="12" t="inlineStr">
        <is>
          <t>BENYAHIA AMAR</t>
        </is>
      </c>
      <c r="B149" s="12" t="inlineStr">
        <is>
          <t>Avance client dormante ≥ 3 ans</t>
        </is>
      </c>
      <c r="C149" s="25" t="n">
        <v>0</v>
      </c>
      <c r="D149" s="25" t="n">
        <v>0</v>
      </c>
      <c r="E149" s="25" t="n">
        <v>-313100</v>
      </c>
      <c r="F149" s="25" t="n">
        <v>0</v>
      </c>
      <c r="G149" s="25" t="n">
        <v>0</v>
      </c>
      <c r="H149" s="30">
        <f>SUM(D149:G149)</f>
        <v/>
      </c>
      <c r="I149" s="25" t="n">
        <v>0</v>
      </c>
      <c r="J149" s="25" t="n">
        <v>0</v>
      </c>
      <c r="K149" s="22" t="inlineStr">
        <is>
          <t>aucun</t>
        </is>
      </c>
      <c r="L149" s="41" t="n"/>
    </row>
    <row r="150">
      <c r="A150" s="12" t="inlineStr">
        <is>
          <t>BENHAMA TAHAR</t>
        </is>
      </c>
      <c r="B150" s="12" t="inlineStr">
        <is>
          <t>Avance client dormante ≥ 3 ans</t>
        </is>
      </c>
      <c r="C150" s="25" t="n">
        <v>0</v>
      </c>
      <c r="D150" s="25" t="n">
        <v>0</v>
      </c>
      <c r="E150" s="25" t="n">
        <v>-308338.53</v>
      </c>
      <c r="F150" s="25" t="n">
        <v>0</v>
      </c>
      <c r="G150" s="25" t="n">
        <v>0</v>
      </c>
      <c r="H150" s="30">
        <f>SUM(D150:G150)</f>
        <v/>
      </c>
      <c r="I150" s="25" t="n">
        <v>0</v>
      </c>
      <c r="J150" s="25" t="n">
        <v>0</v>
      </c>
      <c r="K150" s="22" t="inlineStr">
        <is>
          <t>aucun</t>
        </is>
      </c>
      <c r="L150" s="41" t="n"/>
    </row>
    <row r="151">
      <c r="A151" s="12" t="inlineStr">
        <is>
          <t>BENBERNOU MOHAMED</t>
        </is>
      </c>
      <c r="B151" s="12" t="inlineStr">
        <is>
          <t>Avance client dormante ≥ 3 ans</t>
        </is>
      </c>
      <c r="C151" s="25" t="n">
        <v>0</v>
      </c>
      <c r="D151" s="25" t="n">
        <v>0</v>
      </c>
      <c r="E151" s="25" t="n">
        <v>-300000</v>
      </c>
      <c r="F151" s="25" t="n">
        <v>0</v>
      </c>
      <c r="G151" s="25" t="n">
        <v>0</v>
      </c>
      <c r="H151" s="30">
        <f>SUM(D151:G151)</f>
        <v/>
      </c>
      <c r="I151" s="25" t="n">
        <v>0</v>
      </c>
      <c r="J151" s="25" t="n">
        <v>0</v>
      </c>
      <c r="K151" s="22" t="inlineStr">
        <is>
          <t>aucun</t>
        </is>
      </c>
      <c r="L151" s="41" t="n"/>
    </row>
    <row r="152">
      <c r="A152" s="12" t="inlineStr">
        <is>
          <t>SELLAH ABD ELGHANI</t>
        </is>
      </c>
      <c r="B152" s="12" t="inlineStr">
        <is>
          <t>Avance client dormante ≥ 3 ans</t>
        </is>
      </c>
      <c r="C152" s="25" t="n">
        <v>0</v>
      </c>
      <c r="D152" s="25" t="n">
        <v>0</v>
      </c>
      <c r="E152" s="25" t="n">
        <v>-300000</v>
      </c>
      <c r="F152" s="25" t="n">
        <v>0</v>
      </c>
      <c r="G152" s="25" t="n">
        <v>0</v>
      </c>
      <c r="H152" s="30">
        <f>SUM(D152:G152)</f>
        <v/>
      </c>
      <c r="I152" s="25" t="n">
        <v>0</v>
      </c>
      <c r="J152" s="25" t="n">
        <v>0</v>
      </c>
      <c r="K152" s="22" t="inlineStr">
        <is>
          <t>aucun</t>
        </is>
      </c>
      <c r="L152" s="41" t="n"/>
    </row>
    <row r="153">
      <c r="A153" s="12" t="inlineStr">
        <is>
          <t>YAHIAOUI ZAID</t>
        </is>
      </c>
      <c r="B153" s="12" t="inlineStr">
        <is>
          <t>Avance client dormante ≥ 3 ans</t>
        </is>
      </c>
      <c r="C153" s="25" t="n">
        <v>0</v>
      </c>
      <c r="D153" s="25" t="n">
        <v>0</v>
      </c>
      <c r="E153" s="25" t="n">
        <v>-298900</v>
      </c>
      <c r="F153" s="25" t="n">
        <v>0</v>
      </c>
      <c r="G153" s="25" t="n">
        <v>0</v>
      </c>
      <c r="H153" s="30">
        <f>SUM(D153:G153)</f>
        <v/>
      </c>
      <c r="I153" s="25" t="n">
        <v>0</v>
      </c>
      <c r="J153" s="25" t="n">
        <v>0</v>
      </c>
      <c r="K153" s="22" t="inlineStr">
        <is>
          <t>aucun</t>
        </is>
      </c>
      <c r="L153" s="41" t="n"/>
    </row>
    <row r="154">
      <c r="A154" s="12" t="inlineStr">
        <is>
          <t>IKHLEF DJELLOUL</t>
        </is>
      </c>
      <c r="B154" s="12" t="inlineStr">
        <is>
          <t>Avance client dormante ≥ 3 ans</t>
        </is>
      </c>
      <c r="C154" s="25" t="n">
        <v>0</v>
      </c>
      <c r="D154" s="25" t="n">
        <v>0</v>
      </c>
      <c r="E154" s="25" t="n">
        <v>-298000</v>
      </c>
      <c r="F154" s="25" t="n">
        <v>0</v>
      </c>
      <c r="G154" s="25" t="n">
        <v>0</v>
      </c>
      <c r="H154" s="30">
        <f>SUM(D154:G154)</f>
        <v/>
      </c>
      <c r="I154" s="25" t="n">
        <v>0</v>
      </c>
      <c r="J154" s="25" t="n">
        <v>0</v>
      </c>
      <c r="K154" s="22" t="inlineStr">
        <is>
          <t>aucun</t>
        </is>
      </c>
      <c r="L154" s="41" t="n"/>
    </row>
    <row r="155">
      <c r="A155" s="12" t="inlineStr">
        <is>
          <t>ABDELLI ABDENOUR</t>
        </is>
      </c>
      <c r="B155" s="12" t="inlineStr">
        <is>
          <t>Avance client dormante ≥ 3 ans</t>
        </is>
      </c>
      <c r="C155" s="25" t="n">
        <v>0</v>
      </c>
      <c r="D155" s="25" t="n">
        <v>0</v>
      </c>
      <c r="E155" s="25" t="n">
        <v>-292000</v>
      </c>
      <c r="F155" s="25" t="n">
        <v>0</v>
      </c>
      <c r="G155" s="25" t="n">
        <v>0</v>
      </c>
      <c r="H155" s="30">
        <f>SUM(D155:G155)</f>
        <v/>
      </c>
      <c r="I155" s="25" t="n">
        <v>0</v>
      </c>
      <c r="J155" s="25" t="n">
        <v>0</v>
      </c>
      <c r="K155" s="22" t="inlineStr">
        <is>
          <t>aucun</t>
        </is>
      </c>
      <c r="L155" s="41" t="n"/>
    </row>
    <row r="156">
      <c r="A156" s="12" t="inlineStr">
        <is>
          <t>MENACERI LARBI</t>
        </is>
      </c>
      <c r="B156" s="12" t="inlineStr">
        <is>
          <t>Avance client dormante ≥ 3 ans</t>
        </is>
      </c>
      <c r="C156" s="25" t="n">
        <v>0</v>
      </c>
      <c r="D156" s="25" t="n">
        <v>0</v>
      </c>
      <c r="E156" s="25" t="n">
        <v>-280029.09</v>
      </c>
      <c r="F156" s="25" t="n">
        <v>0</v>
      </c>
      <c r="G156" s="25" t="n">
        <v>0</v>
      </c>
      <c r="H156" s="30">
        <f>SUM(D156:G156)</f>
        <v/>
      </c>
      <c r="I156" s="25" t="n">
        <v>0</v>
      </c>
      <c r="J156" s="25" t="n">
        <v>0</v>
      </c>
      <c r="K156" s="22" t="inlineStr">
        <is>
          <t>aucun</t>
        </is>
      </c>
      <c r="L156" s="41" t="n"/>
    </row>
    <row r="157">
      <c r="A157" s="12" t="inlineStr">
        <is>
          <t>TIGHIDET ABDELMADJID</t>
        </is>
      </c>
      <c r="B157" s="12" t="inlineStr">
        <is>
          <t>Avance client dormante ≥ 3 ans</t>
        </is>
      </c>
      <c r="C157" s="25" t="n">
        <v>0</v>
      </c>
      <c r="D157" s="25" t="n">
        <v>0</v>
      </c>
      <c r="E157" s="25" t="n">
        <v>-254124</v>
      </c>
      <c r="F157" s="25" t="n">
        <v>0</v>
      </c>
      <c r="G157" s="25" t="n">
        <v>0</v>
      </c>
      <c r="H157" s="30">
        <f>SUM(D157:G157)</f>
        <v/>
      </c>
      <c r="I157" s="25" t="n">
        <v>0</v>
      </c>
      <c r="J157" s="25" t="n">
        <v>0</v>
      </c>
      <c r="K157" s="22" t="inlineStr">
        <is>
          <t>aucun</t>
        </is>
      </c>
      <c r="L157" s="41" t="n"/>
    </row>
    <row r="158">
      <c r="A158" s="12" t="inlineStr">
        <is>
          <t>ABDOUNE ABDENACER</t>
        </is>
      </c>
      <c r="B158" s="12" t="inlineStr">
        <is>
          <t>Avance client dormante ≥ 3 ans</t>
        </is>
      </c>
      <c r="C158" s="25" t="n">
        <v>0</v>
      </c>
      <c r="D158" s="25" t="n">
        <v>0</v>
      </c>
      <c r="E158" s="25" t="n">
        <v>-250000</v>
      </c>
      <c r="F158" s="25" t="n">
        <v>0</v>
      </c>
      <c r="G158" s="25" t="n">
        <v>0</v>
      </c>
      <c r="H158" s="30">
        <f>SUM(D158:G158)</f>
        <v/>
      </c>
      <c r="I158" s="25" t="n">
        <v>0</v>
      </c>
      <c r="J158" s="25" t="n">
        <v>0</v>
      </c>
      <c r="K158" s="22" t="inlineStr">
        <is>
          <t>aucun</t>
        </is>
      </c>
      <c r="L158" s="41" t="n"/>
    </row>
    <row r="159">
      <c r="A159" s="12" t="inlineStr">
        <is>
          <t>SPA EPE SODISMAC</t>
        </is>
      </c>
      <c r="B159" s="12" t="inlineStr">
        <is>
          <t>Avance client dormante ≥ 3 ans</t>
        </is>
      </c>
      <c r="C159" s="25" t="n">
        <v>0</v>
      </c>
      <c r="D159" s="25" t="n">
        <v>0</v>
      </c>
      <c r="E159" s="25" t="n">
        <v>-250000</v>
      </c>
      <c r="F159" s="25" t="n">
        <v>0</v>
      </c>
      <c r="G159" s="25" t="n">
        <v>0</v>
      </c>
      <c r="H159" s="30">
        <f>SUM(D159:G159)</f>
        <v/>
      </c>
      <c r="I159" s="25" t="n">
        <v>0</v>
      </c>
      <c r="J159" s="25" t="n">
        <v>0</v>
      </c>
      <c r="K159" s="22" t="inlineStr">
        <is>
          <t>aucun</t>
        </is>
      </c>
      <c r="L159" s="41" t="n"/>
    </row>
    <row r="160">
      <c r="A160" s="12" t="inlineStr">
        <is>
          <t>SALHI OUALI</t>
        </is>
      </c>
      <c r="B160" s="12" t="inlineStr">
        <is>
          <t>Avance client dormante ≥ 3 ans</t>
        </is>
      </c>
      <c r="C160" s="25" t="n">
        <v>0</v>
      </c>
      <c r="D160" s="25" t="n">
        <v>0</v>
      </c>
      <c r="E160" s="25" t="n">
        <v>-210471.27</v>
      </c>
      <c r="F160" s="25" t="n">
        <v>0</v>
      </c>
      <c r="G160" s="25" t="n">
        <v>0</v>
      </c>
      <c r="H160" s="30">
        <f>SUM(D160:G160)</f>
        <v/>
      </c>
      <c r="I160" s="25" t="n">
        <v>0</v>
      </c>
      <c r="J160" s="25" t="n">
        <v>0</v>
      </c>
      <c r="K160" s="22" t="inlineStr">
        <is>
          <t>aucun</t>
        </is>
      </c>
      <c r="L160" s="41" t="n"/>
    </row>
    <row r="161">
      <c r="A161" s="12" t="inlineStr">
        <is>
          <t>AOUCHICHE MASSINISSA</t>
        </is>
      </c>
      <c r="B161" s="12" t="inlineStr">
        <is>
          <t>Avance client dormante ≥ 3 ans</t>
        </is>
      </c>
      <c r="C161" s="25" t="n">
        <v>0</v>
      </c>
      <c r="D161" s="25" t="n">
        <v>0</v>
      </c>
      <c r="E161" s="25" t="n">
        <v>-210129</v>
      </c>
      <c r="F161" s="25" t="n">
        <v>0</v>
      </c>
      <c r="G161" s="25" t="n">
        <v>0</v>
      </c>
      <c r="H161" s="30">
        <f>SUM(D161:G161)</f>
        <v/>
      </c>
      <c r="I161" s="25" t="n">
        <v>0</v>
      </c>
      <c r="J161" s="25" t="n">
        <v>0</v>
      </c>
      <c r="K161" s="22" t="inlineStr">
        <is>
          <t>aucun</t>
        </is>
      </c>
      <c r="L161" s="41" t="n"/>
    </row>
    <row r="162">
      <c r="A162" s="12" t="inlineStr">
        <is>
          <t>BECHRI FAYSSAL</t>
        </is>
      </c>
      <c r="B162" s="12" t="inlineStr">
        <is>
          <t>Avance client dormante ≥ 3 ans</t>
        </is>
      </c>
      <c r="C162" s="25" t="n">
        <v>0</v>
      </c>
      <c r="D162" s="25" t="n">
        <v>0</v>
      </c>
      <c r="E162" s="25" t="n">
        <v>-208260.39</v>
      </c>
      <c r="F162" s="25" t="n">
        <v>0</v>
      </c>
      <c r="G162" s="25" t="n">
        <v>0</v>
      </c>
      <c r="H162" s="30">
        <f>SUM(D162:G162)</f>
        <v/>
      </c>
      <c r="I162" s="25" t="n">
        <v>0</v>
      </c>
      <c r="J162" s="25" t="n">
        <v>0</v>
      </c>
      <c r="K162" s="22" t="inlineStr">
        <is>
          <t>aucun</t>
        </is>
      </c>
      <c r="L162" s="41" t="n"/>
    </row>
    <row r="163">
      <c r="A163" s="12" t="inlineStr">
        <is>
          <t>HALLABI AHMED</t>
        </is>
      </c>
      <c r="B163" s="12" t="inlineStr">
        <is>
          <t>Avance client dormante ≥ 3 ans</t>
        </is>
      </c>
      <c r="C163" s="25" t="n">
        <v>0</v>
      </c>
      <c r="D163" s="25" t="n">
        <v>0</v>
      </c>
      <c r="E163" s="25" t="n">
        <v>-200000</v>
      </c>
      <c r="F163" s="25" t="n">
        <v>0</v>
      </c>
      <c r="G163" s="25" t="n">
        <v>0</v>
      </c>
      <c r="H163" s="30">
        <f>SUM(D163:G163)</f>
        <v/>
      </c>
      <c r="I163" s="25" t="n">
        <v>0</v>
      </c>
      <c r="J163" s="25" t="n">
        <v>0</v>
      </c>
      <c r="K163" s="22" t="inlineStr">
        <is>
          <t>aucun</t>
        </is>
      </c>
      <c r="L163" s="41" t="n"/>
    </row>
    <row r="164">
      <c r="A164" s="12" t="inlineStr">
        <is>
          <t>SALMI ABDESLAM</t>
        </is>
      </c>
      <c r="B164" s="12" t="inlineStr">
        <is>
          <t>Avance client dormante ≥ 3 ans</t>
        </is>
      </c>
      <c r="C164" s="25" t="n">
        <v>0</v>
      </c>
      <c r="D164" s="25" t="n">
        <v>0</v>
      </c>
      <c r="E164" s="25" t="n">
        <v>-200000</v>
      </c>
      <c r="F164" s="25" t="n">
        <v>0</v>
      </c>
      <c r="G164" s="25" t="n">
        <v>0</v>
      </c>
      <c r="H164" s="30">
        <f>SUM(D164:G164)</f>
        <v/>
      </c>
      <c r="I164" s="25" t="n">
        <v>0</v>
      </c>
      <c r="J164" s="25" t="n">
        <v>0</v>
      </c>
      <c r="K164" s="22" t="inlineStr">
        <is>
          <t>aucun</t>
        </is>
      </c>
      <c r="L164" s="41" t="n"/>
    </row>
    <row r="165">
      <c r="A165" s="12" t="inlineStr">
        <is>
          <t>LAMINE YOUCEF</t>
        </is>
      </c>
      <c r="B165" s="12" t="inlineStr">
        <is>
          <t>Avance client dormante ≥ 3 ans</t>
        </is>
      </c>
      <c r="C165" s="25" t="n">
        <v>0</v>
      </c>
      <c r="D165" s="25" t="n">
        <v>0</v>
      </c>
      <c r="E165" s="25" t="n">
        <v>-198326.8</v>
      </c>
      <c r="F165" s="25" t="n">
        <v>0</v>
      </c>
      <c r="G165" s="25" t="n">
        <v>0</v>
      </c>
      <c r="H165" s="30">
        <f>SUM(D165:G165)</f>
        <v/>
      </c>
      <c r="I165" s="25" t="n">
        <v>0</v>
      </c>
      <c r="J165" s="25" t="n">
        <v>0</v>
      </c>
      <c r="K165" s="22" t="inlineStr">
        <is>
          <t>aucun</t>
        </is>
      </c>
      <c r="L165" s="41" t="n"/>
    </row>
    <row r="166">
      <c r="A166" s="12" t="inlineStr">
        <is>
          <t>BENZIOUCHE THAMEUR</t>
        </is>
      </c>
      <c r="B166" s="12" t="inlineStr">
        <is>
          <t>Avance client dormante ≥ 3 ans</t>
        </is>
      </c>
      <c r="C166" s="25" t="n">
        <v>0</v>
      </c>
      <c r="D166" s="25" t="n">
        <v>0</v>
      </c>
      <c r="E166" s="25" t="n">
        <v>-183400</v>
      </c>
      <c r="F166" s="25" t="n">
        <v>0</v>
      </c>
      <c r="G166" s="25" t="n">
        <v>0</v>
      </c>
      <c r="H166" s="30">
        <f>SUM(D166:G166)</f>
        <v/>
      </c>
      <c r="I166" s="25" t="n">
        <v>0</v>
      </c>
      <c r="J166" s="25" t="n">
        <v>0</v>
      </c>
      <c r="K166" s="22" t="inlineStr">
        <is>
          <t>aucun</t>
        </is>
      </c>
      <c r="L166" s="41" t="n"/>
    </row>
    <row r="167">
      <c r="A167" s="12" t="inlineStr">
        <is>
          <t>AZZOUG FARID</t>
        </is>
      </c>
      <c r="B167" s="12" t="inlineStr">
        <is>
          <t>Avance client dormante ≥ 3 ans</t>
        </is>
      </c>
      <c r="C167" s="25" t="n">
        <v>0</v>
      </c>
      <c r="D167" s="25" t="n">
        <v>0</v>
      </c>
      <c r="E167" s="25" t="n">
        <v>-171149.59</v>
      </c>
      <c r="F167" s="25" t="n">
        <v>0</v>
      </c>
      <c r="G167" s="25" t="n">
        <v>0</v>
      </c>
      <c r="H167" s="30">
        <f>SUM(D167:G167)</f>
        <v/>
      </c>
      <c r="I167" s="25" t="n">
        <v>0</v>
      </c>
      <c r="J167" s="25" t="n">
        <v>0</v>
      </c>
      <c r="K167" s="22" t="inlineStr">
        <is>
          <t>aucun</t>
        </is>
      </c>
      <c r="L167" s="41" t="n"/>
    </row>
    <row r="168">
      <c r="A168" s="12" t="inlineStr">
        <is>
          <t>SNC OUAMRI ET FILS</t>
        </is>
      </c>
      <c r="B168" s="12" t="inlineStr">
        <is>
          <t>Avance client dormante ≥ 3 ans</t>
        </is>
      </c>
      <c r="C168" s="25" t="n">
        <v>0</v>
      </c>
      <c r="D168" s="25" t="n">
        <v>0</v>
      </c>
      <c r="E168" s="25" t="n">
        <v>-130000</v>
      </c>
      <c r="F168" s="25" t="n">
        <v>0</v>
      </c>
      <c r="G168" s="25" t="n">
        <v>0</v>
      </c>
      <c r="H168" s="30">
        <f>SUM(D168:G168)</f>
        <v/>
      </c>
      <c r="I168" s="25" t="n">
        <v>0</v>
      </c>
      <c r="J168" s="25" t="n">
        <v>0</v>
      </c>
      <c r="K168" s="22" t="inlineStr">
        <is>
          <t>aucun</t>
        </is>
      </c>
      <c r="L168" s="41" t="n"/>
    </row>
    <row r="169">
      <c r="A169" s="12" t="inlineStr">
        <is>
          <t>CHEBBAH NACER</t>
        </is>
      </c>
      <c r="B169" s="12" t="inlineStr">
        <is>
          <t>Avance client dormante ≥ 3 ans</t>
        </is>
      </c>
      <c r="C169" s="25" t="n">
        <v>0</v>
      </c>
      <c r="D169" s="25" t="n">
        <v>0</v>
      </c>
      <c r="E169" s="25" t="n">
        <v>-100000</v>
      </c>
      <c r="F169" s="25" t="n">
        <v>0</v>
      </c>
      <c r="G169" s="25" t="n">
        <v>0</v>
      </c>
      <c r="H169" s="30">
        <f>SUM(D169:G169)</f>
        <v/>
      </c>
      <c r="I169" s="25" t="n">
        <v>0</v>
      </c>
      <c r="J169" s="25" t="n">
        <v>0</v>
      </c>
      <c r="K169" s="22" t="inlineStr">
        <is>
          <t>aucun</t>
        </is>
      </c>
      <c r="L169" s="41" t="n"/>
    </row>
    <row r="170">
      <c r="A170" s="12" t="inlineStr">
        <is>
          <t>DJOUMI LOUNES</t>
        </is>
      </c>
      <c r="B170" s="12" t="inlineStr">
        <is>
          <t>Avance client dormante ≥ 3 ans</t>
        </is>
      </c>
      <c r="C170" s="25" t="n">
        <v>0</v>
      </c>
      <c r="D170" s="25" t="n">
        <v>0</v>
      </c>
      <c r="E170" s="25" t="n">
        <v>-100000</v>
      </c>
      <c r="F170" s="25" t="n">
        <v>0</v>
      </c>
      <c r="G170" s="25" t="n">
        <v>0</v>
      </c>
      <c r="H170" s="30">
        <f>SUM(D170:G170)</f>
        <v/>
      </c>
      <c r="I170" s="25" t="n">
        <v>0</v>
      </c>
      <c r="J170" s="25" t="n">
        <v>0</v>
      </c>
      <c r="K170" s="22" t="inlineStr">
        <is>
          <t>aucun</t>
        </is>
      </c>
      <c r="L170" s="41" t="n"/>
    </row>
    <row r="171">
      <c r="A171" s="12" t="inlineStr">
        <is>
          <t>IGHEMOURACENE SALAH</t>
        </is>
      </c>
      <c r="B171" s="12" t="inlineStr">
        <is>
          <t>Avance client dormante ≥ 3 ans</t>
        </is>
      </c>
      <c r="C171" s="25" t="n">
        <v>0</v>
      </c>
      <c r="D171" s="25" t="n">
        <v>0</v>
      </c>
      <c r="E171" s="25" t="n">
        <v>-100000</v>
      </c>
      <c r="F171" s="25" t="n">
        <v>0</v>
      </c>
      <c r="G171" s="25" t="n">
        <v>0</v>
      </c>
      <c r="H171" s="30">
        <f>SUM(D171:G171)</f>
        <v/>
      </c>
      <c r="I171" s="25" t="n">
        <v>0</v>
      </c>
      <c r="J171" s="25" t="n">
        <v>0</v>
      </c>
      <c r="K171" s="22" t="inlineStr">
        <is>
          <t>aucun</t>
        </is>
      </c>
      <c r="L171" s="41" t="n"/>
    </row>
    <row r="172">
      <c r="A172" s="12" t="inlineStr">
        <is>
          <t>BENKHELIFA ABDELHAKIM</t>
        </is>
      </c>
      <c r="B172" s="12" t="inlineStr">
        <is>
          <t>Avance client dormante ≥ 3 ans</t>
        </is>
      </c>
      <c r="C172" s="25" t="n">
        <v>0</v>
      </c>
      <c r="D172" s="25" t="n">
        <v>0</v>
      </c>
      <c r="E172" s="25" t="n">
        <v>-60000</v>
      </c>
      <c r="F172" s="25" t="n">
        <v>0</v>
      </c>
      <c r="G172" s="25" t="n">
        <v>0</v>
      </c>
      <c r="H172" s="30">
        <f>SUM(D172:G172)</f>
        <v/>
      </c>
      <c r="I172" s="25" t="n">
        <v>0</v>
      </c>
      <c r="J172" s="25" t="n">
        <v>0</v>
      </c>
      <c r="K172" s="22" t="inlineStr">
        <is>
          <t>aucun</t>
        </is>
      </c>
      <c r="L172" s="41" t="n"/>
    </row>
    <row r="173">
      <c r="A173" s="12" t="inlineStr">
        <is>
          <t>YAHIAOUI ELKHIYER</t>
        </is>
      </c>
      <c r="B173" s="12" t="inlineStr">
        <is>
          <t>Avance client dormante ≥ 3 ans</t>
        </is>
      </c>
      <c r="C173" s="25" t="n">
        <v>0</v>
      </c>
      <c r="D173" s="25" t="n">
        <v>0</v>
      </c>
      <c r="E173" s="25" t="n">
        <v>-51500</v>
      </c>
      <c r="F173" s="25" t="n">
        <v>0</v>
      </c>
      <c r="G173" s="25" t="n">
        <v>0</v>
      </c>
      <c r="H173" s="30">
        <f>SUM(D173:G173)</f>
        <v/>
      </c>
      <c r="I173" s="25" t="n">
        <v>0</v>
      </c>
      <c r="J173" s="25" t="n">
        <v>0</v>
      </c>
      <c r="K173" s="22" t="inlineStr">
        <is>
          <t>aucun</t>
        </is>
      </c>
      <c r="L173" s="41" t="n"/>
    </row>
    <row r="174">
      <c r="A174" s="12" t="inlineStr">
        <is>
          <t>HAGROUD ABD ELAZIZE</t>
        </is>
      </c>
      <c r="B174" s="12" t="inlineStr">
        <is>
          <t>Avance client dormante ≥ 3 ans</t>
        </is>
      </c>
      <c r="C174" s="25" t="n">
        <v>0</v>
      </c>
      <c r="D174" s="25" t="n">
        <v>0</v>
      </c>
      <c r="E174" s="25" t="n">
        <v>-48000</v>
      </c>
      <c r="F174" s="25" t="n">
        <v>0</v>
      </c>
      <c r="G174" s="25" t="n">
        <v>0</v>
      </c>
      <c r="H174" s="30">
        <f>SUM(D174:G174)</f>
        <v/>
      </c>
      <c r="I174" s="25" t="n">
        <v>0</v>
      </c>
      <c r="J174" s="25" t="n">
        <v>0</v>
      </c>
      <c r="K174" s="22" t="inlineStr">
        <is>
          <t>aucun</t>
        </is>
      </c>
      <c r="L174" s="41" t="n"/>
    </row>
    <row r="175">
      <c r="A175" s="12" t="inlineStr">
        <is>
          <t>AIT MOUSSA HANAFI</t>
        </is>
      </c>
      <c r="B175" s="12" t="inlineStr">
        <is>
          <t>Avance client dormante ≥ 3 ans</t>
        </is>
      </c>
      <c r="C175" s="25" t="n">
        <v>0</v>
      </c>
      <c r="D175" s="25" t="n">
        <v>0</v>
      </c>
      <c r="E175" s="25" t="n">
        <v>-38000</v>
      </c>
      <c r="F175" s="25" t="n">
        <v>0</v>
      </c>
      <c r="G175" s="25" t="n">
        <v>0</v>
      </c>
      <c r="H175" s="30">
        <f>SUM(D175:G175)</f>
        <v/>
      </c>
      <c r="I175" s="25" t="n">
        <v>0</v>
      </c>
      <c r="J175" s="25" t="n">
        <v>0</v>
      </c>
      <c r="K175" s="22" t="inlineStr">
        <is>
          <t>aucun</t>
        </is>
      </c>
      <c r="L175" s="41" t="n"/>
    </row>
    <row r="176">
      <c r="A176" s="12" t="inlineStr">
        <is>
          <t>NAIT LARBI BOUALEM</t>
        </is>
      </c>
      <c r="B176" s="12" t="inlineStr">
        <is>
          <t>Avance client dormante ≥ 3 ans</t>
        </is>
      </c>
      <c r="C176" s="25" t="n">
        <v>0</v>
      </c>
      <c r="D176" s="25" t="n">
        <v>0</v>
      </c>
      <c r="E176" s="25" t="n">
        <v>-20000</v>
      </c>
      <c r="F176" s="25" t="n">
        <v>0</v>
      </c>
      <c r="G176" s="25" t="n">
        <v>0</v>
      </c>
      <c r="H176" s="30">
        <f>SUM(D176:G176)</f>
        <v/>
      </c>
      <c r="I176" s="25" t="n">
        <v>0</v>
      </c>
      <c r="J176" s="25" t="n">
        <v>0</v>
      </c>
      <c r="K176" s="22" t="inlineStr">
        <is>
          <t>aucun</t>
        </is>
      </c>
      <c r="L176" s="41" t="n"/>
    </row>
    <row r="177">
      <c r="A177" s="12" t="inlineStr">
        <is>
          <t>IDIRI FAYCAL</t>
        </is>
      </c>
      <c r="B177" s="12" t="inlineStr">
        <is>
          <t>Avance client dormante ≥ 3 ans</t>
        </is>
      </c>
      <c r="C177" s="25" t="n">
        <v>0</v>
      </c>
      <c r="D177" s="25" t="n">
        <v>0</v>
      </c>
      <c r="E177" s="25" t="n">
        <v>-9000</v>
      </c>
      <c r="F177" s="25" t="n">
        <v>0</v>
      </c>
      <c r="G177" s="25" t="n">
        <v>0</v>
      </c>
      <c r="H177" s="30">
        <f>SUM(D177:G177)</f>
        <v/>
      </c>
      <c r="I177" s="25" t="n">
        <v>0</v>
      </c>
      <c r="J177" s="25" t="n">
        <v>0</v>
      </c>
      <c r="K177" s="22" t="inlineStr">
        <is>
          <t>aucun</t>
        </is>
      </c>
      <c r="L177" s="41" t="n"/>
    </row>
    <row r="178">
      <c r="A178" s="12" t="inlineStr">
        <is>
          <t>OUKHALED YASSINE</t>
        </is>
      </c>
      <c r="B178" s="12" t="inlineStr">
        <is>
          <t>Avance client dormante ≥ 3 ans</t>
        </is>
      </c>
      <c r="C178" s="25" t="n">
        <v>0</v>
      </c>
      <c r="D178" s="25" t="n">
        <v>0</v>
      </c>
      <c r="E178" s="25" t="n">
        <v>-5638.26</v>
      </c>
      <c r="F178" s="25" t="n">
        <v>0</v>
      </c>
      <c r="G178" s="25" t="n">
        <v>0</v>
      </c>
      <c r="H178" s="30">
        <f>SUM(D178:G178)</f>
        <v/>
      </c>
      <c r="I178" s="25" t="n">
        <v>0</v>
      </c>
      <c r="J178" s="25" t="n">
        <v>0</v>
      </c>
      <c r="K178" s="22" t="inlineStr">
        <is>
          <t>aucun</t>
        </is>
      </c>
      <c r="L178" s="41" t="n"/>
    </row>
    <row r="179">
      <c r="A179" s="12" t="inlineStr">
        <is>
          <t>SLIMANI MOULOUD</t>
        </is>
      </c>
      <c r="B179" s="12" t="inlineStr">
        <is>
          <t>Avance client dormante ≥ 3 ans</t>
        </is>
      </c>
      <c r="C179" s="25" t="n">
        <v>0</v>
      </c>
      <c r="D179" s="25" t="n">
        <v>0</v>
      </c>
      <c r="E179" s="25" t="n">
        <v>-4000</v>
      </c>
      <c r="F179" s="25" t="n">
        <v>0</v>
      </c>
      <c r="G179" s="25" t="n">
        <v>0</v>
      </c>
      <c r="H179" s="30">
        <f>SUM(D179:G179)</f>
        <v/>
      </c>
      <c r="I179" s="25" t="n">
        <v>0</v>
      </c>
      <c r="J179" s="25" t="n">
        <v>0</v>
      </c>
      <c r="K179" s="22" t="inlineStr">
        <is>
          <t>aucun</t>
        </is>
      </c>
      <c r="L179" s="41" t="n"/>
    </row>
    <row r="180">
      <c r="A180" s="12" t="inlineStr">
        <is>
          <t>SARL TRANS SABLE D'OR</t>
        </is>
      </c>
      <c r="B180" s="12" t="inlineStr">
        <is>
          <t>Avance client récente</t>
        </is>
      </c>
      <c r="C180" s="25" t="n">
        <v>0</v>
      </c>
      <c r="D180" s="25" t="n">
        <v>0</v>
      </c>
      <c r="E180" s="25" t="n">
        <v>-29298614.61</v>
      </c>
      <c r="F180" s="25" t="n">
        <v>0</v>
      </c>
      <c r="G180" s="25" t="n">
        <v>0</v>
      </c>
      <c r="H180" s="30">
        <f>SUM(D180:G180)</f>
        <v/>
      </c>
      <c r="I180" s="25" t="n">
        <v>240000</v>
      </c>
      <c r="J180" s="25" t="n">
        <v>240000</v>
      </c>
      <c r="K180" s="22" t="inlineStr">
        <is>
          <t>12/08/2025</t>
        </is>
      </c>
      <c r="L180" s="41" t="n"/>
    </row>
    <row r="181">
      <c r="A181" s="12" t="inlineStr">
        <is>
          <t>MADI ALLAOUA</t>
        </is>
      </c>
      <c r="B181" s="12" t="inlineStr">
        <is>
          <t>Avance client récente</t>
        </is>
      </c>
      <c r="C181" s="25" t="n">
        <v>0</v>
      </c>
      <c r="D181" s="25" t="n">
        <v>0</v>
      </c>
      <c r="E181" s="25" t="n">
        <v>-2660000</v>
      </c>
      <c r="F181" s="25" t="n">
        <v>0</v>
      </c>
      <c r="G181" s="25" t="n">
        <v>0</v>
      </c>
      <c r="H181" s="30">
        <f>SUM(D181:G181)</f>
        <v/>
      </c>
      <c r="I181" s="25" t="n">
        <v>0</v>
      </c>
      <c r="J181" s="25" t="n">
        <v>649946</v>
      </c>
      <c r="K181" s="22" t="inlineStr">
        <is>
          <t>16/01/2025</t>
        </is>
      </c>
      <c r="L181" s="41" t="n"/>
    </row>
    <row r="182">
      <c r="A182" s="12" t="inlineStr">
        <is>
          <t>REDJIMI EP SELAIMIA NOURELHOUD</t>
        </is>
      </c>
      <c r="B182" s="12" t="inlineStr">
        <is>
          <t>Avance client récente</t>
        </is>
      </c>
      <c r="C182" s="25" t="n">
        <v>0</v>
      </c>
      <c r="D182" s="25" t="n">
        <v>0</v>
      </c>
      <c r="E182" s="25" t="n">
        <v>-1825600</v>
      </c>
      <c r="F182" s="25" t="n">
        <v>0</v>
      </c>
      <c r="G182" s="25" t="n">
        <v>0</v>
      </c>
      <c r="H182" s="30">
        <f>SUM(D182:G182)</f>
        <v/>
      </c>
      <c r="I182" s="25" t="n">
        <v>0</v>
      </c>
      <c r="J182" s="25" t="n">
        <v>1825600</v>
      </c>
      <c r="K182" s="22" t="inlineStr">
        <is>
          <t>20/11/2025</t>
        </is>
      </c>
      <c r="L182" s="41" t="n"/>
    </row>
    <row r="183">
      <c r="A183" s="12" t="inlineStr">
        <is>
          <t>SNC BOVA YASSA ET CIE</t>
        </is>
      </c>
      <c r="B183" s="12" t="inlineStr">
        <is>
          <t>Avance client récente</t>
        </is>
      </c>
      <c r="C183" s="25" t="n">
        <v>0</v>
      </c>
      <c r="D183" s="25" t="n">
        <v>0</v>
      </c>
      <c r="E183" s="25" t="n">
        <v>-802295.0699999999</v>
      </c>
      <c r="F183" s="25" t="n">
        <v>0</v>
      </c>
      <c r="G183" s="25" t="n">
        <v>0</v>
      </c>
      <c r="H183" s="30">
        <f>SUM(D183:G183)</f>
        <v/>
      </c>
      <c r="I183" s="25" t="n">
        <v>630000</v>
      </c>
      <c r="J183" s="25" t="n">
        <v>630000</v>
      </c>
      <c r="K183" s="22" t="inlineStr">
        <is>
          <t>17/07/2025</t>
        </is>
      </c>
      <c r="L183" s="41" t="n"/>
    </row>
    <row r="184">
      <c r="A184" s="12" t="inlineStr">
        <is>
          <t>HENNOUNI ALI</t>
        </is>
      </c>
      <c r="B184" s="12" t="inlineStr">
        <is>
          <t>Avance client récente</t>
        </is>
      </c>
      <c r="C184" s="25" t="n">
        <v>0</v>
      </c>
      <c r="D184" s="25" t="n">
        <v>0</v>
      </c>
      <c r="E184" s="25" t="n">
        <v>-705000</v>
      </c>
      <c r="F184" s="25" t="n">
        <v>0</v>
      </c>
      <c r="G184" s="25" t="n">
        <v>0</v>
      </c>
      <c r="H184" s="30">
        <f>SUM(D184:G184)</f>
        <v/>
      </c>
      <c r="I184" s="25" t="n">
        <v>0</v>
      </c>
      <c r="J184" s="25" t="n">
        <v>200000</v>
      </c>
      <c r="K184" s="22" t="inlineStr">
        <is>
          <t>21/01/2025</t>
        </is>
      </c>
      <c r="L184" s="41" t="n"/>
    </row>
    <row r="185">
      <c r="A185" s="12" t="inlineStr">
        <is>
          <t>IGOUCIMENE FAOUZI</t>
        </is>
      </c>
      <c r="B185" s="12" t="inlineStr">
        <is>
          <t>Avance client récente</t>
        </is>
      </c>
      <c r="C185" s="25" t="n">
        <v>0</v>
      </c>
      <c r="D185" s="25" t="n">
        <v>0</v>
      </c>
      <c r="E185" s="25" t="n">
        <v>-598013.55</v>
      </c>
      <c r="F185" s="25" t="n">
        <v>0</v>
      </c>
      <c r="G185" s="25" t="n">
        <v>0</v>
      </c>
      <c r="H185" s="30">
        <f>SUM(D185:G185)</f>
        <v/>
      </c>
      <c r="I185" s="25" t="n">
        <v>720000</v>
      </c>
      <c r="J185" s="25" t="n">
        <v>720000</v>
      </c>
      <c r="K185" s="22" t="inlineStr">
        <is>
          <t>17/07/2025</t>
        </is>
      </c>
      <c r="L185" s="41" t="n"/>
    </row>
    <row r="186">
      <c r="A186" s="12" t="inlineStr">
        <is>
          <t>MOHELLEBI MOHAMED</t>
        </is>
      </c>
      <c r="B186" s="12" t="inlineStr">
        <is>
          <t>Avance client récente</t>
        </is>
      </c>
      <c r="C186" s="25" t="n">
        <v>0</v>
      </c>
      <c r="D186" s="25" t="n">
        <v>0</v>
      </c>
      <c r="E186" s="25" t="n">
        <v>-593500</v>
      </c>
      <c r="F186" s="25" t="n">
        <v>0</v>
      </c>
      <c r="G186" s="25" t="n">
        <v>0</v>
      </c>
      <c r="H186" s="30">
        <f>SUM(D186:G186)</f>
        <v/>
      </c>
      <c r="I186" s="25" t="n">
        <v>306833.45</v>
      </c>
      <c r="J186" s="25" t="n">
        <v>306833.45</v>
      </c>
      <c r="K186" s="22" t="inlineStr">
        <is>
          <t>24/02/2025</t>
        </is>
      </c>
      <c r="L186" s="41" t="n"/>
    </row>
    <row r="187">
      <c r="A187" s="12" t="inlineStr">
        <is>
          <t>NAFTAL GPL SAIDA</t>
        </is>
      </c>
      <c r="B187" s="12" t="inlineStr">
        <is>
          <t>Avance client récente</t>
        </is>
      </c>
      <c r="C187" s="25" t="n">
        <v>0</v>
      </c>
      <c r="D187" s="25" t="n">
        <v>0</v>
      </c>
      <c r="E187" s="25" t="n">
        <v>-395318</v>
      </c>
      <c r="F187" s="25" t="n">
        <v>0</v>
      </c>
      <c r="G187" s="25" t="n">
        <v>0</v>
      </c>
      <c r="H187" s="30">
        <f>SUM(D187:G187)</f>
        <v/>
      </c>
      <c r="I187" s="25" t="n">
        <v>20148009</v>
      </c>
      <c r="J187" s="25" t="n">
        <v>20148009</v>
      </c>
      <c r="K187" s="22" t="inlineStr">
        <is>
          <t>31/07/2025</t>
        </is>
      </c>
      <c r="L187" s="41" t="n"/>
    </row>
    <row r="188">
      <c r="A188" s="12" t="inlineStr">
        <is>
          <t>ZIANI AMIR</t>
        </is>
      </c>
      <c r="B188" s="12" t="inlineStr">
        <is>
          <t>Avance client récente</t>
        </is>
      </c>
      <c r="C188" s="25" t="n">
        <v>0</v>
      </c>
      <c r="D188" s="25" t="n">
        <v>-0</v>
      </c>
      <c r="E188" s="25" t="n">
        <v>-250000</v>
      </c>
      <c r="F188" s="25" t="n">
        <v>0</v>
      </c>
      <c r="G188" s="25" t="n">
        <v>0</v>
      </c>
      <c r="H188" s="30">
        <f>SUM(D188:G188)</f>
        <v/>
      </c>
      <c r="I188" s="25" t="n">
        <v>10560829.41</v>
      </c>
      <c r="J188" s="25" t="n">
        <v>10560829.41</v>
      </c>
      <c r="K188" s="22" t="inlineStr">
        <is>
          <t>31/12/2025</t>
        </is>
      </c>
      <c r="L188" s="41" t="n"/>
    </row>
    <row r="189">
      <c r="A189" s="12" t="inlineStr">
        <is>
          <t>KADOUR AMAR</t>
        </is>
      </c>
      <c r="B189" s="12" t="inlineStr">
        <is>
          <t>Avance client récente</t>
        </is>
      </c>
      <c r="C189" s="25" t="n">
        <v>0</v>
      </c>
      <c r="D189" s="25" t="n">
        <v>0</v>
      </c>
      <c r="E189" s="25" t="n">
        <v>-240000</v>
      </c>
      <c r="F189" s="25" t="n">
        <v>0</v>
      </c>
      <c r="G189" s="25" t="n">
        <v>0</v>
      </c>
      <c r="H189" s="30">
        <f>SUM(D189:G189)</f>
        <v/>
      </c>
      <c r="I189" s="25" t="n">
        <v>0</v>
      </c>
      <c r="J189" s="25" t="n">
        <v>240000</v>
      </c>
      <c r="K189" s="22" t="inlineStr">
        <is>
          <t>30/09/2025</t>
        </is>
      </c>
      <c r="L189" s="41" t="n"/>
    </row>
    <row r="190">
      <c r="A190" s="12" t="inlineStr">
        <is>
          <t>SNC MOTEUR BLUE ZIANI ET CIE</t>
        </is>
      </c>
      <c r="B190" s="12" t="inlineStr">
        <is>
          <t>Créance client sans mouvement en 2025</t>
        </is>
      </c>
      <c r="C190" s="25" t="n">
        <v>0</v>
      </c>
      <c r="D190" s="25" t="n">
        <v>1000000</v>
      </c>
      <c r="E190" s="25" t="n">
        <v>0</v>
      </c>
      <c r="F190" s="25" t="n">
        <v>0</v>
      </c>
      <c r="G190" s="25" t="n">
        <v>0</v>
      </c>
      <c r="H190" s="30">
        <f>SUM(D190:G190)</f>
        <v/>
      </c>
      <c r="I190" s="25" t="n">
        <v>0</v>
      </c>
      <c r="J190" s="25" t="n">
        <v>0</v>
      </c>
      <c r="K190" s="22" t="inlineStr">
        <is>
          <t>aucun</t>
        </is>
      </c>
      <c r="L190" s="41" t="n"/>
    </row>
    <row r="191">
      <c r="A191" s="12" t="inlineStr">
        <is>
          <t>SARL LOCA PREST</t>
        </is>
      </c>
      <c r="B191" s="12" t="inlineStr">
        <is>
          <t>Créance client sans mouvement en 2025</t>
        </is>
      </c>
      <c r="C191" s="25" t="n">
        <v>707123.6800000001</v>
      </c>
      <c r="D191" s="25" t="n">
        <v>707123.6800000001</v>
      </c>
      <c r="E191" s="25" t="n">
        <v>0</v>
      </c>
      <c r="F191" s="25" t="n">
        <v>0</v>
      </c>
      <c r="G191" s="25" t="n">
        <v>0</v>
      </c>
      <c r="H191" s="30">
        <f>SUM(D191:G191)</f>
        <v/>
      </c>
      <c r="I191" s="25" t="n">
        <v>0</v>
      </c>
      <c r="J191" s="25" t="n">
        <v>0</v>
      </c>
      <c r="K191" s="22" t="inlineStr">
        <is>
          <t>aucun</t>
        </is>
      </c>
      <c r="L191" s="41" t="n"/>
    </row>
    <row r="192">
      <c r="A192" s="12" t="inlineStr">
        <is>
          <t>HAMOUMOU ABDELLAH</t>
        </is>
      </c>
      <c r="B192" s="12" t="inlineStr">
        <is>
          <t>Créance client sans mouvement en 2025</t>
        </is>
      </c>
      <c r="C192" s="25" t="n">
        <v>0</v>
      </c>
      <c r="D192" s="25" t="n">
        <v>600000.01</v>
      </c>
      <c r="E192" s="25" t="n">
        <v>0</v>
      </c>
      <c r="F192" s="25" t="n">
        <v>0</v>
      </c>
      <c r="G192" s="25" t="n">
        <v>0</v>
      </c>
      <c r="H192" s="30">
        <f>SUM(D192:G192)</f>
        <v/>
      </c>
      <c r="I192" s="25" t="n">
        <v>0</v>
      </c>
      <c r="J192" s="25" t="n">
        <v>0</v>
      </c>
      <c r="K192" s="22" t="inlineStr">
        <is>
          <t>aucun</t>
        </is>
      </c>
      <c r="L192" s="41" t="n"/>
    </row>
    <row r="193">
      <c r="A193" s="12" t="inlineStr">
        <is>
          <t>EURL CONPICAM</t>
        </is>
      </c>
      <c r="B193" s="12" t="inlineStr">
        <is>
          <t>Créance client sans mouvement en 2025</t>
        </is>
      </c>
      <c r="C193" s="25" t="n">
        <v>584700.02</v>
      </c>
      <c r="D193" s="25" t="n">
        <v>584700.02</v>
      </c>
      <c r="E193" s="25" t="n">
        <v>0</v>
      </c>
      <c r="F193" s="25" t="n">
        <v>0</v>
      </c>
      <c r="G193" s="25" t="n">
        <v>0</v>
      </c>
      <c r="H193" s="30">
        <f>SUM(D193:G193)</f>
        <v/>
      </c>
      <c r="I193" s="25" t="n">
        <v>0</v>
      </c>
      <c r="J193" s="25" t="n">
        <v>0</v>
      </c>
      <c r="K193" s="22" t="inlineStr">
        <is>
          <t>aucun</t>
        </is>
      </c>
      <c r="L193" s="41" t="n"/>
    </row>
    <row r="194">
      <c r="A194" s="12" t="inlineStr">
        <is>
          <t>(sans code) 41170</t>
        </is>
      </c>
      <c r="B194" s="12" t="inlineStr">
        <is>
          <t>Créance client sans mouvement en 2025</t>
        </is>
      </c>
      <c r="C194" s="25" t="n">
        <v>260873.29</v>
      </c>
      <c r="D194" s="25" t="n">
        <v>490717.68</v>
      </c>
      <c r="E194" s="25" t="n">
        <v>0</v>
      </c>
      <c r="F194" s="25" t="n">
        <v>0</v>
      </c>
      <c r="G194" s="25" t="n">
        <v>0</v>
      </c>
      <c r="H194" s="30">
        <f>SUM(D194:G194)</f>
        <v/>
      </c>
      <c r="I194" s="25" t="n">
        <v>0</v>
      </c>
      <c r="J194" s="25" t="n">
        <v>0</v>
      </c>
      <c r="K194" s="22" t="inlineStr">
        <is>
          <t>aucun</t>
        </is>
      </c>
      <c r="L194" s="41" t="n"/>
    </row>
    <row r="195">
      <c r="A195" s="12" t="inlineStr">
        <is>
          <t>BOUROKBA MANSOUR</t>
        </is>
      </c>
      <c r="B195" s="12" t="inlineStr">
        <is>
          <t>Créance client sans mouvement en 2025</t>
        </is>
      </c>
      <c r="C195" s="25" t="n">
        <v>300000.01</v>
      </c>
      <c r="D195" s="25" t="n">
        <v>300000.01</v>
      </c>
      <c r="E195" s="25" t="n">
        <v>0</v>
      </c>
      <c r="F195" s="25" t="n">
        <v>0</v>
      </c>
      <c r="G195" s="25" t="n">
        <v>0</v>
      </c>
      <c r="H195" s="30">
        <f>SUM(D195:G195)</f>
        <v/>
      </c>
      <c r="I195" s="25" t="n">
        <v>0</v>
      </c>
      <c r="J195" s="25" t="n">
        <v>0</v>
      </c>
      <c r="K195" s="22" t="inlineStr">
        <is>
          <t>aucun</t>
        </is>
      </c>
      <c r="L195" s="41" t="n"/>
    </row>
    <row r="196">
      <c r="A196" s="12" t="inlineStr">
        <is>
          <t>AMIMER ENERGIE SPA</t>
        </is>
      </c>
      <c r="B196" s="12" t="inlineStr">
        <is>
          <t>Créance client sans mouvement en 2025</t>
        </is>
      </c>
      <c r="C196" s="25" t="n">
        <v>228480</v>
      </c>
      <c r="D196" s="25" t="n">
        <v>228480</v>
      </c>
      <c r="E196" s="25" t="n">
        <v>0</v>
      </c>
      <c r="F196" s="25" t="n">
        <v>0</v>
      </c>
      <c r="G196" s="25" t="n">
        <v>0</v>
      </c>
      <c r="H196" s="30">
        <f>SUM(D196:G196)</f>
        <v/>
      </c>
      <c r="I196" s="25" t="n">
        <v>0</v>
      </c>
      <c r="J196" s="25" t="n">
        <v>0</v>
      </c>
      <c r="K196" s="22" t="inlineStr">
        <is>
          <t>aucun</t>
        </is>
      </c>
      <c r="L196" s="41" t="n"/>
    </row>
    <row r="197">
      <c r="A197" s="12" t="inlineStr">
        <is>
          <t>HENIA MOHAMED ELBARK</t>
        </is>
      </c>
      <c r="B197" s="12" t="inlineStr">
        <is>
          <t>Créance client sans mouvement en 2025</t>
        </is>
      </c>
      <c r="C197" s="25" t="n">
        <v>226000.01</v>
      </c>
      <c r="D197" s="25" t="n">
        <v>226000.01</v>
      </c>
      <c r="E197" s="25" t="n">
        <v>0</v>
      </c>
      <c r="F197" s="25" t="n">
        <v>0</v>
      </c>
      <c r="G197" s="25" t="n">
        <v>0</v>
      </c>
      <c r="H197" s="30">
        <f>SUM(D197:G197)</f>
        <v/>
      </c>
      <c r="I197" s="25" t="n">
        <v>0</v>
      </c>
      <c r="J197" s="25" t="n">
        <v>0</v>
      </c>
      <c r="K197" s="22" t="inlineStr">
        <is>
          <t>aucun</t>
        </is>
      </c>
      <c r="L197" s="41" t="n"/>
    </row>
    <row r="198">
      <c r="A198" s="12" t="inlineStr">
        <is>
          <t>NECHAB HACENE</t>
        </is>
      </c>
      <c r="B198" s="12" t="inlineStr">
        <is>
          <t>Créance client sans mouvement en 2025</t>
        </is>
      </c>
      <c r="C198" s="25" t="n">
        <v>0</v>
      </c>
      <c r="D198" s="25" t="n">
        <v>220150</v>
      </c>
      <c r="E198" s="25" t="n">
        <v>0</v>
      </c>
      <c r="F198" s="25" t="n">
        <v>0</v>
      </c>
      <c r="G198" s="25" t="n">
        <v>0</v>
      </c>
      <c r="H198" s="30">
        <f>SUM(D198:G198)</f>
        <v/>
      </c>
      <c r="I198" s="25" t="n">
        <v>0</v>
      </c>
      <c r="J198" s="25" t="n">
        <v>0</v>
      </c>
      <c r="K198" s="22" t="inlineStr">
        <is>
          <t>aucun</t>
        </is>
      </c>
      <c r="L198" s="41" t="n"/>
    </row>
    <row r="199">
      <c r="A199" s="12" t="inlineStr">
        <is>
          <t>RENOFLEX</t>
        </is>
      </c>
      <c r="B199" s="12" t="inlineStr">
        <is>
          <t>Créance client sans mouvement en 2025</t>
        </is>
      </c>
      <c r="C199" s="25" t="n">
        <v>152000</v>
      </c>
      <c r="D199" s="25" t="n">
        <v>152000</v>
      </c>
      <c r="E199" s="25" t="n">
        <v>0</v>
      </c>
      <c r="F199" s="25" t="n">
        <v>0</v>
      </c>
      <c r="G199" s="25" t="n">
        <v>0</v>
      </c>
      <c r="H199" s="30">
        <f>SUM(D199:G199)</f>
        <v/>
      </c>
      <c r="I199" s="25" t="n">
        <v>0</v>
      </c>
      <c r="J199" s="25" t="n">
        <v>0</v>
      </c>
      <c r="K199" s="22" t="inlineStr">
        <is>
          <t>aucun</t>
        </is>
      </c>
      <c r="L199" s="41" t="n"/>
    </row>
    <row r="200">
      <c r="A200" s="12" t="inlineStr">
        <is>
          <t>SARL MTA</t>
        </is>
      </c>
      <c r="B200" s="12" t="inlineStr">
        <is>
          <t>Créance client sans mouvement en 2025</t>
        </is>
      </c>
      <c r="C200" s="25" t="n">
        <v>0</v>
      </c>
      <c r="D200" s="25" t="n">
        <v>151844</v>
      </c>
      <c r="E200" s="25" t="n">
        <v>0</v>
      </c>
      <c r="F200" s="25" t="n">
        <v>0</v>
      </c>
      <c r="G200" s="25" t="n">
        <v>0</v>
      </c>
      <c r="H200" s="30">
        <f>SUM(D200:G200)</f>
        <v/>
      </c>
      <c r="I200" s="25" t="n">
        <v>0</v>
      </c>
      <c r="J200" s="25" t="n">
        <v>0</v>
      </c>
      <c r="K200" s="22" t="inlineStr">
        <is>
          <t>aucun</t>
        </is>
      </c>
      <c r="L200" s="41" t="n"/>
    </row>
    <row r="201">
      <c r="A201" s="12" t="inlineStr">
        <is>
          <t>BELKAID SAMIR</t>
        </is>
      </c>
      <c r="B201" s="12" t="inlineStr">
        <is>
          <t>Créance client sans mouvement en 2025</t>
        </is>
      </c>
      <c r="C201" s="25" t="n">
        <v>116300</v>
      </c>
      <c r="D201" s="25" t="n">
        <v>116300</v>
      </c>
      <c r="E201" s="25" t="n">
        <v>0</v>
      </c>
      <c r="F201" s="25" t="n">
        <v>0</v>
      </c>
      <c r="G201" s="25" t="n">
        <v>0</v>
      </c>
      <c r="H201" s="30">
        <f>SUM(D201:G201)</f>
        <v/>
      </c>
      <c r="I201" s="25" t="n">
        <v>0</v>
      </c>
      <c r="J201" s="25" t="n">
        <v>0</v>
      </c>
      <c r="K201" s="22" t="inlineStr">
        <is>
          <t>aucun</t>
        </is>
      </c>
      <c r="L201" s="41" t="n"/>
    </row>
    <row r="202">
      <c r="A202" s="12" t="inlineStr">
        <is>
          <t>SPA EVEMAC</t>
        </is>
      </c>
      <c r="B202" s="12" t="inlineStr">
        <is>
          <t>Créance client sans mouvement en 2025</t>
        </is>
      </c>
      <c r="C202" s="25" t="n">
        <v>0</v>
      </c>
      <c r="D202" s="25" t="n">
        <v>100000</v>
      </c>
      <c r="E202" s="25" t="n">
        <v>0</v>
      </c>
      <c r="F202" s="25" t="n">
        <v>0</v>
      </c>
      <c r="G202" s="25" t="n">
        <v>0</v>
      </c>
      <c r="H202" s="30">
        <f>SUM(D202:G202)</f>
        <v/>
      </c>
      <c r="I202" s="25" t="n">
        <v>0</v>
      </c>
      <c r="J202" s="25" t="n">
        <v>0</v>
      </c>
      <c r="K202" s="22" t="inlineStr">
        <is>
          <t>aucun</t>
        </is>
      </c>
      <c r="L202" s="41" t="n"/>
    </row>
    <row r="203">
      <c r="A203" s="12" t="inlineStr">
        <is>
          <t>SPA TRANS OUEST</t>
        </is>
      </c>
      <c r="B203" s="12" t="inlineStr">
        <is>
          <t>Créance client sans mouvement en 2025</t>
        </is>
      </c>
      <c r="C203" s="25" t="n">
        <v>76160</v>
      </c>
      <c r="D203" s="25" t="n">
        <v>76160</v>
      </c>
      <c r="E203" s="25" t="n">
        <v>0</v>
      </c>
      <c r="F203" s="25" t="n">
        <v>0</v>
      </c>
      <c r="G203" s="25" t="n">
        <v>0</v>
      </c>
      <c r="H203" s="30">
        <f>SUM(D203:G203)</f>
        <v/>
      </c>
      <c r="I203" s="25" t="n">
        <v>0</v>
      </c>
      <c r="J203" s="25" t="n">
        <v>0</v>
      </c>
      <c r="K203" s="22" t="inlineStr">
        <is>
          <t>aucun</t>
        </is>
      </c>
      <c r="L203" s="41" t="n"/>
    </row>
    <row r="204">
      <c r="A204" s="12" t="inlineStr">
        <is>
          <t>EURL MONTE PARTS</t>
        </is>
      </c>
      <c r="B204" s="12" t="inlineStr">
        <is>
          <t>Créance client sans mouvement en 2025</t>
        </is>
      </c>
      <c r="C204" s="25" t="n">
        <v>74000</v>
      </c>
      <c r="D204" s="25" t="n">
        <v>74000</v>
      </c>
      <c r="E204" s="25" t="n">
        <v>0</v>
      </c>
      <c r="F204" s="25" t="n">
        <v>0</v>
      </c>
      <c r="G204" s="25" t="n">
        <v>0</v>
      </c>
      <c r="H204" s="30">
        <f>SUM(D204:G204)</f>
        <v/>
      </c>
      <c r="I204" s="25" t="n">
        <v>0</v>
      </c>
      <c r="J204" s="25" t="n">
        <v>0</v>
      </c>
      <c r="K204" s="22" t="inlineStr">
        <is>
          <t>aucun</t>
        </is>
      </c>
      <c r="L204" s="41" t="n"/>
    </row>
    <row r="205">
      <c r="A205" s="12" t="inlineStr">
        <is>
          <t>SARL COMPLEXE AGRO ALIMENTAIRE</t>
        </is>
      </c>
      <c r="B205" s="12" t="inlineStr">
        <is>
          <t>Créance client sans mouvement en 2025</t>
        </is>
      </c>
      <c r="C205" s="25" t="n">
        <v>60690</v>
      </c>
      <c r="D205" s="25" t="n">
        <v>60690</v>
      </c>
      <c r="E205" s="25" t="n">
        <v>0</v>
      </c>
      <c r="F205" s="25" t="n">
        <v>0</v>
      </c>
      <c r="G205" s="25" t="n">
        <v>0</v>
      </c>
      <c r="H205" s="30">
        <f>SUM(D205:G205)</f>
        <v/>
      </c>
      <c r="I205" s="25" t="n">
        <v>0</v>
      </c>
      <c r="J205" s="25" t="n">
        <v>0</v>
      </c>
      <c r="K205" s="22" t="inlineStr">
        <is>
          <t>aucun</t>
        </is>
      </c>
      <c r="L205" s="41" t="n"/>
    </row>
    <row r="206">
      <c r="A206" s="12" t="inlineStr">
        <is>
          <t>SPA AGEFAL</t>
        </is>
      </c>
      <c r="B206" s="12" t="inlineStr">
        <is>
          <t>Créance client sans mouvement en 2025</t>
        </is>
      </c>
      <c r="C206" s="25" t="n">
        <v>0</v>
      </c>
      <c r="D206" s="25" t="n">
        <v>60214</v>
      </c>
      <c r="E206" s="25" t="n">
        <v>0</v>
      </c>
      <c r="F206" s="25" t="n">
        <v>0</v>
      </c>
      <c r="G206" s="25" t="n">
        <v>0</v>
      </c>
      <c r="H206" s="30">
        <f>SUM(D206:G206)</f>
        <v/>
      </c>
      <c r="I206" s="25" t="n">
        <v>0</v>
      </c>
      <c r="J206" s="25" t="n">
        <v>0</v>
      </c>
      <c r="K206" s="22" t="inlineStr">
        <is>
          <t>aucun</t>
        </is>
      </c>
      <c r="L206" s="41" t="n"/>
    </row>
    <row r="207">
      <c r="A207" s="12" t="inlineStr">
        <is>
          <t>SARL POULINA</t>
        </is>
      </c>
      <c r="B207" s="12" t="inlineStr">
        <is>
          <t>Créance client sans mouvement en 2025</t>
        </is>
      </c>
      <c r="C207" s="25" t="n">
        <v>42305.99</v>
      </c>
      <c r="D207" s="25" t="n">
        <v>42305.99</v>
      </c>
      <c r="E207" s="25" t="n">
        <v>0</v>
      </c>
      <c r="F207" s="25" t="n">
        <v>0</v>
      </c>
      <c r="G207" s="25" t="n">
        <v>0</v>
      </c>
      <c r="H207" s="30">
        <f>SUM(D207:G207)</f>
        <v/>
      </c>
      <c r="I207" s="25" t="n">
        <v>0</v>
      </c>
      <c r="J207" s="25" t="n">
        <v>0</v>
      </c>
      <c r="K207" s="22" t="inlineStr">
        <is>
          <t>aucun</t>
        </is>
      </c>
      <c r="L207" s="41" t="n"/>
    </row>
    <row r="208">
      <c r="A208" s="12" t="inlineStr">
        <is>
          <t>SPA METIDJI TRANS DE MARCHANDI</t>
        </is>
      </c>
      <c r="B208" s="12" t="inlineStr">
        <is>
          <t>Créance client sans mouvement en 2025</t>
        </is>
      </c>
      <c r="C208" s="25" t="n">
        <v>29750</v>
      </c>
      <c r="D208" s="25" t="n">
        <v>29750</v>
      </c>
      <c r="E208" s="25" t="n">
        <v>0</v>
      </c>
      <c r="F208" s="25" t="n">
        <v>0</v>
      </c>
      <c r="G208" s="25" t="n">
        <v>0</v>
      </c>
      <c r="H208" s="30">
        <f>SUM(D208:G208)</f>
        <v/>
      </c>
      <c r="I208" s="25" t="n">
        <v>0</v>
      </c>
      <c r="J208" s="25" t="n">
        <v>0</v>
      </c>
      <c r="K208" s="22" t="inlineStr">
        <is>
          <t>aucun</t>
        </is>
      </c>
      <c r="L208" s="41" t="n"/>
    </row>
    <row r="209">
      <c r="A209" s="12" t="inlineStr">
        <is>
          <t>SPA TMF LOGISTICS</t>
        </is>
      </c>
      <c r="B209" s="12" t="inlineStr">
        <is>
          <t>Créance client active</t>
        </is>
      </c>
      <c r="C209" s="25" t="n">
        <v>0</v>
      </c>
      <c r="D209" s="25" t="n">
        <v>9248680</v>
      </c>
      <c r="E209" s="25" t="n">
        <v>0</v>
      </c>
      <c r="F209" s="25" t="n">
        <v>0</v>
      </c>
      <c r="G209" s="25" t="n">
        <v>0</v>
      </c>
      <c r="H209" s="30">
        <f>SUM(D209:G209)</f>
        <v/>
      </c>
      <c r="I209" s="25" t="n">
        <v>18522707</v>
      </c>
      <c r="J209" s="25" t="n">
        <v>11541572</v>
      </c>
      <c r="K209" s="22" t="inlineStr">
        <is>
          <t>18/12/2025</t>
        </is>
      </c>
      <c r="L209" s="41" t="n"/>
    </row>
    <row r="210">
      <c r="A210" s="12" t="inlineStr">
        <is>
          <t>BEJAIA LOGISTIQUE</t>
        </is>
      </c>
      <c r="B210" s="12" t="inlineStr">
        <is>
          <t>Créance client active</t>
        </is>
      </c>
      <c r="C210" s="25" t="n">
        <v>1330301</v>
      </c>
      <c r="D210" s="25" t="n">
        <v>7842460</v>
      </c>
      <c r="E210" s="25" t="n">
        <v>0</v>
      </c>
      <c r="F210" s="25" t="n">
        <v>0</v>
      </c>
      <c r="G210" s="25" t="n">
        <v>0</v>
      </c>
      <c r="H210" s="30">
        <f>SUM(D210:G210)</f>
        <v/>
      </c>
      <c r="I210" s="25" t="n">
        <v>30401525</v>
      </c>
      <c r="J210" s="25" t="n">
        <v>23242839</v>
      </c>
      <c r="K210" s="22" t="inlineStr">
        <is>
          <t>29/12/2025</t>
        </is>
      </c>
      <c r="L210" s="41" t="n"/>
    </row>
    <row r="211">
      <c r="A211" s="12" t="inlineStr">
        <is>
          <t>BENAMARA MOHAMMED</t>
        </is>
      </c>
      <c r="B211" s="12" t="inlineStr">
        <is>
          <t>Créance client active</t>
        </is>
      </c>
      <c r="C211" s="25" t="n">
        <v>0</v>
      </c>
      <c r="D211" s="25" t="n">
        <v>1989648</v>
      </c>
      <c r="E211" s="25" t="n">
        <v>0</v>
      </c>
      <c r="F211" s="25" t="n">
        <v>0</v>
      </c>
      <c r="G211" s="25" t="n">
        <v>0</v>
      </c>
      <c r="H211" s="30">
        <f>SUM(D211:G211)</f>
        <v/>
      </c>
      <c r="I211" s="25" t="n">
        <v>1989648</v>
      </c>
      <c r="J211" s="25" t="n">
        <v>0</v>
      </c>
      <c r="K211" s="22" t="inlineStr">
        <is>
          <t>02/03/2025</t>
        </is>
      </c>
      <c r="L211" s="41" t="n"/>
    </row>
    <row r="212">
      <c r="A212" s="12" t="inlineStr">
        <is>
          <t>NUMILOG SPA TRANSPORT ET LOGIS</t>
        </is>
      </c>
      <c r="B212" s="12" t="inlineStr">
        <is>
          <t>Créance client active</t>
        </is>
      </c>
      <c r="C212" s="25" t="n">
        <v>1414434</v>
      </c>
      <c r="D212" s="25" t="n">
        <v>1586984</v>
      </c>
      <c r="E212" s="25" t="n">
        <v>0</v>
      </c>
      <c r="F212" s="25" t="n">
        <v>0</v>
      </c>
      <c r="G212" s="25" t="n">
        <v>0</v>
      </c>
      <c r="H212" s="30">
        <f>SUM(D212:G212)</f>
        <v/>
      </c>
      <c r="I212" s="25" t="n">
        <v>172550</v>
      </c>
      <c r="J212" s="25" t="n">
        <v>0</v>
      </c>
      <c r="K212" s="22" t="inlineStr">
        <is>
          <t>07/10/2025</t>
        </is>
      </c>
      <c r="L212" s="41" t="n"/>
    </row>
    <row r="213">
      <c r="A213" s="12" t="inlineStr">
        <is>
          <t>EURL TERRENO TRANS</t>
        </is>
      </c>
      <c r="B213" s="12" t="inlineStr">
        <is>
          <t>Créance client active</t>
        </is>
      </c>
      <c r="C213" s="25" t="n">
        <v>0</v>
      </c>
      <c r="D213" s="25" t="n">
        <v>1420860</v>
      </c>
      <c r="E213" s="25" t="n">
        <v>0</v>
      </c>
      <c r="F213" s="25" t="n">
        <v>0</v>
      </c>
      <c r="G213" s="25" t="n">
        <v>0</v>
      </c>
      <c r="H213" s="30">
        <f>SUM(D213:G213)</f>
        <v/>
      </c>
      <c r="I213" s="25" t="n">
        <v>16616208</v>
      </c>
      <c r="J213" s="25" t="n">
        <v>16093798</v>
      </c>
      <c r="K213" s="22" t="inlineStr">
        <is>
          <t>15/12/2025</t>
        </is>
      </c>
      <c r="L213" s="41" t="n"/>
    </row>
    <row r="214">
      <c r="A214" s="12" t="inlineStr">
        <is>
          <t>EPE SPA FERROVIAL</t>
        </is>
      </c>
      <c r="B214" s="12" t="inlineStr">
        <is>
          <t>Créance client active</t>
        </is>
      </c>
      <c r="C214" s="25" t="n">
        <v>0</v>
      </c>
      <c r="D214" s="25" t="n">
        <v>1187620</v>
      </c>
      <c r="E214" s="25" t="n">
        <v>0</v>
      </c>
      <c r="F214" s="25" t="n">
        <v>0</v>
      </c>
      <c r="G214" s="25" t="n">
        <v>0</v>
      </c>
      <c r="H214" s="30">
        <f>SUM(D214:G214)</f>
        <v/>
      </c>
      <c r="I214" s="25" t="n">
        <v>215390</v>
      </c>
      <c r="J214" s="25" t="n">
        <v>215390</v>
      </c>
      <c r="K214" s="22" t="inlineStr">
        <is>
          <t>05/11/2025</t>
        </is>
      </c>
      <c r="L214" s="41" t="n"/>
    </row>
    <row r="215">
      <c r="A215" s="12" t="inlineStr">
        <is>
          <t>SARL ATELIER SERVICES TRUCKS</t>
        </is>
      </c>
      <c r="B215" s="12" t="inlineStr">
        <is>
          <t>Créance client active</t>
        </is>
      </c>
      <c r="C215" s="25" t="n">
        <v>0</v>
      </c>
      <c r="D215" s="25" t="n">
        <v>1154000.03</v>
      </c>
      <c r="E215" s="25" t="n">
        <v>0</v>
      </c>
      <c r="F215" s="25" t="n">
        <v>0</v>
      </c>
      <c r="G215" s="25" t="n">
        <v>0</v>
      </c>
      <c r="H215" s="30">
        <f>SUM(D215:G215)</f>
        <v/>
      </c>
      <c r="I215" s="25" t="n">
        <v>33225030.05</v>
      </c>
      <c r="J215" s="25" t="n">
        <v>32071030.02</v>
      </c>
      <c r="K215" s="22" t="inlineStr">
        <is>
          <t>30/12/2025</t>
        </is>
      </c>
      <c r="L215" s="41" t="n"/>
    </row>
    <row r="216">
      <c r="A216" s="12" t="inlineStr">
        <is>
          <t>EURL UNIVERSAL FOOD</t>
        </is>
      </c>
      <c r="B216" s="12" t="inlineStr">
        <is>
          <t>Créance client active</t>
        </is>
      </c>
      <c r="C216" s="25" t="n">
        <v>0</v>
      </c>
      <c r="D216" s="25" t="n">
        <v>961450</v>
      </c>
      <c r="E216" s="25" t="n">
        <v>0</v>
      </c>
      <c r="F216" s="25" t="n">
        <v>0</v>
      </c>
      <c r="G216" s="25" t="n">
        <v>0</v>
      </c>
      <c r="H216" s="30">
        <f>SUM(D216:G216)</f>
        <v/>
      </c>
      <c r="I216" s="25" t="n">
        <v>961450</v>
      </c>
      <c r="J216" s="25" t="n">
        <v>0</v>
      </c>
      <c r="K216" s="22" t="inlineStr">
        <is>
          <t>07/09/2025</t>
        </is>
      </c>
      <c r="L216" s="41" t="n"/>
    </row>
    <row r="217">
      <c r="A217" s="12" t="inlineStr">
        <is>
          <t>SARL ECI BOUDIAB</t>
        </is>
      </c>
      <c r="B217" s="12" t="inlineStr">
        <is>
          <t>Créance client active</t>
        </is>
      </c>
      <c r="C217" s="25" t="n">
        <v>0</v>
      </c>
      <c r="D217" s="25" t="n">
        <v>734706</v>
      </c>
      <c r="E217" s="25" t="n">
        <v>0</v>
      </c>
      <c r="F217" s="25" t="n">
        <v>0</v>
      </c>
      <c r="G217" s="25" t="n">
        <v>0</v>
      </c>
      <c r="H217" s="30">
        <f>SUM(D217:G217)</f>
        <v/>
      </c>
      <c r="I217" s="25" t="n">
        <v>734706</v>
      </c>
      <c r="J217" s="25" t="n">
        <v>0</v>
      </c>
      <c r="K217" s="22" t="inlineStr">
        <is>
          <t>18/12/2025</t>
        </is>
      </c>
      <c r="L217" s="41" t="n"/>
    </row>
    <row r="218">
      <c r="A218" s="12" t="inlineStr">
        <is>
          <t>ENSP SPA</t>
        </is>
      </c>
      <c r="B218" s="12" t="inlineStr">
        <is>
          <t>Créance client active</t>
        </is>
      </c>
      <c r="C218" s="25" t="n">
        <v>15582728.33</v>
      </c>
      <c r="D218" s="25" t="n">
        <v>489329.16</v>
      </c>
      <c r="E218" s="25" t="n">
        <v>0</v>
      </c>
      <c r="F218" s="25" t="n">
        <v>0</v>
      </c>
      <c r="G218" s="25" t="n">
        <v>0</v>
      </c>
      <c r="H218" s="30">
        <f>SUM(D218:G218)</f>
        <v/>
      </c>
      <c r="I218" s="25" t="n">
        <v>0</v>
      </c>
      <c r="J218" s="25" t="n">
        <v>7807278.33</v>
      </c>
      <c r="K218" s="22" t="inlineStr">
        <is>
          <t>06/11/2025</t>
        </is>
      </c>
      <c r="L218" s="41" t="n"/>
    </row>
    <row r="219">
      <c r="A219" s="12" t="inlineStr">
        <is>
          <t>NAFTAL DMR ORAN</t>
        </is>
      </c>
      <c r="B219" s="12" t="inlineStr">
        <is>
          <t>Créance client active</t>
        </is>
      </c>
      <c r="C219" s="25" t="n">
        <v>0</v>
      </c>
      <c r="D219" s="25" t="n">
        <v>393890</v>
      </c>
      <c r="E219" s="25" t="n">
        <v>0</v>
      </c>
      <c r="F219" s="25" t="n">
        <v>0</v>
      </c>
      <c r="G219" s="25" t="n">
        <v>0</v>
      </c>
      <c r="H219" s="30">
        <f>SUM(D219:G219)</f>
        <v/>
      </c>
      <c r="I219" s="25" t="n">
        <v>124230</v>
      </c>
      <c r="J219" s="25" t="n">
        <v>124230</v>
      </c>
      <c r="K219" s="22" t="inlineStr">
        <is>
          <t>30/11/2025</t>
        </is>
      </c>
      <c r="L219" s="41" t="n"/>
    </row>
    <row r="220">
      <c r="A220" s="12" t="inlineStr">
        <is>
          <t>BRASSERIE STAR D'ALGERIE SPA</t>
        </is>
      </c>
      <c r="B220" s="12" t="inlineStr">
        <is>
          <t>Créance client active</t>
        </is>
      </c>
      <c r="C220" s="25" t="n">
        <v>0</v>
      </c>
      <c r="D220" s="25" t="n">
        <v>389725</v>
      </c>
      <c r="E220" s="25" t="n">
        <v>0</v>
      </c>
      <c r="F220" s="25" t="n">
        <v>0</v>
      </c>
      <c r="G220" s="25" t="n">
        <v>0</v>
      </c>
      <c r="H220" s="30">
        <f>SUM(D220:G220)</f>
        <v/>
      </c>
      <c r="I220" s="25" t="n">
        <v>389725</v>
      </c>
      <c r="J220" s="25" t="n">
        <v>0</v>
      </c>
      <c r="K220" s="22" t="inlineStr">
        <is>
          <t>01/07/2025</t>
        </is>
      </c>
      <c r="L220" s="41" t="n"/>
    </row>
    <row r="221">
      <c r="A221" s="12" t="inlineStr">
        <is>
          <t>SARL PETRO BARAKA</t>
        </is>
      </c>
      <c r="B221" s="12" t="inlineStr">
        <is>
          <t>Créance client active</t>
        </is>
      </c>
      <c r="C221" s="25" t="n">
        <v>0</v>
      </c>
      <c r="D221" s="25" t="n">
        <v>228480</v>
      </c>
      <c r="E221" s="25" t="n">
        <v>0</v>
      </c>
      <c r="F221" s="25" t="n">
        <v>0</v>
      </c>
      <c r="G221" s="25" t="n">
        <v>0</v>
      </c>
      <c r="H221" s="30">
        <f>SUM(D221:G221)</f>
        <v/>
      </c>
      <c r="I221" s="25" t="n">
        <v>228480</v>
      </c>
      <c r="J221" s="25" t="n">
        <v>0</v>
      </c>
      <c r="K221" s="22" t="inlineStr">
        <is>
          <t>30/11/2025</t>
        </is>
      </c>
      <c r="L221" s="41" t="n"/>
    </row>
    <row r="222">
      <c r="A222" s="12" t="inlineStr">
        <is>
          <t>DIB AHMED</t>
        </is>
      </c>
      <c r="B222" s="12" t="inlineStr">
        <is>
          <t>Créance client active</t>
        </is>
      </c>
      <c r="C222" s="25" t="n">
        <v>0</v>
      </c>
      <c r="D222" s="25" t="n">
        <v>107159.5</v>
      </c>
      <c r="E222" s="25" t="n">
        <v>0</v>
      </c>
      <c r="F222" s="25" t="n">
        <v>0</v>
      </c>
      <c r="G222" s="25" t="n">
        <v>0</v>
      </c>
      <c r="H222" s="30">
        <f>SUM(D222:G222)</f>
        <v/>
      </c>
      <c r="I222" s="25" t="n">
        <v>107159.5</v>
      </c>
      <c r="J222" s="25" t="n">
        <v>0</v>
      </c>
      <c r="K222" s="22" t="inlineStr">
        <is>
          <t>01/09/2025</t>
        </is>
      </c>
      <c r="L222" s="41" t="n"/>
    </row>
    <row r="223">
      <c r="A223" s="12" t="inlineStr">
        <is>
          <t>HAMMAOUI LAHDI</t>
        </is>
      </c>
      <c r="B223" s="12" t="inlineStr">
        <is>
          <t>Créance client active</t>
        </is>
      </c>
      <c r="C223" s="25" t="n">
        <v>99766.25</v>
      </c>
      <c r="D223" s="25" t="n">
        <v>99766.25</v>
      </c>
      <c r="E223" s="25" t="n">
        <v>0</v>
      </c>
      <c r="F223" s="25" t="n">
        <v>0</v>
      </c>
      <c r="G223" s="25" t="n">
        <v>0</v>
      </c>
      <c r="H223" s="30">
        <f>SUM(D223:G223)</f>
        <v/>
      </c>
      <c r="I223" s="25" t="n">
        <v>259068</v>
      </c>
      <c r="J223" s="25" t="n">
        <v>259068</v>
      </c>
      <c r="K223" s="22" t="inlineStr">
        <is>
          <t>06/05/2025</t>
        </is>
      </c>
      <c r="L223" s="41" t="n"/>
    </row>
    <row r="224">
      <c r="A224" s="12" t="inlineStr">
        <is>
          <t>SPA AGGLOMERES DE L'EST</t>
        </is>
      </c>
      <c r="B224" s="12" t="inlineStr">
        <is>
          <t>Créance client active</t>
        </is>
      </c>
      <c r="C224" s="25" t="n">
        <v>0</v>
      </c>
      <c r="D224" s="25" t="n">
        <v>67830</v>
      </c>
      <c r="E224" s="25" t="n">
        <v>0</v>
      </c>
      <c r="F224" s="25" t="n">
        <v>0</v>
      </c>
      <c r="G224" s="25" t="n">
        <v>0</v>
      </c>
      <c r="H224" s="30">
        <f>SUM(D224:G224)</f>
        <v/>
      </c>
      <c r="I224" s="25" t="n">
        <v>462910</v>
      </c>
      <c r="J224" s="25" t="n">
        <v>395080</v>
      </c>
      <c r="K224" s="22" t="inlineStr">
        <is>
          <t>21/12/2025</t>
        </is>
      </c>
      <c r="L224" s="41" t="n"/>
    </row>
    <row r="225">
      <c r="A225" s="12" t="inlineStr">
        <is>
          <t>GROUPE AVICOLE ELKSEUR ORAC</t>
        </is>
      </c>
      <c r="B225" s="12" t="inlineStr">
        <is>
          <t>Créance client active</t>
        </is>
      </c>
      <c r="C225" s="25" t="n">
        <v>0</v>
      </c>
      <c r="D225" s="25" t="n">
        <v>41650</v>
      </c>
      <c r="E225" s="25" t="n">
        <v>0</v>
      </c>
      <c r="F225" s="25" t="n">
        <v>0</v>
      </c>
      <c r="G225" s="25" t="n">
        <v>0</v>
      </c>
      <c r="H225" s="30">
        <f>SUM(D225:G225)</f>
        <v/>
      </c>
      <c r="I225" s="25" t="n">
        <v>41650</v>
      </c>
      <c r="J225" s="25" t="n">
        <v>0</v>
      </c>
      <c r="K225" s="22" t="inlineStr">
        <is>
          <t>09/10/2025</t>
        </is>
      </c>
      <c r="L225" s="41" t="n"/>
    </row>
    <row r="226">
      <c r="A226" s="12" t="inlineStr">
        <is>
          <t>TAXE DOMICILIATION BANCAIRE</t>
        </is>
      </c>
      <c r="B226" s="12" t="inlineStr">
        <is>
          <t>Fournisseur débiteur (avance versée)</t>
        </is>
      </c>
      <c r="C226" s="25" t="n">
        <v>0</v>
      </c>
      <c r="D226" s="25" t="n">
        <v>0</v>
      </c>
      <c r="E226" s="25" t="n">
        <v>0</v>
      </c>
      <c r="F226" s="25" t="n">
        <v>0</v>
      </c>
      <c r="G226" s="25" t="n">
        <v>456100</v>
      </c>
      <c r="H226" s="30">
        <f>SUM(D226:G226)</f>
        <v/>
      </c>
      <c r="I226" s="25" t="n">
        <v>0</v>
      </c>
      <c r="J226" s="25" t="n">
        <v>20000</v>
      </c>
      <c r="K226" s="22" t="inlineStr">
        <is>
          <t>23/03/2025</t>
        </is>
      </c>
      <c r="L226" s="41" t="n"/>
    </row>
    <row r="227">
      <c r="A227" s="12" t="inlineStr">
        <is>
          <t>KARIM TRANS</t>
        </is>
      </c>
      <c r="B227" s="12" t="inlineStr">
        <is>
          <t>Fournisseur débiteur (avance versée)</t>
        </is>
      </c>
      <c r="C227" s="25" t="n">
        <v>0</v>
      </c>
      <c r="D227" s="25" t="n">
        <v>0</v>
      </c>
      <c r="E227" s="25" t="n">
        <v>0</v>
      </c>
      <c r="F227" s="25" t="n">
        <v>-177751.46</v>
      </c>
      <c r="G227" s="25" t="n">
        <v>200000</v>
      </c>
      <c r="H227" s="30">
        <f>SUM(D227:G227)</f>
        <v/>
      </c>
      <c r="I227" s="25" t="n">
        <v>0</v>
      </c>
      <c r="J227" s="25" t="n">
        <v>0</v>
      </c>
      <c r="K227" s="22" t="inlineStr">
        <is>
          <t>aucun</t>
        </is>
      </c>
      <c r="L227" s="41" t="n"/>
    </row>
    <row r="228">
      <c r="A228" s="12" t="inlineStr">
        <is>
          <t>SARL AXECHAN</t>
        </is>
      </c>
      <c r="B228" s="12" t="inlineStr">
        <is>
          <t>Fournisseur débiteur (avance versée)</t>
        </is>
      </c>
      <c r="C228" s="25" t="n">
        <v>0</v>
      </c>
      <c r="D228" s="25" t="n">
        <v>0</v>
      </c>
      <c r="E228" s="25" t="n">
        <v>0</v>
      </c>
      <c r="F228" s="25" t="n">
        <v>0</v>
      </c>
      <c r="G228" s="25" t="n">
        <v>200000</v>
      </c>
      <c r="H228" s="30">
        <f>SUM(D228:G228)</f>
        <v/>
      </c>
      <c r="I228" s="25" t="n">
        <v>0</v>
      </c>
      <c r="J228" s="25" t="n">
        <v>0</v>
      </c>
      <c r="K228" s="22" t="inlineStr">
        <is>
          <t>aucun</t>
        </is>
      </c>
      <c r="L228" s="41" t="n"/>
    </row>
    <row r="229">
      <c r="A229" s="12" t="inlineStr">
        <is>
          <t>SNC AIT AISSA ET FILS</t>
        </is>
      </c>
      <c r="B229" s="12" t="inlineStr">
        <is>
          <t>Dette fournisseur sans mouvement en 2025</t>
        </is>
      </c>
      <c r="C229" s="25" t="n">
        <v>0</v>
      </c>
      <c r="D229" s="25" t="n">
        <v>0</v>
      </c>
      <c r="E229" s="25" t="n">
        <v>0</v>
      </c>
      <c r="F229" s="25" t="n">
        <v>-14832876.12</v>
      </c>
      <c r="G229" s="25" t="n">
        <v>0</v>
      </c>
      <c r="H229" s="30">
        <f>SUM(D229:G229)</f>
        <v/>
      </c>
      <c r="I229" s="25" t="n">
        <v>0</v>
      </c>
      <c r="J229" s="25" t="n">
        <v>0</v>
      </c>
      <c r="K229" s="22" t="inlineStr">
        <is>
          <t>aucun</t>
        </is>
      </c>
      <c r="L229" s="41" t="n"/>
    </row>
    <row r="230">
      <c r="A230" s="12" t="inlineStr">
        <is>
          <t>SARL CCI</t>
        </is>
      </c>
      <c r="B230" s="12" t="inlineStr">
        <is>
          <t>Dette fournisseur sans mouvement en 2025</t>
        </is>
      </c>
      <c r="C230" s="25" t="n">
        <v>0</v>
      </c>
      <c r="D230" s="25" t="n">
        <v>0</v>
      </c>
      <c r="E230" s="25" t="n">
        <v>0</v>
      </c>
      <c r="F230" s="25" t="n">
        <v>-3302997.49</v>
      </c>
      <c r="G230" s="25" t="n">
        <v>0</v>
      </c>
      <c r="H230" s="30">
        <f>SUM(D230:G230)</f>
        <v/>
      </c>
      <c r="I230" s="25" t="n">
        <v>0</v>
      </c>
      <c r="J230" s="25" t="n">
        <v>0</v>
      </c>
      <c r="K230" s="22" t="inlineStr">
        <is>
          <t>aucun</t>
        </is>
      </c>
      <c r="L230" s="41" t="n"/>
    </row>
    <row r="231">
      <c r="A231" s="12" t="inlineStr">
        <is>
          <t>CAAR</t>
        </is>
      </c>
      <c r="B231" s="12" t="inlineStr">
        <is>
          <t>Dette fournisseur sans mouvement en 2025</t>
        </is>
      </c>
      <c r="C231" s="25" t="n">
        <v>0</v>
      </c>
      <c r="D231" s="25" t="n">
        <v>0</v>
      </c>
      <c r="E231" s="25" t="n">
        <v>0</v>
      </c>
      <c r="F231" s="25" t="n">
        <v>-1934321.62</v>
      </c>
      <c r="G231" s="25" t="n">
        <v>0</v>
      </c>
      <c r="H231" s="30">
        <f>SUM(D231:G231)</f>
        <v/>
      </c>
      <c r="I231" s="25" t="n">
        <v>0</v>
      </c>
      <c r="J231" s="25" t="n">
        <v>0</v>
      </c>
      <c r="K231" s="22" t="inlineStr">
        <is>
          <t>aucun</t>
        </is>
      </c>
      <c r="L231" s="41" t="n"/>
    </row>
    <row r="232">
      <c r="A232" s="12" t="inlineStr">
        <is>
          <t>GAMMA LUBRIFIANTS</t>
        </is>
      </c>
      <c r="B232" s="12" t="inlineStr">
        <is>
          <t>Dette fournisseur sans mouvement en 2025</t>
        </is>
      </c>
      <c r="C232" s="25" t="n">
        <v>0</v>
      </c>
      <c r="D232" s="25" t="n">
        <v>0</v>
      </c>
      <c r="E232" s="25" t="n">
        <v>0</v>
      </c>
      <c r="F232" s="25" t="n">
        <v>-926579.49</v>
      </c>
      <c r="G232" s="25" t="n">
        <v>0</v>
      </c>
      <c r="H232" s="30">
        <f>SUM(D232:G232)</f>
        <v/>
      </c>
      <c r="I232" s="25" t="n">
        <v>0</v>
      </c>
      <c r="J232" s="25" t="n">
        <v>0</v>
      </c>
      <c r="K232" s="22" t="inlineStr">
        <is>
          <t>aucun</t>
        </is>
      </c>
      <c r="L232" s="41" t="n"/>
    </row>
    <row r="233">
      <c r="A233" s="12" t="inlineStr">
        <is>
          <t>EURL HAROUNE TRANSE</t>
        </is>
      </c>
      <c r="B233" s="12" t="inlineStr">
        <is>
          <t>Dette fournisseur sans mouvement en 2025</t>
        </is>
      </c>
      <c r="C233" s="25" t="n">
        <v>0</v>
      </c>
      <c r="D233" s="25" t="n">
        <v>0</v>
      </c>
      <c r="E233" s="25" t="n">
        <v>0</v>
      </c>
      <c r="F233" s="25" t="n">
        <v>-826173.63</v>
      </c>
      <c r="G233" s="25" t="n">
        <v>0</v>
      </c>
      <c r="H233" s="30">
        <f>SUM(D233:G233)</f>
        <v/>
      </c>
      <c r="I233" s="25" t="n">
        <v>0</v>
      </c>
      <c r="J233" s="25" t="n">
        <v>0</v>
      </c>
      <c r="K233" s="22" t="inlineStr">
        <is>
          <t>aucun</t>
        </is>
      </c>
      <c r="L233" s="41" t="n"/>
    </row>
    <row r="234">
      <c r="A234" s="12" t="inlineStr">
        <is>
          <t>SARL PROMO SALONS</t>
        </is>
      </c>
      <c r="B234" s="12" t="inlineStr">
        <is>
          <t>Dette fournisseur sans mouvement en 2025</t>
        </is>
      </c>
      <c r="C234" s="25" t="n">
        <v>0</v>
      </c>
      <c r="D234" s="25" t="n">
        <v>0</v>
      </c>
      <c r="E234" s="25" t="n">
        <v>0</v>
      </c>
      <c r="F234" s="25" t="n">
        <v>-297180</v>
      </c>
      <c r="G234" s="25" t="n">
        <v>0</v>
      </c>
      <c r="H234" s="30">
        <f>SUM(D234:G234)</f>
        <v/>
      </c>
      <c r="I234" s="25" t="n">
        <v>0</v>
      </c>
      <c r="J234" s="25" t="n">
        <v>0</v>
      </c>
      <c r="K234" s="22" t="inlineStr">
        <is>
          <t>aucun</t>
        </is>
      </c>
      <c r="L234" s="41" t="n"/>
    </row>
    <row r="235">
      <c r="A235" s="12" t="inlineStr">
        <is>
          <t>DJERMOULI KAMAL ABDENNOUR</t>
        </is>
      </c>
      <c r="B235" s="12" t="inlineStr">
        <is>
          <t>Dette fournisseur sans mouvement en 2025</t>
        </is>
      </c>
      <c r="C235" s="25" t="n">
        <v>0</v>
      </c>
      <c r="D235" s="25" t="n">
        <v>0</v>
      </c>
      <c r="E235" s="25" t="n">
        <v>0</v>
      </c>
      <c r="F235" s="25" t="n">
        <v>-9100</v>
      </c>
      <c r="G235" s="25" t="n">
        <v>0</v>
      </c>
      <c r="H235" s="30">
        <f>SUM(D235:G235)</f>
        <v/>
      </c>
      <c r="I235" s="25" t="n">
        <v>0</v>
      </c>
      <c r="J235" s="25" t="n">
        <v>0</v>
      </c>
      <c r="K235" s="22" t="inlineStr">
        <is>
          <t>aucun</t>
        </is>
      </c>
      <c r="L235" s="41" t="n"/>
    </row>
    <row r="236">
      <c r="A236" s="12" t="inlineStr">
        <is>
          <t>MESBAH IKHLEF</t>
        </is>
      </c>
      <c r="B236" s="12" t="inlineStr">
        <is>
          <t>Fournisseur actif</t>
        </is>
      </c>
      <c r="C236" s="25" t="n">
        <v>0</v>
      </c>
      <c r="D236" s="25" t="n">
        <v>0</v>
      </c>
      <c r="E236" s="25" t="n">
        <v>0</v>
      </c>
      <c r="F236" s="25" t="n">
        <v>-856800</v>
      </c>
      <c r="G236" s="25" t="n">
        <v>0</v>
      </c>
      <c r="H236" s="30">
        <f>SUM(D236:G236)</f>
        <v/>
      </c>
      <c r="I236" s="25" t="n">
        <v>428400</v>
      </c>
      <c r="J236" s="25" t="n">
        <v>856800</v>
      </c>
      <c r="K236" s="22" t="inlineStr">
        <is>
          <t>31/12/2025</t>
        </is>
      </c>
      <c r="L236" s="41" t="n"/>
    </row>
    <row r="237">
      <c r="A237" s="12" t="inlineStr">
        <is>
          <t>SNC DEBBOUZ ET FRERES</t>
        </is>
      </c>
      <c r="B237" s="12" t="inlineStr">
        <is>
          <t>Fournisseur actif</t>
        </is>
      </c>
      <c r="C237" s="25" t="n">
        <v>0</v>
      </c>
      <c r="D237" s="25" t="n">
        <v>0</v>
      </c>
      <c r="E237" s="25" t="n">
        <v>0</v>
      </c>
      <c r="F237" s="25" t="n">
        <v>-738432.49</v>
      </c>
      <c r="G237" s="25" t="n">
        <v>0</v>
      </c>
      <c r="H237" s="30">
        <f>SUM(D237:G237)</f>
        <v/>
      </c>
      <c r="I237" s="25" t="n">
        <v>6390000</v>
      </c>
      <c r="J237" s="25" t="n">
        <v>5671455</v>
      </c>
      <c r="K237" s="22" t="inlineStr">
        <is>
          <t>31/12/2025</t>
        </is>
      </c>
      <c r="L237" s="41" t="n"/>
    </row>
    <row r="238">
      <c r="A238" s="12" t="inlineStr">
        <is>
          <t>SNC GENERAL BATTERIES&amp;LUBRIFI</t>
        </is>
      </c>
      <c r="B238" s="12" t="inlineStr">
        <is>
          <t>Fournisseur actif</t>
        </is>
      </c>
      <c r="C238" s="25" t="n">
        <v>0</v>
      </c>
      <c r="D238" s="25" t="n">
        <v>0</v>
      </c>
      <c r="E238" s="25" t="n">
        <v>0</v>
      </c>
      <c r="F238" s="25" t="n">
        <v>-499300.03</v>
      </c>
      <c r="G238" s="25" t="n">
        <v>0</v>
      </c>
      <c r="H238" s="30">
        <f>SUM(D238:G238)</f>
        <v/>
      </c>
      <c r="I238" s="25" t="n">
        <v>415850.06</v>
      </c>
      <c r="J238" s="25" t="n">
        <v>499300.03</v>
      </c>
      <c r="K238" s="22" t="inlineStr">
        <is>
          <t>14/12/2025</t>
        </is>
      </c>
      <c r="L238" s="41" t="n"/>
    </row>
    <row r="239">
      <c r="A239" s="12" t="inlineStr">
        <is>
          <t>STATION GAMMA 4</t>
        </is>
      </c>
      <c r="B239" s="12" t="inlineStr">
        <is>
          <t>Fournisseur actif</t>
        </is>
      </c>
      <c r="C239" s="25" t="n">
        <v>0</v>
      </c>
      <c r="D239" s="25" t="n">
        <v>0</v>
      </c>
      <c r="E239" s="25" t="n">
        <v>0</v>
      </c>
      <c r="F239" s="25" t="n">
        <v>-153309.95</v>
      </c>
      <c r="G239" s="25" t="n">
        <v>0</v>
      </c>
      <c r="H239" s="30">
        <f>SUM(D239:G239)</f>
        <v/>
      </c>
      <c r="I239" s="25" t="n">
        <v>0</v>
      </c>
      <c r="J239" s="25" t="n">
        <v>20999.99</v>
      </c>
      <c r="K239" s="22" t="inlineStr">
        <is>
          <t>23/09/2025</t>
        </is>
      </c>
      <c r="L239" s="41" t="n"/>
    </row>
    <row r="240">
      <c r="A240" s="12" t="inlineStr">
        <is>
          <t>SAIGH ABDEL KAMEL</t>
        </is>
      </c>
      <c r="B240" s="12" t="inlineStr">
        <is>
          <t>Fournisseur actif</t>
        </is>
      </c>
      <c r="C240" s="25" t="n">
        <v>0</v>
      </c>
      <c r="D240" s="25" t="n">
        <v>0</v>
      </c>
      <c r="E240" s="25" t="n">
        <v>0</v>
      </c>
      <c r="F240" s="25" t="n">
        <v>-142700</v>
      </c>
      <c r="G240" s="25" t="n">
        <v>0</v>
      </c>
      <c r="H240" s="30">
        <f>SUM(D240:G240)</f>
        <v/>
      </c>
      <c r="I240" s="25" t="n">
        <v>767240</v>
      </c>
      <c r="J240" s="25" t="n">
        <v>222000</v>
      </c>
      <c r="K240" s="22" t="inlineStr">
        <is>
          <t>29/12/2025</t>
        </is>
      </c>
      <c r="L240" s="41" t="n"/>
    </row>
    <row r="241">
      <c r="A241" s="12" t="inlineStr">
        <is>
          <t>SNC RAMTANI&amp;FILS</t>
        </is>
      </c>
      <c r="B241" s="12" t="inlineStr">
        <is>
          <t>Fournisseur actif</t>
        </is>
      </c>
      <c r="C241" s="25" t="n">
        <v>0</v>
      </c>
      <c r="D241" s="25" t="n">
        <v>0</v>
      </c>
      <c r="E241" s="25" t="n">
        <v>0</v>
      </c>
      <c r="F241" s="25" t="n">
        <v>-81181.96000000001</v>
      </c>
      <c r="G241" s="25" t="n">
        <v>0</v>
      </c>
      <c r="H241" s="30">
        <f>SUM(D241:G241)</f>
        <v/>
      </c>
      <c r="I241" s="25" t="n">
        <v>970512.4</v>
      </c>
      <c r="J241" s="25" t="n">
        <v>1051694.36</v>
      </c>
      <c r="K241" s="22" t="inlineStr">
        <is>
          <t>02/11/2025</t>
        </is>
      </c>
      <c r="L241" s="41" t="n"/>
    </row>
    <row r="242">
      <c r="A242" s="12" t="inlineStr">
        <is>
          <t>TRANSIT HAMMACHE DJAMEL</t>
        </is>
      </c>
      <c r="B242" s="12" t="inlineStr">
        <is>
          <t>Fournisseur actif</t>
        </is>
      </c>
      <c r="C242" s="25" t="n">
        <v>0</v>
      </c>
      <c r="D242" s="25" t="n">
        <v>0</v>
      </c>
      <c r="E242" s="25" t="n">
        <v>0</v>
      </c>
      <c r="F242" s="25" t="n">
        <v>-62000</v>
      </c>
      <c r="G242" s="25" t="n">
        <v>0</v>
      </c>
      <c r="H242" s="30">
        <f>SUM(D242:G242)</f>
        <v/>
      </c>
      <c r="I242" s="25" t="n">
        <v>820980.65</v>
      </c>
      <c r="J242" s="25" t="n">
        <v>820980.65</v>
      </c>
      <c r="K242" s="22" t="inlineStr">
        <is>
          <t>09/11/2025</t>
        </is>
      </c>
      <c r="L242" s="41" t="n"/>
    </row>
    <row r="243">
      <c r="A243" s="12" t="inlineStr">
        <is>
          <t>CNRC</t>
        </is>
      </c>
      <c r="B243" s="12" t="inlineStr">
        <is>
          <t>Fournisseur actif</t>
        </is>
      </c>
      <c r="C243" s="25" t="n">
        <v>0</v>
      </c>
      <c r="D243" s="25" t="n">
        <v>0</v>
      </c>
      <c r="E243" s="25" t="n">
        <v>0</v>
      </c>
      <c r="F243" s="25" t="n">
        <v>30110</v>
      </c>
      <c r="G243" s="25" t="n">
        <v>0</v>
      </c>
      <c r="H243" s="30">
        <f>SUM(D243:G243)</f>
        <v/>
      </c>
      <c r="I243" s="25" t="n">
        <v>30110</v>
      </c>
      <c r="J243" s="25" t="n">
        <v>0</v>
      </c>
      <c r="K243" s="22" t="inlineStr">
        <is>
          <t>05/08/2025</t>
        </is>
      </c>
      <c r="L243" s="41" t="n"/>
    </row>
  </sheetData>
  <autoFilter ref="A21:L243"/>
  <dataValidations count="1">
    <dataValidation sqref="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showDropDown="0" showInputMessage="0" showErrorMessage="0" allowBlank="1" type="list">
      <formula1>"Facturer,Rembourser,Compenser,Reclasser associé,Déprécier,Produit (dette éteinte),Recouvrer,Maintenir (justifié)"</formula1>
    </dataValidation>
  </dataValidations>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F49"/>
  <sheetViews>
    <sheetView showGridLines="0" workbookViewId="0">
      <selection activeCell="A1" sqref="A1"/>
    </sheetView>
  </sheetViews>
  <sheetFormatPr baseColWidth="8" defaultRowHeight="15"/>
  <cols>
    <col width="60" customWidth="1" min="1" max="1"/>
    <col width="44" customWidth="1" min="2" max="2"/>
    <col width="16" customWidth="1" min="3" max="3"/>
    <col width="16" customWidth="1" min="4" max="4"/>
    <col width="18" customWidth="1" min="5" max="5"/>
    <col width="55" customWidth="1" min="6" max="6"/>
  </cols>
  <sheetData>
    <row r="1">
      <c r="A1" s="1" t="inlineStr">
        <is>
          <t>Préparer les à-nouveaux 2026 : risques tiers et écritures de régularisation proposées</t>
        </is>
      </c>
    </row>
    <row r="2">
      <c r="A2" s="2" t="inlineStr">
        <is>
          <t>Montants liés aux feuilles « Clients &amp; fournisseurs » et « Balance 2024-2025 ». Toute écriture est à valider sur pièces avant passation.</t>
        </is>
      </c>
    </row>
    <row r="4">
      <c r="A4" s="4" t="inlineStr">
        <is>
          <t>A. SARL DPR AXXAM BRIQUETERIE (client, partie liée) — historique du compte 411</t>
        </is>
      </c>
    </row>
    <row r="5">
      <c r="A5" s="11" t="inlineStr">
        <is>
          <t>Exercice</t>
        </is>
      </c>
      <c r="B5" s="11" t="inlineStr">
        <is>
          <t>Solde d'ouverture</t>
        </is>
      </c>
      <c r="C5" s="11" t="inlineStr">
        <is>
          <t>Facturé</t>
        </is>
      </c>
      <c r="D5" s="11" t="inlineStr">
        <is>
          <t>Encaissé</t>
        </is>
      </c>
      <c r="E5" s="11" t="inlineStr">
        <is>
          <t>Solde de clôture</t>
        </is>
      </c>
      <c r="F5" s="11" t="inlineStr">
        <is>
          <t>Taux d'encaissement</t>
        </is>
      </c>
    </row>
    <row r="6">
      <c r="A6" s="4" t="inlineStr">
        <is>
          <t>2023</t>
        </is>
      </c>
      <c r="B6" s="25" t="n">
        <v>277653204.28</v>
      </c>
      <c r="C6" s="25" t="n">
        <v>44589300</v>
      </c>
      <c r="D6" s="25" t="n">
        <v>16590000</v>
      </c>
      <c r="E6" s="25" t="n">
        <v>305652504.28</v>
      </c>
      <c r="F6" s="19">
        <f>IF(C6=0,"",D6/C6)</f>
        <v/>
      </c>
    </row>
    <row r="7">
      <c r="A7" s="4" t="inlineStr">
        <is>
          <t>2024</t>
        </is>
      </c>
      <c r="B7" s="25" t="n">
        <v>309498601.28</v>
      </c>
      <c r="C7" s="25" t="n">
        <v>40846750</v>
      </c>
      <c r="D7" s="25" t="n">
        <v>7190000</v>
      </c>
      <c r="E7" s="25" t="n">
        <v>343155351.28</v>
      </c>
      <c r="F7" s="19">
        <f>IF(C7=0,"",D7/C7)</f>
        <v/>
      </c>
    </row>
    <row r="8">
      <c r="A8" s="4" t="inlineStr">
        <is>
          <t>2025</t>
        </is>
      </c>
      <c r="B8" s="25" t="n">
        <v>343155351.28</v>
      </c>
      <c r="C8" s="25" t="n">
        <v>30309300</v>
      </c>
      <c r="D8" s="25" t="n">
        <v>2450200</v>
      </c>
      <c r="E8" s="25" t="n">
        <v>371014451.28</v>
      </c>
      <c r="F8" s="19">
        <f>IF(C8=0,"",D8/C8)</f>
        <v/>
      </c>
    </row>
    <row r="9">
      <c r="A9" s="4" t="inlineStr">
        <is>
          <t>Total 2023–2025</t>
        </is>
      </c>
      <c r="C9" s="7">
        <f>SUM(C6:C8)</f>
        <v/>
      </c>
      <c r="D9" s="7">
        <f>SUM(D6:D8)</f>
        <v/>
      </c>
      <c r="F9" s="38">
        <f>D9/C9</f>
        <v/>
      </c>
    </row>
    <row r="10">
      <c r="A10" s="12" t="inlineStr">
        <is>
          <t>Créance antérieure à 2023 encore due (encaissements imputés sur les plus anciennes)</t>
        </is>
      </c>
      <c r="E10" s="39">
        <f>MAX(0,B6-D9)</f>
        <v/>
      </c>
    </row>
    <row r="11">
      <c r="A11" s="12" t="inlineStr">
        <is>
          <t>Poids dans le total clients 411 au 31/12/2025</t>
        </is>
      </c>
      <c r="E11" s="42">
        <f>E8/'Clients &amp; fournisseurs'!C16</f>
        <v/>
      </c>
    </row>
    <row r="12">
      <c r="A12" s="12" t="inlineStr">
        <is>
          <t>Poids par rapport aux capitaux propres au 31/12/2025</t>
        </is>
      </c>
      <c r="E12" s="42">
        <f>E8/(-'États 2024-2025'!D28-'États 2024-2025'!D29+'États 2024-2025'!D16)</f>
        <v/>
      </c>
    </row>
    <row r="14">
      <c r="A14" s="4" t="inlineStr">
        <is>
          <t>B. SARL DPR AXXAM (fournisseur / client, partie liée) — position au 31/12/2025</t>
        </is>
      </c>
    </row>
    <row r="15">
      <c r="A15" s="11" t="inlineStr">
        <is>
          <t>Compte</t>
        </is>
      </c>
      <c r="B15" s="11" t="inlineStr">
        <is>
          <t>Solde</t>
        </is>
      </c>
      <c r="C15" s="11" t="inlineStr">
        <is>
          <t>Commentaire</t>
        </is>
      </c>
    </row>
    <row r="16">
      <c r="A16" s="12" t="inlineStr">
        <is>
          <t>401 fournisseur</t>
        </is>
      </c>
      <c r="B16" s="25" t="n">
        <v>-1984749.03</v>
      </c>
      <c r="C16" s="21" t="inlineStr"/>
    </row>
    <row r="17">
      <c r="A17" s="12" t="inlineStr">
        <is>
          <t>404 fournisseur d'immobilisations</t>
        </is>
      </c>
      <c r="B17" s="25" t="n">
        <v>-21827400</v>
      </c>
      <c r="C17" s="21" t="inlineStr">
        <is>
          <t>Sans mouvement en 2025</t>
        </is>
      </c>
    </row>
    <row r="18">
      <c r="A18" s="12" t="inlineStr">
        <is>
          <t>409 avances versées en 2025</t>
        </is>
      </c>
      <c r="B18" s="25" t="n">
        <v>45350000</v>
      </c>
      <c r="C18" s="21" t="inlineStr">
        <is>
          <t>7,0 M (avril) + 15,0 M (août) + 6,0 M + 9,35 M (nov.) + 8,0 M (déc.)</t>
        </is>
      </c>
    </row>
    <row r="19">
      <c r="A19" s="12" t="inlineStr">
        <is>
          <t>419 avance reçue</t>
        </is>
      </c>
      <c r="B19" s="25" t="n">
        <v>-9821942.210000001</v>
      </c>
      <c r="C19" s="21" t="inlineStr">
        <is>
          <t>Dont remboursement de 6 800 000 en espèces le 06/12/2025</t>
        </is>
      </c>
    </row>
    <row r="20">
      <c r="A20" s="4" t="inlineStr">
        <is>
          <t>Position nette (+ = DPR AXXAM nous doit)</t>
        </is>
      </c>
      <c r="B20" s="7">
        <f>SUM(B16:B19)</f>
        <v/>
      </c>
    </row>
    <row r="21">
      <c r="A21" s="12" t="inlineStr">
        <is>
          <t>Sorties de trésorerie vers DPR AXXAM en 2025</t>
        </is>
      </c>
      <c r="B21" s="25" t="n">
        <v>62500000</v>
      </c>
    </row>
    <row r="22">
      <c r="A22" s="4" t="inlineStr">
        <is>
          <t>Exposition totale groupe DPR AXXAM (briqueterie + position nette)</t>
        </is>
      </c>
      <c r="B22" s="39">
        <f>E8+B20</f>
        <v/>
      </c>
    </row>
    <row r="24">
      <c r="A24" s="4" t="inlineStr">
        <is>
          <t>C. Écritures de régularisation proposées (à passer après justification, avant ou à l'ouverture 2026)</t>
        </is>
      </c>
    </row>
    <row r="25">
      <c r="A25" s="11" t="inlineStr">
        <is>
          <t>N°</t>
        </is>
      </c>
      <c r="B25" s="11" t="inlineStr">
        <is>
          <t>Objet</t>
        </is>
      </c>
      <c r="C25" s="11" t="inlineStr">
        <is>
          <t>Débit</t>
        </is>
      </c>
      <c r="D25" s="11" t="inlineStr">
        <is>
          <t>Crédit</t>
        </is>
      </c>
      <c r="E25" s="11" t="inlineStr">
        <is>
          <t>Montant (DA)</t>
        </is>
      </c>
      <c r="F25" s="11" t="inlineStr">
        <is>
          <t>Condition / pièce requise</t>
        </is>
      </c>
    </row>
    <row r="26" ht="32" customHeight="1">
      <c r="A26" s="4" t="inlineStr">
        <is>
          <t>R1</t>
        </is>
      </c>
      <c r="B26" s="29" t="inlineStr">
        <is>
          <t>Reclasser les soldes des associés logés en 411 / 419 / 401</t>
        </is>
      </c>
      <c r="C26" s="12" t="inlineStr">
        <is>
          <t>411 / 419 / 401</t>
        </is>
      </c>
      <c r="D26" s="12" t="inlineStr">
        <is>
          <t>455 / 457</t>
        </is>
      </c>
      <c r="E26" s="6">
        <f>-'Clients &amp; fournisseurs'!G6</f>
        <v/>
      </c>
      <c r="F26" s="35" t="inlineStr">
        <is>
          <t>Attestation de chaque associé (apport, avance, ou achat personnel)</t>
        </is>
      </c>
    </row>
    <row r="27" ht="32" customHeight="1">
      <c r="A27" s="4" t="inlineStr">
        <is>
          <t>R2</t>
        </is>
      </c>
      <c r="B27" s="29" t="inlineStr">
        <is>
          <t>Compenser avances 419 et créances 411 d'un même client</t>
        </is>
      </c>
      <c r="C27" s="12" t="inlineStr">
        <is>
          <t>419</t>
        </is>
      </c>
      <c r="D27" s="12" t="inlineStr">
        <is>
          <t>411</t>
        </is>
      </c>
      <c r="E27" s="6">
        <f>MIN('Clients &amp; fournisseurs'!C7,-'Clients &amp; fournisseurs'!D7)</f>
        <v/>
      </c>
      <c r="F27" s="35" t="inlineStr">
        <is>
          <t>Lettrage facture / avance par client</t>
        </is>
      </c>
    </row>
    <row r="28" ht="32" customHeight="1">
      <c r="A28" s="4" t="inlineStr">
        <is>
          <t>R3</t>
        </is>
      </c>
      <c r="B28" s="29" t="inlineStr">
        <is>
          <t>Reclasser les 411 créditeurs</t>
        </is>
      </c>
      <c r="C28" s="12" t="inlineStr">
        <is>
          <t>411</t>
        </is>
      </c>
      <c r="D28" s="12" t="inlineStr">
        <is>
          <t>419</t>
        </is>
      </c>
      <c r="E28" s="6">
        <f>-'Clients &amp; fournisseurs'!C8</f>
        <v/>
      </c>
      <c r="F28" s="35" t="inlineStr">
        <is>
          <t>Analyse de chaque solde (avoir, trop-perçu)</t>
        </is>
      </c>
    </row>
    <row r="29" ht="32" customHeight="1">
      <c r="A29" s="4" t="inlineStr">
        <is>
          <t>R4</t>
        </is>
      </c>
      <c r="B29" s="29" t="inlineStr">
        <is>
          <t>Avances clients dormantes ≥ 3 ans : facturer les livraisons effectuées</t>
        </is>
      </c>
      <c r="C29" s="12" t="inlineStr">
        <is>
          <t>419</t>
        </is>
      </c>
      <c r="D29" s="12" t="inlineStr">
        <is>
          <t>700 + 4457</t>
        </is>
      </c>
      <c r="E29" s="33" t="n"/>
      <c r="F29" s="35" t="inlineStr">
        <is>
          <t>Bons de livraison ; montant = part livrée (colonne L « Facturer »)</t>
        </is>
      </c>
    </row>
    <row r="30" ht="32" customHeight="1">
      <c r="A30" s="4" t="inlineStr">
        <is>
          <t>R5</t>
        </is>
      </c>
      <c r="B30" s="29" t="inlineStr">
        <is>
          <t>Avances clients dormantes ≥ 3 ans : rembourser les non-livrées</t>
        </is>
      </c>
      <c r="C30" s="12" t="inlineStr">
        <is>
          <t>419</t>
        </is>
      </c>
      <c r="D30" s="12" t="inlineStr">
        <is>
          <t>512</t>
        </is>
      </c>
      <c r="E30" s="33" t="n"/>
      <c r="F30" s="35" t="inlineStr">
        <is>
          <t>Accord écrit du client ; montant = part « Rembourser »</t>
        </is>
      </c>
    </row>
    <row r="31" ht="32" customHeight="1">
      <c r="A31" s="4" t="inlineStr">
        <is>
          <t>R6</t>
        </is>
      </c>
      <c r="B31" s="29" t="inlineStr">
        <is>
          <t>Dépréciation créances clients sans mouvement en 2025</t>
        </is>
      </c>
      <c r="C31" s="12" t="inlineStr">
        <is>
          <t>685</t>
        </is>
      </c>
      <c r="D31" s="12" t="inlineStr">
        <is>
          <t>491</t>
        </is>
      </c>
      <c r="E31" s="6">
        <f>ROUND('Clients &amp; fournisseurs'!C11*$E$40,2)</f>
        <v/>
      </c>
      <c r="F31" s="35" t="inlineStr">
        <is>
          <t>Relances restées sans effet ; taux en E40</t>
        </is>
      </c>
    </row>
    <row r="32" ht="32" customHeight="1">
      <c r="A32" s="4" t="inlineStr">
        <is>
          <t>R7</t>
        </is>
      </c>
      <c r="B32" s="29" t="inlineStr">
        <is>
          <t>Dépréciation de la créance DPR AXXAM BRIQUETERIE</t>
        </is>
      </c>
      <c r="C32" s="12" t="inlineStr">
        <is>
          <t>685</t>
        </is>
      </c>
      <c r="D32" s="12" t="inlineStr">
        <is>
          <t>491</t>
        </is>
      </c>
      <c r="E32" s="6">
        <f>ROUND(E10*$E$41,2)</f>
        <v/>
      </c>
      <c r="F32" s="35" t="inlineStr">
        <is>
          <t>Analyse de la capacité de paiement ; taux en E41</t>
        </is>
      </c>
    </row>
    <row r="33" ht="32" customHeight="1">
      <c r="A33" s="4" t="inlineStr">
        <is>
          <t>R8</t>
        </is>
      </c>
      <c r="B33" s="29" t="inlineStr">
        <is>
          <t>Dettes fournisseurs sans mouvement en 2025 et éteintes</t>
        </is>
      </c>
      <c r="C33" s="12" t="inlineStr">
        <is>
          <t>401</t>
        </is>
      </c>
      <c r="D33" s="12" t="inlineStr">
        <is>
          <t>758</t>
        </is>
      </c>
      <c r="E33" s="33" t="n"/>
      <c r="F33" s="35" t="inlineStr">
        <is>
          <t>Confirmation écrite ou prescription documentée</t>
        </is>
      </c>
    </row>
    <row r="35">
      <c r="A35" s="12" t="inlineStr">
        <is>
          <t>Pour mémoire : avances clients dormantes ≥ 3 ans à traiter par R4 / R5</t>
        </is>
      </c>
      <c r="E35" s="39">
        <f>-'Clients &amp; fournisseurs'!D9</f>
        <v/>
      </c>
    </row>
    <row r="36">
      <c r="A36" s="12" t="inlineStr">
        <is>
          <t>Pour mémoire : dettes fournisseurs sans mouvement en 2025 (R8)</t>
        </is>
      </c>
      <c r="E36" s="27">
        <f>-'Clients &amp; fournisseurs'!E14</f>
        <v/>
      </c>
    </row>
    <row r="39">
      <c r="A39" s="4" t="inlineStr">
        <is>
          <t>Hypothèses (à fixer avec le commissaire aux comptes)</t>
        </is>
      </c>
    </row>
    <row r="40">
      <c r="A40" s="12" t="inlineStr">
        <is>
          <t>Taux de dépréciation des créances sans mouvement en 2025</t>
        </is>
      </c>
      <c r="E40" s="20" t="n">
        <v>0</v>
      </c>
      <c r="F40" s="21" t="inlineStr">
        <is>
          <t>Mettre 0 % à 100 % selon le recouvrement attendu ; R6 se recalcule</t>
        </is>
      </c>
    </row>
    <row r="41">
      <c r="A41" s="12" t="inlineStr">
        <is>
          <t>Taux de dépréciation de la créance briqueterie antérieure à 2023</t>
        </is>
      </c>
      <c r="E41" s="20" t="n">
        <v>0</v>
      </c>
      <c r="F41" s="21" t="inlineStr">
        <is>
          <t>Idem pour R7</t>
        </is>
      </c>
    </row>
    <row r="43">
      <c r="A43" s="4" t="inlineStr">
        <is>
          <t>D. Règles de tenue à appliquer dès janvier 2026</t>
        </is>
      </c>
    </row>
    <row r="44" ht="30" customHeight="1">
      <c r="A44" s="29" t="inlineStr">
        <is>
          <t>1. Un seul code tiers par client (aujourd'hui : un code C… pour la créance et un code AC… pour l'avance) ; lettrage mensuel 411 / 419 / 401 / 409.</t>
        </is>
      </c>
      <c r="B44" s="17" t="n"/>
      <c r="C44" s="17" t="n"/>
      <c r="D44" s="17" t="n"/>
      <c r="E44" s="17" t="n"/>
      <c r="F44" s="18" t="n"/>
    </row>
    <row r="45" ht="30" customHeight="1">
      <c r="A45" s="29" t="inlineStr">
        <is>
          <t>2. Toute avance client donne lieu à une facture à la livraison ; aucune avance ne reste plus de 12 mois sans facture ni remboursement.</t>
        </is>
      </c>
      <c r="B45" s="17" t="n"/>
      <c r="C45" s="17" t="n"/>
      <c r="D45" s="17" t="n"/>
      <c r="E45" s="17" t="n"/>
      <c r="F45" s="18" t="n"/>
    </row>
    <row r="46" ht="30" customHeight="1">
      <c r="A46" s="29" t="inlineStr">
        <is>
          <t>3. Balance âgée clients et fournisseurs à chaque fin de trimestre ; confirmation de solde annuelle des 20 premiers tiers.</t>
        </is>
      </c>
      <c r="B46" s="17" t="n"/>
      <c r="C46" s="17" t="n"/>
      <c r="D46" s="17" t="n"/>
      <c r="E46" s="17" t="n"/>
      <c r="F46" s="18" t="n"/>
    </row>
    <row r="47" ht="30" customHeight="1">
      <c r="A47" s="29" t="inlineStr">
        <is>
          <t>4. Flux avec DPR AXXAM / DPR AXXAM BRIQUETERIE : convention écrite, factures et règlements par banque uniquement ; pas d'avance sans contrat.</t>
        </is>
      </c>
      <c r="B47" s="17" t="n"/>
      <c r="C47" s="17" t="n"/>
      <c r="D47" s="17" t="n"/>
      <c r="E47" s="17" t="n"/>
      <c r="F47" s="18" t="n"/>
    </row>
    <row r="48" ht="30" customHeight="1">
      <c r="A48" s="29" t="inlineStr">
        <is>
          <t>5. Associés : uniquement en 455 / 457, jamais en comptes clients ou fournisseurs.</t>
        </is>
      </c>
      <c r="B48" s="17" t="n"/>
      <c r="C48" s="17" t="n"/>
      <c r="D48" s="17" t="n"/>
      <c r="E48" s="17" t="n"/>
      <c r="F48" s="18" t="n"/>
    </row>
    <row r="49" ht="30" customHeight="1">
      <c r="A49" s="29" t="inlineStr">
        <is>
          <t>6. Ouverture 2026 : reprendre les à-nouveaux après passation de R1 à R8 et vérifier que la balance d'ouverture 2026 = balance de clôture 2025 ajustée.</t>
        </is>
      </c>
      <c r="B49" s="17" t="n"/>
      <c r="C49" s="17" t="n"/>
      <c r="D49" s="17" t="n"/>
      <c r="E49" s="17" t="n"/>
      <c r="F49" s="18" t="n"/>
    </row>
  </sheetData>
  <mergeCells count="6">
    <mergeCell ref="A49:F49"/>
    <mergeCell ref="A47:F47"/>
    <mergeCell ref="A46:F46"/>
    <mergeCell ref="A44:F44"/>
    <mergeCell ref="A45:F45"/>
    <mergeCell ref="A48:F48"/>
  </mergeCells>
  <pageMargins left="0.75" right="0.75" top="1" bottom="1" header="0.5" footer="0.5"/>
  <pageSetup orientation="landscape" fitToHeight="0"/>
</worksheet>
</file>

<file path=xl/worksheets/sheet16.xml><?xml version="1.0" encoding="utf-8"?>
<worksheet xmlns="http://schemas.openxmlformats.org/spreadsheetml/2006/main">
  <sheetPr>
    <outlinePr summaryBelow="1" summaryRight="1"/>
    <pageSetUpPr fitToPage="1"/>
  </sheetPr>
  <dimension ref="A1:D53"/>
  <sheetViews>
    <sheetView showGridLines="0" workbookViewId="0">
      <selection activeCell="A1" sqref="A1"/>
    </sheetView>
  </sheetViews>
  <sheetFormatPr baseColWidth="8" defaultRowHeight="15"/>
  <cols>
    <col width="40" customWidth="1" min="1" max="1"/>
    <col width="42" customWidth="1" min="2" max="2"/>
    <col width="42" customWidth="1" min="3" max="3"/>
    <col width="60" customWidth="1" min="4" max="4"/>
  </cols>
  <sheetData>
    <row r="1">
      <c r="A1" s="1" t="inlineStr">
        <is>
          <t>Extraits du registre de commerce (CNRC) — contrôle de conformité</t>
        </is>
      </c>
    </row>
    <row r="2">
      <c r="A2" s="2" t="inlineStr">
        <is>
          <t>Sources : extrait n° 700267695 du 10/09/2024 (scan PDF) et extrait modifié n° 700320220 du 29/07/2026 (photo), en arabe, traduits ici.</t>
        </is>
      </c>
    </row>
    <row r="4">
      <c r="A4" s="11" t="inlineStr">
        <is>
          <t>Rubrique</t>
        </is>
      </c>
      <c r="B4" s="11" t="inlineStr">
        <is>
          <t>Extrait du 10/09/2024</t>
        </is>
      </c>
      <c r="C4" s="11" t="inlineStr">
        <is>
          <t>Extrait modifié du 29/07/2026</t>
        </is>
      </c>
      <c r="D4" s="11" t="inlineStr">
        <is>
          <t>Constat</t>
        </is>
      </c>
    </row>
    <row r="5" ht="32" customHeight="1">
      <c r="A5" s="4" t="inlineStr">
        <is>
          <t>Dénomination / forme</t>
        </is>
      </c>
      <c r="B5" s="43" t="inlineStr">
        <is>
          <t>D.P.R. COMPAGNY — SARL</t>
        </is>
      </c>
      <c r="C5" s="43" t="inlineStr">
        <is>
          <t>D.P.R. COMPAGNY — SARL (personne morale)</t>
        </is>
      </c>
      <c r="D5" s="29" t="inlineStr">
        <is>
          <t>Inchangé</t>
        </is>
      </c>
    </row>
    <row r="6" ht="32" customHeight="1">
      <c r="A6" s="4" t="inlineStr">
        <is>
          <t>N° du registre de commerce</t>
        </is>
      </c>
      <c r="B6" s="43" t="inlineStr">
        <is>
          <t>06/00-0184232 B 03</t>
        </is>
      </c>
      <c r="C6" s="43" t="inlineStr">
        <is>
          <t>06/00-0184232 B 03</t>
        </is>
      </c>
      <c r="D6" s="29" t="inlineStr">
        <is>
          <t>PCCOMPTA porte 06/01-0184232B03 : à corriger</t>
        </is>
      </c>
    </row>
    <row r="7" ht="32" customHeight="1">
      <c r="A7" s="4" t="inlineStr">
        <is>
          <t>Siège social</t>
        </is>
      </c>
      <c r="B7" s="43" t="inlineStr">
        <is>
          <t>Lieu-dit Tizi, commune de Semaoun, Béjaïa</t>
        </is>
      </c>
      <c r="C7" s="43" t="inlineStr">
        <is>
          <t>Lieu-dit Tizi, commune de Semaoun, Béjaïa</t>
        </is>
      </c>
      <c r="D7" s="29" t="inlineStr">
        <is>
          <t>Inchangé</t>
        </is>
      </c>
    </row>
    <row r="8" ht="32" customHeight="1">
      <c r="A8" s="4" t="inlineStr">
        <is>
          <t>Capital social</t>
        </is>
      </c>
      <c r="B8" s="44" t="n">
        <v>106000000</v>
      </c>
      <c r="C8" s="44" t="n">
        <v>268000000</v>
      </c>
      <c r="D8" s="45">
        <f>IF(C8&gt;B8,"Capital porté à "&amp;TEXT(C8/1000000,"0")&amp;" M DA (+"&amp;TEXT((C8-B8)/1000000,"0")&amp;" M) : voir section B","Inchangé")</f>
        <v/>
      </c>
    </row>
    <row r="9" ht="32" customHeight="1">
      <c r="A9" s="4" t="inlineStr">
        <is>
          <t>Date de début d'activité</t>
        </is>
      </c>
      <c r="B9" s="43" t="inlineStr">
        <is>
          <t>16/04/2003</t>
        </is>
      </c>
      <c r="C9" s="43" t="inlineStr">
        <is>
          <t>16/04/2003</t>
        </is>
      </c>
      <c r="D9" s="29" t="inlineStr"/>
    </row>
    <row r="10" ht="32" customHeight="1">
      <c r="A10" s="4" t="inlineStr">
        <is>
          <t>Fonds de commerce</t>
        </is>
      </c>
      <c r="B10" s="43" t="inlineStr">
        <is>
          <t>Création</t>
        </is>
      </c>
      <c r="C10" s="43" t="inlineStr">
        <is>
          <t>Création</t>
        </is>
      </c>
      <c r="D10" s="29" t="inlineStr"/>
    </row>
    <row r="11" ht="32" customHeight="1">
      <c r="A11" s="4" t="inlineStr">
        <is>
          <t>Propriétaire du local commercial</t>
        </is>
      </c>
      <c r="B11" s="43" t="inlineStr">
        <is>
          <t>DJENNADI Abdelkader</t>
        </is>
      </c>
      <c r="C11" s="43" t="inlineStr">
        <is>
          <t>DJENNADI Abdelkader</t>
        </is>
      </c>
      <c r="D11" s="29" t="inlineStr">
        <is>
          <t>Créancier 401 de 2 510 665 sans mouvement : bail et loyers à justifier</t>
        </is>
      </c>
    </row>
    <row r="12" ht="32" customHeight="1">
      <c r="A12" s="4" t="inlineStr">
        <is>
          <t>Établissements secondaires</t>
        </is>
      </c>
      <c r="B12" s="43" t="inlineStr">
        <is>
          <t>Néant</t>
        </is>
      </c>
      <c r="C12" s="43" t="inlineStr">
        <is>
          <t>Néant</t>
        </is>
      </c>
      <c r="D12" s="29" t="inlineStr">
        <is>
          <t>Toujours aucun établissement inscrit alors que l'activité TPM est affiliée à la CNAS à TISSA</t>
        </is>
      </c>
    </row>
    <row r="13" ht="32" customHeight="1">
      <c r="A13" s="4" t="inlineStr">
        <is>
          <t>Gérants associés</t>
        </is>
      </c>
      <c r="B13" s="43" t="inlineStr">
        <is>
          <t>DJENNADI Abdelkrim (22/04/1975), Ryad (18/01/1978), Ahcene (08/03/1972)</t>
        </is>
      </c>
      <c r="C13" s="43" t="inlineStr">
        <is>
          <t>Identiques</t>
        </is>
      </c>
      <c r="D13" s="29" t="inlineStr">
        <is>
          <t>Leurs soldes en 411 / 419 sont des comptes d'associés (A36)</t>
        </is>
      </c>
    </row>
    <row r="14" ht="32" customHeight="1">
      <c r="A14" s="4" t="inlineStr">
        <is>
          <t>Activités inscrites</t>
        </is>
      </c>
      <c r="B14" s="43" t="inlineStr">
        <is>
          <t>Importation pour revente en l'état : 442101, 442102, 442103, 442104</t>
        </is>
      </c>
      <c r="C14" s="43" t="inlineStr">
        <is>
          <t>Identiques (442101 à 442104)</t>
        </is>
      </c>
      <c r="D14" s="29" t="inlineStr">
        <is>
          <t>Toujours AUCUNE activité TPM, location d'engins ou transport : non régularisé (A38)</t>
        </is>
      </c>
    </row>
    <row r="15" ht="32" customHeight="1">
      <c r="A15" s="4" t="inlineStr">
        <is>
          <t>Date d'inscription de la modification</t>
        </is>
      </c>
      <c r="B15" s="43" t="inlineStr">
        <is>
          <t>10/09/2024</t>
        </is>
      </c>
      <c r="C15" s="43" t="inlineStr">
        <is>
          <t>29/07/2026</t>
        </is>
      </c>
      <c r="D15" s="29" t="inlineStr"/>
    </row>
    <row r="16" ht="32" customHeight="1">
      <c r="A16" s="4" t="inlineStr">
        <is>
          <t>Validité de l'extrait</t>
        </is>
      </c>
      <c r="B16" s="43" t="inlineStr">
        <is>
          <t>Du 13/02/2024 au 13/02/2026</t>
        </is>
      </c>
      <c r="C16" s="43" t="inlineStr">
        <is>
          <t>Du 16/02/2026 au 16/02/2028</t>
        </is>
      </c>
      <c r="D16" s="46">
        <f>"Extrait remis le 29/07/2026 : "&amp;TEXT(B20,"0")&amp;" jours d'activité entre l'expiration (13/02/2026) et la remise du nouvel extrait"</f>
        <v/>
      </c>
    </row>
    <row r="18">
      <c r="A18" s="4" t="inlineStr">
        <is>
          <t>Expiration de l'ancien extrait</t>
        </is>
      </c>
      <c r="B18" s="47">
        <f>DATE(2026,2,13)</f>
        <v/>
      </c>
    </row>
    <row r="19">
      <c r="A19" s="4" t="inlineStr">
        <is>
          <t>Remise de l'extrait modifié</t>
        </is>
      </c>
      <c r="B19" s="47">
        <f>DATE(2026,7,29)</f>
        <v/>
      </c>
    </row>
    <row r="20">
      <c r="A20" s="4" t="inlineStr">
        <is>
          <t>Jours sans extrait en cours de validité remis</t>
        </is>
      </c>
      <c r="B20" s="48">
        <f>MAX(0,B19-B18)</f>
        <v/>
      </c>
    </row>
    <row r="21">
      <c r="A21" s="4" t="inlineStr">
        <is>
          <t>Prochaine échéance de renouvellement</t>
        </is>
      </c>
      <c r="B21" s="49">
        <f>DATE(2028,2,16)</f>
        <v/>
      </c>
      <c r="C21" s="21" t="inlineStr">
        <is>
          <t>Lancer le renouvellement au moins 2 mois avant</t>
        </is>
      </c>
    </row>
    <row r="23">
      <c r="A23" s="4" t="inlineStr">
        <is>
          <t>B. Augmentation de capital 2026 — sources possibles au 31/12/2025 (balance)</t>
        </is>
      </c>
    </row>
    <row r="24">
      <c r="A24" s="11" t="inlineStr">
        <is>
          <t>Rubrique</t>
        </is>
      </c>
      <c r="B24" s="11" t="inlineStr">
        <is>
          <t>Comptes</t>
        </is>
      </c>
      <c r="C24" s="11" t="inlineStr">
        <is>
          <t>Montant (DA)</t>
        </is>
      </c>
      <c r="D24" s="11" t="inlineStr">
        <is>
          <t>Commentaire</t>
        </is>
      </c>
    </row>
    <row r="25">
      <c r="A25" s="4" t="inlineStr">
        <is>
          <t>Augmentation de capital à justifier</t>
        </is>
      </c>
      <c r="B25" s="12" t="inlineStr">
        <is>
          <t>10100</t>
        </is>
      </c>
      <c r="C25" s="7">
        <f>C8-B8</f>
        <v/>
      </c>
      <c r="D25" s="35" t="inlineStr">
        <is>
          <t>Capital extrait 2026 − capital extrait 2024</t>
        </is>
      </c>
    </row>
    <row r="26">
      <c r="A26" s="12" t="inlineStr">
        <is>
          <t>Réserves et écarts incorporables</t>
        </is>
      </c>
      <c r="B26" s="12" t="inlineStr">
        <is>
          <t>105, 106</t>
        </is>
      </c>
      <c r="C26" s="6">
        <f>-(SUMPRODUCT((LEFT('Balance 2024-2025'!$A$5:$A$104,3)="105")*'Balance 2024-2025'!$D$5:$D$104)+SUMPRODUCT((LEFT('Balance 2024-2025'!$A$5:$A$104,3)="106")*'Balance 2024-2025'!$D$5:$D$104))</f>
        <v/>
      </c>
      <c r="D26" s="35" t="inlineStr">
        <is>
          <t>Incorporation possible par décision d'AGE</t>
        </is>
      </c>
    </row>
    <row r="27">
      <c r="A27" s="12" t="inlineStr">
        <is>
          <t>Résultat 2025</t>
        </is>
      </c>
      <c r="B27" s="12" t="inlineStr">
        <is>
          <t>12 (exercice 2025)</t>
        </is>
      </c>
      <c r="C27" s="6">
        <f>'États 2024-2025'!D16</f>
        <v/>
      </c>
      <c r="D27" s="35" t="inlineStr">
        <is>
          <t>Si affecté en 2026 aux réserves puis incorporé</t>
        </is>
      </c>
    </row>
    <row r="28">
      <c r="A28" s="12" t="inlineStr">
        <is>
          <t>Comptes courants d'associés</t>
        </is>
      </c>
      <c r="B28" s="12" t="inlineStr">
        <is>
          <t>455, 457</t>
        </is>
      </c>
      <c r="C28" s="6">
        <f>-(SUMPRODUCT((LEFT('Balance 2024-2025'!$A$5:$A$104,3)="455")*'Balance 2024-2025'!$D$5:$D$104)+SUMPRODUCT((LEFT('Balance 2024-2025'!$A$5:$A$104,3)="457")*'Balance 2024-2025'!$D$5:$D$104))</f>
        <v/>
      </c>
      <c r="D28" s="35" t="inlineStr">
        <is>
          <t>Conversion de créances des associés en capital</t>
        </is>
      </c>
    </row>
    <row r="29">
      <c r="A29" s="4" t="inlineStr">
        <is>
          <t>Total des sources identifiées</t>
        </is>
      </c>
      <c r="B29" s="12" t="inlineStr"/>
      <c r="C29" s="7">
        <f>SUM(C26:C28)</f>
        <v/>
      </c>
      <c r="D29" s="35" t="inlineStr"/>
    </row>
    <row r="30">
      <c r="A30" s="12" t="inlineStr">
        <is>
          <t>Couverture de l'augmentation</t>
        </is>
      </c>
      <c r="B30" s="12" t="inlineStr"/>
      <c r="C30" s="38">
        <f>IF(C25=0,"",C29/C25)</f>
        <v/>
      </c>
      <c r="D30" s="35" t="inlineStr">
        <is>
          <t>Supérieure à 100 % : l'augmentation peut être financée sans apport en numéraire</t>
        </is>
      </c>
    </row>
    <row r="31">
      <c r="A31" s="12" t="inlineStr">
        <is>
          <t>Réserve légale minimale après augmentation (10 % du capital)</t>
        </is>
      </c>
      <c r="C31" s="30">
        <f>C8*10%</f>
        <v/>
      </c>
    </row>
    <row r="32">
      <c r="A32" s="12" t="inlineStr">
        <is>
          <t>Réserve légale au 31/12/2025 (10610)</t>
        </is>
      </c>
      <c r="C32" s="6">
        <f>-'Balance 2024-2025'!D7</f>
        <v/>
      </c>
      <c r="D32" s="21" t="inlineStr">
        <is>
          <t>Dotation de 5 % du bénéfice à poursuivre jusqu'au plafond</t>
        </is>
      </c>
    </row>
    <row r="34" ht="48" customHeight="1">
      <c r="A34" s="50" t="inlineStr">
        <is>
          <t>Pièces à obtenir : PV d'AGE et rapport de gestion, statuts modifiés (acte notarié), publication BOAL, justificatif de libération (incorporation ou apports), enregistrement fiscal. Écriture 2026 attendue : débit 106x / 455-457 (ou 512 si apport en numéraire), crédit 10100 pour 162 000 000 DA.</t>
        </is>
      </c>
    </row>
    <row r="36" ht="32" customHeight="1">
      <c r="A36" s="51" t="inlineStr">
        <is>
          <t>Sanctions rappelées au verso (loi n° 04-08 du 14/08/2004 modifiée) : amende de 5 000 à 5 000 000 DA et/ou 6 mois à 1 an d'emprisonnement, notamment pour commerce hors de l'objet du registre.</t>
        </is>
      </c>
    </row>
    <row r="37" ht="32" customHeight="1">
      <c r="A37" s="50" t="inlineStr">
        <is>
          <t>À vérifier avec un juriste : l'importation pour la revente en l'état est en principe réservée à des sociétés qui l'exercent à titre exclusif ; les activités TPM / location pourraient devoir être portées par une société distincte.</t>
        </is>
      </c>
    </row>
    <row r="40">
      <c r="A40" s="4" t="inlineStr">
        <is>
          <t>C. Établissement secondaire « vente au détail » — Fenaia Il Maten (dossier administratif reçu le 04/10/2026)</t>
        </is>
      </c>
    </row>
    <row r="41">
      <c r="A41" s="11" t="inlineStr">
        <is>
          <t>Rubrique</t>
        </is>
      </c>
      <c r="B41" s="11" t="inlineStr">
        <is>
          <t>Mention</t>
        </is>
      </c>
      <c r="C41" s="11" t="inlineStr">
        <is>
          <t>Pièce</t>
        </is>
      </c>
      <c r="D41" s="11" t="inlineStr">
        <is>
          <t>Constat</t>
        </is>
      </c>
    </row>
    <row r="42" ht="34" customHeight="1">
      <c r="A42" s="4" t="inlineStr">
        <is>
          <t>Adresse</t>
        </is>
      </c>
      <c r="B42" s="43" t="inlineStr">
        <is>
          <t>Lieu-dit Abadou, commune de Fenaia Il Maten, wilaya de Béjaïa</t>
        </is>
      </c>
      <c r="C42" s="35" t="inlineStr">
        <is>
          <t>Déclaration d'existence fiscale</t>
        </is>
      </c>
      <c r="D42" s="29" t="inlineStr">
        <is>
          <t>Cachet « Pièces détachées et Réparation mécanique »</t>
        </is>
      </c>
    </row>
    <row r="43" ht="34" customHeight="1">
      <c r="A43" s="4" t="inlineStr">
        <is>
          <t>N° RC de l'établissement</t>
        </is>
      </c>
      <c r="B43" s="43" t="inlineStr">
        <is>
          <t>06/04-0184232 B 03 (inscrit le 10/09/2024)</t>
        </is>
      </c>
      <c r="C43" s="35" t="inlineStr">
        <is>
          <t>Extrait n° 920064572 du 11/09/2024</t>
        </is>
      </c>
      <c r="D43" s="29" t="inlineStr">
        <is>
          <t>Les extraits du siège portent pourtant « établissements secondaires : néant »</t>
        </is>
      </c>
    </row>
    <row r="44" ht="34" customHeight="1">
      <c r="A44" s="4" t="inlineStr">
        <is>
          <t>Secteur</t>
        </is>
      </c>
      <c r="B44" s="43" t="inlineStr">
        <is>
          <t>Services — distribution au détail (sédentaire et non sédentaire)</t>
        </is>
      </c>
      <c r="C44" s="35" t="inlineStr">
        <is>
          <t>Extrait RC établissement</t>
        </is>
      </c>
      <c r="D44" s="29" t="inlineStr"/>
    </row>
    <row r="45" ht="34" customHeight="1">
      <c r="A45" s="4" t="inlineStr">
        <is>
          <t>Activités</t>
        </is>
      </c>
      <c r="B45" s="43" t="inlineStr">
        <is>
          <t>506003 pièces détachées auto ; 506002 outillage ; 506006 pneumatiques ; 506007 batteries ; 506008 huiles et graisses ; 613204 réparation mécanique ; 605024 salle d'exposition</t>
        </is>
      </c>
      <c r="C45" s="35" t="inlineStr">
        <is>
          <t>Extrait RC établissement</t>
        </is>
      </c>
      <c r="D45" s="29" t="inlineStr">
        <is>
          <t>Nouvelle activité de vente au détail : journal 15001 créé (fichier JOURNAL_VENTES_DETAIL_FENAIA.xlsx)</t>
        </is>
      </c>
    </row>
    <row r="46" ht="34" customHeight="1">
      <c r="A46" s="4" t="inlineStr">
        <is>
          <t>Article d'imposition</t>
        </is>
      </c>
      <c r="B46" s="43" t="inlineStr">
        <is>
          <t>06180778071 (IBS)</t>
        </is>
      </c>
      <c r="C46" s="35" t="inlineStr">
        <is>
          <t>Déclaration d'existence (série G 2024/08)</t>
        </is>
      </c>
      <c r="D46" s="29" t="inlineStr">
        <is>
          <t>Distinct de l'article du siège (06120024511)</t>
        </is>
      </c>
    </row>
    <row r="47" ht="34" customHeight="1">
      <c r="A47" s="4" t="inlineStr">
        <is>
          <t>Début d'activité déclaré</t>
        </is>
      </c>
      <c r="B47" s="43" t="inlineStr">
        <is>
          <t>10/09/2024</t>
        </is>
      </c>
      <c r="C47" s="35" t="inlineStr">
        <is>
          <t>Déclaration d'existence</t>
        </is>
      </c>
      <c r="D47" s="52">
        <f>"Déclaration déposée "&amp;TEXT(C53,"0")&amp;" jours après le délai de 30 jours"</f>
        <v/>
      </c>
    </row>
    <row r="48" ht="34" customHeight="1">
      <c r="A48" s="4" t="inlineStr">
        <is>
          <t>Date de la déclaration d'existence</t>
        </is>
      </c>
      <c r="B48" s="43" t="inlineStr">
        <is>
          <t>03/03/2026</t>
        </is>
      </c>
      <c r="C48" s="35" t="inlineStr">
        <is>
          <t>Déclaration d'existence</t>
        </is>
      </c>
      <c r="D48" s="29" t="inlineStr">
        <is>
          <t>Délai légal : 30 jours après le début d'activité</t>
        </is>
      </c>
    </row>
    <row r="49" ht="34" customHeight="1">
      <c r="A49" s="4" t="inlineStr">
        <is>
          <t>NIF</t>
        </is>
      </c>
      <c r="B49" s="43" t="inlineStr">
        <is>
          <t>000306018423274 (attestation du 09/03/2026, référence 00030601842327406004)</t>
        </is>
      </c>
      <c r="C49" s="35" t="inlineStr">
        <is>
          <t>Attestation d'immatriculation fiscale</t>
        </is>
      </c>
      <c r="D49" s="29" t="inlineStr">
        <is>
          <t>Conforme au NIF des G50</t>
        </is>
      </c>
    </row>
    <row r="50" ht="34" customHeight="1">
      <c r="A50" s="4" t="inlineStr">
        <is>
          <t>NIS (ONS)</t>
        </is>
      </c>
      <c r="B50" s="43" t="inlineStr">
        <is>
          <t>0 003 0612 02539 53 — activité principale 5030</t>
        </is>
      </c>
      <c r="C50" s="35" t="inlineStr">
        <is>
          <t>Avis d'identification statistique</t>
        </is>
      </c>
      <c r="D50" s="29" t="inlineStr"/>
    </row>
    <row r="51" ht="34" customHeight="1">
      <c r="A51" s="4" t="inlineStr">
        <is>
          <t>Déclaration d'existence du siège</t>
        </is>
      </c>
      <c r="B51" s="43" t="inlineStr">
        <is>
          <t>10/09/2003 — gérant DJENADI Ahcene ; activité import-export pièces détachées ; comptable BELHADI Lahlou (El Kseur)</t>
        </is>
      </c>
      <c r="C51" s="35" t="inlineStr">
        <is>
          <t>Série G 8 (2002)</t>
        </is>
      </c>
      <c r="D51" s="29" t="inlineStr">
        <is>
          <t>Historique</t>
        </is>
      </c>
    </row>
    <row r="53">
      <c r="A53" s="4" t="inlineStr">
        <is>
          <t>Retard de dépôt de la déclaration d'existence (jours au-delà de 30)</t>
        </is>
      </c>
      <c r="C53" s="53">
        <f>MAX(0,DATE(2026,3,3)-DATE(2024,9,10)-30)</f>
        <v/>
      </c>
    </row>
  </sheetData>
  <mergeCells count="3">
    <mergeCell ref="A34:D34"/>
    <mergeCell ref="A37:D37"/>
    <mergeCell ref="A36:D36"/>
  </mergeCells>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fitToPage="1"/>
  </sheetPr>
  <dimension ref="A1:L87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34" customWidth="1" min="3" max="3"/>
    <col width="14" customWidth="1" min="4" max="4"/>
    <col width="14" customWidth="1" min="5" max="5"/>
    <col width="16" customWidth="1" min="6" max="6"/>
    <col width="9" customWidth="1" min="7" max="7"/>
    <col width="34" customWidth="1" min="8" max="8"/>
    <col width="32" customWidth="1" min="9" max="9"/>
    <col width="12" customWidth="1" min="10" max="10"/>
    <col width="18" customWidth="1" min="11" max="11"/>
    <col width="12" customWidth="1" min="12" max="12"/>
  </cols>
  <sheetData>
    <row r="1">
      <c r="A1" s="1" t="inlineStr">
        <is>
          <t>Relevé du compte CPA El Kseur — RIB 00400370400000096910 (06/10/2025 au 03/10/2026)</t>
        </is>
      </c>
    </row>
    <row r="2">
      <c r="A2" s="2" t="inlineStr">
        <is>
          <t>Source : « relevé de banque SARL DPR COMPANY.xlsx » (édité le 04/10/2026, 871 opérations). Solde calculé depuis le solde initial annoncé (6 517 832,92).</t>
        </is>
      </c>
    </row>
    <row r="4">
      <c r="A4" s="11" t="inlineStr">
        <is>
          <t>Date</t>
        </is>
      </c>
      <c r="B4" s="11" t="inlineStr">
        <is>
          <t>Référence</t>
        </is>
      </c>
      <c r="C4" s="11" t="inlineStr">
        <is>
          <t>Libellé</t>
        </is>
      </c>
      <c r="D4" s="11" t="inlineStr">
        <is>
          <t>Débit</t>
        </is>
      </c>
      <c r="E4" s="11" t="inlineStr">
        <is>
          <t>Crédit</t>
        </is>
      </c>
      <c r="F4" s="11" t="inlineStr">
        <is>
          <t>Solde calculé</t>
        </is>
      </c>
      <c r="G4" s="11" t="inlineStr">
        <is>
          <t>Mois</t>
        </is>
      </c>
      <c r="H4" s="11" t="inlineStr">
        <is>
          <t>Catégorie</t>
        </is>
      </c>
      <c r="I4" s="11" t="inlineStr">
        <is>
          <t>Pointage / déclaration</t>
        </is>
      </c>
      <c r="J4" s="11" t="inlineStr">
        <is>
          <t>Pièce proposée</t>
        </is>
      </c>
      <c r="K4" s="11" t="inlineStr">
        <is>
          <t>Contrepartie proposée</t>
        </is>
      </c>
      <c r="L4" s="11" t="inlineStr">
        <is>
          <t>Confiance</t>
        </is>
      </c>
    </row>
    <row r="5">
      <c r="A5" s="22" t="inlineStr">
        <is>
          <t>06/10/2025</t>
        </is>
      </c>
      <c r="B5" s="22" t="inlineStr">
        <is>
          <t>00370-116743</t>
        </is>
      </c>
      <c r="C5" s="22" t="inlineStr">
        <is>
          <t>PAIEMENT CHQ NUM  2125706</t>
        </is>
      </c>
      <c r="D5" s="25" t="n">
        <v>276257.08</v>
      </c>
      <c r="E5" s="25" t="n"/>
      <c r="F5" s="25" t="n">
        <v>6241575.84</v>
      </c>
      <c r="G5" s="12" t="inlineStr">
        <is>
          <t>2025-10</t>
        </is>
      </c>
      <c r="H5" s="12" t="inlineStr">
        <is>
          <t>Fournisseurs, salaires et divers</t>
        </is>
      </c>
      <c r="I5" s="12" t="inlineStr">
        <is>
          <t>Pointé journal 2025</t>
        </is>
      </c>
      <c r="J5" s="12" t="inlineStr"/>
      <c r="K5" s="12" t="inlineStr"/>
      <c r="L5" s="12" t="inlineStr"/>
    </row>
    <row r="6">
      <c r="A6" s="22" t="inlineStr">
        <is>
          <t>06/10/2025</t>
        </is>
      </c>
      <c r="B6" s="22" t="inlineStr">
        <is>
          <t>00370-116743</t>
        </is>
      </c>
      <c r="C6" s="22" t="inlineStr">
        <is>
          <t>PERCEP.COM SUR PAIEMENTS CHQ</t>
        </is>
      </c>
      <c r="D6" s="25" t="n">
        <v>59.5</v>
      </c>
      <c r="E6" s="25" t="n"/>
      <c r="F6" s="25" t="n">
        <v>6241516.34</v>
      </c>
      <c r="G6" s="12" t="inlineStr">
        <is>
          <t>2025-10</t>
        </is>
      </c>
      <c r="H6" s="12" t="inlineStr">
        <is>
          <t>Agios, commissions et frais</t>
        </is>
      </c>
      <c r="I6" s="12" t="inlineStr">
        <is>
          <t>Pointé journal 2025</t>
        </is>
      </c>
      <c r="J6" s="12" t="inlineStr"/>
      <c r="K6" s="12" t="inlineStr"/>
      <c r="L6" s="12" t="inlineStr"/>
    </row>
    <row r="7">
      <c r="A7" s="22" t="inlineStr">
        <is>
          <t>08/10/2025</t>
        </is>
      </c>
      <c r="B7" s="22" t="inlineStr">
        <is>
          <t>99000-064521</t>
        </is>
      </c>
      <c r="C7" s="22" t="inlineStr">
        <is>
          <t>SORT CHQ NUM  7422852</t>
        </is>
      </c>
      <c r="D7" s="25" t="n"/>
      <c r="E7" s="25" t="n">
        <v>466480</v>
      </c>
      <c r="F7" s="25" t="n">
        <v>6707996.34</v>
      </c>
      <c r="G7" s="12" t="inlineStr">
        <is>
          <t>2025-10</t>
        </is>
      </c>
      <c r="H7" s="12" t="inlineStr">
        <is>
          <t>Encaissements clients</t>
        </is>
      </c>
      <c r="I7" s="12" t="inlineStr">
        <is>
          <t>Pointé journal 2025</t>
        </is>
      </c>
      <c r="J7" s="12" t="inlineStr"/>
      <c r="K7" s="12" t="inlineStr"/>
      <c r="L7" s="12" t="inlineStr"/>
    </row>
    <row r="8">
      <c r="A8" s="22" t="inlineStr">
        <is>
          <t>08/10/2025</t>
        </is>
      </c>
      <c r="B8" s="22" t="inlineStr">
        <is>
          <t>99000-064523</t>
        </is>
      </c>
      <c r="C8" s="22" t="inlineStr">
        <is>
          <t>SORT CHQ NUM  5162769</t>
        </is>
      </c>
      <c r="D8" s="25" t="n"/>
      <c r="E8" s="25" t="n">
        <v>1500000</v>
      </c>
      <c r="F8" s="25" t="n">
        <v>8207996.34</v>
      </c>
      <c r="G8" s="12" t="inlineStr">
        <is>
          <t>2025-10</t>
        </is>
      </c>
      <c r="H8" s="12" t="inlineStr">
        <is>
          <t>Encaissements clients</t>
        </is>
      </c>
      <c r="I8" s="12" t="inlineStr">
        <is>
          <t>Pointé journal 2025</t>
        </is>
      </c>
      <c r="J8" s="12" t="inlineStr"/>
      <c r="K8" s="12" t="inlineStr"/>
      <c r="L8" s="12" t="inlineStr"/>
    </row>
    <row r="9">
      <c r="A9" s="22" t="inlineStr">
        <is>
          <t>08/10/2025</t>
        </is>
      </c>
      <c r="B9" s="22" t="inlineStr">
        <is>
          <t>99000-064524</t>
        </is>
      </c>
      <c r="C9" s="22" t="inlineStr">
        <is>
          <t>SORT CHQ NUM  1015148</t>
        </is>
      </c>
      <c r="D9" s="25" t="n"/>
      <c r="E9" s="25" t="n">
        <v>2184840</v>
      </c>
      <c r="F9" s="25" t="n">
        <v>10392836.34</v>
      </c>
      <c r="G9" s="12" t="inlineStr">
        <is>
          <t>2025-10</t>
        </is>
      </c>
      <c r="H9" s="12" t="inlineStr">
        <is>
          <t>Encaissements clients</t>
        </is>
      </c>
      <c r="I9" s="12" t="inlineStr">
        <is>
          <t>Pointé journal 2025</t>
        </is>
      </c>
      <c r="J9" s="12" t="inlineStr"/>
      <c r="K9" s="12" t="inlineStr"/>
      <c r="L9" s="12" t="inlineStr"/>
    </row>
    <row r="10">
      <c r="A10" s="22" t="inlineStr">
        <is>
          <t>08/10/2025</t>
        </is>
      </c>
      <c r="B10" s="22" t="inlineStr">
        <is>
          <t>99000-064521</t>
        </is>
      </c>
      <c r="C10" s="22" t="inlineStr">
        <is>
          <t>FRAIS REMISE CHQ N  7422852</t>
        </is>
      </c>
      <c r="D10" s="25" t="n">
        <v>119</v>
      </c>
      <c r="E10" s="25" t="n"/>
      <c r="F10" s="25" t="n">
        <v>10392717.34</v>
      </c>
      <c r="G10" s="12" t="inlineStr">
        <is>
          <t>2025-10</t>
        </is>
      </c>
      <c r="H10" s="12" t="inlineStr">
        <is>
          <t>Agios, commissions et frais</t>
        </is>
      </c>
      <c r="I10" s="12" t="inlineStr">
        <is>
          <t>Pointé journal 2025</t>
        </is>
      </c>
      <c r="J10" s="12" t="inlineStr"/>
      <c r="K10" s="12" t="inlineStr"/>
      <c r="L10" s="12" t="inlineStr"/>
    </row>
    <row r="11">
      <c r="A11" s="22" t="inlineStr">
        <is>
          <t>08/10/2025</t>
        </is>
      </c>
      <c r="B11" s="22" t="inlineStr">
        <is>
          <t>99000-064523</t>
        </is>
      </c>
      <c r="C11" s="22" t="inlineStr">
        <is>
          <t>FRAIS REMISE CHQ N  5162769</t>
        </is>
      </c>
      <c r="D11" s="25" t="n">
        <v>238</v>
      </c>
      <c r="E11" s="25" t="n"/>
      <c r="F11" s="25" t="n">
        <v>10392479.34</v>
      </c>
      <c r="G11" s="12" t="inlineStr">
        <is>
          <t>2025-10</t>
        </is>
      </c>
      <c r="H11" s="12" t="inlineStr">
        <is>
          <t>Agios, commissions et frais</t>
        </is>
      </c>
      <c r="I11" s="12" t="inlineStr">
        <is>
          <t>Pointé journal 2025</t>
        </is>
      </c>
      <c r="J11" s="12" t="inlineStr"/>
      <c r="K11" s="12" t="inlineStr"/>
      <c r="L11" s="12" t="inlineStr"/>
    </row>
    <row r="12">
      <c r="A12" s="22" t="inlineStr">
        <is>
          <t>08/10/2025</t>
        </is>
      </c>
      <c r="B12" s="22" t="inlineStr">
        <is>
          <t>99000-064524</t>
        </is>
      </c>
      <c r="C12" s="22" t="inlineStr">
        <is>
          <t>FRAIS REMISE CHQ N  1015148</t>
        </is>
      </c>
      <c r="D12" s="25" t="n">
        <v>238</v>
      </c>
      <c r="E12" s="25" t="n"/>
      <c r="F12" s="25" t="n">
        <v>10392241.34</v>
      </c>
      <c r="G12" s="12" t="inlineStr">
        <is>
          <t>2025-10</t>
        </is>
      </c>
      <c r="H12" s="12" t="inlineStr">
        <is>
          <t>Agios, commissions et frais</t>
        </is>
      </c>
      <c r="I12" s="12" t="inlineStr">
        <is>
          <t>Pointé journal 2025</t>
        </is>
      </c>
      <c r="J12" s="12" t="inlineStr"/>
      <c r="K12" s="12" t="inlineStr"/>
      <c r="L12" s="12" t="inlineStr"/>
    </row>
    <row r="13">
      <c r="A13" s="22" t="inlineStr">
        <is>
          <t>08/10/2025</t>
        </is>
      </c>
      <c r="B13" s="22" t="inlineStr">
        <is>
          <t>99000-019053</t>
        </is>
      </c>
      <c r="C13" s="22" t="inlineStr">
        <is>
          <t>FRAIS ABONN. INTERNET 2025/10</t>
        </is>
      </c>
      <c r="D13" s="25" t="n">
        <v>1606.5</v>
      </c>
      <c r="E13" s="25" t="n"/>
      <c r="F13" s="25" t="n">
        <v>10390634.84</v>
      </c>
      <c r="G13" s="12" t="inlineStr">
        <is>
          <t>2025-10</t>
        </is>
      </c>
      <c r="H13" s="12" t="inlineStr">
        <is>
          <t>Agios, commissions et frais</t>
        </is>
      </c>
      <c r="I13" s="12" t="inlineStr">
        <is>
          <t>Pointé journal 2025</t>
        </is>
      </c>
      <c r="J13" s="12" t="inlineStr"/>
      <c r="K13" s="12" t="inlineStr"/>
      <c r="L13" s="12" t="inlineStr"/>
    </row>
    <row r="14">
      <c r="A14" s="22" t="inlineStr">
        <is>
          <t>09/10/2025</t>
        </is>
      </c>
      <c r="B14" s="22" t="inlineStr">
        <is>
          <t>00370-012659</t>
        </is>
      </c>
      <c r="C14" s="22" t="inlineStr">
        <is>
          <t>FRAIS VRT.</t>
        </is>
      </c>
      <c r="D14" s="25" t="n">
        <v>59.5</v>
      </c>
      <c r="E14" s="25" t="n"/>
      <c r="F14" s="25" t="n">
        <v>10390575.34</v>
      </c>
      <c r="G14" s="12" t="inlineStr">
        <is>
          <t>2025-10</t>
        </is>
      </c>
      <c r="H14" s="12" t="inlineStr">
        <is>
          <t>Agios, commissions et frais</t>
        </is>
      </c>
      <c r="I14" s="12" t="inlineStr">
        <is>
          <t>Pointé journal 2025</t>
        </is>
      </c>
      <c r="J14" s="12" t="inlineStr"/>
      <c r="K14" s="12" t="inlineStr"/>
      <c r="L14" s="12" t="inlineStr"/>
    </row>
    <row r="15">
      <c r="A15" s="22" t="inlineStr">
        <is>
          <t>09/10/2025</t>
        </is>
      </c>
      <c r="B15" s="22" t="inlineStr">
        <is>
          <t>00370-012659</t>
        </is>
      </c>
      <c r="C15" s="22" t="inlineStr">
        <is>
          <t>VRT. ORD. SARL DPR AXXAM</t>
        </is>
      </c>
      <c r="D15" s="25" t="n">
        <v>1200000</v>
      </c>
      <c r="E15" s="25" t="n"/>
      <c r="F15" s="25" t="n">
        <v>9190575.34</v>
      </c>
      <c r="G15" s="12" t="inlineStr">
        <is>
          <t>2025-10</t>
        </is>
      </c>
      <c r="H15" s="12" t="inlineStr">
        <is>
          <t>DPR AXXAM (partie liée)</t>
        </is>
      </c>
      <c r="I15" s="12" t="inlineStr">
        <is>
          <t>Pointé journal 2025</t>
        </is>
      </c>
      <c r="J15" s="12" t="inlineStr"/>
      <c r="K15" s="12" t="inlineStr"/>
      <c r="L15" s="12" t="inlineStr"/>
    </row>
    <row r="16">
      <c r="A16" s="22" t="inlineStr">
        <is>
          <t>09/10/2025</t>
        </is>
      </c>
      <c r="B16" s="22" t="inlineStr">
        <is>
          <t>00370-012661</t>
        </is>
      </c>
      <c r="C16" s="22" t="inlineStr">
        <is>
          <t>FRAIS VRT.</t>
        </is>
      </c>
      <c r="D16" s="25" t="n">
        <v>59.5</v>
      </c>
      <c r="E16" s="25" t="n"/>
      <c r="F16" s="25" t="n">
        <v>9190515.84</v>
      </c>
      <c r="G16" s="12" t="inlineStr">
        <is>
          <t>2025-10</t>
        </is>
      </c>
      <c r="H16" s="12" t="inlineStr">
        <is>
          <t>Agios, commissions et frais</t>
        </is>
      </c>
      <c r="I16" s="12" t="inlineStr">
        <is>
          <t>Pointé journal 2025</t>
        </is>
      </c>
      <c r="J16" s="12" t="inlineStr"/>
      <c r="K16" s="12" t="inlineStr"/>
      <c r="L16" s="12" t="inlineStr"/>
    </row>
    <row r="17">
      <c r="A17" s="22" t="inlineStr">
        <is>
          <t>09/10/2025</t>
        </is>
      </c>
      <c r="B17" s="22" t="inlineStr">
        <is>
          <t>00370-012661</t>
        </is>
      </c>
      <c r="C17" s="22" t="inlineStr">
        <is>
          <t>VRT. ORD. SARL RESID.BALN.ILE</t>
        </is>
      </c>
      <c r="D17" s="25" t="n">
        <v>1500000</v>
      </c>
      <c r="E17" s="25" t="n"/>
      <c r="F17" s="25" t="n">
        <v>7690515.84</v>
      </c>
      <c r="G17" s="12" t="inlineStr">
        <is>
          <t>2025-10</t>
        </is>
      </c>
      <c r="H17" s="12" t="inlineStr">
        <is>
          <t>Fournisseurs, salaires et divers</t>
        </is>
      </c>
      <c r="I17" s="12" t="inlineStr">
        <is>
          <t>Pointé journal 2025</t>
        </is>
      </c>
      <c r="J17" s="12" t="inlineStr"/>
      <c r="K17" s="12" t="inlineStr"/>
      <c r="L17" s="12" t="inlineStr"/>
    </row>
    <row r="18">
      <c r="A18" s="22" t="inlineStr">
        <is>
          <t>09/10/2025</t>
        </is>
      </c>
      <c r="B18" s="22" t="inlineStr">
        <is>
          <t>99000-064528</t>
        </is>
      </c>
      <c r="C18" s="22" t="inlineStr">
        <is>
          <t>SORT CHQ NUM  5066413</t>
        </is>
      </c>
      <c r="D18" s="25" t="n"/>
      <c r="E18" s="25" t="n">
        <v>199600</v>
      </c>
      <c r="F18" s="25" t="n">
        <v>7890115.84</v>
      </c>
      <c r="G18" s="12" t="inlineStr">
        <is>
          <t>2025-10</t>
        </is>
      </c>
      <c r="H18" s="12" t="inlineStr">
        <is>
          <t>Encaissements clients</t>
        </is>
      </c>
      <c r="I18" s="12" t="inlineStr">
        <is>
          <t>Pointé journal 2025</t>
        </is>
      </c>
      <c r="J18" s="12" t="inlineStr"/>
      <c r="K18" s="12" t="inlineStr"/>
      <c r="L18" s="12" t="inlineStr"/>
    </row>
    <row r="19">
      <c r="A19" s="22" t="inlineStr">
        <is>
          <t>09/10/2025</t>
        </is>
      </c>
      <c r="B19" s="22" t="inlineStr">
        <is>
          <t>99000-064528</t>
        </is>
      </c>
      <c r="C19" s="22" t="inlineStr">
        <is>
          <t>FRAIS REMISE CHQ N  5066413</t>
        </is>
      </c>
      <c r="D19" s="25" t="n">
        <v>119</v>
      </c>
      <c r="E19" s="25" t="n"/>
      <c r="F19" s="25" t="n">
        <v>7889996.84</v>
      </c>
      <c r="G19" s="12" t="inlineStr">
        <is>
          <t>2025-10</t>
        </is>
      </c>
      <c r="H19" s="12" t="inlineStr">
        <is>
          <t>Agios, commissions et frais</t>
        </is>
      </c>
      <c r="I19" s="12" t="inlineStr">
        <is>
          <t>Pointé journal 2025</t>
        </is>
      </c>
      <c r="J19" s="12" t="inlineStr"/>
      <c r="K19" s="12" t="inlineStr"/>
      <c r="L19" s="12" t="inlineStr"/>
    </row>
    <row r="20">
      <c r="A20" s="22" t="inlineStr">
        <is>
          <t>12/10/2025</t>
        </is>
      </c>
      <c r="B20" s="22" t="inlineStr">
        <is>
          <t>00370-005976</t>
        </is>
      </c>
      <c r="C20" s="22" t="inlineStr">
        <is>
          <t>FRAIS VRT.</t>
        </is>
      </c>
      <c r="D20" s="25" t="n">
        <v>119</v>
      </c>
      <c r="E20" s="25" t="n"/>
      <c r="F20" s="25" t="n">
        <v>7889877.84</v>
      </c>
      <c r="G20" s="12" t="inlineStr">
        <is>
          <t>2025-10</t>
        </is>
      </c>
      <c r="H20" s="12" t="inlineStr">
        <is>
          <t>Agios, commissions et frais</t>
        </is>
      </c>
      <c r="I20" s="12" t="inlineStr">
        <is>
          <t>Pointé journal 2025</t>
        </is>
      </c>
      <c r="J20" s="12" t="inlineStr"/>
      <c r="K20" s="12" t="inlineStr"/>
      <c r="L20" s="12" t="inlineStr"/>
    </row>
    <row r="21">
      <c r="A21" s="22" t="inlineStr">
        <is>
          <t>12/10/2025</t>
        </is>
      </c>
      <c r="B21" s="22" t="inlineStr">
        <is>
          <t>00370-005976</t>
        </is>
      </c>
      <c r="C21" s="22" t="inlineStr">
        <is>
          <t>VRT. ORD. NAFTAL BRANCHE GPL C</t>
        </is>
      </c>
      <c r="D21" s="25" t="n">
        <v>5000</v>
      </c>
      <c r="E21" s="25" t="n"/>
      <c r="F21" s="25" t="n">
        <v>7884877.84</v>
      </c>
      <c r="G21" s="12" t="inlineStr">
        <is>
          <t>2025-10</t>
        </is>
      </c>
      <c r="H21" s="12" t="inlineStr">
        <is>
          <t>Fournisseurs, salaires et divers</t>
        </is>
      </c>
      <c r="I21" s="12" t="inlineStr">
        <is>
          <t>Pointé journal 2025</t>
        </is>
      </c>
      <c r="J21" s="12" t="inlineStr"/>
      <c r="K21" s="12" t="inlineStr"/>
      <c r="L21" s="12" t="inlineStr"/>
    </row>
    <row r="22">
      <c r="A22" s="22" t="inlineStr">
        <is>
          <t>13/10/2025</t>
        </is>
      </c>
      <c r="B22" s="22" t="inlineStr">
        <is>
          <t>00370-005986</t>
        </is>
      </c>
      <c r="C22" s="22" t="inlineStr">
        <is>
          <t>FRAIS VRT.</t>
        </is>
      </c>
      <c r="D22" s="25" t="n">
        <v>119</v>
      </c>
      <c r="E22" s="25" t="n"/>
      <c r="F22" s="25" t="n">
        <v>7884758.84</v>
      </c>
      <c r="G22" s="12" t="inlineStr">
        <is>
          <t>2025-10</t>
        </is>
      </c>
      <c r="H22" s="12" t="inlineStr">
        <is>
          <t>Agios, commissions et frais</t>
        </is>
      </c>
      <c r="I22" s="12" t="inlineStr">
        <is>
          <t>Pointé journal 2025</t>
        </is>
      </c>
      <c r="J22" s="12" t="inlineStr"/>
      <c r="K22" s="12" t="inlineStr"/>
      <c r="L22" s="12" t="inlineStr"/>
    </row>
    <row r="23">
      <c r="A23" s="22" t="inlineStr">
        <is>
          <t>13/10/2025</t>
        </is>
      </c>
      <c r="B23" s="22" t="inlineStr">
        <is>
          <t>00370-005986</t>
        </is>
      </c>
      <c r="C23" s="22" t="inlineStr">
        <is>
          <t>VRT. ORD. AIT MATEN SOUAD</t>
        </is>
      </c>
      <c r="D23" s="25" t="n">
        <v>59175.62</v>
      </c>
      <c r="E23" s="25" t="n"/>
      <c r="F23" s="25" t="n">
        <v>7825583.22</v>
      </c>
      <c r="G23" s="12" t="inlineStr">
        <is>
          <t>2025-10</t>
        </is>
      </c>
      <c r="H23" s="12" t="inlineStr">
        <is>
          <t>Fournisseurs, salaires et divers</t>
        </is>
      </c>
      <c r="I23" s="12" t="inlineStr">
        <is>
          <t>Pointé journal 2025</t>
        </is>
      </c>
      <c r="J23" s="12" t="inlineStr"/>
      <c r="K23" s="12" t="inlineStr"/>
      <c r="L23" s="12" t="inlineStr"/>
    </row>
    <row r="24">
      <c r="A24" s="22" t="inlineStr">
        <is>
          <t>13/10/2025</t>
        </is>
      </c>
      <c r="B24" s="22" t="inlineStr">
        <is>
          <t>00370-002552</t>
        </is>
      </c>
      <c r="C24" s="22" t="inlineStr">
        <is>
          <t>VRT. ORD. REG PAI SEPT 2025</t>
        </is>
      </c>
      <c r="D24" s="25" t="n">
        <v>265689.05</v>
      </c>
      <c r="E24" s="25" t="n"/>
      <c r="F24" s="25" t="n">
        <v>7559894.17</v>
      </c>
      <c r="G24" s="12" t="inlineStr">
        <is>
          <t>2025-10</t>
        </is>
      </c>
      <c r="H24" s="12" t="inlineStr">
        <is>
          <t>Fournisseurs, salaires et divers</t>
        </is>
      </c>
      <c r="I24" s="12" t="inlineStr">
        <is>
          <t>Pointé journal 2025</t>
        </is>
      </c>
      <c r="J24" s="12" t="inlineStr"/>
      <c r="K24" s="12" t="inlineStr"/>
      <c r="L24" s="12" t="inlineStr"/>
    </row>
    <row r="25">
      <c r="A25" s="22" t="inlineStr">
        <is>
          <t>13/10/2025</t>
        </is>
      </c>
      <c r="B25" s="22" t="inlineStr">
        <is>
          <t>00370-002552</t>
        </is>
      </c>
      <c r="C25" s="22" t="inlineStr">
        <is>
          <t>FRAIS VRT.</t>
        </is>
      </c>
      <c r="D25" s="25" t="n">
        <v>107.1</v>
      </c>
      <c r="E25" s="25" t="n"/>
      <c r="F25" s="25" t="n">
        <v>7559787.07</v>
      </c>
      <c r="G25" s="12" t="inlineStr">
        <is>
          <t>2025-10</t>
        </is>
      </c>
      <c r="H25" s="12" t="inlineStr">
        <is>
          <t>Agios, commissions et frais</t>
        </is>
      </c>
      <c r="I25" s="12" t="inlineStr">
        <is>
          <t>Pointé journal 2025</t>
        </is>
      </c>
      <c r="J25" s="12" t="inlineStr"/>
      <c r="K25" s="12" t="inlineStr"/>
      <c r="L25" s="12" t="inlineStr"/>
    </row>
    <row r="26">
      <c r="A26" s="22" t="inlineStr">
        <is>
          <t>13/10/2025</t>
        </is>
      </c>
      <c r="B26" s="22" t="inlineStr">
        <is>
          <t>00370-002553</t>
        </is>
      </c>
      <c r="C26" s="22" t="inlineStr">
        <is>
          <t>VRT. ORD. REG PAI SEPT 2025</t>
        </is>
      </c>
      <c r="D26" s="25" t="n">
        <v>231727.6</v>
      </c>
      <c r="E26" s="25" t="n"/>
      <c r="F26" s="25" t="n">
        <v>7328059.47</v>
      </c>
      <c r="G26" s="12" t="inlineStr">
        <is>
          <t>2025-10</t>
        </is>
      </c>
      <c r="H26" s="12" t="inlineStr">
        <is>
          <t>Fournisseurs, salaires et divers</t>
        </is>
      </c>
      <c r="I26" s="12" t="inlineStr">
        <is>
          <t>Pointé journal 2025</t>
        </is>
      </c>
      <c r="J26" s="12" t="inlineStr"/>
      <c r="K26" s="12" t="inlineStr"/>
      <c r="L26" s="12" t="inlineStr"/>
    </row>
    <row r="27">
      <c r="A27" s="22" t="inlineStr">
        <is>
          <t>13/10/2025</t>
        </is>
      </c>
      <c r="B27" s="22" t="inlineStr">
        <is>
          <t>00370-002553</t>
        </is>
      </c>
      <c r="C27" s="22" t="inlineStr">
        <is>
          <t>FRAIS VRT.</t>
        </is>
      </c>
      <c r="D27" s="25" t="n">
        <v>142.8</v>
      </c>
      <c r="E27" s="25" t="n"/>
      <c r="F27" s="25" t="n">
        <v>7327916.67</v>
      </c>
      <c r="G27" s="12" t="inlineStr">
        <is>
          <t>2025-10</t>
        </is>
      </c>
      <c r="H27" s="12" t="inlineStr">
        <is>
          <t>Agios, commissions et frais</t>
        </is>
      </c>
      <c r="I27" s="12" t="inlineStr">
        <is>
          <t>Pointé journal 2025</t>
        </is>
      </c>
      <c r="J27" s="12" t="inlineStr"/>
      <c r="K27" s="12" t="inlineStr"/>
      <c r="L27" s="12" t="inlineStr"/>
    </row>
    <row r="28">
      <c r="A28" s="22" t="inlineStr">
        <is>
          <t>14/10/2025</t>
        </is>
      </c>
      <c r="B28" s="22" t="inlineStr">
        <is>
          <t>00370-082221</t>
        </is>
      </c>
      <c r="C28" s="22" t="inlineStr">
        <is>
          <t>VRT. RECU GHOUFI FARIS</t>
        </is>
      </c>
      <c r="D28" s="25" t="n"/>
      <c r="E28" s="25" t="n">
        <v>256000</v>
      </c>
      <c r="F28" s="25" t="n">
        <v>7583916.67</v>
      </c>
      <c r="G28" s="12" t="inlineStr">
        <is>
          <t>2025-10</t>
        </is>
      </c>
      <c r="H28" s="12" t="inlineStr">
        <is>
          <t>Encaissements clients</t>
        </is>
      </c>
      <c r="I28" s="12" t="inlineStr">
        <is>
          <t>Pointé journal 2025</t>
        </is>
      </c>
      <c r="J28" s="12" t="inlineStr"/>
      <c r="K28" s="12" t="inlineStr"/>
      <c r="L28" s="12" t="inlineStr"/>
    </row>
    <row r="29">
      <c r="A29" s="22" t="inlineStr">
        <is>
          <t>14/10/2025</t>
        </is>
      </c>
      <c r="B29" s="22" t="inlineStr">
        <is>
          <t>99000-064584</t>
        </is>
      </c>
      <c r="C29" s="22" t="inlineStr">
        <is>
          <t>SORT CHQ NUM  1955200</t>
        </is>
      </c>
      <c r="D29" s="25" t="n"/>
      <c r="E29" s="25" t="n">
        <v>750000</v>
      </c>
      <c r="F29" s="25" t="n">
        <v>8333916.67</v>
      </c>
      <c r="G29" s="12" t="inlineStr">
        <is>
          <t>2025-10</t>
        </is>
      </c>
      <c r="H29" s="12" t="inlineStr">
        <is>
          <t>Encaissements clients</t>
        </is>
      </c>
      <c r="I29" s="12" t="inlineStr">
        <is>
          <t>Pointé journal 2025</t>
        </is>
      </c>
      <c r="J29" s="12" t="inlineStr"/>
      <c r="K29" s="12" t="inlineStr"/>
      <c r="L29" s="12" t="inlineStr"/>
    </row>
    <row r="30">
      <c r="A30" s="22" t="inlineStr">
        <is>
          <t>14/10/2025</t>
        </is>
      </c>
      <c r="B30" s="22" t="inlineStr">
        <is>
          <t>99000-064584</t>
        </is>
      </c>
      <c r="C30" s="22" t="inlineStr">
        <is>
          <t>FRAIS REMISE CHQ N  1955200</t>
        </is>
      </c>
      <c r="D30" s="25" t="n">
        <v>238</v>
      </c>
      <c r="E30" s="25" t="n"/>
      <c r="F30" s="25" t="n">
        <v>8333678.67</v>
      </c>
      <c r="G30" s="12" t="inlineStr">
        <is>
          <t>2025-10</t>
        </is>
      </c>
      <c r="H30" s="12" t="inlineStr">
        <is>
          <t>Agios, commissions et frais</t>
        </is>
      </c>
      <c r="I30" s="12" t="inlineStr">
        <is>
          <t>Pointé journal 2025</t>
        </is>
      </c>
      <c r="J30" s="12" t="inlineStr"/>
      <c r="K30" s="12" t="inlineStr"/>
      <c r="L30" s="12" t="inlineStr"/>
    </row>
    <row r="31">
      <c r="A31" s="22" t="inlineStr">
        <is>
          <t>15/10/2025</t>
        </is>
      </c>
      <c r="B31" s="22" t="inlineStr">
        <is>
          <t>00370-025014</t>
        </is>
      </c>
      <c r="C31" s="22" t="inlineStr">
        <is>
          <t>EXTRAIT DE COMPTE</t>
        </is>
      </c>
      <c r="D31" s="25" t="n">
        <v>273.7</v>
      </c>
      <c r="E31" s="25" t="n"/>
      <c r="F31" s="25" t="n">
        <v>8333404.97</v>
      </c>
      <c r="G31" s="12" t="inlineStr">
        <is>
          <t>2025-10</t>
        </is>
      </c>
      <c r="H31" s="12" t="inlineStr">
        <is>
          <t>Agios, commissions et frais</t>
        </is>
      </c>
      <c r="I31" s="12" t="inlineStr">
        <is>
          <t>Pointé journal 2025</t>
        </is>
      </c>
      <c r="J31" s="12" t="inlineStr"/>
      <c r="K31" s="12" t="inlineStr"/>
      <c r="L31" s="12" t="inlineStr"/>
    </row>
    <row r="32">
      <c r="A32" s="22" t="inlineStr">
        <is>
          <t>15/10/2025</t>
        </is>
      </c>
      <c r="B32" s="22" t="inlineStr">
        <is>
          <t>99000-064598</t>
        </is>
      </c>
      <c r="C32" s="22" t="inlineStr">
        <is>
          <t>SORT CHQ NUM  2595571</t>
        </is>
      </c>
      <c r="D32" s="25" t="n"/>
      <c r="E32" s="25" t="n">
        <v>1000000</v>
      </c>
      <c r="F32" s="25" t="n">
        <v>9333404.970000001</v>
      </c>
      <c r="G32" s="12" t="inlineStr">
        <is>
          <t>2025-10</t>
        </is>
      </c>
      <c r="H32" s="12" t="inlineStr">
        <is>
          <t>Encaissements clients</t>
        </is>
      </c>
      <c r="I32" s="12" t="inlineStr">
        <is>
          <t>Pointé journal 2025</t>
        </is>
      </c>
      <c r="J32" s="12" t="inlineStr"/>
      <c r="K32" s="12" t="inlineStr"/>
      <c r="L32" s="12" t="inlineStr"/>
    </row>
    <row r="33">
      <c r="A33" s="22" t="inlineStr">
        <is>
          <t>15/10/2025</t>
        </is>
      </c>
      <c r="B33" s="22" t="inlineStr">
        <is>
          <t>99000-064598</t>
        </is>
      </c>
      <c r="C33" s="22" t="inlineStr">
        <is>
          <t>FRAIS REMISE CHQ N  2595571</t>
        </is>
      </c>
      <c r="D33" s="25" t="n">
        <v>238</v>
      </c>
      <c r="E33" s="25" t="n"/>
      <c r="F33" s="25" t="n">
        <v>9333166.970000001</v>
      </c>
      <c r="G33" s="12" t="inlineStr">
        <is>
          <t>2025-10</t>
        </is>
      </c>
      <c r="H33" s="12" t="inlineStr">
        <is>
          <t>Agios, commissions et frais</t>
        </is>
      </c>
      <c r="I33" s="12" t="inlineStr">
        <is>
          <t>Pointé journal 2025</t>
        </is>
      </c>
      <c r="J33" s="12" t="inlineStr"/>
      <c r="K33" s="12" t="inlineStr"/>
      <c r="L33" s="12" t="inlineStr"/>
    </row>
    <row r="34">
      <c r="A34" s="22" t="inlineStr">
        <is>
          <t>16/10/2025</t>
        </is>
      </c>
      <c r="B34" s="22" t="inlineStr">
        <is>
          <t>99000-041315</t>
        </is>
      </c>
      <c r="C34" s="22" t="inlineStr">
        <is>
          <t>FRAIS FIXE AU 30/09/25</t>
        </is>
      </c>
      <c r="D34" s="25" t="n">
        <v>375</v>
      </c>
      <c r="E34" s="25" t="n"/>
      <c r="F34" s="25" t="n">
        <v>9332791.970000001</v>
      </c>
      <c r="G34" s="12" t="inlineStr">
        <is>
          <t>2025-10</t>
        </is>
      </c>
      <c r="H34" s="12" t="inlineStr">
        <is>
          <t>Agios, commissions et frais</t>
        </is>
      </c>
      <c r="I34" s="12" t="inlineStr">
        <is>
          <t>Pointé journal 2025</t>
        </is>
      </c>
      <c r="J34" s="12" t="inlineStr"/>
      <c r="K34" s="12" t="inlineStr"/>
      <c r="L34" s="12" t="inlineStr"/>
    </row>
    <row r="35">
      <c r="A35" s="22" t="inlineStr">
        <is>
          <t>16/10/2025</t>
        </is>
      </c>
      <c r="B35" s="22" t="inlineStr">
        <is>
          <t>99000-041315</t>
        </is>
      </c>
      <c r="C35" s="22" t="inlineStr">
        <is>
          <t>INTERETS DEBITEURS AU 30/09/25</t>
        </is>
      </c>
      <c r="D35" s="25" t="n">
        <v>149665.34</v>
      </c>
      <c r="E35" s="25" t="n"/>
      <c r="F35" s="25" t="n">
        <v>9183126.630000001</v>
      </c>
      <c r="G35" s="12" t="inlineStr">
        <is>
          <t>2025-10</t>
        </is>
      </c>
      <c r="H35" s="12" t="inlineStr">
        <is>
          <t>Agios, commissions et frais</t>
        </is>
      </c>
      <c r="I35" s="12" t="inlineStr">
        <is>
          <t>Pointé journal 2025</t>
        </is>
      </c>
      <c r="J35" s="12" t="inlineStr"/>
      <c r="K35" s="12" t="inlineStr"/>
      <c r="L35" s="12" t="inlineStr"/>
    </row>
    <row r="36">
      <c r="A36" s="22" t="inlineStr">
        <is>
          <t>16/10/2025</t>
        </is>
      </c>
      <c r="B36" s="22" t="inlineStr">
        <is>
          <t>99000-041315</t>
        </is>
      </c>
      <c r="C36" s="22" t="inlineStr">
        <is>
          <t>TAXE/INTERETS DBT AU 30/09/25</t>
        </is>
      </c>
      <c r="D36" s="25" t="n">
        <v>28436.41</v>
      </c>
      <c r="E36" s="25" t="n"/>
      <c r="F36" s="25" t="n">
        <v>9154690.220000001</v>
      </c>
      <c r="G36" s="12" t="inlineStr">
        <is>
          <t>2025-10</t>
        </is>
      </c>
      <c r="H36" s="12" t="inlineStr">
        <is>
          <t>Agios, commissions et frais</t>
        </is>
      </c>
      <c r="I36" s="12" t="inlineStr">
        <is>
          <t>Pointé journal 2025</t>
        </is>
      </c>
      <c r="J36" s="12" t="inlineStr"/>
      <c r="K36" s="12" t="inlineStr"/>
      <c r="L36" s="12" t="inlineStr"/>
    </row>
    <row r="37">
      <c r="A37" s="22" t="inlineStr">
        <is>
          <t>16/10/2025</t>
        </is>
      </c>
      <c r="B37" s="22" t="inlineStr">
        <is>
          <t>99000-041315</t>
        </is>
      </c>
      <c r="C37" s="22" t="inlineStr">
        <is>
          <t>TAXE FRAIS FIXE AU 30/09/25</t>
        </is>
      </c>
      <c r="D37" s="25" t="n">
        <v>71.25</v>
      </c>
      <c r="E37" s="25" t="n"/>
      <c r="F37" s="25" t="n">
        <v>9154618.970000001</v>
      </c>
      <c r="G37" s="12" t="inlineStr">
        <is>
          <t>2025-10</t>
        </is>
      </c>
      <c r="H37" s="12" t="inlineStr">
        <is>
          <t>Agios, commissions et frais</t>
        </is>
      </c>
      <c r="I37" s="12" t="inlineStr">
        <is>
          <t>Pointé journal 2025</t>
        </is>
      </c>
      <c r="J37" s="12" t="inlineStr"/>
      <c r="K37" s="12" t="inlineStr"/>
      <c r="L37" s="12" t="inlineStr"/>
    </row>
    <row r="38">
      <c r="A38" s="22" t="inlineStr">
        <is>
          <t>19/10/2025</t>
        </is>
      </c>
      <c r="B38" s="22" t="inlineStr">
        <is>
          <t>99000-064642</t>
        </is>
      </c>
      <c r="C38" s="22" t="inlineStr">
        <is>
          <t>SORT CHQ NUM  6699458</t>
        </is>
      </c>
      <c r="D38" s="25" t="n"/>
      <c r="E38" s="25" t="n">
        <v>1731450</v>
      </c>
      <c r="F38" s="25" t="n">
        <v>10886068.97</v>
      </c>
      <c r="G38" s="12" t="inlineStr">
        <is>
          <t>2025-10</t>
        </is>
      </c>
      <c r="H38" s="12" t="inlineStr">
        <is>
          <t>Encaissements clients</t>
        </is>
      </c>
      <c r="I38" s="12" t="inlineStr">
        <is>
          <t>Pointé journal 2025</t>
        </is>
      </c>
      <c r="J38" s="12" t="inlineStr"/>
      <c r="K38" s="12" t="inlineStr"/>
      <c r="L38" s="12" t="inlineStr"/>
    </row>
    <row r="39">
      <c r="A39" s="22" t="inlineStr">
        <is>
          <t>19/10/2025</t>
        </is>
      </c>
      <c r="B39" s="22" t="inlineStr">
        <is>
          <t>99000-064642</t>
        </is>
      </c>
      <c r="C39" s="22" t="inlineStr">
        <is>
          <t>FRAIS REMISE CHQ N  6699458</t>
        </is>
      </c>
      <c r="D39" s="25" t="n">
        <v>238</v>
      </c>
      <c r="E39" s="25" t="n"/>
      <c r="F39" s="25" t="n">
        <v>10885830.97</v>
      </c>
      <c r="G39" s="12" t="inlineStr">
        <is>
          <t>2025-10</t>
        </is>
      </c>
      <c r="H39" s="12" t="inlineStr">
        <is>
          <t>Agios, commissions et frais</t>
        </is>
      </c>
      <c r="I39" s="12" t="inlineStr">
        <is>
          <t>Pointé journal 2025</t>
        </is>
      </c>
      <c r="J39" s="12" t="inlineStr"/>
      <c r="K39" s="12" t="inlineStr"/>
      <c r="L39" s="12" t="inlineStr"/>
    </row>
    <row r="40">
      <c r="A40" s="22" t="inlineStr">
        <is>
          <t>20/10/2025</t>
        </is>
      </c>
      <c r="B40" s="22" t="inlineStr">
        <is>
          <t>00370-000964</t>
        </is>
      </c>
      <c r="C40" s="22" t="inlineStr">
        <is>
          <t>COM.VRT EDI BQUE</t>
        </is>
      </c>
      <c r="D40" s="25" t="n">
        <v>35.7</v>
      </c>
      <c r="E40" s="25" t="n"/>
      <c r="F40" s="25" t="n">
        <v>10885795.27</v>
      </c>
      <c r="G40" s="12" t="inlineStr">
        <is>
          <t>2025-10</t>
        </is>
      </c>
      <c r="H40" s="12" t="inlineStr">
        <is>
          <t>Agios, commissions et frais</t>
        </is>
      </c>
      <c r="I40" s="12" t="inlineStr">
        <is>
          <t>Pointé journal 2025</t>
        </is>
      </c>
      <c r="J40" s="12" t="inlineStr"/>
      <c r="K40" s="12" t="inlineStr"/>
      <c r="L40" s="12" t="inlineStr"/>
    </row>
    <row r="41">
      <c r="A41" s="22" t="inlineStr">
        <is>
          <t>20/10/2025</t>
        </is>
      </c>
      <c r="B41" s="22" t="inlineStr">
        <is>
          <t>00370-000964</t>
        </is>
      </c>
      <c r="C41" s="22" t="inlineStr">
        <is>
          <t>VRT EDI SIMPLE AUTRE</t>
        </is>
      </c>
      <c r="D41" s="25" t="n">
        <v>650000</v>
      </c>
      <c r="E41" s="25" t="n"/>
      <c r="F41" s="25" t="n">
        <v>10235795.27</v>
      </c>
      <c r="G41" s="12" t="inlineStr">
        <is>
          <t>2025-10</t>
        </is>
      </c>
      <c r="H41" s="12" t="inlineStr">
        <is>
          <t>Fournisseurs, salaires et divers</t>
        </is>
      </c>
      <c r="I41" s="12" t="inlineStr">
        <is>
          <t>Pointé journal 2025</t>
        </is>
      </c>
      <c r="J41" s="12" t="inlineStr"/>
      <c r="K41" s="12" t="inlineStr"/>
      <c r="L41" s="12" t="inlineStr"/>
    </row>
    <row r="42">
      <c r="A42" s="22" t="inlineStr">
        <is>
          <t>22/10/2025</t>
        </is>
      </c>
      <c r="B42" s="22" t="inlineStr">
        <is>
          <t>99000-064661</t>
        </is>
      </c>
      <c r="C42" s="22" t="inlineStr">
        <is>
          <t>SORT CHQ NUM  7422911</t>
        </is>
      </c>
      <c r="D42" s="25" t="n"/>
      <c r="E42" s="25" t="n">
        <v>3144575</v>
      </c>
      <c r="F42" s="25" t="n">
        <v>13380370.27</v>
      </c>
      <c r="G42" s="12" t="inlineStr">
        <is>
          <t>2025-10</t>
        </is>
      </c>
      <c r="H42" s="12" t="inlineStr">
        <is>
          <t>Encaissements clients</t>
        </is>
      </c>
      <c r="I42" s="12" t="inlineStr">
        <is>
          <t>Pointé journal 2025</t>
        </is>
      </c>
      <c r="J42" s="12" t="inlineStr"/>
      <c r="K42" s="12" t="inlineStr"/>
      <c r="L42" s="12" t="inlineStr"/>
    </row>
    <row r="43">
      <c r="A43" s="22" t="inlineStr">
        <is>
          <t>22/10/2025</t>
        </is>
      </c>
      <c r="B43" s="22" t="inlineStr">
        <is>
          <t>99000-064664</t>
        </is>
      </c>
      <c r="C43" s="22" t="inlineStr">
        <is>
          <t>SORT CHQ NUM  7107659</t>
        </is>
      </c>
      <c r="D43" s="25" t="n"/>
      <c r="E43" s="25" t="n">
        <v>350000</v>
      </c>
      <c r="F43" s="25" t="n">
        <v>13730370.27</v>
      </c>
      <c r="G43" s="12" t="inlineStr">
        <is>
          <t>2025-10</t>
        </is>
      </c>
      <c r="H43" s="12" t="inlineStr">
        <is>
          <t>Encaissements clients</t>
        </is>
      </c>
      <c r="I43" s="12" t="inlineStr">
        <is>
          <t>Pointé journal 2025</t>
        </is>
      </c>
      <c r="J43" s="12" t="inlineStr"/>
      <c r="K43" s="12" t="inlineStr"/>
      <c r="L43" s="12" t="inlineStr"/>
    </row>
    <row r="44">
      <c r="A44" s="22" t="inlineStr">
        <is>
          <t>22/10/2025</t>
        </is>
      </c>
      <c r="B44" s="22" t="inlineStr">
        <is>
          <t>99000-064662</t>
        </is>
      </c>
      <c r="C44" s="22" t="inlineStr">
        <is>
          <t>SORT CHQ NUM  7422936</t>
        </is>
      </c>
      <c r="D44" s="25" t="n"/>
      <c r="E44" s="25" t="n">
        <v>424116</v>
      </c>
      <c r="F44" s="25" t="n">
        <v>14154486.27</v>
      </c>
      <c r="G44" s="12" t="inlineStr">
        <is>
          <t>2025-10</t>
        </is>
      </c>
      <c r="H44" s="12" t="inlineStr">
        <is>
          <t>Encaissements clients</t>
        </is>
      </c>
      <c r="I44" s="12" t="inlineStr">
        <is>
          <t>Pointé journal 2025</t>
        </is>
      </c>
      <c r="J44" s="12" t="inlineStr"/>
      <c r="K44" s="12" t="inlineStr"/>
      <c r="L44" s="12" t="inlineStr"/>
    </row>
    <row r="45">
      <c r="A45" s="22" t="inlineStr">
        <is>
          <t>22/10/2025</t>
        </is>
      </c>
      <c r="B45" s="22" t="inlineStr">
        <is>
          <t>99000-064661</t>
        </is>
      </c>
      <c r="C45" s="22" t="inlineStr">
        <is>
          <t>FRAIS REMISE CHQ N  7422911</t>
        </is>
      </c>
      <c r="D45" s="25" t="n">
        <v>119</v>
      </c>
      <c r="E45" s="25" t="n"/>
      <c r="F45" s="25" t="n">
        <v>14154367.27</v>
      </c>
      <c r="G45" s="12" t="inlineStr">
        <is>
          <t>2025-10</t>
        </is>
      </c>
      <c r="H45" s="12" t="inlineStr">
        <is>
          <t>Agios, commissions et frais</t>
        </is>
      </c>
      <c r="I45" s="12" t="inlineStr">
        <is>
          <t>Pointé journal 2025</t>
        </is>
      </c>
      <c r="J45" s="12" t="inlineStr"/>
      <c r="K45" s="12" t="inlineStr"/>
      <c r="L45" s="12" t="inlineStr"/>
    </row>
    <row r="46">
      <c r="A46" s="22" t="inlineStr">
        <is>
          <t>22/10/2025</t>
        </is>
      </c>
      <c r="B46" s="22" t="inlineStr">
        <is>
          <t>99000-064664</t>
        </is>
      </c>
      <c r="C46" s="22" t="inlineStr">
        <is>
          <t>FRAIS REMISE CHQ N  7107659</t>
        </is>
      </c>
      <c r="D46" s="25" t="n">
        <v>119</v>
      </c>
      <c r="E46" s="25" t="n"/>
      <c r="F46" s="25" t="n">
        <v>14154248.27</v>
      </c>
      <c r="G46" s="12" t="inlineStr">
        <is>
          <t>2025-10</t>
        </is>
      </c>
      <c r="H46" s="12" t="inlineStr">
        <is>
          <t>Agios, commissions et frais</t>
        </is>
      </c>
      <c r="I46" s="12" t="inlineStr">
        <is>
          <t>Pointé journal 2025</t>
        </is>
      </c>
      <c r="J46" s="12" t="inlineStr"/>
      <c r="K46" s="12" t="inlineStr"/>
      <c r="L46" s="12" t="inlineStr"/>
    </row>
    <row r="47">
      <c r="A47" s="22" t="inlineStr">
        <is>
          <t>22/10/2025</t>
        </is>
      </c>
      <c r="B47" s="22" t="inlineStr">
        <is>
          <t>99000-064662</t>
        </is>
      </c>
      <c r="C47" s="22" t="inlineStr">
        <is>
          <t>FRAIS REMISE CHQ N  7422936</t>
        </is>
      </c>
      <c r="D47" s="25" t="n">
        <v>119</v>
      </c>
      <c r="E47" s="25" t="n"/>
      <c r="F47" s="25" t="n">
        <v>14154129.27</v>
      </c>
      <c r="G47" s="12" t="inlineStr">
        <is>
          <t>2025-10</t>
        </is>
      </c>
      <c r="H47" s="12" t="inlineStr">
        <is>
          <t>Agios, commissions et frais</t>
        </is>
      </c>
      <c r="I47" s="12" t="inlineStr">
        <is>
          <t>Pointé journal 2025</t>
        </is>
      </c>
      <c r="J47" s="12" t="inlineStr"/>
      <c r="K47" s="12" t="inlineStr"/>
      <c r="L47" s="12" t="inlineStr"/>
    </row>
    <row r="48">
      <c r="A48" s="22" t="inlineStr">
        <is>
          <t>22/10/2025</t>
        </is>
      </c>
      <c r="B48" s="22" t="inlineStr">
        <is>
          <t>99000-005215</t>
        </is>
      </c>
      <c r="C48" s="22" t="inlineStr">
        <is>
          <t>PERCEPTION DES COMMISSIONS</t>
        </is>
      </c>
      <c r="D48" s="25" t="n">
        <v>60.82</v>
      </c>
      <c r="E48" s="25" t="n"/>
      <c r="F48" s="25" t="n">
        <v>14154068.45</v>
      </c>
      <c r="G48" s="12" t="inlineStr">
        <is>
          <t>2025-10</t>
        </is>
      </c>
      <c r="H48" s="12" t="inlineStr">
        <is>
          <t>Agios, commissions et frais</t>
        </is>
      </c>
      <c r="I48" s="12" t="inlineStr">
        <is>
          <t>Pointé journal 2025</t>
        </is>
      </c>
      <c r="J48" s="12" t="inlineStr"/>
      <c r="K48" s="12" t="inlineStr"/>
      <c r="L48" s="12" t="inlineStr"/>
    </row>
    <row r="49">
      <c r="A49" s="22" t="inlineStr">
        <is>
          <t>22/10/2025</t>
        </is>
      </c>
      <c r="B49" s="22" t="inlineStr">
        <is>
          <t>00370-000307</t>
        </is>
      </c>
      <c r="C49" s="22" t="inlineStr">
        <is>
          <t>OPERATION PROV 20% PTI57381 US</t>
        </is>
      </c>
      <c r="D49" s="25" t="n">
        <v>1950000</v>
      </c>
      <c r="E49" s="25" t="n"/>
      <c r="F49" s="25" t="n">
        <v>12204068.45</v>
      </c>
      <c r="G49" s="12" t="inlineStr">
        <is>
          <t>2025-10</t>
        </is>
      </c>
      <c r="H49" s="12" t="inlineStr">
        <is>
          <t>Importations (règlements, provisions, crédoc)</t>
        </is>
      </c>
      <c r="I49" s="12" t="inlineStr">
        <is>
          <t>Pointé journal 2025</t>
        </is>
      </c>
      <c r="J49" s="12" t="inlineStr"/>
      <c r="K49" s="12" t="inlineStr"/>
      <c r="L49" s="12" t="inlineStr"/>
    </row>
    <row r="50">
      <c r="A50" s="22" t="inlineStr">
        <is>
          <t>23/10/2025</t>
        </is>
      </c>
      <c r="B50" s="22" t="inlineStr">
        <is>
          <t>99000-064679</t>
        </is>
      </c>
      <c r="C50" s="22" t="inlineStr">
        <is>
          <t>SORT CHQ NUM  3199826</t>
        </is>
      </c>
      <c r="D50" s="25" t="n"/>
      <c r="E50" s="25" t="n">
        <v>599000</v>
      </c>
      <c r="F50" s="25" t="n">
        <v>12803068.45</v>
      </c>
      <c r="G50" s="12" t="inlineStr">
        <is>
          <t>2025-10</t>
        </is>
      </c>
      <c r="H50" s="12" t="inlineStr">
        <is>
          <t>Encaissements clients</t>
        </is>
      </c>
      <c r="I50" s="12" t="inlineStr">
        <is>
          <t>Pointé journal 2025</t>
        </is>
      </c>
      <c r="J50" s="12" t="inlineStr"/>
      <c r="K50" s="12" t="inlineStr"/>
      <c r="L50" s="12" t="inlineStr"/>
    </row>
    <row r="51">
      <c r="A51" s="22" t="inlineStr">
        <is>
          <t>23/10/2025</t>
        </is>
      </c>
      <c r="B51" s="22" t="inlineStr">
        <is>
          <t>99000-064675</t>
        </is>
      </c>
      <c r="C51" s="22" t="inlineStr">
        <is>
          <t>SORT CHQ NUM  4934142</t>
        </is>
      </c>
      <c r="D51" s="25" t="n"/>
      <c r="E51" s="25" t="n">
        <v>104000</v>
      </c>
      <c r="F51" s="25" t="n">
        <v>12907068.45</v>
      </c>
      <c r="G51" s="12" t="inlineStr">
        <is>
          <t>2025-10</t>
        </is>
      </c>
      <c r="H51" s="12" t="inlineStr">
        <is>
          <t>Encaissements clients</t>
        </is>
      </c>
      <c r="I51" s="12" t="inlineStr">
        <is>
          <t>Pointé journal 2025</t>
        </is>
      </c>
      <c r="J51" s="12" t="inlineStr"/>
      <c r="K51" s="12" t="inlineStr"/>
      <c r="L51" s="12" t="inlineStr"/>
    </row>
    <row r="52">
      <c r="A52" s="22" t="inlineStr">
        <is>
          <t>23/10/2025</t>
        </is>
      </c>
      <c r="B52" s="22" t="inlineStr">
        <is>
          <t>99000-064679</t>
        </is>
      </c>
      <c r="C52" s="22" t="inlineStr">
        <is>
          <t>FRAIS REMISE CHQ N  3199826</t>
        </is>
      </c>
      <c r="D52" s="25" t="n">
        <v>238</v>
      </c>
      <c r="E52" s="25" t="n"/>
      <c r="F52" s="25" t="n">
        <v>12906830.45</v>
      </c>
      <c r="G52" s="12" t="inlineStr">
        <is>
          <t>2025-10</t>
        </is>
      </c>
      <c r="H52" s="12" t="inlineStr">
        <is>
          <t>Agios, commissions et frais</t>
        </is>
      </c>
      <c r="I52" s="12" t="inlineStr">
        <is>
          <t>Pointé journal 2025</t>
        </is>
      </c>
      <c r="J52" s="12" t="inlineStr"/>
      <c r="K52" s="12" t="inlineStr"/>
      <c r="L52" s="12" t="inlineStr"/>
    </row>
    <row r="53">
      <c r="A53" s="22" t="inlineStr">
        <is>
          <t>23/10/2025</t>
        </is>
      </c>
      <c r="B53" s="22" t="inlineStr">
        <is>
          <t>99000-064675</t>
        </is>
      </c>
      <c r="C53" s="22" t="inlineStr">
        <is>
          <t>FRAIS REMISE CHQ N  4934142</t>
        </is>
      </c>
      <c r="D53" s="25" t="n">
        <v>123.76</v>
      </c>
      <c r="E53" s="25" t="n"/>
      <c r="F53" s="25" t="n">
        <v>12906706.69</v>
      </c>
      <c r="G53" s="12" t="inlineStr">
        <is>
          <t>2025-10</t>
        </is>
      </c>
      <c r="H53" s="12" t="inlineStr">
        <is>
          <t>Agios, commissions et frais</t>
        </is>
      </c>
      <c r="I53" s="12" t="inlineStr">
        <is>
          <t>Pointé journal 2025</t>
        </is>
      </c>
      <c r="J53" s="12" t="inlineStr"/>
      <c r="K53" s="12" t="inlineStr"/>
      <c r="L53" s="12" t="inlineStr"/>
    </row>
    <row r="54">
      <c r="A54" s="22" t="inlineStr">
        <is>
          <t>26/10/2025</t>
        </is>
      </c>
      <c r="B54" s="22" t="inlineStr">
        <is>
          <t>00370-082397</t>
        </is>
      </c>
      <c r="C54" s="22" t="inlineStr">
        <is>
          <t>VRT. RECU LA FLECHE BLEUE ALGE</t>
        </is>
      </c>
      <c r="D54" s="25" t="n"/>
      <c r="E54" s="25" t="n">
        <v>520030</v>
      </c>
      <c r="F54" s="25" t="n">
        <v>13426736.69</v>
      </c>
      <c r="G54" s="12" t="inlineStr">
        <is>
          <t>2025-10</t>
        </is>
      </c>
      <c r="H54" s="12" t="inlineStr">
        <is>
          <t>Encaissements clients</t>
        </is>
      </c>
      <c r="I54" s="12" t="inlineStr">
        <is>
          <t>Pointé journal 2025</t>
        </is>
      </c>
      <c r="J54" s="12" t="inlineStr"/>
      <c r="K54" s="12" t="inlineStr"/>
      <c r="L54" s="12" t="inlineStr"/>
    </row>
    <row r="55">
      <c r="A55" s="22" t="inlineStr">
        <is>
          <t>26/10/2025</t>
        </is>
      </c>
      <c r="B55" s="22" t="inlineStr">
        <is>
          <t>99000-064690</t>
        </is>
      </c>
      <c r="C55" s="22" t="inlineStr">
        <is>
          <t>SORT CHQ NUM  2557586</t>
        </is>
      </c>
      <c r="D55" s="25" t="n"/>
      <c r="E55" s="25" t="n">
        <v>433800</v>
      </c>
      <c r="F55" s="25" t="n">
        <v>13860536.69</v>
      </c>
      <c r="G55" s="12" t="inlineStr">
        <is>
          <t>2025-10</t>
        </is>
      </c>
      <c r="H55" s="12" t="inlineStr">
        <is>
          <t>Encaissements clients</t>
        </is>
      </c>
      <c r="I55" s="12" t="inlineStr">
        <is>
          <t>Pointé journal 2025</t>
        </is>
      </c>
      <c r="J55" s="12" t="inlineStr"/>
      <c r="K55" s="12" t="inlineStr"/>
      <c r="L55" s="12" t="inlineStr"/>
    </row>
    <row r="56">
      <c r="A56" s="22" t="inlineStr">
        <is>
          <t>26/10/2025</t>
        </is>
      </c>
      <c r="B56" s="22" t="inlineStr">
        <is>
          <t>99000-064690</t>
        </is>
      </c>
      <c r="C56" s="22" t="inlineStr">
        <is>
          <t>FRAIS REMISE CHQ N  2557586</t>
        </is>
      </c>
      <c r="D56" s="25" t="n">
        <v>238</v>
      </c>
      <c r="E56" s="25" t="n"/>
      <c r="F56" s="25" t="n">
        <v>13860298.69</v>
      </c>
      <c r="G56" s="12" t="inlineStr">
        <is>
          <t>2025-10</t>
        </is>
      </c>
      <c r="H56" s="12" t="inlineStr">
        <is>
          <t>Agios, commissions et frais</t>
        </is>
      </c>
      <c r="I56" s="12" t="inlineStr">
        <is>
          <t>Pointé journal 2025</t>
        </is>
      </c>
      <c r="J56" s="12" t="inlineStr"/>
      <c r="K56" s="12" t="inlineStr"/>
      <c r="L56" s="12" t="inlineStr"/>
    </row>
    <row r="57">
      <c r="A57" s="22" t="inlineStr">
        <is>
          <t>27/10/2025</t>
        </is>
      </c>
      <c r="B57" s="22" t="inlineStr">
        <is>
          <t>00370-117077</t>
        </is>
      </c>
      <c r="C57" s="22" t="inlineStr">
        <is>
          <t>PAIEMENT CHQ NUM  2125707</t>
        </is>
      </c>
      <c r="D57" s="25" t="n">
        <v>494647</v>
      </c>
      <c r="E57" s="25" t="n"/>
      <c r="F57" s="25" t="n">
        <v>13365651.69</v>
      </c>
      <c r="G57" s="12" t="inlineStr">
        <is>
          <t>2025-10</t>
        </is>
      </c>
      <c r="H57" s="12" t="inlineStr">
        <is>
          <t>Fournisseurs, salaires et divers</t>
        </is>
      </c>
      <c r="I57" s="12" t="inlineStr">
        <is>
          <t>Pointé journal 2025</t>
        </is>
      </c>
      <c r="J57" s="12" t="inlineStr"/>
      <c r="K57" s="12" t="inlineStr"/>
      <c r="L57" s="12" t="inlineStr"/>
    </row>
    <row r="58">
      <c r="A58" s="22" t="inlineStr">
        <is>
          <t>27/10/2025</t>
        </is>
      </c>
      <c r="B58" s="22" t="inlineStr">
        <is>
          <t>00370-117077</t>
        </is>
      </c>
      <c r="C58" s="22" t="inlineStr">
        <is>
          <t>PERCEP.COM SUR PAIEMENTS CHQ</t>
        </is>
      </c>
      <c r="D58" s="25" t="n">
        <v>59.5</v>
      </c>
      <c r="E58" s="25" t="n"/>
      <c r="F58" s="25" t="n">
        <v>13365592.19</v>
      </c>
      <c r="G58" s="12" t="inlineStr">
        <is>
          <t>2025-10</t>
        </is>
      </c>
      <c r="H58" s="12" t="inlineStr">
        <is>
          <t>Agios, commissions et frais</t>
        </is>
      </c>
      <c r="I58" s="12" t="inlineStr">
        <is>
          <t>Pointé journal 2025</t>
        </is>
      </c>
      <c r="J58" s="12" t="inlineStr"/>
      <c r="K58" s="12" t="inlineStr"/>
      <c r="L58" s="12" t="inlineStr"/>
    </row>
    <row r="59">
      <c r="A59" s="22" t="inlineStr">
        <is>
          <t>28/10/2025</t>
        </is>
      </c>
      <c r="B59" s="22" t="inlineStr">
        <is>
          <t>00370-082441</t>
        </is>
      </c>
      <c r="C59" s="22" t="inlineStr">
        <is>
          <t>VRT. RECU TRANS BAOUCHI</t>
        </is>
      </c>
      <c r="D59" s="25" t="n"/>
      <c r="E59" s="25" t="n">
        <v>551922</v>
      </c>
      <c r="F59" s="25" t="n">
        <v>13917514.19</v>
      </c>
      <c r="G59" s="12" t="inlineStr">
        <is>
          <t>2025-10</t>
        </is>
      </c>
      <c r="H59" s="12" t="inlineStr">
        <is>
          <t>Encaissements clients</t>
        </is>
      </c>
      <c r="I59" s="12" t="inlineStr">
        <is>
          <t>Pointé journal 2025</t>
        </is>
      </c>
      <c r="J59" s="12" t="inlineStr"/>
      <c r="K59" s="12" t="inlineStr"/>
      <c r="L59" s="12" t="inlineStr"/>
    </row>
    <row r="60">
      <c r="A60" s="22" t="inlineStr">
        <is>
          <t>28/10/2025</t>
        </is>
      </c>
      <c r="B60" s="22" t="inlineStr">
        <is>
          <t>99000-064705</t>
        </is>
      </c>
      <c r="C60" s="22" t="inlineStr">
        <is>
          <t>SORT CHQ NUM  1232101</t>
        </is>
      </c>
      <c r="D60" s="25" t="n"/>
      <c r="E60" s="25" t="n">
        <v>3137200</v>
      </c>
      <c r="F60" s="25" t="n">
        <v>17054714.19</v>
      </c>
      <c r="G60" s="12" t="inlineStr">
        <is>
          <t>2025-10</t>
        </is>
      </c>
      <c r="H60" s="12" t="inlineStr">
        <is>
          <t>Encaissements clients</t>
        </is>
      </c>
      <c r="I60" s="12" t="inlineStr">
        <is>
          <t>Pointé journal 2025</t>
        </is>
      </c>
      <c r="J60" s="12" t="inlineStr"/>
      <c r="K60" s="12" t="inlineStr"/>
      <c r="L60" s="12" t="inlineStr"/>
    </row>
    <row r="61">
      <c r="A61" s="22" t="inlineStr">
        <is>
          <t>28/10/2025</t>
        </is>
      </c>
      <c r="B61" s="22" t="inlineStr">
        <is>
          <t>99000-064705</t>
        </is>
      </c>
      <c r="C61" s="22" t="inlineStr">
        <is>
          <t>FRAIS REMISE CHQ N  1232101</t>
        </is>
      </c>
      <c r="D61" s="25" t="n">
        <v>238</v>
      </c>
      <c r="E61" s="25" t="n"/>
      <c r="F61" s="25" t="n">
        <v>17054476.19</v>
      </c>
      <c r="G61" s="12" t="inlineStr">
        <is>
          <t>2025-10</t>
        </is>
      </c>
      <c r="H61" s="12" t="inlineStr">
        <is>
          <t>Agios, commissions et frais</t>
        </is>
      </c>
      <c r="I61" s="12" t="inlineStr">
        <is>
          <t>Pointé journal 2025</t>
        </is>
      </c>
      <c r="J61" s="12" t="inlineStr"/>
      <c r="K61" s="12" t="inlineStr"/>
      <c r="L61" s="12" t="inlineStr"/>
    </row>
    <row r="62">
      <c r="A62" s="22" t="inlineStr">
        <is>
          <t>28/10/2025</t>
        </is>
      </c>
      <c r="B62" s="22" t="inlineStr">
        <is>
          <t>00370-014810</t>
        </is>
      </c>
      <c r="C62" s="22" t="inlineStr">
        <is>
          <t>CAUTION PROVISIONNEE A 100%</t>
        </is>
      </c>
      <c r="D62" s="25" t="n">
        <v>100000</v>
      </c>
      <c r="E62" s="25" t="n"/>
      <c r="F62" s="25" t="n">
        <v>16954476.19</v>
      </c>
      <c r="G62" s="12" t="inlineStr">
        <is>
          <t>2025-10</t>
        </is>
      </c>
      <c r="H62" s="12" t="inlineStr">
        <is>
          <t>Cautions et mains levées</t>
        </is>
      </c>
      <c r="I62" s="12" t="inlineStr">
        <is>
          <t>Pointé journal 2025</t>
        </is>
      </c>
      <c r="J62" s="12" t="inlineStr"/>
      <c r="K62" s="12" t="inlineStr"/>
      <c r="L62" s="12" t="inlineStr"/>
    </row>
    <row r="63">
      <c r="A63" s="22" t="inlineStr">
        <is>
          <t>28/10/2025</t>
        </is>
      </c>
      <c r="B63" s="22" t="inlineStr">
        <is>
          <t>00370-014812</t>
        </is>
      </c>
      <c r="C63" s="22" t="inlineStr">
        <is>
          <t>CAUTION PROVISIONNEE A 100%</t>
        </is>
      </c>
      <c r="D63" s="25" t="n">
        <v>100000</v>
      </c>
      <c r="E63" s="25" t="n"/>
      <c r="F63" s="25" t="n">
        <v>16854476.19</v>
      </c>
      <c r="G63" s="12" t="inlineStr">
        <is>
          <t>2025-10</t>
        </is>
      </c>
      <c r="H63" s="12" t="inlineStr">
        <is>
          <t>Cautions et mains levées</t>
        </is>
      </c>
      <c r="I63" s="12" t="inlineStr">
        <is>
          <t>Pointé journal 2025</t>
        </is>
      </c>
      <c r="J63" s="12" t="inlineStr"/>
      <c r="K63" s="12" t="inlineStr"/>
      <c r="L63" s="12" t="inlineStr"/>
    </row>
    <row r="64">
      <c r="A64" s="22" t="inlineStr">
        <is>
          <t>28/10/2025</t>
        </is>
      </c>
      <c r="B64" s="22" t="inlineStr">
        <is>
          <t>00370-014811</t>
        </is>
      </c>
      <c r="C64" s="22" t="inlineStr">
        <is>
          <t>CAUTION PROVISIONNEE A 100%</t>
        </is>
      </c>
      <c r="D64" s="25" t="n">
        <v>100000</v>
      </c>
      <c r="E64" s="25" t="n"/>
      <c r="F64" s="25" t="n">
        <v>16754476.19</v>
      </c>
      <c r="G64" s="12" t="inlineStr">
        <is>
          <t>2025-10</t>
        </is>
      </c>
      <c r="H64" s="12" t="inlineStr">
        <is>
          <t>Cautions et mains levées</t>
        </is>
      </c>
      <c r="I64" s="12" t="inlineStr">
        <is>
          <t>Pointé journal 2025</t>
        </is>
      </c>
      <c r="J64" s="12" t="inlineStr"/>
      <c r="K64" s="12" t="inlineStr"/>
      <c r="L64" s="12" t="inlineStr"/>
    </row>
    <row r="65">
      <c r="A65" s="22" t="inlineStr">
        <is>
          <t>28/10/2025</t>
        </is>
      </c>
      <c r="B65" s="22" t="inlineStr">
        <is>
          <t>99000-005218</t>
        </is>
      </c>
      <c r="C65" s="22" t="inlineStr">
        <is>
          <t>PERCEPTION DES COMMISSIONS</t>
        </is>
      </c>
      <c r="D65" s="25" t="n">
        <v>307.41</v>
      </c>
      <c r="E65" s="25" t="n"/>
      <c r="F65" s="25" t="n">
        <v>16754168.78</v>
      </c>
      <c r="G65" s="12" t="inlineStr">
        <is>
          <t>2025-10</t>
        </is>
      </c>
      <c r="H65" s="12" t="inlineStr">
        <is>
          <t>Agios, commissions et frais</t>
        </is>
      </c>
      <c r="I65" s="12" t="inlineStr">
        <is>
          <t>Pointé journal 2025</t>
        </is>
      </c>
      <c r="J65" s="12" t="inlineStr"/>
      <c r="K65" s="12" t="inlineStr"/>
      <c r="L65" s="12" t="inlineStr"/>
    </row>
    <row r="66">
      <c r="A66" s="22" t="inlineStr">
        <is>
          <t>28/10/2025</t>
        </is>
      </c>
      <c r="B66" s="22" t="inlineStr">
        <is>
          <t>99000-005220</t>
        </is>
      </c>
      <c r="C66" s="22" t="inlineStr">
        <is>
          <t>PERCEPTION DES COMMISSIONS</t>
        </is>
      </c>
      <c r="D66" s="25" t="n">
        <v>307.41</v>
      </c>
      <c r="E66" s="25" t="n"/>
      <c r="F66" s="25" t="n">
        <v>16753861.37</v>
      </c>
      <c r="G66" s="12" t="inlineStr">
        <is>
          <t>2025-10</t>
        </is>
      </c>
      <c r="H66" s="12" t="inlineStr">
        <is>
          <t>Agios, commissions et frais</t>
        </is>
      </c>
      <c r="I66" s="12" t="inlineStr">
        <is>
          <t>Pointé journal 2025</t>
        </is>
      </c>
      <c r="J66" s="12" t="inlineStr"/>
      <c r="K66" s="12" t="inlineStr"/>
      <c r="L66" s="12" t="inlineStr"/>
    </row>
    <row r="67">
      <c r="A67" s="22" t="inlineStr">
        <is>
          <t>28/10/2025</t>
        </is>
      </c>
      <c r="B67" s="22" t="inlineStr">
        <is>
          <t>99000-005219</t>
        </is>
      </c>
      <c r="C67" s="22" t="inlineStr">
        <is>
          <t>PERCEPTION DES COMMISSIONS</t>
        </is>
      </c>
      <c r="D67" s="25" t="n">
        <v>307.41</v>
      </c>
      <c r="E67" s="25" t="n"/>
      <c r="F67" s="25" t="n">
        <v>16753553.96</v>
      </c>
      <c r="G67" s="12" t="inlineStr">
        <is>
          <t>2025-10</t>
        </is>
      </c>
      <c r="H67" s="12" t="inlineStr">
        <is>
          <t>Agios, commissions et frais</t>
        </is>
      </c>
      <c r="I67" s="12" t="inlineStr">
        <is>
          <t>Pointé journal 2025</t>
        </is>
      </c>
      <c r="J67" s="12" t="inlineStr"/>
      <c r="K67" s="12" t="inlineStr"/>
      <c r="L67" s="12" t="inlineStr"/>
    </row>
    <row r="68">
      <c r="A68" s="22" t="inlineStr">
        <is>
          <t>29/10/2025</t>
        </is>
      </c>
      <c r="B68" s="22" t="inlineStr">
        <is>
          <t>99000-000151</t>
        </is>
      </c>
      <c r="C68" s="22" t="inlineStr">
        <is>
          <t>REG A US R00370 PTI00057381</t>
        </is>
      </c>
      <c r="D68" s="25" t="n">
        <v>3000</v>
      </c>
      <c r="E68" s="25" t="n"/>
      <c r="F68" s="25" t="n">
        <v>16750553.96</v>
      </c>
      <c r="G68" s="12" t="inlineStr">
        <is>
          <t>2025-10</t>
        </is>
      </c>
      <c r="H68" s="12" t="inlineStr">
        <is>
          <t>Importations (règlements, provisions, crédoc)</t>
        </is>
      </c>
      <c r="I68" s="12" t="inlineStr">
        <is>
          <t>Pointé journal 2025</t>
        </is>
      </c>
      <c r="J68" s="12" t="inlineStr"/>
      <c r="K68" s="12" t="inlineStr"/>
      <c r="L68" s="12" t="inlineStr"/>
    </row>
    <row r="69">
      <c r="A69" s="22" t="inlineStr">
        <is>
          <t>30/10/2025</t>
        </is>
      </c>
      <c r="B69" s="22" t="inlineStr">
        <is>
          <t>00370-025048</t>
        </is>
      </c>
      <c r="C69" s="22" t="inlineStr">
        <is>
          <t>EXTRAIT DE COMPTE</t>
        </is>
      </c>
      <c r="D69" s="25" t="n">
        <v>428.4</v>
      </c>
      <c r="E69" s="25" t="n"/>
      <c r="F69" s="25" t="n">
        <v>16750125.56</v>
      </c>
      <c r="G69" s="12" t="inlineStr">
        <is>
          <t>2025-10</t>
        </is>
      </c>
      <c r="H69" s="12" t="inlineStr">
        <is>
          <t>Agios, commissions et frais</t>
        </is>
      </c>
      <c r="I69" s="12" t="inlineStr">
        <is>
          <t>Pointé journal 2025</t>
        </is>
      </c>
      <c r="J69" s="12" t="inlineStr"/>
      <c r="K69" s="12" t="inlineStr"/>
      <c r="L69" s="12" t="inlineStr"/>
    </row>
    <row r="70">
      <c r="A70" s="22" t="inlineStr">
        <is>
          <t>30/10/2025</t>
        </is>
      </c>
      <c r="B70" s="22" t="inlineStr">
        <is>
          <t>99000-064716</t>
        </is>
      </c>
      <c r="C70" s="22" t="inlineStr">
        <is>
          <t>SORT CHQ NUM  4114116</t>
        </is>
      </c>
      <c r="D70" s="25" t="n"/>
      <c r="E70" s="25" t="n">
        <v>42840</v>
      </c>
      <c r="F70" s="25" t="n">
        <v>16792965.56</v>
      </c>
      <c r="G70" s="12" t="inlineStr">
        <is>
          <t>2025-10</t>
        </is>
      </c>
      <c r="H70" s="12" t="inlineStr">
        <is>
          <t>Encaissements clients</t>
        </is>
      </c>
      <c r="I70" s="12" t="inlineStr">
        <is>
          <t>Pointé journal 2025</t>
        </is>
      </c>
      <c r="J70" s="12" t="inlineStr"/>
      <c r="K70" s="12" t="inlineStr"/>
      <c r="L70" s="12" t="inlineStr"/>
    </row>
    <row r="71">
      <c r="A71" s="22" t="inlineStr">
        <is>
          <t>30/10/2025</t>
        </is>
      </c>
      <c r="B71" s="22" t="inlineStr">
        <is>
          <t>99000-064716</t>
        </is>
      </c>
      <c r="C71" s="22" t="inlineStr">
        <is>
          <t>FRAIS REMISE CHQ N  4114116</t>
        </is>
      </c>
      <c r="D71" s="25" t="n">
        <v>119</v>
      </c>
      <c r="E71" s="25" t="n"/>
      <c r="F71" s="25" t="n">
        <v>16792846.56</v>
      </c>
      <c r="G71" s="12" t="inlineStr">
        <is>
          <t>2025-10</t>
        </is>
      </c>
      <c r="H71" s="12" t="inlineStr">
        <is>
          <t>Agios, commissions et frais</t>
        </is>
      </c>
      <c r="I71" s="12" t="inlineStr">
        <is>
          <t>Pointé journal 2025</t>
        </is>
      </c>
      <c r="J71" s="12" t="inlineStr"/>
      <c r="K71" s="12" t="inlineStr"/>
      <c r="L71" s="12" t="inlineStr"/>
    </row>
    <row r="72">
      <c r="A72" s="22" t="inlineStr">
        <is>
          <t>30/10/2025</t>
        </is>
      </c>
      <c r="B72" s="22" t="inlineStr">
        <is>
          <t>-109854</t>
        </is>
      </c>
      <c r="C72" s="22" t="inlineStr">
        <is>
          <t>DEBLOCAGE A LA DEMAN     4071</t>
        </is>
      </c>
      <c r="D72" s="25" t="n"/>
      <c r="E72" s="25" t="n">
        <v>7199607</v>
      </c>
      <c r="F72" s="25" t="n">
        <v>23992453.56</v>
      </c>
      <c r="G72" s="12" t="inlineStr">
        <is>
          <t>2025-10</t>
        </is>
      </c>
      <c r="H72" s="12" t="inlineStr">
        <is>
          <t>Crédit bancaire débloqué</t>
        </is>
      </c>
      <c r="I72" s="12" t="inlineStr">
        <is>
          <t>Pointé journal 2025</t>
        </is>
      </c>
      <c r="J72" s="12" t="inlineStr"/>
      <c r="K72" s="12" t="inlineStr"/>
      <c r="L72" s="12" t="inlineStr"/>
    </row>
    <row r="73">
      <c r="A73" s="22" t="inlineStr">
        <is>
          <t>30/10/2025</t>
        </is>
      </c>
      <c r="B73" s="22" t="inlineStr">
        <is>
          <t>00370-000310</t>
        </is>
      </c>
      <c r="C73" s="22" t="inlineStr">
        <is>
          <t>OPERATION REST  GAIN DE CHANGE</t>
        </is>
      </c>
      <c r="D73" s="25" t="n"/>
      <c r="E73" s="25" t="n">
        <v>150098.24</v>
      </c>
      <c r="F73" s="25" t="n">
        <v>24142551.8</v>
      </c>
      <c r="G73" s="12" t="inlineStr">
        <is>
          <t>2025-10</t>
        </is>
      </c>
      <c r="H73" s="12" t="inlineStr">
        <is>
          <t>Fournisseurs, salaires et divers</t>
        </is>
      </c>
      <c r="I73" s="12" t="inlineStr">
        <is>
          <t>Pointé journal 2025</t>
        </is>
      </c>
      <c r="J73" s="12" t="inlineStr"/>
      <c r="K73" s="12" t="inlineStr"/>
      <c r="L73" s="12" t="inlineStr"/>
    </row>
    <row r="74">
      <c r="A74" s="22" t="inlineStr">
        <is>
          <t>30/10/2025</t>
        </is>
      </c>
      <c r="B74" s="22" t="inlineStr">
        <is>
          <t>00370-000309</t>
        </is>
      </c>
      <c r="C74" s="22" t="inlineStr">
        <is>
          <t>OPERATION REGLT 80% PTI57381 U</t>
        </is>
      </c>
      <c r="D74" s="25" t="n">
        <v>7199607</v>
      </c>
      <c r="E74" s="25" t="n"/>
      <c r="F74" s="25" t="n">
        <v>16942944.8</v>
      </c>
      <c r="G74" s="12" t="inlineStr">
        <is>
          <t>2025-10</t>
        </is>
      </c>
      <c r="H74" s="12" t="inlineStr">
        <is>
          <t>Importations (règlements, provisions, crédoc)</t>
        </is>
      </c>
      <c r="I74" s="12" t="inlineStr">
        <is>
          <t>Pointé journal 2025</t>
        </is>
      </c>
      <c r="J74" s="12" t="inlineStr"/>
      <c r="K74" s="12" t="inlineStr"/>
      <c r="L74" s="12" t="inlineStr"/>
    </row>
    <row r="75">
      <c r="A75" s="22" t="inlineStr">
        <is>
          <t>02/11/2025</t>
        </is>
      </c>
      <c r="B75" s="22" t="inlineStr">
        <is>
          <t>-29230</t>
        </is>
      </c>
      <c r="C75" s="22" t="inlineStr">
        <is>
          <t>APPEL ECHEANCE     4071</t>
        </is>
      </c>
      <c r="D75" s="25" t="n">
        <v>164211.04</v>
      </c>
      <c r="E75" s="25" t="n"/>
      <c r="F75" s="25" t="n">
        <v>16778733.76</v>
      </c>
      <c r="G75" s="12" t="inlineStr">
        <is>
          <t>2025-11</t>
        </is>
      </c>
      <c r="H75" s="12" t="inlineStr">
        <is>
          <t>Remboursement crédit / échéances</t>
        </is>
      </c>
      <c r="I75" s="12" t="inlineStr">
        <is>
          <t>Pointé journal 2025</t>
        </is>
      </c>
      <c r="J75" s="12" t="inlineStr"/>
      <c r="K75" s="12" t="inlineStr"/>
      <c r="L75" s="12" t="inlineStr"/>
    </row>
    <row r="76">
      <c r="A76" s="22" t="inlineStr">
        <is>
          <t>04/11/2025</t>
        </is>
      </c>
      <c r="B76" s="22" t="inlineStr">
        <is>
          <t>00370-117206</t>
        </is>
      </c>
      <c r="C76" s="22" t="inlineStr">
        <is>
          <t>PAIEMENT CHQ NUM  2125708</t>
        </is>
      </c>
      <c r="D76" s="25" t="n">
        <v>81247.55</v>
      </c>
      <c r="E76" s="25" t="n"/>
      <c r="F76" s="25" t="n">
        <v>16697486.21</v>
      </c>
      <c r="G76" s="12" t="inlineStr">
        <is>
          <t>2025-11</t>
        </is>
      </c>
      <c r="H76" s="12" t="inlineStr">
        <is>
          <t>Fournisseurs, salaires et divers</t>
        </is>
      </c>
      <c r="I76" s="12" t="inlineStr">
        <is>
          <t>Pointé journal 2025</t>
        </is>
      </c>
      <c r="J76" s="12" t="inlineStr"/>
      <c r="K76" s="12" t="inlineStr"/>
      <c r="L76" s="12" t="inlineStr"/>
    </row>
    <row r="77">
      <c r="A77" s="22" t="inlineStr">
        <is>
          <t>04/11/2025</t>
        </is>
      </c>
      <c r="B77" s="22" t="inlineStr">
        <is>
          <t>99000-005225</t>
        </is>
      </c>
      <c r="C77" s="22" t="inlineStr">
        <is>
          <t>PERCEPTION DES COMMISSIONS</t>
        </is>
      </c>
      <c r="D77" s="25" t="n">
        <v>4880.15</v>
      </c>
      <c r="E77" s="25" t="n"/>
      <c r="F77" s="25" t="n">
        <v>16692606.06</v>
      </c>
      <c r="G77" s="12" t="inlineStr">
        <is>
          <t>2025-11</t>
        </is>
      </c>
      <c r="H77" s="12" t="inlineStr">
        <is>
          <t>Agios, commissions et frais</t>
        </is>
      </c>
      <c r="I77" s="12" t="inlineStr">
        <is>
          <t>Pointé journal 2025</t>
        </is>
      </c>
      <c r="J77" s="12" t="inlineStr"/>
      <c r="K77" s="12" t="inlineStr"/>
      <c r="L77" s="12" t="inlineStr"/>
    </row>
    <row r="78">
      <c r="A78" s="22" t="inlineStr">
        <is>
          <t>04/11/2025</t>
        </is>
      </c>
      <c r="B78" s="22" t="inlineStr">
        <is>
          <t>99000-005226</t>
        </is>
      </c>
      <c r="C78" s="22" t="inlineStr">
        <is>
          <t>PERCEPTION DES COMMISSIONS</t>
        </is>
      </c>
      <c r="D78" s="25" t="n">
        <v>1247.08</v>
      </c>
      <c r="E78" s="25" t="n"/>
      <c r="F78" s="25" t="n">
        <v>16691358.98</v>
      </c>
      <c r="G78" s="12" t="inlineStr">
        <is>
          <t>2025-11</t>
        </is>
      </c>
      <c r="H78" s="12" t="inlineStr">
        <is>
          <t>Agios, commissions et frais</t>
        </is>
      </c>
      <c r="I78" s="12" t="inlineStr">
        <is>
          <t>Pointé journal 2025</t>
        </is>
      </c>
      <c r="J78" s="12" t="inlineStr"/>
      <c r="K78" s="12" t="inlineStr"/>
      <c r="L78" s="12" t="inlineStr"/>
    </row>
    <row r="79">
      <c r="A79" s="22" t="inlineStr">
        <is>
          <t>04/11/2025</t>
        </is>
      </c>
      <c r="B79" s="22" t="inlineStr">
        <is>
          <t>00370-117206</t>
        </is>
      </c>
      <c r="C79" s="22" t="inlineStr">
        <is>
          <t>PERCEP.COM SUR PAIEMENTS CHQ</t>
        </is>
      </c>
      <c r="D79" s="25" t="n">
        <v>59.5</v>
      </c>
      <c r="E79" s="25" t="n"/>
      <c r="F79" s="25" t="n">
        <v>16691299.48</v>
      </c>
      <c r="G79" s="12" t="inlineStr">
        <is>
          <t>2025-11</t>
        </is>
      </c>
      <c r="H79" s="12" t="inlineStr">
        <is>
          <t>Agios, commissions et frais</t>
        </is>
      </c>
      <c r="I79" s="12" t="inlineStr">
        <is>
          <t>Pointé journal 2025</t>
        </is>
      </c>
      <c r="J79" s="12" t="inlineStr"/>
      <c r="K79" s="12" t="inlineStr"/>
      <c r="L79" s="12" t="inlineStr"/>
    </row>
    <row r="80">
      <c r="A80" s="22" t="inlineStr">
        <is>
          <t>05/11/2025</t>
        </is>
      </c>
      <c r="B80" s="22" t="inlineStr">
        <is>
          <t>00370-117272</t>
        </is>
      </c>
      <c r="C80" s="22" t="inlineStr">
        <is>
          <t>PAIEMENT CHQ NUM  2125709</t>
        </is>
      </c>
      <c r="D80" s="25" t="n">
        <v>275773.6</v>
      </c>
      <c r="E80" s="25" t="n"/>
      <c r="F80" s="25" t="n">
        <v>16415525.88</v>
      </c>
      <c r="G80" s="12" t="inlineStr">
        <is>
          <t>2025-11</t>
        </is>
      </c>
      <c r="H80" s="12" t="inlineStr">
        <is>
          <t>Fournisseurs, salaires et divers</t>
        </is>
      </c>
      <c r="I80" s="12" t="inlineStr">
        <is>
          <t>Pointé journal 2025</t>
        </is>
      </c>
      <c r="J80" s="12" t="inlineStr"/>
      <c r="K80" s="12" t="inlineStr"/>
      <c r="L80" s="12" t="inlineStr"/>
    </row>
    <row r="81">
      <c r="A81" s="22" t="inlineStr">
        <is>
          <t>05/11/2025</t>
        </is>
      </c>
      <c r="B81" s="22" t="inlineStr">
        <is>
          <t>99000-064774</t>
        </is>
      </c>
      <c r="C81" s="22" t="inlineStr">
        <is>
          <t>SORT CHQ NUM  7449223</t>
        </is>
      </c>
      <c r="D81" s="25" t="n"/>
      <c r="E81" s="25" t="n">
        <v>97580</v>
      </c>
      <c r="F81" s="25" t="n">
        <v>16513105.88</v>
      </c>
      <c r="G81" s="12" t="inlineStr">
        <is>
          <t>2025-11</t>
        </is>
      </c>
      <c r="H81" s="12" t="inlineStr">
        <is>
          <t>Encaissements clients</t>
        </is>
      </c>
      <c r="I81" s="12" t="inlineStr">
        <is>
          <t>Pointé journal 2025</t>
        </is>
      </c>
      <c r="J81" s="12" t="inlineStr"/>
      <c r="K81" s="12" t="inlineStr"/>
      <c r="L81" s="12" t="inlineStr"/>
    </row>
    <row r="82">
      <c r="A82" s="22" t="inlineStr">
        <is>
          <t>05/11/2025</t>
        </is>
      </c>
      <c r="B82" s="22" t="inlineStr">
        <is>
          <t>99000-064774</t>
        </is>
      </c>
      <c r="C82" s="22" t="inlineStr">
        <is>
          <t>FRAIS REMISE CHQ N  7449223</t>
        </is>
      </c>
      <c r="D82" s="25" t="n">
        <v>116.12</v>
      </c>
      <c r="E82" s="25" t="n"/>
      <c r="F82" s="25" t="n">
        <v>16512989.76</v>
      </c>
      <c r="G82" s="12" t="inlineStr">
        <is>
          <t>2025-11</t>
        </is>
      </c>
      <c r="H82" s="12" t="inlineStr">
        <is>
          <t>Agios, commissions et frais</t>
        </is>
      </c>
      <c r="I82" s="12" t="inlineStr">
        <is>
          <t>Pointé journal 2025</t>
        </is>
      </c>
      <c r="J82" s="12" t="inlineStr"/>
      <c r="K82" s="12" t="inlineStr"/>
      <c r="L82" s="12" t="inlineStr"/>
    </row>
    <row r="83">
      <c r="A83" s="22" t="inlineStr">
        <is>
          <t>05/11/2025</t>
        </is>
      </c>
      <c r="B83" s="22" t="inlineStr">
        <is>
          <t>00370-117272</t>
        </is>
      </c>
      <c r="C83" s="22" t="inlineStr">
        <is>
          <t>PERCEP.COM SUR PAIEMENTS CHQ</t>
        </is>
      </c>
      <c r="D83" s="25" t="n">
        <v>59.5</v>
      </c>
      <c r="E83" s="25" t="n"/>
      <c r="F83" s="25" t="n">
        <v>16512930.26</v>
      </c>
      <c r="G83" s="12" t="inlineStr">
        <is>
          <t>2025-11</t>
        </is>
      </c>
      <c r="H83" s="12" t="inlineStr">
        <is>
          <t>Agios, commissions et frais</t>
        </is>
      </c>
      <c r="I83" s="12" t="inlineStr">
        <is>
          <t>Pointé journal 2025</t>
        </is>
      </c>
      <c r="J83" s="12" t="inlineStr"/>
      <c r="K83" s="12" t="inlineStr"/>
      <c r="L83" s="12" t="inlineStr"/>
    </row>
    <row r="84">
      <c r="A84" s="22" t="inlineStr">
        <is>
          <t>06/11/2025</t>
        </is>
      </c>
      <c r="B84" s="22" t="inlineStr">
        <is>
          <t>00370-082625</t>
        </is>
      </c>
      <c r="C84" s="22" t="inlineStr">
        <is>
          <t>VRT. RECU ENTREPRISE NATIONALE</t>
        </is>
      </c>
      <c r="D84" s="25" t="n"/>
      <c r="E84" s="25" t="n">
        <v>598281.22</v>
      </c>
      <c r="F84" s="25" t="n">
        <v>17111211.48</v>
      </c>
      <c r="G84" s="12" t="inlineStr">
        <is>
          <t>2025-11</t>
        </is>
      </c>
      <c r="H84" s="12" t="inlineStr">
        <is>
          <t>Encaissements clients</t>
        </is>
      </c>
      <c r="I84" s="12" t="inlineStr">
        <is>
          <t>Pointé journal 2025</t>
        </is>
      </c>
      <c r="J84" s="12" t="inlineStr"/>
      <c r="K84" s="12" t="inlineStr"/>
      <c r="L84" s="12" t="inlineStr"/>
    </row>
    <row r="85">
      <c r="A85" s="22" t="inlineStr">
        <is>
          <t>06/11/2025</t>
        </is>
      </c>
      <c r="B85" s="22" t="inlineStr">
        <is>
          <t>99000-019225</t>
        </is>
      </c>
      <c r="C85" s="22" t="inlineStr">
        <is>
          <t>FRAIS ABONN. INTERNET 2025/11</t>
        </is>
      </c>
      <c r="D85" s="25" t="n">
        <v>1606.5</v>
      </c>
      <c r="E85" s="25" t="n"/>
      <c r="F85" s="25" t="n">
        <v>17109604.98</v>
      </c>
      <c r="G85" s="12" t="inlineStr">
        <is>
          <t>2025-11</t>
        </is>
      </c>
      <c r="H85" s="12" t="inlineStr">
        <is>
          <t>Agios, commissions et frais</t>
        </is>
      </c>
      <c r="I85" s="12" t="inlineStr">
        <is>
          <t>Pointé journal 2025</t>
        </is>
      </c>
      <c r="J85" s="12" t="inlineStr"/>
      <c r="K85" s="12" t="inlineStr"/>
      <c r="L85" s="12" t="inlineStr"/>
    </row>
    <row r="86">
      <c r="A86" s="22" t="inlineStr">
        <is>
          <t>09/11/2025</t>
        </is>
      </c>
      <c r="B86" s="22" t="inlineStr">
        <is>
          <t>00370-018660</t>
        </is>
      </c>
      <c r="C86" s="22" t="inlineStr">
        <is>
          <t>FRAIS CHQ BQE NUM  4288021</t>
        </is>
      </c>
      <c r="D86" s="25" t="n">
        <v>952</v>
      </c>
      <c r="E86" s="25" t="n"/>
      <c r="F86" s="25" t="n">
        <v>17108652.98</v>
      </c>
      <c r="G86" s="12" t="inlineStr">
        <is>
          <t>2025-11</t>
        </is>
      </c>
      <c r="H86" s="12" t="inlineStr">
        <is>
          <t>Agios, commissions et frais</t>
        </is>
      </c>
      <c r="I86" s="12" t="inlineStr">
        <is>
          <t>Pointé journal 2025</t>
        </is>
      </c>
      <c r="J86" s="12" t="inlineStr"/>
      <c r="K86" s="12" t="inlineStr"/>
      <c r="L86" s="12" t="inlineStr"/>
    </row>
    <row r="87">
      <c r="A87" s="22" t="inlineStr">
        <is>
          <t>09/11/2025</t>
        </is>
      </c>
      <c r="B87" s="22" t="inlineStr">
        <is>
          <t>00370-018660</t>
        </is>
      </c>
      <c r="C87" s="22" t="inlineStr">
        <is>
          <t>CHQ BANQUE NUM  4288021</t>
        </is>
      </c>
      <c r="D87" s="25" t="n">
        <v>9000</v>
      </c>
      <c r="E87" s="25" t="n"/>
      <c r="F87" s="25" t="n">
        <v>17099652.98</v>
      </c>
      <c r="G87" s="12" t="inlineStr">
        <is>
          <t>2025-11</t>
        </is>
      </c>
      <c r="H87" s="12" t="inlineStr">
        <is>
          <t>Chèques de banque (douane / autres)</t>
        </is>
      </c>
      <c r="I87" s="12" t="inlineStr">
        <is>
          <t>Pointé journal 2025</t>
        </is>
      </c>
      <c r="J87" s="12" t="inlineStr"/>
      <c r="K87" s="12" t="inlineStr"/>
      <c r="L87" s="12" t="inlineStr"/>
    </row>
    <row r="88">
      <c r="A88" s="22" t="inlineStr">
        <is>
          <t>09/11/2025</t>
        </is>
      </c>
      <c r="B88" s="22" t="inlineStr">
        <is>
          <t>00370-117330</t>
        </is>
      </c>
      <c r="C88" s="22" t="inlineStr">
        <is>
          <t>PAIEMENT CHQ NUM  2125710</t>
        </is>
      </c>
      <c r="D88" s="25" t="n">
        <v>10116431.9</v>
      </c>
      <c r="E88" s="25" t="n"/>
      <c r="F88" s="25" t="n">
        <v>6983221.08</v>
      </c>
      <c r="G88" s="12" t="inlineStr">
        <is>
          <t>2025-11</t>
        </is>
      </c>
      <c r="H88" s="12" t="inlineStr">
        <is>
          <t>Fournisseurs, salaires et divers</t>
        </is>
      </c>
      <c r="I88" s="12" t="inlineStr">
        <is>
          <t>Pointé journal 2025</t>
        </is>
      </c>
      <c r="J88" s="12" t="inlineStr"/>
      <c r="K88" s="12" t="inlineStr"/>
      <c r="L88" s="12" t="inlineStr"/>
    </row>
    <row r="89">
      <c r="A89" s="22" t="inlineStr">
        <is>
          <t>09/11/2025</t>
        </is>
      </c>
      <c r="B89" s="22" t="inlineStr">
        <is>
          <t>00370-117335</t>
        </is>
      </c>
      <c r="C89" s="22" t="inlineStr">
        <is>
          <t>PAIEMENT CHQ NUM  2125712</t>
        </is>
      </c>
      <c r="D89" s="25" t="n">
        <v>114364.07</v>
      </c>
      <c r="E89" s="25" t="n"/>
      <c r="F89" s="25" t="n">
        <v>6868857.01</v>
      </c>
      <c r="G89" s="12" t="inlineStr">
        <is>
          <t>2025-11</t>
        </is>
      </c>
      <c r="H89" s="12" t="inlineStr">
        <is>
          <t>Fournisseurs, salaires et divers</t>
        </is>
      </c>
      <c r="I89" s="12" t="inlineStr">
        <is>
          <t>Pointé journal 2025</t>
        </is>
      </c>
      <c r="J89" s="12" t="inlineStr"/>
      <c r="K89" s="12" t="inlineStr"/>
      <c r="L89" s="12" t="inlineStr"/>
    </row>
    <row r="90">
      <c r="A90" s="22" t="inlineStr">
        <is>
          <t>09/11/2025</t>
        </is>
      </c>
      <c r="B90" s="22" t="inlineStr">
        <is>
          <t>00370-117311</t>
        </is>
      </c>
      <c r="C90" s="22" t="inlineStr">
        <is>
          <t>PAIEMENT CHQ NUM  2125711</t>
        </is>
      </c>
      <c r="D90" s="25" t="n">
        <v>32000</v>
      </c>
      <c r="E90" s="25" t="n"/>
      <c r="F90" s="25" t="n">
        <v>6836857.01</v>
      </c>
      <c r="G90" s="12" t="inlineStr">
        <is>
          <t>2025-11</t>
        </is>
      </c>
      <c r="H90" s="12" t="inlineStr">
        <is>
          <t>Fournisseurs, salaires et divers</t>
        </is>
      </c>
      <c r="I90" s="12" t="inlineStr">
        <is>
          <t>Pointé journal 2025</t>
        </is>
      </c>
      <c r="J90" s="12" t="inlineStr"/>
      <c r="K90" s="12" t="inlineStr"/>
      <c r="L90" s="12" t="inlineStr"/>
    </row>
    <row r="91">
      <c r="A91" s="22" t="inlineStr">
        <is>
          <t>09/11/2025</t>
        </is>
      </c>
      <c r="B91" s="22" t="inlineStr">
        <is>
          <t>00370-117330</t>
        </is>
      </c>
      <c r="C91" s="22" t="inlineStr">
        <is>
          <t>PERCEP.COM SUR PAIEMENTS CHQ</t>
        </is>
      </c>
      <c r="D91" s="25" t="n">
        <v>59.5</v>
      </c>
      <c r="E91" s="25" t="n"/>
      <c r="F91" s="25" t="n">
        <v>6836797.51</v>
      </c>
      <c r="G91" s="12" t="inlineStr">
        <is>
          <t>2025-11</t>
        </is>
      </c>
      <c r="H91" s="12" t="inlineStr">
        <is>
          <t>Agios, commissions et frais</t>
        </is>
      </c>
      <c r="I91" s="12" t="inlineStr">
        <is>
          <t>Pointé journal 2025</t>
        </is>
      </c>
      <c r="J91" s="12" t="inlineStr"/>
      <c r="K91" s="12" t="inlineStr"/>
      <c r="L91" s="12" t="inlineStr"/>
    </row>
    <row r="92">
      <c r="A92" s="22" t="inlineStr">
        <is>
          <t>09/11/2025</t>
        </is>
      </c>
      <c r="B92" s="22" t="inlineStr">
        <is>
          <t>00370-117335</t>
        </is>
      </c>
      <c r="C92" s="22" t="inlineStr">
        <is>
          <t>PERCEP.COM SUR PAIEMENTS CHQ</t>
        </is>
      </c>
      <c r="D92" s="25" t="n">
        <v>59.5</v>
      </c>
      <c r="E92" s="25" t="n"/>
      <c r="F92" s="25" t="n">
        <v>6836738.01</v>
      </c>
      <c r="G92" s="12" t="inlineStr">
        <is>
          <t>2025-11</t>
        </is>
      </c>
      <c r="H92" s="12" t="inlineStr">
        <is>
          <t>Agios, commissions et frais</t>
        </is>
      </c>
      <c r="I92" s="12" t="inlineStr">
        <is>
          <t>Pointé journal 2025</t>
        </is>
      </c>
      <c r="J92" s="12" t="inlineStr"/>
      <c r="K92" s="12" t="inlineStr"/>
      <c r="L92" s="12" t="inlineStr"/>
    </row>
    <row r="93">
      <c r="A93" s="22" t="inlineStr">
        <is>
          <t>11/11/2025</t>
        </is>
      </c>
      <c r="B93" s="22" t="inlineStr">
        <is>
          <t>00370-012704</t>
        </is>
      </c>
      <c r="C93" s="22" t="inlineStr">
        <is>
          <t>FRAIS VRT.</t>
        </is>
      </c>
      <c r="D93" s="25" t="n">
        <v>59.5</v>
      </c>
      <c r="E93" s="25" t="n"/>
      <c r="F93" s="25" t="n">
        <v>6836678.51</v>
      </c>
      <c r="G93" s="12" t="inlineStr">
        <is>
          <t>2025-11</t>
        </is>
      </c>
      <c r="H93" s="12" t="inlineStr">
        <is>
          <t>Agios, commissions et frais</t>
        </is>
      </c>
      <c r="I93" s="12" t="inlineStr">
        <is>
          <t>Pointé journal 2025</t>
        </is>
      </c>
      <c r="J93" s="12" t="inlineStr"/>
      <c r="K93" s="12" t="inlineStr"/>
      <c r="L93" s="12" t="inlineStr"/>
    </row>
    <row r="94">
      <c r="A94" s="22" t="inlineStr">
        <is>
          <t>11/11/2025</t>
        </is>
      </c>
      <c r="B94" s="22" t="inlineStr">
        <is>
          <t>00370-012704</t>
        </is>
      </c>
      <c r="C94" s="22" t="inlineStr">
        <is>
          <t>VRT. ORD. SARL DPR AXXAM</t>
        </is>
      </c>
      <c r="D94" s="25" t="n">
        <v>6000000</v>
      </c>
      <c r="E94" s="25" t="n"/>
      <c r="F94" s="25" t="n">
        <v>836678.51</v>
      </c>
      <c r="G94" s="12" t="inlineStr">
        <is>
          <t>2025-11</t>
        </is>
      </c>
      <c r="H94" s="12" t="inlineStr">
        <is>
          <t>DPR AXXAM (partie liée)</t>
        </is>
      </c>
      <c r="I94" s="12" t="inlineStr">
        <is>
          <t>Pointé journal 2025</t>
        </is>
      </c>
      <c r="J94" s="12" t="inlineStr"/>
      <c r="K94" s="12" t="inlineStr"/>
      <c r="L94" s="12" t="inlineStr"/>
    </row>
    <row r="95">
      <c r="A95" s="22" t="inlineStr">
        <is>
          <t>12/11/2025</t>
        </is>
      </c>
      <c r="B95" s="22" t="inlineStr">
        <is>
          <t>00370-374188</t>
        </is>
      </c>
      <c r="C95" s="22" t="inlineStr">
        <is>
          <t>VERSEMENT BELHADI AHCENEADEL P</t>
        </is>
      </c>
      <c r="D95" s="25" t="n"/>
      <c r="E95" s="25" t="n">
        <v>961450</v>
      </c>
      <c r="F95" s="25" t="n">
        <v>1798128.51</v>
      </c>
      <c r="G95" s="12" t="inlineStr">
        <is>
          <t>2025-11</t>
        </is>
      </c>
      <c r="H95" s="12" t="inlineStr">
        <is>
          <t>Encaissements clients</t>
        </is>
      </c>
      <c r="I95" s="12" t="inlineStr">
        <is>
          <t>Pointé journal 2025</t>
        </is>
      </c>
      <c r="J95" s="12" t="inlineStr"/>
      <c r="K95" s="12" t="inlineStr"/>
      <c r="L95" s="12" t="inlineStr"/>
    </row>
    <row r="96">
      <c r="A96" s="22" t="inlineStr">
        <is>
          <t>13/11/2025</t>
        </is>
      </c>
      <c r="B96" s="22" t="inlineStr">
        <is>
          <t>00370-000529</t>
        </is>
      </c>
      <c r="C96" s="22" t="inlineStr">
        <is>
          <t>VRT EDI AUTRES BQUES</t>
        </is>
      </c>
      <c r="D96" s="25" t="n">
        <v>598486.79</v>
      </c>
      <c r="E96" s="25" t="n"/>
      <c r="F96" s="25" t="n">
        <v>1199641.72</v>
      </c>
      <c r="G96" s="12" t="inlineStr">
        <is>
          <t>2025-11</t>
        </is>
      </c>
      <c r="H96" s="12" t="inlineStr">
        <is>
          <t>Fournisseurs, salaires et divers</t>
        </is>
      </c>
      <c r="I96" s="12" t="inlineStr">
        <is>
          <t>Pointé journal 2025</t>
        </is>
      </c>
      <c r="J96" s="12" t="inlineStr"/>
      <c r="K96" s="12" t="inlineStr"/>
      <c r="L96" s="12" t="inlineStr"/>
    </row>
    <row r="97">
      <c r="A97" s="22" t="inlineStr">
        <is>
          <t>13/11/2025</t>
        </is>
      </c>
      <c r="B97" s="22" t="inlineStr">
        <is>
          <t>00370-000529</t>
        </is>
      </c>
      <c r="C97" s="22" t="inlineStr">
        <is>
          <t>COM.VRT EDI BQUE</t>
        </is>
      </c>
      <c r="D97" s="25" t="n">
        <v>214.2</v>
      </c>
      <c r="E97" s="25" t="n"/>
      <c r="F97" s="25" t="n">
        <v>1199427.52</v>
      </c>
      <c r="G97" s="12" t="inlineStr">
        <is>
          <t>2025-11</t>
        </is>
      </c>
      <c r="H97" s="12" t="inlineStr">
        <is>
          <t>Agios, commissions et frais</t>
        </is>
      </c>
      <c r="I97" s="12" t="inlineStr">
        <is>
          <t>Pointé journal 2025</t>
        </is>
      </c>
      <c r="J97" s="12" t="inlineStr"/>
      <c r="K97" s="12" t="inlineStr"/>
      <c r="L97" s="12" t="inlineStr"/>
    </row>
    <row r="98">
      <c r="A98" s="22" t="inlineStr">
        <is>
          <t>13/11/2025</t>
        </is>
      </c>
      <c r="B98" s="22" t="inlineStr">
        <is>
          <t>99000-064854</t>
        </is>
      </c>
      <c r="C98" s="22" t="inlineStr">
        <is>
          <t>SORT CHQ NUM  7423056</t>
        </is>
      </c>
      <c r="D98" s="25" t="n"/>
      <c r="E98" s="25" t="n">
        <v>209440</v>
      </c>
      <c r="F98" s="25" t="n">
        <v>1408867.52</v>
      </c>
      <c r="G98" s="12" t="inlineStr">
        <is>
          <t>2025-11</t>
        </is>
      </c>
      <c r="H98" s="12" t="inlineStr">
        <is>
          <t>Encaissements clients</t>
        </is>
      </c>
      <c r="I98" s="12" t="inlineStr">
        <is>
          <t>Pointé journal 2025</t>
        </is>
      </c>
      <c r="J98" s="12" t="inlineStr"/>
      <c r="K98" s="12" t="inlineStr"/>
      <c r="L98" s="12" t="inlineStr"/>
    </row>
    <row r="99">
      <c r="A99" s="22" t="inlineStr">
        <is>
          <t>13/11/2025</t>
        </is>
      </c>
      <c r="B99" s="22" t="inlineStr">
        <is>
          <t>99000-064854</t>
        </is>
      </c>
      <c r="C99" s="22" t="inlineStr">
        <is>
          <t>FRAIS REMISE CHQ N  7423056</t>
        </is>
      </c>
      <c r="D99" s="25" t="n">
        <v>119</v>
      </c>
      <c r="E99" s="25" t="n"/>
      <c r="F99" s="25" t="n">
        <v>1408748.52</v>
      </c>
      <c r="G99" s="12" t="inlineStr">
        <is>
          <t>2025-11</t>
        </is>
      </c>
      <c r="H99" s="12" t="inlineStr">
        <is>
          <t>Agios, commissions et frais</t>
        </is>
      </c>
      <c r="I99" s="12" t="inlineStr">
        <is>
          <t>Pointé journal 2025</t>
        </is>
      </c>
      <c r="J99" s="12" t="inlineStr"/>
      <c r="K99" s="12" t="inlineStr"/>
      <c r="L99" s="12" t="inlineStr"/>
    </row>
    <row r="100">
      <c r="A100" s="22" t="inlineStr">
        <is>
          <t>16/11/2025</t>
        </is>
      </c>
      <c r="B100" s="22" t="inlineStr">
        <is>
          <t>00370-000993</t>
        </is>
      </c>
      <c r="C100" s="22" t="inlineStr">
        <is>
          <t>COM.VRT EDI BQUE</t>
        </is>
      </c>
      <c r="D100" s="25" t="n">
        <v>35.7</v>
      </c>
      <c r="E100" s="25" t="n"/>
      <c r="F100" s="25" t="n">
        <v>1408712.82</v>
      </c>
      <c r="G100" s="12" t="inlineStr">
        <is>
          <t>2025-11</t>
        </is>
      </c>
      <c r="H100" s="12" t="inlineStr">
        <is>
          <t>Agios, commissions et frais</t>
        </is>
      </c>
      <c r="I100" s="12" t="inlineStr">
        <is>
          <t>Pointé journal 2025</t>
        </is>
      </c>
      <c r="J100" s="12" t="inlineStr"/>
      <c r="K100" s="12" t="inlineStr"/>
      <c r="L100" s="12" t="inlineStr"/>
    </row>
    <row r="101">
      <c r="A101" s="22" t="inlineStr">
        <is>
          <t>16/11/2025</t>
        </is>
      </c>
      <c r="B101" s="22" t="inlineStr">
        <is>
          <t>00370-000993</t>
        </is>
      </c>
      <c r="C101" s="22" t="inlineStr">
        <is>
          <t>VRT EDI SIMPLE AUTRE</t>
        </is>
      </c>
      <c r="D101" s="25" t="n">
        <v>767240</v>
      </c>
      <c r="E101" s="25" t="n"/>
      <c r="F101" s="25" t="n">
        <v>641472.8199999999</v>
      </c>
      <c r="G101" s="12" t="inlineStr">
        <is>
          <t>2025-11</t>
        </is>
      </c>
      <c r="H101" s="12" t="inlineStr">
        <is>
          <t>Fournisseurs, salaires et divers</t>
        </is>
      </c>
      <c r="I101" s="12" t="inlineStr">
        <is>
          <t>Pointé journal 2025</t>
        </is>
      </c>
      <c r="J101" s="12" t="inlineStr"/>
      <c r="K101" s="12" t="inlineStr"/>
      <c r="L101" s="12" t="inlineStr"/>
    </row>
    <row r="102">
      <c r="A102" s="22" t="inlineStr">
        <is>
          <t>17/11/2025</t>
        </is>
      </c>
      <c r="B102" s="22" t="inlineStr">
        <is>
          <t>99000-005236</t>
        </is>
      </c>
      <c r="C102" s="22" t="inlineStr">
        <is>
          <t>PERCEPTION DES COMMISSIONS</t>
        </is>
      </c>
      <c r="D102" s="25" t="n">
        <v>212.88</v>
      </c>
      <c r="E102" s="25" t="n"/>
      <c r="F102" s="25" t="n">
        <v>641259.9399999999</v>
      </c>
      <c r="G102" s="12" t="inlineStr">
        <is>
          <t>2025-11</t>
        </is>
      </c>
      <c r="H102" s="12" t="inlineStr">
        <is>
          <t>Agios, commissions et frais</t>
        </is>
      </c>
      <c r="I102" s="12" t="inlineStr">
        <is>
          <t>Pointé journal 2025</t>
        </is>
      </c>
      <c r="J102" s="12" t="inlineStr"/>
      <c r="K102" s="12" t="inlineStr"/>
      <c r="L102" s="12" t="inlineStr"/>
    </row>
    <row r="103">
      <c r="A103" s="22" t="inlineStr">
        <is>
          <t>18/11/2025</t>
        </is>
      </c>
      <c r="B103" s="22" t="inlineStr">
        <is>
          <t>00370-000620</t>
        </is>
      </c>
      <c r="C103" s="22" t="inlineStr">
        <is>
          <t>COM.VRT EDI CAISSE</t>
        </is>
      </c>
      <c r="D103" s="25" t="n">
        <v>11.9</v>
      </c>
      <c r="E103" s="25" t="n"/>
      <c r="F103" s="25" t="n">
        <v>641248.04</v>
      </c>
      <c r="G103" s="12" t="inlineStr">
        <is>
          <t>2025-11</t>
        </is>
      </c>
      <c r="H103" s="12" t="inlineStr">
        <is>
          <t>Agios, commissions et frais</t>
        </is>
      </c>
      <c r="I103" s="12" t="inlineStr">
        <is>
          <t>Pointé journal 2025</t>
        </is>
      </c>
      <c r="J103" s="12" t="inlineStr"/>
      <c r="K103" s="12" t="inlineStr"/>
      <c r="L103" s="12" t="inlineStr"/>
    </row>
    <row r="104">
      <c r="A104" s="22" t="inlineStr">
        <is>
          <t>18/11/2025</t>
        </is>
      </c>
      <c r="B104" s="22" t="inlineStr">
        <is>
          <t>00370-000620</t>
        </is>
      </c>
      <c r="C104" s="22" t="inlineStr">
        <is>
          <t>VRT EDI SIMPLE NOS C</t>
        </is>
      </c>
      <c r="D104" s="25" t="n">
        <v>250000</v>
      </c>
      <c r="E104" s="25" t="n"/>
      <c r="F104" s="25" t="n">
        <v>391248.04</v>
      </c>
      <c r="G104" s="12" t="inlineStr">
        <is>
          <t>2025-11</t>
        </is>
      </c>
      <c r="H104" s="12" t="inlineStr">
        <is>
          <t>Fournisseurs, salaires et divers</t>
        </is>
      </c>
      <c r="I104" s="12" t="inlineStr">
        <is>
          <t>Pointé journal 2025</t>
        </is>
      </c>
      <c r="J104" s="12" t="inlineStr"/>
      <c r="K104" s="12" t="inlineStr"/>
      <c r="L104" s="12" t="inlineStr"/>
    </row>
    <row r="105">
      <c r="A105" s="22" t="inlineStr">
        <is>
          <t>19/11/2025</t>
        </is>
      </c>
      <c r="B105" s="22" t="inlineStr">
        <is>
          <t>99000-064898</t>
        </is>
      </c>
      <c r="C105" s="22" t="inlineStr">
        <is>
          <t>SORT CHQ NUM  2807462</t>
        </is>
      </c>
      <c r="D105" s="25" t="n"/>
      <c r="E105" s="25" t="n">
        <v>611200</v>
      </c>
      <c r="F105" s="25" t="n">
        <v>1002448.04</v>
      </c>
      <c r="G105" s="12" t="inlineStr">
        <is>
          <t>2025-11</t>
        </is>
      </c>
      <c r="H105" s="12" t="inlineStr">
        <is>
          <t>Encaissements clients</t>
        </is>
      </c>
      <c r="I105" s="12" t="inlineStr">
        <is>
          <t>Pointé journal 2025</t>
        </is>
      </c>
      <c r="J105" s="12" t="inlineStr"/>
      <c r="K105" s="12" t="inlineStr"/>
      <c r="L105" s="12" t="inlineStr"/>
    </row>
    <row r="106">
      <c r="A106" s="22" t="inlineStr">
        <is>
          <t>19/11/2025</t>
        </is>
      </c>
      <c r="B106" s="22" t="inlineStr">
        <is>
          <t>99000-064898</t>
        </is>
      </c>
      <c r="C106" s="22" t="inlineStr">
        <is>
          <t>FRAIS REMISE CHQ N  2807462</t>
        </is>
      </c>
      <c r="D106" s="25" t="n">
        <v>238</v>
      </c>
      <c r="E106" s="25" t="n"/>
      <c r="F106" s="25" t="n">
        <v>1002210.04</v>
      </c>
      <c r="G106" s="12" t="inlineStr">
        <is>
          <t>2025-11</t>
        </is>
      </c>
      <c r="H106" s="12" t="inlineStr">
        <is>
          <t>Agios, commissions et frais</t>
        </is>
      </c>
      <c r="I106" s="12" t="inlineStr">
        <is>
          <t>Pointé journal 2025</t>
        </is>
      </c>
      <c r="J106" s="12" t="inlineStr"/>
      <c r="K106" s="12" t="inlineStr"/>
      <c r="L106" s="12" t="inlineStr"/>
    </row>
    <row r="107">
      <c r="A107" s="22" t="inlineStr">
        <is>
          <t>20/11/2025</t>
        </is>
      </c>
      <c r="B107" s="22" t="inlineStr">
        <is>
          <t>00370-001278</t>
        </is>
      </c>
      <c r="C107" s="22" t="inlineStr">
        <is>
          <t>VRT. RECU VIREMENT ARTS CLIENT</t>
        </is>
      </c>
      <c r="D107" s="25" t="n"/>
      <c r="E107" s="25" t="n">
        <v>1232346</v>
      </c>
      <c r="F107" s="25" t="n">
        <v>2234556.04</v>
      </c>
      <c r="G107" s="12" t="inlineStr">
        <is>
          <t>2025-11</t>
        </is>
      </c>
      <c r="H107" s="12" t="inlineStr">
        <is>
          <t>Encaissements clients</t>
        </is>
      </c>
      <c r="I107" s="12" t="inlineStr">
        <is>
          <t>Pointé journal 2025</t>
        </is>
      </c>
      <c r="J107" s="12" t="inlineStr"/>
      <c r="K107" s="12" t="inlineStr"/>
      <c r="L107" s="12" t="inlineStr"/>
    </row>
    <row r="108">
      <c r="A108" s="22" t="inlineStr">
        <is>
          <t>20/11/2025</t>
        </is>
      </c>
      <c r="B108" s="22" t="inlineStr">
        <is>
          <t>00370-001278</t>
        </is>
      </c>
      <c r="C108" s="22" t="inlineStr">
        <is>
          <t>FRAIS VRT RTGS</t>
        </is>
      </c>
      <c r="D108" s="25" t="n">
        <v>357</v>
      </c>
      <c r="E108" s="25" t="n"/>
      <c r="F108" s="25" t="n">
        <v>2234199.04</v>
      </c>
      <c r="G108" s="12" t="inlineStr">
        <is>
          <t>2025-11</t>
        </is>
      </c>
      <c r="H108" s="12" t="inlineStr">
        <is>
          <t>Agios, commissions et frais</t>
        </is>
      </c>
      <c r="I108" s="12" t="inlineStr">
        <is>
          <t>Pointé journal 2025</t>
        </is>
      </c>
      <c r="J108" s="12" t="inlineStr"/>
      <c r="K108" s="12" t="inlineStr"/>
      <c r="L108" s="12" t="inlineStr"/>
    </row>
    <row r="109">
      <c r="A109" s="22" t="inlineStr">
        <is>
          <t>20/11/2025</t>
        </is>
      </c>
      <c r="B109" s="22" t="inlineStr">
        <is>
          <t>99000-064909</t>
        </is>
      </c>
      <c r="C109" s="22" t="inlineStr">
        <is>
          <t>SORT CHQ NUM  5066416</t>
        </is>
      </c>
      <c r="D109" s="25" t="n"/>
      <c r="E109" s="25" t="n">
        <v>345300</v>
      </c>
      <c r="F109" s="25" t="n">
        <v>2579499.04</v>
      </c>
      <c r="G109" s="12" t="inlineStr">
        <is>
          <t>2025-11</t>
        </is>
      </c>
      <c r="H109" s="12" t="inlineStr">
        <is>
          <t>Encaissements clients</t>
        </is>
      </c>
      <c r="I109" s="12" t="inlineStr">
        <is>
          <t>Pointé journal 2025</t>
        </is>
      </c>
      <c r="J109" s="12" t="inlineStr"/>
      <c r="K109" s="12" t="inlineStr"/>
      <c r="L109" s="12" t="inlineStr"/>
    </row>
    <row r="110">
      <c r="A110" s="22" t="inlineStr">
        <is>
          <t>20/11/2025</t>
        </is>
      </c>
      <c r="B110" s="22" t="inlineStr">
        <is>
          <t>99000-064909</t>
        </is>
      </c>
      <c r="C110" s="22" t="inlineStr">
        <is>
          <t>FRAIS REMISE CHQ N  5066416</t>
        </is>
      </c>
      <c r="D110" s="25" t="n">
        <v>119</v>
      </c>
      <c r="E110" s="25" t="n"/>
      <c r="F110" s="25" t="n">
        <v>2579380.04</v>
      </c>
      <c r="G110" s="12" t="inlineStr">
        <is>
          <t>2025-11</t>
        </is>
      </c>
      <c r="H110" s="12" t="inlineStr">
        <is>
          <t>Agios, commissions et frais</t>
        </is>
      </c>
      <c r="I110" s="12" t="inlineStr">
        <is>
          <t>Pointé journal 2025</t>
        </is>
      </c>
      <c r="J110" s="12" t="inlineStr"/>
      <c r="K110" s="12" t="inlineStr"/>
      <c r="L110" s="12" t="inlineStr"/>
    </row>
    <row r="111">
      <c r="A111" s="22" t="inlineStr">
        <is>
          <t>24/11/2025</t>
        </is>
      </c>
      <c r="B111" s="22" t="inlineStr">
        <is>
          <t>00370-064931</t>
        </is>
      </c>
      <c r="C111" s="22" t="inlineStr">
        <is>
          <t>SAISIE DU SORT DES CHEQUES</t>
        </is>
      </c>
      <c r="D111" s="25" t="n">
        <v>238</v>
      </c>
      <c r="E111" s="25" t="n"/>
      <c r="F111" s="25" t="n">
        <v>2579142.04</v>
      </c>
      <c r="G111" s="12" t="inlineStr">
        <is>
          <t>2025-11</t>
        </is>
      </c>
      <c r="H111" s="12" t="inlineStr">
        <is>
          <t>Fournisseurs, salaires et divers</t>
        </is>
      </c>
      <c r="I111" s="12" t="inlineStr">
        <is>
          <t>Pointé journal 2025</t>
        </is>
      </c>
      <c r="J111" s="12" t="inlineStr"/>
      <c r="K111" s="12" t="inlineStr"/>
      <c r="L111" s="12" t="inlineStr"/>
    </row>
    <row r="112">
      <c r="A112" s="22" t="inlineStr">
        <is>
          <t>25/11/2025</t>
        </is>
      </c>
      <c r="B112" s="22" t="inlineStr">
        <is>
          <t>00404-002488</t>
        </is>
      </c>
      <c r="C112" s="22" t="inlineStr">
        <is>
          <t>VERSEMENT EURL BS COMMERCE</t>
        </is>
      </c>
      <c r="D112" s="25" t="n"/>
      <c r="E112" s="25" t="n">
        <v>716100</v>
      </c>
      <c r="F112" s="25" t="n">
        <v>3295242.04</v>
      </c>
      <c r="G112" s="12" t="inlineStr">
        <is>
          <t>2025-11</t>
        </is>
      </c>
      <c r="H112" s="12" t="inlineStr">
        <is>
          <t>Encaissements clients</t>
        </is>
      </c>
      <c r="I112" s="12" t="inlineStr">
        <is>
          <t>Pointé journal 2025</t>
        </is>
      </c>
      <c r="J112" s="12" t="inlineStr"/>
      <c r="K112" s="12" t="inlineStr"/>
      <c r="L112" s="12" t="inlineStr"/>
    </row>
    <row r="113">
      <c r="A113" s="22" t="inlineStr">
        <is>
          <t>25/11/2025</t>
        </is>
      </c>
      <c r="B113" s="22" t="inlineStr">
        <is>
          <t>99000-064934</t>
        </is>
      </c>
      <c r="C113" s="22" t="inlineStr">
        <is>
          <t>SORT CHQ NUM  7423027</t>
        </is>
      </c>
      <c r="D113" s="25" t="n"/>
      <c r="E113" s="25" t="n">
        <v>573580</v>
      </c>
      <c r="F113" s="25" t="n">
        <v>3868822.04</v>
      </c>
      <c r="G113" s="12" t="inlineStr">
        <is>
          <t>2025-11</t>
        </is>
      </c>
      <c r="H113" s="12" t="inlineStr">
        <is>
          <t>Encaissements clients</t>
        </is>
      </c>
      <c r="I113" s="12" t="inlineStr">
        <is>
          <t>Pointé journal 2025</t>
        </is>
      </c>
      <c r="J113" s="12" t="inlineStr"/>
      <c r="K113" s="12" t="inlineStr"/>
      <c r="L113" s="12" t="inlineStr"/>
    </row>
    <row r="114">
      <c r="A114" s="22" t="inlineStr">
        <is>
          <t>25/11/2025</t>
        </is>
      </c>
      <c r="B114" s="22" t="inlineStr">
        <is>
          <t>99000-064934</t>
        </is>
      </c>
      <c r="C114" s="22" t="inlineStr">
        <is>
          <t>FRAIS REMISE CHQ N  7423027</t>
        </is>
      </c>
      <c r="D114" s="25" t="n">
        <v>119</v>
      </c>
      <c r="E114" s="25" t="n"/>
      <c r="F114" s="25" t="n">
        <v>3868703.04</v>
      </c>
      <c r="G114" s="12" t="inlineStr">
        <is>
          <t>2025-11</t>
        </is>
      </c>
      <c r="H114" s="12" t="inlineStr">
        <is>
          <t>Agios, commissions et frais</t>
        </is>
      </c>
      <c r="I114" s="12" t="inlineStr">
        <is>
          <t>Pointé journal 2025</t>
        </is>
      </c>
      <c r="J114" s="12" t="inlineStr"/>
      <c r="K114" s="12" t="inlineStr"/>
      <c r="L114" s="12" t="inlineStr"/>
    </row>
    <row r="115">
      <c r="A115" s="22" t="inlineStr">
        <is>
          <t>26/11/2025</t>
        </is>
      </c>
      <c r="B115" s="22" t="inlineStr">
        <is>
          <t>00370-002518</t>
        </is>
      </c>
      <c r="C115" s="22" t="inlineStr">
        <is>
          <t>FRAIS VRT.</t>
        </is>
      </c>
      <c r="D115" s="25" t="n">
        <v>59.5</v>
      </c>
      <c r="E115" s="25" t="n"/>
      <c r="F115" s="25" t="n">
        <v>3868643.54</v>
      </c>
      <c r="G115" s="12" t="inlineStr">
        <is>
          <t>2025-11</t>
        </is>
      </c>
      <c r="H115" s="12" t="inlineStr">
        <is>
          <t>Agios, commissions et frais</t>
        </is>
      </c>
      <c r="I115" s="12" t="inlineStr">
        <is>
          <t>Pointé journal 2025</t>
        </is>
      </c>
      <c r="J115" s="12" t="inlineStr"/>
      <c r="K115" s="12" t="inlineStr"/>
      <c r="L115" s="12" t="inlineStr"/>
    </row>
    <row r="116">
      <c r="A116" s="22" t="inlineStr">
        <is>
          <t>26/11/2025</t>
        </is>
      </c>
      <c r="B116" s="22" t="inlineStr">
        <is>
          <t>00370-002518</t>
        </is>
      </c>
      <c r="C116" s="22" t="inlineStr">
        <is>
          <t>VRT. ORD. BELHARET NADIR</t>
        </is>
      </c>
      <c r="D116" s="25" t="n">
        <v>4200000</v>
      </c>
      <c r="E116" s="25" t="n"/>
      <c r="F116" s="25" t="n">
        <v>-331356.46</v>
      </c>
      <c r="G116" s="12" t="inlineStr">
        <is>
          <t>2025-11</t>
        </is>
      </c>
      <c r="H116" s="12" t="inlineStr">
        <is>
          <t>Fournisseurs, salaires et divers</t>
        </is>
      </c>
      <c r="I116" s="12" t="inlineStr">
        <is>
          <t>Pointé journal 2025</t>
        </is>
      </c>
      <c r="J116" s="12" t="inlineStr"/>
      <c r="K116" s="12" t="inlineStr"/>
      <c r="L116" s="12" t="inlineStr"/>
    </row>
    <row r="117">
      <c r="A117" s="22" t="inlineStr">
        <is>
          <t>26/11/2025</t>
        </is>
      </c>
      <c r="B117" s="22" t="inlineStr">
        <is>
          <t>00370-001281</t>
        </is>
      </c>
      <c r="C117" s="22" t="inlineStr">
        <is>
          <t>VRT. RECU VIREMENT ARTS CLIENT</t>
        </is>
      </c>
      <c r="D117" s="25" t="n"/>
      <c r="E117" s="25" t="n">
        <v>2769991.56</v>
      </c>
      <c r="F117" s="25" t="n">
        <v>2438635.1</v>
      </c>
      <c r="G117" s="12" t="inlineStr">
        <is>
          <t>2025-11</t>
        </is>
      </c>
      <c r="H117" s="12" t="inlineStr">
        <is>
          <t>Encaissements clients</t>
        </is>
      </c>
      <c r="I117" s="12" t="inlineStr">
        <is>
          <t>Pointé journal 2025</t>
        </is>
      </c>
      <c r="J117" s="12" t="inlineStr"/>
      <c r="K117" s="12" t="inlineStr"/>
      <c r="L117" s="12" t="inlineStr"/>
    </row>
    <row r="118">
      <c r="A118" s="22" t="inlineStr">
        <is>
          <t>26/11/2025</t>
        </is>
      </c>
      <c r="B118" s="22" t="inlineStr">
        <is>
          <t>00370-001280</t>
        </is>
      </c>
      <c r="C118" s="22" t="inlineStr">
        <is>
          <t>VRT. RECU VIREMENT ARTS CLIENT</t>
        </is>
      </c>
      <c r="D118" s="25" t="n"/>
      <c r="E118" s="25" t="n">
        <v>2048500.01</v>
      </c>
      <c r="F118" s="25" t="n">
        <v>4487135.11</v>
      </c>
      <c r="G118" s="12" t="inlineStr">
        <is>
          <t>2025-11</t>
        </is>
      </c>
      <c r="H118" s="12" t="inlineStr">
        <is>
          <t>Encaissements clients</t>
        </is>
      </c>
      <c r="I118" s="12" t="inlineStr">
        <is>
          <t>Pointé journal 2025</t>
        </is>
      </c>
      <c r="J118" s="12" t="inlineStr"/>
      <c r="K118" s="12" t="inlineStr"/>
      <c r="L118" s="12" t="inlineStr"/>
    </row>
    <row r="119">
      <c r="A119" s="22" t="inlineStr">
        <is>
          <t>26/11/2025</t>
        </is>
      </c>
      <c r="B119" s="22" t="inlineStr">
        <is>
          <t>00370-001281</t>
        </is>
      </c>
      <c r="C119" s="22" t="inlineStr">
        <is>
          <t>FRAIS VRT RTGS</t>
        </is>
      </c>
      <c r="D119" s="25" t="n">
        <v>659.26</v>
      </c>
      <c r="E119" s="25" t="n"/>
      <c r="F119" s="25" t="n">
        <v>4486475.85</v>
      </c>
      <c r="G119" s="12" t="inlineStr">
        <is>
          <t>2025-11</t>
        </is>
      </c>
      <c r="H119" s="12" t="inlineStr">
        <is>
          <t>Agios, commissions et frais</t>
        </is>
      </c>
      <c r="I119" s="12" t="inlineStr">
        <is>
          <t>Pointé journal 2025</t>
        </is>
      </c>
      <c r="J119" s="12" t="inlineStr"/>
      <c r="K119" s="12" t="inlineStr"/>
      <c r="L119" s="12" t="inlineStr"/>
    </row>
    <row r="120">
      <c r="A120" s="22" t="inlineStr">
        <is>
          <t>26/11/2025</t>
        </is>
      </c>
      <c r="B120" s="22" t="inlineStr">
        <is>
          <t>00370-001280</t>
        </is>
      </c>
      <c r="C120" s="22" t="inlineStr">
        <is>
          <t>FRAIS VRT RTGS</t>
        </is>
      </c>
      <c r="D120" s="25" t="n">
        <v>487.54</v>
      </c>
      <c r="E120" s="25" t="n"/>
      <c r="F120" s="25" t="n">
        <v>4485988.31</v>
      </c>
      <c r="G120" s="12" t="inlineStr">
        <is>
          <t>2025-11</t>
        </is>
      </c>
      <c r="H120" s="12" t="inlineStr">
        <is>
          <t>Agios, commissions et frais</t>
        </is>
      </c>
      <c r="I120" s="12" t="inlineStr">
        <is>
          <t>Pointé journal 2025</t>
        </is>
      </c>
      <c r="J120" s="12" t="inlineStr"/>
      <c r="K120" s="12" t="inlineStr"/>
      <c r="L120" s="12" t="inlineStr"/>
    </row>
    <row r="121">
      <c r="A121" s="22" t="inlineStr">
        <is>
          <t>26/11/2025</t>
        </is>
      </c>
      <c r="B121" s="22" t="inlineStr">
        <is>
          <t>00370-000625</t>
        </is>
      </c>
      <c r="C121" s="22" t="inlineStr">
        <is>
          <t>COM.VRT EDI CAISSE</t>
        </is>
      </c>
      <c r="D121" s="25" t="n">
        <v>11.9</v>
      </c>
      <c r="E121" s="25" t="n"/>
      <c r="F121" s="25" t="n">
        <v>4485976.41</v>
      </c>
      <c r="G121" s="12" t="inlineStr">
        <is>
          <t>2025-11</t>
        </is>
      </c>
      <c r="H121" s="12" t="inlineStr">
        <is>
          <t>Agios, commissions et frais</t>
        </is>
      </c>
      <c r="I121" s="12" t="inlineStr">
        <is>
          <t>Pointé journal 2025</t>
        </is>
      </c>
      <c r="J121" s="12" t="inlineStr"/>
      <c r="K121" s="12" t="inlineStr"/>
      <c r="L121" s="12" t="inlineStr"/>
    </row>
    <row r="122">
      <c r="A122" s="22" t="inlineStr">
        <is>
          <t>26/11/2025</t>
        </is>
      </c>
      <c r="B122" s="22" t="inlineStr">
        <is>
          <t>00370-000625</t>
        </is>
      </c>
      <c r="C122" s="22" t="inlineStr">
        <is>
          <t>VRT EDI SIMPLE NOS C</t>
        </is>
      </c>
      <c r="D122" s="25" t="n">
        <v>990000</v>
      </c>
      <c r="E122" s="25" t="n"/>
      <c r="F122" s="25" t="n">
        <v>3495976.41</v>
      </c>
      <c r="G122" s="12" t="inlineStr">
        <is>
          <t>2025-11</t>
        </is>
      </c>
      <c r="H122" s="12" t="inlineStr">
        <is>
          <t>Fournisseurs, salaires et divers</t>
        </is>
      </c>
      <c r="I122" s="12" t="inlineStr">
        <is>
          <t>Pointé journal 2025</t>
        </is>
      </c>
      <c r="J122" s="12" t="inlineStr"/>
      <c r="K122" s="12" t="inlineStr"/>
      <c r="L122" s="12" t="inlineStr"/>
    </row>
    <row r="123">
      <c r="A123" s="22" t="inlineStr">
        <is>
          <t>26/11/2025</t>
        </is>
      </c>
      <c r="B123" s="22" t="inlineStr">
        <is>
          <t>99000-064968</t>
        </is>
      </c>
      <c r="C123" s="22" t="inlineStr">
        <is>
          <t>SORT CHQ NUM  2595585</t>
        </is>
      </c>
      <c r="D123" s="25" t="n"/>
      <c r="E123" s="25" t="n">
        <v>819000</v>
      </c>
      <c r="F123" s="25" t="n">
        <v>4314976.41</v>
      </c>
      <c r="G123" s="12" t="inlineStr">
        <is>
          <t>2025-11</t>
        </is>
      </c>
      <c r="H123" s="12" t="inlineStr">
        <is>
          <t>Encaissements clients</t>
        </is>
      </c>
      <c r="I123" s="12" t="inlineStr">
        <is>
          <t>Pointé journal 2025</t>
        </is>
      </c>
      <c r="J123" s="12" t="inlineStr"/>
      <c r="K123" s="12" t="inlineStr"/>
      <c r="L123" s="12" t="inlineStr"/>
    </row>
    <row r="124">
      <c r="A124" s="22" t="inlineStr">
        <is>
          <t>26/11/2025</t>
        </is>
      </c>
      <c r="B124" s="22" t="inlineStr">
        <is>
          <t>99000-064964</t>
        </is>
      </c>
      <c r="C124" s="22" t="inlineStr">
        <is>
          <t>SORT CHQ NUM  6389819</t>
        </is>
      </c>
      <c r="D124" s="25" t="n"/>
      <c r="E124" s="25" t="n">
        <v>150000</v>
      </c>
      <c r="F124" s="25" t="n">
        <v>4464976.41</v>
      </c>
      <c r="G124" s="12" t="inlineStr">
        <is>
          <t>2025-11</t>
        </is>
      </c>
      <c r="H124" s="12" t="inlineStr">
        <is>
          <t>Encaissements clients</t>
        </is>
      </c>
      <c r="I124" s="12" t="inlineStr">
        <is>
          <t>Pointé journal 2025</t>
        </is>
      </c>
      <c r="J124" s="12" t="inlineStr"/>
      <c r="K124" s="12" t="inlineStr"/>
      <c r="L124" s="12" t="inlineStr"/>
    </row>
    <row r="125">
      <c r="A125" s="22" t="inlineStr">
        <is>
          <t>26/11/2025</t>
        </is>
      </c>
      <c r="B125" s="22" t="inlineStr">
        <is>
          <t>99000-064968</t>
        </is>
      </c>
      <c r="C125" s="22" t="inlineStr">
        <is>
          <t>FRAIS REMISE CHQ N  2595585</t>
        </is>
      </c>
      <c r="D125" s="25" t="n">
        <v>238</v>
      </c>
      <c r="E125" s="25" t="n"/>
      <c r="F125" s="25" t="n">
        <v>4464738.41</v>
      </c>
      <c r="G125" s="12" t="inlineStr">
        <is>
          <t>2025-11</t>
        </is>
      </c>
      <c r="H125" s="12" t="inlineStr">
        <is>
          <t>Agios, commissions et frais</t>
        </is>
      </c>
      <c r="I125" s="12" t="inlineStr">
        <is>
          <t>Pointé journal 2025</t>
        </is>
      </c>
      <c r="J125" s="12" t="inlineStr"/>
      <c r="K125" s="12" t="inlineStr"/>
      <c r="L125" s="12" t="inlineStr"/>
    </row>
    <row r="126">
      <c r="A126" s="22" t="inlineStr">
        <is>
          <t>26/11/2025</t>
        </is>
      </c>
      <c r="B126" s="22" t="inlineStr">
        <is>
          <t>99000-064964</t>
        </is>
      </c>
      <c r="C126" s="22" t="inlineStr">
        <is>
          <t>FRAIS REMISE CHQ N  6389819</t>
        </is>
      </c>
      <c r="D126" s="25" t="n">
        <v>178.5</v>
      </c>
      <c r="E126" s="25" t="n"/>
      <c r="F126" s="25" t="n">
        <v>4464559.91</v>
      </c>
      <c r="G126" s="12" t="inlineStr">
        <is>
          <t>2025-11</t>
        </is>
      </c>
      <c r="H126" s="12" t="inlineStr">
        <is>
          <t>Agios, commissions et frais</t>
        </is>
      </c>
      <c r="I126" s="12" t="inlineStr">
        <is>
          <t>Pointé journal 2025</t>
        </is>
      </c>
      <c r="J126" s="12" t="inlineStr"/>
      <c r="K126" s="12" t="inlineStr"/>
      <c r="L126" s="12" t="inlineStr"/>
    </row>
    <row r="127">
      <c r="A127" s="22" t="inlineStr">
        <is>
          <t>27/11/2025</t>
        </is>
      </c>
      <c r="B127" s="22" t="inlineStr">
        <is>
          <t>00370-012715</t>
        </is>
      </c>
      <c r="C127" s="22" t="inlineStr">
        <is>
          <t>FRAIS VRT.</t>
        </is>
      </c>
      <c r="D127" s="25" t="n">
        <v>59.5</v>
      </c>
      <c r="E127" s="25" t="n"/>
      <c r="F127" s="25" t="n">
        <v>4464500.41</v>
      </c>
      <c r="G127" s="12" t="inlineStr">
        <is>
          <t>2025-11</t>
        </is>
      </c>
      <c r="H127" s="12" t="inlineStr">
        <is>
          <t>Agios, commissions et frais</t>
        </is>
      </c>
      <c r="I127" s="12" t="inlineStr">
        <is>
          <t>Pointé journal 2025</t>
        </is>
      </c>
      <c r="J127" s="12" t="inlineStr"/>
      <c r="K127" s="12" t="inlineStr"/>
      <c r="L127" s="12" t="inlineStr"/>
    </row>
    <row r="128">
      <c r="A128" s="22" t="inlineStr">
        <is>
          <t>27/11/2025</t>
        </is>
      </c>
      <c r="B128" s="22" t="inlineStr">
        <is>
          <t>00370-012715</t>
        </is>
      </c>
      <c r="C128" s="22" t="inlineStr">
        <is>
          <t>VRT. ORD. SARL DPR AXXAM</t>
        </is>
      </c>
      <c r="D128" s="25" t="n">
        <v>9350000</v>
      </c>
      <c r="E128" s="25" t="n"/>
      <c r="F128" s="25" t="n">
        <v>-4885499.59</v>
      </c>
      <c r="G128" s="12" t="inlineStr">
        <is>
          <t>2025-11</t>
        </is>
      </c>
      <c r="H128" s="12" t="inlineStr">
        <is>
          <t>DPR AXXAM (partie liée)</t>
        </is>
      </c>
      <c r="I128" s="12" t="inlineStr">
        <is>
          <t>Pointé journal 2025</t>
        </is>
      </c>
      <c r="J128" s="12" t="inlineStr"/>
      <c r="K128" s="12" t="inlineStr"/>
      <c r="L128" s="12" t="inlineStr"/>
    </row>
    <row r="129">
      <c r="A129" s="22" t="inlineStr">
        <is>
          <t>30/11/2025</t>
        </is>
      </c>
      <c r="B129" s="22" t="inlineStr">
        <is>
          <t>00370-000628</t>
        </is>
      </c>
      <c r="C129" s="22" t="inlineStr">
        <is>
          <t>COM.VRT EDI CAISSE</t>
        </is>
      </c>
      <c r="D129" s="25" t="n">
        <v>11.9</v>
      </c>
      <c r="E129" s="25" t="n"/>
      <c r="F129" s="25" t="n">
        <v>-4885511.49</v>
      </c>
      <c r="G129" s="12" t="inlineStr">
        <is>
          <t>2025-11</t>
        </is>
      </c>
      <c r="H129" s="12" t="inlineStr">
        <is>
          <t>Agios, commissions et frais</t>
        </is>
      </c>
      <c r="I129" s="12" t="inlineStr">
        <is>
          <t>Pointé journal 2025</t>
        </is>
      </c>
      <c r="J129" s="12" t="inlineStr"/>
      <c r="K129" s="12" t="inlineStr"/>
      <c r="L129" s="12" t="inlineStr"/>
    </row>
    <row r="130">
      <c r="A130" s="22" t="inlineStr">
        <is>
          <t>30/11/2025</t>
        </is>
      </c>
      <c r="B130" s="22" t="inlineStr">
        <is>
          <t>00370-000628</t>
        </is>
      </c>
      <c r="C130" s="22" t="inlineStr">
        <is>
          <t>VRT EDI SIMPLE NOS C</t>
        </is>
      </c>
      <c r="D130" s="25" t="n">
        <v>500000</v>
      </c>
      <c r="E130" s="25" t="n"/>
      <c r="F130" s="25" t="n">
        <v>-5385511.49</v>
      </c>
      <c r="G130" s="12" t="inlineStr">
        <is>
          <t>2025-11</t>
        </is>
      </c>
      <c r="H130" s="12" t="inlineStr">
        <is>
          <t>Fournisseurs, salaires et divers</t>
        </is>
      </c>
      <c r="I130" s="12" t="inlineStr">
        <is>
          <t>Pointé journal 2025</t>
        </is>
      </c>
      <c r="J130" s="12" t="inlineStr"/>
      <c r="K130" s="12" t="inlineStr"/>
      <c r="L130" s="12" t="inlineStr"/>
    </row>
    <row r="131">
      <c r="A131" s="22" t="inlineStr">
        <is>
          <t>30/11/2025</t>
        </is>
      </c>
      <c r="B131" s="22" t="inlineStr">
        <is>
          <t>00370-117673</t>
        </is>
      </c>
      <c r="C131" s="22" t="inlineStr">
        <is>
          <t>PAIEMENT CHQ NUM  2125713</t>
        </is>
      </c>
      <c r="D131" s="25" t="n">
        <v>737908</v>
      </c>
      <c r="E131" s="25" t="n"/>
      <c r="F131" s="25" t="n">
        <v>-6123419.49</v>
      </c>
      <c r="G131" s="12" t="inlineStr">
        <is>
          <t>2025-11</t>
        </is>
      </c>
      <c r="H131" s="12" t="inlineStr">
        <is>
          <t>Fournisseurs, salaires et divers</t>
        </is>
      </c>
      <c r="I131" s="12" t="inlineStr">
        <is>
          <t>Pointé journal 2025</t>
        </is>
      </c>
      <c r="J131" s="12" t="inlineStr"/>
      <c r="K131" s="12" t="inlineStr"/>
      <c r="L131" s="12" t="inlineStr"/>
    </row>
    <row r="132">
      <c r="A132" s="22" t="inlineStr">
        <is>
          <t>30/11/2025</t>
        </is>
      </c>
      <c r="B132" s="22" t="inlineStr">
        <is>
          <t>00370-117673</t>
        </is>
      </c>
      <c r="C132" s="22" t="inlineStr">
        <is>
          <t>PERCEP.COM SUR PAIEMENTS CHQ</t>
        </is>
      </c>
      <c r="D132" s="25" t="n">
        <v>59.5</v>
      </c>
      <c r="E132" s="25" t="n"/>
      <c r="F132" s="25" t="n">
        <v>-6123478.99</v>
      </c>
      <c r="G132" s="12" t="inlineStr">
        <is>
          <t>2025-11</t>
        </is>
      </c>
      <c r="H132" s="12" t="inlineStr">
        <is>
          <t>Agios, commissions et frais</t>
        </is>
      </c>
      <c r="I132" s="12" t="inlineStr">
        <is>
          <t>Pointé journal 2025</t>
        </is>
      </c>
      <c r="J132" s="12" t="inlineStr"/>
      <c r="K132" s="12" t="inlineStr"/>
      <c r="L132" s="12" t="inlineStr"/>
    </row>
    <row r="133">
      <c r="A133" s="22" t="inlineStr">
        <is>
          <t>30/11/2025</t>
        </is>
      </c>
      <c r="B133" s="22" t="inlineStr">
        <is>
          <t>99000-064991</t>
        </is>
      </c>
      <c r="C133" s="22" t="inlineStr">
        <is>
          <t>SORT CHQ NUM  4934237</t>
        </is>
      </c>
      <c r="D133" s="25" t="n"/>
      <c r="E133" s="25" t="n">
        <v>20230</v>
      </c>
      <c r="F133" s="25" t="n">
        <v>-6103248.99</v>
      </c>
      <c r="G133" s="12" t="inlineStr">
        <is>
          <t>2025-11</t>
        </is>
      </c>
      <c r="H133" s="12" t="inlineStr">
        <is>
          <t>Encaissements clients</t>
        </is>
      </c>
      <c r="I133" s="12" t="inlineStr">
        <is>
          <t>Pointé journal 2025</t>
        </is>
      </c>
      <c r="J133" s="12" t="inlineStr"/>
      <c r="K133" s="12" t="inlineStr"/>
      <c r="L133" s="12" t="inlineStr"/>
    </row>
    <row r="134">
      <c r="A134" s="22" t="inlineStr">
        <is>
          <t>30/11/2025</t>
        </is>
      </c>
      <c r="B134" s="22" t="inlineStr">
        <is>
          <t>99000-064995</t>
        </is>
      </c>
      <c r="C134" s="22" t="inlineStr">
        <is>
          <t>SORT CHQ NUM  4215559</t>
        </is>
      </c>
      <c r="D134" s="25" t="n"/>
      <c r="E134" s="25" t="n">
        <v>2050000</v>
      </c>
      <c r="F134" s="25" t="n">
        <v>-4053248.99</v>
      </c>
      <c r="G134" s="12" t="inlineStr">
        <is>
          <t>2025-11</t>
        </is>
      </c>
      <c r="H134" s="12" t="inlineStr">
        <is>
          <t>Encaissements clients</t>
        </is>
      </c>
      <c r="I134" s="12" t="inlineStr">
        <is>
          <t>Pointé journal 2025</t>
        </is>
      </c>
      <c r="J134" s="12" t="inlineStr"/>
      <c r="K134" s="12" t="inlineStr"/>
      <c r="L134" s="12" t="inlineStr"/>
    </row>
    <row r="135">
      <c r="A135" s="22" t="inlineStr">
        <is>
          <t>30/11/2025</t>
        </is>
      </c>
      <c r="B135" s="22" t="inlineStr">
        <is>
          <t>99000-064997</t>
        </is>
      </c>
      <c r="C135" s="22" t="inlineStr">
        <is>
          <t>SORT CHQ NUM  4215561</t>
        </is>
      </c>
      <c r="D135" s="25" t="n"/>
      <c r="E135" s="25" t="n">
        <v>2250000</v>
      </c>
      <c r="F135" s="25" t="n">
        <v>-1803248.99</v>
      </c>
      <c r="G135" s="12" t="inlineStr">
        <is>
          <t>2025-11</t>
        </is>
      </c>
      <c r="H135" s="12" t="inlineStr">
        <is>
          <t>Encaissements clients</t>
        </is>
      </c>
      <c r="I135" s="12" t="inlineStr">
        <is>
          <t>Pointé journal 2025</t>
        </is>
      </c>
      <c r="J135" s="12" t="inlineStr"/>
      <c r="K135" s="12" t="inlineStr"/>
      <c r="L135" s="12" t="inlineStr"/>
    </row>
    <row r="136">
      <c r="A136" s="22" t="inlineStr">
        <is>
          <t>30/11/2025</t>
        </is>
      </c>
      <c r="B136" s="22" t="inlineStr">
        <is>
          <t>99000-064999</t>
        </is>
      </c>
      <c r="C136" s="22" t="inlineStr">
        <is>
          <t>SORT CHQ NUM  4215560</t>
        </is>
      </c>
      <c r="D136" s="25" t="n"/>
      <c r="E136" s="25" t="n">
        <v>2200000</v>
      </c>
      <c r="F136" s="25" t="n">
        <v>396751.01</v>
      </c>
      <c r="G136" s="12" t="inlineStr">
        <is>
          <t>2025-11</t>
        </is>
      </c>
      <c r="H136" s="12" t="inlineStr">
        <is>
          <t>Encaissements clients</t>
        </is>
      </c>
      <c r="I136" s="12" t="inlineStr">
        <is>
          <t>Pointé journal 2025</t>
        </is>
      </c>
      <c r="J136" s="12" t="inlineStr"/>
      <c r="K136" s="12" t="inlineStr"/>
      <c r="L136" s="12" t="inlineStr"/>
    </row>
    <row r="137">
      <c r="A137" s="22" t="inlineStr">
        <is>
          <t>30/11/2025</t>
        </is>
      </c>
      <c r="B137" s="22" t="inlineStr">
        <is>
          <t>99000-064991</t>
        </is>
      </c>
      <c r="C137" s="22" t="inlineStr">
        <is>
          <t>FRAIS REMISE CHQ N  4934237</t>
        </is>
      </c>
      <c r="D137" s="25" t="n">
        <v>59.5</v>
      </c>
      <c r="E137" s="25" t="n"/>
      <c r="F137" s="25" t="n">
        <v>396691.51</v>
      </c>
      <c r="G137" s="12" t="inlineStr">
        <is>
          <t>2025-11</t>
        </is>
      </c>
      <c r="H137" s="12" t="inlineStr">
        <is>
          <t>Agios, commissions et frais</t>
        </is>
      </c>
      <c r="I137" s="12" t="inlineStr">
        <is>
          <t>Pointé journal 2025</t>
        </is>
      </c>
      <c r="J137" s="12" t="inlineStr"/>
      <c r="K137" s="12" t="inlineStr"/>
      <c r="L137" s="12" t="inlineStr"/>
    </row>
    <row r="138">
      <c r="A138" s="22" t="inlineStr">
        <is>
          <t>30/11/2025</t>
        </is>
      </c>
      <c r="B138" s="22" t="inlineStr">
        <is>
          <t>99000-064995</t>
        </is>
      </c>
      <c r="C138" s="22" t="inlineStr">
        <is>
          <t>FRAIS REMISE CHQ N  4215559</t>
        </is>
      </c>
      <c r="D138" s="25" t="n">
        <v>238</v>
      </c>
      <c r="E138" s="25" t="n"/>
      <c r="F138" s="25" t="n">
        <v>396453.51</v>
      </c>
      <c r="G138" s="12" t="inlineStr">
        <is>
          <t>2025-11</t>
        </is>
      </c>
      <c r="H138" s="12" t="inlineStr">
        <is>
          <t>Agios, commissions et frais</t>
        </is>
      </c>
      <c r="I138" s="12" t="inlineStr">
        <is>
          <t>Pointé journal 2025</t>
        </is>
      </c>
      <c r="J138" s="12" t="inlineStr"/>
      <c r="K138" s="12" t="inlineStr"/>
      <c r="L138" s="12" t="inlineStr"/>
    </row>
    <row r="139">
      <c r="A139" s="22" t="inlineStr">
        <is>
          <t>30/11/2025</t>
        </is>
      </c>
      <c r="B139" s="22" t="inlineStr">
        <is>
          <t>99000-064997</t>
        </is>
      </c>
      <c r="C139" s="22" t="inlineStr">
        <is>
          <t>FRAIS REMISE CHQ N  4215561</t>
        </is>
      </c>
      <c r="D139" s="25" t="n">
        <v>238</v>
      </c>
      <c r="E139" s="25" t="n"/>
      <c r="F139" s="25" t="n">
        <v>396215.51</v>
      </c>
      <c r="G139" s="12" t="inlineStr">
        <is>
          <t>2025-11</t>
        </is>
      </c>
      <c r="H139" s="12" t="inlineStr">
        <is>
          <t>Agios, commissions et frais</t>
        </is>
      </c>
      <c r="I139" s="12" t="inlineStr">
        <is>
          <t>Pointé journal 2025</t>
        </is>
      </c>
      <c r="J139" s="12" t="inlineStr"/>
      <c r="K139" s="12" t="inlineStr"/>
      <c r="L139" s="12" t="inlineStr"/>
    </row>
    <row r="140">
      <c r="A140" s="22" t="inlineStr">
        <is>
          <t>30/11/2025</t>
        </is>
      </c>
      <c r="B140" s="22" t="inlineStr">
        <is>
          <t>99000-064999</t>
        </is>
      </c>
      <c r="C140" s="22" t="inlineStr">
        <is>
          <t>FRAIS REMISE CHQ N  4215560</t>
        </is>
      </c>
      <c r="D140" s="25" t="n">
        <v>238</v>
      </c>
      <c r="E140" s="25" t="n"/>
      <c r="F140" s="25" t="n">
        <v>395977.51</v>
      </c>
      <c r="G140" s="12" t="inlineStr">
        <is>
          <t>2025-11</t>
        </is>
      </c>
      <c r="H140" s="12" t="inlineStr">
        <is>
          <t>Agios, commissions et frais</t>
        </is>
      </c>
      <c r="I140" s="12" t="inlineStr">
        <is>
          <t>Pointé journal 2025</t>
        </is>
      </c>
      <c r="J140" s="12" t="inlineStr"/>
      <c r="K140" s="12" t="inlineStr"/>
      <c r="L140" s="12" t="inlineStr"/>
    </row>
    <row r="141">
      <c r="A141" s="22" t="inlineStr">
        <is>
          <t>30/11/2025</t>
        </is>
      </c>
      <c r="B141" s="22" t="inlineStr">
        <is>
          <t>99000-005241</t>
        </is>
      </c>
      <c r="C141" s="22" t="inlineStr">
        <is>
          <t>PERCEPTION DES COMMISSIONS</t>
        </is>
      </c>
      <c r="D141" s="25" t="n">
        <v>304.12</v>
      </c>
      <c r="E141" s="25" t="n"/>
      <c r="F141" s="25" t="n">
        <v>395673.39</v>
      </c>
      <c r="G141" s="12" t="inlineStr">
        <is>
          <t>2025-11</t>
        </is>
      </c>
      <c r="H141" s="12" t="inlineStr">
        <is>
          <t>Agios, commissions et frais</t>
        </is>
      </c>
      <c r="I141" s="12" t="inlineStr">
        <is>
          <t>Pointé journal 2025</t>
        </is>
      </c>
      <c r="J141" s="12" t="inlineStr"/>
      <c r="K141" s="12" t="inlineStr"/>
      <c r="L141" s="12" t="inlineStr"/>
    </row>
    <row r="142">
      <c r="A142" s="22" t="inlineStr">
        <is>
          <t>01/12/2025</t>
        </is>
      </c>
      <c r="B142" s="22" t="inlineStr">
        <is>
          <t>00404-002497</t>
        </is>
      </c>
      <c r="C142" s="22" t="inlineStr">
        <is>
          <t>VERSEMENT EURL BS COMMERCE</t>
        </is>
      </c>
      <c r="D142" s="25" t="n"/>
      <c r="E142" s="25" t="n">
        <v>467000</v>
      </c>
      <c r="F142" s="25" t="n">
        <v>862673.39</v>
      </c>
      <c r="G142" s="12" t="inlineStr">
        <is>
          <t>2025-12</t>
        </is>
      </c>
      <c r="H142" s="12" t="inlineStr">
        <is>
          <t>Encaissements clients</t>
        </is>
      </c>
      <c r="I142" s="12" t="inlineStr">
        <is>
          <t>Pointé journal 2025</t>
        </is>
      </c>
      <c r="J142" s="12" t="inlineStr"/>
      <c r="K142" s="12" t="inlineStr"/>
      <c r="L142" s="12" t="inlineStr"/>
    </row>
    <row r="143">
      <c r="A143" s="22" t="inlineStr">
        <is>
          <t>01/12/2025</t>
        </is>
      </c>
      <c r="B143" s="22" t="inlineStr">
        <is>
          <t>99000-065006</t>
        </is>
      </c>
      <c r="C143" s="22" t="inlineStr">
        <is>
          <t>SORT CHQ NUM  6093856</t>
        </is>
      </c>
      <c r="D143" s="25" t="n"/>
      <c r="E143" s="25" t="n">
        <v>3936758</v>
      </c>
      <c r="F143" s="25" t="n">
        <v>4799431.39</v>
      </c>
      <c r="G143" s="12" t="inlineStr">
        <is>
          <t>2025-12</t>
        </is>
      </c>
      <c r="H143" s="12" t="inlineStr">
        <is>
          <t>Encaissements clients</t>
        </is>
      </c>
      <c r="I143" s="12" t="inlineStr">
        <is>
          <t>Pointé journal 2025</t>
        </is>
      </c>
      <c r="J143" s="12" t="inlineStr"/>
      <c r="K143" s="12" t="inlineStr"/>
      <c r="L143" s="12" t="inlineStr"/>
    </row>
    <row r="144">
      <c r="A144" s="22" t="inlineStr">
        <is>
          <t>01/12/2025</t>
        </is>
      </c>
      <c r="B144" s="22" t="inlineStr">
        <is>
          <t>99000-065006</t>
        </is>
      </c>
      <c r="C144" s="22" t="inlineStr">
        <is>
          <t>FRAIS REMISE CHQ N  6093856</t>
        </is>
      </c>
      <c r="D144" s="25" t="n">
        <v>238</v>
      </c>
      <c r="E144" s="25" t="n"/>
      <c r="F144" s="25" t="n">
        <v>4799193.39</v>
      </c>
      <c r="G144" s="12" t="inlineStr">
        <is>
          <t>2025-12</t>
        </is>
      </c>
      <c r="H144" s="12" t="inlineStr">
        <is>
          <t>Agios, commissions et frais</t>
        </is>
      </c>
      <c r="I144" s="12" t="inlineStr">
        <is>
          <t>Pointé journal 2025</t>
        </is>
      </c>
      <c r="J144" s="12" t="inlineStr"/>
      <c r="K144" s="12" t="inlineStr"/>
      <c r="L144" s="12" t="inlineStr"/>
    </row>
    <row r="145">
      <c r="A145" s="22" t="inlineStr">
        <is>
          <t>01/12/2025</t>
        </is>
      </c>
      <c r="B145" s="22" t="inlineStr">
        <is>
          <t>99000-005243</t>
        </is>
      </c>
      <c r="C145" s="22" t="inlineStr">
        <is>
          <t>PERCEPTION DES COMMISSIONS</t>
        </is>
      </c>
      <c r="D145" s="25" t="n">
        <v>267.75</v>
      </c>
      <c r="E145" s="25" t="n"/>
      <c r="F145" s="25" t="n">
        <v>4798925.64</v>
      </c>
      <c r="G145" s="12" t="inlineStr">
        <is>
          <t>2025-12</t>
        </is>
      </c>
      <c r="H145" s="12" t="inlineStr">
        <is>
          <t>Agios, commissions et frais</t>
        </is>
      </c>
      <c r="I145" s="12" t="inlineStr">
        <is>
          <t>Pointé journal 2025</t>
        </is>
      </c>
      <c r="J145" s="12" t="inlineStr"/>
      <c r="K145" s="12" t="inlineStr"/>
      <c r="L145" s="12" t="inlineStr"/>
    </row>
    <row r="146">
      <c r="A146" s="22" t="inlineStr">
        <is>
          <t>02/12/2025</t>
        </is>
      </c>
      <c r="B146" s="22" t="inlineStr">
        <is>
          <t>99000-005244</t>
        </is>
      </c>
      <c r="C146" s="22" t="inlineStr">
        <is>
          <t>PERCEPTION DES COMMISSIONS</t>
        </is>
      </c>
      <c r="D146" s="25" t="n">
        <v>595</v>
      </c>
      <c r="E146" s="25" t="n"/>
      <c r="F146" s="25" t="n">
        <v>4798330.64</v>
      </c>
      <c r="G146" s="12" t="inlineStr">
        <is>
          <t>2025-12</t>
        </is>
      </c>
      <c r="H146" s="12" t="inlineStr">
        <is>
          <t>Agios, commissions et frais</t>
        </is>
      </c>
      <c r="I146" s="12" t="inlineStr">
        <is>
          <t>Pointé journal 2025</t>
        </is>
      </c>
      <c r="J146" s="12" t="inlineStr"/>
      <c r="K146" s="12" t="inlineStr"/>
      <c r="L146" s="12" t="inlineStr"/>
    </row>
    <row r="147">
      <c r="A147" s="22" t="inlineStr">
        <is>
          <t>02/12/2025</t>
        </is>
      </c>
      <c r="B147" s="22" t="inlineStr">
        <is>
          <t>99000-005246</t>
        </is>
      </c>
      <c r="C147" s="22" t="inlineStr">
        <is>
          <t>PERCEPTION DES COMMISSIONS</t>
        </is>
      </c>
      <c r="D147" s="25" t="n">
        <v>595</v>
      </c>
      <c r="E147" s="25" t="n"/>
      <c r="F147" s="25" t="n">
        <v>4797735.64</v>
      </c>
      <c r="G147" s="12" t="inlineStr">
        <is>
          <t>2025-12</t>
        </is>
      </c>
      <c r="H147" s="12" t="inlineStr">
        <is>
          <t>Agios, commissions et frais</t>
        </is>
      </c>
      <c r="I147" s="12" t="inlineStr">
        <is>
          <t>Pointé journal 2025</t>
        </is>
      </c>
      <c r="J147" s="12" t="inlineStr"/>
      <c r="K147" s="12" t="inlineStr"/>
      <c r="L147" s="12" t="inlineStr"/>
    </row>
    <row r="148">
      <c r="A148" s="22" t="inlineStr">
        <is>
          <t>02/12/2025</t>
        </is>
      </c>
      <c r="B148" s="22" t="inlineStr">
        <is>
          <t>99000-005245</t>
        </is>
      </c>
      <c r="C148" s="22" t="inlineStr">
        <is>
          <t>PERCEPTION DES COMMISSIONS</t>
        </is>
      </c>
      <c r="D148" s="25" t="n">
        <v>595</v>
      </c>
      <c r="E148" s="25" t="n"/>
      <c r="F148" s="25" t="n">
        <v>4797140.64</v>
      </c>
      <c r="G148" s="12" t="inlineStr">
        <is>
          <t>2025-12</t>
        </is>
      </c>
      <c r="H148" s="12" t="inlineStr">
        <is>
          <t>Agios, commissions et frais</t>
        </is>
      </c>
      <c r="I148" s="12" t="inlineStr">
        <is>
          <t>Pointé journal 2025</t>
        </is>
      </c>
      <c r="J148" s="12" t="inlineStr"/>
      <c r="K148" s="12" t="inlineStr"/>
      <c r="L148" s="12" t="inlineStr"/>
    </row>
    <row r="149">
      <c r="A149" s="22" t="inlineStr">
        <is>
          <t>03/12/2025</t>
        </is>
      </c>
      <c r="B149" s="22" t="inlineStr">
        <is>
          <t>00370-117750</t>
        </is>
      </c>
      <c r="C149" s="22" t="inlineStr">
        <is>
          <t>PAIEMENT CHQ NUM  2125723</t>
        </is>
      </c>
      <c r="D149" s="25" t="n">
        <v>1800000</v>
      </c>
      <c r="E149" s="25" t="n"/>
      <c r="F149" s="25" t="n">
        <v>2997140.64</v>
      </c>
      <c r="G149" s="12" t="inlineStr">
        <is>
          <t>2025-12</t>
        </is>
      </c>
      <c r="H149" s="12" t="inlineStr">
        <is>
          <t>Fournisseurs, salaires et divers</t>
        </is>
      </c>
      <c r="I149" s="12" t="inlineStr">
        <is>
          <t>Pointé journal 2025</t>
        </is>
      </c>
      <c r="J149" s="12" t="inlineStr"/>
      <c r="K149" s="12" t="inlineStr"/>
      <c r="L149" s="12" t="inlineStr"/>
    </row>
    <row r="150">
      <c r="A150" s="22" t="inlineStr">
        <is>
          <t>03/12/2025</t>
        </is>
      </c>
      <c r="B150" s="22" t="inlineStr">
        <is>
          <t>00370-117750</t>
        </is>
      </c>
      <c r="C150" s="22" t="inlineStr">
        <is>
          <t>PERCEP.COM SUR PAIEMENTS CHQ</t>
        </is>
      </c>
      <c r="D150" s="25" t="n">
        <v>59.5</v>
      </c>
      <c r="E150" s="25" t="n"/>
      <c r="F150" s="25" t="n">
        <v>2997081.14</v>
      </c>
      <c r="G150" s="12" t="inlineStr">
        <is>
          <t>2025-12</t>
        </is>
      </c>
      <c r="H150" s="12" t="inlineStr">
        <is>
          <t>Agios, commissions et frais</t>
        </is>
      </c>
      <c r="I150" s="12" t="inlineStr">
        <is>
          <t>Pointé journal 2025</t>
        </is>
      </c>
      <c r="J150" s="12" t="inlineStr"/>
      <c r="K150" s="12" t="inlineStr"/>
      <c r="L150" s="12" t="inlineStr"/>
    </row>
    <row r="151">
      <c r="A151" s="22" t="inlineStr">
        <is>
          <t>07/12/2025</t>
        </is>
      </c>
      <c r="B151" s="22" t="inlineStr">
        <is>
          <t>00370-117790</t>
        </is>
      </c>
      <c r="C151" s="22" t="inlineStr">
        <is>
          <t>PAIEMENT CHQ NUM  2125714</t>
        </is>
      </c>
      <c r="D151" s="25" t="n">
        <v>286931.49</v>
      </c>
      <c r="E151" s="25" t="n"/>
      <c r="F151" s="25" t="n">
        <v>2710149.65</v>
      </c>
      <c r="G151" s="12" t="inlineStr">
        <is>
          <t>2025-12</t>
        </is>
      </c>
      <c r="H151" s="12" t="inlineStr">
        <is>
          <t>Fournisseurs, salaires et divers</t>
        </is>
      </c>
      <c r="I151" s="12" t="inlineStr">
        <is>
          <t>Pointé journal 2025</t>
        </is>
      </c>
      <c r="J151" s="12" t="inlineStr"/>
      <c r="K151" s="12" t="inlineStr"/>
      <c r="L151" s="12" t="inlineStr"/>
    </row>
    <row r="152">
      <c r="A152" s="22" t="inlineStr">
        <is>
          <t>07/12/2025</t>
        </is>
      </c>
      <c r="B152" s="22" t="inlineStr">
        <is>
          <t>00370-117790</t>
        </is>
      </c>
      <c r="C152" s="22" t="inlineStr">
        <is>
          <t>PERCEP.COM SUR PAIEMENTS CHQ</t>
        </is>
      </c>
      <c r="D152" s="25" t="n">
        <v>59.5</v>
      </c>
      <c r="E152" s="25" t="n"/>
      <c r="F152" s="25" t="n">
        <v>2710090.15</v>
      </c>
      <c r="G152" s="12" t="inlineStr">
        <is>
          <t>2025-12</t>
        </is>
      </c>
      <c r="H152" s="12" t="inlineStr">
        <is>
          <t>Agios, commissions et frais</t>
        </is>
      </c>
      <c r="I152" s="12" t="inlineStr">
        <is>
          <t>Pointé journal 2025</t>
        </is>
      </c>
      <c r="J152" s="12" t="inlineStr"/>
      <c r="K152" s="12" t="inlineStr"/>
      <c r="L152" s="12" t="inlineStr"/>
    </row>
    <row r="153">
      <c r="A153" s="22" t="inlineStr">
        <is>
          <t>08/12/2025</t>
        </is>
      </c>
      <c r="B153" s="22" t="inlineStr">
        <is>
          <t>00370-117825</t>
        </is>
      </c>
      <c r="C153" s="22" t="inlineStr">
        <is>
          <t>PAIEMENT CHQ NUM  2125721</t>
        </is>
      </c>
      <c r="D153" s="25" t="n">
        <v>3139400</v>
      </c>
      <c r="E153" s="25" t="n"/>
      <c r="F153" s="25" t="n">
        <v>-429309.85</v>
      </c>
      <c r="G153" s="12" t="inlineStr">
        <is>
          <t>2025-12</t>
        </is>
      </c>
      <c r="H153" s="12" t="inlineStr">
        <is>
          <t>Fournisseurs, salaires et divers</t>
        </is>
      </c>
      <c r="I153" s="12" t="inlineStr">
        <is>
          <t>Pointé journal 2025</t>
        </is>
      </c>
      <c r="J153" s="12" t="inlineStr"/>
      <c r="K153" s="12" t="inlineStr"/>
      <c r="L153" s="12" t="inlineStr"/>
    </row>
    <row r="154">
      <c r="A154" s="22" t="inlineStr">
        <is>
          <t>08/12/2025</t>
        </is>
      </c>
      <c r="B154" s="22" t="inlineStr">
        <is>
          <t>00370-117824</t>
        </is>
      </c>
      <c r="C154" s="22" t="inlineStr">
        <is>
          <t>PAIEMENT CHQ NUM  2125719</t>
        </is>
      </c>
      <c r="D154" s="25" t="n">
        <v>3953100</v>
      </c>
      <c r="E154" s="25" t="n"/>
      <c r="F154" s="25" t="n">
        <v>-4382409.85</v>
      </c>
      <c r="G154" s="12" t="inlineStr">
        <is>
          <t>2025-12</t>
        </is>
      </c>
      <c r="H154" s="12" t="inlineStr">
        <is>
          <t>Fournisseurs, salaires et divers</t>
        </is>
      </c>
      <c r="I154" s="12" t="inlineStr">
        <is>
          <t>Pointé journal 2025</t>
        </is>
      </c>
      <c r="J154" s="12" t="inlineStr"/>
      <c r="K154" s="12" t="inlineStr"/>
      <c r="L154" s="12" t="inlineStr"/>
    </row>
    <row r="155">
      <c r="A155" s="22" t="inlineStr">
        <is>
          <t>08/12/2025</t>
        </is>
      </c>
      <c r="B155" s="22" t="inlineStr">
        <is>
          <t>00370-117825</t>
        </is>
      </c>
      <c r="C155" s="22" t="inlineStr">
        <is>
          <t>PERCEP.COM SUR PAIEMENTS CHQ</t>
        </is>
      </c>
      <c r="D155" s="25" t="n">
        <v>59.5</v>
      </c>
      <c r="E155" s="25" t="n"/>
      <c r="F155" s="25" t="n">
        <v>-4382469.35</v>
      </c>
      <c r="G155" s="12" t="inlineStr">
        <is>
          <t>2025-12</t>
        </is>
      </c>
      <c r="H155" s="12" t="inlineStr">
        <is>
          <t>Agios, commissions et frais</t>
        </is>
      </c>
      <c r="I155" s="12" t="inlineStr">
        <is>
          <t>Pointé journal 2025</t>
        </is>
      </c>
      <c r="J155" s="12" t="inlineStr"/>
      <c r="K155" s="12" t="inlineStr"/>
      <c r="L155" s="12" t="inlineStr"/>
    </row>
    <row r="156">
      <c r="A156" s="22" t="inlineStr">
        <is>
          <t>08/12/2025</t>
        </is>
      </c>
      <c r="B156" s="22" t="inlineStr">
        <is>
          <t>00370-117824</t>
        </is>
      </c>
      <c r="C156" s="22" t="inlineStr">
        <is>
          <t>PERCEP.COM SUR PAIEMENTS CHQ</t>
        </is>
      </c>
      <c r="D156" s="25" t="n">
        <v>59.5</v>
      </c>
      <c r="E156" s="25" t="n"/>
      <c r="F156" s="25" t="n">
        <v>-4382528.85</v>
      </c>
      <c r="G156" s="12" t="inlineStr">
        <is>
          <t>2025-12</t>
        </is>
      </c>
      <c r="H156" s="12" t="inlineStr">
        <is>
          <t>Agios, commissions et frais</t>
        </is>
      </c>
      <c r="I156" s="12" t="inlineStr">
        <is>
          <t>Pointé journal 2025</t>
        </is>
      </c>
      <c r="J156" s="12" t="inlineStr"/>
      <c r="K156" s="12" t="inlineStr"/>
      <c r="L156" s="12" t="inlineStr"/>
    </row>
    <row r="157">
      <c r="A157" s="22" t="inlineStr">
        <is>
          <t>10/12/2025</t>
        </is>
      </c>
      <c r="B157" s="22" t="inlineStr">
        <is>
          <t>00370-000536</t>
        </is>
      </c>
      <c r="C157" s="22" t="inlineStr">
        <is>
          <t>VRT EDI AUTRES BQUES</t>
        </is>
      </c>
      <c r="D157" s="25" t="n">
        <v>563043.49</v>
      </c>
      <c r="E157" s="25" t="n"/>
      <c r="F157" s="25" t="n">
        <v>-4945572.34</v>
      </c>
      <c r="G157" s="12" t="inlineStr">
        <is>
          <t>2025-12</t>
        </is>
      </c>
      <c r="H157" s="12" t="inlineStr">
        <is>
          <t>Fournisseurs, salaires et divers</t>
        </is>
      </c>
      <c r="I157" s="12" t="inlineStr">
        <is>
          <t>Pointé journal 2025</t>
        </is>
      </c>
      <c r="J157" s="12" t="inlineStr"/>
      <c r="K157" s="12" t="inlineStr"/>
      <c r="L157" s="12" t="inlineStr"/>
    </row>
    <row r="158">
      <c r="A158" s="22" t="inlineStr">
        <is>
          <t>10/12/2025</t>
        </is>
      </c>
      <c r="B158" s="22" t="inlineStr">
        <is>
          <t>00370-000536</t>
        </is>
      </c>
      <c r="C158" s="22" t="inlineStr">
        <is>
          <t>COM.VRT EDI BQUE</t>
        </is>
      </c>
      <c r="D158" s="25" t="n">
        <v>214.2</v>
      </c>
      <c r="E158" s="25" t="n"/>
      <c r="F158" s="25" t="n">
        <v>-4945786.54</v>
      </c>
      <c r="G158" s="12" t="inlineStr">
        <is>
          <t>2025-12</t>
        </is>
      </c>
      <c r="H158" s="12" t="inlineStr">
        <is>
          <t>Agios, commissions et frais</t>
        </is>
      </c>
      <c r="I158" s="12" t="inlineStr">
        <is>
          <t>Pointé journal 2025</t>
        </is>
      </c>
      <c r="J158" s="12" t="inlineStr"/>
      <c r="K158" s="12" t="inlineStr"/>
      <c r="L158" s="12" t="inlineStr"/>
    </row>
    <row r="159">
      <c r="A159" s="22" t="inlineStr">
        <is>
          <t>11/12/2025</t>
        </is>
      </c>
      <c r="B159" s="22" t="inlineStr">
        <is>
          <t>00370-001018</t>
        </is>
      </c>
      <c r="C159" s="22" t="inlineStr">
        <is>
          <t>COM.VRT EDI BQUE</t>
        </is>
      </c>
      <c r="D159" s="25" t="n">
        <v>35.7</v>
      </c>
      <c r="E159" s="25" t="n"/>
      <c r="F159" s="25" t="n">
        <v>-4945822.24</v>
      </c>
      <c r="G159" s="12" t="inlineStr">
        <is>
          <t>2025-12</t>
        </is>
      </c>
      <c r="H159" s="12" t="inlineStr">
        <is>
          <t>Agios, commissions et frais</t>
        </is>
      </c>
      <c r="I159" s="12" t="inlineStr">
        <is>
          <t>Pointé journal 2025</t>
        </is>
      </c>
      <c r="J159" s="12" t="inlineStr"/>
      <c r="K159" s="12" t="inlineStr"/>
      <c r="L159" s="12" t="inlineStr"/>
    </row>
    <row r="160">
      <c r="A160" s="22" t="inlineStr">
        <is>
          <t>11/12/2025</t>
        </is>
      </c>
      <c r="B160" s="22" t="inlineStr">
        <is>
          <t>00370-001018</t>
        </is>
      </c>
      <c r="C160" s="22" t="inlineStr">
        <is>
          <t>VRT EDI SIMPLE AUTRE</t>
        </is>
      </c>
      <c r="D160" s="25" t="n">
        <v>167777</v>
      </c>
      <c r="E160" s="25" t="n"/>
      <c r="F160" s="25" t="n">
        <v>-5113599.24</v>
      </c>
      <c r="G160" s="12" t="inlineStr">
        <is>
          <t>2025-12</t>
        </is>
      </c>
      <c r="H160" s="12" t="inlineStr">
        <is>
          <t>Fournisseurs, salaires et divers</t>
        </is>
      </c>
      <c r="I160" s="12" t="inlineStr">
        <is>
          <t>Pointé journal 2025</t>
        </is>
      </c>
      <c r="J160" s="12" t="inlineStr"/>
      <c r="K160" s="12" t="inlineStr"/>
      <c r="L160" s="12" t="inlineStr"/>
    </row>
    <row r="161">
      <c r="A161" s="22" t="inlineStr">
        <is>
          <t>14/12/2025</t>
        </is>
      </c>
      <c r="B161" s="22" t="inlineStr">
        <is>
          <t>00370-012740</t>
        </is>
      </c>
      <c r="C161" s="22" t="inlineStr">
        <is>
          <t>VRT. RECU DJENNADI REYAD</t>
        </is>
      </c>
      <c r="D161" s="25" t="n"/>
      <c r="E161" s="25" t="n">
        <v>2000000</v>
      </c>
      <c r="F161" s="25" t="n">
        <v>-3113599.24</v>
      </c>
      <c r="G161" s="12" t="inlineStr">
        <is>
          <t>2025-12</t>
        </is>
      </c>
      <c r="H161" s="12" t="inlineStr">
        <is>
          <t>Encaissements clients</t>
        </is>
      </c>
      <c r="I161" s="12" t="inlineStr">
        <is>
          <t>Pointé journal 2025</t>
        </is>
      </c>
      <c r="J161" s="12" t="inlineStr"/>
      <c r="K161" s="12" t="inlineStr"/>
      <c r="L161" s="12" t="inlineStr"/>
    </row>
    <row r="162">
      <c r="A162" s="22" t="inlineStr">
        <is>
          <t>14/12/2025</t>
        </is>
      </c>
      <c r="B162" s="22" t="inlineStr">
        <is>
          <t>00370-012741</t>
        </is>
      </c>
      <c r="C162" s="22" t="inlineStr">
        <is>
          <t>FRAIS VRT.</t>
        </is>
      </c>
      <c r="D162" s="25" t="n">
        <v>59.5</v>
      </c>
      <c r="E162" s="25" t="n"/>
      <c r="F162" s="25" t="n">
        <v>-3113658.74</v>
      </c>
      <c r="G162" s="12" t="inlineStr">
        <is>
          <t>2025-12</t>
        </is>
      </c>
      <c r="H162" s="12" t="inlineStr">
        <is>
          <t>Agios, commissions et frais</t>
        </is>
      </c>
      <c r="I162" s="12" t="inlineStr">
        <is>
          <t>Pointé journal 2025</t>
        </is>
      </c>
      <c r="J162" s="12" t="inlineStr"/>
      <c r="K162" s="12" t="inlineStr"/>
      <c r="L162" s="12" t="inlineStr"/>
    </row>
    <row r="163">
      <c r="A163" s="22" t="inlineStr">
        <is>
          <t>14/12/2025</t>
        </is>
      </c>
      <c r="B163" s="22" t="inlineStr">
        <is>
          <t>00370-012741</t>
        </is>
      </c>
      <c r="C163" s="22" t="inlineStr">
        <is>
          <t>VRT. ORD. SARL DPR AXXAM</t>
        </is>
      </c>
      <c r="D163" s="25" t="n">
        <v>8000000</v>
      </c>
      <c r="E163" s="25" t="n"/>
      <c r="F163" s="25" t="n">
        <v>-11113658.74</v>
      </c>
      <c r="G163" s="12" t="inlineStr">
        <is>
          <t>2025-12</t>
        </is>
      </c>
      <c r="H163" s="12" t="inlineStr">
        <is>
          <t>DPR AXXAM (partie liée)</t>
        </is>
      </c>
      <c r="I163" s="12" t="inlineStr">
        <is>
          <t>Pointé journal 2025</t>
        </is>
      </c>
      <c r="J163" s="12" t="inlineStr"/>
      <c r="K163" s="12" t="inlineStr"/>
      <c r="L163" s="12" t="inlineStr"/>
    </row>
    <row r="164">
      <c r="A164" s="22" t="inlineStr">
        <is>
          <t>14/12/2025</t>
        </is>
      </c>
      <c r="B164" s="22" t="inlineStr">
        <is>
          <t>00370-117893</t>
        </is>
      </c>
      <c r="C164" s="22" t="inlineStr">
        <is>
          <t>PAIEMENT CHQ NUM  2125720</t>
        </is>
      </c>
      <c r="D164" s="25" t="n">
        <v>2907500</v>
      </c>
      <c r="E164" s="25" t="n"/>
      <c r="F164" s="25" t="n">
        <v>-14021158.74</v>
      </c>
      <c r="G164" s="12" t="inlineStr">
        <is>
          <t>2025-12</t>
        </is>
      </c>
      <c r="H164" s="12" t="inlineStr">
        <is>
          <t>Fournisseurs, salaires et divers</t>
        </is>
      </c>
      <c r="I164" s="12" t="inlineStr">
        <is>
          <t>Pointé journal 2025</t>
        </is>
      </c>
      <c r="J164" s="12" t="inlineStr"/>
      <c r="K164" s="12" t="inlineStr"/>
      <c r="L164" s="12" t="inlineStr"/>
    </row>
    <row r="165">
      <c r="A165" s="22" t="inlineStr">
        <is>
          <t>14/12/2025</t>
        </is>
      </c>
      <c r="B165" s="22" t="inlineStr">
        <is>
          <t>00370-117893</t>
        </is>
      </c>
      <c r="C165" s="22" t="inlineStr">
        <is>
          <t>PERCEP.COM SUR PAIEMENTS CHQ</t>
        </is>
      </c>
      <c r="D165" s="25" t="n">
        <v>59.5</v>
      </c>
      <c r="E165" s="25" t="n"/>
      <c r="F165" s="25" t="n">
        <v>-14021218.24</v>
      </c>
      <c r="G165" s="12" t="inlineStr">
        <is>
          <t>2025-12</t>
        </is>
      </c>
      <c r="H165" s="12" t="inlineStr">
        <is>
          <t>Agios, commissions et frais</t>
        </is>
      </c>
      <c r="I165" s="12" t="inlineStr">
        <is>
          <t>Pointé journal 2025</t>
        </is>
      </c>
      <c r="J165" s="12" t="inlineStr"/>
      <c r="K165" s="12" t="inlineStr"/>
      <c r="L165" s="12" t="inlineStr"/>
    </row>
    <row r="166">
      <c r="A166" s="22" t="inlineStr">
        <is>
          <t>14/12/2025</t>
        </is>
      </c>
      <c r="B166" s="22" t="inlineStr">
        <is>
          <t>99000-065136</t>
        </is>
      </c>
      <c r="C166" s="22" t="inlineStr">
        <is>
          <t>SORT CHQ NUM  6093876</t>
        </is>
      </c>
      <c r="D166" s="25" t="n"/>
      <c r="E166" s="25" t="n">
        <v>1642200</v>
      </c>
      <c r="F166" s="25" t="n">
        <v>-12379018.24</v>
      </c>
      <c r="G166" s="12" t="inlineStr">
        <is>
          <t>2025-12</t>
        </is>
      </c>
      <c r="H166" s="12" t="inlineStr">
        <is>
          <t>Encaissements clients</t>
        </is>
      </c>
      <c r="I166" s="12" t="inlineStr">
        <is>
          <t>Pointé journal 2025</t>
        </is>
      </c>
      <c r="J166" s="12" t="inlineStr"/>
      <c r="K166" s="12" t="inlineStr"/>
      <c r="L166" s="12" t="inlineStr"/>
    </row>
    <row r="167">
      <c r="A167" s="22" t="inlineStr">
        <is>
          <t>14/12/2025</t>
        </is>
      </c>
      <c r="B167" s="22" t="inlineStr">
        <is>
          <t>99000-065136</t>
        </is>
      </c>
      <c r="C167" s="22" t="inlineStr">
        <is>
          <t>FRAIS REMISE CHQ N  6093876</t>
        </is>
      </c>
      <c r="D167" s="25" t="n">
        <v>238</v>
      </c>
      <c r="E167" s="25" t="n"/>
      <c r="F167" s="25" t="n">
        <v>-12379256.24</v>
      </c>
      <c r="G167" s="12" t="inlineStr">
        <is>
          <t>2025-12</t>
        </is>
      </c>
      <c r="H167" s="12" t="inlineStr">
        <is>
          <t>Agios, commissions et frais</t>
        </is>
      </c>
      <c r="I167" s="12" t="inlineStr">
        <is>
          <t>Pointé journal 2025</t>
        </is>
      </c>
      <c r="J167" s="12" t="inlineStr"/>
      <c r="K167" s="12" t="inlineStr"/>
      <c r="L167" s="12" t="inlineStr"/>
    </row>
    <row r="168">
      <c r="A168" s="22" t="inlineStr">
        <is>
          <t>15/12/2025</t>
        </is>
      </c>
      <c r="B168" s="22" t="inlineStr">
        <is>
          <t>99000-065149</t>
        </is>
      </c>
      <c r="C168" s="22" t="inlineStr">
        <is>
          <t>SORT CHQ NUM  6699710</t>
        </is>
      </c>
      <c r="D168" s="25" t="n"/>
      <c r="E168" s="25" t="n">
        <v>1830815</v>
      </c>
      <c r="F168" s="25" t="n">
        <v>-10548441.24</v>
      </c>
      <c r="G168" s="12" t="inlineStr">
        <is>
          <t>2025-12</t>
        </is>
      </c>
      <c r="H168" s="12" t="inlineStr">
        <is>
          <t>Encaissements clients</t>
        </is>
      </c>
      <c r="I168" s="12" t="inlineStr">
        <is>
          <t>Pointé journal 2025</t>
        </is>
      </c>
      <c r="J168" s="12" t="inlineStr"/>
      <c r="K168" s="12" t="inlineStr"/>
      <c r="L168" s="12" t="inlineStr"/>
    </row>
    <row r="169">
      <c r="A169" s="22" t="inlineStr">
        <is>
          <t>15/12/2025</t>
        </is>
      </c>
      <c r="B169" s="22" t="inlineStr">
        <is>
          <t>99000-065149</t>
        </is>
      </c>
      <c r="C169" s="22" t="inlineStr">
        <is>
          <t>FRAIS REMISE CHQ N  6699710</t>
        </is>
      </c>
      <c r="D169" s="25" t="n">
        <v>238</v>
      </c>
      <c r="E169" s="25" t="n"/>
      <c r="F169" s="25" t="n">
        <v>-10548679.24</v>
      </c>
      <c r="G169" s="12" t="inlineStr">
        <is>
          <t>2025-12</t>
        </is>
      </c>
      <c r="H169" s="12" t="inlineStr">
        <is>
          <t>Agios, commissions et frais</t>
        </is>
      </c>
      <c r="I169" s="12" t="inlineStr">
        <is>
          <t>Pointé journal 2025</t>
        </is>
      </c>
      <c r="J169" s="12" t="inlineStr"/>
      <c r="K169" s="12" t="inlineStr"/>
      <c r="L169" s="12" t="inlineStr"/>
    </row>
    <row r="170">
      <c r="A170" s="22" t="inlineStr">
        <is>
          <t>15/12/2025</t>
        </is>
      </c>
      <c r="B170" s="22" t="inlineStr">
        <is>
          <t>99000-005270</t>
        </is>
      </c>
      <c r="C170" s="22" t="inlineStr">
        <is>
          <t>PERCEPTION DES COMMISSIONS</t>
        </is>
      </c>
      <c r="D170" s="25" t="n">
        <v>69.83</v>
      </c>
      <c r="E170" s="25" t="n"/>
      <c r="F170" s="25" t="n">
        <v>-10548749.07</v>
      </c>
      <c r="G170" s="12" t="inlineStr">
        <is>
          <t>2025-12</t>
        </is>
      </c>
      <c r="H170" s="12" t="inlineStr">
        <is>
          <t>Agios, commissions et frais</t>
        </is>
      </c>
      <c r="I170" s="12" t="inlineStr">
        <is>
          <t>Pointé journal 2025</t>
        </is>
      </c>
      <c r="J170" s="12" t="inlineStr"/>
      <c r="K170" s="12" t="inlineStr"/>
      <c r="L170" s="12" t="inlineStr"/>
    </row>
    <row r="171">
      <c r="A171" s="22" t="inlineStr">
        <is>
          <t>16/12/2025</t>
        </is>
      </c>
      <c r="B171" s="22" t="inlineStr">
        <is>
          <t>00370-117959</t>
        </is>
      </c>
      <c r="C171" s="22" t="inlineStr">
        <is>
          <t>PAIEMENT CHQ NUM  2125724</t>
        </is>
      </c>
      <c r="D171" s="25" t="n">
        <v>548858</v>
      </c>
      <c r="E171" s="25" t="n"/>
      <c r="F171" s="25" t="n">
        <v>-11097607.07</v>
      </c>
      <c r="G171" s="12" t="inlineStr">
        <is>
          <t>2025-12</t>
        </is>
      </c>
      <c r="H171" s="12" t="inlineStr">
        <is>
          <t>Fournisseurs, salaires et divers</t>
        </is>
      </c>
      <c r="I171" s="12" t="inlineStr">
        <is>
          <t>Pointé journal 2025</t>
        </is>
      </c>
      <c r="J171" s="12" t="inlineStr"/>
      <c r="K171" s="12" t="inlineStr"/>
      <c r="L171" s="12" t="inlineStr"/>
    </row>
    <row r="172">
      <c r="A172" s="22" t="inlineStr">
        <is>
          <t>16/12/2025</t>
        </is>
      </c>
      <c r="B172" s="22" t="inlineStr">
        <is>
          <t>00370-117959</t>
        </is>
      </c>
      <c r="C172" s="22" t="inlineStr">
        <is>
          <t>PERCEP.COM SUR PAIEMENTS CHQ</t>
        </is>
      </c>
      <c r="D172" s="25" t="n">
        <v>59.5</v>
      </c>
      <c r="E172" s="25" t="n"/>
      <c r="F172" s="25" t="n">
        <v>-11097666.57</v>
      </c>
      <c r="G172" s="12" t="inlineStr">
        <is>
          <t>2025-12</t>
        </is>
      </c>
      <c r="H172" s="12" t="inlineStr">
        <is>
          <t>Agios, commissions et frais</t>
        </is>
      </c>
      <c r="I172" s="12" t="inlineStr">
        <is>
          <t>Pointé journal 2025</t>
        </is>
      </c>
      <c r="J172" s="12" t="inlineStr"/>
      <c r="K172" s="12" t="inlineStr"/>
      <c r="L172" s="12" t="inlineStr"/>
    </row>
    <row r="173">
      <c r="A173" s="22" t="inlineStr">
        <is>
          <t>16/12/2025</t>
        </is>
      </c>
      <c r="B173" s="22" t="inlineStr">
        <is>
          <t>-29469</t>
        </is>
      </c>
      <c r="C173" s="22" t="inlineStr">
        <is>
          <t>APPEL ECHEANCE     4058</t>
        </is>
      </c>
      <c r="D173" s="25" t="n">
        <v>8682120.18</v>
      </c>
      <c r="E173" s="25" t="n"/>
      <c r="F173" s="25" t="n">
        <v>-19779786.75</v>
      </c>
      <c r="G173" s="12" t="inlineStr">
        <is>
          <t>2025-12</t>
        </is>
      </c>
      <c r="H173" s="12" t="inlineStr">
        <is>
          <t>Remboursement crédit / échéances</t>
        </is>
      </c>
      <c r="I173" s="12" t="inlineStr">
        <is>
          <t>Pointé journal 2025</t>
        </is>
      </c>
      <c r="J173" s="12" t="inlineStr"/>
      <c r="K173" s="12" t="inlineStr"/>
      <c r="L173" s="12" t="inlineStr"/>
    </row>
    <row r="174">
      <c r="A174" s="22" t="inlineStr">
        <is>
          <t>16/12/2025</t>
        </is>
      </c>
      <c r="B174" s="22" t="inlineStr">
        <is>
          <t>99000-005272</t>
        </is>
      </c>
      <c r="C174" s="22" t="inlineStr">
        <is>
          <t>PERCEPTION DES COMMISSIONS</t>
        </is>
      </c>
      <c r="D174" s="25" t="n">
        <v>59.5</v>
      </c>
      <c r="E174" s="25" t="n"/>
      <c r="F174" s="25" t="n">
        <v>-19779846.25</v>
      </c>
      <c r="G174" s="12" t="inlineStr">
        <is>
          <t>2025-12</t>
        </is>
      </c>
      <c r="H174" s="12" t="inlineStr">
        <is>
          <t>Agios, commissions et frais</t>
        </is>
      </c>
      <c r="I174" s="12" t="inlineStr">
        <is>
          <t>Pointé journal 2025</t>
        </is>
      </c>
      <c r="J174" s="12" t="inlineStr"/>
      <c r="K174" s="12" t="inlineStr"/>
      <c r="L174" s="12" t="inlineStr"/>
    </row>
    <row r="175">
      <c r="A175" s="22" t="inlineStr">
        <is>
          <t>16/12/2025</t>
        </is>
      </c>
      <c r="B175" s="22" t="inlineStr">
        <is>
          <t>99000-005271</t>
        </is>
      </c>
      <c r="C175" s="22" t="inlineStr">
        <is>
          <t>PERCEPTION DES COMMISSIONS</t>
        </is>
      </c>
      <c r="D175" s="25" t="n">
        <v>59.5</v>
      </c>
      <c r="E175" s="25" t="n"/>
      <c r="F175" s="25" t="n">
        <v>-19779905.75</v>
      </c>
      <c r="G175" s="12" t="inlineStr">
        <is>
          <t>2025-12</t>
        </is>
      </c>
      <c r="H175" s="12" t="inlineStr">
        <is>
          <t>Agios, commissions et frais</t>
        </is>
      </c>
      <c r="I175" s="12" t="inlineStr">
        <is>
          <t>Pointé journal 2025</t>
        </is>
      </c>
      <c r="J175" s="12" t="inlineStr"/>
      <c r="K175" s="12" t="inlineStr"/>
      <c r="L175" s="12" t="inlineStr"/>
    </row>
    <row r="176">
      <c r="A176" s="22" t="inlineStr">
        <is>
          <t>16/12/2025</t>
        </is>
      </c>
      <c r="B176" s="22" t="inlineStr">
        <is>
          <t>99000-005273</t>
        </is>
      </c>
      <c r="C176" s="22" t="inlineStr">
        <is>
          <t>PERCEPTION DES COMMISSIONS</t>
        </is>
      </c>
      <c r="D176" s="25" t="n">
        <v>1487.5</v>
      </c>
      <c r="E176" s="25" t="n"/>
      <c r="F176" s="25" t="n">
        <v>-19781393.25</v>
      </c>
      <c r="G176" s="12" t="inlineStr">
        <is>
          <t>2025-12</t>
        </is>
      </c>
      <c r="H176" s="12" t="inlineStr">
        <is>
          <t>Agios, commissions et frais</t>
        </is>
      </c>
      <c r="I176" s="12" t="inlineStr">
        <is>
          <t>Pointé journal 2025</t>
        </is>
      </c>
      <c r="J176" s="12" t="inlineStr"/>
      <c r="K176" s="12" t="inlineStr"/>
      <c r="L176" s="12" t="inlineStr"/>
    </row>
    <row r="177">
      <c r="A177" s="22" t="inlineStr">
        <is>
          <t>16/12/2025</t>
        </is>
      </c>
      <c r="B177" s="22" t="inlineStr">
        <is>
          <t>99000-005276</t>
        </is>
      </c>
      <c r="C177" s="22" t="inlineStr">
        <is>
          <t>PERCEPTION DES COMMISSIONS</t>
        </is>
      </c>
      <c r="D177" s="25" t="n">
        <v>59.5</v>
      </c>
      <c r="E177" s="25" t="n"/>
      <c r="F177" s="25" t="n">
        <v>-19781452.75</v>
      </c>
      <c r="G177" s="12" t="inlineStr">
        <is>
          <t>2025-12</t>
        </is>
      </c>
      <c r="H177" s="12" t="inlineStr">
        <is>
          <t>Agios, commissions et frais</t>
        </is>
      </c>
      <c r="I177" s="12" t="inlineStr">
        <is>
          <t>Pointé journal 2025</t>
        </is>
      </c>
      <c r="J177" s="12" t="inlineStr"/>
      <c r="K177" s="12" t="inlineStr"/>
      <c r="L177" s="12" t="inlineStr"/>
    </row>
    <row r="178">
      <c r="A178" s="22" t="inlineStr">
        <is>
          <t>16/12/2025</t>
        </is>
      </c>
      <c r="B178" s="22" t="inlineStr">
        <is>
          <t>99000-005274</t>
        </is>
      </c>
      <c r="C178" s="22" t="inlineStr">
        <is>
          <t>PERCEPTION DES COMMISSIONS</t>
        </is>
      </c>
      <c r="D178" s="25" t="n">
        <v>59.5</v>
      </c>
      <c r="E178" s="25" t="n"/>
      <c r="F178" s="25" t="n">
        <v>-19781512.25</v>
      </c>
      <c r="G178" s="12" t="inlineStr">
        <is>
          <t>2025-12</t>
        </is>
      </c>
      <c r="H178" s="12" t="inlineStr">
        <is>
          <t>Agios, commissions et frais</t>
        </is>
      </c>
      <c r="I178" s="12" t="inlineStr">
        <is>
          <t>Pointé journal 2025</t>
        </is>
      </c>
      <c r="J178" s="12" t="inlineStr"/>
      <c r="K178" s="12" t="inlineStr"/>
      <c r="L178" s="12" t="inlineStr"/>
    </row>
    <row r="179">
      <c r="A179" s="22" t="inlineStr">
        <is>
          <t>16/12/2025</t>
        </is>
      </c>
      <c r="B179" s="22" t="inlineStr">
        <is>
          <t>99000-005275</t>
        </is>
      </c>
      <c r="C179" s="22" t="inlineStr">
        <is>
          <t>PERCEPTION DES COMMISSIONS</t>
        </is>
      </c>
      <c r="D179" s="25" t="n">
        <v>59.5</v>
      </c>
      <c r="E179" s="25" t="n"/>
      <c r="F179" s="25" t="n">
        <v>-19781571.75</v>
      </c>
      <c r="G179" s="12" t="inlineStr">
        <is>
          <t>2025-12</t>
        </is>
      </c>
      <c r="H179" s="12" t="inlineStr">
        <is>
          <t>Agios, commissions et frais</t>
        </is>
      </c>
      <c r="I179" s="12" t="inlineStr">
        <is>
          <t>Pointé journal 2025</t>
        </is>
      </c>
      <c r="J179" s="12" t="inlineStr"/>
      <c r="K179" s="12" t="inlineStr"/>
      <c r="L179" s="12" t="inlineStr"/>
    </row>
    <row r="180">
      <c r="A180" s="22" t="inlineStr">
        <is>
          <t>16/12/2025</t>
        </is>
      </c>
      <c r="B180" s="22" t="inlineStr">
        <is>
          <t>99000-000179</t>
        </is>
      </c>
      <c r="C180" s="22" t="inlineStr">
        <is>
          <t>OUV CREDOC00370 CDI00014662</t>
        </is>
      </c>
      <c r="D180" s="25" t="n">
        <v>180164.79</v>
      </c>
      <c r="E180" s="25" t="n"/>
      <c r="F180" s="25" t="n">
        <v>-19961736.54</v>
      </c>
      <c r="G180" s="12" t="inlineStr">
        <is>
          <t>2025-12</t>
        </is>
      </c>
      <c r="H180" s="12" t="inlineStr">
        <is>
          <t>Importations (règlements, provisions, crédoc)</t>
        </is>
      </c>
      <c r="I180" s="12" t="inlineStr">
        <is>
          <t>Pointé journal 2025</t>
        </is>
      </c>
      <c r="J180" s="12" t="inlineStr"/>
      <c r="K180" s="12" t="inlineStr"/>
      <c r="L180" s="12" t="inlineStr"/>
    </row>
    <row r="181">
      <c r="A181" s="22" t="inlineStr">
        <is>
          <t>21/12/2025</t>
        </is>
      </c>
      <c r="B181" s="22" t="inlineStr">
        <is>
          <t>99000-065217</t>
        </is>
      </c>
      <c r="C181" s="22" t="inlineStr">
        <is>
          <t>SORT CHQ NUM  6389822</t>
        </is>
      </c>
      <c r="D181" s="25" t="n"/>
      <c r="E181" s="25" t="n">
        <v>205304.83</v>
      </c>
      <c r="F181" s="25" t="n">
        <v>-19756431.71</v>
      </c>
      <c r="G181" s="12" t="inlineStr">
        <is>
          <t>2025-12</t>
        </is>
      </c>
      <c r="H181" s="12" t="inlineStr">
        <is>
          <t>Encaissements clients</t>
        </is>
      </c>
      <c r="I181" s="12" t="inlineStr">
        <is>
          <t>Pointé journal 2025</t>
        </is>
      </c>
      <c r="J181" s="12" t="inlineStr"/>
      <c r="K181" s="12" t="inlineStr"/>
      <c r="L181" s="12" t="inlineStr"/>
    </row>
    <row r="182">
      <c r="A182" s="22" t="inlineStr">
        <is>
          <t>21/12/2025</t>
        </is>
      </c>
      <c r="B182" s="22" t="inlineStr">
        <is>
          <t>99000-065222</t>
        </is>
      </c>
      <c r="C182" s="22" t="inlineStr">
        <is>
          <t>SORT CHQ NUM      289</t>
        </is>
      </c>
      <c r="D182" s="25" t="n"/>
      <c r="E182" s="25" t="n">
        <v>616000</v>
      </c>
      <c r="F182" s="25" t="n">
        <v>-19140431.71</v>
      </c>
      <c r="G182" s="12" t="inlineStr">
        <is>
          <t>2025-12</t>
        </is>
      </c>
      <c r="H182" s="12" t="inlineStr">
        <is>
          <t>Encaissements clients</t>
        </is>
      </c>
      <c r="I182" s="12" t="inlineStr">
        <is>
          <t>Pointé journal 2025</t>
        </is>
      </c>
      <c r="J182" s="12" t="inlineStr"/>
      <c r="K182" s="12" t="inlineStr"/>
      <c r="L182" s="12" t="inlineStr"/>
    </row>
    <row r="183">
      <c r="A183" s="22" t="inlineStr">
        <is>
          <t>21/12/2025</t>
        </is>
      </c>
      <c r="B183" s="22" t="inlineStr">
        <is>
          <t>99000-065217</t>
        </is>
      </c>
      <c r="C183" s="22" t="inlineStr">
        <is>
          <t>FRAIS REMISE CHQ N  6389822</t>
        </is>
      </c>
      <c r="D183" s="25" t="n">
        <v>238</v>
      </c>
      <c r="E183" s="25" t="n"/>
      <c r="F183" s="25" t="n">
        <v>-19140669.71</v>
      </c>
      <c r="G183" s="12" t="inlineStr">
        <is>
          <t>2025-12</t>
        </is>
      </c>
      <c r="H183" s="12" t="inlineStr">
        <is>
          <t>Agios, commissions et frais</t>
        </is>
      </c>
      <c r="I183" s="12" t="inlineStr">
        <is>
          <t>Pointé journal 2025</t>
        </is>
      </c>
      <c r="J183" s="12" t="inlineStr"/>
      <c r="K183" s="12" t="inlineStr"/>
      <c r="L183" s="12" t="inlineStr"/>
    </row>
    <row r="184">
      <c r="A184" s="22" t="inlineStr">
        <is>
          <t>21/12/2025</t>
        </is>
      </c>
      <c r="B184" s="22" t="inlineStr">
        <is>
          <t>99000-065222</t>
        </is>
      </c>
      <c r="C184" s="22" t="inlineStr">
        <is>
          <t>FRAIS REMISE CHQ N      289</t>
        </is>
      </c>
      <c r="D184" s="25" t="n">
        <v>238</v>
      </c>
      <c r="E184" s="25" t="n"/>
      <c r="F184" s="25" t="n">
        <v>-19140907.71</v>
      </c>
      <c r="G184" s="12" t="inlineStr">
        <is>
          <t>2025-12</t>
        </is>
      </c>
      <c r="H184" s="12" t="inlineStr">
        <is>
          <t>Agios, commissions et frais</t>
        </is>
      </c>
      <c r="I184" s="12" t="inlineStr">
        <is>
          <t>Pointé journal 2025</t>
        </is>
      </c>
      <c r="J184" s="12" t="inlineStr"/>
      <c r="K184" s="12" t="inlineStr"/>
      <c r="L184" s="12" t="inlineStr"/>
    </row>
    <row r="185">
      <c r="A185" s="22" t="inlineStr">
        <is>
          <t>22/12/2025</t>
        </is>
      </c>
      <c r="B185" s="22" t="inlineStr">
        <is>
          <t>00370-118023</t>
        </is>
      </c>
      <c r="C185" s="22" t="inlineStr">
        <is>
          <t>PAIEMENT CHQ NUM  2125718</t>
        </is>
      </c>
      <c r="D185" s="25" t="n">
        <v>467901.22</v>
      </c>
      <c r="E185" s="25" t="n"/>
      <c r="F185" s="25" t="n">
        <v>-19608808.93</v>
      </c>
      <c r="G185" s="12" t="inlineStr">
        <is>
          <t>2025-12</t>
        </is>
      </c>
      <c r="H185" s="12" t="inlineStr">
        <is>
          <t>Fournisseurs, salaires et divers</t>
        </is>
      </c>
      <c r="I185" s="12" t="inlineStr">
        <is>
          <t>Pointé journal 2025</t>
        </is>
      </c>
      <c r="J185" s="12" t="inlineStr"/>
      <c r="K185" s="12" t="inlineStr"/>
      <c r="L185" s="12" t="inlineStr"/>
    </row>
    <row r="186">
      <c r="A186" s="22" t="inlineStr">
        <is>
          <t>22/12/2025</t>
        </is>
      </c>
      <c r="B186" s="22" t="inlineStr">
        <is>
          <t>00370-118023</t>
        </is>
      </c>
      <c r="C186" s="22" t="inlineStr">
        <is>
          <t>PERCEP.COM SUR PAIEMENTS CHQ</t>
        </is>
      </c>
      <c r="D186" s="25" t="n">
        <v>59.5</v>
      </c>
      <c r="E186" s="25" t="n"/>
      <c r="F186" s="25" t="n">
        <v>-19608868.43</v>
      </c>
      <c r="G186" s="12" t="inlineStr">
        <is>
          <t>2025-12</t>
        </is>
      </c>
      <c r="H186" s="12" t="inlineStr">
        <is>
          <t>Agios, commissions et frais</t>
        </is>
      </c>
      <c r="I186" s="12" t="inlineStr">
        <is>
          <t>Pointé journal 2025</t>
        </is>
      </c>
      <c r="J186" s="12" t="inlineStr"/>
      <c r="K186" s="12" t="inlineStr"/>
      <c r="L186" s="12" t="inlineStr"/>
    </row>
    <row r="187">
      <c r="A187" s="22" t="inlineStr">
        <is>
          <t>23/12/2025</t>
        </is>
      </c>
      <c r="B187" s="22" t="inlineStr">
        <is>
          <t>99000-065246</t>
        </is>
      </c>
      <c r="C187" s="22" t="inlineStr">
        <is>
          <t>SORT CHQ NUM  7107670</t>
        </is>
      </c>
      <c r="D187" s="25" t="n"/>
      <c r="E187" s="25" t="n">
        <v>350000</v>
      </c>
      <c r="F187" s="25" t="n">
        <v>-19258868.43</v>
      </c>
      <c r="G187" s="12" t="inlineStr">
        <is>
          <t>2025-12</t>
        </is>
      </c>
      <c r="H187" s="12" t="inlineStr">
        <is>
          <t>Encaissements clients</t>
        </is>
      </c>
      <c r="I187" s="12" t="inlineStr">
        <is>
          <t>Pointé journal 2025</t>
        </is>
      </c>
      <c r="J187" s="12" t="inlineStr"/>
      <c r="K187" s="12" t="inlineStr"/>
      <c r="L187" s="12" t="inlineStr"/>
    </row>
    <row r="188">
      <c r="A188" s="22" t="inlineStr">
        <is>
          <t>23/12/2025</t>
        </is>
      </c>
      <c r="B188" s="22" t="inlineStr">
        <is>
          <t>99000-065246</t>
        </is>
      </c>
      <c r="C188" s="22" t="inlineStr">
        <is>
          <t>FRAIS REMISE CHQ N  7107670</t>
        </is>
      </c>
      <c r="D188" s="25" t="n">
        <v>119</v>
      </c>
      <c r="E188" s="25" t="n"/>
      <c r="F188" s="25" t="n">
        <v>-19258987.43</v>
      </c>
      <c r="G188" s="12" t="inlineStr">
        <is>
          <t>2025-12</t>
        </is>
      </c>
      <c r="H188" s="12" t="inlineStr">
        <is>
          <t>Agios, commissions et frais</t>
        </is>
      </c>
      <c r="I188" s="12" t="inlineStr">
        <is>
          <t>Pointé journal 2025</t>
        </is>
      </c>
      <c r="J188" s="12" t="inlineStr"/>
      <c r="K188" s="12" t="inlineStr"/>
      <c r="L188" s="12" t="inlineStr"/>
    </row>
    <row r="189">
      <c r="A189" s="22" t="inlineStr">
        <is>
          <t>24/12/2025</t>
        </is>
      </c>
      <c r="B189" s="22" t="inlineStr">
        <is>
          <t>00370-001033</t>
        </is>
      </c>
      <c r="C189" s="22" t="inlineStr">
        <is>
          <t>COM.VRT EDI BQUE</t>
        </is>
      </c>
      <c r="D189" s="25" t="n">
        <v>35.7</v>
      </c>
      <c r="E189" s="25" t="n"/>
      <c r="F189" s="25" t="n">
        <v>-19259023.13</v>
      </c>
      <c r="G189" s="12" t="inlineStr">
        <is>
          <t>2025-12</t>
        </is>
      </c>
      <c r="H189" s="12" t="inlineStr">
        <is>
          <t>Agios, commissions et frais</t>
        </is>
      </c>
      <c r="I189" s="12" t="inlineStr">
        <is>
          <t>Pointé journal 2025</t>
        </is>
      </c>
      <c r="J189" s="12" t="inlineStr"/>
      <c r="K189" s="12" t="inlineStr"/>
      <c r="L189" s="12" t="inlineStr"/>
    </row>
    <row r="190">
      <c r="A190" s="22" t="inlineStr">
        <is>
          <t>24/12/2025</t>
        </is>
      </c>
      <c r="B190" s="22" t="inlineStr">
        <is>
          <t>00370-001033</t>
        </is>
      </c>
      <c r="C190" s="22" t="inlineStr">
        <is>
          <t>VRT EDI SIMPLE AUTRE</t>
        </is>
      </c>
      <c r="D190" s="25" t="n">
        <v>650000</v>
      </c>
      <c r="E190" s="25" t="n"/>
      <c r="F190" s="25" t="n">
        <v>-19909023.13</v>
      </c>
      <c r="G190" s="12" t="inlineStr">
        <is>
          <t>2025-12</t>
        </is>
      </c>
      <c r="H190" s="12" t="inlineStr">
        <is>
          <t>Fournisseurs, salaires et divers</t>
        </is>
      </c>
      <c r="I190" s="12" t="inlineStr">
        <is>
          <t>Pointé journal 2025</t>
        </is>
      </c>
      <c r="J190" s="12" t="inlineStr"/>
      <c r="K190" s="12" t="inlineStr"/>
      <c r="L190" s="12" t="inlineStr"/>
    </row>
    <row r="191">
      <c r="A191" s="22" t="inlineStr">
        <is>
          <t>25/12/2025</t>
        </is>
      </c>
      <c r="B191" s="22" t="inlineStr">
        <is>
          <t>99000-065269</t>
        </is>
      </c>
      <c r="C191" s="22" t="inlineStr">
        <is>
          <t>SORT CHQ NUM  1750216</t>
        </is>
      </c>
      <c r="D191" s="25" t="n"/>
      <c r="E191" s="25" t="n">
        <v>228480</v>
      </c>
      <c r="F191" s="25" t="n">
        <v>-19680543.13</v>
      </c>
      <c r="G191" s="12" t="inlineStr">
        <is>
          <t>2025-12</t>
        </is>
      </c>
      <c r="H191" s="12" t="inlineStr">
        <is>
          <t>Encaissements clients</t>
        </is>
      </c>
      <c r="I191" s="12" t="inlineStr">
        <is>
          <t>Pointé journal 2025</t>
        </is>
      </c>
      <c r="J191" s="12" t="inlineStr"/>
      <c r="K191" s="12" t="inlineStr"/>
      <c r="L191" s="12" t="inlineStr"/>
    </row>
    <row r="192">
      <c r="A192" s="22" t="inlineStr">
        <is>
          <t>25/12/2025</t>
        </is>
      </c>
      <c r="B192" s="22" t="inlineStr">
        <is>
          <t>99000-065270</t>
        </is>
      </c>
      <c r="C192" s="22" t="inlineStr">
        <is>
          <t>SORT CHQ NUM  1750250</t>
        </is>
      </c>
      <c r="D192" s="25" t="n"/>
      <c r="E192" s="25" t="n">
        <v>558348</v>
      </c>
      <c r="F192" s="25" t="n">
        <v>-19122195.13</v>
      </c>
      <c r="G192" s="12" t="inlineStr">
        <is>
          <t>2025-12</t>
        </is>
      </c>
      <c r="H192" s="12" t="inlineStr">
        <is>
          <t>Encaissements clients</t>
        </is>
      </c>
      <c r="I192" s="12" t="inlineStr">
        <is>
          <t>Pointé journal 2025</t>
        </is>
      </c>
      <c r="J192" s="12" t="inlineStr"/>
      <c r="K192" s="12" t="inlineStr"/>
      <c r="L192" s="12" t="inlineStr"/>
    </row>
    <row r="193">
      <c r="A193" s="22" t="inlineStr">
        <is>
          <t>25/12/2025</t>
        </is>
      </c>
      <c r="B193" s="22" t="inlineStr">
        <is>
          <t>99000-065285</t>
        </is>
      </c>
      <c r="C193" s="22" t="inlineStr">
        <is>
          <t>SORT CHQ NUM  4215562</t>
        </is>
      </c>
      <c r="D193" s="25" t="n"/>
      <c r="E193" s="25" t="n">
        <v>1200000</v>
      </c>
      <c r="F193" s="25" t="n">
        <v>-17922195.13</v>
      </c>
      <c r="G193" s="12" t="inlineStr">
        <is>
          <t>2025-12</t>
        </is>
      </c>
      <c r="H193" s="12" t="inlineStr">
        <is>
          <t>Encaissements clients</t>
        </is>
      </c>
      <c r="I193" s="12" t="inlineStr">
        <is>
          <t>Pointé journal 2025</t>
        </is>
      </c>
      <c r="J193" s="12" t="inlineStr"/>
      <c r="K193" s="12" t="inlineStr"/>
      <c r="L193" s="12" t="inlineStr"/>
    </row>
    <row r="194">
      <c r="A194" s="22" t="inlineStr">
        <is>
          <t>25/12/2025</t>
        </is>
      </c>
      <c r="B194" s="22" t="inlineStr">
        <is>
          <t>99000-065279</t>
        </is>
      </c>
      <c r="C194" s="22" t="inlineStr">
        <is>
          <t>SORT CHQ NUM  5503347</t>
        </is>
      </c>
      <c r="D194" s="25" t="n"/>
      <c r="E194" s="25" t="n">
        <v>77472.5</v>
      </c>
      <c r="F194" s="25" t="n">
        <v>-17844722.63</v>
      </c>
      <c r="G194" s="12" t="inlineStr">
        <is>
          <t>2025-12</t>
        </is>
      </c>
      <c r="H194" s="12" t="inlineStr">
        <is>
          <t>Encaissements clients</t>
        </is>
      </c>
      <c r="I194" s="12" t="inlineStr">
        <is>
          <t>Pointé journal 2025</t>
        </is>
      </c>
      <c r="J194" s="12" t="inlineStr"/>
      <c r="K194" s="12" t="inlineStr"/>
      <c r="L194" s="12" t="inlineStr"/>
    </row>
    <row r="195">
      <c r="A195" s="22" t="inlineStr">
        <is>
          <t>25/12/2025</t>
        </is>
      </c>
      <c r="B195" s="22" t="inlineStr">
        <is>
          <t>99000-065269</t>
        </is>
      </c>
      <c r="C195" s="22" t="inlineStr">
        <is>
          <t>FRAIS REMISE CHQ N  1750216</t>
        </is>
      </c>
      <c r="D195" s="25" t="n">
        <v>119</v>
      </c>
      <c r="E195" s="25" t="n"/>
      <c r="F195" s="25" t="n">
        <v>-17844841.63</v>
      </c>
      <c r="G195" s="12" t="inlineStr">
        <is>
          <t>2025-12</t>
        </is>
      </c>
      <c r="H195" s="12" t="inlineStr">
        <is>
          <t>Agios, commissions et frais</t>
        </is>
      </c>
      <c r="I195" s="12" t="inlineStr">
        <is>
          <t>Pointé journal 2025</t>
        </is>
      </c>
      <c r="J195" s="12" t="inlineStr"/>
      <c r="K195" s="12" t="inlineStr"/>
      <c r="L195" s="12" t="inlineStr"/>
    </row>
    <row r="196">
      <c r="A196" s="22" t="inlineStr">
        <is>
          <t>25/12/2025</t>
        </is>
      </c>
      <c r="B196" s="22" t="inlineStr">
        <is>
          <t>99000-065270</t>
        </is>
      </c>
      <c r="C196" s="22" t="inlineStr">
        <is>
          <t>FRAIS REMISE CHQ N  1750250</t>
        </is>
      </c>
      <c r="D196" s="25" t="n">
        <v>119</v>
      </c>
      <c r="E196" s="25" t="n"/>
      <c r="F196" s="25" t="n">
        <v>-17844960.63</v>
      </c>
      <c r="G196" s="12" t="inlineStr">
        <is>
          <t>2025-12</t>
        </is>
      </c>
      <c r="H196" s="12" t="inlineStr">
        <is>
          <t>Agios, commissions et frais</t>
        </is>
      </c>
      <c r="I196" s="12" t="inlineStr">
        <is>
          <t>Pointé journal 2025</t>
        </is>
      </c>
      <c r="J196" s="12" t="inlineStr"/>
      <c r="K196" s="12" t="inlineStr"/>
      <c r="L196" s="12" t="inlineStr"/>
    </row>
    <row r="197">
      <c r="A197" s="22" t="inlineStr">
        <is>
          <t>25/12/2025</t>
        </is>
      </c>
      <c r="B197" s="22" t="inlineStr">
        <is>
          <t>99000-065285</t>
        </is>
      </c>
      <c r="C197" s="22" t="inlineStr">
        <is>
          <t>FRAIS REMISE CHQ N  4215562</t>
        </is>
      </c>
      <c r="D197" s="25" t="n">
        <v>238</v>
      </c>
      <c r="E197" s="25" t="n"/>
      <c r="F197" s="25" t="n">
        <v>-17845198.63</v>
      </c>
      <c r="G197" s="12" t="inlineStr">
        <is>
          <t>2025-12</t>
        </is>
      </c>
      <c r="H197" s="12" t="inlineStr">
        <is>
          <t>Agios, commissions et frais</t>
        </is>
      </c>
      <c r="I197" s="12" t="inlineStr">
        <is>
          <t>Pointé journal 2025</t>
        </is>
      </c>
      <c r="J197" s="12" t="inlineStr"/>
      <c r="K197" s="12" t="inlineStr"/>
      <c r="L197" s="12" t="inlineStr"/>
    </row>
    <row r="198">
      <c r="A198" s="22" t="inlineStr">
        <is>
          <t>25/12/2025</t>
        </is>
      </c>
      <c r="B198" s="22" t="inlineStr">
        <is>
          <t>99000-065279</t>
        </is>
      </c>
      <c r="C198" s="22" t="inlineStr">
        <is>
          <t>FRAIS REMISE CHQ N  5503347</t>
        </is>
      </c>
      <c r="D198" s="25" t="n">
        <v>92.19</v>
      </c>
      <c r="E198" s="25" t="n"/>
      <c r="F198" s="25" t="n">
        <v>-17845290.82</v>
      </c>
      <c r="G198" s="12" t="inlineStr">
        <is>
          <t>2025-12</t>
        </is>
      </c>
      <c r="H198" s="12" t="inlineStr">
        <is>
          <t>Agios, commissions et frais</t>
        </is>
      </c>
      <c r="I198" s="12" t="inlineStr">
        <is>
          <t>Pointé journal 2025</t>
        </is>
      </c>
      <c r="J198" s="12" t="inlineStr"/>
      <c r="K198" s="12" t="inlineStr"/>
      <c r="L198" s="12" t="inlineStr"/>
    </row>
    <row r="199">
      <c r="A199" s="22" t="inlineStr">
        <is>
          <t>25/12/2025</t>
        </is>
      </c>
      <c r="B199" s="22" t="inlineStr">
        <is>
          <t>99000-019443</t>
        </is>
      </c>
      <c r="C199" s="22" t="inlineStr">
        <is>
          <t>FRAIS ABONN. INTERNET 2025/12</t>
        </is>
      </c>
      <c r="D199" s="25" t="n">
        <v>1606.5</v>
      </c>
      <c r="E199" s="25" t="n"/>
      <c r="F199" s="25" t="n">
        <v>-17846897.32</v>
      </c>
      <c r="G199" s="12" t="inlineStr">
        <is>
          <t>2025-12</t>
        </is>
      </c>
      <c r="H199" s="12" t="inlineStr">
        <is>
          <t>Agios, commissions et frais</t>
        </is>
      </c>
      <c r="I199" s="12" t="inlineStr">
        <is>
          <t>Pointé journal 2025</t>
        </is>
      </c>
      <c r="J199" s="12" t="inlineStr"/>
      <c r="K199" s="12" t="inlineStr"/>
      <c r="L199" s="12" t="inlineStr"/>
    </row>
    <row r="200">
      <c r="A200" s="22" t="inlineStr">
        <is>
          <t>28/12/2025</t>
        </is>
      </c>
      <c r="B200" s="22" t="inlineStr">
        <is>
          <t>00370-118152</t>
        </is>
      </c>
      <c r="C200" s="22" t="inlineStr">
        <is>
          <t>PAIEMENT CHQ NUM  2125726</t>
        </is>
      </c>
      <c r="D200" s="25" t="n">
        <v>2513318</v>
      </c>
      <c r="E200" s="25" t="n"/>
      <c r="F200" s="25" t="n">
        <v>-20360215.32</v>
      </c>
      <c r="G200" s="12" t="inlineStr">
        <is>
          <t>2025-12</t>
        </is>
      </c>
      <c r="H200" s="12" t="inlineStr">
        <is>
          <t>G50 (impôts)</t>
        </is>
      </c>
      <c r="I200" s="4" t="inlineStr">
        <is>
          <t>G50 IMPORT novembre 2025</t>
        </is>
      </c>
      <c r="J200" s="12" t="inlineStr"/>
      <c r="K200" s="12" t="inlineStr"/>
      <c r="L200" s="12" t="inlineStr"/>
    </row>
    <row r="201">
      <c r="A201" s="22" t="inlineStr">
        <is>
          <t>28/12/2025</t>
        </is>
      </c>
      <c r="B201" s="22" t="inlineStr">
        <is>
          <t>00370-118152</t>
        </is>
      </c>
      <c r="C201" s="22" t="inlineStr">
        <is>
          <t>PERCEP.COM SUR PAIEMENTS CHQ</t>
        </is>
      </c>
      <c r="D201" s="25" t="n">
        <v>59.5</v>
      </c>
      <c r="E201" s="25" t="n"/>
      <c r="F201" s="25" t="n">
        <v>-20360274.82</v>
      </c>
      <c r="G201" s="12" t="inlineStr">
        <is>
          <t>2025-12</t>
        </is>
      </c>
      <c r="H201" s="12" t="inlineStr">
        <is>
          <t>Agios, commissions et frais</t>
        </is>
      </c>
      <c r="I201" s="12" t="inlineStr">
        <is>
          <t>Pointé journal 2025</t>
        </is>
      </c>
      <c r="J201" s="12" t="inlineStr"/>
      <c r="K201" s="12" t="inlineStr"/>
      <c r="L201" s="12" t="inlineStr"/>
    </row>
    <row r="202">
      <c r="A202" s="22" t="inlineStr">
        <is>
          <t>28/12/2025</t>
        </is>
      </c>
      <c r="B202" s="22" t="inlineStr">
        <is>
          <t>99000-065292</t>
        </is>
      </c>
      <c r="C202" s="22" t="inlineStr">
        <is>
          <t>SORT CHQ NUM  8147921</t>
        </is>
      </c>
      <c r="D202" s="25" t="n"/>
      <c r="E202" s="25" t="n">
        <v>595000</v>
      </c>
      <c r="F202" s="25" t="n">
        <v>-19765274.82</v>
      </c>
      <c r="G202" s="12" t="inlineStr">
        <is>
          <t>2025-12</t>
        </is>
      </c>
      <c r="H202" s="12" t="inlineStr">
        <is>
          <t>Encaissements clients</t>
        </is>
      </c>
      <c r="I202" s="12" t="inlineStr">
        <is>
          <t>Pointé journal 2025</t>
        </is>
      </c>
      <c r="J202" s="12" t="inlineStr"/>
      <c r="K202" s="12" t="inlineStr"/>
      <c r="L202" s="12" t="inlineStr"/>
    </row>
    <row r="203">
      <c r="A203" s="22" t="inlineStr">
        <is>
          <t>28/12/2025</t>
        </is>
      </c>
      <c r="B203" s="22" t="inlineStr">
        <is>
          <t>99000-065293</t>
        </is>
      </c>
      <c r="C203" s="22" t="inlineStr">
        <is>
          <t>SORT CHQ NUM  8147995</t>
        </is>
      </c>
      <c r="D203" s="25" t="n"/>
      <c r="E203" s="25" t="n">
        <v>1134070</v>
      </c>
      <c r="F203" s="25" t="n">
        <v>-18631204.82</v>
      </c>
      <c r="G203" s="12" t="inlineStr">
        <is>
          <t>2025-12</t>
        </is>
      </c>
      <c r="H203" s="12" t="inlineStr">
        <is>
          <t>Encaissements clients</t>
        </is>
      </c>
      <c r="I203" s="12" t="inlineStr">
        <is>
          <t>Pointé journal 2025</t>
        </is>
      </c>
      <c r="J203" s="12" t="inlineStr"/>
      <c r="K203" s="12" t="inlineStr"/>
      <c r="L203" s="12" t="inlineStr"/>
    </row>
    <row r="204">
      <c r="A204" s="22" t="inlineStr">
        <is>
          <t>28/12/2025</t>
        </is>
      </c>
      <c r="B204" s="22" t="inlineStr">
        <is>
          <t>99000-065294</t>
        </is>
      </c>
      <c r="C204" s="22" t="inlineStr">
        <is>
          <t>SORT CHQ NUM  8148002</t>
        </is>
      </c>
      <c r="D204" s="25" t="n"/>
      <c r="E204" s="25" t="n">
        <v>138040</v>
      </c>
      <c r="F204" s="25" t="n">
        <v>-18493164.82</v>
      </c>
      <c r="G204" s="12" t="inlineStr">
        <is>
          <t>2025-12</t>
        </is>
      </c>
      <c r="H204" s="12" t="inlineStr">
        <is>
          <t>Encaissements clients</t>
        </is>
      </c>
      <c r="I204" s="12" t="inlineStr">
        <is>
          <t>Pointé journal 2025</t>
        </is>
      </c>
      <c r="J204" s="12" t="inlineStr"/>
      <c r="K204" s="12" t="inlineStr"/>
      <c r="L204" s="12" t="inlineStr"/>
    </row>
    <row r="205">
      <c r="A205" s="22" t="inlineStr">
        <is>
          <t>28/12/2025</t>
        </is>
      </c>
      <c r="B205" s="22" t="inlineStr">
        <is>
          <t>99000-065291</t>
        </is>
      </c>
      <c r="C205" s="22" t="inlineStr">
        <is>
          <t>SORT CHQ NUM  8147882</t>
        </is>
      </c>
      <c r="D205" s="25" t="n"/>
      <c r="E205" s="25" t="n">
        <v>445060</v>
      </c>
      <c r="F205" s="25" t="n">
        <v>-18048104.82</v>
      </c>
      <c r="G205" s="12" t="inlineStr">
        <is>
          <t>2025-12</t>
        </is>
      </c>
      <c r="H205" s="12" t="inlineStr">
        <is>
          <t>Encaissements clients</t>
        </is>
      </c>
      <c r="I205" s="12" t="inlineStr">
        <is>
          <t>Pointé journal 2025</t>
        </is>
      </c>
      <c r="J205" s="12" t="inlineStr"/>
      <c r="K205" s="12" t="inlineStr"/>
      <c r="L205" s="12" t="inlineStr"/>
    </row>
    <row r="206">
      <c r="A206" s="22" t="inlineStr">
        <is>
          <t>28/12/2025</t>
        </is>
      </c>
      <c r="B206" s="22" t="inlineStr">
        <is>
          <t>99000-065295</t>
        </is>
      </c>
      <c r="C206" s="22" t="inlineStr">
        <is>
          <t>SORT CHQ NUM  8148018</t>
        </is>
      </c>
      <c r="D206" s="25" t="n"/>
      <c r="E206" s="25" t="n">
        <v>35700</v>
      </c>
      <c r="F206" s="25" t="n">
        <v>-18012404.82</v>
      </c>
      <c r="G206" s="12" t="inlineStr">
        <is>
          <t>2025-12</t>
        </is>
      </c>
      <c r="H206" s="12" t="inlineStr">
        <is>
          <t>Encaissements clients</t>
        </is>
      </c>
      <c r="I206" s="12" t="inlineStr">
        <is>
          <t>Pointé journal 2025</t>
        </is>
      </c>
      <c r="J206" s="12" t="inlineStr"/>
      <c r="K206" s="12" t="inlineStr"/>
      <c r="L206" s="12" t="inlineStr"/>
    </row>
    <row r="207">
      <c r="A207" s="22" t="inlineStr">
        <is>
          <t>28/12/2025</t>
        </is>
      </c>
      <c r="B207" s="22" t="inlineStr">
        <is>
          <t>99000-065296</t>
        </is>
      </c>
      <c r="C207" s="22" t="inlineStr">
        <is>
          <t>SORT CHQ NUM  8148022</t>
        </is>
      </c>
      <c r="D207" s="25" t="n"/>
      <c r="E207" s="25" t="n">
        <v>38080</v>
      </c>
      <c r="F207" s="25" t="n">
        <v>-17974324.82</v>
      </c>
      <c r="G207" s="12" t="inlineStr">
        <is>
          <t>2025-12</t>
        </is>
      </c>
      <c r="H207" s="12" t="inlineStr">
        <is>
          <t>Encaissements clients</t>
        </is>
      </c>
      <c r="I207" s="12" t="inlineStr">
        <is>
          <t>Pointé journal 2025</t>
        </is>
      </c>
      <c r="J207" s="12" t="inlineStr"/>
      <c r="K207" s="12" t="inlineStr"/>
      <c r="L207" s="12" t="inlineStr"/>
    </row>
    <row r="208">
      <c r="A208" s="22" t="inlineStr">
        <is>
          <t>28/12/2025</t>
        </is>
      </c>
      <c r="B208" s="22" t="inlineStr">
        <is>
          <t>99000-065292</t>
        </is>
      </c>
      <c r="C208" s="22" t="inlineStr">
        <is>
          <t>FRAIS REMISE CHQ N  8147921</t>
        </is>
      </c>
      <c r="D208" s="25" t="n">
        <v>119</v>
      </c>
      <c r="E208" s="25" t="n"/>
      <c r="F208" s="25" t="n">
        <v>-17974443.82</v>
      </c>
      <c r="G208" s="12" t="inlineStr">
        <is>
          <t>2025-12</t>
        </is>
      </c>
      <c r="H208" s="12" t="inlineStr">
        <is>
          <t>Agios, commissions et frais</t>
        </is>
      </c>
      <c r="I208" s="12" t="inlineStr">
        <is>
          <t>Pointé journal 2025</t>
        </is>
      </c>
      <c r="J208" s="12" t="inlineStr"/>
      <c r="K208" s="12" t="inlineStr"/>
      <c r="L208" s="12" t="inlineStr"/>
    </row>
    <row r="209">
      <c r="A209" s="22" t="inlineStr">
        <is>
          <t>28/12/2025</t>
        </is>
      </c>
      <c r="B209" s="22" t="inlineStr">
        <is>
          <t>99000-065293</t>
        </is>
      </c>
      <c r="C209" s="22" t="inlineStr">
        <is>
          <t>FRAIS REMISE CHQ N  8147995</t>
        </is>
      </c>
      <c r="D209" s="25" t="n">
        <v>119</v>
      </c>
      <c r="E209" s="25" t="n"/>
      <c r="F209" s="25" t="n">
        <v>-17974562.82</v>
      </c>
      <c r="G209" s="12" t="inlineStr">
        <is>
          <t>2025-12</t>
        </is>
      </c>
      <c r="H209" s="12" t="inlineStr">
        <is>
          <t>Agios, commissions et frais</t>
        </is>
      </c>
      <c r="I209" s="12" t="inlineStr">
        <is>
          <t>Pointé journal 2025</t>
        </is>
      </c>
      <c r="J209" s="12" t="inlineStr"/>
      <c r="K209" s="12" t="inlineStr"/>
      <c r="L209" s="12" t="inlineStr"/>
    </row>
    <row r="210">
      <c r="A210" s="22" t="inlineStr">
        <is>
          <t>28/12/2025</t>
        </is>
      </c>
      <c r="B210" s="22" t="inlineStr">
        <is>
          <t>99000-065294</t>
        </is>
      </c>
      <c r="C210" s="22" t="inlineStr">
        <is>
          <t>FRAIS REMISE CHQ N  8148002</t>
        </is>
      </c>
      <c r="D210" s="25" t="n">
        <v>119</v>
      </c>
      <c r="E210" s="25" t="n"/>
      <c r="F210" s="25" t="n">
        <v>-17974681.82</v>
      </c>
      <c r="G210" s="12" t="inlineStr">
        <is>
          <t>2025-12</t>
        </is>
      </c>
      <c r="H210" s="12" t="inlineStr">
        <is>
          <t>Agios, commissions et frais</t>
        </is>
      </c>
      <c r="I210" s="12" t="inlineStr">
        <is>
          <t>Pointé journal 2025</t>
        </is>
      </c>
      <c r="J210" s="12" t="inlineStr"/>
      <c r="K210" s="12" t="inlineStr"/>
      <c r="L210" s="12" t="inlineStr"/>
    </row>
    <row r="211">
      <c r="A211" s="22" t="inlineStr">
        <is>
          <t>28/12/2025</t>
        </is>
      </c>
      <c r="B211" s="22" t="inlineStr">
        <is>
          <t>99000-065291</t>
        </is>
      </c>
      <c r="C211" s="22" t="inlineStr">
        <is>
          <t>FRAIS REMISE CHQ N  8147882</t>
        </is>
      </c>
      <c r="D211" s="25" t="n">
        <v>119</v>
      </c>
      <c r="E211" s="25" t="n"/>
      <c r="F211" s="25" t="n">
        <v>-17974800.82</v>
      </c>
      <c r="G211" s="12" t="inlineStr">
        <is>
          <t>2025-12</t>
        </is>
      </c>
      <c r="H211" s="12" t="inlineStr">
        <is>
          <t>Agios, commissions et frais</t>
        </is>
      </c>
      <c r="I211" s="12" t="inlineStr">
        <is>
          <t>Pointé journal 2025</t>
        </is>
      </c>
      <c r="J211" s="12" t="inlineStr"/>
      <c r="K211" s="12" t="inlineStr"/>
      <c r="L211" s="12" t="inlineStr"/>
    </row>
    <row r="212">
      <c r="A212" s="22" t="inlineStr">
        <is>
          <t>28/12/2025</t>
        </is>
      </c>
      <c r="B212" s="22" t="inlineStr">
        <is>
          <t>99000-065295</t>
        </is>
      </c>
      <c r="C212" s="22" t="inlineStr">
        <is>
          <t>FRAIS REMISE CHQ N  8148018</t>
        </is>
      </c>
      <c r="D212" s="25" t="n">
        <v>119</v>
      </c>
      <c r="E212" s="25" t="n"/>
      <c r="F212" s="25" t="n">
        <v>-17974919.82</v>
      </c>
      <c r="G212" s="12" t="inlineStr">
        <is>
          <t>2025-12</t>
        </is>
      </c>
      <c r="H212" s="12" t="inlineStr">
        <is>
          <t>Agios, commissions et frais</t>
        </is>
      </c>
      <c r="I212" s="12" t="inlineStr">
        <is>
          <t>Pointé journal 2025</t>
        </is>
      </c>
      <c r="J212" s="12" t="inlineStr"/>
      <c r="K212" s="12" t="inlineStr"/>
      <c r="L212" s="12" t="inlineStr"/>
    </row>
    <row r="213">
      <c r="A213" s="22" t="inlineStr">
        <is>
          <t>28/12/2025</t>
        </is>
      </c>
      <c r="B213" s="22" t="inlineStr">
        <is>
          <t>99000-065296</t>
        </is>
      </c>
      <c r="C213" s="22" t="inlineStr">
        <is>
          <t>FRAIS REMISE CHQ N  8148022</t>
        </is>
      </c>
      <c r="D213" s="25" t="n">
        <v>119</v>
      </c>
      <c r="E213" s="25" t="n"/>
      <c r="F213" s="25" t="n">
        <v>-17975038.82</v>
      </c>
      <c r="G213" s="12" t="inlineStr">
        <is>
          <t>2025-12</t>
        </is>
      </c>
      <c r="H213" s="12" t="inlineStr">
        <is>
          <t>Agios, commissions et frais</t>
        </is>
      </c>
      <c r="I213" s="12" t="inlineStr">
        <is>
          <t>Pointé journal 2025</t>
        </is>
      </c>
      <c r="J213" s="12" t="inlineStr"/>
      <c r="K213" s="12" t="inlineStr"/>
      <c r="L213" s="12" t="inlineStr"/>
    </row>
    <row r="214">
      <c r="A214" s="22" t="inlineStr">
        <is>
          <t>29/12/2025</t>
        </is>
      </c>
      <c r="B214" s="22" t="inlineStr">
        <is>
          <t>99000-065330</t>
        </is>
      </c>
      <c r="C214" s="22" t="inlineStr">
        <is>
          <t>SORT CHQ NUM  9053174</t>
        </is>
      </c>
      <c r="D214" s="25" t="n"/>
      <c r="E214" s="25" t="n">
        <v>2849521</v>
      </c>
      <c r="F214" s="25" t="n">
        <v>-15125517.82</v>
      </c>
      <c r="G214" s="12" t="inlineStr">
        <is>
          <t>2025-12</t>
        </is>
      </c>
      <c r="H214" s="12" t="inlineStr">
        <is>
          <t>Encaissements clients</t>
        </is>
      </c>
      <c r="I214" s="12" t="inlineStr">
        <is>
          <t>Pointé journal 2025</t>
        </is>
      </c>
      <c r="J214" s="12" t="inlineStr"/>
      <c r="K214" s="12" t="inlineStr"/>
      <c r="L214" s="12" t="inlineStr"/>
    </row>
    <row r="215">
      <c r="A215" s="22" t="inlineStr">
        <is>
          <t>29/12/2025</t>
        </is>
      </c>
      <c r="B215" s="22" t="inlineStr">
        <is>
          <t>99000-065330</t>
        </is>
      </c>
      <c r="C215" s="22" t="inlineStr">
        <is>
          <t>FRAIS REMISE CHQ N  9053174</t>
        </is>
      </c>
      <c r="D215" s="25" t="n">
        <v>238</v>
      </c>
      <c r="E215" s="25" t="n"/>
      <c r="F215" s="25" t="n">
        <v>-15125755.82</v>
      </c>
      <c r="G215" s="12" t="inlineStr">
        <is>
          <t>2025-12</t>
        </is>
      </c>
      <c r="H215" s="12" t="inlineStr">
        <is>
          <t>Agios, commissions et frais</t>
        </is>
      </c>
      <c r="I215" s="12" t="inlineStr">
        <is>
          <t>Pointé journal 2025</t>
        </is>
      </c>
      <c r="J215" s="12" t="inlineStr"/>
      <c r="K215" s="12" t="inlineStr"/>
      <c r="L215" s="12" t="inlineStr"/>
    </row>
    <row r="216">
      <c r="A216" s="22" t="inlineStr">
        <is>
          <t>29/12/2025</t>
        </is>
      </c>
      <c r="B216" s="22" t="inlineStr">
        <is>
          <t>99000-005292</t>
        </is>
      </c>
      <c r="C216" s="22" t="inlineStr">
        <is>
          <t>PERCEPTION DES COMMISSIONS</t>
        </is>
      </c>
      <c r="D216" s="25" t="n">
        <v>148.75</v>
      </c>
      <c r="E216" s="25" t="n"/>
      <c r="F216" s="25" t="n">
        <v>-15125904.57</v>
      </c>
      <c r="G216" s="12" t="inlineStr">
        <is>
          <t>2025-12</t>
        </is>
      </c>
      <c r="H216" s="12" t="inlineStr">
        <is>
          <t>Agios, commissions et frais</t>
        </is>
      </c>
      <c r="I216" s="12" t="inlineStr">
        <is>
          <t>Pointé journal 2025</t>
        </is>
      </c>
      <c r="J216" s="12" t="inlineStr"/>
      <c r="K216" s="12" t="inlineStr"/>
      <c r="L216" s="12" t="inlineStr"/>
    </row>
    <row r="217">
      <c r="A217" s="22" t="inlineStr">
        <is>
          <t>29/12/2025</t>
        </is>
      </c>
      <c r="B217" s="22" t="inlineStr">
        <is>
          <t>99000-005293</t>
        </is>
      </c>
      <c r="C217" s="22" t="inlineStr">
        <is>
          <t>PERCEPTION DES COMMISSIONS</t>
        </is>
      </c>
      <c r="D217" s="25" t="n">
        <v>2950.53</v>
      </c>
      <c r="E217" s="25" t="n"/>
      <c r="F217" s="25" t="n">
        <v>-15128855.1</v>
      </c>
      <c r="G217" s="12" t="inlineStr">
        <is>
          <t>2025-12</t>
        </is>
      </c>
      <c r="H217" s="12" t="inlineStr">
        <is>
          <t>Agios, commissions et frais</t>
        </is>
      </c>
      <c r="I217" s="12" t="inlineStr">
        <is>
          <t>Pointé journal 2025</t>
        </is>
      </c>
      <c r="J217" s="12" t="inlineStr"/>
      <c r="K217" s="12" t="inlineStr"/>
      <c r="L217" s="12" t="inlineStr"/>
    </row>
    <row r="218">
      <c r="A218" s="22" t="inlineStr">
        <is>
          <t>29/12/2025</t>
        </is>
      </c>
      <c r="B218" s="22" t="inlineStr">
        <is>
          <t>99000-005296</t>
        </is>
      </c>
      <c r="C218" s="22" t="inlineStr">
        <is>
          <t>PERCEPTION DES COMMISSIONS</t>
        </is>
      </c>
      <c r="D218" s="25" t="n">
        <v>148.75</v>
      </c>
      <c r="E218" s="25" t="n"/>
      <c r="F218" s="25" t="n">
        <v>-15129003.85</v>
      </c>
      <c r="G218" s="12" t="inlineStr">
        <is>
          <t>2025-12</t>
        </is>
      </c>
      <c r="H218" s="12" t="inlineStr">
        <is>
          <t>Agios, commissions et frais</t>
        </is>
      </c>
      <c r="I218" s="12" t="inlineStr">
        <is>
          <t>Pointé journal 2025</t>
        </is>
      </c>
      <c r="J218" s="12" t="inlineStr"/>
      <c r="K218" s="12" t="inlineStr"/>
      <c r="L218" s="12" t="inlineStr"/>
    </row>
    <row r="219">
      <c r="A219" s="22" t="inlineStr">
        <is>
          <t>29/12/2025</t>
        </is>
      </c>
      <c r="B219" s="22" t="inlineStr">
        <is>
          <t>99000-005294</t>
        </is>
      </c>
      <c r="C219" s="22" t="inlineStr">
        <is>
          <t>PERCEPTION DES COMMISSIONS</t>
        </is>
      </c>
      <c r="D219" s="25" t="n">
        <v>148.75</v>
      </c>
      <c r="E219" s="25" t="n"/>
      <c r="F219" s="25" t="n">
        <v>-15129152.6</v>
      </c>
      <c r="G219" s="12" t="inlineStr">
        <is>
          <t>2025-12</t>
        </is>
      </c>
      <c r="H219" s="12" t="inlineStr">
        <is>
          <t>Agios, commissions et frais</t>
        </is>
      </c>
      <c r="I219" s="12" t="inlineStr">
        <is>
          <t>Pointé journal 2025</t>
        </is>
      </c>
      <c r="J219" s="12" t="inlineStr"/>
      <c r="K219" s="12" t="inlineStr"/>
      <c r="L219" s="12" t="inlineStr"/>
    </row>
    <row r="220">
      <c r="A220" s="22" t="inlineStr">
        <is>
          <t>29/12/2025</t>
        </is>
      </c>
      <c r="B220" s="22" t="inlineStr">
        <is>
          <t>99000-005295</t>
        </is>
      </c>
      <c r="C220" s="22" t="inlineStr">
        <is>
          <t>PERCEPTION DES COMMISSIONS</t>
        </is>
      </c>
      <c r="D220" s="25" t="n">
        <v>148.75</v>
      </c>
      <c r="E220" s="25" t="n"/>
      <c r="F220" s="25" t="n">
        <v>-15129301.35</v>
      </c>
      <c r="G220" s="12" t="inlineStr">
        <is>
          <t>2025-12</t>
        </is>
      </c>
      <c r="H220" s="12" t="inlineStr">
        <is>
          <t>Agios, commissions et frais</t>
        </is>
      </c>
      <c r="I220" s="12" t="inlineStr">
        <is>
          <t>Pointé journal 2025</t>
        </is>
      </c>
      <c r="J220" s="12" t="inlineStr"/>
      <c r="K220" s="12" t="inlineStr"/>
      <c r="L220" s="12" t="inlineStr"/>
    </row>
    <row r="221">
      <c r="A221" s="22" t="inlineStr">
        <is>
          <t>30/12/2025</t>
        </is>
      </c>
      <c r="B221" s="22" t="inlineStr">
        <is>
          <t>00370-001330</t>
        </is>
      </c>
      <c r="C221" s="22" t="inlineStr">
        <is>
          <t>VRT. RECU VIREMENT ARTS CLIENT</t>
        </is>
      </c>
      <c r="D221" s="25" t="n"/>
      <c r="E221" s="25" t="n">
        <v>2876800.01</v>
      </c>
      <c r="F221" s="25" t="n">
        <v>-12252501.34</v>
      </c>
      <c r="G221" s="12" t="inlineStr">
        <is>
          <t>2025-12</t>
        </is>
      </c>
      <c r="H221" s="12" t="inlineStr">
        <is>
          <t>Encaissements clients</t>
        </is>
      </c>
      <c r="I221" s="12" t="inlineStr">
        <is>
          <t>Pointé journal 2025</t>
        </is>
      </c>
      <c r="J221" s="12" t="inlineStr"/>
      <c r="K221" s="12" t="inlineStr"/>
      <c r="L221" s="12" t="inlineStr"/>
    </row>
    <row r="222">
      <c r="A222" s="22" t="inlineStr">
        <is>
          <t>30/12/2025</t>
        </is>
      </c>
      <c r="B222" s="22" t="inlineStr">
        <is>
          <t>00370-001330</t>
        </is>
      </c>
      <c r="C222" s="22" t="inlineStr">
        <is>
          <t>FRAIS VRT RTGS</t>
        </is>
      </c>
      <c r="D222" s="25" t="n">
        <v>684.6799999999999</v>
      </c>
      <c r="E222" s="25" t="n"/>
      <c r="F222" s="25" t="n">
        <v>-12253186.02</v>
      </c>
      <c r="G222" s="12" t="inlineStr">
        <is>
          <t>2025-12</t>
        </is>
      </c>
      <c r="H222" s="12" t="inlineStr">
        <is>
          <t>Agios, commissions et frais</t>
        </is>
      </c>
      <c r="I222" s="12" t="inlineStr">
        <is>
          <t>Pointé journal 2025</t>
        </is>
      </c>
      <c r="J222" s="12" t="inlineStr"/>
      <c r="K222" s="12" t="inlineStr"/>
      <c r="L222" s="12" t="inlineStr"/>
    </row>
    <row r="223">
      <c r="A223" s="22" t="inlineStr">
        <is>
          <t>31/12/2025</t>
        </is>
      </c>
      <c r="B223" s="22" t="inlineStr">
        <is>
          <t>00370-376984</t>
        </is>
      </c>
      <c r="C223" s="22" t="inlineStr">
        <is>
          <t>VERSEMENT DEGAGEMENT CAISSE</t>
        </is>
      </c>
      <c r="D223" s="25" t="n"/>
      <c r="E223" s="25" t="n">
        <v>10000000</v>
      </c>
      <c r="F223" s="25" t="n">
        <v>-2253186.02</v>
      </c>
      <c r="G223" s="12" t="inlineStr">
        <is>
          <t>2025-12</t>
        </is>
      </c>
      <c r="H223" s="12" t="inlineStr">
        <is>
          <t>Versement d'espèces (caisse)</t>
        </is>
      </c>
      <c r="I223" s="40" t="inlineStr">
        <is>
          <t>Non comptabilisé en 2025</t>
        </is>
      </c>
      <c r="J223" s="12" t="inlineStr">
        <is>
          <t>B25120001</t>
        </is>
      </c>
      <c r="K223" s="12" t="inlineStr">
        <is>
          <t>58100</t>
        </is>
      </c>
      <c r="L223" s="12" t="inlineStr">
        <is>
          <t>Certaine</t>
        </is>
      </c>
    </row>
    <row r="224">
      <c r="A224" s="22" t="inlineStr">
        <is>
          <t>31/12/2025</t>
        </is>
      </c>
      <c r="B224" s="22" t="inlineStr">
        <is>
          <t>00370-025250</t>
        </is>
      </c>
      <c r="C224" s="22" t="inlineStr">
        <is>
          <t>EXTRAIT DE COMPTE</t>
        </is>
      </c>
      <c r="D224" s="25" t="n">
        <v>249.9</v>
      </c>
      <c r="E224" s="25" t="n"/>
      <c r="F224" s="25" t="n">
        <v>-2253435.92</v>
      </c>
      <c r="G224" s="12" t="inlineStr">
        <is>
          <t>2025-12</t>
        </is>
      </c>
      <c r="H224" s="12" t="inlineStr">
        <is>
          <t>Agios, commissions et frais</t>
        </is>
      </c>
      <c r="I224" s="40" t="inlineStr">
        <is>
          <t>Non comptabilisé en 2025</t>
        </is>
      </c>
      <c r="J224" s="12" t="inlineStr">
        <is>
          <t>B25120002</t>
        </is>
      </c>
      <c r="K224" s="12" t="inlineStr">
        <is>
          <t>44557, 62750</t>
        </is>
      </c>
      <c r="L224" s="12" t="inlineStr">
        <is>
          <t>Probable</t>
        </is>
      </c>
    </row>
    <row r="225">
      <c r="A225" s="22" t="inlineStr">
        <is>
          <t>31/12/2025</t>
        </is>
      </c>
      <c r="B225" s="22" t="inlineStr">
        <is>
          <t>00370-001038</t>
        </is>
      </c>
      <c r="C225" s="22" t="inlineStr">
        <is>
          <t>COM.VRT EDI BQUE</t>
        </is>
      </c>
      <c r="D225" s="25" t="n">
        <v>35.7</v>
      </c>
      <c r="E225" s="25" t="n"/>
      <c r="F225" s="25" t="n">
        <v>-2253471.62</v>
      </c>
      <c r="G225" s="12" t="inlineStr">
        <is>
          <t>2025-12</t>
        </is>
      </c>
      <c r="H225" s="12" t="inlineStr">
        <is>
          <t>Agios, commissions et frais</t>
        </is>
      </c>
      <c r="I225" s="40" t="inlineStr">
        <is>
          <t>Non comptabilisé en 2025</t>
        </is>
      </c>
      <c r="J225" s="12" t="inlineStr">
        <is>
          <t>B25120003</t>
        </is>
      </c>
      <c r="K225" s="12" t="inlineStr">
        <is>
          <t>44557, 62750</t>
        </is>
      </c>
      <c r="L225" s="12" t="inlineStr">
        <is>
          <t>Probable</t>
        </is>
      </c>
    </row>
    <row r="226">
      <c r="A226" s="22" t="inlineStr">
        <is>
          <t>31/12/2025</t>
        </is>
      </c>
      <c r="B226" s="22" t="inlineStr">
        <is>
          <t>00370-001038</t>
        </is>
      </c>
      <c r="C226" s="22" t="inlineStr">
        <is>
          <t>VRT EDI SIMPLE AUTRE</t>
        </is>
      </c>
      <c r="D226" s="25" t="n">
        <v>800000</v>
      </c>
      <c r="E226" s="25" t="n"/>
      <c r="F226" s="25" t="n">
        <v>-3053471.62</v>
      </c>
      <c r="G226" s="12" t="inlineStr">
        <is>
          <t>2025-12</t>
        </is>
      </c>
      <c r="H226" s="12" t="inlineStr">
        <is>
          <t>Fournisseurs, salaires et divers</t>
        </is>
      </c>
      <c r="I226" s="40" t="inlineStr">
        <is>
          <t>Non comptabilisé en 2025</t>
        </is>
      </c>
      <c r="J226" s="12" t="inlineStr">
        <is>
          <t>B25120004</t>
        </is>
      </c>
      <c r="K226" s="12" t="inlineStr">
        <is>
          <t>47000</t>
        </is>
      </c>
      <c r="L226" s="12" t="inlineStr">
        <is>
          <t>À identifier</t>
        </is>
      </c>
    </row>
    <row r="227">
      <c r="A227" s="22" t="inlineStr">
        <is>
          <t>31/12/2025</t>
        </is>
      </c>
      <c r="B227" s="22" t="inlineStr">
        <is>
          <t>99000-057589</t>
        </is>
      </c>
      <c r="C227" s="22" t="inlineStr">
        <is>
          <t>REMISE CHQ NUM    57589</t>
        </is>
      </c>
      <c r="D227" s="25" t="n"/>
      <c r="E227" s="25" t="n">
        <v>252000</v>
      </c>
      <c r="F227" s="25" t="n">
        <v>-2801471.62</v>
      </c>
      <c r="G227" s="12" t="inlineStr">
        <is>
          <t>2025-12</t>
        </is>
      </c>
      <c r="H227" s="12" t="inlineStr">
        <is>
          <t>Encaissements clients</t>
        </is>
      </c>
      <c r="I227" s="40" t="inlineStr">
        <is>
          <t>Non comptabilisé en 2025</t>
        </is>
      </c>
      <c r="J227" s="12" t="inlineStr">
        <is>
          <t>B25120005</t>
        </is>
      </c>
      <c r="K227" s="12" t="inlineStr">
        <is>
          <t>47000</t>
        </is>
      </c>
      <c r="L227" s="12" t="inlineStr">
        <is>
          <t>À identifier</t>
        </is>
      </c>
    </row>
    <row r="228">
      <c r="A228" s="22" t="inlineStr">
        <is>
          <t>31/12/2025</t>
        </is>
      </c>
      <c r="B228" s="22" t="inlineStr">
        <is>
          <t>99000-065346</t>
        </is>
      </c>
      <c r="C228" s="22" t="inlineStr">
        <is>
          <t>SORT CHQ NUM  1232133</t>
        </is>
      </c>
      <c r="D228" s="25" t="n"/>
      <c r="E228" s="25" t="n">
        <v>1154000</v>
      </c>
      <c r="F228" s="25" t="n">
        <v>-1647471.62</v>
      </c>
      <c r="G228" s="12" t="inlineStr">
        <is>
          <t>2025-12</t>
        </is>
      </c>
      <c r="H228" s="12" t="inlineStr">
        <is>
          <t>Encaissements clients</t>
        </is>
      </c>
      <c r="I228" s="40" t="inlineStr">
        <is>
          <t>Non comptabilisé en 2025</t>
        </is>
      </c>
      <c r="J228" s="12" t="inlineStr">
        <is>
          <t>B25120006</t>
        </is>
      </c>
      <c r="K228" s="12" t="inlineStr">
        <is>
          <t>41100</t>
        </is>
      </c>
      <c r="L228" s="12" t="inlineStr">
        <is>
          <t>Probable</t>
        </is>
      </c>
    </row>
    <row r="229">
      <c r="A229" s="22" t="inlineStr">
        <is>
          <t>31/12/2025</t>
        </is>
      </c>
      <c r="B229" s="22" t="inlineStr">
        <is>
          <t>99000-065346</t>
        </is>
      </c>
      <c r="C229" s="22" t="inlineStr">
        <is>
          <t>FRAIS REMISE CHQ N  1232133</t>
        </is>
      </c>
      <c r="D229" s="25" t="n">
        <v>238</v>
      </c>
      <c r="E229" s="25" t="n"/>
      <c r="F229" s="25" t="n">
        <v>-1647709.62</v>
      </c>
      <c r="G229" s="12" t="inlineStr">
        <is>
          <t>2025-12</t>
        </is>
      </c>
      <c r="H229" s="12" t="inlineStr">
        <is>
          <t>Agios, commissions et frais</t>
        </is>
      </c>
      <c r="I229" s="40" t="inlineStr">
        <is>
          <t>Non comptabilisé en 2025</t>
        </is>
      </c>
      <c r="J229" s="12" t="inlineStr">
        <is>
          <t>B25120007</t>
        </is>
      </c>
      <c r="K229" s="12" t="inlineStr">
        <is>
          <t>44557, 62750</t>
        </is>
      </c>
      <c r="L229" s="12" t="inlineStr">
        <is>
          <t>Probable</t>
        </is>
      </c>
    </row>
    <row r="230">
      <c r="A230" s="22" t="inlineStr">
        <is>
          <t>31/12/2025</t>
        </is>
      </c>
      <c r="B230" s="22" t="inlineStr">
        <is>
          <t>00370-000198</t>
        </is>
      </c>
      <c r="C230" s="22" t="inlineStr">
        <is>
          <t>ACCEPTA RE00370 PTI00062857</t>
        </is>
      </c>
      <c r="D230" s="25" t="n">
        <v>4165</v>
      </c>
      <c r="E230" s="25" t="n"/>
      <c r="F230" s="25" t="n">
        <v>-1651874.62</v>
      </c>
      <c r="G230" s="12" t="inlineStr">
        <is>
          <t>2025-12</t>
        </is>
      </c>
      <c r="H230" s="12" t="inlineStr">
        <is>
          <t>Importations (règlements, provisions, crédoc)</t>
        </is>
      </c>
      <c r="I230" s="40" t="inlineStr">
        <is>
          <t>Non comptabilisé en 2025</t>
        </is>
      </c>
      <c r="J230" s="12" t="inlineStr">
        <is>
          <t>B25120008</t>
        </is>
      </c>
      <c r="K230" s="12" t="inlineStr">
        <is>
          <t>44557, 62750</t>
        </is>
      </c>
      <c r="L230" s="12" t="inlineStr">
        <is>
          <t>Probable</t>
        </is>
      </c>
    </row>
    <row r="231">
      <c r="A231" s="22" t="inlineStr">
        <is>
          <t>31/12/2025</t>
        </is>
      </c>
      <c r="B231" s="22" t="inlineStr">
        <is>
          <t>00370-000331</t>
        </is>
      </c>
      <c r="C231" s="22" t="inlineStr">
        <is>
          <t>OPERATION PROV 20% PTI62857 US</t>
        </is>
      </c>
      <c r="D231" s="25" t="n">
        <v>1200000</v>
      </c>
      <c r="E231" s="25" t="n"/>
      <c r="F231" s="25" t="n">
        <v>-2851874.62</v>
      </c>
      <c r="G231" s="12" t="inlineStr">
        <is>
          <t>2025-12</t>
        </is>
      </c>
      <c r="H231" s="12" t="inlineStr">
        <is>
          <t>Importations (règlements, provisions, crédoc)</t>
        </is>
      </c>
      <c r="I231" s="40" t="inlineStr">
        <is>
          <t>Non comptabilisé en 2025</t>
        </is>
      </c>
      <c r="J231" s="12" t="inlineStr">
        <is>
          <t>B25120009</t>
        </is>
      </c>
      <c r="K231" s="12" t="inlineStr">
        <is>
          <t>54200</t>
        </is>
      </c>
      <c r="L231" s="12" t="inlineStr">
        <is>
          <t>Certaine</t>
        </is>
      </c>
    </row>
    <row r="232">
      <c r="A232" s="22" t="inlineStr">
        <is>
          <t>31/12/2025</t>
        </is>
      </c>
      <c r="B232" s="22" t="inlineStr">
        <is>
          <t>99000-054075</t>
        </is>
      </c>
      <c r="C232" s="22" t="inlineStr">
        <is>
          <t>FRAIS FIXE AU 31/12/25</t>
        </is>
      </c>
      <c r="D232" s="25" t="n">
        <v>375</v>
      </c>
      <c r="E232" s="25" t="n"/>
      <c r="F232" s="25" t="n">
        <v>-2852249.62</v>
      </c>
      <c r="G232" s="12" t="inlineStr">
        <is>
          <t>2025-12</t>
        </is>
      </c>
      <c r="H232" s="12" t="inlineStr">
        <is>
          <t>Agios, commissions et frais</t>
        </is>
      </c>
      <c r="I232" s="40" t="inlineStr">
        <is>
          <t>Non comptabilisé en 2025</t>
        </is>
      </c>
      <c r="J232" s="12" t="inlineStr">
        <is>
          <t>B25120010</t>
        </is>
      </c>
      <c r="K232" s="12" t="inlineStr">
        <is>
          <t>44557, 62750</t>
        </is>
      </c>
      <c r="L232" s="12" t="inlineStr">
        <is>
          <t>Probable</t>
        </is>
      </c>
    </row>
    <row r="233">
      <c r="A233" s="22" t="inlineStr">
        <is>
          <t>31/12/2025</t>
        </is>
      </c>
      <c r="B233" s="22" t="inlineStr">
        <is>
          <t>99000-054075</t>
        </is>
      </c>
      <c r="C233" s="22" t="inlineStr">
        <is>
          <t>INTERETS DEBITEURS AU 31/12/25</t>
        </is>
      </c>
      <c r="D233" s="25" t="n">
        <v>88705.67999999999</v>
      </c>
      <c r="E233" s="25" t="n"/>
      <c r="F233" s="25" t="n">
        <v>-2940955.3</v>
      </c>
      <c r="G233" s="12" t="inlineStr">
        <is>
          <t>2025-12</t>
        </is>
      </c>
      <c r="H233" s="12" t="inlineStr">
        <is>
          <t>Agios, commissions et frais</t>
        </is>
      </c>
      <c r="I233" s="40" t="inlineStr">
        <is>
          <t>Non comptabilisé en 2025</t>
        </is>
      </c>
      <c r="J233" s="12" t="inlineStr">
        <is>
          <t>B25120011</t>
        </is>
      </c>
      <c r="K233" s="12" t="inlineStr">
        <is>
          <t>66100</t>
        </is>
      </c>
      <c r="L233" s="12" t="inlineStr">
        <is>
          <t>Certaine</t>
        </is>
      </c>
    </row>
    <row r="234">
      <c r="A234" s="22" t="inlineStr">
        <is>
          <t>31/12/2025</t>
        </is>
      </c>
      <c r="B234" s="22" t="inlineStr">
        <is>
          <t>99000-054075</t>
        </is>
      </c>
      <c r="C234" s="22" t="inlineStr">
        <is>
          <t>TAXE/INTERETS DBT AU 31/12/25</t>
        </is>
      </c>
      <c r="D234" s="25" t="n">
        <v>16854.08</v>
      </c>
      <c r="E234" s="25" t="n"/>
      <c r="F234" s="25" t="n">
        <v>-2957809.38</v>
      </c>
      <c r="G234" s="12" t="inlineStr">
        <is>
          <t>2025-12</t>
        </is>
      </c>
      <c r="H234" s="12" t="inlineStr">
        <is>
          <t>Agios, commissions et frais</t>
        </is>
      </c>
      <c r="I234" s="40" t="inlineStr">
        <is>
          <t>Non comptabilisé en 2025</t>
        </is>
      </c>
      <c r="J234" s="12" t="inlineStr">
        <is>
          <t>B25120012</t>
        </is>
      </c>
      <c r="K234" s="12" t="inlineStr">
        <is>
          <t>44557</t>
        </is>
      </c>
      <c r="L234" s="12" t="inlineStr">
        <is>
          <t>Certaine</t>
        </is>
      </c>
    </row>
    <row r="235">
      <c r="A235" s="22" t="inlineStr">
        <is>
          <t>31/12/2025</t>
        </is>
      </c>
      <c r="B235" s="22" t="inlineStr">
        <is>
          <t>99000-054075</t>
        </is>
      </c>
      <c r="C235" s="22" t="inlineStr">
        <is>
          <t>TAXE FRAIS FIXE AU 31/12/25</t>
        </is>
      </c>
      <c r="D235" s="25" t="n">
        <v>71.25</v>
      </c>
      <c r="E235" s="25" t="n"/>
      <c r="F235" s="25" t="n">
        <v>-2957880.63</v>
      </c>
      <c r="G235" s="12" t="inlineStr">
        <is>
          <t>2025-12</t>
        </is>
      </c>
      <c r="H235" s="12" t="inlineStr">
        <is>
          <t>Agios, commissions et frais</t>
        </is>
      </c>
      <c r="I235" s="40" t="inlineStr">
        <is>
          <t>Non comptabilisé en 2025</t>
        </is>
      </c>
      <c r="J235" s="12" t="inlineStr">
        <is>
          <t>B25120013</t>
        </is>
      </c>
      <c r="K235" s="12" t="inlineStr">
        <is>
          <t>44557</t>
        </is>
      </c>
      <c r="L235" s="12" t="inlineStr">
        <is>
          <t>Certaine</t>
        </is>
      </c>
    </row>
    <row r="236">
      <c r="A236" s="22" t="inlineStr">
        <is>
          <t>04/01/2026</t>
        </is>
      </c>
      <c r="B236" s="22" t="inlineStr">
        <is>
          <t>00370-012760</t>
        </is>
      </c>
      <c r="C236" s="22" t="inlineStr">
        <is>
          <t>FRAIS VRT.</t>
        </is>
      </c>
      <c r="D236" s="25" t="n">
        <v>59.5</v>
      </c>
      <c r="E236" s="25" t="n"/>
      <c r="F236" s="25" t="n">
        <v>-2957940.13</v>
      </c>
      <c r="G236" s="12" t="inlineStr">
        <is>
          <t>2026-01</t>
        </is>
      </c>
      <c r="H236" s="12" t="inlineStr">
        <is>
          <t>Agios, commissions et frais</t>
        </is>
      </c>
      <c r="I236" s="12" t="inlineStr"/>
      <c r="J236" s="12" t="inlineStr">
        <is>
          <t>B26010014</t>
        </is>
      </c>
      <c r="K236" s="12" t="inlineStr">
        <is>
          <t>44557, 62750</t>
        </is>
      </c>
      <c r="L236" s="12" t="inlineStr">
        <is>
          <t>Probable</t>
        </is>
      </c>
    </row>
    <row r="237">
      <c r="A237" s="22" t="inlineStr">
        <is>
          <t>04/01/2026</t>
        </is>
      </c>
      <c r="B237" s="22" t="inlineStr">
        <is>
          <t>00370-012760</t>
        </is>
      </c>
      <c r="C237" s="22" t="inlineStr">
        <is>
          <t>VRT. ORD. SARL DPR AXXAM</t>
        </is>
      </c>
      <c r="D237" s="25" t="n">
        <v>10000000</v>
      </c>
      <c r="E237" s="25" t="n"/>
      <c r="F237" s="25" t="n">
        <v>-12957940.13</v>
      </c>
      <c r="G237" s="12" t="inlineStr">
        <is>
          <t>2026-01</t>
        </is>
      </c>
      <c r="H237" s="12" t="inlineStr">
        <is>
          <t>DPR AXXAM (partie liée)</t>
        </is>
      </c>
      <c r="I237" s="12" t="inlineStr"/>
      <c r="J237" s="12" t="inlineStr">
        <is>
          <t>B26010015</t>
        </is>
      </c>
      <c r="K237" s="12" t="inlineStr">
        <is>
          <t>40900</t>
        </is>
      </c>
      <c r="L237" s="12" t="inlineStr">
        <is>
          <t>À justifier</t>
        </is>
      </c>
    </row>
    <row r="238">
      <c r="A238" s="22" t="inlineStr">
        <is>
          <t>05/01/2026</t>
        </is>
      </c>
      <c r="B238" s="22" t="inlineStr">
        <is>
          <t>00370-012762</t>
        </is>
      </c>
      <c r="C238" s="22" t="inlineStr">
        <is>
          <t>FRAIS VRT.</t>
        </is>
      </c>
      <c r="D238" s="25" t="n">
        <v>59.5</v>
      </c>
      <c r="E238" s="25" t="n"/>
      <c r="F238" s="25" t="n">
        <v>-12957999.63</v>
      </c>
      <c r="G238" s="12" t="inlineStr">
        <is>
          <t>2026-01</t>
        </is>
      </c>
      <c r="H238" s="12" t="inlineStr">
        <is>
          <t>Agios, commissions et frais</t>
        </is>
      </c>
      <c r="I238" s="12" t="inlineStr"/>
      <c r="J238" s="12" t="inlineStr">
        <is>
          <t>B26010016</t>
        </is>
      </c>
      <c r="K238" s="12" t="inlineStr">
        <is>
          <t>44557, 62750</t>
        </is>
      </c>
      <c r="L238" s="12" t="inlineStr">
        <is>
          <t>Probable</t>
        </is>
      </c>
    </row>
    <row r="239">
      <c r="A239" s="22" t="inlineStr">
        <is>
          <t>05/01/2026</t>
        </is>
      </c>
      <c r="B239" s="22" t="inlineStr">
        <is>
          <t>00370-012762</t>
        </is>
      </c>
      <c r="C239" s="22" t="inlineStr">
        <is>
          <t>VRT. ORD. SARL DPR AXXAM</t>
        </is>
      </c>
      <c r="D239" s="25" t="n">
        <v>6500000</v>
      </c>
      <c r="E239" s="25" t="n"/>
      <c r="F239" s="25" t="n">
        <v>-19457999.63</v>
      </c>
      <c r="G239" s="12" t="inlineStr">
        <is>
          <t>2026-01</t>
        </is>
      </c>
      <c r="H239" s="12" t="inlineStr">
        <is>
          <t>DPR AXXAM (partie liée)</t>
        </is>
      </c>
      <c r="I239" s="12" t="inlineStr"/>
      <c r="J239" s="12" t="inlineStr">
        <is>
          <t>B26010017</t>
        </is>
      </c>
      <c r="K239" s="12" t="inlineStr">
        <is>
          <t>40900</t>
        </is>
      </c>
      <c r="L239" s="12" t="inlineStr">
        <is>
          <t>À justifier</t>
        </is>
      </c>
    </row>
    <row r="240">
      <c r="A240" s="22" t="inlineStr">
        <is>
          <t>05/01/2026</t>
        </is>
      </c>
      <c r="B240" s="22" t="inlineStr">
        <is>
          <t>00370-118291</t>
        </is>
      </c>
      <c r="C240" s="22" t="inlineStr">
        <is>
          <t>PAIEMENT CHQ NUM  2125727</t>
        </is>
      </c>
      <c r="D240" s="25" t="n">
        <v>230000</v>
      </c>
      <c r="E240" s="25" t="n"/>
      <c r="F240" s="25" t="n">
        <v>-19687999.63</v>
      </c>
      <c r="G240" s="12" t="inlineStr">
        <is>
          <t>2026-01</t>
        </is>
      </c>
      <c r="H240" s="12" t="inlineStr">
        <is>
          <t>Fournisseurs, salaires et divers</t>
        </is>
      </c>
      <c r="I240" s="12" t="inlineStr"/>
      <c r="J240" s="12" t="inlineStr">
        <is>
          <t>B26010018</t>
        </is>
      </c>
      <c r="K240" s="12" t="inlineStr">
        <is>
          <t>62200</t>
        </is>
      </c>
      <c r="L240" s="12" t="inlineStr">
        <is>
          <t>Par analogie</t>
        </is>
      </c>
    </row>
    <row r="241">
      <c r="A241" s="22" t="inlineStr">
        <is>
          <t>05/01/2026</t>
        </is>
      </c>
      <c r="B241" s="22" t="inlineStr">
        <is>
          <t>00370-118291</t>
        </is>
      </c>
      <c r="C241" s="22" t="inlineStr">
        <is>
          <t>PERCEP.COM SUR PAIEMENTS CHQ</t>
        </is>
      </c>
      <c r="D241" s="25" t="n">
        <v>59.5</v>
      </c>
      <c r="E241" s="25" t="n"/>
      <c r="F241" s="25" t="n">
        <v>-19688059.13</v>
      </c>
      <c r="G241" s="12" t="inlineStr">
        <is>
          <t>2026-01</t>
        </is>
      </c>
      <c r="H241" s="12" t="inlineStr">
        <is>
          <t>Agios, commissions et frais</t>
        </is>
      </c>
      <c r="I241" s="12" t="inlineStr"/>
      <c r="J241" s="12" t="inlineStr">
        <is>
          <t>B26010019</t>
        </is>
      </c>
      <c r="K241" s="12" t="inlineStr">
        <is>
          <t>44557, 62750</t>
        </is>
      </c>
      <c r="L241" s="12" t="inlineStr">
        <is>
          <t>Probable</t>
        </is>
      </c>
    </row>
    <row r="242">
      <c r="A242" s="22" t="inlineStr">
        <is>
          <t>05/01/2026</t>
        </is>
      </c>
      <c r="B242" s="22" t="inlineStr">
        <is>
          <t>99000-065377</t>
        </is>
      </c>
      <c r="C242" s="22" t="inlineStr">
        <is>
          <t>SORT CHQ NUM  4746539</t>
        </is>
      </c>
      <c r="D242" s="25" t="n"/>
      <c r="E242" s="25" t="n">
        <v>734706</v>
      </c>
      <c r="F242" s="25" t="n">
        <v>-18953353.13</v>
      </c>
      <c r="G242" s="12" t="inlineStr">
        <is>
          <t>2026-01</t>
        </is>
      </c>
      <c r="H242" s="12" t="inlineStr">
        <is>
          <t>Encaissements clients</t>
        </is>
      </c>
      <c r="I242" s="12" t="inlineStr"/>
      <c r="J242" s="12" t="inlineStr">
        <is>
          <t>B26010020</t>
        </is>
      </c>
      <c r="K242" s="12" t="inlineStr">
        <is>
          <t>47000</t>
        </is>
      </c>
      <c r="L242" s="12" t="inlineStr">
        <is>
          <t>À identifier</t>
        </is>
      </c>
    </row>
    <row r="243">
      <c r="A243" s="22" t="inlineStr">
        <is>
          <t>05/01/2026</t>
        </is>
      </c>
      <c r="B243" s="22" t="inlineStr">
        <is>
          <t>99000-065371</t>
        </is>
      </c>
      <c r="C243" s="22" t="inlineStr">
        <is>
          <t>SORT CHQ NUM  1169871</t>
        </is>
      </c>
      <c r="D243" s="25" t="n"/>
      <c r="E243" s="25" t="n">
        <v>67830</v>
      </c>
      <c r="F243" s="25" t="n">
        <v>-18885523.13</v>
      </c>
      <c r="G243" s="12" t="inlineStr">
        <is>
          <t>2026-01</t>
        </is>
      </c>
      <c r="H243" s="12" t="inlineStr">
        <is>
          <t>Encaissements clients</t>
        </is>
      </c>
      <c r="I243" s="12" t="inlineStr"/>
      <c r="J243" s="12" t="inlineStr">
        <is>
          <t>B26010021</t>
        </is>
      </c>
      <c r="K243" s="12" t="inlineStr">
        <is>
          <t>47000</t>
        </is>
      </c>
      <c r="L243" s="12" t="inlineStr">
        <is>
          <t>À identifier</t>
        </is>
      </c>
    </row>
    <row r="244">
      <c r="A244" s="22" t="inlineStr">
        <is>
          <t>05/01/2026</t>
        </is>
      </c>
      <c r="B244" s="22" t="inlineStr">
        <is>
          <t>99000-065377</t>
        </is>
      </c>
      <c r="C244" s="22" t="inlineStr">
        <is>
          <t>FRAIS REMISE CHQ N  4746539</t>
        </is>
      </c>
      <c r="D244" s="25" t="n">
        <v>238</v>
      </c>
      <c r="E244" s="25" t="n"/>
      <c r="F244" s="25" t="n">
        <v>-18885761.13</v>
      </c>
      <c r="G244" s="12" t="inlineStr">
        <is>
          <t>2026-01</t>
        </is>
      </c>
      <c r="H244" s="12" t="inlineStr">
        <is>
          <t>Agios, commissions et frais</t>
        </is>
      </c>
      <c r="I244" s="12" t="inlineStr"/>
      <c r="J244" s="12" t="inlineStr">
        <is>
          <t>B26010022</t>
        </is>
      </c>
      <c r="K244" s="12" t="inlineStr">
        <is>
          <t>44557, 62750</t>
        </is>
      </c>
      <c r="L244" s="12" t="inlineStr">
        <is>
          <t>Probable</t>
        </is>
      </c>
    </row>
    <row r="245">
      <c r="A245" s="22" t="inlineStr">
        <is>
          <t>05/01/2026</t>
        </is>
      </c>
      <c r="B245" s="22" t="inlineStr">
        <is>
          <t>99000-065371</t>
        </is>
      </c>
      <c r="C245" s="22" t="inlineStr">
        <is>
          <t>FRAIS REMISE CHQ N  1169871</t>
        </is>
      </c>
      <c r="D245" s="25" t="n">
        <v>80.72</v>
      </c>
      <c r="E245" s="25" t="n"/>
      <c r="F245" s="25" t="n">
        <v>-18885841.85</v>
      </c>
      <c r="G245" s="12" t="inlineStr">
        <is>
          <t>2026-01</t>
        </is>
      </c>
      <c r="H245" s="12" t="inlineStr">
        <is>
          <t>Agios, commissions et frais</t>
        </is>
      </c>
      <c r="I245" s="12" t="inlineStr"/>
      <c r="J245" s="12" t="inlineStr">
        <is>
          <t>B26010023</t>
        </is>
      </c>
      <c r="K245" s="12" t="inlineStr">
        <is>
          <t>44557, 62750</t>
        </is>
      </c>
      <c r="L245" s="12" t="inlineStr">
        <is>
          <t>Probable</t>
        </is>
      </c>
    </row>
    <row r="246">
      <c r="A246" s="22" t="inlineStr">
        <is>
          <t>05/01/2026</t>
        </is>
      </c>
      <c r="B246" s="22" t="inlineStr">
        <is>
          <t>99000-019557</t>
        </is>
      </c>
      <c r="C246" s="22" t="inlineStr">
        <is>
          <t>FRAIS ABONN. INTERNET 2026/01</t>
        </is>
      </c>
      <c r="D246" s="25" t="n">
        <v>1606.5</v>
      </c>
      <c r="E246" s="25" t="n"/>
      <c r="F246" s="25" t="n">
        <v>-18887448.35</v>
      </c>
      <c r="G246" s="12" t="inlineStr">
        <is>
          <t>2026-01</t>
        </is>
      </c>
      <c r="H246" s="12" t="inlineStr">
        <is>
          <t>Agios, commissions et frais</t>
        </is>
      </c>
      <c r="I246" s="12" t="inlineStr"/>
      <c r="J246" s="12" t="inlineStr">
        <is>
          <t>B26010024</t>
        </is>
      </c>
      <c r="K246" s="12" t="inlineStr">
        <is>
          <t>44557, 62750</t>
        </is>
      </c>
      <c r="L246" s="12" t="inlineStr">
        <is>
          <t>Probable</t>
        </is>
      </c>
    </row>
    <row r="247">
      <c r="A247" s="22" t="inlineStr">
        <is>
          <t>06/01/2026</t>
        </is>
      </c>
      <c r="B247" s="22" t="inlineStr">
        <is>
          <t>00404-002549</t>
        </is>
      </c>
      <c r="C247" s="22" t="inlineStr">
        <is>
          <t>VERSEMENT EURL BS COMMERCE</t>
        </is>
      </c>
      <c r="D247" s="25" t="n"/>
      <c r="E247" s="25" t="n">
        <v>452800</v>
      </c>
      <c r="F247" s="25" t="n">
        <v>-18434648.35</v>
      </c>
      <c r="G247" s="12" t="inlineStr">
        <is>
          <t>2026-01</t>
        </is>
      </c>
      <c r="H247" s="12" t="inlineStr">
        <is>
          <t>Encaissements clients</t>
        </is>
      </c>
      <c r="I247" s="12" t="inlineStr"/>
      <c r="J247" s="12" t="inlineStr">
        <is>
          <t>B26010025</t>
        </is>
      </c>
      <c r="K247" s="12" t="inlineStr">
        <is>
          <t>41100</t>
        </is>
      </c>
      <c r="L247" s="12" t="inlineStr">
        <is>
          <t>Probable</t>
        </is>
      </c>
    </row>
    <row r="248">
      <c r="A248" s="22" t="inlineStr">
        <is>
          <t>07/01/2026</t>
        </is>
      </c>
      <c r="B248" s="22" t="inlineStr">
        <is>
          <t>00370-006117</t>
        </is>
      </c>
      <c r="C248" s="22" t="inlineStr">
        <is>
          <t>FRAIS VRT.</t>
        </is>
      </c>
      <c r="D248" s="25" t="n">
        <v>119</v>
      </c>
      <c r="E248" s="25" t="n"/>
      <c r="F248" s="25" t="n">
        <v>-18434767.35</v>
      </c>
      <c r="G248" s="12" t="inlineStr">
        <is>
          <t>2026-01</t>
        </is>
      </c>
      <c r="H248" s="12" t="inlineStr">
        <is>
          <t>Agios, commissions et frais</t>
        </is>
      </c>
      <c r="I248" s="12" t="inlineStr"/>
      <c r="J248" s="12" t="inlineStr">
        <is>
          <t>B26010026</t>
        </is>
      </c>
      <c r="K248" s="12" t="inlineStr">
        <is>
          <t>44557, 62750</t>
        </is>
      </c>
      <c r="L248" s="12" t="inlineStr">
        <is>
          <t>Probable</t>
        </is>
      </c>
    </row>
    <row r="249">
      <c r="A249" s="22" t="inlineStr">
        <is>
          <t>07/01/2026</t>
        </is>
      </c>
      <c r="B249" s="22" t="inlineStr">
        <is>
          <t>00370-006117</t>
        </is>
      </c>
      <c r="C249" s="22" t="inlineStr">
        <is>
          <t>VRT. ORD. EURL STAR STAR BUREA</t>
        </is>
      </c>
      <c r="D249" s="25" t="n">
        <v>511700</v>
      </c>
      <c r="E249" s="25" t="n"/>
      <c r="F249" s="25" t="n">
        <v>-18946467.35</v>
      </c>
      <c r="G249" s="12" t="inlineStr">
        <is>
          <t>2026-01</t>
        </is>
      </c>
      <c r="H249" s="12" t="inlineStr">
        <is>
          <t>Fournisseurs, salaires et divers</t>
        </is>
      </c>
      <c r="I249" s="12" t="inlineStr"/>
      <c r="J249" s="12" t="inlineStr">
        <is>
          <t>B26010027</t>
        </is>
      </c>
      <c r="K249" s="12" t="inlineStr">
        <is>
          <t>40100</t>
        </is>
      </c>
      <c r="L249" s="12" t="inlineStr">
        <is>
          <t>Probable</t>
        </is>
      </c>
    </row>
    <row r="250">
      <c r="A250" s="22" t="inlineStr">
        <is>
          <t>07/01/2026</t>
        </is>
      </c>
      <c r="B250" s="22" t="inlineStr">
        <is>
          <t>00370-118338</t>
        </is>
      </c>
      <c r="C250" s="22" t="inlineStr">
        <is>
          <t>PAIEMENT CHQ NUM  2125728</t>
        </is>
      </c>
      <c r="D250" s="25" t="n">
        <v>243394.12</v>
      </c>
      <c r="E250" s="25" t="n"/>
      <c r="F250" s="25" t="n">
        <v>-19189861.47</v>
      </c>
      <c r="G250" s="12" t="inlineStr">
        <is>
          <t>2026-01</t>
        </is>
      </c>
      <c r="H250" s="12" t="inlineStr">
        <is>
          <t>Fournisseurs, salaires et divers</t>
        </is>
      </c>
      <c r="I250" s="12" t="inlineStr"/>
      <c r="J250" s="12" t="inlineStr">
        <is>
          <t>B26010028</t>
        </is>
      </c>
      <c r="K250" s="12" t="inlineStr">
        <is>
          <t>47000</t>
        </is>
      </c>
      <c r="L250" s="12" t="inlineStr">
        <is>
          <t>À identifier</t>
        </is>
      </c>
    </row>
    <row r="251">
      <c r="A251" s="22" t="inlineStr">
        <is>
          <t>07/01/2026</t>
        </is>
      </c>
      <c r="B251" s="22" t="inlineStr">
        <is>
          <t>00370-118338</t>
        </is>
      </c>
      <c r="C251" s="22" t="inlineStr">
        <is>
          <t>PERCEP.COM SUR PAIEMENTS CHQ</t>
        </is>
      </c>
      <c r="D251" s="25" t="n">
        <v>59.5</v>
      </c>
      <c r="E251" s="25" t="n"/>
      <c r="F251" s="25" t="n">
        <v>-19189920.97</v>
      </c>
      <c r="G251" s="12" t="inlineStr">
        <is>
          <t>2026-01</t>
        </is>
      </c>
      <c r="H251" s="12" t="inlineStr">
        <is>
          <t>Agios, commissions et frais</t>
        </is>
      </c>
      <c r="I251" s="12" t="inlineStr"/>
      <c r="J251" s="12" t="inlineStr">
        <is>
          <t>B26010029</t>
        </is>
      </c>
      <c r="K251" s="12" t="inlineStr">
        <is>
          <t>44557, 62750</t>
        </is>
      </c>
      <c r="L251" s="12" t="inlineStr">
        <is>
          <t>Probable</t>
        </is>
      </c>
    </row>
    <row r="252">
      <c r="A252" s="22" t="inlineStr">
        <is>
          <t>11/01/2026</t>
        </is>
      </c>
      <c r="B252" s="22" t="inlineStr">
        <is>
          <t>00370-000546</t>
        </is>
      </c>
      <c r="C252" s="22" t="inlineStr">
        <is>
          <t>VRT EDI AUTRES BQUES</t>
        </is>
      </c>
      <c r="D252" s="25" t="n">
        <v>608441.47</v>
      </c>
      <c r="E252" s="25" t="n"/>
      <c r="F252" s="25" t="n">
        <v>-19798362.44</v>
      </c>
      <c r="G252" s="12" t="inlineStr">
        <is>
          <t>2026-01</t>
        </is>
      </c>
      <c r="H252" s="12" t="inlineStr">
        <is>
          <t>Fournisseurs, salaires et divers</t>
        </is>
      </c>
      <c r="I252" s="12" t="inlineStr"/>
      <c r="J252" s="12" t="inlineStr">
        <is>
          <t>B26010030</t>
        </is>
      </c>
      <c r="K252" s="12" t="inlineStr">
        <is>
          <t>47000</t>
        </is>
      </c>
      <c r="L252" s="12" t="inlineStr">
        <is>
          <t>À identifier</t>
        </is>
      </c>
    </row>
    <row r="253">
      <c r="A253" s="22" t="inlineStr">
        <is>
          <t>11/01/2026</t>
        </is>
      </c>
      <c r="B253" s="22" t="inlineStr">
        <is>
          <t>00370-000546</t>
        </is>
      </c>
      <c r="C253" s="22" t="inlineStr">
        <is>
          <t>COM.VRT EDI BQUE</t>
        </is>
      </c>
      <c r="D253" s="25" t="n">
        <v>214.2</v>
      </c>
      <c r="E253" s="25" t="n"/>
      <c r="F253" s="25" t="n">
        <v>-19798576.64</v>
      </c>
      <c r="G253" s="12" t="inlineStr">
        <is>
          <t>2026-01</t>
        </is>
      </c>
      <c r="H253" s="12" t="inlineStr">
        <is>
          <t>Agios, commissions et frais</t>
        </is>
      </c>
      <c r="I253" s="12" t="inlineStr"/>
      <c r="J253" s="12" t="inlineStr">
        <is>
          <t>B26010031</t>
        </is>
      </c>
      <c r="K253" s="12" t="inlineStr">
        <is>
          <t>44557, 62750</t>
        </is>
      </c>
      <c r="L253" s="12" t="inlineStr">
        <is>
          <t>Probable</t>
        </is>
      </c>
    </row>
    <row r="254">
      <c r="A254" s="22" t="inlineStr">
        <is>
          <t>11/01/2026</t>
        </is>
      </c>
      <c r="B254" s="22" t="inlineStr">
        <is>
          <t>00370-001043</t>
        </is>
      </c>
      <c r="C254" s="22" t="inlineStr">
        <is>
          <t>COM.VRT EDI BQUE</t>
        </is>
      </c>
      <c r="D254" s="25" t="n">
        <v>35.7</v>
      </c>
      <c r="E254" s="25" t="n"/>
      <c r="F254" s="25" t="n">
        <v>-19798612.34</v>
      </c>
      <c r="G254" s="12" t="inlineStr">
        <is>
          <t>2026-01</t>
        </is>
      </c>
      <c r="H254" s="12" t="inlineStr">
        <is>
          <t>Agios, commissions et frais</t>
        </is>
      </c>
      <c r="I254" s="12" t="inlineStr"/>
      <c r="J254" s="12" t="inlineStr">
        <is>
          <t>B26010032</t>
        </is>
      </c>
      <c r="K254" s="12" t="inlineStr">
        <is>
          <t>44557, 62750</t>
        </is>
      </c>
      <c r="L254" s="12" t="inlineStr">
        <is>
          <t>Probable</t>
        </is>
      </c>
    </row>
    <row r="255">
      <c r="A255" s="22" t="inlineStr">
        <is>
          <t>11/01/2026</t>
        </is>
      </c>
      <c r="B255" s="22" t="inlineStr">
        <is>
          <t>00370-001043</t>
        </is>
      </c>
      <c r="C255" s="22" t="inlineStr">
        <is>
          <t>VRT EDI SIMPLE AUTRE</t>
        </is>
      </c>
      <c r="D255" s="25" t="n">
        <v>567095.7</v>
      </c>
      <c r="E255" s="25" t="n"/>
      <c r="F255" s="25" t="n">
        <v>-20365708.04</v>
      </c>
      <c r="G255" s="12" t="inlineStr">
        <is>
          <t>2026-01</t>
        </is>
      </c>
      <c r="H255" s="12" t="inlineStr">
        <is>
          <t>Fournisseurs, salaires et divers</t>
        </is>
      </c>
      <c r="I255" s="12" t="inlineStr"/>
      <c r="J255" s="12" t="inlineStr">
        <is>
          <t>B26010033</t>
        </is>
      </c>
      <c r="K255" s="12" t="inlineStr">
        <is>
          <t>47000</t>
        </is>
      </c>
      <c r="L255" s="12" t="inlineStr">
        <is>
          <t>À identifier</t>
        </is>
      </c>
    </row>
    <row r="256">
      <c r="A256" s="22" t="inlineStr">
        <is>
          <t>11/01/2026</t>
        </is>
      </c>
      <c r="B256" s="22" t="inlineStr">
        <is>
          <t>99000-065436</t>
        </is>
      </c>
      <c r="C256" s="22" t="inlineStr">
        <is>
          <t>SORT CHQ NUM  6904111</t>
        </is>
      </c>
      <c r="D256" s="25" t="n"/>
      <c r="E256" s="25" t="n">
        <v>158900</v>
      </c>
      <c r="F256" s="25" t="n">
        <v>-20206808.04</v>
      </c>
      <c r="G256" s="12" t="inlineStr">
        <is>
          <t>2026-01</t>
        </is>
      </c>
      <c r="H256" s="12" t="inlineStr">
        <is>
          <t>Encaissements clients</t>
        </is>
      </c>
      <c r="I256" s="12" t="inlineStr"/>
      <c r="J256" s="12" t="inlineStr">
        <is>
          <t>B26010034</t>
        </is>
      </c>
      <c r="K256" s="12" t="inlineStr">
        <is>
          <t>47000</t>
        </is>
      </c>
      <c r="L256" s="12" t="inlineStr">
        <is>
          <t>À identifier</t>
        </is>
      </c>
    </row>
    <row r="257">
      <c r="A257" s="22" t="inlineStr">
        <is>
          <t>11/01/2026</t>
        </is>
      </c>
      <c r="B257" s="22" t="inlineStr">
        <is>
          <t>99000-065436</t>
        </is>
      </c>
      <c r="C257" s="22" t="inlineStr">
        <is>
          <t>FRAIS REMISE CHQ N  6904111</t>
        </is>
      </c>
      <c r="D257" s="25" t="n">
        <v>119</v>
      </c>
      <c r="E257" s="25" t="n"/>
      <c r="F257" s="25" t="n">
        <v>-20206927.04</v>
      </c>
      <c r="G257" s="12" t="inlineStr">
        <is>
          <t>2026-01</t>
        </is>
      </c>
      <c r="H257" s="12" t="inlineStr">
        <is>
          <t>Agios, commissions et frais</t>
        </is>
      </c>
      <c r="I257" s="12" t="inlineStr"/>
      <c r="J257" s="12" t="inlineStr">
        <is>
          <t>B26010035</t>
        </is>
      </c>
      <c r="K257" s="12" t="inlineStr">
        <is>
          <t>44557, 62750</t>
        </is>
      </c>
      <c r="L257" s="12" t="inlineStr">
        <is>
          <t>Probable</t>
        </is>
      </c>
    </row>
    <row r="258">
      <c r="A258" s="22" t="inlineStr">
        <is>
          <t>13/01/2026</t>
        </is>
      </c>
      <c r="B258" s="22" t="inlineStr">
        <is>
          <t>99000-065444</t>
        </is>
      </c>
      <c r="C258" s="22" t="inlineStr">
        <is>
          <t>SORT CHQ NUM  6972644</t>
        </is>
      </c>
      <c r="D258" s="25" t="n"/>
      <c r="E258" s="25" t="n">
        <v>215400</v>
      </c>
      <c r="F258" s="25" t="n">
        <v>-19991527.04</v>
      </c>
      <c r="G258" s="12" t="inlineStr">
        <is>
          <t>2026-01</t>
        </is>
      </c>
      <c r="H258" s="12" t="inlineStr">
        <is>
          <t>Encaissements clients</t>
        </is>
      </c>
      <c r="I258" s="12" t="inlineStr"/>
      <c r="J258" s="12" t="inlineStr">
        <is>
          <t>B26010036</t>
        </is>
      </c>
      <c r="K258" s="12" t="inlineStr">
        <is>
          <t>47000</t>
        </is>
      </c>
      <c r="L258" s="12" t="inlineStr">
        <is>
          <t>À identifier</t>
        </is>
      </c>
    </row>
    <row r="259">
      <c r="A259" s="22" t="inlineStr">
        <is>
          <t>13/01/2026</t>
        </is>
      </c>
      <c r="B259" s="22" t="inlineStr">
        <is>
          <t>99000-065444</t>
        </is>
      </c>
      <c r="C259" s="22" t="inlineStr">
        <is>
          <t>FRAIS REMISE CHQ N  6972644</t>
        </is>
      </c>
      <c r="D259" s="25" t="n">
        <v>119</v>
      </c>
      <c r="E259" s="25" t="n"/>
      <c r="F259" s="25" t="n">
        <v>-19991646.04</v>
      </c>
      <c r="G259" s="12" t="inlineStr">
        <is>
          <t>2026-01</t>
        </is>
      </c>
      <c r="H259" s="12" t="inlineStr">
        <is>
          <t>Agios, commissions et frais</t>
        </is>
      </c>
      <c r="I259" s="12" t="inlineStr"/>
      <c r="J259" s="12" t="inlineStr">
        <is>
          <t>B26010037</t>
        </is>
      </c>
      <c r="K259" s="12" t="inlineStr">
        <is>
          <t>44557, 62750</t>
        </is>
      </c>
      <c r="L259" s="12" t="inlineStr">
        <is>
          <t>Probable</t>
        </is>
      </c>
    </row>
    <row r="260">
      <c r="A260" s="22" t="inlineStr">
        <is>
          <t>13/01/2026</t>
        </is>
      </c>
      <c r="B260" s="22" t="inlineStr">
        <is>
          <t>99000-000539</t>
        </is>
      </c>
      <c r="C260" s="22" t="inlineStr">
        <is>
          <t>MAIN LEVEE</t>
        </is>
      </c>
      <c r="D260" s="25" t="n"/>
      <c r="E260" s="25" t="n">
        <v>200000</v>
      </c>
      <c r="F260" s="25" t="n">
        <v>-19791646.04</v>
      </c>
      <c r="G260" s="12" t="inlineStr">
        <is>
          <t>2026-01</t>
        </is>
      </c>
      <c r="H260" s="12" t="inlineStr">
        <is>
          <t>Cautions et mains levées</t>
        </is>
      </c>
      <c r="I260" s="12" t="inlineStr"/>
      <c r="J260" s="12" t="inlineStr">
        <is>
          <t>B26010038</t>
        </is>
      </c>
      <c r="K260" s="12" t="inlineStr">
        <is>
          <t>27500</t>
        </is>
      </c>
      <c r="L260" s="12" t="inlineStr">
        <is>
          <t>Certaine</t>
        </is>
      </c>
    </row>
    <row r="261">
      <c r="A261" s="22" t="inlineStr">
        <is>
          <t>13/01/2026</t>
        </is>
      </c>
      <c r="B261" s="22" t="inlineStr">
        <is>
          <t>99000-000540</t>
        </is>
      </c>
      <c r="C261" s="22" t="inlineStr">
        <is>
          <t>MAIN LEVEE</t>
        </is>
      </c>
      <c r="D261" s="25" t="n"/>
      <c r="E261" s="25" t="n">
        <v>200000</v>
      </c>
      <c r="F261" s="25" t="n">
        <v>-19591646.04</v>
      </c>
      <c r="G261" s="12" t="inlineStr">
        <is>
          <t>2026-01</t>
        </is>
      </c>
      <c r="H261" s="12" t="inlineStr">
        <is>
          <t>Cautions et mains levées</t>
        </is>
      </c>
      <c r="I261" s="12" t="inlineStr"/>
      <c r="J261" s="12" t="inlineStr">
        <is>
          <t>B26010039</t>
        </is>
      </c>
      <c r="K261" s="12" t="inlineStr">
        <is>
          <t>27500</t>
        </is>
      </c>
      <c r="L261" s="12" t="inlineStr">
        <is>
          <t>Certaine</t>
        </is>
      </c>
    </row>
    <row r="262">
      <c r="A262" s="22" t="inlineStr">
        <is>
          <t>13/01/2026</t>
        </is>
      </c>
      <c r="B262" s="22" t="inlineStr">
        <is>
          <t>99000-000541</t>
        </is>
      </c>
      <c r="C262" s="22" t="inlineStr">
        <is>
          <t>MAIN LEVEE</t>
        </is>
      </c>
      <c r="D262" s="25" t="n"/>
      <c r="E262" s="25" t="n">
        <v>50000</v>
      </c>
      <c r="F262" s="25" t="n">
        <v>-19541646.04</v>
      </c>
      <c r="G262" s="12" t="inlineStr">
        <is>
          <t>2026-01</t>
        </is>
      </c>
      <c r="H262" s="12" t="inlineStr">
        <is>
          <t>Cautions et mains levées</t>
        </is>
      </c>
      <c r="I262" s="12" t="inlineStr"/>
      <c r="J262" s="12" t="inlineStr">
        <is>
          <t>B26010040</t>
        </is>
      </c>
      <c r="K262" s="12" t="inlineStr">
        <is>
          <t>27500</t>
        </is>
      </c>
      <c r="L262" s="12" t="inlineStr">
        <is>
          <t>Certaine</t>
        </is>
      </c>
    </row>
    <row r="263">
      <c r="A263" s="22" t="inlineStr">
        <is>
          <t>13/01/2026</t>
        </is>
      </c>
      <c r="B263" s="22" t="inlineStr">
        <is>
          <t>99000-000542</t>
        </is>
      </c>
      <c r="C263" s="22" t="inlineStr">
        <is>
          <t>MAIN LEVEE</t>
        </is>
      </c>
      <c r="D263" s="25" t="n"/>
      <c r="E263" s="25" t="n">
        <v>50000</v>
      </c>
      <c r="F263" s="25" t="n">
        <v>-19491646.04</v>
      </c>
      <c r="G263" s="12" t="inlineStr">
        <is>
          <t>2026-01</t>
        </is>
      </c>
      <c r="H263" s="12" t="inlineStr">
        <is>
          <t>Cautions et mains levées</t>
        </is>
      </c>
      <c r="I263" s="12" t="inlineStr"/>
      <c r="J263" s="12" t="inlineStr">
        <is>
          <t>B26010041</t>
        </is>
      </c>
      <c r="K263" s="12" t="inlineStr">
        <is>
          <t>27500</t>
        </is>
      </c>
      <c r="L263" s="12" t="inlineStr">
        <is>
          <t>Certaine</t>
        </is>
      </c>
    </row>
    <row r="264">
      <c r="A264" s="22" t="inlineStr">
        <is>
          <t>13/01/2026</t>
        </is>
      </c>
      <c r="B264" s="22" t="inlineStr">
        <is>
          <t>99000-000538</t>
        </is>
      </c>
      <c r="C264" s="22" t="inlineStr">
        <is>
          <t>MAIN LEVEE</t>
        </is>
      </c>
      <c r="D264" s="25" t="n"/>
      <c r="E264" s="25" t="n">
        <v>200000</v>
      </c>
      <c r="F264" s="25" t="n">
        <v>-19291646.04</v>
      </c>
      <c r="G264" s="12" t="inlineStr">
        <is>
          <t>2026-01</t>
        </is>
      </c>
      <c r="H264" s="12" t="inlineStr">
        <is>
          <t>Cautions et mains levées</t>
        </is>
      </c>
      <c r="I264" s="12" t="inlineStr"/>
      <c r="J264" s="12" t="inlineStr">
        <is>
          <t>B26010042</t>
        </is>
      </c>
      <c r="K264" s="12" t="inlineStr">
        <is>
          <t>27500</t>
        </is>
      </c>
      <c r="L264" s="12" t="inlineStr">
        <is>
          <t>Certaine</t>
        </is>
      </c>
    </row>
    <row r="265">
      <c r="A265" s="22" t="inlineStr">
        <is>
          <t>13/01/2026</t>
        </is>
      </c>
      <c r="B265" s="22" t="inlineStr">
        <is>
          <t>99000-000543</t>
        </is>
      </c>
      <c r="C265" s="22" t="inlineStr">
        <is>
          <t>MAIN LEVEE</t>
        </is>
      </c>
      <c r="D265" s="25" t="n"/>
      <c r="E265" s="25" t="n">
        <v>50000</v>
      </c>
      <c r="F265" s="25" t="n">
        <v>-19241646.04</v>
      </c>
      <c r="G265" s="12" t="inlineStr">
        <is>
          <t>2026-01</t>
        </is>
      </c>
      <c r="H265" s="12" t="inlineStr">
        <is>
          <t>Cautions et mains levées</t>
        </is>
      </c>
      <c r="I265" s="12" t="inlineStr"/>
      <c r="J265" s="12" t="inlineStr">
        <is>
          <t>B26010043</t>
        </is>
      </c>
      <c r="K265" s="12" t="inlineStr">
        <is>
          <t>27500</t>
        </is>
      </c>
      <c r="L265" s="12" t="inlineStr">
        <is>
          <t>Certaine</t>
        </is>
      </c>
    </row>
    <row r="266">
      <c r="A266" s="22" t="inlineStr">
        <is>
          <t>13/01/2026</t>
        </is>
      </c>
      <c r="B266" s="22" t="inlineStr">
        <is>
          <t>99000-000547</t>
        </is>
      </c>
      <c r="C266" s="22" t="inlineStr">
        <is>
          <t>MAIN LEVEE</t>
        </is>
      </c>
      <c r="D266" s="25" t="n"/>
      <c r="E266" s="25" t="n">
        <v>70000</v>
      </c>
      <c r="F266" s="25" t="n">
        <v>-19171646.04</v>
      </c>
      <c r="G266" s="12" t="inlineStr">
        <is>
          <t>2026-01</t>
        </is>
      </c>
      <c r="H266" s="12" t="inlineStr">
        <is>
          <t>Cautions et mains levées</t>
        </is>
      </c>
      <c r="I266" s="12" t="inlineStr"/>
      <c r="J266" s="12" t="inlineStr">
        <is>
          <t>B26010044</t>
        </is>
      </c>
      <c r="K266" s="12" t="inlineStr">
        <is>
          <t>27500</t>
        </is>
      </c>
      <c r="L266" s="12" t="inlineStr">
        <is>
          <t>Certaine</t>
        </is>
      </c>
    </row>
    <row r="267">
      <c r="A267" s="22" t="inlineStr">
        <is>
          <t>13/01/2026</t>
        </is>
      </c>
      <c r="B267" s="22" t="inlineStr">
        <is>
          <t>99000-000544</t>
        </is>
      </c>
      <c r="C267" s="22" t="inlineStr">
        <is>
          <t>MAIN LEVEE</t>
        </is>
      </c>
      <c r="D267" s="25" t="n"/>
      <c r="E267" s="25" t="n">
        <v>50000</v>
      </c>
      <c r="F267" s="25" t="n">
        <v>-19121646.04</v>
      </c>
      <c r="G267" s="12" t="inlineStr">
        <is>
          <t>2026-01</t>
        </is>
      </c>
      <c r="H267" s="12" t="inlineStr">
        <is>
          <t>Cautions et mains levées</t>
        </is>
      </c>
      <c r="I267" s="12" t="inlineStr"/>
      <c r="J267" s="12" t="inlineStr">
        <is>
          <t>B26010045</t>
        </is>
      </c>
      <c r="K267" s="12" t="inlineStr">
        <is>
          <t>27500</t>
        </is>
      </c>
      <c r="L267" s="12" t="inlineStr">
        <is>
          <t>Certaine</t>
        </is>
      </c>
    </row>
    <row r="268">
      <c r="A268" s="22" t="inlineStr">
        <is>
          <t>13/01/2026</t>
        </is>
      </c>
      <c r="B268" s="22" t="inlineStr">
        <is>
          <t>99000-000545</t>
        </is>
      </c>
      <c r="C268" s="22" t="inlineStr">
        <is>
          <t>MAIN LEVEE</t>
        </is>
      </c>
      <c r="D268" s="25" t="n"/>
      <c r="E268" s="25" t="n">
        <v>100000</v>
      </c>
      <c r="F268" s="25" t="n">
        <v>-19021646.04</v>
      </c>
      <c r="G268" s="12" t="inlineStr">
        <is>
          <t>2026-01</t>
        </is>
      </c>
      <c r="H268" s="12" t="inlineStr">
        <is>
          <t>Cautions et mains levées</t>
        </is>
      </c>
      <c r="I268" s="12" t="inlineStr"/>
      <c r="J268" s="12" t="inlineStr">
        <is>
          <t>B26010046</t>
        </is>
      </c>
      <c r="K268" s="12" t="inlineStr">
        <is>
          <t>27500</t>
        </is>
      </c>
      <c r="L268" s="12" t="inlineStr">
        <is>
          <t>Certaine</t>
        </is>
      </c>
    </row>
    <row r="269">
      <c r="A269" s="22" t="inlineStr">
        <is>
          <t>13/01/2026</t>
        </is>
      </c>
      <c r="B269" s="22" t="inlineStr">
        <is>
          <t>99000-000546</t>
        </is>
      </c>
      <c r="C269" s="22" t="inlineStr">
        <is>
          <t>MAIN LEVEE</t>
        </is>
      </c>
      <c r="D269" s="25" t="n"/>
      <c r="E269" s="25" t="n">
        <v>90000</v>
      </c>
      <c r="F269" s="25" t="n">
        <v>-18931646.04</v>
      </c>
      <c r="G269" s="12" t="inlineStr">
        <is>
          <t>2026-01</t>
        </is>
      </c>
      <c r="H269" s="12" t="inlineStr">
        <is>
          <t>Cautions et mains levées</t>
        </is>
      </c>
      <c r="I269" s="12" t="inlineStr"/>
      <c r="J269" s="12" t="inlineStr">
        <is>
          <t>B26010047</t>
        </is>
      </c>
      <c r="K269" s="12" t="inlineStr">
        <is>
          <t>27500</t>
        </is>
      </c>
      <c r="L269" s="12" t="inlineStr">
        <is>
          <t>Certaine</t>
        </is>
      </c>
    </row>
    <row r="270">
      <c r="A270" s="22" t="inlineStr">
        <is>
          <t>18/01/2026</t>
        </is>
      </c>
      <c r="B270" s="22" t="inlineStr">
        <is>
          <t>99000-000548</t>
        </is>
      </c>
      <c r="C270" s="22" t="inlineStr">
        <is>
          <t>MAIN LEVEE</t>
        </is>
      </c>
      <c r="D270" s="25" t="n"/>
      <c r="E270" s="25" t="n">
        <v>20000</v>
      </c>
      <c r="F270" s="25" t="n">
        <v>-18911646.04</v>
      </c>
      <c r="G270" s="12" t="inlineStr">
        <is>
          <t>2026-01</t>
        </is>
      </c>
      <c r="H270" s="12" t="inlineStr">
        <is>
          <t>Cautions et mains levées</t>
        </is>
      </c>
      <c r="I270" s="12" t="inlineStr"/>
      <c r="J270" s="12" t="inlineStr">
        <is>
          <t>B26010048</t>
        </is>
      </c>
      <c r="K270" s="12" t="inlineStr">
        <is>
          <t>27500</t>
        </is>
      </c>
      <c r="L270" s="12" t="inlineStr">
        <is>
          <t>Certaine</t>
        </is>
      </c>
    </row>
    <row r="271">
      <c r="A271" s="22" t="inlineStr">
        <is>
          <t>19/01/2026</t>
        </is>
      </c>
      <c r="B271" s="22" t="inlineStr">
        <is>
          <t>99000-065485</t>
        </is>
      </c>
      <c r="C271" s="22" t="inlineStr">
        <is>
          <t>SORT CHQ NUM  5325918</t>
        </is>
      </c>
      <c r="D271" s="25" t="n"/>
      <c r="E271" s="25" t="n">
        <v>923500</v>
      </c>
      <c r="F271" s="25" t="n">
        <v>-17988146.04</v>
      </c>
      <c r="G271" s="12" t="inlineStr">
        <is>
          <t>2026-01</t>
        </is>
      </c>
      <c r="H271" s="12" t="inlineStr">
        <is>
          <t>Encaissements clients</t>
        </is>
      </c>
      <c r="I271" s="12" t="inlineStr"/>
      <c r="J271" s="12" t="inlineStr">
        <is>
          <t>B26010049</t>
        </is>
      </c>
      <c r="K271" s="12" t="inlineStr">
        <is>
          <t>47000</t>
        </is>
      </c>
      <c r="L271" s="12" t="inlineStr">
        <is>
          <t>À identifier</t>
        </is>
      </c>
    </row>
    <row r="272">
      <c r="A272" s="22" t="inlineStr">
        <is>
          <t>19/01/2026</t>
        </is>
      </c>
      <c r="B272" s="22" t="inlineStr">
        <is>
          <t>99000-065485</t>
        </is>
      </c>
      <c r="C272" s="22" t="inlineStr">
        <is>
          <t>FRAIS REMISE CHQ N  5325918</t>
        </is>
      </c>
      <c r="D272" s="25" t="n">
        <v>119</v>
      </c>
      <c r="E272" s="25" t="n"/>
      <c r="F272" s="25" t="n">
        <v>-17988265.04</v>
      </c>
      <c r="G272" s="12" t="inlineStr">
        <is>
          <t>2026-01</t>
        </is>
      </c>
      <c r="H272" s="12" t="inlineStr">
        <is>
          <t>Agios, commissions et frais</t>
        </is>
      </c>
      <c r="I272" s="12" t="inlineStr"/>
      <c r="J272" s="12" t="inlineStr">
        <is>
          <t>B26010050</t>
        </is>
      </c>
      <c r="K272" s="12" t="inlineStr">
        <is>
          <t>44557, 62750</t>
        </is>
      </c>
      <c r="L272" s="12" t="inlineStr">
        <is>
          <t>Probable</t>
        </is>
      </c>
    </row>
    <row r="273">
      <c r="A273" s="22" t="inlineStr">
        <is>
          <t>20/01/2026</t>
        </is>
      </c>
      <c r="B273" s="22" t="inlineStr">
        <is>
          <t>00370-012772</t>
        </is>
      </c>
      <c r="C273" s="22" t="inlineStr">
        <is>
          <t>FRAIS VRT.</t>
        </is>
      </c>
      <c r="D273" s="25" t="n">
        <v>59.5</v>
      </c>
      <c r="E273" s="25" t="n"/>
      <c r="F273" s="25" t="n">
        <v>-17988324.54</v>
      </c>
      <c r="G273" s="12" t="inlineStr">
        <is>
          <t>2026-01</t>
        </is>
      </c>
      <c r="H273" s="12" t="inlineStr">
        <is>
          <t>Agios, commissions et frais</t>
        </is>
      </c>
      <c r="I273" s="12" t="inlineStr"/>
      <c r="J273" s="12" t="inlineStr">
        <is>
          <t>B26010051</t>
        </is>
      </c>
      <c r="K273" s="12" t="inlineStr">
        <is>
          <t>44557, 62750</t>
        </is>
      </c>
      <c r="L273" s="12" t="inlineStr">
        <is>
          <t>Probable</t>
        </is>
      </c>
    </row>
    <row r="274">
      <c r="A274" s="22" t="inlineStr">
        <is>
          <t>20/01/2026</t>
        </is>
      </c>
      <c r="B274" s="22" t="inlineStr">
        <is>
          <t>00370-012772</t>
        </is>
      </c>
      <c r="C274" s="22" t="inlineStr">
        <is>
          <t>VRT. ORD. SARL DPR AXXAM</t>
        </is>
      </c>
      <c r="D274" s="25" t="n">
        <v>1000000</v>
      </c>
      <c r="E274" s="25" t="n"/>
      <c r="F274" s="25" t="n">
        <v>-18988324.54</v>
      </c>
      <c r="G274" s="12" t="inlineStr">
        <is>
          <t>2026-01</t>
        </is>
      </c>
      <c r="H274" s="12" t="inlineStr">
        <is>
          <t>DPR AXXAM (partie liée)</t>
        </is>
      </c>
      <c r="I274" s="12" t="inlineStr"/>
      <c r="J274" s="12" t="inlineStr">
        <is>
          <t>B26010052</t>
        </is>
      </c>
      <c r="K274" s="12" t="inlineStr">
        <is>
          <t>40900</t>
        </is>
      </c>
      <c r="L274" s="12" t="inlineStr">
        <is>
          <t>À justifier</t>
        </is>
      </c>
    </row>
    <row r="275">
      <c r="A275" s="22" t="inlineStr">
        <is>
          <t>20/01/2026</t>
        </is>
      </c>
      <c r="B275" s="22" t="inlineStr">
        <is>
          <t>00370-000652</t>
        </is>
      </c>
      <c r="C275" s="22" t="inlineStr">
        <is>
          <t>COM.VRT EDI CAISSE</t>
        </is>
      </c>
      <c r="D275" s="25" t="n">
        <v>11.9</v>
      </c>
      <c r="E275" s="25" t="n"/>
      <c r="F275" s="25" t="n">
        <v>-18988336.44</v>
      </c>
      <c r="G275" s="12" t="inlineStr">
        <is>
          <t>2026-01</t>
        </is>
      </c>
      <c r="H275" s="12" t="inlineStr">
        <is>
          <t>Agios, commissions et frais</t>
        </is>
      </c>
      <c r="I275" s="12" t="inlineStr"/>
      <c r="J275" s="12" t="inlineStr">
        <is>
          <t>B26010053</t>
        </is>
      </c>
      <c r="K275" s="12" t="inlineStr">
        <is>
          <t>44557, 62750</t>
        </is>
      </c>
      <c r="L275" s="12" t="inlineStr">
        <is>
          <t>Probable</t>
        </is>
      </c>
    </row>
    <row r="276">
      <c r="A276" s="22" t="inlineStr">
        <is>
          <t>20/01/2026</t>
        </is>
      </c>
      <c r="B276" s="22" t="inlineStr">
        <is>
          <t>00370-000652</t>
        </is>
      </c>
      <c r="C276" s="22" t="inlineStr">
        <is>
          <t>VRT EDI SIMPLE NOS C</t>
        </is>
      </c>
      <c r="D276" s="25" t="n">
        <v>250000</v>
      </c>
      <c r="E276" s="25" t="n"/>
      <c r="F276" s="25" t="n">
        <v>-19238336.44</v>
      </c>
      <c r="G276" s="12" t="inlineStr">
        <is>
          <t>2026-01</t>
        </is>
      </c>
      <c r="H276" s="12" t="inlineStr">
        <is>
          <t>Fournisseurs, salaires et divers</t>
        </is>
      </c>
      <c r="I276" s="12" t="inlineStr"/>
      <c r="J276" s="12" t="inlineStr">
        <is>
          <t>B26010054</t>
        </is>
      </c>
      <c r="K276" s="12" t="inlineStr">
        <is>
          <t>58100</t>
        </is>
      </c>
      <c r="L276" s="12" t="inlineStr">
        <is>
          <t>Par analogie</t>
        </is>
      </c>
    </row>
    <row r="277">
      <c r="A277" s="22" t="inlineStr">
        <is>
          <t>20/01/2026</t>
        </is>
      </c>
      <c r="B277" s="22" t="inlineStr">
        <is>
          <t>00370-015928</t>
        </is>
      </c>
      <c r="C277" s="22" t="inlineStr">
        <is>
          <t>ANNUL FRAIS REMISE CHQ5325918</t>
        </is>
      </c>
      <c r="D277" s="25" t="n"/>
      <c r="E277" s="25" t="n">
        <v>119</v>
      </c>
      <c r="F277" s="25" t="n">
        <v>-19238217.44</v>
      </c>
      <c r="G277" s="12" t="inlineStr">
        <is>
          <t>2026-01</t>
        </is>
      </c>
      <c r="H277" s="12" t="inlineStr">
        <is>
          <t>Agios, commissions et frais</t>
        </is>
      </c>
      <c r="I277" s="12" t="inlineStr"/>
      <c r="J277" s="12" t="inlineStr">
        <is>
          <t>B26010055</t>
        </is>
      </c>
      <c r="K277" s="12" t="inlineStr">
        <is>
          <t>44557, 62750</t>
        </is>
      </c>
      <c r="L277" s="12" t="inlineStr">
        <is>
          <t>Certaine</t>
        </is>
      </c>
    </row>
    <row r="278">
      <c r="A278" s="22" t="inlineStr">
        <is>
          <t>20/01/2026</t>
        </is>
      </c>
      <c r="B278" s="22" t="inlineStr">
        <is>
          <t>00370-015925</t>
        </is>
      </c>
      <c r="C278" s="22" t="inlineStr">
        <is>
          <t>ANNUL SORT CHQ NUM  5325918</t>
        </is>
      </c>
      <c r="D278" s="25" t="n">
        <v>923500</v>
      </c>
      <c r="E278" s="25" t="n"/>
      <c r="F278" s="25" t="n">
        <v>-20161717.44</v>
      </c>
      <c r="G278" s="12" t="inlineStr">
        <is>
          <t>2026-01</t>
        </is>
      </c>
      <c r="H278" s="12" t="inlineStr">
        <is>
          <t>Chèques clients rejetés</t>
        </is>
      </c>
      <c r="I278" s="12" t="inlineStr"/>
      <c r="J278" s="12" t="inlineStr">
        <is>
          <t>B26010056</t>
        </is>
      </c>
      <c r="K278" s="12" t="inlineStr">
        <is>
          <t>47000</t>
        </is>
      </c>
      <c r="L278" s="12" t="inlineStr">
        <is>
          <t>Certaine</t>
        </is>
      </c>
    </row>
    <row r="279">
      <c r="A279" s="22" t="inlineStr">
        <is>
          <t>21/01/2026</t>
        </is>
      </c>
      <c r="B279" s="22" t="inlineStr">
        <is>
          <t>99000-065510</t>
        </is>
      </c>
      <c r="C279" s="22" t="inlineStr">
        <is>
          <t>SORT CHQ NUM  6389832</t>
        </is>
      </c>
      <c r="D279" s="25" t="n"/>
      <c r="E279" s="25" t="n">
        <v>500000</v>
      </c>
      <c r="F279" s="25" t="n">
        <v>-19661717.44</v>
      </c>
      <c r="G279" s="12" t="inlineStr">
        <is>
          <t>2026-01</t>
        </is>
      </c>
      <c r="H279" s="12" t="inlineStr">
        <is>
          <t>Encaissements clients</t>
        </is>
      </c>
      <c r="I279" s="12" t="inlineStr"/>
      <c r="J279" s="12" t="inlineStr">
        <is>
          <t>B26010057</t>
        </is>
      </c>
      <c r="K279" s="12" t="inlineStr">
        <is>
          <t>41100</t>
        </is>
      </c>
      <c r="L279" s="12" t="inlineStr">
        <is>
          <t>Probable</t>
        </is>
      </c>
    </row>
    <row r="280">
      <c r="A280" s="22" t="inlineStr">
        <is>
          <t>21/01/2026</t>
        </is>
      </c>
      <c r="B280" s="22" t="inlineStr">
        <is>
          <t>99000-065510</t>
        </is>
      </c>
      <c r="C280" s="22" t="inlineStr">
        <is>
          <t>FRAIS REMISE CHQ N  6389832</t>
        </is>
      </c>
      <c r="D280" s="25" t="n">
        <v>238</v>
      </c>
      <c r="E280" s="25" t="n"/>
      <c r="F280" s="25" t="n">
        <v>-19661955.44</v>
      </c>
      <c r="G280" s="12" t="inlineStr">
        <is>
          <t>2026-01</t>
        </is>
      </c>
      <c r="H280" s="12" t="inlineStr">
        <is>
          <t>Agios, commissions et frais</t>
        </is>
      </c>
      <c r="I280" s="12" t="inlineStr"/>
      <c r="J280" s="12" t="inlineStr">
        <is>
          <t>B26010058</t>
        </is>
      </c>
      <c r="K280" s="12" t="inlineStr">
        <is>
          <t>44557, 62750</t>
        </is>
      </c>
      <c r="L280" s="12" t="inlineStr">
        <is>
          <t>Probable</t>
        </is>
      </c>
    </row>
    <row r="281">
      <c r="A281" s="22" t="inlineStr">
        <is>
          <t>21/01/2026</t>
        </is>
      </c>
      <c r="B281" s="22" t="inlineStr">
        <is>
          <t>-114623</t>
        </is>
      </c>
      <c r="C281" s="22" t="inlineStr">
        <is>
          <t>DEBLOCAGE A LA DEMAN     4099</t>
        </is>
      </c>
      <c r="D281" s="25" t="n"/>
      <c r="E281" s="25" t="n">
        <v>4178384.06</v>
      </c>
      <c r="F281" s="25" t="n">
        <v>-15483571.38</v>
      </c>
      <c r="G281" s="12" t="inlineStr">
        <is>
          <t>2026-01</t>
        </is>
      </c>
      <c r="H281" s="12" t="inlineStr">
        <is>
          <t>Crédit bancaire débloqué</t>
        </is>
      </c>
      <c r="I281" s="12" t="inlineStr"/>
      <c r="J281" s="12" t="inlineStr">
        <is>
          <t>B26010059</t>
        </is>
      </c>
      <c r="K281" s="12" t="inlineStr">
        <is>
          <t>51900</t>
        </is>
      </c>
      <c r="L281" s="12" t="inlineStr">
        <is>
          <t>Certaine</t>
        </is>
      </c>
    </row>
    <row r="282">
      <c r="A282" s="22" t="inlineStr">
        <is>
          <t>21/01/2026</t>
        </is>
      </c>
      <c r="B282" s="22" t="inlineStr">
        <is>
          <t>99000-000161</t>
        </is>
      </c>
      <c r="C282" s="22" t="inlineStr">
        <is>
          <t>REG A US R00370 PTI00062857</t>
        </is>
      </c>
      <c r="D282" s="25" t="n">
        <v>3000</v>
      </c>
      <c r="E282" s="25" t="n"/>
      <c r="F282" s="25" t="n">
        <v>-15486571.38</v>
      </c>
      <c r="G282" s="12" t="inlineStr">
        <is>
          <t>2026-01</t>
        </is>
      </c>
      <c r="H282" s="12" t="inlineStr">
        <is>
          <t>Importations (règlements, provisions, crédoc)</t>
        </is>
      </c>
      <c r="I282" s="12" t="inlineStr"/>
      <c r="J282" s="12" t="inlineStr">
        <is>
          <t>B26010060</t>
        </is>
      </c>
      <c r="K282" s="12" t="inlineStr">
        <is>
          <t>44557, 62750</t>
        </is>
      </c>
      <c r="L282" s="12" t="inlineStr">
        <is>
          <t>Probable</t>
        </is>
      </c>
    </row>
    <row r="283">
      <c r="A283" s="22" t="inlineStr">
        <is>
          <t>21/01/2026</t>
        </is>
      </c>
      <c r="B283" s="22" t="inlineStr">
        <is>
          <t>00370-000337</t>
        </is>
      </c>
      <c r="C283" s="22" t="inlineStr">
        <is>
          <t>OPERATION REST GAIN CHANGE PTI</t>
        </is>
      </c>
      <c r="D283" s="25" t="n"/>
      <c r="E283" s="25" t="n">
        <v>155403.98</v>
      </c>
      <c r="F283" s="25" t="n">
        <v>-15331167.4</v>
      </c>
      <c r="G283" s="12" t="inlineStr">
        <is>
          <t>2026-01</t>
        </is>
      </c>
      <c r="H283" s="12" t="inlineStr">
        <is>
          <t>Importations (règlements, provisions, crédoc)</t>
        </is>
      </c>
      <c r="I283" s="12" t="inlineStr"/>
      <c r="J283" s="12" t="inlineStr">
        <is>
          <t>B26010061</t>
        </is>
      </c>
      <c r="K283" s="12" t="inlineStr">
        <is>
          <t>76600</t>
        </is>
      </c>
      <c r="L283" s="12" t="inlineStr">
        <is>
          <t>Certaine</t>
        </is>
      </c>
    </row>
    <row r="284">
      <c r="A284" s="22" t="inlineStr">
        <is>
          <t>21/01/2026</t>
        </is>
      </c>
      <c r="B284" s="22" t="inlineStr">
        <is>
          <t>00370-000334</t>
        </is>
      </c>
      <c r="C284" s="22" t="inlineStr">
        <is>
          <t>OPERATION REGLT 80% PTI62857 U</t>
        </is>
      </c>
      <c r="D284" s="25" t="n">
        <v>4178384.06</v>
      </c>
      <c r="E284" s="25" t="n"/>
      <c r="F284" s="25" t="n">
        <v>-19509551.46</v>
      </c>
      <c r="G284" s="12" t="inlineStr">
        <is>
          <t>2026-01</t>
        </is>
      </c>
      <c r="H284" s="12" t="inlineStr">
        <is>
          <t>Importations (règlements, provisions, crédoc)</t>
        </is>
      </c>
      <c r="I284" s="12" t="inlineStr"/>
      <c r="J284" s="12" t="inlineStr">
        <is>
          <t>B26010062</t>
        </is>
      </c>
      <c r="K284" s="12" t="inlineStr">
        <is>
          <t>40102</t>
        </is>
      </c>
      <c r="L284" s="12" t="inlineStr">
        <is>
          <t>Probable</t>
        </is>
      </c>
    </row>
    <row r="285">
      <c r="A285" s="22" t="inlineStr">
        <is>
          <t>22/01/2026</t>
        </is>
      </c>
      <c r="B285" s="22" t="inlineStr">
        <is>
          <t>99000-057767</t>
        </is>
      </c>
      <c r="C285" s="22" t="inlineStr">
        <is>
          <t>REMISE CHQ NUM    57767</t>
        </is>
      </c>
      <c r="D285" s="25" t="n"/>
      <c r="E285" s="25" t="n">
        <v>250000</v>
      </c>
      <c r="F285" s="25" t="n">
        <v>-19259551.46</v>
      </c>
      <c r="G285" s="12" t="inlineStr">
        <is>
          <t>2026-01</t>
        </is>
      </c>
      <c r="H285" s="12" t="inlineStr">
        <is>
          <t>Encaissements clients</t>
        </is>
      </c>
      <c r="I285" s="12" t="inlineStr"/>
      <c r="J285" s="12" t="inlineStr">
        <is>
          <t>B26010063</t>
        </is>
      </c>
      <c r="K285" s="12" t="inlineStr">
        <is>
          <t>47000</t>
        </is>
      </c>
      <c r="L285" s="12" t="inlineStr">
        <is>
          <t>À identifier</t>
        </is>
      </c>
    </row>
    <row r="286">
      <c r="A286" s="22" t="inlineStr">
        <is>
          <t>22/01/2026</t>
        </is>
      </c>
      <c r="B286" s="22" t="inlineStr">
        <is>
          <t>99000-065517</t>
        </is>
      </c>
      <c r="C286" s="22" t="inlineStr">
        <is>
          <t>SORT CHQ NUM  3968763</t>
        </is>
      </c>
      <c r="D286" s="25" t="n"/>
      <c r="E286" s="25" t="n">
        <v>2800000</v>
      </c>
      <c r="F286" s="25" t="n">
        <v>-16459551.46</v>
      </c>
      <c r="G286" s="12" t="inlineStr">
        <is>
          <t>2026-01</t>
        </is>
      </c>
      <c r="H286" s="12" t="inlineStr">
        <is>
          <t>Encaissements clients</t>
        </is>
      </c>
      <c r="I286" s="12" t="inlineStr"/>
      <c r="J286" s="12" t="inlineStr">
        <is>
          <t>B26010064</t>
        </is>
      </c>
      <c r="K286" s="12" t="inlineStr">
        <is>
          <t>47000</t>
        </is>
      </c>
      <c r="L286" s="12" t="inlineStr">
        <is>
          <t>À identifier</t>
        </is>
      </c>
    </row>
    <row r="287">
      <c r="A287" s="22" t="inlineStr">
        <is>
          <t>22/01/2026</t>
        </is>
      </c>
      <c r="B287" s="22" t="inlineStr">
        <is>
          <t>99000-065516</t>
        </is>
      </c>
      <c r="C287" s="22" t="inlineStr">
        <is>
          <t>SORT CHQ NUM  7107671</t>
        </is>
      </c>
      <c r="D287" s="25" t="n"/>
      <c r="E287" s="25" t="n">
        <v>200000</v>
      </c>
      <c r="F287" s="25" t="n">
        <v>-16259551.46</v>
      </c>
      <c r="G287" s="12" t="inlineStr">
        <is>
          <t>2026-01</t>
        </is>
      </c>
      <c r="H287" s="12" t="inlineStr">
        <is>
          <t>Encaissements clients</t>
        </is>
      </c>
      <c r="I287" s="12" t="inlineStr"/>
      <c r="J287" s="12" t="inlineStr">
        <is>
          <t>B26010065</t>
        </is>
      </c>
      <c r="K287" s="12" t="inlineStr">
        <is>
          <t>41100</t>
        </is>
      </c>
      <c r="L287" s="12" t="inlineStr">
        <is>
          <t>Probable</t>
        </is>
      </c>
    </row>
    <row r="288">
      <c r="A288" s="22" t="inlineStr">
        <is>
          <t>22/01/2026</t>
        </is>
      </c>
      <c r="B288" s="22" t="inlineStr">
        <is>
          <t>99000-065517</t>
        </is>
      </c>
      <c r="C288" s="22" t="inlineStr">
        <is>
          <t>FRAIS REMISE CHQ N  3968763</t>
        </is>
      </c>
      <c r="D288" s="25" t="n">
        <v>119</v>
      </c>
      <c r="E288" s="25" t="n"/>
      <c r="F288" s="25" t="n">
        <v>-16259670.46</v>
      </c>
      <c r="G288" s="12" t="inlineStr">
        <is>
          <t>2026-01</t>
        </is>
      </c>
      <c r="H288" s="12" t="inlineStr">
        <is>
          <t>Agios, commissions et frais</t>
        </is>
      </c>
      <c r="I288" s="12" t="inlineStr"/>
      <c r="J288" s="12" t="inlineStr">
        <is>
          <t>B26010066</t>
        </is>
      </c>
      <c r="K288" s="12" t="inlineStr">
        <is>
          <t>44557, 62750</t>
        </is>
      </c>
      <c r="L288" s="12" t="inlineStr">
        <is>
          <t>Probable</t>
        </is>
      </c>
    </row>
    <row r="289">
      <c r="A289" s="22" t="inlineStr">
        <is>
          <t>22/01/2026</t>
        </is>
      </c>
      <c r="B289" s="22" t="inlineStr">
        <is>
          <t>99000-065516</t>
        </is>
      </c>
      <c r="C289" s="22" t="inlineStr">
        <is>
          <t>FRAIS REMISE CHQ N  7107671</t>
        </is>
      </c>
      <c r="D289" s="25" t="n">
        <v>119</v>
      </c>
      <c r="E289" s="25" t="n"/>
      <c r="F289" s="25" t="n">
        <v>-16259789.46</v>
      </c>
      <c r="G289" s="12" t="inlineStr">
        <is>
          <t>2026-01</t>
        </is>
      </c>
      <c r="H289" s="12" t="inlineStr">
        <is>
          <t>Agios, commissions et frais</t>
        </is>
      </c>
      <c r="I289" s="12" t="inlineStr"/>
      <c r="J289" s="12" t="inlineStr">
        <is>
          <t>B26010067</t>
        </is>
      </c>
      <c r="K289" s="12" t="inlineStr">
        <is>
          <t>44557, 62750</t>
        </is>
      </c>
      <c r="L289" s="12" t="inlineStr">
        <is>
          <t>Probable</t>
        </is>
      </c>
    </row>
    <row r="290">
      <c r="A290" s="22" t="inlineStr">
        <is>
          <t>22/01/2026</t>
        </is>
      </c>
      <c r="B290" s="22" t="inlineStr">
        <is>
          <t>-29610</t>
        </is>
      </c>
      <c r="C290" s="22" t="inlineStr">
        <is>
          <t>APPEL ECHEANCE     4099</t>
        </is>
      </c>
      <c r="D290" s="25" t="n">
        <v>93230.19</v>
      </c>
      <c r="E290" s="25" t="n"/>
      <c r="F290" s="25" t="n">
        <v>-16353019.65</v>
      </c>
      <c r="G290" s="12" t="inlineStr">
        <is>
          <t>2026-01</t>
        </is>
      </c>
      <c r="H290" s="12" t="inlineStr">
        <is>
          <t>Remboursement crédit / échéances</t>
        </is>
      </c>
      <c r="I290" s="12" t="inlineStr"/>
      <c r="J290" s="12" t="inlineStr">
        <is>
          <t>B26010068</t>
        </is>
      </c>
      <c r="K290" s="12" t="inlineStr">
        <is>
          <t>51900</t>
        </is>
      </c>
      <c r="L290" s="12" t="inlineStr">
        <is>
          <t>Probable</t>
        </is>
      </c>
    </row>
    <row r="291">
      <c r="A291" s="22" t="inlineStr">
        <is>
          <t>25/01/2026</t>
        </is>
      </c>
      <c r="B291" s="22" t="inlineStr">
        <is>
          <t>00370-001050</t>
        </is>
      </c>
      <c r="C291" s="22" t="inlineStr">
        <is>
          <t>COM.VRT EDI BQUE</t>
        </is>
      </c>
      <c r="D291" s="25" t="n">
        <v>35.7</v>
      </c>
      <c r="E291" s="25" t="n"/>
      <c r="F291" s="25" t="n">
        <v>-16353055.35</v>
      </c>
      <c r="G291" s="12" t="inlineStr">
        <is>
          <t>2026-01</t>
        </is>
      </c>
      <c r="H291" s="12" t="inlineStr">
        <is>
          <t>Agios, commissions et frais</t>
        </is>
      </c>
      <c r="I291" s="12" t="inlineStr"/>
      <c r="J291" s="12" t="inlineStr">
        <is>
          <t>B26010069</t>
        </is>
      </c>
      <c r="K291" s="12" t="inlineStr">
        <is>
          <t>44557, 62750</t>
        </is>
      </c>
      <c r="L291" s="12" t="inlineStr">
        <is>
          <t>Probable</t>
        </is>
      </c>
    </row>
    <row r="292">
      <c r="A292" s="22" t="inlineStr">
        <is>
          <t>25/01/2026</t>
        </is>
      </c>
      <c r="B292" s="22" t="inlineStr">
        <is>
          <t>00370-001050</t>
        </is>
      </c>
      <c r="C292" s="22" t="inlineStr">
        <is>
          <t>VRT EDI SIMPLE AUTRE</t>
        </is>
      </c>
      <c r="D292" s="25" t="n">
        <v>428400</v>
      </c>
      <c r="E292" s="25" t="n"/>
      <c r="F292" s="25" t="n">
        <v>-16781455.35</v>
      </c>
      <c r="G292" s="12" t="inlineStr">
        <is>
          <t>2026-01</t>
        </is>
      </c>
      <c r="H292" s="12" t="inlineStr">
        <is>
          <t>Fournisseurs, salaires et divers</t>
        </is>
      </c>
      <c r="I292" s="12" t="inlineStr"/>
      <c r="J292" s="12" t="inlineStr">
        <is>
          <t>B26010070</t>
        </is>
      </c>
      <c r="K292" s="12" t="inlineStr">
        <is>
          <t>40130</t>
        </is>
      </c>
      <c r="L292" s="12" t="inlineStr">
        <is>
          <t>Par analogie</t>
        </is>
      </c>
    </row>
    <row r="293">
      <c r="A293" s="22" t="inlineStr">
        <is>
          <t>26/01/2026</t>
        </is>
      </c>
      <c r="B293" s="22" t="inlineStr">
        <is>
          <t>99000-065546</t>
        </is>
      </c>
      <c r="C293" s="22" t="inlineStr">
        <is>
          <t>SORT CHQ NUM   127144</t>
        </is>
      </c>
      <c r="D293" s="25" t="n"/>
      <c r="E293" s="25" t="n">
        <v>140000</v>
      </c>
      <c r="F293" s="25" t="n">
        <v>-16641455.35</v>
      </c>
      <c r="G293" s="12" t="inlineStr">
        <is>
          <t>2026-01</t>
        </is>
      </c>
      <c r="H293" s="12" t="inlineStr">
        <is>
          <t>Encaissements clients</t>
        </is>
      </c>
      <c r="I293" s="12" t="inlineStr"/>
      <c r="J293" s="12" t="inlineStr">
        <is>
          <t>B26010071</t>
        </is>
      </c>
      <c r="K293" s="12" t="inlineStr">
        <is>
          <t>47000</t>
        </is>
      </c>
      <c r="L293" s="12" t="inlineStr">
        <is>
          <t>À identifier</t>
        </is>
      </c>
    </row>
    <row r="294">
      <c r="A294" s="22" t="inlineStr">
        <is>
          <t>26/01/2026</t>
        </is>
      </c>
      <c r="B294" s="22" t="inlineStr">
        <is>
          <t>99000-065546</t>
        </is>
      </c>
      <c r="C294" s="22" t="inlineStr">
        <is>
          <t>FRAIS REMISE CHQ N   127144</t>
        </is>
      </c>
      <c r="D294" s="25" t="n">
        <v>166.6</v>
      </c>
      <c r="E294" s="25" t="n"/>
      <c r="F294" s="25" t="n">
        <v>-16641621.95</v>
      </c>
      <c r="G294" s="12" t="inlineStr">
        <is>
          <t>2026-01</t>
        </is>
      </c>
      <c r="H294" s="12" t="inlineStr">
        <is>
          <t>Agios, commissions et frais</t>
        </is>
      </c>
      <c r="I294" s="12" t="inlineStr"/>
      <c r="J294" s="12" t="inlineStr">
        <is>
          <t>B26010072</t>
        </is>
      </c>
      <c r="K294" s="12" t="inlineStr">
        <is>
          <t>44557, 62750</t>
        </is>
      </c>
      <c r="L294" s="12" t="inlineStr">
        <is>
          <t>Probable</t>
        </is>
      </c>
    </row>
    <row r="295">
      <c r="A295" s="22" t="inlineStr">
        <is>
          <t>27/01/2026</t>
        </is>
      </c>
      <c r="B295" s="22" t="inlineStr">
        <is>
          <t>00370-001052</t>
        </is>
      </c>
      <c r="C295" s="22" t="inlineStr">
        <is>
          <t>COM.VRT EDI BQUE</t>
        </is>
      </c>
      <c r="D295" s="25" t="n">
        <v>35.7</v>
      </c>
      <c r="E295" s="25" t="n"/>
      <c r="F295" s="25" t="n">
        <v>-16641657.65</v>
      </c>
      <c r="G295" s="12" t="inlineStr">
        <is>
          <t>2026-01</t>
        </is>
      </c>
      <c r="H295" s="12" t="inlineStr">
        <is>
          <t>Agios, commissions et frais</t>
        </is>
      </c>
      <c r="I295" s="12" t="inlineStr"/>
      <c r="J295" s="12" t="inlineStr">
        <is>
          <t>B26010073</t>
        </is>
      </c>
      <c r="K295" s="12" t="inlineStr">
        <is>
          <t>44557, 62750</t>
        </is>
      </c>
      <c r="L295" s="12" t="inlineStr">
        <is>
          <t>Probable</t>
        </is>
      </c>
    </row>
    <row r="296">
      <c r="A296" s="22" t="inlineStr">
        <is>
          <t>27/01/2026</t>
        </is>
      </c>
      <c r="B296" s="22" t="inlineStr">
        <is>
          <t>00370-001052</t>
        </is>
      </c>
      <c r="C296" s="22" t="inlineStr">
        <is>
          <t>VRT EDI SIMPLE AUTRE</t>
        </is>
      </c>
      <c r="D296" s="25" t="n">
        <v>18510</v>
      </c>
      <c r="E296" s="25" t="n"/>
      <c r="F296" s="25" t="n">
        <v>-16660167.65</v>
      </c>
      <c r="G296" s="12" t="inlineStr">
        <is>
          <t>2026-01</t>
        </is>
      </c>
      <c r="H296" s="12" t="inlineStr">
        <is>
          <t>Fournisseurs, salaires et divers</t>
        </is>
      </c>
      <c r="I296" s="12" t="inlineStr"/>
      <c r="J296" s="12" t="inlineStr">
        <is>
          <t>B26010074</t>
        </is>
      </c>
      <c r="K296" s="12" t="inlineStr">
        <is>
          <t>47000</t>
        </is>
      </c>
      <c r="L296" s="12" t="inlineStr">
        <is>
          <t>À identifier</t>
        </is>
      </c>
    </row>
    <row r="297">
      <c r="A297" s="22" t="inlineStr">
        <is>
          <t>28/01/2026</t>
        </is>
      </c>
      <c r="B297" s="22" t="inlineStr">
        <is>
          <t>99000-005313</t>
        </is>
      </c>
      <c r="C297" s="22" t="inlineStr">
        <is>
          <t>PERCEPTION DES COMMISSIONS</t>
        </is>
      </c>
      <c r="D297" s="25" t="n">
        <v>297.5</v>
      </c>
      <c r="E297" s="25" t="n"/>
      <c r="F297" s="25" t="n">
        <v>-16660465.15</v>
      </c>
      <c r="G297" s="12" t="inlineStr">
        <is>
          <t>2026-01</t>
        </is>
      </c>
      <c r="H297" s="12" t="inlineStr">
        <is>
          <t>Agios, commissions et frais</t>
        </is>
      </c>
      <c r="I297" s="12" t="inlineStr"/>
      <c r="J297" s="12" t="inlineStr">
        <is>
          <t>B26010075</t>
        </is>
      </c>
      <c r="K297" s="12" t="inlineStr">
        <is>
          <t>44557, 62750</t>
        </is>
      </c>
      <c r="L297" s="12" t="inlineStr">
        <is>
          <t>Probable</t>
        </is>
      </c>
    </row>
    <row r="298">
      <c r="A298" s="22" t="inlineStr">
        <is>
          <t>28/01/2026</t>
        </is>
      </c>
      <c r="B298" s="22" t="inlineStr">
        <is>
          <t>99000-005315</t>
        </is>
      </c>
      <c r="C298" s="22" t="inlineStr">
        <is>
          <t>PERCEPTION DES COMMISSIONS</t>
        </is>
      </c>
      <c r="D298" s="25" t="n">
        <v>297.5</v>
      </c>
      <c r="E298" s="25" t="n"/>
      <c r="F298" s="25" t="n">
        <v>-16660762.65</v>
      </c>
      <c r="G298" s="12" t="inlineStr">
        <is>
          <t>2026-01</t>
        </is>
      </c>
      <c r="H298" s="12" t="inlineStr">
        <is>
          <t>Agios, commissions et frais</t>
        </is>
      </c>
      <c r="I298" s="12" t="inlineStr"/>
      <c r="J298" s="12" t="inlineStr">
        <is>
          <t>B26010076</t>
        </is>
      </c>
      <c r="K298" s="12" t="inlineStr">
        <is>
          <t>44557, 62750</t>
        </is>
      </c>
      <c r="L298" s="12" t="inlineStr">
        <is>
          <t>Probable</t>
        </is>
      </c>
    </row>
    <row r="299">
      <c r="A299" s="22" t="inlineStr">
        <is>
          <t>28/01/2026</t>
        </is>
      </c>
      <c r="B299" s="22" t="inlineStr">
        <is>
          <t>99000-005314</t>
        </is>
      </c>
      <c r="C299" s="22" t="inlineStr">
        <is>
          <t>PERCEPTION DES COMMISSIONS</t>
        </is>
      </c>
      <c r="D299" s="25" t="n">
        <v>297.5</v>
      </c>
      <c r="E299" s="25" t="n"/>
      <c r="F299" s="25" t="n">
        <v>-16661060.15</v>
      </c>
      <c r="G299" s="12" t="inlineStr">
        <is>
          <t>2026-01</t>
        </is>
      </c>
      <c r="H299" s="12" t="inlineStr">
        <is>
          <t>Agios, commissions et frais</t>
        </is>
      </c>
      <c r="I299" s="12" t="inlineStr"/>
      <c r="J299" s="12" t="inlineStr">
        <is>
          <t>B26010077</t>
        </is>
      </c>
      <c r="K299" s="12" t="inlineStr">
        <is>
          <t>44557, 62750</t>
        </is>
      </c>
      <c r="L299" s="12" t="inlineStr">
        <is>
          <t>Probable</t>
        </is>
      </c>
    </row>
    <row r="300">
      <c r="A300" s="22" t="inlineStr">
        <is>
          <t>29/01/2026</t>
        </is>
      </c>
      <c r="B300" s="22" t="inlineStr">
        <is>
          <t>00370-001056</t>
        </is>
      </c>
      <c r="C300" s="22" t="inlineStr">
        <is>
          <t>COM.VRT EDI BQUE</t>
        </is>
      </c>
      <c r="D300" s="25" t="n">
        <v>35.7</v>
      </c>
      <c r="E300" s="25" t="n"/>
      <c r="F300" s="25" t="n">
        <v>-16661095.85</v>
      </c>
      <c r="G300" s="12" t="inlineStr">
        <is>
          <t>2026-01</t>
        </is>
      </c>
      <c r="H300" s="12" t="inlineStr">
        <is>
          <t>Agios, commissions et frais</t>
        </is>
      </c>
      <c r="I300" s="12" t="inlineStr"/>
      <c r="J300" s="12" t="inlineStr">
        <is>
          <t>B26010078</t>
        </is>
      </c>
      <c r="K300" s="12" t="inlineStr">
        <is>
          <t>44557, 62750</t>
        </is>
      </c>
      <c r="L300" s="12" t="inlineStr">
        <is>
          <t>Probable</t>
        </is>
      </c>
    </row>
    <row r="301">
      <c r="A301" s="22" t="inlineStr">
        <is>
          <t>29/01/2026</t>
        </is>
      </c>
      <c r="B301" s="22" t="inlineStr">
        <is>
          <t>00370-001056</t>
        </is>
      </c>
      <c r="C301" s="22" t="inlineStr">
        <is>
          <t>VRT EDI SIMPLE AUTRE</t>
        </is>
      </c>
      <c r="D301" s="25" t="n">
        <v>428400</v>
      </c>
      <c r="E301" s="25" t="n"/>
      <c r="F301" s="25" t="n">
        <v>-17089495.85</v>
      </c>
      <c r="G301" s="12" t="inlineStr">
        <is>
          <t>2026-01</t>
        </is>
      </c>
      <c r="H301" s="12" t="inlineStr">
        <is>
          <t>Fournisseurs, salaires et divers</t>
        </is>
      </c>
      <c r="I301" s="12" t="inlineStr"/>
      <c r="J301" s="12" t="inlineStr">
        <is>
          <t>B26010079</t>
        </is>
      </c>
      <c r="K301" s="12" t="inlineStr">
        <is>
          <t>40130</t>
        </is>
      </c>
      <c r="L301" s="12" t="inlineStr">
        <is>
          <t>Par analogie</t>
        </is>
      </c>
    </row>
    <row r="302">
      <c r="A302" s="22" t="inlineStr">
        <is>
          <t>01/02/2026</t>
        </is>
      </c>
      <c r="B302" s="22" t="inlineStr">
        <is>
          <t>00370-173738</t>
        </is>
      </c>
      <c r="C302" s="22" t="inlineStr">
        <is>
          <t>VERSEMENT DEGAGEMENT CAISSE</t>
        </is>
      </c>
      <c r="D302" s="25" t="n"/>
      <c r="E302" s="25" t="n">
        <v>1500000</v>
      </c>
      <c r="F302" s="25" t="n">
        <v>-15589495.85</v>
      </c>
      <c r="G302" s="12" t="inlineStr">
        <is>
          <t>2026-02</t>
        </is>
      </c>
      <c r="H302" s="12" t="inlineStr">
        <is>
          <t>Versement d'espèces (caisse)</t>
        </is>
      </c>
      <c r="I302" s="12" t="inlineStr"/>
      <c r="J302" s="12" t="inlineStr">
        <is>
          <t>B26020080</t>
        </is>
      </c>
      <c r="K302" s="12" t="inlineStr">
        <is>
          <t>58100</t>
        </is>
      </c>
      <c r="L302" s="12" t="inlineStr">
        <is>
          <t>Certaine</t>
        </is>
      </c>
    </row>
    <row r="303">
      <c r="A303" s="22" t="inlineStr">
        <is>
          <t>01/02/2026</t>
        </is>
      </c>
      <c r="B303" s="22" t="inlineStr">
        <is>
          <t>99000-065601</t>
        </is>
      </c>
      <c r="C303" s="22" t="inlineStr">
        <is>
          <t>SORT CHQ NUM  6708533</t>
        </is>
      </c>
      <c r="D303" s="25" t="n"/>
      <c r="E303" s="25" t="n">
        <v>1420860</v>
      </c>
      <c r="F303" s="25" t="n">
        <v>-14168635.85</v>
      </c>
      <c r="G303" s="12" t="inlineStr">
        <is>
          <t>2026-02</t>
        </is>
      </c>
      <c r="H303" s="12" t="inlineStr">
        <is>
          <t>Encaissements clients</t>
        </is>
      </c>
      <c r="I303" s="12" t="inlineStr"/>
      <c r="J303" s="12" t="inlineStr">
        <is>
          <t>B26020081</t>
        </is>
      </c>
      <c r="K303" s="12" t="inlineStr">
        <is>
          <t>47000</t>
        </is>
      </c>
      <c r="L303" s="12" t="inlineStr">
        <is>
          <t>À identifier</t>
        </is>
      </c>
    </row>
    <row r="304">
      <c r="A304" s="22" t="inlineStr">
        <is>
          <t>01/02/2026</t>
        </is>
      </c>
      <c r="B304" s="22" t="inlineStr">
        <is>
          <t>99000-065601</t>
        </is>
      </c>
      <c r="C304" s="22" t="inlineStr">
        <is>
          <t>FRAIS REMISE CHQ N  6708533</t>
        </is>
      </c>
      <c r="D304" s="25" t="n">
        <v>238</v>
      </c>
      <c r="E304" s="25" t="n"/>
      <c r="F304" s="25" t="n">
        <v>-14168873.85</v>
      </c>
      <c r="G304" s="12" t="inlineStr">
        <is>
          <t>2026-02</t>
        </is>
      </c>
      <c r="H304" s="12" t="inlineStr">
        <is>
          <t>Agios, commissions et frais</t>
        </is>
      </c>
      <c r="I304" s="12" t="inlineStr"/>
      <c r="J304" s="12" t="inlineStr">
        <is>
          <t>B26020082</t>
        </is>
      </c>
      <c r="K304" s="12" t="inlineStr">
        <is>
          <t>44557, 62750</t>
        </is>
      </c>
      <c r="L304" s="12" t="inlineStr">
        <is>
          <t>Probable</t>
        </is>
      </c>
    </row>
    <row r="305">
      <c r="A305" s="22" t="inlineStr">
        <is>
          <t>02/02/2026</t>
        </is>
      </c>
      <c r="B305" s="22" t="inlineStr">
        <is>
          <t>99000-065613</t>
        </is>
      </c>
      <c r="C305" s="22" t="inlineStr">
        <is>
          <t>SORT CHQ NUM  4934386</t>
        </is>
      </c>
      <c r="D305" s="25" t="n"/>
      <c r="E305" s="25" t="n">
        <v>121680</v>
      </c>
      <c r="F305" s="25" t="n">
        <v>-14047193.85</v>
      </c>
      <c r="G305" s="12" t="inlineStr">
        <is>
          <t>2026-02</t>
        </is>
      </c>
      <c r="H305" s="12" t="inlineStr">
        <is>
          <t>Encaissements clients</t>
        </is>
      </c>
      <c r="I305" s="12" t="inlineStr"/>
      <c r="J305" s="12" t="inlineStr">
        <is>
          <t>B26020083</t>
        </is>
      </c>
      <c r="K305" s="12" t="inlineStr">
        <is>
          <t>41100</t>
        </is>
      </c>
      <c r="L305" s="12" t="inlineStr">
        <is>
          <t>Probable</t>
        </is>
      </c>
    </row>
    <row r="306">
      <c r="A306" s="22" t="inlineStr">
        <is>
          <t>02/02/2026</t>
        </is>
      </c>
      <c r="B306" s="22" t="inlineStr">
        <is>
          <t>99000-065615</t>
        </is>
      </c>
      <c r="C306" s="22" t="inlineStr">
        <is>
          <t>SORT CHQ NUM      364</t>
        </is>
      </c>
      <c r="D306" s="25" t="n"/>
      <c r="E306" s="25" t="n">
        <v>160000.06</v>
      </c>
      <c r="F306" s="25" t="n">
        <v>-13887193.79</v>
      </c>
      <c r="G306" s="12" t="inlineStr">
        <is>
          <t>2026-02</t>
        </is>
      </c>
      <c r="H306" s="12" t="inlineStr">
        <is>
          <t>Encaissements clients</t>
        </is>
      </c>
      <c r="I306" s="12" t="inlineStr"/>
      <c r="J306" s="12" t="inlineStr">
        <is>
          <t>B26020084</t>
        </is>
      </c>
      <c r="K306" s="12" t="inlineStr">
        <is>
          <t>41100</t>
        </is>
      </c>
      <c r="L306" s="12" t="inlineStr">
        <is>
          <t>Probable</t>
        </is>
      </c>
    </row>
    <row r="307">
      <c r="A307" s="22" t="inlineStr">
        <is>
          <t>02/02/2026</t>
        </is>
      </c>
      <c r="B307" s="22" t="inlineStr">
        <is>
          <t>99000-065613</t>
        </is>
      </c>
      <c r="C307" s="22" t="inlineStr">
        <is>
          <t>FRAIS REMISE CHQ N  4934386</t>
        </is>
      </c>
      <c r="D307" s="25" t="n">
        <v>144.8</v>
      </c>
      <c r="E307" s="25" t="n"/>
      <c r="F307" s="25" t="n">
        <v>-13887338.59</v>
      </c>
      <c r="G307" s="12" t="inlineStr">
        <is>
          <t>2026-02</t>
        </is>
      </c>
      <c r="H307" s="12" t="inlineStr">
        <is>
          <t>Agios, commissions et frais</t>
        </is>
      </c>
      <c r="I307" s="12" t="inlineStr"/>
      <c r="J307" s="12" t="inlineStr">
        <is>
          <t>B26020085</t>
        </is>
      </c>
      <c r="K307" s="12" t="inlineStr">
        <is>
          <t>44557, 62750</t>
        </is>
      </c>
      <c r="L307" s="12" t="inlineStr">
        <is>
          <t>Probable</t>
        </is>
      </c>
    </row>
    <row r="308">
      <c r="A308" s="22" t="inlineStr">
        <is>
          <t>02/02/2026</t>
        </is>
      </c>
      <c r="B308" s="22" t="inlineStr">
        <is>
          <t>99000-065615</t>
        </is>
      </c>
      <c r="C308" s="22" t="inlineStr">
        <is>
          <t>FRAIS REMISE CHQ N      364</t>
        </is>
      </c>
      <c r="D308" s="25" t="n">
        <v>190.4</v>
      </c>
      <c r="E308" s="25" t="n"/>
      <c r="F308" s="25" t="n">
        <v>-13887528.99</v>
      </c>
      <c r="G308" s="12" t="inlineStr">
        <is>
          <t>2026-02</t>
        </is>
      </c>
      <c r="H308" s="12" t="inlineStr">
        <is>
          <t>Agios, commissions et frais</t>
        </is>
      </c>
      <c r="I308" s="12" t="inlineStr"/>
      <c r="J308" s="12" t="inlineStr">
        <is>
          <t>B26020086</t>
        </is>
      </c>
      <c r="K308" s="12" t="inlineStr">
        <is>
          <t>44557, 62750</t>
        </is>
      </c>
      <c r="L308" s="12" t="inlineStr">
        <is>
          <t>Probable</t>
        </is>
      </c>
    </row>
    <row r="309">
      <c r="A309" s="22" t="inlineStr">
        <is>
          <t>03/02/2026</t>
        </is>
      </c>
      <c r="B309" s="22" t="inlineStr">
        <is>
          <t>00370-057850</t>
        </is>
      </c>
      <c r="C309" s="22" t="inlineStr">
        <is>
          <t>REMISE CHQ NUM    57850</t>
        </is>
      </c>
      <c r="D309" s="25" t="n"/>
      <c r="E309" s="25" t="n">
        <v>500000</v>
      </c>
      <c r="F309" s="25" t="n">
        <v>-13387528.99</v>
      </c>
      <c r="G309" s="12" t="inlineStr">
        <is>
          <t>2026-02</t>
        </is>
      </c>
      <c r="H309" s="12" t="inlineStr">
        <is>
          <t>Encaissements clients</t>
        </is>
      </c>
      <c r="I309" s="12" t="inlineStr"/>
      <c r="J309" s="12" t="inlineStr">
        <is>
          <t>B26020087</t>
        </is>
      </c>
      <c r="K309" s="12" t="inlineStr">
        <is>
          <t>47000</t>
        </is>
      </c>
      <c r="L309" s="12" t="inlineStr">
        <is>
          <t>À identifier</t>
        </is>
      </c>
    </row>
    <row r="310">
      <c r="A310" s="22" t="inlineStr">
        <is>
          <t>03/02/2026</t>
        </is>
      </c>
      <c r="B310" s="22" t="inlineStr">
        <is>
          <t>99000-065620</t>
        </is>
      </c>
      <c r="C310" s="22" t="inlineStr">
        <is>
          <t>SORT CHQ NUM  8148167</t>
        </is>
      </c>
      <c r="D310" s="25" t="n"/>
      <c r="E310" s="25" t="n">
        <v>485520</v>
      </c>
      <c r="F310" s="25" t="n">
        <v>-12902008.99</v>
      </c>
      <c r="G310" s="12" t="inlineStr">
        <is>
          <t>2026-02</t>
        </is>
      </c>
      <c r="H310" s="12" t="inlineStr">
        <is>
          <t>Encaissements clients</t>
        </is>
      </c>
      <c r="I310" s="12" t="inlineStr"/>
      <c r="J310" s="12" t="inlineStr">
        <is>
          <t>B26020088</t>
        </is>
      </c>
      <c r="K310" s="12" t="inlineStr">
        <is>
          <t>41100</t>
        </is>
      </c>
      <c r="L310" s="12" t="inlineStr">
        <is>
          <t>Probable</t>
        </is>
      </c>
    </row>
    <row r="311">
      <c r="A311" s="22" t="inlineStr">
        <is>
          <t>03/02/2026</t>
        </is>
      </c>
      <c r="B311" s="22" t="inlineStr">
        <is>
          <t>99000-065620</t>
        </is>
      </c>
      <c r="C311" s="22" t="inlineStr">
        <is>
          <t>FRAIS REMISE CHQ N  8148167</t>
        </is>
      </c>
      <c r="D311" s="25" t="n">
        <v>119</v>
      </c>
      <c r="E311" s="25" t="n"/>
      <c r="F311" s="25" t="n">
        <v>-12902127.99</v>
      </c>
      <c r="G311" s="12" t="inlineStr">
        <is>
          <t>2026-02</t>
        </is>
      </c>
      <c r="H311" s="12" t="inlineStr">
        <is>
          <t>Agios, commissions et frais</t>
        </is>
      </c>
      <c r="I311" s="12" t="inlineStr"/>
      <c r="J311" s="12" t="inlineStr">
        <is>
          <t>B26020089</t>
        </is>
      </c>
      <c r="K311" s="12" t="inlineStr">
        <is>
          <t>44557, 62750</t>
        </is>
      </c>
      <c r="L311" s="12" t="inlineStr">
        <is>
          <t>Probable</t>
        </is>
      </c>
    </row>
    <row r="312">
      <c r="A312" s="22" t="inlineStr">
        <is>
          <t>03/02/2026</t>
        </is>
      </c>
      <c r="B312" s="22" t="inlineStr">
        <is>
          <t>-12764</t>
        </is>
      </c>
      <c r="C312" s="22" t="inlineStr">
        <is>
          <t>RECOUV.IMP.TOMB.ANTI     4071</t>
        </is>
      </c>
      <c r="D312" s="25" t="n">
        <v>6612471.01</v>
      </c>
      <c r="E312" s="25" t="n"/>
      <c r="F312" s="25" t="n">
        <v>-19514599</v>
      </c>
      <c r="G312" s="12" t="inlineStr">
        <is>
          <t>2026-02</t>
        </is>
      </c>
      <c r="H312" s="12" t="inlineStr">
        <is>
          <t>Remboursement crédit / échéances</t>
        </is>
      </c>
      <c r="I312" s="12" t="inlineStr"/>
      <c r="J312" s="12" t="inlineStr">
        <is>
          <t>B26020090</t>
        </is>
      </c>
      <c r="K312" s="12" t="inlineStr">
        <is>
          <t>51900</t>
        </is>
      </c>
      <c r="L312" s="12" t="inlineStr">
        <is>
          <t>Probable</t>
        </is>
      </c>
    </row>
    <row r="313">
      <c r="A313" s="22" t="inlineStr">
        <is>
          <t>04/02/2026</t>
        </is>
      </c>
      <c r="B313" s="22" t="inlineStr">
        <is>
          <t>-12766</t>
        </is>
      </c>
      <c r="C313" s="22" t="inlineStr">
        <is>
          <t>RECOUV.IMP.TOMB.ANTI     4071</t>
        </is>
      </c>
      <c r="D313" s="25" t="n">
        <v>485401</v>
      </c>
      <c r="E313" s="25" t="n"/>
      <c r="F313" s="25" t="n">
        <v>-20000000</v>
      </c>
      <c r="G313" s="12" t="inlineStr">
        <is>
          <t>2026-02</t>
        </is>
      </c>
      <c r="H313" s="12" t="inlineStr">
        <is>
          <t>Remboursement crédit / échéances</t>
        </is>
      </c>
      <c r="I313" s="12" t="inlineStr"/>
      <c r="J313" s="12" t="inlineStr">
        <is>
          <t>B26020091</t>
        </is>
      </c>
      <c r="K313" s="12" t="inlineStr">
        <is>
          <t>51900</t>
        </is>
      </c>
      <c r="L313" s="12" t="inlineStr">
        <is>
          <t>Probable</t>
        </is>
      </c>
    </row>
    <row r="314">
      <c r="A314" s="22" t="inlineStr">
        <is>
          <t>04/02/2026</t>
        </is>
      </c>
      <c r="B314" s="22" t="inlineStr">
        <is>
          <t>99000-005319</t>
        </is>
      </c>
      <c r="C314" s="22" t="inlineStr">
        <is>
          <t>PERCEPTION DES COMMISSIONS</t>
        </is>
      </c>
      <c r="D314" s="25" t="n">
        <v>4774.05</v>
      </c>
      <c r="E314" s="25" t="n"/>
      <c r="F314" s="25" t="n">
        <v>-20004774.05</v>
      </c>
      <c r="G314" s="12" t="inlineStr">
        <is>
          <t>2026-02</t>
        </is>
      </c>
      <c r="H314" s="12" t="inlineStr">
        <is>
          <t>Agios, commissions et frais</t>
        </is>
      </c>
      <c r="I314" s="12" t="inlineStr"/>
      <c r="J314" s="12" t="inlineStr">
        <is>
          <t>B26020092</t>
        </is>
      </c>
      <c r="K314" s="12" t="inlineStr">
        <is>
          <t>44557, 62750</t>
        </is>
      </c>
      <c r="L314" s="12" t="inlineStr">
        <is>
          <t>Probable</t>
        </is>
      </c>
    </row>
    <row r="315">
      <c r="A315" s="22" t="inlineStr">
        <is>
          <t>04/02/2026</t>
        </is>
      </c>
      <c r="B315" s="22" t="inlineStr">
        <is>
          <t>99000-005320</t>
        </is>
      </c>
      <c r="C315" s="22" t="inlineStr">
        <is>
          <t>PERCEPTION DES COMMISSIONS</t>
        </is>
      </c>
      <c r="D315" s="25" t="n">
        <v>1219.98</v>
      </c>
      <c r="E315" s="25" t="n"/>
      <c r="F315" s="25" t="n">
        <v>-20005994.03</v>
      </c>
      <c r="G315" s="12" t="inlineStr">
        <is>
          <t>2026-02</t>
        </is>
      </c>
      <c r="H315" s="12" t="inlineStr">
        <is>
          <t>Agios, commissions et frais</t>
        </is>
      </c>
      <c r="I315" s="12" t="inlineStr"/>
      <c r="J315" s="12" t="inlineStr">
        <is>
          <t>B26020093</t>
        </is>
      </c>
      <c r="K315" s="12" t="inlineStr">
        <is>
          <t>44557, 62750</t>
        </is>
      </c>
      <c r="L315" s="12" t="inlineStr">
        <is>
          <t>Probable</t>
        </is>
      </c>
    </row>
    <row r="316">
      <c r="A316" s="22" t="inlineStr">
        <is>
          <t>04/02/2026</t>
        </is>
      </c>
      <c r="B316" s="22" t="inlineStr">
        <is>
          <t>99000-019775</t>
        </is>
      </c>
      <c r="C316" s="22" t="inlineStr">
        <is>
          <t>FRAIS ABONN. INTERNET 2026/02</t>
        </is>
      </c>
      <c r="D316" s="25" t="n">
        <v>1606.5</v>
      </c>
      <c r="E316" s="25" t="n"/>
      <c r="F316" s="25" t="n">
        <v>-20007600.53</v>
      </c>
      <c r="G316" s="12" t="inlineStr">
        <is>
          <t>2026-02</t>
        </is>
      </c>
      <c r="H316" s="12" t="inlineStr">
        <is>
          <t>Agios, commissions et frais</t>
        </is>
      </c>
      <c r="I316" s="12" t="inlineStr"/>
      <c r="J316" s="12" t="inlineStr">
        <is>
          <t>B26020094</t>
        </is>
      </c>
      <c r="K316" s="12" t="inlineStr">
        <is>
          <t>44557, 62750</t>
        </is>
      </c>
      <c r="L316" s="12" t="inlineStr">
        <is>
          <t>Probable</t>
        </is>
      </c>
    </row>
    <row r="317">
      <c r="A317" s="22" t="inlineStr">
        <is>
          <t>05/02/2026</t>
        </is>
      </c>
      <c r="B317" s="22" t="inlineStr">
        <is>
          <t>99000-065634</t>
        </is>
      </c>
      <c r="C317" s="22" t="inlineStr">
        <is>
          <t>SORT CHQ NUM  3785208</t>
        </is>
      </c>
      <c r="D317" s="25" t="n"/>
      <c r="E317" s="25" t="n">
        <v>978400</v>
      </c>
      <c r="F317" s="25" t="n">
        <v>-19029200.53</v>
      </c>
      <c r="G317" s="12" t="inlineStr">
        <is>
          <t>2026-02</t>
        </is>
      </c>
      <c r="H317" s="12" t="inlineStr">
        <is>
          <t>Encaissements clients</t>
        </is>
      </c>
      <c r="I317" s="12" t="inlineStr"/>
      <c r="J317" s="12" t="inlineStr">
        <is>
          <t>B26020095</t>
        </is>
      </c>
      <c r="K317" s="12" t="inlineStr">
        <is>
          <t>47000</t>
        </is>
      </c>
      <c r="L317" s="12" t="inlineStr">
        <is>
          <t>À identifier</t>
        </is>
      </c>
    </row>
    <row r="318">
      <c r="A318" s="22" t="inlineStr">
        <is>
          <t>05/02/2026</t>
        </is>
      </c>
      <c r="B318" s="22" t="inlineStr">
        <is>
          <t>99000-065635</t>
        </is>
      </c>
      <c r="C318" s="22" t="inlineStr">
        <is>
          <t>SORT CHQ NUM  1294448</t>
        </is>
      </c>
      <c r="D318" s="25" t="n"/>
      <c r="E318" s="25" t="n">
        <v>4738580</v>
      </c>
      <c r="F318" s="25" t="n">
        <v>-14290620.53</v>
      </c>
      <c r="G318" s="12" t="inlineStr">
        <is>
          <t>2026-02</t>
        </is>
      </c>
      <c r="H318" s="12" t="inlineStr">
        <is>
          <t>Encaissements clients</t>
        </is>
      </c>
      <c r="I318" s="12" t="inlineStr"/>
      <c r="J318" s="12" t="inlineStr">
        <is>
          <t>B26020096</t>
        </is>
      </c>
      <c r="K318" s="12" t="inlineStr">
        <is>
          <t>47000</t>
        </is>
      </c>
      <c r="L318" s="12" t="inlineStr">
        <is>
          <t>À identifier</t>
        </is>
      </c>
    </row>
    <row r="319">
      <c r="A319" s="22" t="inlineStr">
        <is>
          <t>05/02/2026</t>
        </is>
      </c>
      <c r="B319" s="22" t="inlineStr">
        <is>
          <t>99000-065634</t>
        </is>
      </c>
      <c r="C319" s="22" t="inlineStr">
        <is>
          <t>FRAIS REMISE CHQ N  3785208</t>
        </is>
      </c>
      <c r="D319" s="25" t="n">
        <v>238</v>
      </c>
      <c r="E319" s="25" t="n"/>
      <c r="F319" s="25" t="n">
        <v>-14290858.53</v>
      </c>
      <c r="G319" s="12" t="inlineStr">
        <is>
          <t>2026-02</t>
        </is>
      </c>
      <c r="H319" s="12" t="inlineStr">
        <is>
          <t>Agios, commissions et frais</t>
        </is>
      </c>
      <c r="I319" s="12" t="inlineStr"/>
      <c r="J319" s="12" t="inlineStr">
        <is>
          <t>B26020097</t>
        </is>
      </c>
      <c r="K319" s="12" t="inlineStr">
        <is>
          <t>44557, 62750</t>
        </is>
      </c>
      <c r="L319" s="12" t="inlineStr">
        <is>
          <t>Probable</t>
        </is>
      </c>
    </row>
    <row r="320">
      <c r="A320" s="22" t="inlineStr">
        <is>
          <t>05/02/2026</t>
        </is>
      </c>
      <c r="B320" s="22" t="inlineStr">
        <is>
          <t>99000-065635</t>
        </is>
      </c>
      <c r="C320" s="22" t="inlineStr">
        <is>
          <t>FRAIS REMISE CHQ N  1294448</t>
        </is>
      </c>
      <c r="D320" s="25" t="n">
        <v>238</v>
      </c>
      <c r="E320" s="25" t="n"/>
      <c r="F320" s="25" t="n">
        <v>-14291096.53</v>
      </c>
      <c r="G320" s="12" t="inlineStr">
        <is>
          <t>2026-02</t>
        </is>
      </c>
      <c r="H320" s="12" t="inlineStr">
        <is>
          <t>Agios, commissions et frais</t>
        </is>
      </c>
      <c r="I320" s="12" t="inlineStr"/>
      <c r="J320" s="12" t="inlineStr">
        <is>
          <t>B26020098</t>
        </is>
      </c>
      <c r="K320" s="12" t="inlineStr">
        <is>
          <t>44557, 62750</t>
        </is>
      </c>
      <c r="L320" s="12" t="inlineStr">
        <is>
          <t>Probable</t>
        </is>
      </c>
    </row>
    <row r="321">
      <c r="A321" s="22" t="inlineStr">
        <is>
          <t>08/02/2026</t>
        </is>
      </c>
      <c r="B321" s="22" t="inlineStr">
        <is>
          <t>00370-119055</t>
        </is>
      </c>
      <c r="C321" s="22" t="inlineStr">
        <is>
          <t>PAIEMENT CHQ NUM  2125730</t>
        </is>
      </c>
      <c r="D321" s="25" t="n">
        <v>280314.18</v>
      </c>
      <c r="E321" s="25" t="n"/>
      <c r="F321" s="25" t="n">
        <v>-14571410.71</v>
      </c>
      <c r="G321" s="12" t="inlineStr">
        <is>
          <t>2026-02</t>
        </is>
      </c>
      <c r="H321" s="12" t="inlineStr">
        <is>
          <t>Fournisseurs, salaires et divers</t>
        </is>
      </c>
      <c r="I321" s="12" t="inlineStr"/>
      <c r="J321" s="12" t="inlineStr">
        <is>
          <t>B26020099</t>
        </is>
      </c>
      <c r="K321" s="12" t="inlineStr">
        <is>
          <t>47000</t>
        </is>
      </c>
      <c r="L321" s="12" t="inlineStr">
        <is>
          <t>À identifier</t>
        </is>
      </c>
    </row>
    <row r="322">
      <c r="A322" s="22" t="inlineStr">
        <is>
          <t>08/02/2026</t>
        </is>
      </c>
      <c r="B322" s="22" t="inlineStr">
        <is>
          <t>00370-119055</t>
        </is>
      </c>
      <c r="C322" s="22" t="inlineStr">
        <is>
          <t>PERCEP.COM SUR PAIEMENTS CHQ</t>
        </is>
      </c>
      <c r="D322" s="25" t="n">
        <v>59.5</v>
      </c>
      <c r="E322" s="25" t="n"/>
      <c r="F322" s="25" t="n">
        <v>-14571470.21</v>
      </c>
      <c r="G322" s="12" t="inlineStr">
        <is>
          <t>2026-02</t>
        </is>
      </c>
      <c r="H322" s="12" t="inlineStr">
        <is>
          <t>Agios, commissions et frais</t>
        </is>
      </c>
      <c r="I322" s="12" t="inlineStr"/>
      <c r="J322" s="12" t="inlineStr">
        <is>
          <t>B26020100</t>
        </is>
      </c>
      <c r="K322" s="12" t="inlineStr">
        <is>
          <t>44557, 62750</t>
        </is>
      </c>
      <c r="L322" s="12" t="inlineStr">
        <is>
          <t>Probable</t>
        </is>
      </c>
    </row>
    <row r="323">
      <c r="A323" s="22" t="inlineStr">
        <is>
          <t>08/02/2026</t>
        </is>
      </c>
      <c r="B323" s="22" t="inlineStr">
        <is>
          <t>-12767</t>
        </is>
      </c>
      <c r="C323" s="22" t="inlineStr">
        <is>
          <t>RECOUV.IMP.TOMB.ANTI     4071</t>
        </is>
      </c>
      <c r="D323" s="25" t="n">
        <v>101734.99</v>
      </c>
      <c r="E323" s="25" t="n"/>
      <c r="F323" s="25" t="n">
        <v>-14673205.2</v>
      </c>
      <c r="G323" s="12" t="inlineStr">
        <is>
          <t>2026-02</t>
        </is>
      </c>
      <c r="H323" s="12" t="inlineStr">
        <is>
          <t>Remboursement crédit / échéances</t>
        </is>
      </c>
      <c r="I323" s="12" t="inlineStr"/>
      <c r="J323" s="12" t="inlineStr">
        <is>
          <t>B26020101</t>
        </is>
      </c>
      <c r="K323" s="12" t="inlineStr">
        <is>
          <t>51900</t>
        </is>
      </c>
      <c r="L323" s="12" t="inlineStr">
        <is>
          <t>Probable</t>
        </is>
      </c>
    </row>
    <row r="324">
      <c r="A324" s="22" t="inlineStr">
        <is>
          <t>09/02/2026</t>
        </is>
      </c>
      <c r="B324" s="22" t="inlineStr">
        <is>
          <t>00370-119074</t>
        </is>
      </c>
      <c r="C324" s="22" t="inlineStr">
        <is>
          <t>PAIEMENT CHQ NUM  2125731</t>
        </is>
      </c>
      <c r="D324" s="25" t="n">
        <v>78179.2</v>
      </c>
      <c r="E324" s="25" t="n"/>
      <c r="F324" s="25" t="n">
        <v>-14751384.4</v>
      </c>
      <c r="G324" s="12" t="inlineStr">
        <is>
          <t>2026-02</t>
        </is>
      </c>
      <c r="H324" s="12" t="inlineStr">
        <is>
          <t>Fournisseurs, salaires et divers</t>
        </is>
      </c>
      <c r="I324" s="12" t="inlineStr"/>
      <c r="J324" s="12" t="inlineStr">
        <is>
          <t>B26020102</t>
        </is>
      </c>
      <c r="K324" s="12" t="inlineStr">
        <is>
          <t>47000</t>
        </is>
      </c>
      <c r="L324" s="12" t="inlineStr">
        <is>
          <t>À identifier</t>
        </is>
      </c>
    </row>
    <row r="325">
      <c r="A325" s="22" t="inlineStr">
        <is>
          <t>09/02/2026</t>
        </is>
      </c>
      <c r="B325" s="22" t="inlineStr">
        <is>
          <t>00370-119074</t>
        </is>
      </c>
      <c r="C325" s="22" t="inlineStr">
        <is>
          <t>PERCEP.COM SUR PAIEMENTS CHQ</t>
        </is>
      </c>
      <c r="D325" s="25" t="n">
        <v>59.5</v>
      </c>
      <c r="E325" s="25" t="n"/>
      <c r="F325" s="25" t="n">
        <v>-14751443.9</v>
      </c>
      <c r="G325" s="12" t="inlineStr">
        <is>
          <t>2026-02</t>
        </is>
      </c>
      <c r="H325" s="12" t="inlineStr">
        <is>
          <t>Agios, commissions et frais</t>
        </is>
      </c>
      <c r="I325" s="12" t="inlineStr"/>
      <c r="J325" s="12" t="inlineStr">
        <is>
          <t>B26020103</t>
        </is>
      </c>
      <c r="K325" s="12" t="inlineStr">
        <is>
          <t>44557, 62750</t>
        </is>
      </c>
      <c r="L325" s="12" t="inlineStr">
        <is>
          <t>Probable</t>
        </is>
      </c>
    </row>
    <row r="326">
      <c r="A326" s="22" t="inlineStr">
        <is>
          <t>10/02/2026</t>
        </is>
      </c>
      <c r="B326" s="22" t="inlineStr">
        <is>
          <t>-5873</t>
        </is>
      </c>
      <c r="C326" s="22" t="inlineStr">
        <is>
          <t>VRT. RECU EURL B.S. COMMERCE</t>
        </is>
      </c>
      <c r="D326" s="25" t="n"/>
      <c r="E326" s="25" t="n">
        <v>1747800</v>
      </c>
      <c r="F326" s="25" t="n">
        <v>-13003643.9</v>
      </c>
      <c r="G326" s="12" t="inlineStr">
        <is>
          <t>2026-02</t>
        </is>
      </c>
      <c r="H326" s="12" t="inlineStr">
        <is>
          <t>Encaissements clients</t>
        </is>
      </c>
      <c r="I326" s="12" t="inlineStr"/>
      <c r="J326" s="12" t="inlineStr">
        <is>
          <t>B26020104</t>
        </is>
      </c>
      <c r="K326" s="12" t="inlineStr">
        <is>
          <t>41100</t>
        </is>
      </c>
      <c r="L326" s="12" t="inlineStr">
        <is>
          <t>Probable</t>
        </is>
      </c>
    </row>
    <row r="327">
      <c r="A327" s="22" t="inlineStr">
        <is>
          <t>10/02/2026</t>
        </is>
      </c>
      <c r="B327" s="22" t="inlineStr">
        <is>
          <t>00370-000123</t>
        </is>
      </c>
      <c r="C327" s="22" t="inlineStr">
        <is>
          <t>COM.VRT EDI AGENCE</t>
        </is>
      </c>
      <c r="D327" s="25" t="n">
        <v>23.8</v>
      </c>
      <c r="E327" s="25" t="n"/>
      <c r="F327" s="25" t="n">
        <v>-13003667.7</v>
      </c>
      <c r="G327" s="12" t="inlineStr">
        <is>
          <t>2026-02</t>
        </is>
      </c>
      <c r="H327" s="12" t="inlineStr">
        <is>
          <t>Agios, commissions et frais</t>
        </is>
      </c>
      <c r="I327" s="12" t="inlineStr"/>
      <c r="J327" s="12" t="inlineStr">
        <is>
          <t>B26020105</t>
        </is>
      </c>
      <c r="K327" s="12" t="inlineStr">
        <is>
          <t>44557, 62750</t>
        </is>
      </c>
      <c r="L327" s="12" t="inlineStr">
        <is>
          <t>Probable</t>
        </is>
      </c>
    </row>
    <row r="328">
      <c r="A328" s="22" t="inlineStr">
        <is>
          <t>10/02/2026</t>
        </is>
      </c>
      <c r="B328" s="22" t="inlineStr">
        <is>
          <t>00370-000123</t>
        </is>
      </c>
      <c r="C328" s="22" t="inlineStr">
        <is>
          <t>VRT EDI SIMPLE AUTRE</t>
        </is>
      </c>
      <c r="D328" s="25" t="n">
        <v>116000</v>
      </c>
      <c r="E328" s="25" t="n"/>
      <c r="F328" s="25" t="n">
        <v>-13119667.7</v>
      </c>
      <c r="G328" s="12" t="inlineStr">
        <is>
          <t>2026-02</t>
        </is>
      </c>
      <c r="H328" s="12" t="inlineStr">
        <is>
          <t>Fournisseurs, salaires et divers</t>
        </is>
      </c>
      <c r="I328" s="12" t="inlineStr"/>
      <c r="J328" s="12" t="inlineStr">
        <is>
          <t>B26020106</t>
        </is>
      </c>
      <c r="K328" s="12" t="inlineStr">
        <is>
          <t>47000</t>
        </is>
      </c>
      <c r="L328" s="12" t="inlineStr">
        <is>
          <t>À identifier</t>
        </is>
      </c>
    </row>
    <row r="329">
      <c r="A329" s="22" t="inlineStr">
        <is>
          <t>10/02/2026</t>
        </is>
      </c>
      <c r="B329" s="22" t="inlineStr">
        <is>
          <t>00370-000122</t>
        </is>
      </c>
      <c r="C329" s="22" t="inlineStr">
        <is>
          <t>COM.VRT EDI AGENCE</t>
        </is>
      </c>
      <c r="D329" s="25" t="n">
        <v>23.8</v>
      </c>
      <c r="E329" s="25" t="n"/>
      <c r="F329" s="25" t="n">
        <v>-13119691.5</v>
      </c>
      <c r="G329" s="12" t="inlineStr">
        <is>
          <t>2026-02</t>
        </is>
      </c>
      <c r="H329" s="12" t="inlineStr">
        <is>
          <t>Agios, commissions et frais</t>
        </is>
      </c>
      <c r="I329" s="12" t="inlineStr"/>
      <c r="J329" s="12" t="inlineStr">
        <is>
          <t>B26020107</t>
        </is>
      </c>
      <c r="K329" s="12" t="inlineStr">
        <is>
          <t>44557, 62750</t>
        </is>
      </c>
      <c r="L329" s="12" t="inlineStr">
        <is>
          <t>Probable</t>
        </is>
      </c>
    </row>
    <row r="330">
      <c r="A330" s="22" t="inlineStr">
        <is>
          <t>10/02/2026</t>
        </is>
      </c>
      <c r="B330" s="22" t="inlineStr">
        <is>
          <t>00370-000122</t>
        </is>
      </c>
      <c r="C330" s="22" t="inlineStr">
        <is>
          <t>VRT EDI SIMPLE AUTRE</t>
        </is>
      </c>
      <c r="D330" s="25" t="n">
        <v>400000</v>
      </c>
      <c r="E330" s="25" t="n"/>
      <c r="F330" s="25" t="n">
        <v>-13519691.5</v>
      </c>
      <c r="G330" s="12" t="inlineStr">
        <is>
          <t>2026-02</t>
        </is>
      </c>
      <c r="H330" s="12" t="inlineStr">
        <is>
          <t>Fournisseurs, salaires et divers</t>
        </is>
      </c>
      <c r="I330" s="12" t="inlineStr"/>
      <c r="J330" s="12" t="inlineStr">
        <is>
          <t>B26020108</t>
        </is>
      </c>
      <c r="K330" s="12" t="inlineStr">
        <is>
          <t>40100</t>
        </is>
      </c>
      <c r="L330" s="12" t="inlineStr">
        <is>
          <t>Par analogie</t>
        </is>
      </c>
    </row>
    <row r="331">
      <c r="A331" s="22" t="inlineStr">
        <is>
          <t>10/02/2026</t>
        </is>
      </c>
      <c r="B331" s="22" t="inlineStr">
        <is>
          <t>00370-057924</t>
        </is>
      </c>
      <c r="C331" s="22" t="inlineStr">
        <is>
          <t>REMISE CHQ NUM    57924</t>
        </is>
      </c>
      <c r="D331" s="25" t="n"/>
      <c r="E331" s="25" t="n">
        <v>500000</v>
      </c>
      <c r="F331" s="25" t="n">
        <v>-13019691.5</v>
      </c>
      <c r="G331" s="12" t="inlineStr">
        <is>
          <t>2026-02</t>
        </is>
      </c>
      <c r="H331" s="12" t="inlineStr">
        <is>
          <t>Encaissements clients</t>
        </is>
      </c>
      <c r="I331" s="12" t="inlineStr"/>
      <c r="J331" s="12" t="inlineStr">
        <is>
          <t>B26020109</t>
        </is>
      </c>
      <c r="K331" s="12" t="inlineStr">
        <is>
          <t>47000</t>
        </is>
      </c>
      <c r="L331" s="12" t="inlineStr">
        <is>
          <t>À identifier</t>
        </is>
      </c>
    </row>
    <row r="332">
      <c r="A332" s="22" t="inlineStr">
        <is>
          <t>11/02/2026</t>
        </is>
      </c>
      <c r="B332" s="22" t="inlineStr">
        <is>
          <t>99000-065694</t>
        </is>
      </c>
      <c r="C332" s="22" t="inlineStr">
        <is>
          <t>SORT CHQ NUM  5162786</t>
        </is>
      </c>
      <c r="D332" s="25" t="n"/>
      <c r="E332" s="25" t="n">
        <v>2500000</v>
      </c>
      <c r="F332" s="25" t="n">
        <v>-10519691.5</v>
      </c>
      <c r="G332" s="12" t="inlineStr">
        <is>
          <t>2026-02</t>
        </is>
      </c>
      <c r="H332" s="12" t="inlineStr">
        <is>
          <t>Encaissements clients</t>
        </is>
      </c>
      <c r="I332" s="12" t="inlineStr"/>
      <c r="J332" s="12" t="inlineStr">
        <is>
          <t>B26020110</t>
        </is>
      </c>
      <c r="K332" s="12" t="inlineStr">
        <is>
          <t>41100</t>
        </is>
      </c>
      <c r="L332" s="12" t="inlineStr">
        <is>
          <t>Probable</t>
        </is>
      </c>
    </row>
    <row r="333">
      <c r="A333" s="22" t="inlineStr">
        <is>
          <t>11/02/2026</t>
        </is>
      </c>
      <c r="B333" s="22" t="inlineStr">
        <is>
          <t>99000-065694</t>
        </is>
      </c>
      <c r="C333" s="22" t="inlineStr">
        <is>
          <t>FRAIS REMISE CHQ N  5162786</t>
        </is>
      </c>
      <c r="D333" s="25" t="n">
        <v>238</v>
      </c>
      <c r="E333" s="25" t="n"/>
      <c r="F333" s="25" t="n">
        <v>-10519929.5</v>
      </c>
      <c r="G333" s="12" t="inlineStr">
        <is>
          <t>2026-02</t>
        </is>
      </c>
      <c r="H333" s="12" t="inlineStr">
        <is>
          <t>Agios, commissions et frais</t>
        </is>
      </c>
      <c r="I333" s="12" t="inlineStr"/>
      <c r="J333" s="12" t="inlineStr">
        <is>
          <t>B26020111</t>
        </is>
      </c>
      <c r="K333" s="12" t="inlineStr">
        <is>
          <t>44557, 62750</t>
        </is>
      </c>
      <c r="L333" s="12" t="inlineStr">
        <is>
          <t>Probable</t>
        </is>
      </c>
    </row>
    <row r="334">
      <c r="A334" s="22" t="inlineStr">
        <is>
          <t>12/02/2026</t>
        </is>
      </c>
      <c r="B334" s="22" t="inlineStr">
        <is>
          <t>99000-065704</t>
        </is>
      </c>
      <c r="C334" s="22" t="inlineStr">
        <is>
          <t>SORT CHQ NUM  9470728</t>
        </is>
      </c>
      <c r="D334" s="25" t="n"/>
      <c r="E334" s="25" t="n">
        <v>43332.66</v>
      </c>
      <c r="F334" s="25" t="n">
        <v>-10476596.84</v>
      </c>
      <c r="G334" s="12" t="inlineStr">
        <is>
          <t>2026-02</t>
        </is>
      </c>
      <c r="H334" s="12" t="inlineStr">
        <is>
          <t>Encaissements clients</t>
        </is>
      </c>
      <c r="I334" s="12" t="inlineStr"/>
      <c r="J334" s="12" t="inlineStr">
        <is>
          <t>B26020112</t>
        </is>
      </c>
      <c r="K334" s="12" t="inlineStr">
        <is>
          <t>47000</t>
        </is>
      </c>
      <c r="L334" s="12" t="inlineStr">
        <is>
          <t>À identifier</t>
        </is>
      </c>
    </row>
    <row r="335">
      <c r="A335" s="22" t="inlineStr">
        <is>
          <t>12/02/2026</t>
        </is>
      </c>
      <c r="B335" s="22" t="inlineStr">
        <is>
          <t>99000-065704</t>
        </is>
      </c>
      <c r="C335" s="22" t="inlineStr">
        <is>
          <t>FRAIS REMISE CHQ N  9470728</t>
        </is>
      </c>
      <c r="D335" s="25" t="n">
        <v>59.5</v>
      </c>
      <c r="E335" s="25" t="n"/>
      <c r="F335" s="25" t="n">
        <v>-10476656.34</v>
      </c>
      <c r="G335" s="12" t="inlineStr">
        <is>
          <t>2026-02</t>
        </is>
      </c>
      <c r="H335" s="12" t="inlineStr">
        <is>
          <t>Agios, commissions et frais</t>
        </is>
      </c>
      <c r="I335" s="12" t="inlineStr"/>
      <c r="J335" s="12" t="inlineStr">
        <is>
          <t>B26020113</t>
        </is>
      </c>
      <c r="K335" s="12" t="inlineStr">
        <is>
          <t>44557, 62750</t>
        </is>
      </c>
      <c r="L335" s="12" t="inlineStr">
        <is>
          <t>Probable</t>
        </is>
      </c>
    </row>
    <row r="336">
      <c r="A336" s="22" t="inlineStr">
        <is>
          <t>15/02/2026</t>
        </is>
      </c>
      <c r="B336" s="22" t="inlineStr">
        <is>
          <t>00370-119192</t>
        </is>
      </c>
      <c r="C336" s="22" t="inlineStr">
        <is>
          <t>PAIEMENT CHQ NUM  2125733</t>
        </is>
      </c>
      <c r="D336" s="25" t="n">
        <v>41762.91</v>
      </c>
      <c r="E336" s="25" t="n"/>
      <c r="F336" s="25" t="n">
        <v>-10518419.25</v>
      </c>
      <c r="G336" s="12" t="inlineStr">
        <is>
          <t>2026-02</t>
        </is>
      </c>
      <c r="H336" s="12" t="inlineStr">
        <is>
          <t>Fournisseurs, salaires et divers</t>
        </is>
      </c>
      <c r="I336" s="12" t="inlineStr"/>
      <c r="J336" s="12" t="inlineStr">
        <is>
          <t>B26020114</t>
        </is>
      </c>
      <c r="K336" s="12" t="inlineStr">
        <is>
          <t>47000</t>
        </is>
      </c>
      <c r="L336" s="12" t="inlineStr">
        <is>
          <t>À identifier</t>
        </is>
      </c>
    </row>
    <row r="337">
      <c r="A337" s="22" t="inlineStr">
        <is>
          <t>15/02/2026</t>
        </is>
      </c>
      <c r="B337" s="22" t="inlineStr">
        <is>
          <t>99000-065717</t>
        </is>
      </c>
      <c r="C337" s="22" t="inlineStr">
        <is>
          <t>SORT CHQ NUM  8148142</t>
        </is>
      </c>
      <c r="D337" s="25" t="n"/>
      <c r="E337" s="25" t="n">
        <v>1180480</v>
      </c>
      <c r="F337" s="25" t="n">
        <v>-9337939.25</v>
      </c>
      <c r="G337" s="12" t="inlineStr">
        <is>
          <t>2026-02</t>
        </is>
      </c>
      <c r="H337" s="12" t="inlineStr">
        <is>
          <t>Encaissements clients</t>
        </is>
      </c>
      <c r="I337" s="12" t="inlineStr"/>
      <c r="J337" s="12" t="inlineStr">
        <is>
          <t>B26020115</t>
        </is>
      </c>
      <c r="K337" s="12" t="inlineStr">
        <is>
          <t>41100</t>
        </is>
      </c>
      <c r="L337" s="12" t="inlineStr">
        <is>
          <t>Probable</t>
        </is>
      </c>
    </row>
    <row r="338">
      <c r="A338" s="22" t="inlineStr">
        <is>
          <t>15/02/2026</t>
        </is>
      </c>
      <c r="B338" s="22" t="inlineStr">
        <is>
          <t>99000-065718</t>
        </is>
      </c>
      <c r="C338" s="22" t="inlineStr">
        <is>
          <t>SORT CHQ NUM  8148177</t>
        </is>
      </c>
      <c r="D338" s="25" t="n"/>
      <c r="E338" s="25" t="n">
        <v>188020</v>
      </c>
      <c r="F338" s="25" t="n">
        <v>-9149919.25</v>
      </c>
      <c r="G338" s="12" t="inlineStr">
        <is>
          <t>2026-02</t>
        </is>
      </c>
      <c r="H338" s="12" t="inlineStr">
        <is>
          <t>Encaissements clients</t>
        </is>
      </c>
      <c r="I338" s="12" t="inlineStr"/>
      <c r="J338" s="12" t="inlineStr">
        <is>
          <t>B26020116</t>
        </is>
      </c>
      <c r="K338" s="12" t="inlineStr">
        <is>
          <t>41100</t>
        </is>
      </c>
      <c r="L338" s="12" t="inlineStr">
        <is>
          <t>Probable</t>
        </is>
      </c>
    </row>
    <row r="339">
      <c r="A339" s="22" t="inlineStr">
        <is>
          <t>15/02/2026</t>
        </is>
      </c>
      <c r="B339" s="22" t="inlineStr">
        <is>
          <t>99000-065719</t>
        </is>
      </c>
      <c r="C339" s="22" t="inlineStr">
        <is>
          <t>SORT CHQ NUM  8148203</t>
        </is>
      </c>
      <c r="D339" s="25" t="n"/>
      <c r="E339" s="25" t="n">
        <v>809200</v>
      </c>
      <c r="F339" s="25" t="n">
        <v>-8340719.25</v>
      </c>
      <c r="G339" s="12" t="inlineStr">
        <is>
          <t>2026-02</t>
        </is>
      </c>
      <c r="H339" s="12" t="inlineStr">
        <is>
          <t>Encaissements clients</t>
        </is>
      </c>
      <c r="I339" s="12" t="inlineStr"/>
      <c r="J339" s="12" t="inlineStr">
        <is>
          <t>B26020117</t>
        </is>
      </c>
      <c r="K339" s="12" t="inlineStr">
        <is>
          <t>41100</t>
        </is>
      </c>
      <c r="L339" s="12" t="inlineStr">
        <is>
          <t>Probable</t>
        </is>
      </c>
    </row>
    <row r="340">
      <c r="A340" s="22" t="inlineStr">
        <is>
          <t>15/02/2026</t>
        </is>
      </c>
      <c r="B340" s="22" t="inlineStr">
        <is>
          <t>99000-065720</t>
        </is>
      </c>
      <c r="C340" s="22" t="inlineStr">
        <is>
          <t>SORT CHQ NUM  8148233</t>
        </is>
      </c>
      <c r="D340" s="25" t="n"/>
      <c r="E340" s="25" t="n">
        <v>702338</v>
      </c>
      <c r="F340" s="25" t="n">
        <v>-7638381.25</v>
      </c>
      <c r="G340" s="12" t="inlineStr">
        <is>
          <t>2026-02</t>
        </is>
      </c>
      <c r="H340" s="12" t="inlineStr">
        <is>
          <t>Encaissements clients</t>
        </is>
      </c>
      <c r="I340" s="12" t="inlineStr"/>
      <c r="J340" s="12" t="inlineStr">
        <is>
          <t>B26020118</t>
        </is>
      </c>
      <c r="K340" s="12" t="inlineStr">
        <is>
          <t>47000</t>
        </is>
      </c>
      <c r="L340" s="12" t="inlineStr">
        <is>
          <t>À identifier</t>
        </is>
      </c>
    </row>
    <row r="341">
      <c r="A341" s="22" t="inlineStr">
        <is>
          <t>15/02/2026</t>
        </is>
      </c>
      <c r="B341" s="22" t="inlineStr">
        <is>
          <t>99000-065716</t>
        </is>
      </c>
      <c r="C341" s="22" t="inlineStr">
        <is>
          <t>SORT CHQ NUM  8148124</t>
        </is>
      </c>
      <c r="D341" s="25" t="n"/>
      <c r="E341" s="25" t="n">
        <v>98175</v>
      </c>
      <c r="F341" s="25" t="n">
        <v>-7540206.25</v>
      </c>
      <c r="G341" s="12" t="inlineStr">
        <is>
          <t>2026-02</t>
        </is>
      </c>
      <c r="H341" s="12" t="inlineStr">
        <is>
          <t>Encaissements clients</t>
        </is>
      </c>
      <c r="I341" s="12" t="inlineStr"/>
      <c r="J341" s="12" t="inlineStr">
        <is>
          <t>B26020119</t>
        </is>
      </c>
      <c r="K341" s="12" t="inlineStr">
        <is>
          <t>41100</t>
        </is>
      </c>
      <c r="L341" s="12" t="inlineStr">
        <is>
          <t>Probable</t>
        </is>
      </c>
    </row>
    <row r="342">
      <c r="A342" s="22" t="inlineStr">
        <is>
          <t>15/02/2026</t>
        </is>
      </c>
      <c r="B342" s="22" t="inlineStr">
        <is>
          <t>99000-065725</t>
        </is>
      </c>
      <c r="C342" s="22" t="inlineStr">
        <is>
          <t>SORT CHQ NUM  8587216</t>
        </is>
      </c>
      <c r="D342" s="25" t="n"/>
      <c r="E342" s="25" t="n">
        <v>760600</v>
      </c>
      <c r="F342" s="25" t="n">
        <v>-6779606.25</v>
      </c>
      <c r="G342" s="12" t="inlineStr">
        <is>
          <t>2026-02</t>
        </is>
      </c>
      <c r="H342" s="12" t="inlineStr">
        <is>
          <t>Encaissements clients</t>
        </is>
      </c>
      <c r="I342" s="12" t="inlineStr"/>
      <c r="J342" s="12" t="inlineStr">
        <is>
          <t>B26020120</t>
        </is>
      </c>
      <c r="K342" s="12" t="inlineStr">
        <is>
          <t>47000</t>
        </is>
      </c>
      <c r="L342" s="12" t="inlineStr">
        <is>
          <t>À identifier</t>
        </is>
      </c>
    </row>
    <row r="343">
      <c r="A343" s="22" t="inlineStr">
        <is>
          <t>15/02/2026</t>
        </is>
      </c>
      <c r="B343" s="22" t="inlineStr">
        <is>
          <t>99000-065717</t>
        </is>
      </c>
      <c r="C343" s="22" t="inlineStr">
        <is>
          <t>FRAIS REMISE CHQ N  8148142</t>
        </is>
      </c>
      <c r="D343" s="25" t="n">
        <v>119</v>
      </c>
      <c r="E343" s="25" t="n"/>
      <c r="F343" s="25" t="n">
        <v>-6779725.25</v>
      </c>
      <c r="G343" s="12" t="inlineStr">
        <is>
          <t>2026-02</t>
        </is>
      </c>
      <c r="H343" s="12" t="inlineStr">
        <is>
          <t>Agios, commissions et frais</t>
        </is>
      </c>
      <c r="I343" s="12" t="inlineStr"/>
      <c r="J343" s="12" t="inlineStr">
        <is>
          <t>B26020121</t>
        </is>
      </c>
      <c r="K343" s="12" t="inlineStr">
        <is>
          <t>44557, 62750</t>
        </is>
      </c>
      <c r="L343" s="12" t="inlineStr">
        <is>
          <t>Probable</t>
        </is>
      </c>
    </row>
    <row r="344">
      <c r="A344" s="22" t="inlineStr">
        <is>
          <t>15/02/2026</t>
        </is>
      </c>
      <c r="B344" s="22" t="inlineStr">
        <is>
          <t>99000-065718</t>
        </is>
      </c>
      <c r="C344" s="22" t="inlineStr">
        <is>
          <t>FRAIS REMISE CHQ N  8148177</t>
        </is>
      </c>
      <c r="D344" s="25" t="n">
        <v>119</v>
      </c>
      <c r="E344" s="25" t="n"/>
      <c r="F344" s="25" t="n">
        <v>-6779844.25</v>
      </c>
      <c r="G344" s="12" t="inlineStr">
        <is>
          <t>2026-02</t>
        </is>
      </c>
      <c r="H344" s="12" t="inlineStr">
        <is>
          <t>Agios, commissions et frais</t>
        </is>
      </c>
      <c r="I344" s="12" t="inlineStr"/>
      <c r="J344" s="12" t="inlineStr">
        <is>
          <t>B26020122</t>
        </is>
      </c>
      <c r="K344" s="12" t="inlineStr">
        <is>
          <t>44557, 62750</t>
        </is>
      </c>
      <c r="L344" s="12" t="inlineStr">
        <is>
          <t>Probable</t>
        </is>
      </c>
    </row>
    <row r="345">
      <c r="A345" s="22" t="inlineStr">
        <is>
          <t>15/02/2026</t>
        </is>
      </c>
      <c r="B345" s="22" t="inlineStr">
        <is>
          <t>99000-065719</t>
        </is>
      </c>
      <c r="C345" s="22" t="inlineStr">
        <is>
          <t>FRAIS REMISE CHQ N  8148203</t>
        </is>
      </c>
      <c r="D345" s="25" t="n">
        <v>119</v>
      </c>
      <c r="E345" s="25" t="n"/>
      <c r="F345" s="25" t="n">
        <v>-6779963.25</v>
      </c>
      <c r="G345" s="12" t="inlineStr">
        <is>
          <t>2026-02</t>
        </is>
      </c>
      <c r="H345" s="12" t="inlineStr">
        <is>
          <t>Agios, commissions et frais</t>
        </is>
      </c>
      <c r="I345" s="12" t="inlineStr"/>
      <c r="J345" s="12" t="inlineStr">
        <is>
          <t>B26020123</t>
        </is>
      </c>
      <c r="K345" s="12" t="inlineStr">
        <is>
          <t>44557, 62750</t>
        </is>
      </c>
      <c r="L345" s="12" t="inlineStr">
        <is>
          <t>Probable</t>
        </is>
      </c>
    </row>
    <row r="346">
      <c r="A346" s="22" t="inlineStr">
        <is>
          <t>15/02/2026</t>
        </is>
      </c>
      <c r="B346" s="22" t="inlineStr">
        <is>
          <t>99000-065720</t>
        </is>
      </c>
      <c r="C346" s="22" t="inlineStr">
        <is>
          <t>FRAIS REMISE CHQ N  8148233</t>
        </is>
      </c>
      <c r="D346" s="25" t="n">
        <v>119</v>
      </c>
      <c r="E346" s="25" t="n"/>
      <c r="F346" s="25" t="n">
        <v>-6780082.25</v>
      </c>
      <c r="G346" s="12" t="inlineStr">
        <is>
          <t>2026-02</t>
        </is>
      </c>
      <c r="H346" s="12" t="inlineStr">
        <is>
          <t>Agios, commissions et frais</t>
        </is>
      </c>
      <c r="I346" s="12" t="inlineStr"/>
      <c r="J346" s="12" t="inlineStr">
        <is>
          <t>B26020124</t>
        </is>
      </c>
      <c r="K346" s="12" t="inlineStr">
        <is>
          <t>44557, 62750</t>
        </is>
      </c>
      <c r="L346" s="12" t="inlineStr">
        <is>
          <t>Probable</t>
        </is>
      </c>
    </row>
    <row r="347">
      <c r="A347" s="22" t="inlineStr">
        <is>
          <t>15/02/2026</t>
        </is>
      </c>
      <c r="B347" s="22" t="inlineStr">
        <is>
          <t>99000-065716</t>
        </is>
      </c>
      <c r="C347" s="22" t="inlineStr">
        <is>
          <t>FRAIS REMISE CHQ N  8148124</t>
        </is>
      </c>
      <c r="D347" s="25" t="n">
        <v>119</v>
      </c>
      <c r="E347" s="25" t="n"/>
      <c r="F347" s="25" t="n">
        <v>-6780201.25</v>
      </c>
      <c r="G347" s="12" t="inlineStr">
        <is>
          <t>2026-02</t>
        </is>
      </c>
      <c r="H347" s="12" t="inlineStr">
        <is>
          <t>Agios, commissions et frais</t>
        </is>
      </c>
      <c r="I347" s="12" t="inlineStr"/>
      <c r="J347" s="12" t="inlineStr">
        <is>
          <t>B26020125</t>
        </is>
      </c>
      <c r="K347" s="12" t="inlineStr">
        <is>
          <t>44557, 62750</t>
        </is>
      </c>
      <c r="L347" s="12" t="inlineStr">
        <is>
          <t>Probable</t>
        </is>
      </c>
    </row>
    <row r="348">
      <c r="A348" s="22" t="inlineStr">
        <is>
          <t>15/02/2026</t>
        </is>
      </c>
      <c r="B348" s="22" t="inlineStr">
        <is>
          <t>99000-065725</t>
        </is>
      </c>
      <c r="C348" s="22" t="inlineStr">
        <is>
          <t>FRAIS REMISE CHQ N  8587216</t>
        </is>
      </c>
      <c r="D348" s="25" t="n">
        <v>119</v>
      </c>
      <c r="E348" s="25" t="n"/>
      <c r="F348" s="25" t="n">
        <v>-6780320.25</v>
      </c>
      <c r="G348" s="12" t="inlineStr">
        <is>
          <t>2026-02</t>
        </is>
      </c>
      <c r="H348" s="12" t="inlineStr">
        <is>
          <t>Agios, commissions et frais</t>
        </is>
      </c>
      <c r="I348" s="12" t="inlineStr"/>
      <c r="J348" s="12" t="inlineStr">
        <is>
          <t>B26020126</t>
        </is>
      </c>
      <c r="K348" s="12" t="inlineStr">
        <is>
          <t>44557, 62750</t>
        </is>
      </c>
      <c r="L348" s="12" t="inlineStr">
        <is>
          <t>Probable</t>
        </is>
      </c>
    </row>
    <row r="349">
      <c r="A349" s="22" t="inlineStr">
        <is>
          <t>15/02/2026</t>
        </is>
      </c>
      <c r="B349" s="22" t="inlineStr">
        <is>
          <t>00370-000206</t>
        </is>
      </c>
      <c r="C349" s="22" t="inlineStr">
        <is>
          <t>ACCEPTA RE00370 PTI00064656</t>
        </is>
      </c>
      <c r="D349" s="25" t="n">
        <v>4165</v>
      </c>
      <c r="E349" s="25" t="n"/>
      <c r="F349" s="25" t="n">
        <v>-6784485.25</v>
      </c>
      <c r="G349" s="12" t="inlineStr">
        <is>
          <t>2026-02</t>
        </is>
      </c>
      <c r="H349" s="12" t="inlineStr">
        <is>
          <t>Importations (règlements, provisions, crédoc)</t>
        </is>
      </c>
      <c r="I349" s="12" t="inlineStr"/>
      <c r="J349" s="12" t="inlineStr">
        <is>
          <t>B26020127</t>
        </is>
      </c>
      <c r="K349" s="12" t="inlineStr">
        <is>
          <t>44557, 62750</t>
        </is>
      </c>
      <c r="L349" s="12" t="inlineStr">
        <is>
          <t>Probable</t>
        </is>
      </c>
    </row>
    <row r="350">
      <c r="A350" s="22" t="inlineStr">
        <is>
          <t>17/02/2026</t>
        </is>
      </c>
      <c r="B350" s="22" t="inlineStr">
        <is>
          <t>00370-006181</t>
        </is>
      </c>
      <c r="C350" s="22" t="inlineStr">
        <is>
          <t>FRAIS VRT.</t>
        </is>
      </c>
      <c r="D350" s="25" t="n">
        <v>119</v>
      </c>
      <c r="E350" s="25" t="n"/>
      <c r="F350" s="25" t="n">
        <v>-6784604.25</v>
      </c>
      <c r="G350" s="12" t="inlineStr">
        <is>
          <t>2026-02</t>
        </is>
      </c>
      <c r="H350" s="12" t="inlineStr">
        <is>
          <t>Agios, commissions et frais</t>
        </is>
      </c>
      <c r="I350" s="12" t="inlineStr"/>
      <c r="J350" s="12" t="inlineStr">
        <is>
          <t>B26020128</t>
        </is>
      </c>
      <c r="K350" s="12" t="inlineStr">
        <is>
          <t>44557, 62750</t>
        </is>
      </c>
      <c r="L350" s="12" t="inlineStr">
        <is>
          <t>Probable</t>
        </is>
      </c>
    </row>
    <row r="351">
      <c r="A351" s="22" t="inlineStr">
        <is>
          <t>17/02/2026</t>
        </is>
      </c>
      <c r="B351" s="22" t="inlineStr">
        <is>
          <t>00370-006181</t>
        </is>
      </c>
      <c r="C351" s="22" t="inlineStr">
        <is>
          <t>VRT. ORD. KAHOUADJI NOUREDDINE</t>
        </is>
      </c>
      <c r="D351" s="25" t="n">
        <v>37650.94</v>
      </c>
      <c r="E351" s="25" t="n"/>
      <c r="F351" s="25" t="n">
        <v>-6822255.19</v>
      </c>
      <c r="G351" s="12" t="inlineStr">
        <is>
          <t>2026-02</t>
        </is>
      </c>
      <c r="H351" s="12" t="inlineStr">
        <is>
          <t>Fournisseurs, salaires et divers</t>
        </is>
      </c>
      <c r="I351" s="12" t="inlineStr"/>
      <c r="J351" s="12" t="inlineStr">
        <is>
          <t>B26020129</t>
        </is>
      </c>
      <c r="K351" s="12" t="inlineStr">
        <is>
          <t>42100</t>
        </is>
      </c>
      <c r="L351" s="12" t="inlineStr">
        <is>
          <t>Probable</t>
        </is>
      </c>
    </row>
    <row r="352">
      <c r="A352" s="22" t="inlineStr">
        <is>
          <t>17/02/2026</t>
        </is>
      </c>
      <c r="B352" s="22" t="inlineStr">
        <is>
          <t>00370-000554</t>
        </is>
      </c>
      <c r="C352" s="22" t="inlineStr">
        <is>
          <t>VRT EDI AUTRES BQUES</t>
        </is>
      </c>
      <c r="D352" s="25" t="n">
        <v>551974.6800000001</v>
      </c>
      <c r="E352" s="25" t="n"/>
      <c r="F352" s="25" t="n">
        <v>-7374229.87</v>
      </c>
      <c r="G352" s="12" t="inlineStr">
        <is>
          <t>2026-02</t>
        </is>
      </c>
      <c r="H352" s="12" t="inlineStr">
        <is>
          <t>Fournisseurs, salaires et divers</t>
        </is>
      </c>
      <c r="I352" s="12" t="inlineStr"/>
      <c r="J352" s="12" t="inlineStr">
        <is>
          <t>B26020130</t>
        </is>
      </c>
      <c r="K352" s="12" t="inlineStr">
        <is>
          <t>47000</t>
        </is>
      </c>
      <c r="L352" s="12" t="inlineStr">
        <is>
          <t>À identifier</t>
        </is>
      </c>
    </row>
    <row r="353">
      <c r="A353" s="22" t="inlineStr">
        <is>
          <t>17/02/2026</t>
        </is>
      </c>
      <c r="B353" s="22" t="inlineStr">
        <is>
          <t>00370-000554</t>
        </is>
      </c>
      <c r="C353" s="22" t="inlineStr">
        <is>
          <t>COM.VRT EDI BQUE</t>
        </is>
      </c>
      <c r="D353" s="25" t="n">
        <v>190.4</v>
      </c>
      <c r="E353" s="25" t="n"/>
      <c r="F353" s="25" t="n">
        <v>-7374420.27</v>
      </c>
      <c r="G353" s="12" t="inlineStr">
        <is>
          <t>2026-02</t>
        </is>
      </c>
      <c r="H353" s="12" t="inlineStr">
        <is>
          <t>Agios, commissions et frais</t>
        </is>
      </c>
      <c r="I353" s="12" t="inlineStr"/>
      <c r="J353" s="12" t="inlineStr">
        <is>
          <t>B26020131</t>
        </is>
      </c>
      <c r="K353" s="12" t="inlineStr">
        <is>
          <t>44557, 62750</t>
        </is>
      </c>
      <c r="L353" s="12" t="inlineStr">
        <is>
          <t>Probable</t>
        </is>
      </c>
    </row>
    <row r="354">
      <c r="A354" s="22" t="inlineStr">
        <is>
          <t>17/02/2026</t>
        </is>
      </c>
      <c r="B354" s="22" t="inlineStr">
        <is>
          <t>99000-065752</t>
        </is>
      </c>
      <c r="C354" s="22" t="inlineStr">
        <is>
          <t>SORT CHQ NUM  7967199</t>
        </is>
      </c>
      <c r="D354" s="25" t="n"/>
      <c r="E354" s="25" t="n">
        <v>1500000</v>
      </c>
      <c r="F354" s="25" t="n">
        <v>-5874420.27</v>
      </c>
      <c r="G354" s="12" t="inlineStr">
        <is>
          <t>2026-02</t>
        </is>
      </c>
      <c r="H354" s="12" t="inlineStr">
        <is>
          <t>Encaissements clients</t>
        </is>
      </c>
      <c r="I354" s="12" t="inlineStr"/>
      <c r="J354" s="12" t="inlineStr">
        <is>
          <t>B26020132</t>
        </is>
      </c>
      <c r="K354" s="12" t="inlineStr">
        <is>
          <t>41100</t>
        </is>
      </c>
      <c r="L354" s="12" t="inlineStr">
        <is>
          <t>Probable</t>
        </is>
      </c>
    </row>
    <row r="355">
      <c r="A355" s="22" t="inlineStr">
        <is>
          <t>17/02/2026</t>
        </is>
      </c>
      <c r="B355" s="22" t="inlineStr">
        <is>
          <t>99000-065752</t>
        </is>
      </c>
      <c r="C355" s="22" t="inlineStr">
        <is>
          <t>FRAIS REMISE CHQ N  7967199</t>
        </is>
      </c>
      <c r="D355" s="25" t="n">
        <v>238</v>
      </c>
      <c r="E355" s="25" t="n"/>
      <c r="F355" s="25" t="n">
        <v>-5874658.27</v>
      </c>
      <c r="G355" s="12" t="inlineStr">
        <is>
          <t>2026-02</t>
        </is>
      </c>
      <c r="H355" s="12" t="inlineStr">
        <is>
          <t>Agios, commissions et frais</t>
        </is>
      </c>
      <c r="I355" s="12" t="inlineStr"/>
      <c r="J355" s="12" t="inlineStr">
        <is>
          <t>B26020133</t>
        </is>
      </c>
      <c r="K355" s="12" t="inlineStr">
        <is>
          <t>44557, 62750</t>
        </is>
      </c>
      <c r="L355" s="12" t="inlineStr">
        <is>
          <t>Probable</t>
        </is>
      </c>
    </row>
    <row r="356">
      <c r="A356" s="22" t="inlineStr">
        <is>
          <t>18/02/2026</t>
        </is>
      </c>
      <c r="B356" s="22" t="inlineStr">
        <is>
          <t>00370-018825</t>
        </is>
      </c>
      <c r="C356" s="22" t="inlineStr">
        <is>
          <t>FRAIS CHQ BQE NUM  4288181</t>
        </is>
      </c>
      <c r="D356" s="25" t="n">
        <v>952</v>
      </c>
      <c r="E356" s="25" t="n"/>
      <c r="F356" s="25" t="n">
        <v>-5875610.27</v>
      </c>
      <c r="G356" s="12" t="inlineStr">
        <is>
          <t>2026-02</t>
        </is>
      </c>
      <c r="H356" s="12" t="inlineStr">
        <is>
          <t>Agios, commissions et frais</t>
        </is>
      </c>
      <c r="I356" s="12" t="inlineStr"/>
      <c r="J356" s="12" t="inlineStr">
        <is>
          <t>B26020134</t>
        </is>
      </c>
      <c r="K356" s="12" t="inlineStr">
        <is>
          <t>44557, 62750</t>
        </is>
      </c>
      <c r="L356" s="12" t="inlineStr">
        <is>
          <t>Probable</t>
        </is>
      </c>
    </row>
    <row r="357">
      <c r="A357" s="22" t="inlineStr">
        <is>
          <t>18/02/2026</t>
        </is>
      </c>
      <c r="B357" s="22" t="inlineStr">
        <is>
          <t>00370-018825</t>
        </is>
      </c>
      <c r="C357" s="22" t="inlineStr">
        <is>
          <t>CHQ BANQUE NUM  4288181</t>
        </is>
      </c>
      <c r="D357" s="25" t="n">
        <v>2177395</v>
      </c>
      <c r="E357" s="25" t="n"/>
      <c r="F357" s="25" t="n">
        <v>-8053005.27</v>
      </c>
      <c r="G357" s="12" t="inlineStr">
        <is>
          <t>2026-02</t>
        </is>
      </c>
      <c r="H357" s="12" t="inlineStr">
        <is>
          <t>Chèques de banque (douane / autres)</t>
        </is>
      </c>
      <c r="I357" s="12" t="inlineStr"/>
      <c r="J357" s="12" t="inlineStr">
        <is>
          <t>B26020135</t>
        </is>
      </c>
      <c r="K357" s="12" t="inlineStr">
        <is>
          <t>40100</t>
        </is>
      </c>
      <c r="L357" s="12" t="inlineStr">
        <is>
          <t>Probable</t>
        </is>
      </c>
    </row>
    <row r="358">
      <c r="A358" s="22" t="inlineStr">
        <is>
          <t>18/02/2026</t>
        </is>
      </c>
      <c r="B358" s="22" t="inlineStr">
        <is>
          <t>00370-119284</t>
        </is>
      </c>
      <c r="C358" s="22" t="inlineStr">
        <is>
          <t>PAIEMENT CHQ NUM  2125729</t>
        </is>
      </c>
      <c r="D358" s="25" t="n">
        <v>377503.7</v>
      </c>
      <c r="E358" s="25" t="n"/>
      <c r="F358" s="25" t="n">
        <v>-8430508.970000001</v>
      </c>
      <c r="G358" s="12" t="inlineStr">
        <is>
          <t>2026-02</t>
        </is>
      </c>
      <c r="H358" s="12" t="inlineStr">
        <is>
          <t>Fournisseurs, salaires et divers</t>
        </is>
      </c>
      <c r="I358" s="12" t="inlineStr"/>
      <c r="J358" s="12" t="inlineStr">
        <is>
          <t>B26020136</t>
        </is>
      </c>
      <c r="K358" s="12" t="inlineStr">
        <is>
          <t>47000</t>
        </is>
      </c>
      <c r="L358" s="12" t="inlineStr">
        <is>
          <t>À identifier</t>
        </is>
      </c>
    </row>
    <row r="359">
      <c r="A359" s="22" t="inlineStr">
        <is>
          <t>18/02/2026</t>
        </is>
      </c>
      <c r="B359" s="22" t="inlineStr">
        <is>
          <t>00370-119284</t>
        </is>
      </c>
      <c r="C359" s="22" t="inlineStr">
        <is>
          <t>PERCEP.COM SUR PAIEMENTS CHQ</t>
        </is>
      </c>
      <c r="D359" s="25" t="n">
        <v>59.5</v>
      </c>
      <c r="E359" s="25" t="n"/>
      <c r="F359" s="25" t="n">
        <v>-8430568.470000001</v>
      </c>
      <c r="G359" s="12" t="inlineStr">
        <is>
          <t>2026-02</t>
        </is>
      </c>
      <c r="H359" s="12" t="inlineStr">
        <is>
          <t>Agios, commissions et frais</t>
        </is>
      </c>
      <c r="I359" s="12" t="inlineStr"/>
      <c r="J359" s="12" t="inlineStr">
        <is>
          <t>B26020137</t>
        </is>
      </c>
      <c r="K359" s="12" t="inlineStr">
        <is>
          <t>44557, 62750</t>
        </is>
      </c>
      <c r="L359" s="12" t="inlineStr">
        <is>
          <t>Probable</t>
        </is>
      </c>
    </row>
    <row r="360">
      <c r="A360" s="22" t="inlineStr">
        <is>
          <t>22/02/2026</t>
        </is>
      </c>
      <c r="B360" s="22" t="inlineStr">
        <is>
          <t>00370-012814</t>
        </is>
      </c>
      <c r="C360" s="22" t="inlineStr">
        <is>
          <t>FRAIS VRT.</t>
        </is>
      </c>
      <c r="D360" s="25" t="n">
        <v>59.5</v>
      </c>
      <c r="E360" s="25" t="n"/>
      <c r="F360" s="25" t="n">
        <v>-8430627.970000001</v>
      </c>
      <c r="G360" s="12" t="inlineStr">
        <is>
          <t>2026-02</t>
        </is>
      </c>
      <c r="H360" s="12" t="inlineStr">
        <is>
          <t>Agios, commissions et frais</t>
        </is>
      </c>
      <c r="I360" s="12" t="inlineStr"/>
      <c r="J360" s="12" t="inlineStr">
        <is>
          <t>B26020138</t>
        </is>
      </c>
      <c r="K360" s="12" t="inlineStr">
        <is>
          <t>44557, 62750</t>
        </is>
      </c>
      <c r="L360" s="12" t="inlineStr">
        <is>
          <t>Probable</t>
        </is>
      </c>
    </row>
    <row r="361">
      <c r="A361" s="22" t="inlineStr">
        <is>
          <t>22/02/2026</t>
        </is>
      </c>
      <c r="B361" s="22" t="inlineStr">
        <is>
          <t>00370-012814</t>
        </is>
      </c>
      <c r="C361" s="22" t="inlineStr">
        <is>
          <t>VRT. ORD. SARL DPR AXXAM</t>
        </is>
      </c>
      <c r="D361" s="25" t="n">
        <v>10000000</v>
      </c>
      <c r="E361" s="25" t="n"/>
      <c r="F361" s="25" t="n">
        <v>-18430627.97</v>
      </c>
      <c r="G361" s="12" t="inlineStr">
        <is>
          <t>2026-02</t>
        </is>
      </c>
      <c r="H361" s="12" t="inlineStr">
        <is>
          <t>DPR AXXAM (partie liée)</t>
        </is>
      </c>
      <c r="I361" s="12" t="inlineStr"/>
      <c r="J361" s="12" t="inlineStr">
        <is>
          <t>B26020139</t>
        </is>
      </c>
      <c r="K361" s="12" t="inlineStr">
        <is>
          <t>40900</t>
        </is>
      </c>
      <c r="L361" s="12" t="inlineStr">
        <is>
          <t>À justifier</t>
        </is>
      </c>
    </row>
    <row r="362">
      <c r="A362" s="22" t="inlineStr">
        <is>
          <t>22/02/2026</t>
        </is>
      </c>
      <c r="B362" s="22" t="inlineStr">
        <is>
          <t>99000-065774</t>
        </is>
      </c>
      <c r="C362" s="22" t="inlineStr">
        <is>
          <t>SORT CHQ NUM  6904114</t>
        </is>
      </c>
      <c r="D362" s="25" t="n"/>
      <c r="E362" s="25" t="n">
        <v>710400</v>
      </c>
      <c r="F362" s="25" t="n">
        <v>-17720227.97</v>
      </c>
      <c r="G362" s="12" t="inlineStr">
        <is>
          <t>2026-02</t>
        </is>
      </c>
      <c r="H362" s="12" t="inlineStr">
        <is>
          <t>Encaissements clients</t>
        </is>
      </c>
      <c r="I362" s="12" t="inlineStr"/>
      <c r="J362" s="12" t="inlineStr">
        <is>
          <t>B26020140</t>
        </is>
      </c>
      <c r="K362" s="12" t="inlineStr">
        <is>
          <t>47000</t>
        </is>
      </c>
      <c r="L362" s="12" t="inlineStr">
        <is>
          <t>À identifier</t>
        </is>
      </c>
    </row>
    <row r="363">
      <c r="A363" s="22" t="inlineStr">
        <is>
          <t>22/02/2026</t>
        </is>
      </c>
      <c r="B363" s="22" t="inlineStr">
        <is>
          <t>99000-065778</t>
        </is>
      </c>
      <c r="C363" s="22" t="inlineStr">
        <is>
          <t>SORT CHQ NUM  2357557</t>
        </is>
      </c>
      <c r="D363" s="25" t="n"/>
      <c r="E363" s="25" t="n">
        <v>51616.85</v>
      </c>
      <c r="F363" s="25" t="n">
        <v>-17668611.12</v>
      </c>
      <c r="G363" s="12" t="inlineStr">
        <is>
          <t>2026-02</t>
        </is>
      </c>
      <c r="H363" s="12" t="inlineStr">
        <is>
          <t>Encaissements clients</t>
        </is>
      </c>
      <c r="I363" s="12" t="inlineStr"/>
      <c r="J363" s="12" t="inlineStr">
        <is>
          <t>B26020141</t>
        </is>
      </c>
      <c r="K363" s="12" t="inlineStr">
        <is>
          <t>47000</t>
        </is>
      </c>
      <c r="L363" s="12" t="inlineStr">
        <is>
          <t>À identifier</t>
        </is>
      </c>
    </row>
    <row r="364">
      <c r="A364" s="22" t="inlineStr">
        <is>
          <t>22/02/2026</t>
        </is>
      </c>
      <c r="B364" s="22" t="inlineStr">
        <is>
          <t>99000-065786</t>
        </is>
      </c>
      <c r="C364" s="22" t="inlineStr">
        <is>
          <t>SORT CHQ NUM  4752303</t>
        </is>
      </c>
      <c r="D364" s="25" t="n"/>
      <c r="E364" s="25" t="n">
        <v>342720</v>
      </c>
      <c r="F364" s="25" t="n">
        <v>-17325891.12</v>
      </c>
      <c r="G364" s="12" t="inlineStr">
        <is>
          <t>2026-02</t>
        </is>
      </c>
      <c r="H364" s="12" t="inlineStr">
        <is>
          <t>Encaissements clients</t>
        </is>
      </c>
      <c r="I364" s="12" t="inlineStr"/>
      <c r="J364" s="12" t="inlineStr">
        <is>
          <t>B26020142</t>
        </is>
      </c>
      <c r="K364" s="12" t="inlineStr">
        <is>
          <t>47000</t>
        </is>
      </c>
      <c r="L364" s="12" t="inlineStr">
        <is>
          <t>À identifier</t>
        </is>
      </c>
    </row>
    <row r="365">
      <c r="A365" s="22" t="inlineStr">
        <is>
          <t>22/02/2026</t>
        </is>
      </c>
      <c r="B365" s="22" t="inlineStr">
        <is>
          <t>99000-065788</t>
        </is>
      </c>
      <c r="C365" s="22" t="inlineStr">
        <is>
          <t>SORT CHQ NUM  6683308</t>
        </is>
      </c>
      <c r="D365" s="25" t="n"/>
      <c r="E365" s="25" t="n">
        <v>3722600</v>
      </c>
      <c r="F365" s="25" t="n">
        <v>-13603291.12</v>
      </c>
      <c r="G365" s="12" t="inlineStr">
        <is>
          <t>2026-02</t>
        </is>
      </c>
      <c r="H365" s="12" t="inlineStr">
        <is>
          <t>Encaissements clients</t>
        </is>
      </c>
      <c r="I365" s="12" t="inlineStr"/>
      <c r="J365" s="12" t="inlineStr">
        <is>
          <t>B26020143</t>
        </is>
      </c>
      <c r="K365" s="12" t="inlineStr">
        <is>
          <t>47000</t>
        </is>
      </c>
      <c r="L365" s="12" t="inlineStr">
        <is>
          <t>À identifier</t>
        </is>
      </c>
    </row>
    <row r="366">
      <c r="A366" s="22" t="inlineStr">
        <is>
          <t>22/02/2026</t>
        </is>
      </c>
      <c r="B366" s="22" t="inlineStr">
        <is>
          <t>99000-065774</t>
        </is>
      </c>
      <c r="C366" s="22" t="inlineStr">
        <is>
          <t>FRAIS REMISE CHQ N  6904114</t>
        </is>
      </c>
      <c r="D366" s="25" t="n">
        <v>119</v>
      </c>
      <c r="E366" s="25" t="n"/>
      <c r="F366" s="25" t="n">
        <v>-13603410.12</v>
      </c>
      <c r="G366" s="12" t="inlineStr">
        <is>
          <t>2026-02</t>
        </is>
      </c>
      <c r="H366" s="12" t="inlineStr">
        <is>
          <t>Agios, commissions et frais</t>
        </is>
      </c>
      <c r="I366" s="12" t="inlineStr"/>
      <c r="J366" s="12" t="inlineStr">
        <is>
          <t>B26020144</t>
        </is>
      </c>
      <c r="K366" s="12" t="inlineStr">
        <is>
          <t>44557, 62750</t>
        </is>
      </c>
      <c r="L366" s="12" t="inlineStr">
        <is>
          <t>Probable</t>
        </is>
      </c>
    </row>
    <row r="367">
      <c r="A367" s="22" t="inlineStr">
        <is>
          <t>22/02/2026</t>
        </is>
      </c>
      <c r="B367" s="22" t="inlineStr">
        <is>
          <t>99000-065778</t>
        </is>
      </c>
      <c r="C367" s="22" t="inlineStr">
        <is>
          <t>FRAIS REMISE CHQ N  2357557</t>
        </is>
      </c>
      <c r="D367" s="25" t="n">
        <v>61.43</v>
      </c>
      <c r="E367" s="25" t="n"/>
      <c r="F367" s="25" t="n">
        <v>-13603471.55</v>
      </c>
      <c r="G367" s="12" t="inlineStr">
        <is>
          <t>2026-02</t>
        </is>
      </c>
      <c r="H367" s="12" t="inlineStr">
        <is>
          <t>Agios, commissions et frais</t>
        </is>
      </c>
      <c r="I367" s="12" t="inlineStr"/>
      <c r="J367" s="12" t="inlineStr">
        <is>
          <t>B26020145</t>
        </is>
      </c>
      <c r="K367" s="12" t="inlineStr">
        <is>
          <t>44557, 62750</t>
        </is>
      </c>
      <c r="L367" s="12" t="inlineStr">
        <is>
          <t>Probable</t>
        </is>
      </c>
    </row>
    <row r="368">
      <c r="A368" s="22" t="inlineStr">
        <is>
          <t>22/02/2026</t>
        </is>
      </c>
      <c r="B368" s="22" t="inlineStr">
        <is>
          <t>99000-065786</t>
        </is>
      </c>
      <c r="C368" s="22" t="inlineStr">
        <is>
          <t>FRAIS REMISE CHQ N  4752303</t>
        </is>
      </c>
      <c r="D368" s="25" t="n">
        <v>238</v>
      </c>
      <c r="E368" s="25" t="n"/>
      <c r="F368" s="25" t="n">
        <v>-13603709.55</v>
      </c>
      <c r="G368" s="12" t="inlineStr">
        <is>
          <t>2026-02</t>
        </is>
      </c>
      <c r="H368" s="12" t="inlineStr">
        <is>
          <t>Agios, commissions et frais</t>
        </is>
      </c>
      <c r="I368" s="12" t="inlineStr"/>
      <c r="J368" s="12" t="inlineStr">
        <is>
          <t>B26020146</t>
        </is>
      </c>
      <c r="K368" s="12" t="inlineStr">
        <is>
          <t>44557, 62750</t>
        </is>
      </c>
      <c r="L368" s="12" t="inlineStr">
        <is>
          <t>Probable</t>
        </is>
      </c>
    </row>
    <row r="369">
      <c r="A369" s="22" t="inlineStr">
        <is>
          <t>22/02/2026</t>
        </is>
      </c>
      <c r="B369" s="22" t="inlineStr">
        <is>
          <t>99000-065788</t>
        </is>
      </c>
      <c r="C369" s="22" t="inlineStr">
        <is>
          <t>FRAIS REMISE CHQ N  6683308</t>
        </is>
      </c>
      <c r="D369" s="25" t="n">
        <v>238</v>
      </c>
      <c r="E369" s="25" t="n"/>
      <c r="F369" s="25" t="n">
        <v>-13603947.55</v>
      </c>
      <c r="G369" s="12" t="inlineStr">
        <is>
          <t>2026-02</t>
        </is>
      </c>
      <c r="H369" s="12" t="inlineStr">
        <is>
          <t>Agios, commissions et frais</t>
        </is>
      </c>
      <c r="I369" s="12" t="inlineStr"/>
      <c r="J369" s="12" t="inlineStr">
        <is>
          <t>B26020147</t>
        </is>
      </c>
      <c r="K369" s="12" t="inlineStr">
        <is>
          <t>44557, 62750</t>
        </is>
      </c>
      <c r="L369" s="12" t="inlineStr">
        <is>
          <t>Probable</t>
        </is>
      </c>
    </row>
    <row r="370">
      <c r="A370" s="22" t="inlineStr">
        <is>
          <t>23/02/2026</t>
        </is>
      </c>
      <c r="B370" s="22" t="inlineStr">
        <is>
          <t>99000-065805</t>
        </is>
      </c>
      <c r="C370" s="22" t="inlineStr">
        <is>
          <t>SORT CHQ NUM  4827169</t>
        </is>
      </c>
      <c r="D370" s="25" t="n"/>
      <c r="E370" s="25" t="n">
        <v>1062455</v>
      </c>
      <c r="F370" s="25" t="n">
        <v>-12541492.55</v>
      </c>
      <c r="G370" s="12" t="inlineStr">
        <is>
          <t>2026-02</t>
        </is>
      </c>
      <c r="H370" s="12" t="inlineStr">
        <is>
          <t>Encaissements clients</t>
        </is>
      </c>
      <c r="I370" s="12" t="inlineStr"/>
      <c r="J370" s="12" t="inlineStr">
        <is>
          <t>B26020148</t>
        </is>
      </c>
      <c r="K370" s="12" t="inlineStr">
        <is>
          <t>47000</t>
        </is>
      </c>
      <c r="L370" s="12" t="inlineStr">
        <is>
          <t>À identifier</t>
        </is>
      </c>
    </row>
    <row r="371">
      <c r="A371" s="22" t="inlineStr">
        <is>
          <t>23/02/2026</t>
        </is>
      </c>
      <c r="B371" s="22" t="inlineStr">
        <is>
          <t>99000-065805</t>
        </is>
      </c>
      <c r="C371" s="22" t="inlineStr">
        <is>
          <t>FRAIS REMISE CHQ N  4827169</t>
        </is>
      </c>
      <c r="D371" s="25" t="n">
        <v>238</v>
      </c>
      <c r="E371" s="25" t="n"/>
      <c r="F371" s="25" t="n">
        <v>-12541730.55</v>
      </c>
      <c r="G371" s="12" t="inlineStr">
        <is>
          <t>2026-02</t>
        </is>
      </c>
      <c r="H371" s="12" t="inlineStr">
        <is>
          <t>Agios, commissions et frais</t>
        </is>
      </c>
      <c r="I371" s="12" t="inlineStr"/>
      <c r="J371" s="12" t="inlineStr">
        <is>
          <t>B26020149</t>
        </is>
      </c>
      <c r="K371" s="12" t="inlineStr">
        <is>
          <t>44557, 62750</t>
        </is>
      </c>
      <c r="L371" s="12" t="inlineStr">
        <is>
          <t>Probable</t>
        </is>
      </c>
    </row>
    <row r="372">
      <c r="A372" s="22" t="inlineStr">
        <is>
          <t>24/02/2026</t>
        </is>
      </c>
      <c r="B372" s="22" t="inlineStr">
        <is>
          <t>99000-065814</t>
        </is>
      </c>
      <c r="C372" s="22" t="inlineStr">
        <is>
          <t>SORT CHQ NUM  7107676</t>
        </is>
      </c>
      <c r="D372" s="25" t="n"/>
      <c r="E372" s="25" t="n">
        <v>300000</v>
      </c>
      <c r="F372" s="25" t="n">
        <v>-12241730.55</v>
      </c>
      <c r="G372" s="12" t="inlineStr">
        <is>
          <t>2026-02</t>
        </is>
      </c>
      <c r="H372" s="12" t="inlineStr">
        <is>
          <t>Encaissements clients</t>
        </is>
      </c>
      <c r="I372" s="12" t="inlineStr"/>
      <c r="J372" s="12" t="inlineStr">
        <is>
          <t>B26020150</t>
        </is>
      </c>
      <c r="K372" s="12" t="inlineStr">
        <is>
          <t>41100</t>
        </is>
      </c>
      <c r="L372" s="12" t="inlineStr">
        <is>
          <t>Probable</t>
        </is>
      </c>
    </row>
    <row r="373">
      <c r="A373" s="22" t="inlineStr">
        <is>
          <t>24/02/2026</t>
        </is>
      </c>
      <c r="B373" s="22" t="inlineStr">
        <is>
          <t>99000-065814</t>
        </is>
      </c>
      <c r="C373" s="22" t="inlineStr">
        <is>
          <t>FRAIS REMISE CHQ N  7107676</t>
        </is>
      </c>
      <c r="D373" s="25" t="n">
        <v>119</v>
      </c>
      <c r="E373" s="25" t="n"/>
      <c r="F373" s="25" t="n">
        <v>-12241849.55</v>
      </c>
      <c r="G373" s="12" t="inlineStr">
        <is>
          <t>2026-02</t>
        </is>
      </c>
      <c r="H373" s="12" t="inlineStr">
        <is>
          <t>Agios, commissions et frais</t>
        </is>
      </c>
      <c r="I373" s="12" t="inlineStr"/>
      <c r="J373" s="12" t="inlineStr">
        <is>
          <t>B26020151</t>
        </is>
      </c>
      <c r="K373" s="12" t="inlineStr">
        <is>
          <t>44557, 62750</t>
        </is>
      </c>
      <c r="L373" s="12" t="inlineStr">
        <is>
          <t>Probable</t>
        </is>
      </c>
    </row>
    <row r="374">
      <c r="A374" s="22" t="inlineStr">
        <is>
          <t>25/02/2026</t>
        </is>
      </c>
      <c r="B374" s="22" t="inlineStr">
        <is>
          <t>99000-065844</t>
        </is>
      </c>
      <c r="C374" s="22" t="inlineStr">
        <is>
          <t>SORT CHQ NUM  2545462</t>
        </is>
      </c>
      <c r="D374" s="25" t="n"/>
      <c r="E374" s="25" t="n">
        <v>1150000</v>
      </c>
      <c r="F374" s="25" t="n">
        <v>-11091849.55</v>
      </c>
      <c r="G374" s="12" t="inlineStr">
        <is>
          <t>2026-02</t>
        </is>
      </c>
      <c r="H374" s="12" t="inlineStr">
        <is>
          <t>Encaissements clients</t>
        </is>
      </c>
      <c r="I374" s="12" t="inlineStr"/>
      <c r="J374" s="12" t="inlineStr">
        <is>
          <t>B26020152</t>
        </is>
      </c>
      <c r="K374" s="12" t="inlineStr">
        <is>
          <t>47000</t>
        </is>
      </c>
      <c r="L374" s="12" t="inlineStr">
        <is>
          <t>À identifier</t>
        </is>
      </c>
    </row>
    <row r="375">
      <c r="A375" s="22" t="inlineStr">
        <is>
          <t>25/02/2026</t>
        </is>
      </c>
      <c r="B375" s="22" t="inlineStr">
        <is>
          <t>99000-065844</t>
        </is>
      </c>
      <c r="C375" s="22" t="inlineStr">
        <is>
          <t>FRAIS REMISE CHQ N  2545462</t>
        </is>
      </c>
      <c r="D375" s="25" t="n">
        <v>238</v>
      </c>
      <c r="E375" s="25" t="n"/>
      <c r="F375" s="25" t="n">
        <v>-11092087.55</v>
      </c>
      <c r="G375" s="12" t="inlineStr">
        <is>
          <t>2026-02</t>
        </is>
      </c>
      <c r="H375" s="12" t="inlineStr">
        <is>
          <t>Agios, commissions et frais</t>
        </is>
      </c>
      <c r="I375" s="12" t="inlineStr"/>
      <c r="J375" s="12" t="inlineStr">
        <is>
          <t>B26020153</t>
        </is>
      </c>
      <c r="K375" s="12" t="inlineStr">
        <is>
          <t>44557, 62750</t>
        </is>
      </c>
      <c r="L375" s="12" t="inlineStr">
        <is>
          <t>Probable</t>
        </is>
      </c>
    </row>
    <row r="376">
      <c r="A376" s="22" t="inlineStr">
        <is>
          <t>26/02/2026</t>
        </is>
      </c>
      <c r="B376" s="22" t="inlineStr">
        <is>
          <t>99000-065854</t>
        </is>
      </c>
      <c r="C376" s="22" t="inlineStr">
        <is>
          <t>SORT CHQ NUM  5974515</t>
        </is>
      </c>
      <c r="D376" s="25" t="n"/>
      <c r="E376" s="25" t="n">
        <v>1050000</v>
      </c>
      <c r="F376" s="25" t="n">
        <v>-10042087.55</v>
      </c>
      <c r="G376" s="12" t="inlineStr">
        <is>
          <t>2026-02</t>
        </is>
      </c>
      <c r="H376" s="12" t="inlineStr">
        <is>
          <t>Encaissements clients</t>
        </is>
      </c>
      <c r="I376" s="12" t="inlineStr"/>
      <c r="J376" s="12" t="inlineStr">
        <is>
          <t>B26020154</t>
        </is>
      </c>
      <c r="K376" s="12" t="inlineStr">
        <is>
          <t>47000</t>
        </is>
      </c>
      <c r="L376" s="12" t="inlineStr">
        <is>
          <t>À identifier</t>
        </is>
      </c>
    </row>
    <row r="377">
      <c r="A377" s="22" t="inlineStr">
        <is>
          <t>26/02/2026</t>
        </is>
      </c>
      <c r="B377" s="22" t="inlineStr">
        <is>
          <t>99000-065854</t>
        </is>
      </c>
      <c r="C377" s="22" t="inlineStr">
        <is>
          <t>FRAIS REMISE CHQ N  5974515</t>
        </is>
      </c>
      <c r="D377" s="25" t="n">
        <v>238</v>
      </c>
      <c r="E377" s="25" t="n"/>
      <c r="F377" s="25" t="n">
        <v>-10042325.55</v>
      </c>
      <c r="G377" s="12" t="inlineStr">
        <is>
          <t>2026-02</t>
        </is>
      </c>
      <c r="H377" s="12" t="inlineStr">
        <is>
          <t>Agios, commissions et frais</t>
        </is>
      </c>
      <c r="I377" s="12" t="inlineStr"/>
      <c r="J377" s="12" t="inlineStr">
        <is>
          <t>B26020155</t>
        </is>
      </c>
      <c r="K377" s="12" t="inlineStr">
        <is>
          <t>44557, 62750</t>
        </is>
      </c>
      <c r="L377" s="12" t="inlineStr">
        <is>
          <t>Probable</t>
        </is>
      </c>
    </row>
    <row r="378">
      <c r="A378" s="22" t="inlineStr">
        <is>
          <t>01/03/2026</t>
        </is>
      </c>
      <c r="B378" s="22" t="inlineStr">
        <is>
          <t>-12789</t>
        </is>
      </c>
      <c r="C378" s="22" t="inlineStr">
        <is>
          <t>RECOUV.IMP.TOMB.ANTI     4071</t>
        </is>
      </c>
      <c r="D378" s="25" t="n">
        <v>9355.68</v>
      </c>
      <c r="E378" s="25" t="n"/>
      <c r="F378" s="25" t="n">
        <v>-10051681.23</v>
      </c>
      <c r="G378" s="12" t="inlineStr">
        <is>
          <t>2026-03</t>
        </is>
      </c>
      <c r="H378" s="12" t="inlineStr">
        <is>
          <t>Remboursement crédit / échéances</t>
        </is>
      </c>
      <c r="I378" s="12" t="inlineStr"/>
      <c r="J378" s="12" t="inlineStr">
        <is>
          <t>B26030156</t>
        </is>
      </c>
      <c r="K378" s="12" t="inlineStr">
        <is>
          <t>51900</t>
        </is>
      </c>
      <c r="L378" s="12" t="inlineStr">
        <is>
          <t>Probable</t>
        </is>
      </c>
    </row>
    <row r="379">
      <c r="A379" s="22" t="inlineStr">
        <is>
          <t>02/03/2026</t>
        </is>
      </c>
      <c r="B379" s="22" t="inlineStr">
        <is>
          <t>99000-065875</t>
        </is>
      </c>
      <c r="C379" s="22" t="inlineStr">
        <is>
          <t>SORT CHQ NUM   585153</t>
        </is>
      </c>
      <c r="D379" s="25" t="n"/>
      <c r="E379" s="25" t="n">
        <v>840000</v>
      </c>
      <c r="F379" s="25" t="n">
        <v>-9211681.23</v>
      </c>
      <c r="G379" s="12" t="inlineStr">
        <is>
          <t>2026-03</t>
        </is>
      </c>
      <c r="H379" s="12" t="inlineStr">
        <is>
          <t>Encaissements clients</t>
        </is>
      </c>
      <c r="I379" s="12" t="inlineStr"/>
      <c r="J379" s="12" t="inlineStr">
        <is>
          <t>B26030157</t>
        </is>
      </c>
      <c r="K379" s="12" t="inlineStr">
        <is>
          <t>47000</t>
        </is>
      </c>
      <c r="L379" s="12" t="inlineStr">
        <is>
          <t>À identifier</t>
        </is>
      </c>
    </row>
    <row r="380">
      <c r="A380" s="22" t="inlineStr">
        <is>
          <t>02/03/2026</t>
        </is>
      </c>
      <c r="B380" s="22" t="inlineStr">
        <is>
          <t>99000-065875</t>
        </is>
      </c>
      <c r="C380" s="22" t="inlineStr">
        <is>
          <t>FRAIS REMISE CHQ N   585153</t>
        </is>
      </c>
      <c r="D380" s="25" t="n">
        <v>119</v>
      </c>
      <c r="E380" s="25" t="n"/>
      <c r="F380" s="25" t="n">
        <v>-9211800.23</v>
      </c>
      <c r="G380" s="12" t="inlineStr">
        <is>
          <t>2026-03</t>
        </is>
      </c>
      <c r="H380" s="12" t="inlineStr">
        <is>
          <t>Agios, commissions et frais</t>
        </is>
      </c>
      <c r="I380" s="12" t="inlineStr"/>
      <c r="J380" s="12" t="inlineStr">
        <is>
          <t>B26030158</t>
        </is>
      </c>
      <c r="K380" s="12" t="inlineStr">
        <is>
          <t>44557, 62750</t>
        </is>
      </c>
      <c r="L380" s="12" t="inlineStr">
        <is>
          <t>Probable</t>
        </is>
      </c>
    </row>
    <row r="381">
      <c r="A381" s="22" t="inlineStr">
        <is>
          <t>02/03/2026</t>
        </is>
      </c>
      <c r="B381" s="22" t="inlineStr">
        <is>
          <t>99000-019822</t>
        </is>
      </c>
      <c r="C381" s="22" t="inlineStr">
        <is>
          <t>FRAIS ABONN. INTERNET 2026/03</t>
        </is>
      </c>
      <c r="D381" s="25" t="n">
        <v>1606.5</v>
      </c>
      <c r="E381" s="25" t="n"/>
      <c r="F381" s="25" t="n">
        <v>-9213406.73</v>
      </c>
      <c r="G381" s="12" t="inlineStr">
        <is>
          <t>2026-03</t>
        </is>
      </c>
      <c r="H381" s="12" t="inlineStr">
        <is>
          <t>Agios, commissions et frais</t>
        </is>
      </c>
      <c r="I381" s="12" t="inlineStr"/>
      <c r="J381" s="12" t="inlineStr">
        <is>
          <t>B26030159</t>
        </is>
      </c>
      <c r="K381" s="12" t="inlineStr">
        <is>
          <t>44557, 62750</t>
        </is>
      </c>
      <c r="L381" s="12" t="inlineStr">
        <is>
          <t>Probable</t>
        </is>
      </c>
    </row>
    <row r="382">
      <c r="A382" s="22" t="inlineStr">
        <is>
          <t>03/03/2026</t>
        </is>
      </c>
      <c r="B382" s="22" t="inlineStr">
        <is>
          <t>00370-000126</t>
        </is>
      </c>
      <c r="C382" s="22" t="inlineStr">
        <is>
          <t>COM.VRT EDI AGENCE</t>
        </is>
      </c>
      <c r="D382" s="25" t="n">
        <v>23.8</v>
      </c>
      <c r="E382" s="25" t="n"/>
      <c r="F382" s="25" t="n">
        <v>-9213430.529999999</v>
      </c>
      <c r="G382" s="12" t="inlineStr">
        <is>
          <t>2026-03</t>
        </is>
      </c>
      <c r="H382" s="12" t="inlineStr">
        <is>
          <t>Agios, commissions et frais</t>
        </is>
      </c>
      <c r="I382" s="12" t="inlineStr"/>
      <c r="J382" s="12" t="inlineStr">
        <is>
          <t>B26030160</t>
        </is>
      </c>
      <c r="K382" s="12" t="inlineStr">
        <is>
          <t>44557, 62750</t>
        </is>
      </c>
      <c r="L382" s="12" t="inlineStr">
        <is>
          <t>Probable</t>
        </is>
      </c>
    </row>
    <row r="383">
      <c r="A383" s="22" t="inlineStr">
        <is>
          <t>03/03/2026</t>
        </is>
      </c>
      <c r="B383" s="22" t="inlineStr">
        <is>
          <t>00370-000126</t>
        </is>
      </c>
      <c r="C383" s="22" t="inlineStr">
        <is>
          <t>VRT EDI SIMPLE AUTRE</t>
        </is>
      </c>
      <c r="D383" s="25" t="n">
        <v>665010.8</v>
      </c>
      <c r="E383" s="25" t="n"/>
      <c r="F383" s="25" t="n">
        <v>-9878441.33</v>
      </c>
      <c r="G383" s="12" t="inlineStr">
        <is>
          <t>2026-03</t>
        </is>
      </c>
      <c r="H383" s="12" t="inlineStr">
        <is>
          <t>Fournisseurs, salaires et divers</t>
        </is>
      </c>
      <c r="I383" s="12" t="inlineStr"/>
      <c r="J383" s="12" t="inlineStr">
        <is>
          <t>B26030161</t>
        </is>
      </c>
      <c r="K383" s="12" t="inlineStr">
        <is>
          <t>47000</t>
        </is>
      </c>
      <c r="L383" s="12" t="inlineStr">
        <is>
          <t>À identifier</t>
        </is>
      </c>
    </row>
    <row r="384">
      <c r="A384" s="22" t="inlineStr">
        <is>
          <t>03/03/2026</t>
        </is>
      </c>
      <c r="B384" s="22" t="inlineStr">
        <is>
          <t>00370-001092</t>
        </is>
      </c>
      <c r="C384" s="22" t="inlineStr">
        <is>
          <t>COM.VRT EDI BQUE</t>
        </is>
      </c>
      <c r="D384" s="25" t="n">
        <v>35.7</v>
      </c>
      <c r="E384" s="25" t="n"/>
      <c r="F384" s="25" t="n">
        <v>-9878477.029999999</v>
      </c>
      <c r="G384" s="12" t="inlineStr">
        <is>
          <t>2026-03</t>
        </is>
      </c>
      <c r="H384" s="12" t="inlineStr">
        <is>
          <t>Agios, commissions et frais</t>
        </is>
      </c>
      <c r="I384" s="12" t="inlineStr"/>
      <c r="J384" s="12" t="inlineStr">
        <is>
          <t>B26030162</t>
        </is>
      </c>
      <c r="K384" s="12" t="inlineStr">
        <is>
          <t>44557, 62750</t>
        </is>
      </c>
      <c r="L384" s="12" t="inlineStr">
        <is>
          <t>Probable</t>
        </is>
      </c>
    </row>
    <row r="385">
      <c r="A385" s="22" t="inlineStr">
        <is>
          <t>03/03/2026</t>
        </is>
      </c>
      <c r="B385" s="22" t="inlineStr">
        <is>
          <t>00370-001092</t>
        </is>
      </c>
      <c r="C385" s="22" t="inlineStr">
        <is>
          <t>VRT EDI SIMPLE AUTRE</t>
        </is>
      </c>
      <c r="D385" s="25" t="n">
        <v>35000</v>
      </c>
      <c r="E385" s="25" t="n"/>
      <c r="F385" s="25" t="n">
        <v>-9913477.029999999</v>
      </c>
      <c r="G385" s="12" t="inlineStr">
        <is>
          <t>2026-03</t>
        </is>
      </c>
      <c r="H385" s="12" t="inlineStr">
        <is>
          <t>Fournisseurs, salaires et divers</t>
        </is>
      </c>
      <c r="I385" s="12" t="inlineStr"/>
      <c r="J385" s="12" t="inlineStr">
        <is>
          <t>B26030163</t>
        </is>
      </c>
      <c r="K385" s="12" t="inlineStr">
        <is>
          <t>47000</t>
        </is>
      </c>
      <c r="L385" s="12" t="inlineStr">
        <is>
          <t>À identifier</t>
        </is>
      </c>
    </row>
    <row r="386">
      <c r="A386" s="22" t="inlineStr">
        <is>
          <t>04/03/2026</t>
        </is>
      </c>
      <c r="B386" s="22" t="inlineStr">
        <is>
          <t>00370-119570</t>
        </is>
      </c>
      <c r="C386" s="22" t="inlineStr">
        <is>
          <t>PAIEMENT CHQ NUM  2125736</t>
        </is>
      </c>
      <c r="D386" s="25" t="n">
        <v>286426.62</v>
      </c>
      <c r="E386" s="25" t="n"/>
      <c r="F386" s="25" t="n">
        <v>-10199903.65</v>
      </c>
      <c r="G386" s="12" t="inlineStr">
        <is>
          <t>2026-03</t>
        </is>
      </c>
      <c r="H386" s="12" t="inlineStr">
        <is>
          <t>CNAS</t>
        </is>
      </c>
      <c r="I386" s="4" t="inlineStr">
        <is>
          <t>CNAS IMPORT janvier 2026</t>
        </is>
      </c>
      <c r="J386" s="12" t="inlineStr">
        <is>
          <t>B26030164</t>
        </is>
      </c>
      <c r="K386" s="12" t="inlineStr">
        <is>
          <t>43100, 43200</t>
        </is>
      </c>
      <c r="L386" s="12" t="inlineStr">
        <is>
          <t>Certaine</t>
        </is>
      </c>
    </row>
    <row r="387">
      <c r="A387" s="22" t="inlineStr">
        <is>
          <t>04/03/2026</t>
        </is>
      </c>
      <c r="B387" s="22" t="inlineStr">
        <is>
          <t>00370-119561</t>
        </is>
      </c>
      <c r="C387" s="22" t="inlineStr">
        <is>
          <t>PAIEMENT CHQ NUM  2125732</t>
        </is>
      </c>
      <c r="D387" s="25" t="n">
        <v>5826720</v>
      </c>
      <c r="E387" s="25" t="n"/>
      <c r="F387" s="25" t="n">
        <v>-16026623.65</v>
      </c>
      <c r="G387" s="12" t="inlineStr">
        <is>
          <t>2026-03</t>
        </is>
      </c>
      <c r="H387" s="12" t="inlineStr">
        <is>
          <t>Fournisseurs, salaires et divers</t>
        </is>
      </c>
      <c r="I387" s="12" t="inlineStr"/>
      <c r="J387" s="12" t="inlineStr">
        <is>
          <t>B26030165</t>
        </is>
      </c>
      <c r="K387" s="12" t="inlineStr">
        <is>
          <t>47000</t>
        </is>
      </c>
      <c r="L387" s="12" t="inlineStr">
        <is>
          <t>À identifier</t>
        </is>
      </c>
    </row>
    <row r="388">
      <c r="A388" s="22" t="inlineStr">
        <is>
          <t>04/03/2026</t>
        </is>
      </c>
      <c r="B388" s="22" t="inlineStr">
        <is>
          <t>00370-119570</t>
        </is>
      </c>
      <c r="C388" s="22" t="inlineStr">
        <is>
          <t>PERCEP.COM SUR PAIEMENTS CHQ</t>
        </is>
      </c>
      <c r="D388" s="25" t="n">
        <v>59.5</v>
      </c>
      <c r="E388" s="25" t="n"/>
      <c r="F388" s="25" t="n">
        <v>-16026683.15</v>
      </c>
      <c r="G388" s="12" t="inlineStr">
        <is>
          <t>2026-03</t>
        </is>
      </c>
      <c r="H388" s="12" t="inlineStr">
        <is>
          <t>Agios, commissions et frais</t>
        </is>
      </c>
      <c r="I388" s="12" t="inlineStr"/>
      <c r="J388" s="12" t="inlineStr">
        <is>
          <t>B26030166</t>
        </is>
      </c>
      <c r="K388" s="12" t="inlineStr">
        <is>
          <t>44557, 62750</t>
        </is>
      </c>
      <c r="L388" s="12" t="inlineStr">
        <is>
          <t>Probable</t>
        </is>
      </c>
    </row>
    <row r="389">
      <c r="A389" s="22" t="inlineStr">
        <is>
          <t>04/03/2026</t>
        </is>
      </c>
      <c r="B389" s="22" t="inlineStr">
        <is>
          <t>00370-119561</t>
        </is>
      </c>
      <c r="C389" s="22" t="inlineStr">
        <is>
          <t>PERCEP.COM SUR PAIEMENTS CHQ</t>
        </is>
      </c>
      <c r="D389" s="25" t="n">
        <v>59.5</v>
      </c>
      <c r="E389" s="25" t="n"/>
      <c r="F389" s="25" t="n">
        <v>-16026742.65</v>
      </c>
      <c r="G389" s="12" t="inlineStr">
        <is>
          <t>2026-03</t>
        </is>
      </c>
      <c r="H389" s="12" t="inlineStr">
        <is>
          <t>Agios, commissions et frais</t>
        </is>
      </c>
      <c r="I389" s="12" t="inlineStr"/>
      <c r="J389" s="12" t="inlineStr">
        <is>
          <t>B26030167</t>
        </is>
      </c>
      <c r="K389" s="12" t="inlineStr">
        <is>
          <t>44557, 62750</t>
        </is>
      </c>
      <c r="L389" s="12" t="inlineStr">
        <is>
          <t>Probable</t>
        </is>
      </c>
    </row>
    <row r="390">
      <c r="A390" s="22" t="inlineStr">
        <is>
          <t>04/03/2026</t>
        </is>
      </c>
      <c r="B390" s="22" t="inlineStr">
        <is>
          <t>99000-065916</t>
        </is>
      </c>
      <c r="C390" s="22" t="inlineStr">
        <is>
          <t>SORT CHQ NUM   535316</t>
        </is>
      </c>
      <c r="D390" s="25" t="n"/>
      <c r="E390" s="25" t="n">
        <v>998257.67</v>
      </c>
      <c r="F390" s="25" t="n">
        <v>-15028484.98</v>
      </c>
      <c r="G390" s="12" t="inlineStr">
        <is>
          <t>2026-03</t>
        </is>
      </c>
      <c r="H390" s="12" t="inlineStr">
        <is>
          <t>Encaissements clients</t>
        </is>
      </c>
      <c r="I390" s="12" t="inlineStr"/>
      <c r="J390" s="12" t="inlineStr">
        <is>
          <t>B26030168</t>
        </is>
      </c>
      <c r="K390" s="12" t="inlineStr">
        <is>
          <t>47000</t>
        </is>
      </c>
      <c r="L390" s="12" t="inlineStr">
        <is>
          <t>À identifier</t>
        </is>
      </c>
    </row>
    <row r="391">
      <c r="A391" s="22" t="inlineStr">
        <is>
          <t>04/03/2026</t>
        </is>
      </c>
      <c r="B391" s="22" t="inlineStr">
        <is>
          <t>99000-065904</t>
        </is>
      </c>
      <c r="C391" s="22" t="inlineStr">
        <is>
          <t>SORT CHQ NUM  4507050</t>
        </is>
      </c>
      <c r="D391" s="25" t="n"/>
      <c r="E391" s="25" t="n">
        <v>540000</v>
      </c>
      <c r="F391" s="25" t="n">
        <v>-14488484.98</v>
      </c>
      <c r="G391" s="12" t="inlineStr">
        <is>
          <t>2026-03</t>
        </is>
      </c>
      <c r="H391" s="12" t="inlineStr">
        <is>
          <t>Encaissements clients</t>
        </is>
      </c>
      <c r="I391" s="12" t="inlineStr"/>
      <c r="J391" s="12" t="inlineStr">
        <is>
          <t>B26030169</t>
        </is>
      </c>
      <c r="K391" s="12" t="inlineStr">
        <is>
          <t>47000</t>
        </is>
      </c>
      <c r="L391" s="12" t="inlineStr">
        <is>
          <t>À identifier</t>
        </is>
      </c>
    </row>
    <row r="392">
      <c r="A392" s="22" t="inlineStr">
        <is>
          <t>04/03/2026</t>
        </is>
      </c>
      <c r="B392" s="22" t="inlineStr">
        <is>
          <t>99000-065907</t>
        </is>
      </c>
      <c r="C392" s="22" t="inlineStr">
        <is>
          <t>SORT CHQ NUM  1661969</t>
        </is>
      </c>
      <c r="D392" s="25" t="n"/>
      <c r="E392" s="25" t="n">
        <v>995067.48</v>
      </c>
      <c r="F392" s="25" t="n">
        <v>-13493417.5</v>
      </c>
      <c r="G392" s="12" t="inlineStr">
        <is>
          <t>2026-03</t>
        </is>
      </c>
      <c r="H392" s="12" t="inlineStr">
        <is>
          <t>Encaissements clients</t>
        </is>
      </c>
      <c r="I392" s="12" t="inlineStr"/>
      <c r="J392" s="12" t="inlineStr">
        <is>
          <t>B26030170</t>
        </is>
      </c>
      <c r="K392" s="12" t="inlineStr">
        <is>
          <t>47000</t>
        </is>
      </c>
      <c r="L392" s="12" t="inlineStr">
        <is>
          <t>À identifier</t>
        </is>
      </c>
    </row>
    <row r="393">
      <c r="A393" s="22" t="inlineStr">
        <is>
          <t>04/03/2026</t>
        </is>
      </c>
      <c r="B393" s="22" t="inlineStr">
        <is>
          <t>99000-065909</t>
        </is>
      </c>
      <c r="C393" s="22" t="inlineStr">
        <is>
          <t>SORT CHQ NUM  5731756</t>
        </is>
      </c>
      <c r="D393" s="25" t="n"/>
      <c r="E393" s="25" t="n">
        <v>980111.95</v>
      </c>
      <c r="F393" s="25" t="n">
        <v>-12513305.55</v>
      </c>
      <c r="G393" s="12" t="inlineStr">
        <is>
          <t>2026-03</t>
        </is>
      </c>
      <c r="H393" s="12" t="inlineStr">
        <is>
          <t>Encaissements clients</t>
        </is>
      </c>
      <c r="I393" s="12" t="inlineStr"/>
      <c r="J393" s="12" t="inlineStr">
        <is>
          <t>B26030171</t>
        </is>
      </c>
      <c r="K393" s="12" t="inlineStr">
        <is>
          <t>47000</t>
        </is>
      </c>
      <c r="L393" s="12" t="inlineStr">
        <is>
          <t>À identifier</t>
        </is>
      </c>
    </row>
    <row r="394">
      <c r="A394" s="22" t="inlineStr">
        <is>
          <t>04/03/2026</t>
        </is>
      </c>
      <c r="B394" s="22" t="inlineStr">
        <is>
          <t>99000-065899</t>
        </is>
      </c>
      <c r="C394" s="22" t="inlineStr">
        <is>
          <t>SORT CHQ NUM  6055612</t>
        </is>
      </c>
      <c r="D394" s="25" t="n"/>
      <c r="E394" s="25" t="n">
        <v>63000</v>
      </c>
      <c r="F394" s="25" t="n">
        <v>-12450305.55</v>
      </c>
      <c r="G394" s="12" t="inlineStr">
        <is>
          <t>2026-03</t>
        </is>
      </c>
      <c r="H394" s="12" t="inlineStr">
        <is>
          <t>Encaissements clients</t>
        </is>
      </c>
      <c r="I394" s="12" t="inlineStr"/>
      <c r="J394" s="12" t="inlineStr">
        <is>
          <t>B26030172</t>
        </is>
      </c>
      <c r="K394" s="12" t="inlineStr">
        <is>
          <t>47000</t>
        </is>
      </c>
      <c r="L394" s="12" t="inlineStr">
        <is>
          <t>À identifier</t>
        </is>
      </c>
    </row>
    <row r="395">
      <c r="A395" s="22" t="inlineStr">
        <is>
          <t>04/03/2026</t>
        </is>
      </c>
      <c r="B395" s="22" t="inlineStr">
        <is>
          <t>99000-065916</t>
        </is>
      </c>
      <c r="C395" s="22" t="inlineStr">
        <is>
          <t>FRAIS REMISE CHQ N   535316</t>
        </is>
      </c>
      <c r="D395" s="25" t="n">
        <v>238</v>
      </c>
      <c r="E395" s="25" t="n"/>
      <c r="F395" s="25" t="n">
        <v>-12450543.55</v>
      </c>
      <c r="G395" s="12" t="inlineStr">
        <is>
          <t>2026-03</t>
        </is>
      </c>
      <c r="H395" s="12" t="inlineStr">
        <is>
          <t>Agios, commissions et frais</t>
        </is>
      </c>
      <c r="I395" s="12" t="inlineStr"/>
      <c r="J395" s="12" t="inlineStr">
        <is>
          <t>B26030173</t>
        </is>
      </c>
      <c r="K395" s="12" t="inlineStr">
        <is>
          <t>44557, 62750</t>
        </is>
      </c>
      <c r="L395" s="12" t="inlineStr">
        <is>
          <t>Probable</t>
        </is>
      </c>
    </row>
    <row r="396">
      <c r="A396" s="22" t="inlineStr">
        <is>
          <t>04/03/2026</t>
        </is>
      </c>
      <c r="B396" s="22" t="inlineStr">
        <is>
          <t>99000-065904</t>
        </is>
      </c>
      <c r="C396" s="22" t="inlineStr">
        <is>
          <t>FRAIS REMISE CHQ N  4507050</t>
        </is>
      </c>
      <c r="D396" s="25" t="n">
        <v>238</v>
      </c>
      <c r="E396" s="25" t="n"/>
      <c r="F396" s="25" t="n">
        <v>-12450781.55</v>
      </c>
      <c r="G396" s="12" t="inlineStr">
        <is>
          <t>2026-03</t>
        </is>
      </c>
      <c r="H396" s="12" t="inlineStr">
        <is>
          <t>Agios, commissions et frais</t>
        </is>
      </c>
      <c r="I396" s="12" t="inlineStr"/>
      <c r="J396" s="12" t="inlineStr">
        <is>
          <t>B26030174</t>
        </is>
      </c>
      <c r="K396" s="12" t="inlineStr">
        <is>
          <t>44557, 62750</t>
        </is>
      </c>
      <c r="L396" s="12" t="inlineStr">
        <is>
          <t>Probable</t>
        </is>
      </c>
    </row>
    <row r="397">
      <c r="A397" s="22" t="inlineStr">
        <is>
          <t>04/03/2026</t>
        </is>
      </c>
      <c r="B397" s="22" t="inlineStr">
        <is>
          <t>99000-065907</t>
        </is>
      </c>
      <c r="C397" s="22" t="inlineStr">
        <is>
          <t>FRAIS REMISE CHQ N  1661969</t>
        </is>
      </c>
      <c r="D397" s="25" t="n">
        <v>238</v>
      </c>
      <c r="E397" s="25" t="n"/>
      <c r="F397" s="25" t="n">
        <v>-12451019.55</v>
      </c>
      <c r="G397" s="12" t="inlineStr">
        <is>
          <t>2026-03</t>
        </is>
      </c>
      <c r="H397" s="12" t="inlineStr">
        <is>
          <t>Agios, commissions et frais</t>
        </is>
      </c>
      <c r="I397" s="12" t="inlineStr"/>
      <c r="J397" s="12" t="inlineStr">
        <is>
          <t>B26030175</t>
        </is>
      </c>
      <c r="K397" s="12" t="inlineStr">
        <is>
          <t>44557, 62750</t>
        </is>
      </c>
      <c r="L397" s="12" t="inlineStr">
        <is>
          <t>Probable</t>
        </is>
      </c>
    </row>
    <row r="398">
      <c r="A398" s="22" t="inlineStr">
        <is>
          <t>04/03/2026</t>
        </is>
      </c>
      <c r="B398" s="22" t="inlineStr">
        <is>
          <t>99000-065909</t>
        </is>
      </c>
      <c r="C398" s="22" t="inlineStr">
        <is>
          <t>FRAIS REMISE CHQ N  5731756</t>
        </is>
      </c>
      <c r="D398" s="25" t="n">
        <v>238</v>
      </c>
      <c r="E398" s="25" t="n"/>
      <c r="F398" s="25" t="n">
        <v>-12451257.55</v>
      </c>
      <c r="G398" s="12" t="inlineStr">
        <is>
          <t>2026-03</t>
        </is>
      </c>
      <c r="H398" s="12" t="inlineStr">
        <is>
          <t>Agios, commissions et frais</t>
        </is>
      </c>
      <c r="I398" s="12" t="inlineStr"/>
      <c r="J398" s="12" t="inlineStr">
        <is>
          <t>B26030176</t>
        </is>
      </c>
      <c r="K398" s="12" t="inlineStr">
        <is>
          <t>44557, 62750</t>
        </is>
      </c>
      <c r="L398" s="12" t="inlineStr">
        <is>
          <t>Probable</t>
        </is>
      </c>
    </row>
    <row r="399">
      <c r="A399" s="22" t="inlineStr">
        <is>
          <t>04/03/2026</t>
        </is>
      </c>
      <c r="B399" s="22" t="inlineStr">
        <is>
          <t>99000-065899</t>
        </is>
      </c>
      <c r="C399" s="22" t="inlineStr">
        <is>
          <t>FRAIS REMISE CHQ N  6055612</t>
        </is>
      </c>
      <c r="D399" s="25" t="n">
        <v>74.97</v>
      </c>
      <c r="E399" s="25" t="n"/>
      <c r="F399" s="25" t="n">
        <v>-12451332.52</v>
      </c>
      <c r="G399" s="12" t="inlineStr">
        <is>
          <t>2026-03</t>
        </is>
      </c>
      <c r="H399" s="12" t="inlineStr">
        <is>
          <t>Agios, commissions et frais</t>
        </is>
      </c>
      <c r="I399" s="12" t="inlineStr"/>
      <c r="J399" s="12" t="inlineStr">
        <is>
          <t>B26030177</t>
        </is>
      </c>
      <c r="K399" s="12" t="inlineStr">
        <is>
          <t>44557, 62750</t>
        </is>
      </c>
      <c r="L399" s="12" t="inlineStr">
        <is>
          <t>Probable</t>
        </is>
      </c>
    </row>
    <row r="400">
      <c r="A400" s="22" t="inlineStr">
        <is>
          <t>08/03/2026</t>
        </is>
      </c>
      <c r="B400" s="22" t="inlineStr">
        <is>
          <t>00370-025658</t>
        </is>
      </c>
      <c r="C400" s="22" t="inlineStr">
        <is>
          <t>EXTRAIT DE COMPTE</t>
        </is>
      </c>
      <c r="D400" s="25" t="n">
        <v>142.8</v>
      </c>
      <c r="E400" s="25" t="n"/>
      <c r="F400" s="25" t="n">
        <v>-12451475.32</v>
      </c>
      <c r="G400" s="12" t="inlineStr">
        <is>
          <t>2026-03</t>
        </is>
      </c>
      <c r="H400" s="12" t="inlineStr">
        <is>
          <t>Agios, commissions et frais</t>
        </is>
      </c>
      <c r="I400" s="12" t="inlineStr"/>
      <c r="J400" s="12" t="inlineStr">
        <is>
          <t>B26030178</t>
        </is>
      </c>
      <c r="K400" s="12" t="inlineStr">
        <is>
          <t>44557, 62750</t>
        </is>
      </c>
      <c r="L400" s="12" t="inlineStr">
        <is>
          <t>Probable</t>
        </is>
      </c>
    </row>
    <row r="401">
      <c r="A401" s="22" t="inlineStr">
        <is>
          <t>08/03/2026</t>
        </is>
      </c>
      <c r="B401" s="22" t="inlineStr">
        <is>
          <t>00370-018890</t>
        </is>
      </c>
      <c r="C401" s="22" t="inlineStr">
        <is>
          <t>FRAIS CHQ BQE NUM  4288232</t>
        </is>
      </c>
      <c r="D401" s="25" t="n">
        <v>952</v>
      </c>
      <c r="E401" s="25" t="n"/>
      <c r="F401" s="25" t="n">
        <v>-12452427.32</v>
      </c>
      <c r="G401" s="12" t="inlineStr">
        <is>
          <t>2026-03</t>
        </is>
      </c>
      <c r="H401" s="12" t="inlineStr">
        <is>
          <t>Agios, commissions et frais</t>
        </is>
      </c>
      <c r="I401" s="12" t="inlineStr"/>
      <c r="J401" s="12" t="inlineStr">
        <is>
          <t>B26030179</t>
        </is>
      </c>
      <c r="K401" s="12" t="inlineStr">
        <is>
          <t>44557, 62750</t>
        </is>
      </c>
      <c r="L401" s="12" t="inlineStr">
        <is>
          <t>Probable</t>
        </is>
      </c>
    </row>
    <row r="402">
      <c r="A402" s="22" t="inlineStr">
        <is>
          <t>08/03/2026</t>
        </is>
      </c>
      <c r="B402" s="22" t="inlineStr">
        <is>
          <t>00370-018890</t>
        </is>
      </c>
      <c r="C402" s="22" t="inlineStr">
        <is>
          <t>CHQ BANQUE NUM  4288232</t>
        </is>
      </c>
      <c r="D402" s="25" t="n">
        <v>3960785</v>
      </c>
      <c r="E402" s="25" t="n"/>
      <c r="F402" s="25" t="n">
        <v>-16413212.32</v>
      </c>
      <c r="G402" s="12" t="inlineStr">
        <is>
          <t>2026-03</t>
        </is>
      </c>
      <c r="H402" s="12" t="inlineStr">
        <is>
          <t>Chèques de banque (douane / autres)</t>
        </is>
      </c>
      <c r="I402" s="12" t="inlineStr"/>
      <c r="J402" s="12" t="inlineStr">
        <is>
          <t>B26030180</t>
        </is>
      </c>
      <c r="K402" s="12" t="inlineStr">
        <is>
          <t>40100</t>
        </is>
      </c>
      <c r="L402" s="12" t="inlineStr">
        <is>
          <t>Probable</t>
        </is>
      </c>
    </row>
    <row r="403">
      <c r="A403" s="22" t="inlineStr">
        <is>
          <t>08/03/2026</t>
        </is>
      </c>
      <c r="B403" s="22" t="inlineStr">
        <is>
          <t>00370-012828</t>
        </is>
      </c>
      <c r="C403" s="22" t="inlineStr">
        <is>
          <t>FRAIS VRT.</t>
        </is>
      </c>
      <c r="D403" s="25" t="n">
        <v>59.5</v>
      </c>
      <c r="E403" s="25" t="n"/>
      <c r="F403" s="25" t="n">
        <v>-16413271.82</v>
      </c>
      <c r="G403" s="12" t="inlineStr">
        <is>
          <t>2026-03</t>
        </is>
      </c>
      <c r="H403" s="12" t="inlineStr">
        <is>
          <t>Agios, commissions et frais</t>
        </is>
      </c>
      <c r="I403" s="12" t="inlineStr"/>
      <c r="J403" s="12" t="inlineStr">
        <is>
          <t>B26030181</t>
        </is>
      </c>
      <c r="K403" s="12" t="inlineStr">
        <is>
          <t>44557, 62750</t>
        </is>
      </c>
      <c r="L403" s="12" t="inlineStr">
        <is>
          <t>Probable</t>
        </is>
      </c>
    </row>
    <row r="404">
      <c r="A404" s="22" t="inlineStr">
        <is>
          <t>08/03/2026</t>
        </is>
      </c>
      <c r="B404" s="22" t="inlineStr">
        <is>
          <t>00370-012828</t>
        </is>
      </c>
      <c r="C404" s="22" t="inlineStr">
        <is>
          <t>VRT. ORD. SARL STATION OUATAH</t>
        </is>
      </c>
      <c r="D404" s="25" t="n">
        <v>465000</v>
      </c>
      <c r="E404" s="25" t="n"/>
      <c r="F404" s="25" t="n">
        <v>-16878271.82</v>
      </c>
      <c r="G404" s="12" t="inlineStr">
        <is>
          <t>2026-03</t>
        </is>
      </c>
      <c r="H404" s="12" t="inlineStr">
        <is>
          <t>Fournisseurs, salaires et divers</t>
        </is>
      </c>
      <c r="I404" s="12" t="inlineStr"/>
      <c r="J404" s="12" t="inlineStr">
        <is>
          <t>B26030182</t>
        </is>
      </c>
      <c r="K404" s="12" t="inlineStr">
        <is>
          <t>40100</t>
        </is>
      </c>
      <c r="L404" s="12" t="inlineStr">
        <is>
          <t>Probable</t>
        </is>
      </c>
    </row>
    <row r="405">
      <c r="A405" s="22" t="inlineStr">
        <is>
          <t>09/03/2026</t>
        </is>
      </c>
      <c r="B405" s="22" t="inlineStr">
        <is>
          <t>00370-006201</t>
        </is>
      </c>
      <c r="C405" s="22" t="inlineStr">
        <is>
          <t>FRAIS VRT.</t>
        </is>
      </c>
      <c r="D405" s="25" t="n">
        <v>119</v>
      </c>
      <c r="E405" s="25" t="n"/>
      <c r="F405" s="25" t="n">
        <v>-16878390.82</v>
      </c>
      <c r="G405" s="12" t="inlineStr">
        <is>
          <t>2026-03</t>
        </is>
      </c>
      <c r="H405" s="12" t="inlineStr">
        <is>
          <t>Agios, commissions et frais</t>
        </is>
      </c>
      <c r="I405" s="12" t="inlineStr"/>
      <c r="J405" s="12" t="inlineStr">
        <is>
          <t>B26030183</t>
        </is>
      </c>
      <c r="K405" s="12" t="inlineStr">
        <is>
          <t>44557, 62750</t>
        </is>
      </c>
      <c r="L405" s="12" t="inlineStr">
        <is>
          <t>Probable</t>
        </is>
      </c>
    </row>
    <row r="406">
      <c r="A406" s="22" t="inlineStr">
        <is>
          <t>09/03/2026</t>
        </is>
      </c>
      <c r="B406" s="22" t="inlineStr">
        <is>
          <t>00370-006201</t>
        </is>
      </c>
      <c r="C406" s="22" t="inlineStr">
        <is>
          <t>VRT. ORD. SARL MSCA</t>
        </is>
      </c>
      <c r="D406" s="25" t="n">
        <v>41322.52</v>
      </c>
      <c r="E406" s="25" t="n"/>
      <c r="F406" s="25" t="n">
        <v>-16919713.34</v>
      </c>
      <c r="G406" s="12" t="inlineStr">
        <is>
          <t>2026-03</t>
        </is>
      </c>
      <c r="H406" s="12" t="inlineStr">
        <is>
          <t>Fournisseurs, salaires et divers</t>
        </is>
      </c>
      <c r="I406" s="12" t="inlineStr"/>
      <c r="J406" s="12" t="inlineStr">
        <is>
          <t>B26030184</t>
        </is>
      </c>
      <c r="K406" s="12" t="inlineStr">
        <is>
          <t>40100</t>
        </is>
      </c>
      <c r="L406" s="12" t="inlineStr">
        <is>
          <t>Probable</t>
        </is>
      </c>
    </row>
    <row r="407">
      <c r="A407" s="22" t="inlineStr">
        <is>
          <t>09/03/2026</t>
        </is>
      </c>
      <c r="B407" s="22" t="inlineStr">
        <is>
          <t>99000-065947</t>
        </is>
      </c>
      <c r="C407" s="22" t="inlineStr">
        <is>
          <t>SORT CHQ NUM  6883603</t>
        </is>
      </c>
      <c r="D407" s="25" t="n"/>
      <c r="E407" s="25" t="n">
        <v>261800</v>
      </c>
      <c r="F407" s="25" t="n">
        <v>-16657913.34</v>
      </c>
      <c r="G407" s="12" t="inlineStr">
        <is>
          <t>2026-03</t>
        </is>
      </c>
      <c r="H407" s="12" t="inlineStr">
        <is>
          <t>Encaissements clients</t>
        </is>
      </c>
      <c r="I407" s="12" t="inlineStr"/>
      <c r="J407" s="12" t="inlineStr">
        <is>
          <t>B26030185</t>
        </is>
      </c>
      <c r="K407" s="12" t="inlineStr">
        <is>
          <t>47000</t>
        </is>
      </c>
      <c r="L407" s="12" t="inlineStr">
        <is>
          <t>À identifier</t>
        </is>
      </c>
    </row>
    <row r="408">
      <c r="A408" s="22" t="inlineStr">
        <is>
          <t>09/03/2026</t>
        </is>
      </c>
      <c r="B408" s="22" t="inlineStr">
        <is>
          <t>99000-065949</t>
        </is>
      </c>
      <c r="C408" s="22" t="inlineStr">
        <is>
          <t>SORT CHQ NUM       65</t>
        </is>
      </c>
      <c r="D408" s="25" t="n"/>
      <c r="E408" s="25" t="n">
        <v>700000</v>
      </c>
      <c r="F408" s="25" t="n">
        <v>-15957913.34</v>
      </c>
      <c r="G408" s="12" t="inlineStr">
        <is>
          <t>2026-03</t>
        </is>
      </c>
      <c r="H408" s="12" t="inlineStr">
        <is>
          <t>Encaissements clients</t>
        </is>
      </c>
      <c r="I408" s="12" t="inlineStr"/>
      <c r="J408" s="12" t="inlineStr">
        <is>
          <t>B26030186</t>
        </is>
      </c>
      <c r="K408" s="12" t="inlineStr">
        <is>
          <t>41100</t>
        </is>
      </c>
      <c r="L408" s="12" t="inlineStr">
        <is>
          <t>Probable</t>
        </is>
      </c>
    </row>
    <row r="409">
      <c r="A409" s="22" t="inlineStr">
        <is>
          <t>09/03/2026</t>
        </is>
      </c>
      <c r="B409" s="22" t="inlineStr">
        <is>
          <t>99000-065945</t>
        </is>
      </c>
      <c r="C409" s="22" t="inlineStr">
        <is>
          <t>SORT CHQ NUM  9470729</t>
        </is>
      </c>
      <c r="D409" s="25" t="n"/>
      <c r="E409" s="25" t="n">
        <v>43458.18</v>
      </c>
      <c r="F409" s="25" t="n">
        <v>-15914455.16</v>
      </c>
      <c r="G409" s="12" t="inlineStr">
        <is>
          <t>2026-03</t>
        </is>
      </c>
      <c r="H409" s="12" t="inlineStr">
        <is>
          <t>Encaissements clients</t>
        </is>
      </c>
      <c r="I409" s="12" t="inlineStr"/>
      <c r="J409" s="12" t="inlineStr">
        <is>
          <t>B26030187</t>
        </is>
      </c>
      <c r="K409" s="12" t="inlineStr">
        <is>
          <t>47000</t>
        </is>
      </c>
      <c r="L409" s="12" t="inlineStr">
        <is>
          <t>À identifier</t>
        </is>
      </c>
    </row>
    <row r="410">
      <c r="A410" s="22" t="inlineStr">
        <is>
          <t>09/03/2026</t>
        </is>
      </c>
      <c r="B410" s="22" t="inlineStr">
        <is>
          <t>99000-065947</t>
        </is>
      </c>
      <c r="C410" s="22" t="inlineStr">
        <is>
          <t>FRAIS REMISE CHQ N  6883603</t>
        </is>
      </c>
      <c r="D410" s="25" t="n">
        <v>238</v>
      </c>
      <c r="E410" s="25" t="n"/>
      <c r="F410" s="25" t="n">
        <v>-15914693.16</v>
      </c>
      <c r="G410" s="12" t="inlineStr">
        <is>
          <t>2026-03</t>
        </is>
      </c>
      <c r="H410" s="12" t="inlineStr">
        <is>
          <t>Agios, commissions et frais</t>
        </is>
      </c>
      <c r="I410" s="12" t="inlineStr"/>
      <c r="J410" s="12" t="inlineStr">
        <is>
          <t>B26030188</t>
        </is>
      </c>
      <c r="K410" s="12" t="inlineStr">
        <is>
          <t>44557, 62750</t>
        </is>
      </c>
      <c r="L410" s="12" t="inlineStr">
        <is>
          <t>Probable</t>
        </is>
      </c>
    </row>
    <row r="411">
      <c r="A411" s="22" t="inlineStr">
        <is>
          <t>09/03/2026</t>
        </is>
      </c>
      <c r="B411" s="22" t="inlineStr">
        <is>
          <t>99000-065949</t>
        </is>
      </c>
      <c r="C411" s="22" t="inlineStr">
        <is>
          <t>FRAIS REMISE CHQ N       65</t>
        </is>
      </c>
      <c r="D411" s="25" t="n">
        <v>238</v>
      </c>
      <c r="E411" s="25" t="n"/>
      <c r="F411" s="25" t="n">
        <v>-15914931.16</v>
      </c>
      <c r="G411" s="12" t="inlineStr">
        <is>
          <t>2026-03</t>
        </is>
      </c>
      <c r="H411" s="12" t="inlineStr">
        <is>
          <t>Agios, commissions et frais</t>
        </is>
      </c>
      <c r="I411" s="12" t="inlineStr"/>
      <c r="J411" s="12" t="inlineStr">
        <is>
          <t>B26030189</t>
        </is>
      </c>
      <c r="K411" s="12" t="inlineStr">
        <is>
          <t>44557, 62750</t>
        </is>
      </c>
      <c r="L411" s="12" t="inlineStr">
        <is>
          <t>Probable</t>
        </is>
      </c>
    </row>
    <row r="412">
      <c r="A412" s="22" t="inlineStr">
        <is>
          <t>09/03/2026</t>
        </is>
      </c>
      <c r="B412" s="22" t="inlineStr">
        <is>
          <t>99000-065945</t>
        </is>
      </c>
      <c r="C412" s="22" t="inlineStr">
        <is>
          <t>FRAIS REMISE CHQ N  9470729</t>
        </is>
      </c>
      <c r="D412" s="25" t="n">
        <v>59.5</v>
      </c>
      <c r="E412" s="25" t="n"/>
      <c r="F412" s="25" t="n">
        <v>-15914990.66</v>
      </c>
      <c r="G412" s="12" t="inlineStr">
        <is>
          <t>2026-03</t>
        </is>
      </c>
      <c r="H412" s="12" t="inlineStr">
        <is>
          <t>Agios, commissions et frais</t>
        </is>
      </c>
      <c r="I412" s="12" t="inlineStr"/>
      <c r="J412" s="12" t="inlineStr">
        <is>
          <t>B26030190</t>
        </is>
      </c>
      <c r="K412" s="12" t="inlineStr">
        <is>
          <t>44557, 62750</t>
        </is>
      </c>
      <c r="L412" s="12" t="inlineStr">
        <is>
          <t>Probable</t>
        </is>
      </c>
    </row>
    <row r="413">
      <c r="A413" s="22" t="inlineStr">
        <is>
          <t>10/03/2026</t>
        </is>
      </c>
      <c r="B413" s="22" t="inlineStr">
        <is>
          <t>00370-001101</t>
        </is>
      </c>
      <c r="C413" s="22" t="inlineStr">
        <is>
          <t>COM.VRT EDI BQUE</t>
        </is>
      </c>
      <c r="D413" s="25" t="n">
        <v>35.7</v>
      </c>
      <c r="E413" s="25" t="n"/>
      <c r="F413" s="25" t="n">
        <v>-15915026.36</v>
      </c>
      <c r="G413" s="12" t="inlineStr">
        <is>
          <t>2026-03</t>
        </is>
      </c>
      <c r="H413" s="12" t="inlineStr">
        <is>
          <t>Agios, commissions et frais</t>
        </is>
      </c>
      <c r="I413" s="12" t="inlineStr"/>
      <c r="J413" s="12" t="inlineStr">
        <is>
          <t>B26030191</t>
        </is>
      </c>
      <c r="K413" s="12" t="inlineStr">
        <is>
          <t>44557, 62750</t>
        </is>
      </c>
      <c r="L413" s="12" t="inlineStr">
        <is>
          <t>Probable</t>
        </is>
      </c>
    </row>
    <row r="414">
      <c r="A414" s="22" t="inlineStr">
        <is>
          <t>10/03/2026</t>
        </is>
      </c>
      <c r="B414" s="22" t="inlineStr">
        <is>
          <t>00370-001101</t>
        </is>
      </c>
      <c r="C414" s="22" t="inlineStr">
        <is>
          <t>VRT EDI SIMPLE AUTRE</t>
        </is>
      </c>
      <c r="D414" s="25" t="n">
        <v>81181.96000000001</v>
      </c>
      <c r="E414" s="25" t="n"/>
      <c r="F414" s="25" t="n">
        <v>-15996208.32</v>
      </c>
      <c r="G414" s="12" t="inlineStr">
        <is>
          <t>2026-03</t>
        </is>
      </c>
      <c r="H414" s="12" t="inlineStr">
        <is>
          <t>Fournisseurs, salaires et divers</t>
        </is>
      </c>
      <c r="I414" s="12" t="inlineStr"/>
      <c r="J414" s="12" t="inlineStr">
        <is>
          <t>B26030192</t>
        </is>
      </c>
      <c r="K414" s="12" t="inlineStr">
        <is>
          <t>47000</t>
        </is>
      </c>
      <c r="L414" s="12" t="inlineStr">
        <is>
          <t>À identifier</t>
        </is>
      </c>
    </row>
    <row r="415">
      <c r="A415" s="22" t="inlineStr">
        <is>
          <t>10/03/2026</t>
        </is>
      </c>
      <c r="B415" s="22" t="inlineStr">
        <is>
          <t>00370-119693</t>
        </is>
      </c>
      <c r="C415" s="22" t="inlineStr">
        <is>
          <t>PAIEMENT CHQ NUM  2125737</t>
        </is>
      </c>
      <c r="D415" s="25" t="n">
        <v>6751.21</v>
      </c>
      <c r="E415" s="25" t="n"/>
      <c r="F415" s="25" t="n">
        <v>-16002959.53</v>
      </c>
      <c r="G415" s="12" t="inlineStr">
        <is>
          <t>2026-03</t>
        </is>
      </c>
      <c r="H415" s="12" t="inlineStr">
        <is>
          <t>Fournisseurs, salaires et divers</t>
        </is>
      </c>
      <c r="I415" s="12" t="inlineStr"/>
      <c r="J415" s="12" t="inlineStr">
        <is>
          <t>B26030193</t>
        </is>
      </c>
      <c r="K415" s="12" t="inlineStr">
        <is>
          <t>47000</t>
        </is>
      </c>
      <c r="L415" s="12" t="inlineStr">
        <is>
          <t>À identifier</t>
        </is>
      </c>
    </row>
    <row r="416">
      <c r="A416" s="22" t="inlineStr">
        <is>
          <t>10/03/2026</t>
        </is>
      </c>
      <c r="B416" s="22" t="inlineStr">
        <is>
          <t>99000-065956</t>
        </is>
      </c>
      <c r="C416" s="22" t="inlineStr">
        <is>
          <t>SORT CHQ NUM  5162788</t>
        </is>
      </c>
      <c r="D416" s="25" t="n"/>
      <c r="E416" s="25" t="n">
        <v>1000000</v>
      </c>
      <c r="F416" s="25" t="n">
        <v>-15002959.53</v>
      </c>
      <c r="G416" s="12" t="inlineStr">
        <is>
          <t>2026-03</t>
        </is>
      </c>
      <c r="H416" s="12" t="inlineStr">
        <is>
          <t>Encaissements clients</t>
        </is>
      </c>
      <c r="I416" s="12" t="inlineStr"/>
      <c r="J416" s="12" t="inlineStr">
        <is>
          <t>B26030194</t>
        </is>
      </c>
      <c r="K416" s="12" t="inlineStr">
        <is>
          <t>41100</t>
        </is>
      </c>
      <c r="L416" s="12" t="inlineStr">
        <is>
          <t>Probable</t>
        </is>
      </c>
    </row>
    <row r="417">
      <c r="A417" s="22" t="inlineStr">
        <is>
          <t>10/03/2026</t>
        </is>
      </c>
      <c r="B417" s="22" t="inlineStr">
        <is>
          <t>99000-065956</t>
        </is>
      </c>
      <c r="C417" s="22" t="inlineStr">
        <is>
          <t>FRAIS REMISE CHQ N  5162788</t>
        </is>
      </c>
      <c r="D417" s="25" t="n">
        <v>238</v>
      </c>
      <c r="E417" s="25" t="n"/>
      <c r="F417" s="25" t="n">
        <v>-15003197.53</v>
      </c>
      <c r="G417" s="12" t="inlineStr">
        <is>
          <t>2026-03</t>
        </is>
      </c>
      <c r="H417" s="12" t="inlineStr">
        <is>
          <t>Agios, commissions et frais</t>
        </is>
      </c>
      <c r="I417" s="12" t="inlineStr"/>
      <c r="J417" s="12" t="inlineStr">
        <is>
          <t>B26030195</t>
        </is>
      </c>
      <c r="K417" s="12" t="inlineStr">
        <is>
          <t>44557, 62750</t>
        </is>
      </c>
      <c r="L417" s="12" t="inlineStr">
        <is>
          <t>Probable</t>
        </is>
      </c>
    </row>
    <row r="418">
      <c r="A418" s="22" t="inlineStr">
        <is>
          <t>11/03/2026</t>
        </is>
      </c>
      <c r="B418" s="22" t="inlineStr">
        <is>
          <t>00370-016239</t>
        </is>
      </c>
      <c r="C418" s="22" t="inlineStr">
        <is>
          <t>ANUL FRAIS REMISE CHQ N6883603</t>
        </is>
      </c>
      <c r="D418" s="25" t="n"/>
      <c r="E418" s="25" t="n">
        <v>238</v>
      </c>
      <c r="F418" s="25" t="n">
        <v>-15002959.53</v>
      </c>
      <c r="G418" s="12" t="inlineStr">
        <is>
          <t>2026-03</t>
        </is>
      </c>
      <c r="H418" s="12" t="inlineStr">
        <is>
          <t>Agios, commissions et frais</t>
        </is>
      </c>
      <c r="I418" s="12" t="inlineStr"/>
      <c r="J418" s="12" t="inlineStr">
        <is>
          <t>B26030196</t>
        </is>
      </c>
      <c r="K418" s="12" t="inlineStr">
        <is>
          <t>44557, 62750</t>
        </is>
      </c>
      <c r="L418" s="12" t="inlineStr">
        <is>
          <t>Certaine</t>
        </is>
      </c>
    </row>
    <row r="419">
      <c r="A419" s="22" t="inlineStr">
        <is>
          <t>11/03/2026</t>
        </is>
      </c>
      <c r="B419" s="22" t="inlineStr">
        <is>
          <t>00370-016237</t>
        </is>
      </c>
      <c r="C419" s="22" t="inlineStr">
        <is>
          <t>ANNUL SORT CHQ N6883603</t>
        </is>
      </c>
      <c r="D419" s="25" t="n">
        <v>261800</v>
      </c>
      <c r="E419" s="25" t="n"/>
      <c r="F419" s="25" t="n">
        <v>-15264759.53</v>
      </c>
      <c r="G419" s="12" t="inlineStr">
        <is>
          <t>2026-03</t>
        </is>
      </c>
      <c r="H419" s="12" t="inlineStr">
        <is>
          <t>Chèques clients rejetés</t>
        </is>
      </c>
      <c r="I419" s="12" t="inlineStr"/>
      <c r="J419" s="12" t="inlineStr">
        <is>
          <t>B26030197</t>
        </is>
      </c>
      <c r="K419" s="12" t="inlineStr">
        <is>
          <t>47000</t>
        </is>
      </c>
      <c r="L419" s="12" t="inlineStr">
        <is>
          <t>Certaine</t>
        </is>
      </c>
    </row>
    <row r="420">
      <c r="A420" s="22" t="inlineStr">
        <is>
          <t>12/03/2026</t>
        </is>
      </c>
      <c r="B420" s="22" t="inlineStr">
        <is>
          <t>00370-000564</t>
        </is>
      </c>
      <c r="C420" s="22" t="inlineStr">
        <is>
          <t>VRT EDI AUTRES BQUES</t>
        </is>
      </c>
      <c r="D420" s="25" t="n">
        <v>661070.24</v>
      </c>
      <c r="E420" s="25" t="n"/>
      <c r="F420" s="25" t="n">
        <v>-15925829.77</v>
      </c>
      <c r="G420" s="12" t="inlineStr">
        <is>
          <t>2026-03</t>
        </is>
      </c>
      <c r="H420" s="12" t="inlineStr">
        <is>
          <t>Fournisseurs, salaires et divers</t>
        </is>
      </c>
      <c r="I420" s="12" t="inlineStr"/>
      <c r="J420" s="12" t="inlineStr">
        <is>
          <t>B26030198</t>
        </is>
      </c>
      <c r="K420" s="12" t="inlineStr">
        <is>
          <t>47000</t>
        </is>
      </c>
      <c r="L420" s="12" t="inlineStr">
        <is>
          <t>À identifier</t>
        </is>
      </c>
    </row>
    <row r="421">
      <c r="A421" s="22" t="inlineStr">
        <is>
          <t>12/03/2026</t>
        </is>
      </c>
      <c r="B421" s="22" t="inlineStr">
        <is>
          <t>00370-000564</t>
        </is>
      </c>
      <c r="C421" s="22" t="inlineStr">
        <is>
          <t>COM.VRT EDI BQUE</t>
        </is>
      </c>
      <c r="D421" s="25" t="n">
        <v>357</v>
      </c>
      <c r="E421" s="25" t="n"/>
      <c r="F421" s="25" t="n">
        <v>-15926186.77</v>
      </c>
      <c r="G421" s="12" t="inlineStr">
        <is>
          <t>2026-03</t>
        </is>
      </c>
      <c r="H421" s="12" t="inlineStr">
        <is>
          <t>Agios, commissions et frais</t>
        </is>
      </c>
      <c r="I421" s="12" t="inlineStr"/>
      <c r="J421" s="12" t="inlineStr">
        <is>
          <t>B26030199</t>
        </is>
      </c>
      <c r="K421" s="12" t="inlineStr">
        <is>
          <t>44557, 62750</t>
        </is>
      </c>
      <c r="L421" s="12" t="inlineStr">
        <is>
          <t>Probable</t>
        </is>
      </c>
    </row>
    <row r="422">
      <c r="A422" s="22" t="inlineStr">
        <is>
          <t>12/03/2026</t>
        </is>
      </c>
      <c r="B422" s="22" t="inlineStr">
        <is>
          <t>99000-065979</t>
        </is>
      </c>
      <c r="C422" s="22" t="inlineStr">
        <is>
          <t>SORT CHQ NUM  9174213</t>
        </is>
      </c>
      <c r="D422" s="25" t="n"/>
      <c r="E422" s="25" t="n">
        <v>209440</v>
      </c>
      <c r="F422" s="25" t="n">
        <v>-15716746.77</v>
      </c>
      <c r="G422" s="12" t="inlineStr">
        <is>
          <t>2026-03</t>
        </is>
      </c>
      <c r="H422" s="12" t="inlineStr">
        <is>
          <t>Encaissements clients</t>
        </is>
      </c>
      <c r="I422" s="12" t="inlineStr"/>
      <c r="J422" s="12" t="inlineStr">
        <is>
          <t>B26030200</t>
        </is>
      </c>
      <c r="K422" s="12" t="inlineStr">
        <is>
          <t>47000</t>
        </is>
      </c>
      <c r="L422" s="12" t="inlineStr">
        <is>
          <t>À identifier</t>
        </is>
      </c>
    </row>
    <row r="423">
      <c r="A423" s="22" t="inlineStr">
        <is>
          <t>12/03/2026</t>
        </is>
      </c>
      <c r="B423" s="22" t="inlineStr">
        <is>
          <t>99000-065980</t>
        </is>
      </c>
      <c r="C423" s="22" t="inlineStr">
        <is>
          <t>SORT CHQ NUM  9174217</t>
        </is>
      </c>
      <c r="D423" s="25" t="n"/>
      <c r="E423" s="25" t="n">
        <v>1209635</v>
      </c>
      <c r="F423" s="25" t="n">
        <v>-14507111.77</v>
      </c>
      <c r="G423" s="12" t="inlineStr">
        <is>
          <t>2026-03</t>
        </is>
      </c>
      <c r="H423" s="12" t="inlineStr">
        <is>
          <t>Encaissements clients</t>
        </is>
      </c>
      <c r="I423" s="12" t="inlineStr"/>
      <c r="J423" s="12" t="inlineStr">
        <is>
          <t>B26030201</t>
        </is>
      </c>
      <c r="K423" s="12" t="inlineStr">
        <is>
          <t>47000</t>
        </is>
      </c>
      <c r="L423" s="12" t="inlineStr">
        <is>
          <t>À identifier</t>
        </is>
      </c>
    </row>
    <row r="424">
      <c r="A424" s="22" t="inlineStr">
        <is>
          <t>12/03/2026</t>
        </is>
      </c>
      <c r="B424" s="22" t="inlineStr">
        <is>
          <t>99000-065983</t>
        </is>
      </c>
      <c r="C424" s="22" t="inlineStr">
        <is>
          <t>SORT CHQ NUM  3546009</t>
        </is>
      </c>
      <c r="D424" s="25" t="n"/>
      <c r="E424" s="25" t="n">
        <v>141181.56</v>
      </c>
      <c r="F424" s="25" t="n">
        <v>-14365930.21</v>
      </c>
      <c r="G424" s="12" t="inlineStr">
        <is>
          <t>2026-03</t>
        </is>
      </c>
      <c r="H424" s="12" t="inlineStr">
        <is>
          <t>Encaissements clients</t>
        </is>
      </c>
      <c r="I424" s="12" t="inlineStr"/>
      <c r="J424" s="12" t="inlineStr">
        <is>
          <t>B26030202</t>
        </is>
      </c>
      <c r="K424" s="12" t="inlineStr">
        <is>
          <t>41100</t>
        </is>
      </c>
      <c r="L424" s="12" t="inlineStr">
        <is>
          <t>Probable</t>
        </is>
      </c>
    </row>
    <row r="425">
      <c r="A425" s="22" t="inlineStr">
        <is>
          <t>12/03/2026</t>
        </is>
      </c>
      <c r="B425" s="22" t="inlineStr">
        <is>
          <t>99000-065979</t>
        </is>
      </c>
      <c r="C425" s="22" t="inlineStr">
        <is>
          <t>FRAIS REMISE CHQ N  9174213</t>
        </is>
      </c>
      <c r="D425" s="25" t="n">
        <v>119</v>
      </c>
      <c r="E425" s="25" t="n"/>
      <c r="F425" s="25" t="n">
        <v>-14366049.21</v>
      </c>
      <c r="G425" s="12" t="inlineStr">
        <is>
          <t>2026-03</t>
        </is>
      </c>
      <c r="H425" s="12" t="inlineStr">
        <is>
          <t>Agios, commissions et frais</t>
        </is>
      </c>
      <c r="I425" s="12" t="inlineStr"/>
      <c r="J425" s="12" t="inlineStr">
        <is>
          <t>B26030203</t>
        </is>
      </c>
      <c r="K425" s="12" t="inlineStr">
        <is>
          <t>44557, 62750</t>
        </is>
      </c>
      <c r="L425" s="12" t="inlineStr">
        <is>
          <t>Probable</t>
        </is>
      </c>
    </row>
    <row r="426">
      <c r="A426" s="22" t="inlineStr">
        <is>
          <t>12/03/2026</t>
        </is>
      </c>
      <c r="B426" s="22" t="inlineStr">
        <is>
          <t>99000-065980</t>
        </is>
      </c>
      <c r="C426" s="22" t="inlineStr">
        <is>
          <t>FRAIS REMISE CHQ N  9174217</t>
        </is>
      </c>
      <c r="D426" s="25" t="n">
        <v>119</v>
      </c>
      <c r="E426" s="25" t="n"/>
      <c r="F426" s="25" t="n">
        <v>-14366168.21</v>
      </c>
      <c r="G426" s="12" t="inlineStr">
        <is>
          <t>2026-03</t>
        </is>
      </c>
      <c r="H426" s="12" t="inlineStr">
        <is>
          <t>Agios, commissions et frais</t>
        </is>
      </c>
      <c r="I426" s="12" t="inlineStr"/>
      <c r="J426" s="12" t="inlineStr">
        <is>
          <t>B26030204</t>
        </is>
      </c>
      <c r="K426" s="12" t="inlineStr">
        <is>
          <t>44557, 62750</t>
        </is>
      </c>
      <c r="L426" s="12" t="inlineStr">
        <is>
          <t>Probable</t>
        </is>
      </c>
    </row>
    <row r="427">
      <c r="A427" s="22" t="inlineStr">
        <is>
          <t>12/03/2026</t>
        </is>
      </c>
      <c r="B427" s="22" t="inlineStr">
        <is>
          <t>99000-065983</t>
        </is>
      </c>
      <c r="C427" s="22" t="inlineStr">
        <is>
          <t>FRAIS REMISE CHQ N  3546009</t>
        </is>
      </c>
      <c r="D427" s="25" t="n">
        <v>168</v>
      </c>
      <c r="E427" s="25" t="n"/>
      <c r="F427" s="25" t="n">
        <v>-14366336.21</v>
      </c>
      <c r="G427" s="12" t="inlineStr">
        <is>
          <t>2026-03</t>
        </is>
      </c>
      <c r="H427" s="12" t="inlineStr">
        <is>
          <t>Agios, commissions et frais</t>
        </is>
      </c>
      <c r="I427" s="12" t="inlineStr"/>
      <c r="J427" s="12" t="inlineStr">
        <is>
          <t>B26030205</t>
        </is>
      </c>
      <c r="K427" s="12" t="inlineStr">
        <is>
          <t>44557, 62750</t>
        </is>
      </c>
      <c r="L427" s="12" t="inlineStr">
        <is>
          <t>Probable</t>
        </is>
      </c>
    </row>
    <row r="428">
      <c r="A428" s="22" t="inlineStr">
        <is>
          <t>15/03/2026</t>
        </is>
      </c>
      <c r="B428" s="22" t="inlineStr">
        <is>
          <t>00370-000683</t>
        </is>
      </c>
      <c r="C428" s="22" t="inlineStr">
        <is>
          <t>COM.VRT EDI CAISSE</t>
        </is>
      </c>
      <c r="D428" s="25" t="n">
        <v>11.9</v>
      </c>
      <c r="E428" s="25" t="n"/>
      <c r="F428" s="25" t="n">
        <v>-14366348.11</v>
      </c>
      <c r="G428" s="12" t="inlineStr">
        <is>
          <t>2026-03</t>
        </is>
      </c>
      <c r="H428" s="12" t="inlineStr">
        <is>
          <t>Agios, commissions et frais</t>
        </is>
      </c>
      <c r="I428" s="12" t="inlineStr"/>
      <c r="J428" s="12" t="inlineStr">
        <is>
          <t>B26030206</t>
        </is>
      </c>
      <c r="K428" s="12" t="inlineStr">
        <is>
          <t>44557, 62750</t>
        </is>
      </c>
      <c r="L428" s="12" t="inlineStr">
        <is>
          <t>Probable</t>
        </is>
      </c>
    </row>
    <row r="429">
      <c r="A429" s="22" t="inlineStr">
        <is>
          <t>15/03/2026</t>
        </is>
      </c>
      <c r="B429" s="22" t="inlineStr">
        <is>
          <t>00370-000683</t>
        </is>
      </c>
      <c r="C429" s="22" t="inlineStr">
        <is>
          <t>VRT EDI SIMPLE NOS C</t>
        </is>
      </c>
      <c r="D429" s="25" t="n">
        <v>250000</v>
      </c>
      <c r="E429" s="25" t="n"/>
      <c r="F429" s="25" t="n">
        <v>-14616348.11</v>
      </c>
      <c r="G429" s="12" t="inlineStr">
        <is>
          <t>2026-03</t>
        </is>
      </c>
      <c r="H429" s="12" t="inlineStr">
        <is>
          <t>Fournisseurs, salaires et divers</t>
        </is>
      </c>
      <c r="I429" s="12" t="inlineStr"/>
      <c r="J429" s="12" t="inlineStr">
        <is>
          <t>B26030207</t>
        </is>
      </c>
      <c r="K429" s="12" t="inlineStr">
        <is>
          <t>58100</t>
        </is>
      </c>
      <c r="L429" s="12" t="inlineStr">
        <is>
          <t>Par analogie</t>
        </is>
      </c>
    </row>
    <row r="430">
      <c r="A430" s="22" t="inlineStr">
        <is>
          <t>15/03/2026</t>
        </is>
      </c>
      <c r="B430" s="22" t="inlineStr">
        <is>
          <t>00370-001104</t>
        </is>
      </c>
      <c r="C430" s="22" t="inlineStr">
        <is>
          <t>COM.VRT EDI BQUE</t>
        </is>
      </c>
      <c r="D430" s="25" t="n">
        <v>35.7</v>
      </c>
      <c r="E430" s="25" t="n"/>
      <c r="F430" s="25" t="n">
        <v>-14616383.81</v>
      </c>
      <c r="G430" s="12" t="inlineStr">
        <is>
          <t>2026-03</t>
        </is>
      </c>
      <c r="H430" s="12" t="inlineStr">
        <is>
          <t>Agios, commissions et frais</t>
        </is>
      </c>
      <c r="I430" s="12" t="inlineStr"/>
      <c r="J430" s="12" t="inlineStr">
        <is>
          <t>B26030208</t>
        </is>
      </c>
      <c r="K430" s="12" t="inlineStr">
        <is>
          <t>44557, 62750</t>
        </is>
      </c>
      <c r="L430" s="12" t="inlineStr">
        <is>
          <t>Probable</t>
        </is>
      </c>
    </row>
    <row r="431">
      <c r="A431" s="22" t="inlineStr">
        <is>
          <t>15/03/2026</t>
        </is>
      </c>
      <c r="B431" s="22" t="inlineStr">
        <is>
          <t>00370-001104</t>
        </is>
      </c>
      <c r="C431" s="22" t="inlineStr">
        <is>
          <t>VRT EDI SIMPLE AUTRE</t>
        </is>
      </c>
      <c r="D431" s="25" t="n">
        <v>311116</v>
      </c>
      <c r="E431" s="25" t="n"/>
      <c r="F431" s="25" t="n">
        <v>-14927499.81</v>
      </c>
      <c r="G431" s="12" t="inlineStr">
        <is>
          <t>2026-03</t>
        </is>
      </c>
      <c r="H431" s="12" t="inlineStr">
        <is>
          <t>Fournisseurs, salaires et divers</t>
        </is>
      </c>
      <c r="I431" s="12" t="inlineStr"/>
      <c r="J431" s="12" t="inlineStr">
        <is>
          <t>B26030209</t>
        </is>
      </c>
      <c r="K431" s="12" t="inlineStr">
        <is>
          <t>47000</t>
        </is>
      </c>
      <c r="L431" s="12" t="inlineStr">
        <is>
          <t>À identifier</t>
        </is>
      </c>
    </row>
    <row r="432">
      <c r="A432" s="22" t="inlineStr">
        <is>
          <t>15/03/2026</t>
        </is>
      </c>
      <c r="B432" s="22" t="inlineStr">
        <is>
          <t>00370-001105</t>
        </is>
      </c>
      <c r="C432" s="22" t="inlineStr">
        <is>
          <t>COM.VRT EDI BQUE</t>
        </is>
      </c>
      <c r="D432" s="25" t="n">
        <v>35.7</v>
      </c>
      <c r="E432" s="25" t="n"/>
      <c r="F432" s="25" t="n">
        <v>-14927535.51</v>
      </c>
      <c r="G432" s="12" t="inlineStr">
        <is>
          <t>2026-03</t>
        </is>
      </c>
      <c r="H432" s="12" t="inlineStr">
        <is>
          <t>Agios, commissions et frais</t>
        </is>
      </c>
      <c r="I432" s="12" t="inlineStr"/>
      <c r="J432" s="12" t="inlineStr">
        <is>
          <t>B26030210</t>
        </is>
      </c>
      <c r="K432" s="12" t="inlineStr">
        <is>
          <t>44557, 62750</t>
        </is>
      </c>
      <c r="L432" s="12" t="inlineStr">
        <is>
          <t>Probable</t>
        </is>
      </c>
    </row>
    <row r="433">
      <c r="A433" s="22" t="inlineStr">
        <is>
          <t>15/03/2026</t>
        </is>
      </c>
      <c r="B433" s="22" t="inlineStr">
        <is>
          <t>00370-001105</t>
        </is>
      </c>
      <c r="C433" s="22" t="inlineStr">
        <is>
          <t>VRT EDI SIMPLE AUTRE</t>
        </is>
      </c>
      <c r="D433" s="25" t="n">
        <v>434000</v>
      </c>
      <c r="E433" s="25" t="n"/>
      <c r="F433" s="25" t="n">
        <v>-15361535.51</v>
      </c>
      <c r="G433" s="12" t="inlineStr">
        <is>
          <t>2026-03</t>
        </is>
      </c>
      <c r="H433" s="12" t="inlineStr">
        <is>
          <t>Fournisseurs, salaires et divers</t>
        </is>
      </c>
      <c r="I433" s="12" t="inlineStr"/>
      <c r="J433" s="12" t="inlineStr">
        <is>
          <t>B26030211</t>
        </is>
      </c>
      <c r="K433" s="12" t="inlineStr">
        <is>
          <t>47000</t>
        </is>
      </c>
      <c r="L433" s="12" t="inlineStr">
        <is>
          <t>À identifier</t>
        </is>
      </c>
    </row>
    <row r="434">
      <c r="A434" s="22" t="inlineStr">
        <is>
          <t>15/03/2026</t>
        </is>
      </c>
      <c r="B434" s="22" t="inlineStr">
        <is>
          <t>99000-005359</t>
        </is>
      </c>
      <c r="C434" s="22" t="inlineStr">
        <is>
          <t>PERCEPTION DES COMMISSIONS</t>
        </is>
      </c>
      <c r="D434" s="25" t="n">
        <v>71.39</v>
      </c>
      <c r="E434" s="25" t="n"/>
      <c r="F434" s="25" t="n">
        <v>-15361606.9</v>
      </c>
      <c r="G434" s="12" t="inlineStr">
        <is>
          <t>2026-03</t>
        </is>
      </c>
      <c r="H434" s="12" t="inlineStr">
        <is>
          <t>Agios, commissions et frais</t>
        </is>
      </c>
      <c r="I434" s="12" t="inlineStr"/>
      <c r="J434" s="12" t="inlineStr">
        <is>
          <t>B26030212</t>
        </is>
      </c>
      <c r="K434" s="12" t="inlineStr">
        <is>
          <t>44557, 62750</t>
        </is>
      </c>
      <c r="L434" s="12" t="inlineStr">
        <is>
          <t>Probable</t>
        </is>
      </c>
    </row>
    <row r="435">
      <c r="A435" s="22" t="inlineStr">
        <is>
          <t>16/03/2026</t>
        </is>
      </c>
      <c r="B435" s="22" t="inlineStr">
        <is>
          <t>99000-066011</t>
        </is>
      </c>
      <c r="C435" s="22" t="inlineStr">
        <is>
          <t>SORT CHQ NUM  3949440</t>
        </is>
      </c>
      <c r="D435" s="25" t="n"/>
      <c r="E435" s="25" t="n">
        <v>555000</v>
      </c>
      <c r="F435" s="25" t="n">
        <v>-14806606.9</v>
      </c>
      <c r="G435" s="12" t="inlineStr">
        <is>
          <t>2026-03</t>
        </is>
      </c>
      <c r="H435" s="12" t="inlineStr">
        <is>
          <t>Encaissements clients</t>
        </is>
      </c>
      <c r="I435" s="12" t="inlineStr"/>
      <c r="J435" s="12" t="inlineStr">
        <is>
          <t>B26030213</t>
        </is>
      </c>
      <c r="K435" s="12" t="inlineStr">
        <is>
          <t>47000</t>
        </is>
      </c>
      <c r="L435" s="12" t="inlineStr">
        <is>
          <t>À identifier</t>
        </is>
      </c>
    </row>
    <row r="436">
      <c r="A436" s="22" t="inlineStr">
        <is>
          <t>16/03/2026</t>
        </is>
      </c>
      <c r="B436" s="22" t="inlineStr">
        <is>
          <t>99000-066011</t>
        </is>
      </c>
      <c r="C436" s="22" t="inlineStr">
        <is>
          <t>FRAIS REMISE CHQ N  3949440</t>
        </is>
      </c>
      <c r="D436" s="25" t="n">
        <v>119</v>
      </c>
      <c r="E436" s="25" t="n"/>
      <c r="F436" s="25" t="n">
        <v>-14806725.9</v>
      </c>
      <c r="G436" s="12" t="inlineStr">
        <is>
          <t>2026-03</t>
        </is>
      </c>
      <c r="H436" s="12" t="inlineStr">
        <is>
          <t>Agios, commissions et frais</t>
        </is>
      </c>
      <c r="I436" s="12" t="inlineStr"/>
      <c r="J436" s="12" t="inlineStr">
        <is>
          <t>B26030214</t>
        </is>
      </c>
      <c r="K436" s="12" t="inlineStr">
        <is>
          <t>44557, 62750</t>
        </is>
      </c>
      <c r="L436" s="12" t="inlineStr">
        <is>
          <t>Probable</t>
        </is>
      </c>
    </row>
    <row r="437">
      <c r="A437" s="22" t="inlineStr">
        <is>
          <t>16/03/2026</t>
        </is>
      </c>
      <c r="B437" s="22" t="inlineStr">
        <is>
          <t>99000-005361</t>
        </is>
      </c>
      <c r="C437" s="22" t="inlineStr">
        <is>
          <t>PERCEPTION DES COMMISSIONS</t>
        </is>
      </c>
      <c r="D437" s="25" t="n">
        <v>60.82</v>
      </c>
      <c r="E437" s="25" t="n"/>
      <c r="F437" s="25" t="n">
        <v>-14806786.72</v>
      </c>
      <c r="G437" s="12" t="inlineStr">
        <is>
          <t>2026-03</t>
        </is>
      </c>
      <c r="H437" s="12" t="inlineStr">
        <is>
          <t>Agios, commissions et frais</t>
        </is>
      </c>
      <c r="I437" s="12" t="inlineStr"/>
      <c r="J437" s="12" t="inlineStr">
        <is>
          <t>B26030215</t>
        </is>
      </c>
      <c r="K437" s="12" t="inlineStr">
        <is>
          <t>44557, 62750</t>
        </is>
      </c>
      <c r="L437" s="12" t="inlineStr">
        <is>
          <t>Probable</t>
        </is>
      </c>
    </row>
    <row r="438">
      <c r="A438" s="22" t="inlineStr">
        <is>
          <t>16/03/2026</t>
        </is>
      </c>
      <c r="B438" s="22" t="inlineStr">
        <is>
          <t>99000-005360</t>
        </is>
      </c>
      <c r="C438" s="22" t="inlineStr">
        <is>
          <t>PERCEPTION DES COMMISSIONS</t>
        </is>
      </c>
      <c r="D438" s="25" t="n">
        <v>60.82</v>
      </c>
      <c r="E438" s="25" t="n"/>
      <c r="F438" s="25" t="n">
        <v>-14806847.54</v>
      </c>
      <c r="G438" s="12" t="inlineStr">
        <is>
          <t>2026-03</t>
        </is>
      </c>
      <c r="H438" s="12" t="inlineStr">
        <is>
          <t>Agios, commissions et frais</t>
        </is>
      </c>
      <c r="I438" s="12" t="inlineStr"/>
      <c r="J438" s="12" t="inlineStr">
        <is>
          <t>B26030216</t>
        </is>
      </c>
      <c r="K438" s="12" t="inlineStr">
        <is>
          <t>44557, 62750</t>
        </is>
      </c>
      <c r="L438" s="12" t="inlineStr">
        <is>
          <t>Probable</t>
        </is>
      </c>
    </row>
    <row r="439">
      <c r="A439" s="22" t="inlineStr">
        <is>
          <t>16/03/2026</t>
        </is>
      </c>
      <c r="B439" s="22" t="inlineStr">
        <is>
          <t>99000-005362</t>
        </is>
      </c>
      <c r="C439" s="22" t="inlineStr">
        <is>
          <t>PERCEPTION DES COMMISSIONS</t>
        </is>
      </c>
      <c r="D439" s="25" t="n">
        <v>1520.56</v>
      </c>
      <c r="E439" s="25" t="n"/>
      <c r="F439" s="25" t="n">
        <v>-14808368.1</v>
      </c>
      <c r="G439" s="12" t="inlineStr">
        <is>
          <t>2026-03</t>
        </is>
      </c>
      <c r="H439" s="12" t="inlineStr">
        <is>
          <t>Agios, commissions et frais</t>
        </is>
      </c>
      <c r="I439" s="12" t="inlineStr"/>
      <c r="J439" s="12" t="inlineStr">
        <is>
          <t>B26030217</t>
        </is>
      </c>
      <c r="K439" s="12" t="inlineStr">
        <is>
          <t>44557, 62750</t>
        </is>
      </c>
      <c r="L439" s="12" t="inlineStr">
        <is>
          <t>Probable</t>
        </is>
      </c>
    </row>
    <row r="440">
      <c r="A440" s="22" t="inlineStr">
        <is>
          <t>16/03/2026</t>
        </is>
      </c>
      <c r="B440" s="22" t="inlineStr">
        <is>
          <t>99000-005365</t>
        </is>
      </c>
      <c r="C440" s="22" t="inlineStr">
        <is>
          <t>PERCEPTION DES COMMISSIONS</t>
        </is>
      </c>
      <c r="D440" s="25" t="n">
        <v>60.82</v>
      </c>
      <c r="E440" s="25" t="n"/>
      <c r="F440" s="25" t="n">
        <v>-14808428.92</v>
      </c>
      <c r="G440" s="12" t="inlineStr">
        <is>
          <t>2026-03</t>
        </is>
      </c>
      <c r="H440" s="12" t="inlineStr">
        <is>
          <t>Agios, commissions et frais</t>
        </is>
      </c>
      <c r="I440" s="12" t="inlineStr"/>
      <c r="J440" s="12" t="inlineStr">
        <is>
          <t>B26030218</t>
        </is>
      </c>
      <c r="K440" s="12" t="inlineStr">
        <is>
          <t>44557, 62750</t>
        </is>
      </c>
      <c r="L440" s="12" t="inlineStr">
        <is>
          <t>Probable</t>
        </is>
      </c>
    </row>
    <row r="441">
      <c r="A441" s="22" t="inlineStr">
        <is>
          <t>16/03/2026</t>
        </is>
      </c>
      <c r="B441" s="22" t="inlineStr">
        <is>
          <t>99000-005363</t>
        </is>
      </c>
      <c r="C441" s="22" t="inlineStr">
        <is>
          <t>PERCEPTION DES COMMISSIONS</t>
        </is>
      </c>
      <c r="D441" s="25" t="n">
        <v>60.82</v>
      </c>
      <c r="E441" s="25" t="n"/>
      <c r="F441" s="25" t="n">
        <v>-14808489.74</v>
      </c>
      <c r="G441" s="12" t="inlineStr">
        <is>
          <t>2026-03</t>
        </is>
      </c>
      <c r="H441" s="12" t="inlineStr">
        <is>
          <t>Agios, commissions et frais</t>
        </is>
      </c>
      <c r="I441" s="12" t="inlineStr"/>
      <c r="J441" s="12" t="inlineStr">
        <is>
          <t>B26030219</t>
        </is>
      </c>
      <c r="K441" s="12" t="inlineStr">
        <is>
          <t>44557, 62750</t>
        </is>
      </c>
      <c r="L441" s="12" t="inlineStr">
        <is>
          <t>Probable</t>
        </is>
      </c>
    </row>
    <row r="442">
      <c r="A442" s="22" t="inlineStr">
        <is>
          <t>16/03/2026</t>
        </is>
      </c>
      <c r="B442" s="22" t="inlineStr">
        <is>
          <t>99000-005364</t>
        </is>
      </c>
      <c r="C442" s="22" t="inlineStr">
        <is>
          <t>PERCEPTION DES COMMISSIONS</t>
        </is>
      </c>
      <c r="D442" s="25" t="n">
        <v>60.82</v>
      </c>
      <c r="E442" s="25" t="n"/>
      <c r="F442" s="25" t="n">
        <v>-14808550.56</v>
      </c>
      <c r="G442" s="12" t="inlineStr">
        <is>
          <t>2026-03</t>
        </is>
      </c>
      <c r="H442" s="12" t="inlineStr">
        <is>
          <t>Agios, commissions et frais</t>
        </is>
      </c>
      <c r="I442" s="12" t="inlineStr"/>
      <c r="J442" s="12" t="inlineStr">
        <is>
          <t>B26030220</t>
        </is>
      </c>
      <c r="K442" s="12" t="inlineStr">
        <is>
          <t>44557, 62750</t>
        </is>
      </c>
      <c r="L442" s="12" t="inlineStr">
        <is>
          <t>Probable</t>
        </is>
      </c>
    </row>
    <row r="443">
      <c r="A443" s="22" t="inlineStr">
        <is>
          <t>16/03/2026</t>
        </is>
      </c>
      <c r="B443" s="22" t="inlineStr">
        <is>
          <t>99000-000187</t>
        </is>
      </c>
      <c r="C443" s="22" t="inlineStr">
        <is>
          <t>OUV CREDOC00370 CDI00014662</t>
        </is>
      </c>
      <c r="D443" s="25" t="n">
        <v>183067.35</v>
      </c>
      <c r="E443" s="25" t="n"/>
      <c r="F443" s="25" t="n">
        <v>-14991617.91</v>
      </c>
      <c r="G443" s="12" t="inlineStr">
        <is>
          <t>2026-03</t>
        </is>
      </c>
      <c r="H443" s="12" t="inlineStr">
        <is>
          <t>Importations (règlements, provisions, crédoc)</t>
        </is>
      </c>
      <c r="I443" s="12" t="inlineStr"/>
      <c r="J443" s="12" t="inlineStr">
        <is>
          <t>B26030221</t>
        </is>
      </c>
      <c r="K443" s="12" t="inlineStr">
        <is>
          <t>44557, 62750</t>
        </is>
      </c>
      <c r="L443" s="12" t="inlineStr">
        <is>
          <t>Probable</t>
        </is>
      </c>
    </row>
    <row r="444">
      <c r="A444" s="22" t="inlineStr">
        <is>
          <t>17/03/2026</t>
        </is>
      </c>
      <c r="B444" s="22" t="inlineStr">
        <is>
          <t>99000-066027</t>
        </is>
      </c>
      <c r="C444" s="22" t="inlineStr">
        <is>
          <t>SORT CHQ NUM   167351</t>
        </is>
      </c>
      <c r="D444" s="25" t="n"/>
      <c r="E444" s="25" t="n">
        <v>71000</v>
      </c>
      <c r="F444" s="25" t="n">
        <v>-14920617.91</v>
      </c>
      <c r="G444" s="12" t="inlineStr">
        <is>
          <t>2026-03</t>
        </is>
      </c>
      <c r="H444" s="12" t="inlineStr">
        <is>
          <t>Encaissements clients</t>
        </is>
      </c>
      <c r="I444" s="12" t="inlineStr"/>
      <c r="J444" s="12" t="inlineStr">
        <is>
          <t>B26030222</t>
        </is>
      </c>
      <c r="K444" s="12" t="inlineStr">
        <is>
          <t>47000</t>
        </is>
      </c>
      <c r="L444" s="12" t="inlineStr">
        <is>
          <t>À identifier</t>
        </is>
      </c>
    </row>
    <row r="445">
      <c r="A445" s="22" t="inlineStr">
        <is>
          <t>17/03/2026</t>
        </is>
      </c>
      <c r="B445" s="22" t="inlineStr">
        <is>
          <t>99000-066027</t>
        </is>
      </c>
      <c r="C445" s="22" t="inlineStr">
        <is>
          <t>FRAIS REMISE CHQ N   167351</t>
        </is>
      </c>
      <c r="D445" s="25" t="n">
        <v>119</v>
      </c>
      <c r="E445" s="25" t="n"/>
      <c r="F445" s="25" t="n">
        <v>-14920736.91</v>
      </c>
      <c r="G445" s="12" t="inlineStr">
        <is>
          <t>2026-03</t>
        </is>
      </c>
      <c r="H445" s="12" t="inlineStr">
        <is>
          <t>Agios, commissions et frais</t>
        </is>
      </c>
      <c r="I445" s="12" t="inlineStr"/>
      <c r="J445" s="12" t="inlineStr">
        <is>
          <t>B26030223</t>
        </is>
      </c>
      <c r="K445" s="12" t="inlineStr">
        <is>
          <t>44557, 62750</t>
        </is>
      </c>
      <c r="L445" s="12" t="inlineStr">
        <is>
          <t>Probable</t>
        </is>
      </c>
    </row>
    <row r="446">
      <c r="A446" s="22" t="inlineStr">
        <is>
          <t>18/03/2026</t>
        </is>
      </c>
      <c r="B446" s="22" t="inlineStr">
        <is>
          <t>00370-000128</t>
        </is>
      </c>
      <c r="C446" s="22" t="inlineStr">
        <is>
          <t>COM.VRT EDI AGENCE</t>
        </is>
      </c>
      <c r="D446" s="25" t="n">
        <v>23.8</v>
      </c>
      <c r="E446" s="25" t="n"/>
      <c r="F446" s="25" t="n">
        <v>-14920760.71</v>
      </c>
      <c r="G446" s="12" t="inlineStr">
        <is>
          <t>2026-03</t>
        </is>
      </c>
      <c r="H446" s="12" t="inlineStr">
        <is>
          <t>Agios, commissions et frais</t>
        </is>
      </c>
      <c r="I446" s="12" t="inlineStr"/>
      <c r="J446" s="12" t="inlineStr">
        <is>
          <t>B26030224</t>
        </is>
      </c>
      <c r="K446" s="12" t="inlineStr">
        <is>
          <t>44557, 62750</t>
        </is>
      </c>
      <c r="L446" s="12" t="inlineStr">
        <is>
          <t>Probable</t>
        </is>
      </c>
    </row>
    <row r="447">
      <c r="A447" s="22" t="inlineStr">
        <is>
          <t>18/03/2026</t>
        </is>
      </c>
      <c r="B447" s="22" t="inlineStr">
        <is>
          <t>00370-000128</t>
        </is>
      </c>
      <c r="C447" s="22" t="inlineStr">
        <is>
          <t>VRT EDI SIMPLE AUTRE</t>
        </is>
      </c>
      <c r="D447" s="25" t="n">
        <v>250000</v>
      </c>
      <c r="E447" s="25" t="n"/>
      <c r="F447" s="25" t="n">
        <v>-15170760.71</v>
      </c>
      <c r="G447" s="12" t="inlineStr">
        <is>
          <t>2026-03</t>
        </is>
      </c>
      <c r="H447" s="12" t="inlineStr">
        <is>
          <t>Fournisseurs, salaires et divers</t>
        </is>
      </c>
      <c r="I447" s="12" t="inlineStr"/>
      <c r="J447" s="12" t="inlineStr">
        <is>
          <t>B26030225</t>
        </is>
      </c>
      <c r="K447" s="12" t="inlineStr">
        <is>
          <t>58100</t>
        </is>
      </c>
      <c r="L447" s="12" t="inlineStr">
        <is>
          <t>Par analogie</t>
        </is>
      </c>
    </row>
    <row r="448">
      <c r="A448" s="22" t="inlineStr">
        <is>
          <t>18/03/2026</t>
        </is>
      </c>
      <c r="B448" s="22" t="inlineStr">
        <is>
          <t>99000-066046</t>
        </is>
      </c>
      <c r="C448" s="22" t="inlineStr">
        <is>
          <t>SORT CHQ NUM  6708810</t>
        </is>
      </c>
      <c r="D448" s="25" t="n"/>
      <c r="E448" s="25" t="n">
        <v>1124550</v>
      </c>
      <c r="F448" s="25" t="n">
        <v>-14046210.71</v>
      </c>
      <c r="G448" s="12" t="inlineStr">
        <is>
          <t>2026-03</t>
        </is>
      </c>
      <c r="H448" s="12" t="inlineStr">
        <is>
          <t>Encaissements clients</t>
        </is>
      </c>
      <c r="I448" s="12" t="inlineStr"/>
      <c r="J448" s="12" t="inlineStr">
        <is>
          <t>B26030226</t>
        </is>
      </c>
      <c r="K448" s="12" t="inlineStr">
        <is>
          <t>47000</t>
        </is>
      </c>
      <c r="L448" s="12" t="inlineStr">
        <is>
          <t>À identifier</t>
        </is>
      </c>
    </row>
    <row r="449">
      <c r="A449" s="22" t="inlineStr">
        <is>
          <t>18/03/2026</t>
        </is>
      </c>
      <c r="B449" s="22" t="inlineStr">
        <is>
          <t>99000-066046</t>
        </is>
      </c>
      <c r="C449" s="22" t="inlineStr">
        <is>
          <t>FRAIS REMISE CHQ N  6708810</t>
        </is>
      </c>
      <c r="D449" s="25" t="n">
        <v>238</v>
      </c>
      <c r="E449" s="25" t="n"/>
      <c r="F449" s="25" t="n">
        <v>-14046448.71</v>
      </c>
      <c r="G449" s="12" t="inlineStr">
        <is>
          <t>2026-03</t>
        </is>
      </c>
      <c r="H449" s="12" t="inlineStr">
        <is>
          <t>Agios, commissions et frais</t>
        </is>
      </c>
      <c r="I449" s="12" t="inlineStr"/>
      <c r="J449" s="12" t="inlineStr">
        <is>
          <t>B26030227</t>
        </is>
      </c>
      <c r="K449" s="12" t="inlineStr">
        <is>
          <t>44557, 62750</t>
        </is>
      </c>
      <c r="L449" s="12" t="inlineStr">
        <is>
          <t>Probable</t>
        </is>
      </c>
    </row>
    <row r="450">
      <c r="A450" s="22" t="inlineStr">
        <is>
          <t>19/03/2026</t>
        </is>
      </c>
      <c r="B450" s="22" t="inlineStr">
        <is>
          <t>99000-066078</t>
        </is>
      </c>
      <c r="C450" s="22" t="inlineStr">
        <is>
          <t>SORT CHQ NUM  4215630</t>
        </is>
      </c>
      <c r="D450" s="25" t="n"/>
      <c r="E450" s="25" t="n">
        <v>3501741.6</v>
      </c>
      <c r="F450" s="25" t="n">
        <v>-10544707.11</v>
      </c>
      <c r="G450" s="12" t="inlineStr">
        <is>
          <t>2026-03</t>
        </is>
      </c>
      <c r="H450" s="12" t="inlineStr">
        <is>
          <t>Encaissements clients</t>
        </is>
      </c>
      <c r="I450" s="12" t="inlineStr"/>
      <c r="J450" s="12" t="inlineStr">
        <is>
          <t>B26030228</t>
        </is>
      </c>
      <c r="K450" s="12" t="inlineStr">
        <is>
          <t>41100</t>
        </is>
      </c>
      <c r="L450" s="12" t="inlineStr">
        <is>
          <t>Probable</t>
        </is>
      </c>
    </row>
    <row r="451">
      <c r="A451" s="22" t="inlineStr">
        <is>
          <t>19/03/2026</t>
        </is>
      </c>
      <c r="B451" s="22" t="inlineStr">
        <is>
          <t>99000-066073</t>
        </is>
      </c>
      <c r="C451" s="22" t="inlineStr">
        <is>
          <t>SORT CHQ NUM  2160722</t>
        </is>
      </c>
      <c r="D451" s="25" t="n"/>
      <c r="E451" s="25" t="n">
        <v>121000</v>
      </c>
      <c r="F451" s="25" t="n">
        <v>-10423707.11</v>
      </c>
      <c r="G451" s="12" t="inlineStr">
        <is>
          <t>2026-03</t>
        </is>
      </c>
      <c r="H451" s="12" t="inlineStr">
        <is>
          <t>Encaissements clients</t>
        </is>
      </c>
      <c r="I451" s="12" t="inlineStr"/>
      <c r="J451" s="12" t="inlineStr">
        <is>
          <t>B26030229</t>
        </is>
      </c>
      <c r="K451" s="12" t="inlineStr">
        <is>
          <t>47000</t>
        </is>
      </c>
      <c r="L451" s="12" t="inlineStr">
        <is>
          <t>À identifier</t>
        </is>
      </c>
    </row>
    <row r="452">
      <c r="A452" s="22" t="inlineStr">
        <is>
          <t>19/03/2026</t>
        </is>
      </c>
      <c r="B452" s="22" t="inlineStr">
        <is>
          <t>99000-066075</t>
        </is>
      </c>
      <c r="C452" s="22" t="inlineStr">
        <is>
          <t>SORT CHQ NUM  1294513</t>
        </is>
      </c>
      <c r="D452" s="25" t="n"/>
      <c r="E452" s="25" t="n">
        <v>4166190</v>
      </c>
      <c r="F452" s="25" t="n">
        <v>-6257517.11</v>
      </c>
      <c r="G452" s="12" t="inlineStr">
        <is>
          <t>2026-03</t>
        </is>
      </c>
      <c r="H452" s="12" t="inlineStr">
        <is>
          <t>Encaissements clients</t>
        </is>
      </c>
      <c r="I452" s="12" t="inlineStr"/>
      <c r="J452" s="12" t="inlineStr">
        <is>
          <t>B26030230</t>
        </is>
      </c>
      <c r="K452" s="12" t="inlineStr">
        <is>
          <t>47000</t>
        </is>
      </c>
      <c r="L452" s="12" t="inlineStr">
        <is>
          <t>À identifier</t>
        </is>
      </c>
    </row>
    <row r="453">
      <c r="A453" s="22" t="inlineStr">
        <is>
          <t>19/03/2026</t>
        </is>
      </c>
      <c r="B453" s="22" t="inlineStr">
        <is>
          <t>99000-066081</t>
        </is>
      </c>
      <c r="C453" s="22" t="inlineStr">
        <is>
          <t>SORT CHQ NUM  5666199</t>
        </is>
      </c>
      <c r="D453" s="25" t="n"/>
      <c r="E453" s="25" t="n">
        <v>899660</v>
      </c>
      <c r="F453" s="25" t="n">
        <v>-5357857.11</v>
      </c>
      <c r="G453" s="12" t="inlineStr">
        <is>
          <t>2026-03</t>
        </is>
      </c>
      <c r="H453" s="12" t="inlineStr">
        <is>
          <t>Encaissements clients</t>
        </is>
      </c>
      <c r="I453" s="12" t="inlineStr"/>
      <c r="J453" s="12" t="inlineStr">
        <is>
          <t>B26030231</t>
        </is>
      </c>
      <c r="K453" s="12" t="inlineStr">
        <is>
          <t>47000</t>
        </is>
      </c>
      <c r="L453" s="12" t="inlineStr">
        <is>
          <t>À identifier</t>
        </is>
      </c>
    </row>
    <row r="454">
      <c r="A454" s="22" t="inlineStr">
        <is>
          <t>19/03/2026</t>
        </is>
      </c>
      <c r="B454" s="22" t="inlineStr">
        <is>
          <t>99000-066078</t>
        </is>
      </c>
      <c r="C454" s="22" t="inlineStr">
        <is>
          <t>FRAIS REMISE CHQ N  4215630</t>
        </is>
      </c>
      <c r="D454" s="25" t="n">
        <v>238</v>
      </c>
      <c r="E454" s="25" t="n"/>
      <c r="F454" s="25" t="n">
        <v>-5358095.11</v>
      </c>
      <c r="G454" s="12" t="inlineStr">
        <is>
          <t>2026-03</t>
        </is>
      </c>
      <c r="H454" s="12" t="inlineStr">
        <is>
          <t>Agios, commissions et frais</t>
        </is>
      </c>
      <c r="I454" s="12" t="inlineStr"/>
      <c r="J454" s="12" t="inlineStr">
        <is>
          <t>B26030232</t>
        </is>
      </c>
      <c r="K454" s="12" t="inlineStr">
        <is>
          <t>44557, 62750</t>
        </is>
      </c>
      <c r="L454" s="12" t="inlineStr">
        <is>
          <t>Probable</t>
        </is>
      </c>
    </row>
    <row r="455">
      <c r="A455" s="22" t="inlineStr">
        <is>
          <t>19/03/2026</t>
        </is>
      </c>
      <c r="B455" s="22" t="inlineStr">
        <is>
          <t>99000-066073</t>
        </is>
      </c>
      <c r="C455" s="22" t="inlineStr">
        <is>
          <t>FRAIS REMISE CHQ N  2160722</t>
        </is>
      </c>
      <c r="D455" s="25" t="n">
        <v>143.99</v>
      </c>
      <c r="E455" s="25" t="n"/>
      <c r="F455" s="25" t="n">
        <v>-5358239.1</v>
      </c>
      <c r="G455" s="12" t="inlineStr">
        <is>
          <t>2026-03</t>
        </is>
      </c>
      <c r="H455" s="12" t="inlineStr">
        <is>
          <t>Agios, commissions et frais</t>
        </is>
      </c>
      <c r="I455" s="12" t="inlineStr"/>
      <c r="J455" s="12" t="inlineStr">
        <is>
          <t>B26030233</t>
        </is>
      </c>
      <c r="K455" s="12" t="inlineStr">
        <is>
          <t>44557, 62750</t>
        </is>
      </c>
      <c r="L455" s="12" t="inlineStr">
        <is>
          <t>Probable</t>
        </is>
      </c>
    </row>
    <row r="456">
      <c r="A456" s="22" t="inlineStr">
        <is>
          <t>19/03/2026</t>
        </is>
      </c>
      <c r="B456" s="22" t="inlineStr">
        <is>
          <t>99000-066075</t>
        </is>
      </c>
      <c r="C456" s="22" t="inlineStr">
        <is>
          <t>FRAIS REMISE CHQ N  1294513</t>
        </is>
      </c>
      <c r="D456" s="25" t="n">
        <v>238</v>
      </c>
      <c r="E456" s="25" t="n"/>
      <c r="F456" s="25" t="n">
        <v>-5358477.1</v>
      </c>
      <c r="G456" s="12" t="inlineStr">
        <is>
          <t>2026-03</t>
        </is>
      </c>
      <c r="H456" s="12" t="inlineStr">
        <is>
          <t>Agios, commissions et frais</t>
        </is>
      </c>
      <c r="I456" s="12" t="inlineStr"/>
      <c r="J456" s="12" t="inlineStr">
        <is>
          <t>B26030234</t>
        </is>
      </c>
      <c r="K456" s="12" t="inlineStr">
        <is>
          <t>44557, 62750</t>
        </is>
      </c>
      <c r="L456" s="12" t="inlineStr">
        <is>
          <t>Probable</t>
        </is>
      </c>
    </row>
    <row r="457">
      <c r="A457" s="22" t="inlineStr">
        <is>
          <t>19/03/2026</t>
        </is>
      </c>
      <c r="B457" s="22" t="inlineStr">
        <is>
          <t>99000-066081</t>
        </is>
      </c>
      <c r="C457" s="22" t="inlineStr">
        <is>
          <t>FRAIS REMISE CHQ N  5666199</t>
        </is>
      </c>
      <c r="D457" s="25" t="n">
        <v>238</v>
      </c>
      <c r="E457" s="25" t="n"/>
      <c r="F457" s="25" t="n">
        <v>-5358715.1</v>
      </c>
      <c r="G457" s="12" t="inlineStr">
        <is>
          <t>2026-03</t>
        </is>
      </c>
      <c r="H457" s="12" t="inlineStr">
        <is>
          <t>Agios, commissions et frais</t>
        </is>
      </c>
      <c r="I457" s="12" t="inlineStr"/>
      <c r="J457" s="12" t="inlineStr">
        <is>
          <t>B26030235</t>
        </is>
      </c>
      <c r="K457" s="12" t="inlineStr">
        <is>
          <t>44557, 62750</t>
        </is>
      </c>
      <c r="L457" s="12" t="inlineStr">
        <is>
          <t>Probable</t>
        </is>
      </c>
    </row>
    <row r="458">
      <c r="A458" s="22" t="inlineStr">
        <is>
          <t>23/03/2026</t>
        </is>
      </c>
      <c r="B458" s="22" t="inlineStr">
        <is>
          <t>99000-066083</t>
        </is>
      </c>
      <c r="C458" s="22" t="inlineStr">
        <is>
          <t>SORT CHQ NUM  1750779</t>
        </is>
      </c>
      <c r="D458" s="25" t="n"/>
      <c r="E458" s="25" t="n">
        <v>255850</v>
      </c>
      <c r="F458" s="25" t="n">
        <v>-5102865.1</v>
      </c>
      <c r="G458" s="12" t="inlineStr">
        <is>
          <t>2026-03</t>
        </is>
      </c>
      <c r="H458" s="12" t="inlineStr">
        <is>
          <t>Encaissements clients</t>
        </is>
      </c>
      <c r="I458" s="12" t="inlineStr"/>
      <c r="J458" s="12" t="inlineStr">
        <is>
          <t>B26030236</t>
        </is>
      </c>
      <c r="K458" s="12" t="inlineStr">
        <is>
          <t>47000</t>
        </is>
      </c>
      <c r="L458" s="12" t="inlineStr">
        <is>
          <t>À identifier</t>
        </is>
      </c>
    </row>
    <row r="459">
      <c r="A459" s="22" t="inlineStr">
        <is>
          <t>23/03/2026</t>
        </is>
      </c>
      <c r="B459" s="22" t="inlineStr">
        <is>
          <t>99000-066084</t>
        </is>
      </c>
      <c r="C459" s="22" t="inlineStr">
        <is>
          <t>SORT CHQ NUM  1751036</t>
        </is>
      </c>
      <c r="D459" s="25" t="n"/>
      <c r="E459" s="25" t="n">
        <v>316540</v>
      </c>
      <c r="F459" s="25" t="n">
        <v>-4786325.1</v>
      </c>
      <c r="G459" s="12" t="inlineStr">
        <is>
          <t>2026-03</t>
        </is>
      </c>
      <c r="H459" s="12" t="inlineStr">
        <is>
          <t>Encaissements clients</t>
        </is>
      </c>
      <c r="I459" s="12" t="inlineStr"/>
      <c r="J459" s="12" t="inlineStr">
        <is>
          <t>B26030237</t>
        </is>
      </c>
      <c r="K459" s="12" t="inlineStr">
        <is>
          <t>47000</t>
        </is>
      </c>
      <c r="L459" s="12" t="inlineStr">
        <is>
          <t>À identifier</t>
        </is>
      </c>
    </row>
    <row r="460">
      <c r="A460" s="22" t="inlineStr">
        <is>
          <t>23/03/2026</t>
        </is>
      </c>
      <c r="B460" s="22" t="inlineStr">
        <is>
          <t>99000-066083</t>
        </is>
      </c>
      <c r="C460" s="22" t="inlineStr">
        <is>
          <t>FRAIS REMISE CHQ N  1750779</t>
        </is>
      </c>
      <c r="D460" s="25" t="n">
        <v>119</v>
      </c>
      <c r="E460" s="25" t="n"/>
      <c r="F460" s="25" t="n">
        <v>-4786444.1</v>
      </c>
      <c r="G460" s="12" t="inlineStr">
        <is>
          <t>2026-03</t>
        </is>
      </c>
      <c r="H460" s="12" t="inlineStr">
        <is>
          <t>Agios, commissions et frais</t>
        </is>
      </c>
      <c r="I460" s="12" t="inlineStr"/>
      <c r="J460" s="12" t="inlineStr">
        <is>
          <t>B26030238</t>
        </is>
      </c>
      <c r="K460" s="12" t="inlineStr">
        <is>
          <t>44557, 62750</t>
        </is>
      </c>
      <c r="L460" s="12" t="inlineStr">
        <is>
          <t>Probable</t>
        </is>
      </c>
    </row>
    <row r="461">
      <c r="A461" s="22" t="inlineStr">
        <is>
          <t>23/03/2026</t>
        </is>
      </c>
      <c r="B461" s="22" t="inlineStr">
        <is>
          <t>99000-066084</t>
        </is>
      </c>
      <c r="C461" s="22" t="inlineStr">
        <is>
          <t>FRAIS REMISE CHQ N  1751036</t>
        </is>
      </c>
      <c r="D461" s="25" t="n">
        <v>119</v>
      </c>
      <c r="E461" s="25" t="n"/>
      <c r="F461" s="25" t="n">
        <v>-4786563.1</v>
      </c>
      <c r="G461" s="12" t="inlineStr">
        <is>
          <t>2026-03</t>
        </is>
      </c>
      <c r="H461" s="12" t="inlineStr">
        <is>
          <t>Agios, commissions et frais</t>
        </is>
      </c>
      <c r="I461" s="12" t="inlineStr"/>
      <c r="J461" s="12" t="inlineStr">
        <is>
          <t>B26030239</t>
        </is>
      </c>
      <c r="K461" s="12" t="inlineStr">
        <is>
          <t>44557, 62750</t>
        </is>
      </c>
      <c r="L461" s="12" t="inlineStr">
        <is>
          <t>Probable</t>
        </is>
      </c>
    </row>
    <row r="462">
      <c r="A462" s="22" t="inlineStr">
        <is>
          <t>24/03/2026</t>
        </is>
      </c>
      <c r="B462" s="22" t="inlineStr">
        <is>
          <t>00370-000159</t>
        </is>
      </c>
      <c r="C462" s="22" t="inlineStr">
        <is>
          <t>FRAI ETUD DOS RENV CRD LIG EXP</t>
        </is>
      </c>
      <c r="D462" s="25" t="n">
        <v>20000</v>
      </c>
      <c r="E462" s="25" t="n"/>
      <c r="F462" s="25" t="n">
        <v>-4806563.1</v>
      </c>
      <c r="G462" s="12" t="inlineStr">
        <is>
          <t>2026-03</t>
        </is>
      </c>
      <c r="H462" s="12" t="inlineStr">
        <is>
          <t>Importations (règlements, provisions, crédoc)</t>
        </is>
      </c>
      <c r="I462" s="12" t="inlineStr"/>
      <c r="J462" s="12" t="inlineStr">
        <is>
          <t>B26030240</t>
        </is>
      </c>
      <c r="K462" s="12" t="inlineStr">
        <is>
          <t>44557, 62750</t>
        </is>
      </c>
      <c r="L462" s="12" t="inlineStr">
        <is>
          <t>Probable</t>
        </is>
      </c>
    </row>
    <row r="463">
      <c r="A463" s="22" t="inlineStr">
        <is>
          <t>24/03/2026</t>
        </is>
      </c>
      <c r="B463" s="22" t="inlineStr">
        <is>
          <t>-5991</t>
        </is>
      </c>
      <c r="C463" s="22" t="inlineStr">
        <is>
          <t>VRT. RECU SARL PETRO BARAKA</t>
        </is>
      </c>
      <c r="D463" s="25" t="n"/>
      <c r="E463" s="25" t="n">
        <v>228480</v>
      </c>
      <c r="F463" s="25" t="n">
        <v>-4578083.1</v>
      </c>
      <c r="G463" s="12" t="inlineStr">
        <is>
          <t>2026-03</t>
        </is>
      </c>
      <c r="H463" s="12" t="inlineStr">
        <is>
          <t>Encaissements clients</t>
        </is>
      </c>
      <c r="I463" s="12" t="inlineStr"/>
      <c r="J463" s="12" t="inlineStr">
        <is>
          <t>B26030241</t>
        </is>
      </c>
      <c r="K463" s="12" t="inlineStr">
        <is>
          <t>41100</t>
        </is>
      </c>
      <c r="L463" s="12" t="inlineStr">
        <is>
          <t>Probable</t>
        </is>
      </c>
    </row>
    <row r="464">
      <c r="A464" s="22" t="inlineStr">
        <is>
          <t>24/03/2026</t>
        </is>
      </c>
      <c r="B464" s="22" t="inlineStr">
        <is>
          <t>00370-009185</t>
        </is>
      </c>
      <c r="C464" s="22" t="inlineStr">
        <is>
          <t>TVA/FRAI ETUD DOSS CRD EXPLOI</t>
        </is>
      </c>
      <c r="D464" s="25" t="n">
        <v>3800</v>
      </c>
      <c r="E464" s="25" t="n"/>
      <c r="F464" s="25" t="n">
        <v>-4581883.1</v>
      </c>
      <c r="G464" s="12" t="inlineStr">
        <is>
          <t>2026-03</t>
        </is>
      </c>
      <c r="H464" s="12" t="inlineStr">
        <is>
          <t>Importations (règlements, provisions, crédoc)</t>
        </is>
      </c>
      <c r="I464" s="12" t="inlineStr"/>
      <c r="J464" s="12" t="inlineStr">
        <is>
          <t>B26030242</t>
        </is>
      </c>
      <c r="K464" s="12" t="inlineStr">
        <is>
          <t>44557</t>
        </is>
      </c>
      <c r="L464" s="12" t="inlineStr">
        <is>
          <t>Certaine</t>
        </is>
      </c>
    </row>
    <row r="465">
      <c r="A465" s="22" t="inlineStr">
        <is>
          <t>24/03/2026</t>
        </is>
      </c>
      <c r="B465" s="22" t="inlineStr">
        <is>
          <t>00370-000210</t>
        </is>
      </c>
      <c r="C465" s="22" t="inlineStr">
        <is>
          <t>ACCEPTA RE00370 PTI00065855</t>
        </is>
      </c>
      <c r="D465" s="25" t="n">
        <v>4165</v>
      </c>
      <c r="E465" s="25" t="n"/>
      <c r="F465" s="25" t="n">
        <v>-4586048.1</v>
      </c>
      <c r="G465" s="12" t="inlineStr">
        <is>
          <t>2026-03</t>
        </is>
      </c>
      <c r="H465" s="12" t="inlineStr">
        <is>
          <t>Importations (règlements, provisions, crédoc)</t>
        </is>
      </c>
      <c r="I465" s="12" t="inlineStr"/>
      <c r="J465" s="12" t="inlineStr">
        <is>
          <t>B26030243</t>
        </is>
      </c>
      <c r="K465" s="12" t="inlineStr">
        <is>
          <t>44557, 62750</t>
        </is>
      </c>
      <c r="L465" s="12" t="inlineStr">
        <is>
          <t>Probable</t>
        </is>
      </c>
    </row>
    <row r="466">
      <c r="A466" s="22" t="inlineStr">
        <is>
          <t>25/03/2026</t>
        </is>
      </c>
      <c r="B466" s="22" t="inlineStr">
        <is>
          <t>99000-066094</t>
        </is>
      </c>
      <c r="C466" s="22" t="inlineStr">
        <is>
          <t>SORT CHQ NUM  9174212</t>
        </is>
      </c>
      <c r="D466" s="25" t="n"/>
      <c r="E466" s="25" t="n">
        <v>1210230</v>
      </c>
      <c r="F466" s="25" t="n">
        <v>-3375818.1</v>
      </c>
      <c r="G466" s="12" t="inlineStr">
        <is>
          <t>2026-03</t>
        </is>
      </c>
      <c r="H466" s="12" t="inlineStr">
        <is>
          <t>Encaissements clients</t>
        </is>
      </c>
      <c r="I466" s="12" t="inlineStr"/>
      <c r="J466" s="12" t="inlineStr">
        <is>
          <t>B26030244</t>
        </is>
      </c>
      <c r="K466" s="12" t="inlineStr">
        <is>
          <t>47000</t>
        </is>
      </c>
      <c r="L466" s="12" t="inlineStr">
        <is>
          <t>À identifier</t>
        </is>
      </c>
    </row>
    <row r="467">
      <c r="A467" s="22" t="inlineStr">
        <is>
          <t>25/03/2026</t>
        </is>
      </c>
      <c r="B467" s="22" t="inlineStr">
        <is>
          <t>99000-066095</t>
        </is>
      </c>
      <c r="C467" s="22" t="inlineStr">
        <is>
          <t>SORT CHQ NUM  9174286</t>
        </is>
      </c>
      <c r="D467" s="25" t="n"/>
      <c r="E467" s="25" t="n">
        <v>1611974</v>
      </c>
      <c r="F467" s="25" t="n">
        <v>-1763844.1</v>
      </c>
      <c r="G467" s="12" t="inlineStr">
        <is>
          <t>2026-03</t>
        </is>
      </c>
      <c r="H467" s="12" t="inlineStr">
        <is>
          <t>Encaissements clients</t>
        </is>
      </c>
      <c r="I467" s="12" t="inlineStr"/>
      <c r="J467" s="12" t="inlineStr">
        <is>
          <t>B26030245</t>
        </is>
      </c>
      <c r="K467" s="12" t="inlineStr">
        <is>
          <t>47000</t>
        </is>
      </c>
      <c r="L467" s="12" t="inlineStr">
        <is>
          <t>À identifier</t>
        </is>
      </c>
    </row>
    <row r="468">
      <c r="A468" s="22" t="inlineStr">
        <is>
          <t>25/03/2026</t>
        </is>
      </c>
      <c r="B468" s="22" t="inlineStr">
        <is>
          <t>99000-066093</t>
        </is>
      </c>
      <c r="C468" s="22" t="inlineStr">
        <is>
          <t>SORT CHQ NUM  7345753</t>
        </is>
      </c>
      <c r="D468" s="25" t="n"/>
      <c r="E468" s="25" t="n">
        <v>2496025</v>
      </c>
      <c r="F468" s="25" t="n">
        <v>732180.9</v>
      </c>
      <c r="G468" s="12" t="inlineStr">
        <is>
          <t>2026-03</t>
        </is>
      </c>
      <c r="H468" s="12" t="inlineStr">
        <is>
          <t>Encaissements clients</t>
        </is>
      </c>
      <c r="I468" s="12" t="inlineStr"/>
      <c r="J468" s="12" t="inlineStr">
        <is>
          <t>B26030246</t>
        </is>
      </c>
      <c r="K468" s="12" t="inlineStr">
        <is>
          <t>47000</t>
        </is>
      </c>
      <c r="L468" s="12" t="inlineStr">
        <is>
          <t>À identifier</t>
        </is>
      </c>
    </row>
    <row r="469">
      <c r="A469" s="22" t="inlineStr">
        <is>
          <t>25/03/2026</t>
        </is>
      </c>
      <c r="B469" s="22" t="inlineStr">
        <is>
          <t>99000-066097</t>
        </is>
      </c>
      <c r="C469" s="22" t="inlineStr">
        <is>
          <t>SORT CHQ NUM  8952952</t>
        </is>
      </c>
      <c r="D469" s="25" t="n"/>
      <c r="E469" s="25" t="n">
        <v>150000</v>
      </c>
      <c r="F469" s="25" t="n">
        <v>882180.9</v>
      </c>
      <c r="G469" s="12" t="inlineStr">
        <is>
          <t>2026-03</t>
        </is>
      </c>
      <c r="H469" s="12" t="inlineStr">
        <is>
          <t>Encaissements clients</t>
        </is>
      </c>
      <c r="I469" s="12" t="inlineStr"/>
      <c r="J469" s="12" t="inlineStr">
        <is>
          <t>B26030247</t>
        </is>
      </c>
      <c r="K469" s="12" t="inlineStr">
        <is>
          <t>47000</t>
        </is>
      </c>
      <c r="L469" s="12" t="inlineStr">
        <is>
          <t>À identifier</t>
        </is>
      </c>
    </row>
    <row r="470">
      <c r="A470" s="22" t="inlineStr">
        <is>
          <t>25/03/2026</t>
        </is>
      </c>
      <c r="B470" s="22" t="inlineStr">
        <is>
          <t>99000-066094</t>
        </is>
      </c>
      <c r="C470" s="22" t="inlineStr">
        <is>
          <t>FRAIS REMISE CHQ N  9174212</t>
        </is>
      </c>
      <c r="D470" s="25" t="n">
        <v>119</v>
      </c>
      <c r="E470" s="25" t="n"/>
      <c r="F470" s="25" t="n">
        <v>882061.9</v>
      </c>
      <c r="G470" s="12" t="inlineStr">
        <is>
          <t>2026-03</t>
        </is>
      </c>
      <c r="H470" s="12" t="inlineStr">
        <is>
          <t>Agios, commissions et frais</t>
        </is>
      </c>
      <c r="I470" s="12" t="inlineStr"/>
      <c r="J470" s="12" t="inlineStr">
        <is>
          <t>B26030248</t>
        </is>
      </c>
      <c r="K470" s="12" t="inlineStr">
        <is>
          <t>44557, 62750</t>
        </is>
      </c>
      <c r="L470" s="12" t="inlineStr">
        <is>
          <t>Probable</t>
        </is>
      </c>
    </row>
    <row r="471">
      <c r="A471" s="22" t="inlineStr">
        <is>
          <t>25/03/2026</t>
        </is>
      </c>
      <c r="B471" s="22" t="inlineStr">
        <is>
          <t>99000-066095</t>
        </is>
      </c>
      <c r="C471" s="22" t="inlineStr">
        <is>
          <t>FRAIS REMISE CHQ N  9174286</t>
        </is>
      </c>
      <c r="D471" s="25" t="n">
        <v>119</v>
      </c>
      <c r="E471" s="25" t="n"/>
      <c r="F471" s="25" t="n">
        <v>881942.9</v>
      </c>
      <c r="G471" s="12" t="inlineStr">
        <is>
          <t>2026-03</t>
        </is>
      </c>
      <c r="H471" s="12" t="inlineStr">
        <is>
          <t>Agios, commissions et frais</t>
        </is>
      </c>
      <c r="I471" s="12" t="inlineStr"/>
      <c r="J471" s="12" t="inlineStr">
        <is>
          <t>B26030249</t>
        </is>
      </c>
      <c r="K471" s="12" t="inlineStr">
        <is>
          <t>44557, 62750</t>
        </is>
      </c>
      <c r="L471" s="12" t="inlineStr">
        <is>
          <t>Probable</t>
        </is>
      </c>
    </row>
    <row r="472">
      <c r="A472" s="22" t="inlineStr">
        <is>
          <t>25/03/2026</t>
        </is>
      </c>
      <c r="B472" s="22" t="inlineStr">
        <is>
          <t>99000-066093</t>
        </is>
      </c>
      <c r="C472" s="22" t="inlineStr">
        <is>
          <t>FRAIS REMISE CHQ N  7345753</t>
        </is>
      </c>
      <c r="D472" s="25" t="n">
        <v>119</v>
      </c>
      <c r="E472" s="25" t="n"/>
      <c r="F472" s="25" t="n">
        <v>881823.9</v>
      </c>
      <c r="G472" s="12" t="inlineStr">
        <is>
          <t>2026-03</t>
        </is>
      </c>
      <c r="H472" s="12" t="inlineStr">
        <is>
          <t>Agios, commissions et frais</t>
        </is>
      </c>
      <c r="I472" s="12" t="inlineStr"/>
      <c r="J472" s="12" t="inlineStr">
        <is>
          <t>B26030250</t>
        </is>
      </c>
      <c r="K472" s="12" t="inlineStr">
        <is>
          <t>44557, 62750</t>
        </is>
      </c>
      <c r="L472" s="12" t="inlineStr">
        <is>
          <t>Probable</t>
        </is>
      </c>
    </row>
    <row r="473">
      <c r="A473" s="22" t="inlineStr">
        <is>
          <t>25/03/2026</t>
        </is>
      </c>
      <c r="B473" s="22" t="inlineStr">
        <is>
          <t>99000-066097</t>
        </is>
      </c>
      <c r="C473" s="22" t="inlineStr">
        <is>
          <t>FRAIS REMISE CHQ N  8952952</t>
        </is>
      </c>
      <c r="D473" s="25" t="n">
        <v>119</v>
      </c>
      <c r="E473" s="25" t="n"/>
      <c r="F473" s="25" t="n">
        <v>881704.9</v>
      </c>
      <c r="G473" s="12" t="inlineStr">
        <is>
          <t>2026-03</t>
        </is>
      </c>
      <c r="H473" s="12" t="inlineStr">
        <is>
          <t>Agios, commissions et frais</t>
        </is>
      </c>
      <c r="I473" s="12" t="inlineStr"/>
      <c r="J473" s="12" t="inlineStr">
        <is>
          <t>B26030251</t>
        </is>
      </c>
      <c r="K473" s="12" t="inlineStr">
        <is>
          <t>44557, 62750</t>
        </is>
      </c>
      <c r="L473" s="12" t="inlineStr">
        <is>
          <t>Probable</t>
        </is>
      </c>
    </row>
    <row r="474">
      <c r="A474" s="22" t="inlineStr">
        <is>
          <t>26/03/2026</t>
        </is>
      </c>
      <c r="B474" s="22" t="inlineStr">
        <is>
          <t>99000-066107</t>
        </is>
      </c>
      <c r="C474" s="22" t="inlineStr">
        <is>
          <t>SORT CHQ NUM  9203759</t>
        </is>
      </c>
      <c r="D474" s="25" t="n"/>
      <c r="E474" s="25" t="n">
        <v>162460</v>
      </c>
      <c r="F474" s="25" t="n">
        <v>1044164.9</v>
      </c>
      <c r="G474" s="12" t="inlineStr">
        <is>
          <t>2026-03</t>
        </is>
      </c>
      <c r="H474" s="12" t="inlineStr">
        <is>
          <t>Encaissements clients</t>
        </is>
      </c>
      <c r="I474" s="12" t="inlineStr"/>
      <c r="J474" s="12" t="inlineStr">
        <is>
          <t>B26030252</t>
        </is>
      </c>
      <c r="K474" s="12" t="inlineStr">
        <is>
          <t>47000</t>
        </is>
      </c>
      <c r="L474" s="12" t="inlineStr">
        <is>
          <t>À identifier</t>
        </is>
      </c>
    </row>
    <row r="475">
      <c r="A475" s="22" t="inlineStr">
        <is>
          <t>26/03/2026</t>
        </is>
      </c>
      <c r="B475" s="22" t="inlineStr">
        <is>
          <t>99000-066107</t>
        </is>
      </c>
      <c r="C475" s="22" t="inlineStr">
        <is>
          <t>FRAIS REMISE CHQ N  9203759</t>
        </is>
      </c>
      <c r="D475" s="25" t="n">
        <v>119</v>
      </c>
      <c r="E475" s="25" t="n"/>
      <c r="F475" s="25" t="n">
        <v>1044045.9</v>
      </c>
      <c r="G475" s="12" t="inlineStr">
        <is>
          <t>2026-03</t>
        </is>
      </c>
      <c r="H475" s="12" t="inlineStr">
        <is>
          <t>Agios, commissions et frais</t>
        </is>
      </c>
      <c r="I475" s="12" t="inlineStr"/>
      <c r="J475" s="12" t="inlineStr">
        <is>
          <t>B26030253</t>
        </is>
      </c>
      <c r="K475" s="12" t="inlineStr">
        <is>
          <t>44557, 62750</t>
        </is>
      </c>
      <c r="L475" s="12" t="inlineStr">
        <is>
          <t>Probable</t>
        </is>
      </c>
    </row>
    <row r="476">
      <c r="A476" s="22" t="inlineStr">
        <is>
          <t>29/03/2026</t>
        </is>
      </c>
      <c r="B476" s="22" t="inlineStr">
        <is>
          <t>99000-066129</t>
        </is>
      </c>
      <c r="C476" s="22" t="inlineStr">
        <is>
          <t>SORT CHQ NUM  6904116</t>
        </is>
      </c>
      <c r="D476" s="25" t="n"/>
      <c r="E476" s="25" t="n">
        <v>203500</v>
      </c>
      <c r="F476" s="25" t="n">
        <v>1247545.9</v>
      </c>
      <c r="G476" s="12" t="inlineStr">
        <is>
          <t>2026-03</t>
        </is>
      </c>
      <c r="H476" s="12" t="inlineStr">
        <is>
          <t>Encaissements clients</t>
        </is>
      </c>
      <c r="I476" s="12" t="inlineStr"/>
      <c r="J476" s="12" t="inlineStr">
        <is>
          <t>B26030254</t>
        </is>
      </c>
      <c r="K476" s="12" t="inlineStr">
        <is>
          <t>47000</t>
        </is>
      </c>
      <c r="L476" s="12" t="inlineStr">
        <is>
          <t>À identifier</t>
        </is>
      </c>
    </row>
    <row r="477">
      <c r="A477" s="22" t="inlineStr">
        <is>
          <t>29/03/2026</t>
        </is>
      </c>
      <c r="B477" s="22" t="inlineStr">
        <is>
          <t>99000-066130</t>
        </is>
      </c>
      <c r="C477" s="22" t="inlineStr">
        <is>
          <t>SORT CHQ NUM  9955370</t>
        </is>
      </c>
      <c r="D477" s="25" t="n"/>
      <c r="E477" s="25" t="n">
        <v>85000</v>
      </c>
      <c r="F477" s="25" t="n">
        <v>1332545.9</v>
      </c>
      <c r="G477" s="12" t="inlineStr">
        <is>
          <t>2026-03</t>
        </is>
      </c>
      <c r="H477" s="12" t="inlineStr">
        <is>
          <t>Encaissements clients</t>
        </is>
      </c>
      <c r="I477" s="12" t="inlineStr"/>
      <c r="J477" s="12" t="inlineStr">
        <is>
          <t>B26030255</t>
        </is>
      </c>
      <c r="K477" s="12" t="inlineStr">
        <is>
          <t>41100</t>
        </is>
      </c>
      <c r="L477" s="12" t="inlineStr">
        <is>
          <t>Probable</t>
        </is>
      </c>
    </row>
    <row r="478">
      <c r="A478" s="22" t="inlineStr">
        <is>
          <t>29/03/2026</t>
        </is>
      </c>
      <c r="B478" s="22" t="inlineStr">
        <is>
          <t>99000-066140</t>
        </is>
      </c>
      <c r="C478" s="22" t="inlineStr">
        <is>
          <t>SORT CHQ NUM  2827180</t>
        </is>
      </c>
      <c r="D478" s="25" t="n"/>
      <c r="E478" s="25" t="n">
        <v>349795</v>
      </c>
      <c r="F478" s="25" t="n">
        <v>1682340.9</v>
      </c>
      <c r="G478" s="12" t="inlineStr">
        <is>
          <t>2026-03</t>
        </is>
      </c>
      <c r="H478" s="12" t="inlineStr">
        <is>
          <t>Encaissements clients</t>
        </is>
      </c>
      <c r="I478" s="12" t="inlineStr"/>
      <c r="J478" s="12" t="inlineStr">
        <is>
          <t>B26030256</t>
        </is>
      </c>
      <c r="K478" s="12" t="inlineStr">
        <is>
          <t>47000</t>
        </is>
      </c>
      <c r="L478" s="12" t="inlineStr">
        <is>
          <t>À identifier</t>
        </is>
      </c>
    </row>
    <row r="479">
      <c r="A479" s="22" t="inlineStr">
        <is>
          <t>29/03/2026</t>
        </is>
      </c>
      <c r="B479" s="22" t="inlineStr">
        <is>
          <t>99000-066138</t>
        </is>
      </c>
      <c r="C479" s="22" t="inlineStr">
        <is>
          <t>SORT CHQ NUM  4749323</t>
        </is>
      </c>
      <c r="D479" s="25" t="n"/>
      <c r="E479" s="25" t="n">
        <v>621418</v>
      </c>
      <c r="F479" s="25" t="n">
        <v>2303758.9</v>
      </c>
      <c r="G479" s="12" t="inlineStr">
        <is>
          <t>2026-03</t>
        </is>
      </c>
      <c r="H479" s="12" t="inlineStr">
        <is>
          <t>Encaissements clients</t>
        </is>
      </c>
      <c r="I479" s="12" t="inlineStr"/>
      <c r="J479" s="12" t="inlineStr">
        <is>
          <t>B26030257</t>
        </is>
      </c>
      <c r="K479" s="12" t="inlineStr">
        <is>
          <t>47000</t>
        </is>
      </c>
      <c r="L479" s="12" t="inlineStr">
        <is>
          <t>À identifier</t>
        </is>
      </c>
    </row>
    <row r="480">
      <c r="A480" s="22" t="inlineStr">
        <is>
          <t>29/03/2026</t>
        </is>
      </c>
      <c r="B480" s="22" t="inlineStr">
        <is>
          <t>99000-066135</t>
        </is>
      </c>
      <c r="C480" s="22" t="inlineStr">
        <is>
          <t>SORT CHQ NUM  7012907</t>
        </is>
      </c>
      <c r="D480" s="25" t="n"/>
      <c r="E480" s="25" t="n">
        <v>114240</v>
      </c>
      <c r="F480" s="25" t="n">
        <v>2417998.9</v>
      </c>
      <c r="G480" s="12" t="inlineStr">
        <is>
          <t>2026-03</t>
        </is>
      </c>
      <c r="H480" s="12" t="inlineStr">
        <is>
          <t>Encaissements clients</t>
        </is>
      </c>
      <c r="I480" s="12" t="inlineStr"/>
      <c r="J480" s="12" t="inlineStr">
        <is>
          <t>B26030258</t>
        </is>
      </c>
      <c r="K480" s="12" t="inlineStr">
        <is>
          <t>47000</t>
        </is>
      </c>
      <c r="L480" s="12" t="inlineStr">
        <is>
          <t>À identifier</t>
        </is>
      </c>
    </row>
    <row r="481">
      <c r="A481" s="22" t="inlineStr">
        <is>
          <t>29/03/2026</t>
        </is>
      </c>
      <c r="B481" s="22" t="inlineStr">
        <is>
          <t>99000-066129</t>
        </is>
      </c>
      <c r="C481" s="22" t="inlineStr">
        <is>
          <t>FRAIS REMISE CHQ N  6904116</t>
        </is>
      </c>
      <c r="D481" s="25" t="n">
        <v>119</v>
      </c>
      <c r="E481" s="25" t="n"/>
      <c r="F481" s="25" t="n">
        <v>2417879.9</v>
      </c>
      <c r="G481" s="12" t="inlineStr">
        <is>
          <t>2026-03</t>
        </is>
      </c>
      <c r="H481" s="12" t="inlineStr">
        <is>
          <t>Agios, commissions et frais</t>
        </is>
      </c>
      <c r="I481" s="12" t="inlineStr"/>
      <c r="J481" s="12" t="inlineStr">
        <is>
          <t>B26030259</t>
        </is>
      </c>
      <c r="K481" s="12" t="inlineStr">
        <is>
          <t>44557, 62750</t>
        </is>
      </c>
      <c r="L481" s="12" t="inlineStr">
        <is>
          <t>Probable</t>
        </is>
      </c>
    </row>
    <row r="482">
      <c r="A482" s="22" t="inlineStr">
        <is>
          <t>29/03/2026</t>
        </is>
      </c>
      <c r="B482" s="22" t="inlineStr">
        <is>
          <t>99000-066130</t>
        </is>
      </c>
      <c r="C482" s="22" t="inlineStr">
        <is>
          <t>FRAIS REMISE CHQ N  9955370</t>
        </is>
      </c>
      <c r="D482" s="25" t="n">
        <v>119</v>
      </c>
      <c r="E482" s="25" t="n"/>
      <c r="F482" s="25" t="n">
        <v>2417760.9</v>
      </c>
      <c r="G482" s="12" t="inlineStr">
        <is>
          <t>2026-03</t>
        </is>
      </c>
      <c r="H482" s="12" t="inlineStr">
        <is>
          <t>Agios, commissions et frais</t>
        </is>
      </c>
      <c r="I482" s="12" t="inlineStr"/>
      <c r="J482" s="12" t="inlineStr">
        <is>
          <t>B26030260</t>
        </is>
      </c>
      <c r="K482" s="12" t="inlineStr">
        <is>
          <t>44557, 62750</t>
        </is>
      </c>
      <c r="L482" s="12" t="inlineStr">
        <is>
          <t>Probable</t>
        </is>
      </c>
    </row>
    <row r="483">
      <c r="A483" s="22" t="inlineStr">
        <is>
          <t>29/03/2026</t>
        </is>
      </c>
      <c r="B483" s="22" t="inlineStr">
        <is>
          <t>99000-066140</t>
        </is>
      </c>
      <c r="C483" s="22" t="inlineStr">
        <is>
          <t>FRAIS REMISE CHQ N  2827180</t>
        </is>
      </c>
      <c r="D483" s="25" t="n">
        <v>238</v>
      </c>
      <c r="E483" s="25" t="n"/>
      <c r="F483" s="25" t="n">
        <v>2417522.9</v>
      </c>
      <c r="G483" s="12" t="inlineStr">
        <is>
          <t>2026-03</t>
        </is>
      </c>
      <c r="H483" s="12" t="inlineStr">
        <is>
          <t>Agios, commissions et frais</t>
        </is>
      </c>
      <c r="I483" s="12" t="inlineStr"/>
      <c r="J483" s="12" t="inlineStr">
        <is>
          <t>B26030261</t>
        </is>
      </c>
      <c r="K483" s="12" t="inlineStr">
        <is>
          <t>44557, 62750</t>
        </is>
      </c>
      <c r="L483" s="12" t="inlineStr">
        <is>
          <t>Probable</t>
        </is>
      </c>
    </row>
    <row r="484">
      <c r="A484" s="22" t="inlineStr">
        <is>
          <t>29/03/2026</t>
        </is>
      </c>
      <c r="B484" s="22" t="inlineStr">
        <is>
          <t>99000-066138</t>
        </is>
      </c>
      <c r="C484" s="22" t="inlineStr">
        <is>
          <t>FRAIS REMISE CHQ N  4749323</t>
        </is>
      </c>
      <c r="D484" s="25" t="n">
        <v>238</v>
      </c>
      <c r="E484" s="25" t="n"/>
      <c r="F484" s="25" t="n">
        <v>2417284.9</v>
      </c>
      <c r="G484" s="12" t="inlineStr">
        <is>
          <t>2026-03</t>
        </is>
      </c>
      <c r="H484" s="12" t="inlineStr">
        <is>
          <t>Agios, commissions et frais</t>
        </is>
      </c>
      <c r="I484" s="12" t="inlineStr"/>
      <c r="J484" s="12" t="inlineStr">
        <is>
          <t>B26030262</t>
        </is>
      </c>
      <c r="K484" s="12" t="inlineStr">
        <is>
          <t>44557, 62750</t>
        </is>
      </c>
      <c r="L484" s="12" t="inlineStr">
        <is>
          <t>Probable</t>
        </is>
      </c>
    </row>
    <row r="485">
      <c r="A485" s="22" t="inlineStr">
        <is>
          <t>29/03/2026</t>
        </is>
      </c>
      <c r="B485" s="22" t="inlineStr">
        <is>
          <t>99000-066135</t>
        </is>
      </c>
      <c r="C485" s="22" t="inlineStr">
        <is>
          <t>FRAIS REMISE CHQ N  7012907</t>
        </is>
      </c>
      <c r="D485" s="25" t="n">
        <v>135.95</v>
      </c>
      <c r="E485" s="25" t="n"/>
      <c r="F485" s="25" t="n">
        <v>2417148.95</v>
      </c>
      <c r="G485" s="12" t="inlineStr">
        <is>
          <t>2026-03</t>
        </is>
      </c>
      <c r="H485" s="12" t="inlineStr">
        <is>
          <t>Agios, commissions et frais</t>
        </is>
      </c>
      <c r="I485" s="12" t="inlineStr"/>
      <c r="J485" s="12" t="inlineStr">
        <is>
          <t>B26030263</t>
        </is>
      </c>
      <c r="K485" s="12" t="inlineStr">
        <is>
          <t>44557, 62750</t>
        </is>
      </c>
      <c r="L485" s="12" t="inlineStr">
        <is>
          <t>Probable</t>
        </is>
      </c>
    </row>
    <row r="486">
      <c r="A486" s="22" t="inlineStr">
        <is>
          <t>29/03/2026</t>
        </is>
      </c>
      <c r="B486" s="22" t="inlineStr">
        <is>
          <t>99000-005380</t>
        </is>
      </c>
      <c r="C486" s="22" t="inlineStr">
        <is>
          <t>PERCEPTION DES COMMISSIONS</t>
        </is>
      </c>
      <c r="D486" s="25" t="n">
        <v>3016.1</v>
      </c>
      <c r="E486" s="25" t="n"/>
      <c r="F486" s="25" t="n">
        <v>2414132.85</v>
      </c>
      <c r="G486" s="12" t="inlineStr">
        <is>
          <t>2026-03</t>
        </is>
      </c>
      <c r="H486" s="12" t="inlineStr">
        <is>
          <t>Agios, commissions et frais</t>
        </is>
      </c>
      <c r="I486" s="12" t="inlineStr"/>
      <c r="J486" s="12" t="inlineStr">
        <is>
          <t>B26030264</t>
        </is>
      </c>
      <c r="K486" s="12" t="inlineStr">
        <is>
          <t>44557, 62750</t>
        </is>
      </c>
      <c r="L486" s="12" t="inlineStr">
        <is>
          <t>Probable</t>
        </is>
      </c>
    </row>
    <row r="487">
      <c r="A487" s="22" t="inlineStr">
        <is>
          <t>30/03/2026</t>
        </is>
      </c>
      <c r="B487" s="22" t="inlineStr">
        <is>
          <t>00370-120127</t>
        </is>
      </c>
      <c r="C487" s="22" t="inlineStr">
        <is>
          <t>PAIEMENT CHQ NUM  2125734</t>
        </is>
      </c>
      <c r="D487" s="25" t="n">
        <v>1291220</v>
      </c>
      <c r="E487" s="25" t="n"/>
      <c r="F487" s="25" t="n">
        <v>1122912.85</v>
      </c>
      <c r="G487" s="12" t="inlineStr">
        <is>
          <t>2026-03</t>
        </is>
      </c>
      <c r="H487" s="12" t="inlineStr">
        <is>
          <t>G50 (impôts)</t>
        </is>
      </c>
      <c r="I487" s="4" t="inlineStr">
        <is>
          <t>G50 IMPORT janvier 2026</t>
        </is>
      </c>
      <c r="J487" s="12" t="inlineStr">
        <is>
          <t>B26030265</t>
        </is>
      </c>
      <c r="K487" s="12" t="inlineStr">
        <is>
          <t>44210, 44510, 44760</t>
        </is>
      </c>
      <c r="L487" s="12" t="inlineStr">
        <is>
          <t>Certaine</t>
        </is>
      </c>
    </row>
    <row r="488">
      <c r="A488" s="22" t="inlineStr">
        <is>
          <t>30/03/2026</t>
        </is>
      </c>
      <c r="B488" s="22" t="inlineStr">
        <is>
          <t>00370-120127</t>
        </is>
      </c>
      <c r="C488" s="22" t="inlineStr">
        <is>
          <t>PERCEP.COM SUR PAIEMENTS CHQ</t>
        </is>
      </c>
      <c r="D488" s="25" t="n">
        <v>59.5</v>
      </c>
      <c r="E488" s="25" t="n"/>
      <c r="F488" s="25" t="n">
        <v>1122853.35</v>
      </c>
      <c r="G488" s="12" t="inlineStr">
        <is>
          <t>2026-03</t>
        </is>
      </c>
      <c r="H488" s="12" t="inlineStr">
        <is>
          <t>Agios, commissions et frais</t>
        </is>
      </c>
      <c r="I488" s="12" t="inlineStr"/>
      <c r="J488" s="12" t="inlineStr">
        <is>
          <t>B26030266</t>
        </is>
      </c>
      <c r="K488" s="12" t="inlineStr">
        <is>
          <t>44557, 62750</t>
        </is>
      </c>
      <c r="L488" s="12" t="inlineStr">
        <is>
          <t>Probable</t>
        </is>
      </c>
    </row>
    <row r="489">
      <c r="A489" s="22" t="inlineStr">
        <is>
          <t>01/04/2026</t>
        </is>
      </c>
      <c r="B489" s="22" t="inlineStr">
        <is>
          <t>99000-066168</t>
        </is>
      </c>
      <c r="C489" s="22" t="inlineStr">
        <is>
          <t>SORT CHQ NUM  7448588</t>
        </is>
      </c>
      <c r="D489" s="25" t="n"/>
      <c r="E489" s="25" t="n">
        <v>714000</v>
      </c>
      <c r="F489" s="25" t="n">
        <v>1836853.35</v>
      </c>
      <c r="G489" s="12" t="inlineStr">
        <is>
          <t>2026-04</t>
        </is>
      </c>
      <c r="H489" s="12" t="inlineStr">
        <is>
          <t>Encaissements clients</t>
        </is>
      </c>
      <c r="I489" s="12" t="inlineStr"/>
      <c r="J489" s="12" t="inlineStr">
        <is>
          <t>B26040267</t>
        </is>
      </c>
      <c r="K489" s="12" t="inlineStr">
        <is>
          <t>47000</t>
        </is>
      </c>
      <c r="L489" s="12" t="inlineStr">
        <is>
          <t>À identifier</t>
        </is>
      </c>
    </row>
    <row r="490">
      <c r="A490" s="22" t="inlineStr">
        <is>
          <t>01/04/2026</t>
        </is>
      </c>
      <c r="B490" s="22" t="inlineStr">
        <is>
          <t>99000-066168</t>
        </is>
      </c>
      <c r="C490" s="22" t="inlineStr">
        <is>
          <t>FRAIS REMISE CHQ N  7448588</t>
        </is>
      </c>
      <c r="D490" s="25" t="n">
        <v>238</v>
      </c>
      <c r="E490" s="25" t="n"/>
      <c r="F490" s="25" t="n">
        <v>1836615.35</v>
      </c>
      <c r="G490" s="12" t="inlineStr">
        <is>
          <t>2026-04</t>
        </is>
      </c>
      <c r="H490" s="12" t="inlineStr">
        <is>
          <t>Agios, commissions et frais</t>
        </is>
      </c>
      <c r="I490" s="12" t="inlineStr"/>
      <c r="J490" s="12" t="inlineStr">
        <is>
          <t>B26040268</t>
        </is>
      </c>
      <c r="K490" s="12" t="inlineStr">
        <is>
          <t>44557, 62750</t>
        </is>
      </c>
      <c r="L490" s="12" t="inlineStr">
        <is>
          <t>Probable</t>
        </is>
      </c>
    </row>
    <row r="491">
      <c r="A491" s="22" t="inlineStr">
        <is>
          <t>01/04/2026</t>
        </is>
      </c>
      <c r="B491" s="22" t="inlineStr">
        <is>
          <t>-12849</t>
        </is>
      </c>
      <c r="C491" s="22" t="inlineStr">
        <is>
          <t>RECOUV.IMP.TOMB.ANTI     4071</t>
        </is>
      </c>
      <c r="D491" s="25" t="n">
        <v>8.82</v>
      </c>
      <c r="E491" s="25" t="n"/>
      <c r="F491" s="25" t="n">
        <v>1836606.53</v>
      </c>
      <c r="G491" s="12" t="inlineStr">
        <is>
          <t>2026-04</t>
        </is>
      </c>
      <c r="H491" s="12" t="inlineStr">
        <is>
          <t>Remboursement crédit / échéances</t>
        </is>
      </c>
      <c r="I491" s="12" t="inlineStr"/>
      <c r="J491" s="12" t="inlineStr">
        <is>
          <t>B26040269</t>
        </is>
      </c>
      <c r="K491" s="12" t="inlineStr">
        <is>
          <t>51900</t>
        </is>
      </c>
      <c r="L491" s="12" t="inlineStr">
        <is>
          <t>Probable</t>
        </is>
      </c>
    </row>
    <row r="492">
      <c r="A492" s="22" t="inlineStr">
        <is>
          <t>02/04/2026</t>
        </is>
      </c>
      <c r="B492" s="22" t="inlineStr">
        <is>
          <t>00370-085311</t>
        </is>
      </c>
      <c r="C492" s="22" t="inlineStr">
        <is>
          <t>VRT. RECU LAOUEDJ MOHAMMED SAL</t>
        </is>
      </c>
      <c r="D492" s="25" t="n"/>
      <c r="E492" s="25" t="n">
        <v>954335.2</v>
      </c>
      <c r="F492" s="25" t="n">
        <v>2790941.73</v>
      </c>
      <c r="G492" s="12" t="inlineStr">
        <is>
          <t>2026-04</t>
        </is>
      </c>
      <c r="H492" s="12" t="inlineStr">
        <is>
          <t>Encaissements clients</t>
        </is>
      </c>
      <c r="I492" s="12" t="inlineStr"/>
      <c r="J492" s="12" t="inlineStr">
        <is>
          <t>B26040270</t>
        </is>
      </c>
      <c r="K492" s="12" t="inlineStr">
        <is>
          <t>41100</t>
        </is>
      </c>
      <c r="L492" s="12" t="inlineStr">
        <is>
          <t>Probable</t>
        </is>
      </c>
    </row>
    <row r="493">
      <c r="A493" s="22" t="inlineStr">
        <is>
          <t>05/04/2026</t>
        </is>
      </c>
      <c r="B493" s="22" t="inlineStr">
        <is>
          <t>00370-018977</t>
        </is>
      </c>
      <c r="C493" s="22" t="inlineStr">
        <is>
          <t>FRAIS CHQ BQE NUM  4288306</t>
        </is>
      </c>
      <c r="D493" s="25" t="n">
        <v>952</v>
      </c>
      <c r="E493" s="25" t="n"/>
      <c r="F493" s="25" t="n">
        <v>2789989.73</v>
      </c>
      <c r="G493" s="12" t="inlineStr">
        <is>
          <t>2026-04</t>
        </is>
      </c>
      <c r="H493" s="12" t="inlineStr">
        <is>
          <t>Agios, commissions et frais</t>
        </is>
      </c>
      <c r="I493" s="12" t="inlineStr"/>
      <c r="J493" s="12" t="inlineStr">
        <is>
          <t>B26040271</t>
        </is>
      </c>
      <c r="K493" s="12" t="inlineStr">
        <is>
          <t>44557, 62750</t>
        </is>
      </c>
      <c r="L493" s="12" t="inlineStr">
        <is>
          <t>Probable</t>
        </is>
      </c>
    </row>
    <row r="494">
      <c r="A494" s="22" t="inlineStr">
        <is>
          <t>05/04/2026</t>
        </is>
      </c>
      <c r="B494" s="22" t="inlineStr">
        <is>
          <t>00370-018977</t>
        </is>
      </c>
      <c r="C494" s="22" t="inlineStr">
        <is>
          <t>CHQ BANQUE NUM  4288306</t>
        </is>
      </c>
      <c r="D494" s="25" t="n">
        <v>3397533.3</v>
      </c>
      <c r="E494" s="25" t="n"/>
      <c r="F494" s="25" t="n">
        <v>-607543.5699999999</v>
      </c>
      <c r="G494" s="12" t="inlineStr">
        <is>
          <t>2026-04</t>
        </is>
      </c>
      <c r="H494" s="12" t="inlineStr">
        <is>
          <t>Chèques de banque (douane / autres)</t>
        </is>
      </c>
      <c r="I494" s="12" t="inlineStr"/>
      <c r="J494" s="12" t="inlineStr">
        <is>
          <t>B26040272</t>
        </is>
      </c>
      <c r="K494" s="12" t="inlineStr">
        <is>
          <t>40100</t>
        </is>
      </c>
      <c r="L494" s="12" t="inlineStr">
        <is>
          <t>Probable</t>
        </is>
      </c>
    </row>
    <row r="495">
      <c r="A495" s="22" t="inlineStr">
        <is>
          <t>05/04/2026</t>
        </is>
      </c>
      <c r="B495" s="22" t="inlineStr">
        <is>
          <t>00370-012854</t>
        </is>
      </c>
      <c r="C495" s="22" t="inlineStr">
        <is>
          <t>FRAIS VRT.</t>
        </is>
      </c>
      <c r="D495" s="25" t="n">
        <v>59.5</v>
      </c>
      <c r="E495" s="25" t="n"/>
      <c r="F495" s="25" t="n">
        <v>-607603.0699999999</v>
      </c>
      <c r="G495" s="12" t="inlineStr">
        <is>
          <t>2026-04</t>
        </is>
      </c>
      <c r="H495" s="12" t="inlineStr">
        <is>
          <t>Agios, commissions et frais</t>
        </is>
      </c>
      <c r="I495" s="12" t="inlineStr"/>
      <c r="J495" s="12" t="inlineStr">
        <is>
          <t>B26040273</t>
        </is>
      </c>
      <c r="K495" s="12" t="inlineStr">
        <is>
          <t>44557, 62750</t>
        </is>
      </c>
      <c r="L495" s="12" t="inlineStr">
        <is>
          <t>Probable</t>
        </is>
      </c>
    </row>
    <row r="496">
      <c r="A496" s="22" t="inlineStr">
        <is>
          <t>05/04/2026</t>
        </is>
      </c>
      <c r="B496" s="22" t="inlineStr">
        <is>
          <t>00370-012854</t>
        </is>
      </c>
      <c r="C496" s="22" t="inlineStr">
        <is>
          <t>VRT. ORD. SARL DPR AXXAM</t>
        </is>
      </c>
      <c r="D496" s="25" t="n">
        <v>10000000</v>
      </c>
      <c r="E496" s="25" t="n"/>
      <c r="F496" s="25" t="n">
        <v>-10607603.07</v>
      </c>
      <c r="G496" s="12" t="inlineStr">
        <is>
          <t>2026-04</t>
        </is>
      </c>
      <c r="H496" s="12" t="inlineStr">
        <is>
          <t>DPR AXXAM (partie liée)</t>
        </is>
      </c>
      <c r="I496" s="12" t="inlineStr"/>
      <c r="J496" s="12" t="inlineStr">
        <is>
          <t>B26040274</t>
        </is>
      </c>
      <c r="K496" s="12" t="inlineStr">
        <is>
          <t>40900</t>
        </is>
      </c>
      <c r="L496" s="12" t="inlineStr">
        <is>
          <t>À justifier</t>
        </is>
      </c>
    </row>
    <row r="497">
      <c r="A497" s="22" t="inlineStr">
        <is>
          <t>06/04/2026</t>
        </is>
      </c>
      <c r="B497" s="22" t="inlineStr">
        <is>
          <t>00370-120291</t>
        </is>
      </c>
      <c r="C497" s="22" t="inlineStr">
        <is>
          <t>PAIEMENT CHQ NUM  2125751</t>
        </is>
      </c>
      <c r="D497" s="25" t="n">
        <v>333366.53</v>
      </c>
      <c r="E497" s="25" t="n"/>
      <c r="F497" s="25" t="n">
        <v>-10940969.6</v>
      </c>
      <c r="G497" s="12" t="inlineStr">
        <is>
          <t>2026-04</t>
        </is>
      </c>
      <c r="H497" s="12" t="inlineStr">
        <is>
          <t>CNAS</t>
        </is>
      </c>
      <c r="I497" s="4" t="inlineStr">
        <is>
          <t>CNAS IMPORT février 2026 (déclaration non fournie)</t>
        </is>
      </c>
      <c r="J497" s="12" t="inlineStr">
        <is>
          <t>B26040275</t>
        </is>
      </c>
      <c r="K497" s="12" t="inlineStr">
        <is>
          <t>43100, 43200</t>
        </is>
      </c>
      <c r="L497" s="12" t="inlineStr">
        <is>
          <t>Certaine</t>
        </is>
      </c>
    </row>
    <row r="498">
      <c r="A498" s="22" t="inlineStr">
        <is>
          <t>06/04/2026</t>
        </is>
      </c>
      <c r="B498" s="22" t="inlineStr">
        <is>
          <t>00370-120291</t>
        </is>
      </c>
      <c r="C498" s="22" t="inlineStr">
        <is>
          <t>PERCEP.COM SUR PAIEMENTS CHQ</t>
        </is>
      </c>
      <c r="D498" s="25" t="n">
        <v>59.5</v>
      </c>
      <c r="E498" s="25" t="n"/>
      <c r="F498" s="25" t="n">
        <v>-10941029.1</v>
      </c>
      <c r="G498" s="12" t="inlineStr">
        <is>
          <t>2026-04</t>
        </is>
      </c>
      <c r="H498" s="12" t="inlineStr">
        <is>
          <t>Agios, commissions et frais</t>
        </is>
      </c>
      <c r="I498" s="12" t="inlineStr"/>
      <c r="J498" s="12" t="inlineStr">
        <is>
          <t>B26040276</t>
        </is>
      </c>
      <c r="K498" s="12" t="inlineStr">
        <is>
          <t>44557, 62750</t>
        </is>
      </c>
      <c r="L498" s="12" t="inlineStr">
        <is>
          <t>Probable</t>
        </is>
      </c>
    </row>
    <row r="499">
      <c r="A499" s="22" t="inlineStr">
        <is>
          <t>06/04/2026</t>
        </is>
      </c>
      <c r="B499" s="22" t="inlineStr">
        <is>
          <t>99000-066198</t>
        </is>
      </c>
      <c r="C499" s="22" t="inlineStr">
        <is>
          <t>SORT CHQ NUM  9174342</t>
        </is>
      </c>
      <c r="D499" s="25" t="n"/>
      <c r="E499" s="25" t="n">
        <v>637364</v>
      </c>
      <c r="F499" s="25" t="n">
        <v>-10303665.1</v>
      </c>
      <c r="G499" s="12" t="inlineStr">
        <is>
          <t>2026-04</t>
        </is>
      </c>
      <c r="H499" s="12" t="inlineStr">
        <is>
          <t>Encaissements clients</t>
        </is>
      </c>
      <c r="I499" s="12" t="inlineStr"/>
      <c r="J499" s="12" t="inlineStr">
        <is>
          <t>B26040277</t>
        </is>
      </c>
      <c r="K499" s="12" t="inlineStr">
        <is>
          <t>47000</t>
        </is>
      </c>
      <c r="L499" s="12" t="inlineStr">
        <is>
          <t>À identifier</t>
        </is>
      </c>
    </row>
    <row r="500">
      <c r="A500" s="22" t="inlineStr">
        <is>
          <t>06/04/2026</t>
        </is>
      </c>
      <c r="B500" s="22" t="inlineStr">
        <is>
          <t>99000-066198</t>
        </is>
      </c>
      <c r="C500" s="22" t="inlineStr">
        <is>
          <t>FRAIS REMISE CHQ N  9174342</t>
        </is>
      </c>
      <c r="D500" s="25" t="n">
        <v>119</v>
      </c>
      <c r="E500" s="25" t="n"/>
      <c r="F500" s="25" t="n">
        <v>-10303784.1</v>
      </c>
      <c r="G500" s="12" t="inlineStr">
        <is>
          <t>2026-04</t>
        </is>
      </c>
      <c r="H500" s="12" t="inlineStr">
        <is>
          <t>Agios, commissions et frais</t>
        </is>
      </c>
      <c r="I500" s="12" t="inlineStr"/>
      <c r="J500" s="12" t="inlineStr">
        <is>
          <t>B26040278</t>
        </is>
      </c>
      <c r="K500" s="12" t="inlineStr">
        <is>
          <t>44557, 62750</t>
        </is>
      </c>
      <c r="L500" s="12" t="inlineStr">
        <is>
          <t>Probable</t>
        </is>
      </c>
    </row>
    <row r="501">
      <c r="A501" s="22" t="inlineStr">
        <is>
          <t>07/04/2026</t>
        </is>
      </c>
      <c r="B501" s="22" t="inlineStr">
        <is>
          <t>00370-120346</t>
        </is>
      </c>
      <c r="C501" s="22" t="inlineStr">
        <is>
          <t>PAIEMENT CHQ NUM  2125739</t>
        </is>
      </c>
      <c r="D501" s="25" t="n">
        <v>3392786</v>
      </c>
      <c r="E501" s="25" t="n"/>
      <c r="F501" s="25" t="n">
        <v>-13696570.1</v>
      </c>
      <c r="G501" s="12" t="inlineStr">
        <is>
          <t>2026-04</t>
        </is>
      </c>
      <c r="H501" s="12" t="inlineStr">
        <is>
          <t>G50 (impôts)</t>
        </is>
      </c>
      <c r="I501" s="4" t="inlineStr">
        <is>
          <t>G50 IMPORT février 2026</t>
        </is>
      </c>
      <c r="J501" s="12" t="inlineStr">
        <is>
          <t>B26040279</t>
        </is>
      </c>
      <c r="K501" s="12" t="inlineStr">
        <is>
          <t>44210, 44510, 44720, 44760</t>
        </is>
      </c>
      <c r="L501" s="12" t="inlineStr">
        <is>
          <t>Certaine</t>
        </is>
      </c>
    </row>
    <row r="502">
      <c r="A502" s="22" t="inlineStr">
        <is>
          <t>07/04/2026</t>
        </is>
      </c>
      <c r="B502" s="22" t="inlineStr">
        <is>
          <t>00370-120349</t>
        </is>
      </c>
      <c r="C502" s="22" t="inlineStr">
        <is>
          <t>PAIEMENT CHQ NUM  2125738</t>
        </is>
      </c>
      <c r="D502" s="25" t="n">
        <v>260777</v>
      </c>
      <c r="E502" s="25" t="n"/>
      <c r="F502" s="25" t="n">
        <v>-13957347.1</v>
      </c>
      <c r="G502" s="12" t="inlineStr">
        <is>
          <t>2026-04</t>
        </is>
      </c>
      <c r="H502" s="12" t="inlineStr">
        <is>
          <t>Fournisseurs, salaires et divers</t>
        </is>
      </c>
      <c r="I502" s="12" t="inlineStr"/>
      <c r="J502" s="12" t="inlineStr">
        <is>
          <t>B26040280</t>
        </is>
      </c>
      <c r="K502" s="12" t="inlineStr">
        <is>
          <t>47000</t>
        </is>
      </c>
      <c r="L502" s="12" t="inlineStr">
        <is>
          <t>À identifier</t>
        </is>
      </c>
    </row>
    <row r="503">
      <c r="A503" s="22" t="inlineStr">
        <is>
          <t>07/04/2026</t>
        </is>
      </c>
      <c r="B503" s="22" t="inlineStr">
        <is>
          <t>00370-120346</t>
        </is>
      </c>
      <c r="C503" s="22" t="inlineStr">
        <is>
          <t>PERCEP.COM SUR PAIEMENTS CHQ</t>
        </is>
      </c>
      <c r="D503" s="25" t="n">
        <v>59.5</v>
      </c>
      <c r="E503" s="25" t="n"/>
      <c r="F503" s="25" t="n">
        <v>-13957406.6</v>
      </c>
      <c r="G503" s="12" t="inlineStr">
        <is>
          <t>2026-04</t>
        </is>
      </c>
      <c r="H503" s="12" t="inlineStr">
        <is>
          <t>Agios, commissions et frais</t>
        </is>
      </c>
      <c r="I503" s="12" t="inlineStr"/>
      <c r="J503" s="12" t="inlineStr">
        <is>
          <t>B26040281</t>
        </is>
      </c>
      <c r="K503" s="12" t="inlineStr">
        <is>
          <t>44557, 62750</t>
        </is>
      </c>
      <c r="L503" s="12" t="inlineStr">
        <is>
          <t>Probable</t>
        </is>
      </c>
    </row>
    <row r="504">
      <c r="A504" s="22" t="inlineStr">
        <is>
          <t>07/04/2026</t>
        </is>
      </c>
      <c r="B504" s="22" t="inlineStr">
        <is>
          <t>00370-120349</t>
        </is>
      </c>
      <c r="C504" s="22" t="inlineStr">
        <is>
          <t>PERCEP.COM SUR PAIEMENTS CHQ</t>
        </is>
      </c>
      <c r="D504" s="25" t="n">
        <v>59.5</v>
      </c>
      <c r="E504" s="25" t="n"/>
      <c r="F504" s="25" t="n">
        <v>-13957466.1</v>
      </c>
      <c r="G504" s="12" t="inlineStr">
        <is>
          <t>2026-04</t>
        </is>
      </c>
      <c r="H504" s="12" t="inlineStr">
        <is>
          <t>Agios, commissions et frais</t>
        </is>
      </c>
      <c r="I504" s="12" t="inlineStr"/>
      <c r="J504" s="12" t="inlineStr">
        <is>
          <t>B26040282</t>
        </is>
      </c>
      <c r="K504" s="12" t="inlineStr">
        <is>
          <t>44557, 62750</t>
        </is>
      </c>
      <c r="L504" s="12" t="inlineStr">
        <is>
          <t>Probable</t>
        </is>
      </c>
    </row>
    <row r="505">
      <c r="A505" s="22" t="inlineStr">
        <is>
          <t>08/04/2026</t>
        </is>
      </c>
      <c r="B505" s="22" t="inlineStr">
        <is>
          <t>00370-012859</t>
        </is>
      </c>
      <c r="C505" s="22" t="inlineStr">
        <is>
          <t>FRAIS VRT.</t>
        </is>
      </c>
      <c r="D505" s="25" t="n">
        <v>59.5</v>
      </c>
      <c r="E505" s="25" t="n"/>
      <c r="F505" s="25" t="n">
        <v>-13957525.6</v>
      </c>
      <c r="G505" s="12" t="inlineStr">
        <is>
          <t>2026-04</t>
        </is>
      </c>
      <c r="H505" s="12" t="inlineStr">
        <is>
          <t>Agios, commissions et frais</t>
        </is>
      </c>
      <c r="I505" s="12" t="inlineStr"/>
      <c r="J505" s="12" t="inlineStr">
        <is>
          <t>B26040283</t>
        </is>
      </c>
      <c r="K505" s="12" t="inlineStr">
        <is>
          <t>44557, 62750</t>
        </is>
      </c>
      <c r="L505" s="12" t="inlineStr">
        <is>
          <t>Probable</t>
        </is>
      </c>
    </row>
    <row r="506">
      <c r="A506" s="22" t="inlineStr">
        <is>
          <t>08/04/2026</t>
        </is>
      </c>
      <c r="B506" s="22" t="inlineStr">
        <is>
          <t>00370-012859</t>
        </is>
      </c>
      <c r="C506" s="22" t="inlineStr">
        <is>
          <t>VRT. ORD. SARL DPR AXXAM</t>
        </is>
      </c>
      <c r="D506" s="25" t="n">
        <v>6000000</v>
      </c>
      <c r="E506" s="25" t="n"/>
      <c r="F506" s="25" t="n">
        <v>-19957525.6</v>
      </c>
      <c r="G506" s="12" t="inlineStr">
        <is>
          <t>2026-04</t>
        </is>
      </c>
      <c r="H506" s="12" t="inlineStr">
        <is>
          <t>DPR AXXAM (partie liée)</t>
        </is>
      </c>
      <c r="I506" s="12" t="inlineStr"/>
      <c r="J506" s="12" t="inlineStr">
        <is>
          <t>B26040284</t>
        </is>
      </c>
      <c r="K506" s="12" t="inlineStr">
        <is>
          <t>40900</t>
        </is>
      </c>
      <c r="L506" s="12" t="inlineStr">
        <is>
          <t>À justifier</t>
        </is>
      </c>
    </row>
    <row r="507">
      <c r="A507" s="22" t="inlineStr">
        <is>
          <t>08/04/2026</t>
        </is>
      </c>
      <c r="B507" s="22" t="inlineStr">
        <is>
          <t>00370-085410</t>
        </is>
      </c>
      <c r="C507" s="22" t="inlineStr">
        <is>
          <t>VRT. RECU GHOUFI FARIS</t>
        </is>
      </c>
      <c r="D507" s="25" t="n"/>
      <c r="E507" s="25" t="n">
        <v>243800</v>
      </c>
      <c r="F507" s="25" t="n">
        <v>-19713725.6</v>
      </c>
      <c r="G507" s="12" t="inlineStr">
        <is>
          <t>2026-04</t>
        </is>
      </c>
      <c r="H507" s="12" t="inlineStr">
        <is>
          <t>Encaissements clients</t>
        </is>
      </c>
      <c r="I507" s="12" t="inlineStr"/>
      <c r="J507" s="12" t="inlineStr">
        <is>
          <t>B26040285</t>
        </is>
      </c>
      <c r="K507" s="12" t="inlineStr">
        <is>
          <t>41100</t>
        </is>
      </c>
      <c r="L507" s="12" t="inlineStr">
        <is>
          <t>Probable</t>
        </is>
      </c>
    </row>
    <row r="508">
      <c r="A508" s="22" t="inlineStr">
        <is>
          <t>08/04/2026</t>
        </is>
      </c>
      <c r="B508" s="22" t="inlineStr">
        <is>
          <t>99000-066234</t>
        </is>
      </c>
      <c r="C508" s="22" t="inlineStr">
        <is>
          <t>SORT CHQ NUM  8442052</t>
        </is>
      </c>
      <c r="D508" s="25" t="n"/>
      <c r="E508" s="25" t="n">
        <v>1181000</v>
      </c>
      <c r="F508" s="25" t="n">
        <v>-18532725.6</v>
      </c>
      <c r="G508" s="12" t="inlineStr">
        <is>
          <t>2026-04</t>
        </is>
      </c>
      <c r="H508" s="12" t="inlineStr">
        <is>
          <t>Encaissements clients</t>
        </is>
      </c>
      <c r="I508" s="12" t="inlineStr"/>
      <c r="J508" s="12" t="inlineStr">
        <is>
          <t>B26040286</t>
        </is>
      </c>
      <c r="K508" s="12" t="inlineStr">
        <is>
          <t>47000</t>
        </is>
      </c>
      <c r="L508" s="12" t="inlineStr">
        <is>
          <t>À identifier</t>
        </is>
      </c>
    </row>
    <row r="509">
      <c r="A509" s="22" t="inlineStr">
        <is>
          <t>08/04/2026</t>
        </is>
      </c>
      <c r="B509" s="22" t="inlineStr">
        <is>
          <t>99000-066231</t>
        </is>
      </c>
      <c r="C509" s="22" t="inlineStr">
        <is>
          <t>SORT CHQ NUM  3785226</t>
        </is>
      </c>
      <c r="D509" s="25" t="n"/>
      <c r="E509" s="25" t="n">
        <v>944400</v>
      </c>
      <c r="F509" s="25" t="n">
        <v>-17588325.6</v>
      </c>
      <c r="G509" s="12" t="inlineStr">
        <is>
          <t>2026-04</t>
        </is>
      </c>
      <c r="H509" s="12" t="inlineStr">
        <is>
          <t>Encaissements clients</t>
        </is>
      </c>
      <c r="I509" s="12" t="inlineStr"/>
      <c r="J509" s="12" t="inlineStr">
        <is>
          <t>B26040287</t>
        </is>
      </c>
      <c r="K509" s="12" t="inlineStr">
        <is>
          <t>47000</t>
        </is>
      </c>
      <c r="L509" s="12" t="inlineStr">
        <is>
          <t>À identifier</t>
        </is>
      </c>
    </row>
    <row r="510">
      <c r="A510" s="22" t="inlineStr">
        <is>
          <t>08/04/2026</t>
        </is>
      </c>
      <c r="B510" s="22" t="inlineStr">
        <is>
          <t>99000-066228</t>
        </is>
      </c>
      <c r="C510" s="22" t="inlineStr">
        <is>
          <t>SORT CHQ NUM  6389839</t>
        </is>
      </c>
      <c r="D510" s="25" t="n"/>
      <c r="E510" s="25" t="n">
        <v>200000</v>
      </c>
      <c r="F510" s="25" t="n">
        <v>-17388325.6</v>
      </c>
      <c r="G510" s="12" t="inlineStr">
        <is>
          <t>2026-04</t>
        </is>
      </c>
      <c r="H510" s="12" t="inlineStr">
        <is>
          <t>Encaissements clients</t>
        </is>
      </c>
      <c r="I510" s="12" t="inlineStr"/>
      <c r="J510" s="12" t="inlineStr">
        <is>
          <t>B26040288</t>
        </is>
      </c>
      <c r="K510" s="12" t="inlineStr">
        <is>
          <t>41100</t>
        </is>
      </c>
      <c r="L510" s="12" t="inlineStr">
        <is>
          <t>Probable</t>
        </is>
      </c>
    </row>
    <row r="511">
      <c r="A511" s="22" t="inlineStr">
        <is>
          <t>08/04/2026</t>
        </is>
      </c>
      <c r="B511" s="22" t="inlineStr">
        <is>
          <t>99000-066234</t>
        </is>
      </c>
      <c r="C511" s="22" t="inlineStr">
        <is>
          <t>FRAIS REMISE CHQ N  8442052</t>
        </is>
      </c>
      <c r="D511" s="25" t="n">
        <v>238</v>
      </c>
      <c r="E511" s="25" t="n"/>
      <c r="F511" s="25" t="n">
        <v>-17388563.6</v>
      </c>
      <c r="G511" s="12" t="inlineStr">
        <is>
          <t>2026-04</t>
        </is>
      </c>
      <c r="H511" s="12" t="inlineStr">
        <is>
          <t>Agios, commissions et frais</t>
        </is>
      </c>
      <c r="I511" s="12" t="inlineStr"/>
      <c r="J511" s="12" t="inlineStr">
        <is>
          <t>B26040289</t>
        </is>
      </c>
      <c r="K511" s="12" t="inlineStr">
        <is>
          <t>44557, 62750</t>
        </is>
      </c>
      <c r="L511" s="12" t="inlineStr">
        <is>
          <t>Probable</t>
        </is>
      </c>
    </row>
    <row r="512">
      <c r="A512" s="22" t="inlineStr">
        <is>
          <t>08/04/2026</t>
        </is>
      </c>
      <c r="B512" s="22" t="inlineStr">
        <is>
          <t>99000-066231</t>
        </is>
      </c>
      <c r="C512" s="22" t="inlineStr">
        <is>
          <t>FRAIS REMISE CHQ N  3785226</t>
        </is>
      </c>
      <c r="D512" s="25" t="n">
        <v>238</v>
      </c>
      <c r="E512" s="25" t="n"/>
      <c r="F512" s="25" t="n">
        <v>-17388801.6</v>
      </c>
      <c r="G512" s="12" t="inlineStr">
        <is>
          <t>2026-04</t>
        </is>
      </c>
      <c r="H512" s="12" t="inlineStr">
        <is>
          <t>Agios, commissions et frais</t>
        </is>
      </c>
      <c r="I512" s="12" t="inlineStr"/>
      <c r="J512" s="12" t="inlineStr">
        <is>
          <t>B26040290</t>
        </is>
      </c>
      <c r="K512" s="12" t="inlineStr">
        <is>
          <t>44557, 62750</t>
        </is>
      </c>
      <c r="L512" s="12" t="inlineStr">
        <is>
          <t>Probable</t>
        </is>
      </c>
    </row>
    <row r="513">
      <c r="A513" s="22" t="inlineStr">
        <is>
          <t>08/04/2026</t>
        </is>
      </c>
      <c r="B513" s="22" t="inlineStr">
        <is>
          <t>99000-066228</t>
        </is>
      </c>
      <c r="C513" s="22" t="inlineStr">
        <is>
          <t>FRAIS REMISE CHQ N  6389839</t>
        </is>
      </c>
      <c r="D513" s="25" t="n">
        <v>238</v>
      </c>
      <c r="E513" s="25" t="n"/>
      <c r="F513" s="25" t="n">
        <v>-17389039.6</v>
      </c>
      <c r="G513" s="12" t="inlineStr">
        <is>
          <t>2026-04</t>
        </is>
      </c>
      <c r="H513" s="12" t="inlineStr">
        <is>
          <t>Agios, commissions et frais</t>
        </is>
      </c>
      <c r="I513" s="12" t="inlineStr"/>
      <c r="J513" s="12" t="inlineStr">
        <is>
          <t>B26040291</t>
        </is>
      </c>
      <c r="K513" s="12" t="inlineStr">
        <is>
          <t>44557, 62750</t>
        </is>
      </c>
      <c r="L513" s="12" t="inlineStr">
        <is>
          <t>Probable</t>
        </is>
      </c>
    </row>
    <row r="514">
      <c r="A514" s="22" t="inlineStr">
        <is>
          <t>09/04/2026</t>
        </is>
      </c>
      <c r="B514" s="22" t="inlineStr">
        <is>
          <t>99000-020199</t>
        </is>
      </c>
      <c r="C514" s="22" t="inlineStr">
        <is>
          <t>FRAIS ABONN. INTERNET 2026/04</t>
        </is>
      </c>
      <c r="D514" s="25" t="n">
        <v>1606.5</v>
      </c>
      <c r="E514" s="25" t="n"/>
      <c r="F514" s="25" t="n">
        <v>-17390646.1</v>
      </c>
      <c r="G514" s="12" t="inlineStr">
        <is>
          <t>2026-04</t>
        </is>
      </c>
      <c r="H514" s="12" t="inlineStr">
        <is>
          <t>Agios, commissions et frais</t>
        </is>
      </c>
      <c r="I514" s="12" t="inlineStr"/>
      <c r="J514" s="12" t="inlineStr">
        <is>
          <t>B26040292</t>
        </is>
      </c>
      <c r="K514" s="12" t="inlineStr">
        <is>
          <t>44557, 62750</t>
        </is>
      </c>
      <c r="L514" s="12" t="inlineStr">
        <is>
          <t>Probable</t>
        </is>
      </c>
    </row>
    <row r="515">
      <c r="A515" s="22" t="inlineStr">
        <is>
          <t>09/04/2026</t>
        </is>
      </c>
      <c r="B515" s="22" t="inlineStr">
        <is>
          <t>99000-071758</t>
        </is>
      </c>
      <c r="C515" s="22" t="inlineStr">
        <is>
          <t>FRAIS FIXE AU 31/03/26</t>
        </is>
      </c>
      <c r="D515" s="25" t="n">
        <v>375</v>
      </c>
      <c r="E515" s="25" t="n"/>
      <c r="F515" s="25" t="n">
        <v>-17391021.1</v>
      </c>
      <c r="G515" s="12" t="inlineStr">
        <is>
          <t>2026-04</t>
        </is>
      </c>
      <c r="H515" s="12" t="inlineStr">
        <is>
          <t>Agios, commissions et frais</t>
        </is>
      </c>
      <c r="I515" s="12" t="inlineStr"/>
      <c r="J515" s="12" t="inlineStr">
        <is>
          <t>B26040293</t>
        </is>
      </c>
      <c r="K515" s="12" t="inlineStr">
        <is>
          <t>44557, 62750</t>
        </is>
      </c>
      <c r="L515" s="12" t="inlineStr">
        <is>
          <t>Probable</t>
        </is>
      </c>
    </row>
    <row r="516">
      <c r="A516" s="22" t="inlineStr">
        <is>
          <t>09/04/2026</t>
        </is>
      </c>
      <c r="B516" s="22" t="inlineStr">
        <is>
          <t>99000-071758</t>
        </is>
      </c>
      <c r="C516" s="22" t="inlineStr">
        <is>
          <t>INTERETS DEBITEURS AU 31/03/26</t>
        </is>
      </c>
      <c r="D516" s="25" t="n">
        <v>281657.87</v>
      </c>
      <c r="E516" s="25" t="n"/>
      <c r="F516" s="25" t="n">
        <v>-17672678.97</v>
      </c>
      <c r="G516" s="12" t="inlineStr">
        <is>
          <t>2026-04</t>
        </is>
      </c>
      <c r="H516" s="12" t="inlineStr">
        <is>
          <t>Agios, commissions et frais</t>
        </is>
      </c>
      <c r="I516" s="12" t="inlineStr"/>
      <c r="J516" s="12" t="inlineStr">
        <is>
          <t>B26040294</t>
        </is>
      </c>
      <c r="K516" s="12" t="inlineStr">
        <is>
          <t>66100</t>
        </is>
      </c>
      <c r="L516" s="12" t="inlineStr">
        <is>
          <t>Certaine</t>
        </is>
      </c>
    </row>
    <row r="517">
      <c r="A517" s="22" t="inlineStr">
        <is>
          <t>09/04/2026</t>
        </is>
      </c>
      <c r="B517" s="22" t="inlineStr">
        <is>
          <t>99000-071758</t>
        </is>
      </c>
      <c r="C517" s="22" t="inlineStr">
        <is>
          <t>TAXE/INTERETS DBT AU 31/03/26</t>
        </is>
      </c>
      <c r="D517" s="25" t="n">
        <v>53515</v>
      </c>
      <c r="E517" s="25" t="n"/>
      <c r="F517" s="25" t="n">
        <v>-17726193.97</v>
      </c>
      <c r="G517" s="12" t="inlineStr">
        <is>
          <t>2026-04</t>
        </is>
      </c>
      <c r="H517" s="12" t="inlineStr">
        <is>
          <t>Agios, commissions et frais</t>
        </is>
      </c>
      <c r="I517" s="12" t="inlineStr"/>
      <c r="J517" s="12" t="inlineStr">
        <is>
          <t>B26040295</t>
        </is>
      </c>
      <c r="K517" s="12" t="inlineStr">
        <is>
          <t>44557</t>
        </is>
      </c>
      <c r="L517" s="12" t="inlineStr">
        <is>
          <t>Certaine</t>
        </is>
      </c>
    </row>
    <row r="518">
      <c r="A518" s="22" t="inlineStr">
        <is>
          <t>09/04/2026</t>
        </is>
      </c>
      <c r="B518" s="22" t="inlineStr">
        <is>
          <t>99000-071758</t>
        </is>
      </c>
      <c r="C518" s="22" t="inlineStr">
        <is>
          <t>TAXE FRAIS FIXE AU 31/03/26</t>
        </is>
      </c>
      <c r="D518" s="25" t="n">
        <v>71.25</v>
      </c>
      <c r="E518" s="25" t="n"/>
      <c r="F518" s="25" t="n">
        <v>-17726265.22</v>
      </c>
      <c r="G518" s="12" t="inlineStr">
        <is>
          <t>2026-04</t>
        </is>
      </c>
      <c r="H518" s="12" t="inlineStr">
        <is>
          <t>Agios, commissions et frais</t>
        </is>
      </c>
      <c r="I518" s="12" t="inlineStr"/>
      <c r="J518" s="12" t="inlineStr">
        <is>
          <t>B26040296</t>
        </is>
      </c>
      <c r="K518" s="12" t="inlineStr">
        <is>
          <t>44557</t>
        </is>
      </c>
      <c r="L518" s="12" t="inlineStr">
        <is>
          <t>Certaine</t>
        </is>
      </c>
    </row>
    <row r="519">
      <c r="A519" s="22" t="inlineStr">
        <is>
          <t>14/04/2026</t>
        </is>
      </c>
      <c r="B519" s="22" t="inlineStr">
        <is>
          <t>00370-000574</t>
        </is>
      </c>
      <c r="C519" s="22" t="inlineStr">
        <is>
          <t>VRT EDI AUTRES BQUES</t>
        </is>
      </c>
      <c r="D519" s="25" t="n">
        <v>229334.64</v>
      </c>
      <c r="E519" s="25" t="n"/>
      <c r="F519" s="25" t="n">
        <v>-17955599.86</v>
      </c>
      <c r="G519" s="12" t="inlineStr">
        <is>
          <t>2026-04</t>
        </is>
      </c>
      <c r="H519" s="12" t="inlineStr">
        <is>
          <t>Fournisseurs, salaires et divers</t>
        </is>
      </c>
      <c r="I519" s="12" t="inlineStr"/>
      <c r="J519" s="12" t="inlineStr">
        <is>
          <t>B26040297</t>
        </is>
      </c>
      <c r="K519" s="12" t="inlineStr">
        <is>
          <t>47000</t>
        </is>
      </c>
      <c r="L519" s="12" t="inlineStr">
        <is>
          <t>À identifier</t>
        </is>
      </c>
    </row>
    <row r="520">
      <c r="A520" s="22" t="inlineStr">
        <is>
          <t>14/04/2026</t>
        </is>
      </c>
      <c r="B520" s="22" t="inlineStr">
        <is>
          <t>00370-000574</t>
        </is>
      </c>
      <c r="C520" s="22" t="inlineStr">
        <is>
          <t>COM.VRT EDI BQUE</t>
        </is>
      </c>
      <c r="D520" s="25" t="n">
        <v>107.1</v>
      </c>
      <c r="E520" s="25" t="n"/>
      <c r="F520" s="25" t="n">
        <v>-17955706.96</v>
      </c>
      <c r="G520" s="12" t="inlineStr">
        <is>
          <t>2026-04</t>
        </is>
      </c>
      <c r="H520" s="12" t="inlineStr">
        <is>
          <t>Agios, commissions et frais</t>
        </is>
      </c>
      <c r="I520" s="12" t="inlineStr"/>
      <c r="J520" s="12" t="inlineStr">
        <is>
          <t>B26040298</t>
        </is>
      </c>
      <c r="K520" s="12" t="inlineStr">
        <is>
          <t>44557, 62750</t>
        </is>
      </c>
      <c r="L520" s="12" t="inlineStr">
        <is>
          <t>Probable</t>
        </is>
      </c>
    </row>
    <row r="521">
      <c r="A521" s="22" t="inlineStr">
        <is>
          <t>15/04/2026</t>
        </is>
      </c>
      <c r="B521" s="22" t="inlineStr">
        <is>
          <t>-6111</t>
        </is>
      </c>
      <c r="C521" s="22" t="inlineStr">
        <is>
          <t>VRT. RECU EURL B.S. COMMERCE</t>
        </is>
      </c>
      <c r="D521" s="25" t="n"/>
      <c r="E521" s="25" t="n">
        <v>2005900</v>
      </c>
      <c r="F521" s="25" t="n">
        <v>-15949806.96</v>
      </c>
      <c r="G521" s="12" t="inlineStr">
        <is>
          <t>2026-04</t>
        </is>
      </c>
      <c r="H521" s="12" t="inlineStr">
        <is>
          <t>Encaissements clients</t>
        </is>
      </c>
      <c r="I521" s="12" t="inlineStr"/>
      <c r="J521" s="12" t="inlineStr">
        <is>
          <t>B26040299</t>
        </is>
      </c>
      <c r="K521" s="12" t="inlineStr">
        <is>
          <t>41100</t>
        </is>
      </c>
      <c r="L521" s="12" t="inlineStr">
        <is>
          <t>Probable</t>
        </is>
      </c>
    </row>
    <row r="522">
      <c r="A522" s="22" t="inlineStr">
        <is>
          <t>15/04/2026</t>
        </is>
      </c>
      <c r="B522" s="22" t="inlineStr">
        <is>
          <t>99000-066311</t>
        </is>
      </c>
      <c r="C522" s="22" t="inlineStr">
        <is>
          <t>SORT CHQ NUM   167355</t>
        </is>
      </c>
      <c r="D522" s="25" t="n"/>
      <c r="E522" s="25" t="n">
        <v>84000</v>
      </c>
      <c r="F522" s="25" t="n">
        <v>-15865806.96</v>
      </c>
      <c r="G522" s="12" t="inlineStr">
        <is>
          <t>2026-04</t>
        </is>
      </c>
      <c r="H522" s="12" t="inlineStr">
        <is>
          <t>Encaissements clients</t>
        </is>
      </c>
      <c r="I522" s="12" t="inlineStr"/>
      <c r="J522" s="12" t="inlineStr">
        <is>
          <t>B26040300</t>
        </is>
      </c>
      <c r="K522" s="12" t="inlineStr">
        <is>
          <t>47000</t>
        </is>
      </c>
      <c r="L522" s="12" t="inlineStr">
        <is>
          <t>À identifier</t>
        </is>
      </c>
    </row>
    <row r="523">
      <c r="A523" s="22" t="inlineStr">
        <is>
          <t>15/04/2026</t>
        </is>
      </c>
      <c r="B523" s="22" t="inlineStr">
        <is>
          <t>99000-066315</t>
        </is>
      </c>
      <c r="C523" s="22" t="inlineStr">
        <is>
          <t>SORT CHQ NUM  1621276</t>
        </is>
      </c>
      <c r="D523" s="25" t="n"/>
      <c r="E523" s="25" t="n">
        <v>66640</v>
      </c>
      <c r="F523" s="25" t="n">
        <v>-15799166.96</v>
      </c>
      <c r="G523" s="12" t="inlineStr">
        <is>
          <t>2026-04</t>
        </is>
      </c>
      <c r="H523" s="12" t="inlineStr">
        <is>
          <t>Encaissements clients</t>
        </is>
      </c>
      <c r="I523" s="12" t="inlineStr"/>
      <c r="J523" s="12" t="inlineStr">
        <is>
          <t>B26040301</t>
        </is>
      </c>
      <c r="K523" s="12" t="inlineStr">
        <is>
          <t>47000</t>
        </is>
      </c>
      <c r="L523" s="12" t="inlineStr">
        <is>
          <t>À identifier</t>
        </is>
      </c>
    </row>
    <row r="524">
      <c r="A524" s="22" t="inlineStr">
        <is>
          <t>15/04/2026</t>
        </is>
      </c>
      <c r="B524" s="22" t="inlineStr">
        <is>
          <t>99000-066311</t>
        </is>
      </c>
      <c r="C524" s="22" t="inlineStr">
        <is>
          <t>FRAIS REMISE CHQ N   167355</t>
        </is>
      </c>
      <c r="D524" s="25" t="n">
        <v>119</v>
      </c>
      <c r="E524" s="25" t="n"/>
      <c r="F524" s="25" t="n">
        <v>-15799285.96</v>
      </c>
      <c r="G524" s="12" t="inlineStr">
        <is>
          <t>2026-04</t>
        </is>
      </c>
      <c r="H524" s="12" t="inlineStr">
        <is>
          <t>Agios, commissions et frais</t>
        </is>
      </c>
      <c r="I524" s="12" t="inlineStr"/>
      <c r="J524" s="12" t="inlineStr">
        <is>
          <t>B26040302</t>
        </is>
      </c>
      <c r="K524" s="12" t="inlineStr">
        <is>
          <t>44557, 62750</t>
        </is>
      </c>
      <c r="L524" s="12" t="inlineStr">
        <is>
          <t>Probable</t>
        </is>
      </c>
    </row>
    <row r="525">
      <c r="A525" s="22" t="inlineStr">
        <is>
          <t>15/04/2026</t>
        </is>
      </c>
      <c r="B525" s="22" t="inlineStr">
        <is>
          <t>99000-066315</t>
        </is>
      </c>
      <c r="C525" s="22" t="inlineStr">
        <is>
          <t>FRAIS REMISE CHQ N  1621276</t>
        </is>
      </c>
      <c r="D525" s="25" t="n">
        <v>79.3</v>
      </c>
      <c r="E525" s="25" t="n"/>
      <c r="F525" s="25" t="n">
        <v>-15799365.26</v>
      </c>
      <c r="G525" s="12" t="inlineStr">
        <is>
          <t>2026-04</t>
        </is>
      </c>
      <c r="H525" s="12" t="inlineStr">
        <is>
          <t>Agios, commissions et frais</t>
        </is>
      </c>
      <c r="I525" s="12" t="inlineStr"/>
      <c r="J525" s="12" t="inlineStr">
        <is>
          <t>B26040303</t>
        </is>
      </c>
      <c r="K525" s="12" t="inlineStr">
        <is>
          <t>44557, 62750</t>
        </is>
      </c>
      <c r="L525" s="12" t="inlineStr">
        <is>
          <t>Probable</t>
        </is>
      </c>
    </row>
    <row r="526">
      <c r="A526" s="22" t="inlineStr">
        <is>
          <t>19/04/2026</t>
        </is>
      </c>
      <c r="B526" s="22" t="inlineStr">
        <is>
          <t>00370-120573</t>
        </is>
      </c>
      <c r="C526" s="22" t="inlineStr">
        <is>
          <t>PAIEMENT CHQ NUM  2125741</t>
        </is>
      </c>
      <c r="D526" s="25" t="n">
        <v>110029.76</v>
      </c>
      <c r="E526" s="25" t="n"/>
      <c r="F526" s="25" t="n">
        <v>-15909395.02</v>
      </c>
      <c r="G526" s="12" t="inlineStr">
        <is>
          <t>2026-04</t>
        </is>
      </c>
      <c r="H526" s="12" t="inlineStr">
        <is>
          <t>Fournisseurs, salaires et divers</t>
        </is>
      </c>
      <c r="I526" s="12" t="inlineStr"/>
      <c r="J526" s="12" t="inlineStr">
        <is>
          <t>B26040304</t>
        </is>
      </c>
      <c r="K526" s="12" t="inlineStr">
        <is>
          <t>47000</t>
        </is>
      </c>
      <c r="L526" s="12" t="inlineStr">
        <is>
          <t>À identifier</t>
        </is>
      </c>
    </row>
    <row r="527">
      <c r="A527" s="22" t="inlineStr">
        <is>
          <t>19/04/2026</t>
        </is>
      </c>
      <c r="B527" s="22" t="inlineStr">
        <is>
          <t>00370-120591</t>
        </is>
      </c>
      <c r="C527" s="22" t="inlineStr">
        <is>
          <t>PAIEMENT CHQ NUM  2125740</t>
        </is>
      </c>
      <c r="D527" s="25" t="n">
        <v>100160.76</v>
      </c>
      <c r="E527" s="25" t="n"/>
      <c r="F527" s="25" t="n">
        <v>-16009555.78</v>
      </c>
      <c r="G527" s="12" t="inlineStr">
        <is>
          <t>2026-04</t>
        </is>
      </c>
      <c r="H527" s="12" t="inlineStr">
        <is>
          <t>Fournisseurs, salaires et divers</t>
        </is>
      </c>
      <c r="I527" s="12" t="inlineStr"/>
      <c r="J527" s="12" t="inlineStr">
        <is>
          <t>B26040305</t>
        </is>
      </c>
      <c r="K527" s="12" t="inlineStr">
        <is>
          <t>47000</t>
        </is>
      </c>
      <c r="L527" s="12" t="inlineStr">
        <is>
          <t>À identifier</t>
        </is>
      </c>
    </row>
    <row r="528">
      <c r="A528" s="22" t="inlineStr">
        <is>
          <t>19/04/2026</t>
        </is>
      </c>
      <c r="B528" s="22" t="inlineStr">
        <is>
          <t>00370-120573</t>
        </is>
      </c>
      <c r="C528" s="22" t="inlineStr">
        <is>
          <t>PERCEP.COM SUR PAIEMENTS CHQ</t>
        </is>
      </c>
      <c r="D528" s="25" t="n">
        <v>59.5</v>
      </c>
      <c r="E528" s="25" t="n"/>
      <c r="F528" s="25" t="n">
        <v>-16009615.28</v>
      </c>
      <c r="G528" s="12" t="inlineStr">
        <is>
          <t>2026-04</t>
        </is>
      </c>
      <c r="H528" s="12" t="inlineStr">
        <is>
          <t>Agios, commissions et frais</t>
        </is>
      </c>
      <c r="I528" s="12" t="inlineStr"/>
      <c r="J528" s="12" t="inlineStr">
        <is>
          <t>B26040306</t>
        </is>
      </c>
      <c r="K528" s="12" t="inlineStr">
        <is>
          <t>44557, 62750</t>
        </is>
      </c>
      <c r="L528" s="12" t="inlineStr">
        <is>
          <t>Probable</t>
        </is>
      </c>
    </row>
    <row r="529">
      <c r="A529" s="22" t="inlineStr">
        <is>
          <t>19/04/2026</t>
        </is>
      </c>
      <c r="B529" s="22" t="inlineStr">
        <is>
          <t>00370-120591</t>
        </is>
      </c>
      <c r="C529" s="22" t="inlineStr">
        <is>
          <t>PERCEP.COM SUR PAIEMENTS CHQ</t>
        </is>
      </c>
      <c r="D529" s="25" t="n">
        <v>59.5</v>
      </c>
      <c r="E529" s="25" t="n"/>
      <c r="F529" s="25" t="n">
        <v>-16009674.78</v>
      </c>
      <c r="G529" s="12" t="inlineStr">
        <is>
          <t>2026-04</t>
        </is>
      </c>
      <c r="H529" s="12" t="inlineStr">
        <is>
          <t>Agios, commissions et frais</t>
        </is>
      </c>
      <c r="I529" s="12" t="inlineStr"/>
      <c r="J529" s="12" t="inlineStr">
        <is>
          <t>B26040307</t>
        </is>
      </c>
      <c r="K529" s="12" t="inlineStr">
        <is>
          <t>44557, 62750</t>
        </is>
      </c>
      <c r="L529" s="12" t="inlineStr">
        <is>
          <t>Probable</t>
        </is>
      </c>
    </row>
    <row r="530">
      <c r="A530" s="22" t="inlineStr">
        <is>
          <t>20/04/2026</t>
        </is>
      </c>
      <c r="B530" s="22" t="inlineStr">
        <is>
          <t>00370-000355</t>
        </is>
      </c>
      <c r="C530" s="22" t="inlineStr">
        <is>
          <t>OPERATION PROV 20% PTI64656 US</t>
        </is>
      </c>
      <c r="D530" s="25" t="n">
        <v>2100000</v>
      </c>
      <c r="E530" s="25" t="n"/>
      <c r="F530" s="25" t="n">
        <v>-18109674.78</v>
      </c>
      <c r="G530" s="12" t="inlineStr">
        <is>
          <t>2026-04</t>
        </is>
      </c>
      <c r="H530" s="12" t="inlineStr">
        <is>
          <t>Importations (règlements, provisions, crédoc)</t>
        </is>
      </c>
      <c r="I530" s="12" t="inlineStr"/>
      <c r="J530" s="12" t="inlineStr">
        <is>
          <t>B26040308</t>
        </is>
      </c>
      <c r="K530" s="12" t="inlineStr">
        <is>
          <t>54200</t>
        </is>
      </c>
      <c r="L530" s="12" t="inlineStr">
        <is>
          <t>Certaine</t>
        </is>
      </c>
    </row>
    <row r="531">
      <c r="A531" s="22" t="inlineStr">
        <is>
          <t>21/04/2026</t>
        </is>
      </c>
      <c r="B531" s="22" t="inlineStr">
        <is>
          <t>99000-066374</t>
        </is>
      </c>
      <c r="C531" s="22" t="inlineStr">
        <is>
          <t>SORT CHQ NUM  8348345</t>
        </is>
      </c>
      <c r="D531" s="25" t="n"/>
      <c r="E531" s="25" t="n">
        <v>141000</v>
      </c>
      <c r="F531" s="25" t="n">
        <v>-17968674.78</v>
      </c>
      <c r="G531" s="12" t="inlineStr">
        <is>
          <t>2026-04</t>
        </is>
      </c>
      <c r="H531" s="12" t="inlineStr">
        <is>
          <t>Encaissements clients</t>
        </is>
      </c>
      <c r="I531" s="12" t="inlineStr"/>
      <c r="J531" s="12" t="inlineStr">
        <is>
          <t>B26040309</t>
        </is>
      </c>
      <c r="K531" s="12" t="inlineStr">
        <is>
          <t>47000</t>
        </is>
      </c>
      <c r="L531" s="12" t="inlineStr">
        <is>
          <t>À identifier</t>
        </is>
      </c>
    </row>
    <row r="532">
      <c r="A532" s="22" t="inlineStr">
        <is>
          <t>21/04/2026</t>
        </is>
      </c>
      <c r="B532" s="22" t="inlineStr">
        <is>
          <t>99000-066388</t>
        </is>
      </c>
      <c r="C532" s="22" t="inlineStr">
        <is>
          <t>SORT CHQ NUM  1766390</t>
        </is>
      </c>
      <c r="D532" s="25" t="n"/>
      <c r="E532" s="25" t="n">
        <v>510500</v>
      </c>
      <c r="F532" s="25" t="n">
        <v>-17458174.78</v>
      </c>
      <c r="G532" s="12" t="inlineStr">
        <is>
          <t>2026-04</t>
        </is>
      </c>
      <c r="H532" s="12" t="inlineStr">
        <is>
          <t>Encaissements clients</t>
        </is>
      </c>
      <c r="I532" s="12" t="inlineStr"/>
      <c r="J532" s="12" t="inlineStr">
        <is>
          <t>B26040310</t>
        </is>
      </c>
      <c r="K532" s="12" t="inlineStr">
        <is>
          <t>47000</t>
        </is>
      </c>
      <c r="L532" s="12" t="inlineStr">
        <is>
          <t>À identifier</t>
        </is>
      </c>
    </row>
    <row r="533">
      <c r="A533" s="22" t="inlineStr">
        <is>
          <t>21/04/2026</t>
        </is>
      </c>
      <c r="B533" s="22" t="inlineStr">
        <is>
          <t>99000-066374</t>
        </is>
      </c>
      <c r="C533" s="22" t="inlineStr">
        <is>
          <t>FRAIS REMISE CHQ N  8348345</t>
        </is>
      </c>
      <c r="D533" s="25" t="n">
        <v>119</v>
      </c>
      <c r="E533" s="25" t="n"/>
      <c r="F533" s="25" t="n">
        <v>-17458293.78</v>
      </c>
      <c r="G533" s="12" t="inlineStr">
        <is>
          <t>2026-04</t>
        </is>
      </c>
      <c r="H533" s="12" t="inlineStr">
        <is>
          <t>Agios, commissions et frais</t>
        </is>
      </c>
      <c r="I533" s="12" t="inlineStr"/>
      <c r="J533" s="12" t="inlineStr">
        <is>
          <t>B26040311</t>
        </is>
      </c>
      <c r="K533" s="12" t="inlineStr">
        <is>
          <t>44557, 62750</t>
        </is>
      </c>
      <c r="L533" s="12" t="inlineStr">
        <is>
          <t>Probable</t>
        </is>
      </c>
    </row>
    <row r="534">
      <c r="A534" s="22" t="inlineStr">
        <is>
          <t>21/04/2026</t>
        </is>
      </c>
      <c r="B534" s="22" t="inlineStr">
        <is>
          <t>99000-066388</t>
        </is>
      </c>
      <c r="C534" s="22" t="inlineStr">
        <is>
          <t>FRAIS REMISE CHQ N  1766390</t>
        </is>
      </c>
      <c r="D534" s="25" t="n">
        <v>238</v>
      </c>
      <c r="E534" s="25" t="n"/>
      <c r="F534" s="25" t="n">
        <v>-17458531.78</v>
      </c>
      <c r="G534" s="12" t="inlineStr">
        <is>
          <t>2026-04</t>
        </is>
      </c>
      <c r="H534" s="12" t="inlineStr">
        <is>
          <t>Agios, commissions et frais</t>
        </is>
      </c>
      <c r="I534" s="12" t="inlineStr"/>
      <c r="J534" s="12" t="inlineStr">
        <is>
          <t>B26040312</t>
        </is>
      </c>
      <c r="K534" s="12" t="inlineStr">
        <is>
          <t>44557, 62750</t>
        </is>
      </c>
      <c r="L534" s="12" t="inlineStr">
        <is>
          <t>Probable</t>
        </is>
      </c>
    </row>
    <row r="535">
      <c r="A535" s="22" t="inlineStr">
        <is>
          <t>22/04/2026</t>
        </is>
      </c>
      <c r="B535" s="22" t="inlineStr">
        <is>
          <t>99000-066389</t>
        </is>
      </c>
      <c r="C535" s="22" t="inlineStr">
        <is>
          <t>SORT CHQ NUM  9174434</t>
        </is>
      </c>
      <c r="D535" s="25" t="n"/>
      <c r="E535" s="25" t="n">
        <v>748402.9</v>
      </c>
      <c r="F535" s="25" t="n">
        <v>-16710128.88</v>
      </c>
      <c r="G535" s="12" t="inlineStr">
        <is>
          <t>2026-04</t>
        </is>
      </c>
      <c r="H535" s="12" t="inlineStr">
        <is>
          <t>Encaissements clients</t>
        </is>
      </c>
      <c r="I535" s="12" t="inlineStr"/>
      <c r="J535" s="12" t="inlineStr">
        <is>
          <t>B26040313</t>
        </is>
      </c>
      <c r="K535" s="12" t="inlineStr">
        <is>
          <t>47000</t>
        </is>
      </c>
      <c r="L535" s="12" t="inlineStr">
        <is>
          <t>À identifier</t>
        </is>
      </c>
    </row>
    <row r="536">
      <c r="A536" s="22" t="inlineStr">
        <is>
          <t>22/04/2026</t>
        </is>
      </c>
      <c r="B536" s="22" t="inlineStr">
        <is>
          <t>99000-066389</t>
        </is>
      </c>
      <c r="C536" s="22" t="inlineStr">
        <is>
          <t>FRAIS REMISE CHQ N  9174434</t>
        </is>
      </c>
      <c r="D536" s="25" t="n">
        <v>119</v>
      </c>
      <c r="E536" s="25" t="n"/>
      <c r="F536" s="25" t="n">
        <v>-16710247.88</v>
      </c>
      <c r="G536" s="12" t="inlineStr">
        <is>
          <t>2026-04</t>
        </is>
      </c>
      <c r="H536" s="12" t="inlineStr">
        <is>
          <t>Agios, commissions et frais</t>
        </is>
      </c>
      <c r="I536" s="12" t="inlineStr"/>
      <c r="J536" s="12" t="inlineStr">
        <is>
          <t>B26040314</t>
        </is>
      </c>
      <c r="K536" s="12" t="inlineStr">
        <is>
          <t>44557, 62750</t>
        </is>
      </c>
      <c r="L536" s="12" t="inlineStr">
        <is>
          <t>Probable</t>
        </is>
      </c>
    </row>
    <row r="537">
      <c r="A537" s="22" t="inlineStr">
        <is>
          <t>23/04/2026</t>
        </is>
      </c>
      <c r="B537" s="22" t="inlineStr">
        <is>
          <t>00370-120715</t>
        </is>
      </c>
      <c r="C537" s="22" t="inlineStr">
        <is>
          <t>PAIEMENT CHQ NUM  2125752</t>
        </is>
      </c>
      <c r="D537" s="25" t="n">
        <v>665261</v>
      </c>
      <c r="E537" s="25" t="n"/>
      <c r="F537" s="25" t="n">
        <v>-17375508.88</v>
      </c>
      <c r="G537" s="12" t="inlineStr">
        <is>
          <t>2026-04</t>
        </is>
      </c>
      <c r="H537" s="12" t="inlineStr">
        <is>
          <t>Fournisseurs, salaires et divers</t>
        </is>
      </c>
      <c r="I537" s="12" t="inlineStr"/>
      <c r="J537" s="12" t="inlineStr">
        <is>
          <t>B26040315</t>
        </is>
      </c>
      <c r="K537" s="12" t="inlineStr">
        <is>
          <t>47000</t>
        </is>
      </c>
      <c r="L537" s="12" t="inlineStr">
        <is>
          <t>À identifier</t>
        </is>
      </c>
    </row>
    <row r="538">
      <c r="A538" s="22" t="inlineStr">
        <is>
          <t>23/04/2026</t>
        </is>
      </c>
      <c r="B538" s="22" t="inlineStr">
        <is>
          <t>00370-120715</t>
        </is>
      </c>
      <c r="C538" s="22" t="inlineStr">
        <is>
          <t>PERCEP.COM SUR PAIEMENTS CHQ</t>
        </is>
      </c>
      <c r="D538" s="25" t="n">
        <v>59.5</v>
      </c>
      <c r="E538" s="25" t="n"/>
      <c r="F538" s="25" t="n">
        <v>-17375568.38</v>
      </c>
      <c r="G538" s="12" t="inlineStr">
        <is>
          <t>2026-04</t>
        </is>
      </c>
      <c r="H538" s="12" t="inlineStr">
        <is>
          <t>Agios, commissions et frais</t>
        </is>
      </c>
      <c r="I538" s="12" t="inlineStr"/>
      <c r="J538" s="12" t="inlineStr">
        <is>
          <t>B26040316</t>
        </is>
      </c>
      <c r="K538" s="12" t="inlineStr">
        <is>
          <t>44557, 62750</t>
        </is>
      </c>
      <c r="L538" s="12" t="inlineStr">
        <is>
          <t>Probable</t>
        </is>
      </c>
    </row>
    <row r="539">
      <c r="A539" s="22" t="inlineStr">
        <is>
          <t>23/04/2026</t>
        </is>
      </c>
      <c r="B539" s="22" t="inlineStr">
        <is>
          <t>99000-066410</t>
        </is>
      </c>
      <c r="C539" s="22" t="inlineStr">
        <is>
          <t>SORT CHQ NUM  9301630</t>
        </is>
      </c>
      <c r="D539" s="25" t="n"/>
      <c r="E539" s="25" t="n">
        <v>327845</v>
      </c>
      <c r="F539" s="25" t="n">
        <v>-17047723.38</v>
      </c>
      <c r="G539" s="12" t="inlineStr">
        <is>
          <t>2026-04</t>
        </is>
      </c>
      <c r="H539" s="12" t="inlineStr">
        <is>
          <t>Encaissements clients</t>
        </is>
      </c>
      <c r="I539" s="12" t="inlineStr"/>
      <c r="J539" s="12" t="inlineStr">
        <is>
          <t>B26040317</t>
        </is>
      </c>
      <c r="K539" s="12" t="inlineStr">
        <is>
          <t>47000</t>
        </is>
      </c>
      <c r="L539" s="12" t="inlineStr">
        <is>
          <t>À identifier</t>
        </is>
      </c>
    </row>
    <row r="540">
      <c r="A540" s="22" t="inlineStr">
        <is>
          <t>23/04/2026</t>
        </is>
      </c>
      <c r="B540" s="22" t="inlineStr">
        <is>
          <t>99000-066414</t>
        </is>
      </c>
      <c r="C540" s="22" t="inlineStr">
        <is>
          <t>SORT CHQ NUM  1766391</t>
        </is>
      </c>
      <c r="D540" s="25" t="n"/>
      <c r="E540" s="25" t="n">
        <v>643500</v>
      </c>
      <c r="F540" s="25" t="n">
        <v>-16404223.38</v>
      </c>
      <c r="G540" s="12" t="inlineStr">
        <is>
          <t>2026-04</t>
        </is>
      </c>
      <c r="H540" s="12" t="inlineStr">
        <is>
          <t>Encaissements clients</t>
        </is>
      </c>
      <c r="I540" s="12" t="inlineStr"/>
      <c r="J540" s="12" t="inlineStr">
        <is>
          <t>B26040318</t>
        </is>
      </c>
      <c r="K540" s="12" t="inlineStr">
        <is>
          <t>47000</t>
        </is>
      </c>
      <c r="L540" s="12" t="inlineStr">
        <is>
          <t>À identifier</t>
        </is>
      </c>
    </row>
    <row r="541">
      <c r="A541" s="22" t="inlineStr">
        <is>
          <t>23/04/2026</t>
        </is>
      </c>
      <c r="B541" s="22" t="inlineStr">
        <is>
          <t>99000-066410</t>
        </is>
      </c>
      <c r="C541" s="22" t="inlineStr">
        <is>
          <t>FRAIS REMISE CHQ N  9301630</t>
        </is>
      </c>
      <c r="D541" s="25" t="n">
        <v>238</v>
      </c>
      <c r="E541" s="25" t="n"/>
      <c r="F541" s="25" t="n">
        <v>-16404461.38</v>
      </c>
      <c r="G541" s="12" t="inlineStr">
        <is>
          <t>2026-04</t>
        </is>
      </c>
      <c r="H541" s="12" t="inlineStr">
        <is>
          <t>Agios, commissions et frais</t>
        </is>
      </c>
      <c r="I541" s="12" t="inlineStr"/>
      <c r="J541" s="12" t="inlineStr">
        <is>
          <t>B26040319</t>
        </is>
      </c>
      <c r="K541" s="12" t="inlineStr">
        <is>
          <t>44557, 62750</t>
        </is>
      </c>
      <c r="L541" s="12" t="inlineStr">
        <is>
          <t>Probable</t>
        </is>
      </c>
    </row>
    <row r="542">
      <c r="A542" s="22" t="inlineStr">
        <is>
          <t>23/04/2026</t>
        </is>
      </c>
      <c r="B542" s="22" t="inlineStr">
        <is>
          <t>99000-066414</t>
        </is>
      </c>
      <c r="C542" s="22" t="inlineStr">
        <is>
          <t>FRAIS REMISE CHQ N  1766391</t>
        </is>
      </c>
      <c r="D542" s="25" t="n">
        <v>238</v>
      </c>
      <c r="E542" s="25" t="n"/>
      <c r="F542" s="25" t="n">
        <v>-16404699.38</v>
      </c>
      <c r="G542" s="12" t="inlineStr">
        <is>
          <t>2026-04</t>
        </is>
      </c>
      <c r="H542" s="12" t="inlineStr">
        <is>
          <t>Agios, commissions et frais</t>
        </is>
      </c>
      <c r="I542" s="12" t="inlineStr"/>
      <c r="J542" s="12" t="inlineStr">
        <is>
          <t>B26040320</t>
        </is>
      </c>
      <c r="K542" s="12" t="inlineStr">
        <is>
          <t>44557, 62750</t>
        </is>
      </c>
      <c r="L542" s="12" t="inlineStr">
        <is>
          <t>Probable</t>
        </is>
      </c>
    </row>
    <row r="543">
      <c r="A543" s="22" t="inlineStr">
        <is>
          <t>23/04/2026</t>
        </is>
      </c>
      <c r="B543" s="22" t="inlineStr">
        <is>
          <t>-12887</t>
        </is>
      </c>
      <c r="C543" s="22" t="inlineStr">
        <is>
          <t>RECOUV.IMP.TOMB.ANTI     4099</t>
        </is>
      </c>
      <c r="D543" s="25" t="n">
        <v>2624491.12</v>
      </c>
      <c r="E543" s="25" t="n"/>
      <c r="F543" s="25" t="n">
        <v>-19029190.5</v>
      </c>
      <c r="G543" s="12" t="inlineStr">
        <is>
          <t>2026-04</t>
        </is>
      </c>
      <c r="H543" s="12" t="inlineStr">
        <is>
          <t>Remboursement crédit / échéances</t>
        </is>
      </c>
      <c r="I543" s="12" t="inlineStr"/>
      <c r="J543" s="12" t="inlineStr">
        <is>
          <t>B26040321</t>
        </is>
      </c>
      <c r="K543" s="12" t="inlineStr">
        <is>
          <t>51900</t>
        </is>
      </c>
      <c r="L543" s="12" t="inlineStr">
        <is>
          <t>Probable</t>
        </is>
      </c>
    </row>
    <row r="544">
      <c r="A544" s="22" t="inlineStr">
        <is>
          <t>26/04/2026</t>
        </is>
      </c>
      <c r="B544" s="22" t="inlineStr">
        <is>
          <t>99000-066440</t>
        </is>
      </c>
      <c r="C544" s="22" t="inlineStr">
        <is>
          <t>SORT CHQ NUM  8918927</t>
        </is>
      </c>
      <c r="D544" s="25" t="n"/>
      <c r="E544" s="25" t="n">
        <v>6450276</v>
      </c>
      <c r="F544" s="25" t="n">
        <v>-12578914.5</v>
      </c>
      <c r="G544" s="12" t="inlineStr">
        <is>
          <t>2026-04</t>
        </is>
      </c>
      <c r="H544" s="12" t="inlineStr">
        <is>
          <t>Encaissements clients</t>
        </is>
      </c>
      <c r="I544" s="12" t="inlineStr"/>
      <c r="J544" s="12" t="inlineStr">
        <is>
          <t>B26040322</t>
        </is>
      </c>
      <c r="K544" s="12" t="inlineStr">
        <is>
          <t>41100</t>
        </is>
      </c>
      <c r="L544" s="12" t="inlineStr">
        <is>
          <t>Probable</t>
        </is>
      </c>
    </row>
    <row r="545">
      <c r="A545" s="22" t="inlineStr">
        <is>
          <t>26/04/2026</t>
        </is>
      </c>
      <c r="B545" s="22" t="inlineStr">
        <is>
          <t>99000-066440</t>
        </is>
      </c>
      <c r="C545" s="22" t="inlineStr">
        <is>
          <t>FRAIS REMISE CHQ N  8918927</t>
        </is>
      </c>
      <c r="D545" s="25" t="n">
        <v>238</v>
      </c>
      <c r="E545" s="25" t="n"/>
      <c r="F545" s="25" t="n">
        <v>-12579152.5</v>
      </c>
      <c r="G545" s="12" t="inlineStr">
        <is>
          <t>2026-04</t>
        </is>
      </c>
      <c r="H545" s="12" t="inlineStr">
        <is>
          <t>Agios, commissions et frais</t>
        </is>
      </c>
      <c r="I545" s="12" t="inlineStr"/>
      <c r="J545" s="12" t="inlineStr">
        <is>
          <t>B26040323</t>
        </is>
      </c>
      <c r="K545" s="12" t="inlineStr">
        <is>
          <t>44557, 62750</t>
        </is>
      </c>
      <c r="L545" s="12" t="inlineStr">
        <is>
          <t>Probable</t>
        </is>
      </c>
    </row>
    <row r="546">
      <c r="A546" s="22" t="inlineStr">
        <is>
          <t>26/04/2026</t>
        </is>
      </c>
      <c r="B546" s="22" t="inlineStr">
        <is>
          <t>-12889</t>
        </is>
      </c>
      <c r="C546" s="22" t="inlineStr">
        <is>
          <t>RECOUV.IMP.TOMB.ANTI     4099</t>
        </is>
      </c>
      <c r="D546" s="25" t="n">
        <v>970809.5</v>
      </c>
      <c r="E546" s="25" t="n"/>
      <c r="F546" s="25" t="n">
        <v>-13549962</v>
      </c>
      <c r="G546" s="12" t="inlineStr">
        <is>
          <t>2026-04</t>
        </is>
      </c>
      <c r="H546" s="12" t="inlineStr">
        <is>
          <t>Remboursement crédit / échéances</t>
        </is>
      </c>
      <c r="I546" s="12" t="inlineStr"/>
      <c r="J546" s="12" t="inlineStr">
        <is>
          <t>B26040324</t>
        </is>
      </c>
      <c r="K546" s="12" t="inlineStr">
        <is>
          <t>51900</t>
        </is>
      </c>
      <c r="L546" s="12" t="inlineStr">
        <is>
          <t>Probable</t>
        </is>
      </c>
    </row>
    <row r="547">
      <c r="A547" s="22" t="inlineStr">
        <is>
          <t>27/04/2026</t>
        </is>
      </c>
      <c r="B547" s="22" t="inlineStr">
        <is>
          <t>-12890</t>
        </is>
      </c>
      <c r="C547" s="22" t="inlineStr">
        <is>
          <t>RECOUV.IMP.TOMB.ANTI     4099</t>
        </is>
      </c>
      <c r="D547" s="25" t="n">
        <v>583083.4399999999</v>
      </c>
      <c r="E547" s="25" t="n"/>
      <c r="F547" s="25" t="n">
        <v>-14133045.44</v>
      </c>
      <c r="G547" s="12" t="inlineStr">
        <is>
          <t>2026-04</t>
        </is>
      </c>
      <c r="H547" s="12" t="inlineStr">
        <is>
          <t>Remboursement crédit / échéances</t>
        </is>
      </c>
      <c r="I547" s="12" t="inlineStr"/>
      <c r="J547" s="12" t="inlineStr">
        <is>
          <t>B26040325</t>
        </is>
      </c>
      <c r="K547" s="12" t="inlineStr">
        <is>
          <t>51900</t>
        </is>
      </c>
      <c r="L547" s="12" t="inlineStr">
        <is>
          <t>Probable</t>
        </is>
      </c>
    </row>
    <row r="548">
      <c r="A548" s="22" t="inlineStr">
        <is>
          <t>28/04/2026</t>
        </is>
      </c>
      <c r="B548" s="22" t="inlineStr">
        <is>
          <t>99000-066464</t>
        </is>
      </c>
      <c r="C548" s="22" t="inlineStr">
        <is>
          <t>SORT CHQ NUM  8146571</t>
        </is>
      </c>
      <c r="D548" s="25" t="n"/>
      <c r="E548" s="25" t="n">
        <v>347480</v>
      </c>
      <c r="F548" s="25" t="n">
        <v>-13785565.44</v>
      </c>
      <c r="G548" s="12" t="inlineStr">
        <is>
          <t>2026-04</t>
        </is>
      </c>
      <c r="H548" s="12" t="inlineStr">
        <is>
          <t>Encaissements clients</t>
        </is>
      </c>
      <c r="I548" s="12" t="inlineStr"/>
      <c r="J548" s="12" t="inlineStr">
        <is>
          <t>B26040326</t>
        </is>
      </c>
      <c r="K548" s="12" t="inlineStr">
        <is>
          <t>47000</t>
        </is>
      </c>
      <c r="L548" s="12" t="inlineStr">
        <is>
          <t>À identifier</t>
        </is>
      </c>
    </row>
    <row r="549">
      <c r="A549" s="22" t="inlineStr">
        <is>
          <t>28/04/2026</t>
        </is>
      </c>
      <c r="B549" s="22" t="inlineStr">
        <is>
          <t>99000-066464</t>
        </is>
      </c>
      <c r="C549" s="22" t="inlineStr">
        <is>
          <t>FRAIS REMISE CHQ N  8146571</t>
        </is>
      </c>
      <c r="D549" s="25" t="n">
        <v>238</v>
      </c>
      <c r="E549" s="25" t="n"/>
      <c r="F549" s="25" t="n">
        <v>-13785803.44</v>
      </c>
      <c r="G549" s="12" t="inlineStr">
        <is>
          <t>2026-04</t>
        </is>
      </c>
      <c r="H549" s="12" t="inlineStr">
        <is>
          <t>Agios, commissions et frais</t>
        </is>
      </c>
      <c r="I549" s="12" t="inlineStr"/>
      <c r="J549" s="12" t="inlineStr">
        <is>
          <t>B26040327</t>
        </is>
      </c>
      <c r="K549" s="12" t="inlineStr">
        <is>
          <t>44557, 62750</t>
        </is>
      </c>
      <c r="L549" s="12" t="inlineStr">
        <is>
          <t>Probable</t>
        </is>
      </c>
    </row>
    <row r="550">
      <c r="A550" s="22" t="inlineStr">
        <is>
          <t>28/04/2026</t>
        </is>
      </c>
      <c r="B550" s="22" t="inlineStr">
        <is>
          <t>-120393</t>
        </is>
      </c>
      <c r="C550" s="22" t="inlineStr">
        <is>
          <t>DEBLOCAGE A LA DEMAN     4120</t>
        </is>
      </c>
      <c r="D550" s="25" t="n"/>
      <c r="E550" s="25" t="n">
        <v>8202041.4</v>
      </c>
      <c r="F550" s="25" t="n">
        <v>-5583762.04</v>
      </c>
      <c r="G550" s="12" t="inlineStr">
        <is>
          <t>2026-04</t>
        </is>
      </c>
      <c r="H550" s="12" t="inlineStr">
        <is>
          <t>Crédit bancaire débloqué</t>
        </is>
      </c>
      <c r="I550" s="12" t="inlineStr"/>
      <c r="J550" s="12" t="inlineStr">
        <is>
          <t>B26040328</t>
        </is>
      </c>
      <c r="K550" s="12" t="inlineStr">
        <is>
          <t>51900</t>
        </is>
      </c>
      <c r="L550" s="12" t="inlineStr">
        <is>
          <t>Certaine</t>
        </is>
      </c>
    </row>
    <row r="551">
      <c r="A551" s="22" t="inlineStr">
        <is>
          <t>28/04/2026</t>
        </is>
      </c>
      <c r="B551" s="22" t="inlineStr">
        <is>
          <t>99000-005398</t>
        </is>
      </c>
      <c r="C551" s="22" t="inlineStr">
        <is>
          <t>PERCEPTION DES COMMISSIONS</t>
        </is>
      </c>
      <c r="D551" s="25" t="n">
        <v>300.81</v>
      </c>
      <c r="E551" s="25" t="n"/>
      <c r="F551" s="25" t="n">
        <v>-5584062.85</v>
      </c>
      <c r="G551" s="12" t="inlineStr">
        <is>
          <t>2026-04</t>
        </is>
      </c>
      <c r="H551" s="12" t="inlineStr">
        <is>
          <t>Agios, commissions et frais</t>
        </is>
      </c>
      <c r="I551" s="12" t="inlineStr"/>
      <c r="J551" s="12" t="inlineStr">
        <is>
          <t>B26040329</t>
        </is>
      </c>
      <c r="K551" s="12" t="inlineStr">
        <is>
          <t>44557, 62750</t>
        </is>
      </c>
      <c r="L551" s="12" t="inlineStr">
        <is>
          <t>Probable</t>
        </is>
      </c>
    </row>
    <row r="552">
      <c r="A552" s="22" t="inlineStr">
        <is>
          <t>28/04/2026</t>
        </is>
      </c>
      <c r="B552" s="22" t="inlineStr">
        <is>
          <t>99000-005400</t>
        </is>
      </c>
      <c r="C552" s="22" t="inlineStr">
        <is>
          <t>PERCEPTION DES COMMISSIONS</t>
        </is>
      </c>
      <c r="D552" s="25" t="n">
        <v>300.81</v>
      </c>
      <c r="E552" s="25" t="n"/>
      <c r="F552" s="25" t="n">
        <v>-5584363.66</v>
      </c>
      <c r="G552" s="12" t="inlineStr">
        <is>
          <t>2026-04</t>
        </is>
      </c>
      <c r="H552" s="12" t="inlineStr">
        <is>
          <t>Agios, commissions et frais</t>
        </is>
      </c>
      <c r="I552" s="12" t="inlineStr"/>
      <c r="J552" s="12" t="inlineStr">
        <is>
          <t>B26040330</t>
        </is>
      </c>
      <c r="K552" s="12" t="inlineStr">
        <is>
          <t>44557, 62750</t>
        </is>
      </c>
      <c r="L552" s="12" t="inlineStr">
        <is>
          <t>Probable</t>
        </is>
      </c>
    </row>
    <row r="553">
      <c r="A553" s="22" t="inlineStr">
        <is>
          <t>28/04/2026</t>
        </is>
      </c>
      <c r="B553" s="22" t="inlineStr">
        <is>
          <t>99000-005399</t>
        </is>
      </c>
      <c r="C553" s="22" t="inlineStr">
        <is>
          <t>PERCEPTION DES COMMISSIONS</t>
        </is>
      </c>
      <c r="D553" s="25" t="n">
        <v>300.81</v>
      </c>
      <c r="E553" s="25" t="n"/>
      <c r="F553" s="25" t="n">
        <v>-5584664.47</v>
      </c>
      <c r="G553" s="12" t="inlineStr">
        <is>
          <t>2026-04</t>
        </is>
      </c>
      <c r="H553" s="12" t="inlineStr">
        <is>
          <t>Agios, commissions et frais</t>
        </is>
      </c>
      <c r="I553" s="12" t="inlineStr"/>
      <c r="J553" s="12" t="inlineStr">
        <is>
          <t>B26040331</t>
        </is>
      </c>
      <c r="K553" s="12" t="inlineStr">
        <is>
          <t>44557, 62750</t>
        </is>
      </c>
      <c r="L553" s="12" t="inlineStr">
        <is>
          <t>Probable</t>
        </is>
      </c>
    </row>
    <row r="554">
      <c r="A554" s="22" t="inlineStr">
        <is>
          <t>28/04/2026</t>
        </is>
      </c>
      <c r="B554" s="22" t="inlineStr">
        <is>
          <t>00370-000359</t>
        </is>
      </c>
      <c r="C554" s="22" t="inlineStr">
        <is>
          <t>OPERATION REST GAIN DE CHANGE</t>
        </is>
      </c>
      <c r="D554" s="25" t="n"/>
      <c r="E554" s="25" t="n">
        <v>49489.65</v>
      </c>
      <c r="F554" s="25" t="n">
        <v>-5535174.82</v>
      </c>
      <c r="G554" s="12" t="inlineStr">
        <is>
          <t>2026-04</t>
        </is>
      </c>
      <c r="H554" s="12" t="inlineStr">
        <is>
          <t>Importations (règlements, provisions, crédoc)</t>
        </is>
      </c>
      <c r="I554" s="12" t="inlineStr"/>
      <c r="J554" s="12" t="inlineStr">
        <is>
          <t>B26040332</t>
        </is>
      </c>
      <c r="K554" s="12" t="inlineStr">
        <is>
          <t>76600</t>
        </is>
      </c>
      <c r="L554" s="12" t="inlineStr">
        <is>
          <t>Certaine</t>
        </is>
      </c>
    </row>
    <row r="555">
      <c r="A555" s="22" t="inlineStr">
        <is>
          <t>28/04/2026</t>
        </is>
      </c>
      <c r="B555" s="22" t="inlineStr">
        <is>
          <t>00370-000358</t>
        </is>
      </c>
      <c r="C555" s="22" t="inlineStr">
        <is>
          <t>OPERATION REGLT 80% PTI64656 U</t>
        </is>
      </c>
      <c r="D555" s="25" t="n">
        <v>8202041.4</v>
      </c>
      <c r="E555" s="25" t="n"/>
      <c r="F555" s="25" t="n">
        <v>-13737216.22</v>
      </c>
      <c r="G555" s="12" t="inlineStr">
        <is>
          <t>2026-04</t>
        </is>
      </c>
      <c r="H555" s="12" t="inlineStr">
        <is>
          <t>Importations (règlements, provisions, crédoc)</t>
        </is>
      </c>
      <c r="I555" s="12" t="inlineStr"/>
      <c r="J555" s="12" t="inlineStr">
        <is>
          <t>B26040333</t>
        </is>
      </c>
      <c r="K555" s="12" t="inlineStr">
        <is>
          <t>40102</t>
        </is>
      </c>
      <c r="L555" s="12" t="inlineStr">
        <is>
          <t>Probable</t>
        </is>
      </c>
    </row>
    <row r="556">
      <c r="A556" s="22" t="inlineStr">
        <is>
          <t>29/04/2026</t>
        </is>
      </c>
      <c r="B556" s="22" t="inlineStr">
        <is>
          <t>00370-085776</t>
        </is>
      </c>
      <c r="C556" s="22" t="inlineStr">
        <is>
          <t>VRT. RECU LAOUEDJ MOHAMMED SAL</t>
        </is>
      </c>
      <c r="D556" s="25" t="n"/>
      <c r="E556" s="25" t="n">
        <v>960230.05</v>
      </c>
      <c r="F556" s="25" t="n">
        <v>-12776986.17</v>
      </c>
      <c r="G556" s="12" t="inlineStr">
        <is>
          <t>2026-04</t>
        </is>
      </c>
      <c r="H556" s="12" t="inlineStr">
        <is>
          <t>Encaissements clients</t>
        </is>
      </c>
      <c r="I556" s="12" t="inlineStr"/>
      <c r="J556" s="12" t="inlineStr">
        <is>
          <t>B26040334</t>
        </is>
      </c>
      <c r="K556" s="12" t="inlineStr">
        <is>
          <t>41100</t>
        </is>
      </c>
      <c r="L556" s="12" t="inlineStr">
        <is>
          <t>Probable</t>
        </is>
      </c>
    </row>
    <row r="557">
      <c r="A557" s="22" t="inlineStr">
        <is>
          <t>29/04/2026</t>
        </is>
      </c>
      <c r="B557" s="22" t="inlineStr">
        <is>
          <t>00370-001141</t>
        </is>
      </c>
      <c r="C557" s="22" t="inlineStr">
        <is>
          <t>COM.VRT EDI BQUE</t>
        </is>
      </c>
      <c r="D557" s="25" t="n">
        <v>35.7</v>
      </c>
      <c r="E557" s="25" t="n"/>
      <c r="F557" s="25" t="n">
        <v>-12777021.87</v>
      </c>
      <c r="G557" s="12" t="inlineStr">
        <is>
          <t>2026-04</t>
        </is>
      </c>
      <c r="H557" s="12" t="inlineStr">
        <is>
          <t>Agios, commissions et frais</t>
        </is>
      </c>
      <c r="I557" s="12" t="inlineStr"/>
      <c r="J557" s="12" t="inlineStr">
        <is>
          <t>B26040335</t>
        </is>
      </c>
      <c r="K557" s="12" t="inlineStr">
        <is>
          <t>44557, 62750</t>
        </is>
      </c>
      <c r="L557" s="12" t="inlineStr">
        <is>
          <t>Probable</t>
        </is>
      </c>
    </row>
    <row r="558">
      <c r="A558" s="22" t="inlineStr">
        <is>
          <t>29/04/2026</t>
        </is>
      </c>
      <c r="B558" s="22" t="inlineStr">
        <is>
          <t>00370-001141</t>
        </is>
      </c>
      <c r="C558" s="22" t="inlineStr">
        <is>
          <t>VRT EDI SIMPLE AUTRE</t>
        </is>
      </c>
      <c r="D558" s="25" t="n">
        <v>700000</v>
      </c>
      <c r="E558" s="25" t="n"/>
      <c r="F558" s="25" t="n">
        <v>-13477021.87</v>
      </c>
      <c r="G558" s="12" t="inlineStr">
        <is>
          <t>2026-04</t>
        </is>
      </c>
      <c r="H558" s="12" t="inlineStr">
        <is>
          <t>Fournisseurs, salaires et divers</t>
        </is>
      </c>
      <c r="I558" s="12" t="inlineStr"/>
      <c r="J558" s="12" t="inlineStr">
        <is>
          <t>B26040336</t>
        </is>
      </c>
      <c r="K558" s="12" t="inlineStr">
        <is>
          <t>40100</t>
        </is>
      </c>
      <c r="L558" s="12" t="inlineStr">
        <is>
          <t>Par analogie</t>
        </is>
      </c>
    </row>
    <row r="559">
      <c r="A559" s="22" t="inlineStr">
        <is>
          <t>29/04/2026</t>
        </is>
      </c>
      <c r="B559" s="22" t="inlineStr">
        <is>
          <t>-30034</t>
        </is>
      </c>
      <c r="C559" s="22" t="inlineStr">
        <is>
          <t>APPEL ECHEANCE     4120</t>
        </is>
      </c>
      <c r="D559" s="25" t="n">
        <v>185041.47</v>
      </c>
      <c r="E559" s="25" t="n"/>
      <c r="F559" s="25" t="n">
        <v>-13662063.34</v>
      </c>
      <c r="G559" s="12" t="inlineStr">
        <is>
          <t>2026-04</t>
        </is>
      </c>
      <c r="H559" s="12" t="inlineStr">
        <is>
          <t>Remboursement crédit / échéances</t>
        </is>
      </c>
      <c r="I559" s="12" t="inlineStr"/>
      <c r="J559" s="12" t="inlineStr">
        <is>
          <t>B26040337</t>
        </is>
      </c>
      <c r="K559" s="12" t="inlineStr">
        <is>
          <t>51900</t>
        </is>
      </c>
      <c r="L559" s="12" t="inlineStr">
        <is>
          <t>Probable</t>
        </is>
      </c>
    </row>
    <row r="560">
      <c r="A560" s="22" t="inlineStr">
        <is>
          <t>30/04/2026</t>
        </is>
      </c>
      <c r="B560" s="22" t="inlineStr">
        <is>
          <t>00370-120847</t>
        </is>
      </c>
      <c r="C560" s="22" t="inlineStr">
        <is>
          <t>PAIEMENT CHQ NUM  2125742</t>
        </is>
      </c>
      <c r="D560" s="25" t="n">
        <v>715520</v>
      </c>
      <c r="E560" s="25" t="n"/>
      <c r="F560" s="25" t="n">
        <v>-14377583.34</v>
      </c>
      <c r="G560" s="12" t="inlineStr">
        <is>
          <t>2026-04</t>
        </is>
      </c>
      <c r="H560" s="12" t="inlineStr">
        <is>
          <t>G50 (impôts)</t>
        </is>
      </c>
      <c r="I560" s="4" t="inlineStr">
        <is>
          <t>G50 IMPORT mars 2026</t>
        </is>
      </c>
      <c r="J560" s="12" t="inlineStr">
        <is>
          <t>B26040338</t>
        </is>
      </c>
      <c r="K560" s="12" t="inlineStr">
        <is>
          <t>44210, 44510</t>
        </is>
      </c>
      <c r="L560" s="12" t="inlineStr">
        <is>
          <t>Certaine</t>
        </is>
      </c>
    </row>
    <row r="561">
      <c r="A561" s="22" t="inlineStr">
        <is>
          <t>30/04/2026</t>
        </is>
      </c>
      <c r="B561" s="22" t="inlineStr">
        <is>
          <t>00370-120847</t>
        </is>
      </c>
      <c r="C561" s="22" t="inlineStr">
        <is>
          <t>PERCEP.COM SUR PAIEMENTS CHQ</t>
        </is>
      </c>
      <c r="D561" s="25" t="n">
        <v>59.5</v>
      </c>
      <c r="E561" s="25" t="n"/>
      <c r="F561" s="25" t="n">
        <v>-14377642.84</v>
      </c>
      <c r="G561" s="12" t="inlineStr">
        <is>
          <t>2026-04</t>
        </is>
      </c>
      <c r="H561" s="12" t="inlineStr">
        <is>
          <t>Agios, commissions et frais</t>
        </is>
      </c>
      <c r="I561" s="12" t="inlineStr"/>
      <c r="J561" s="12" t="inlineStr">
        <is>
          <t>B26040339</t>
        </is>
      </c>
      <c r="K561" s="12" t="inlineStr">
        <is>
          <t>44557, 62750</t>
        </is>
      </c>
      <c r="L561" s="12" t="inlineStr">
        <is>
          <t>Probable</t>
        </is>
      </c>
    </row>
    <row r="562">
      <c r="A562" s="22" t="inlineStr">
        <is>
          <t>30/04/2026</t>
        </is>
      </c>
      <c r="B562" s="22" t="inlineStr">
        <is>
          <t>99000-066486</t>
        </is>
      </c>
      <c r="C562" s="22" t="inlineStr">
        <is>
          <t>SORT CHQ NUM  8441999</t>
        </is>
      </c>
      <c r="D562" s="25" t="n"/>
      <c r="E562" s="25" t="n">
        <v>511900</v>
      </c>
      <c r="F562" s="25" t="n">
        <v>-13865742.84</v>
      </c>
      <c r="G562" s="12" t="inlineStr">
        <is>
          <t>2026-04</t>
        </is>
      </c>
      <c r="H562" s="12" t="inlineStr">
        <is>
          <t>Encaissements clients</t>
        </is>
      </c>
      <c r="I562" s="12" t="inlineStr"/>
      <c r="J562" s="12" t="inlineStr">
        <is>
          <t>B26040340</t>
        </is>
      </c>
      <c r="K562" s="12" t="inlineStr">
        <is>
          <t>47000</t>
        </is>
      </c>
      <c r="L562" s="12" t="inlineStr">
        <is>
          <t>À identifier</t>
        </is>
      </c>
    </row>
    <row r="563">
      <c r="A563" s="22" t="inlineStr">
        <is>
          <t>30/04/2026</t>
        </is>
      </c>
      <c r="B563" s="22" t="inlineStr">
        <is>
          <t>99000-066482</t>
        </is>
      </c>
      <c r="C563" s="22" t="inlineStr">
        <is>
          <t>SORT CHQ NUM  5162789</t>
        </is>
      </c>
      <c r="D563" s="25" t="n"/>
      <c r="E563" s="25" t="n">
        <v>1851550</v>
      </c>
      <c r="F563" s="25" t="n">
        <v>-12014192.84</v>
      </c>
      <c r="G563" s="12" t="inlineStr">
        <is>
          <t>2026-04</t>
        </is>
      </c>
      <c r="H563" s="12" t="inlineStr">
        <is>
          <t>Encaissements clients</t>
        </is>
      </c>
      <c r="I563" s="12" t="inlineStr"/>
      <c r="J563" s="12" t="inlineStr">
        <is>
          <t>B26040341</t>
        </is>
      </c>
      <c r="K563" s="12" t="inlineStr">
        <is>
          <t>41100</t>
        </is>
      </c>
      <c r="L563" s="12" t="inlineStr">
        <is>
          <t>Probable</t>
        </is>
      </c>
    </row>
    <row r="564">
      <c r="A564" s="22" t="inlineStr">
        <is>
          <t>30/04/2026</t>
        </is>
      </c>
      <c r="B564" s="22" t="inlineStr">
        <is>
          <t>99000-066486</t>
        </is>
      </c>
      <c r="C564" s="22" t="inlineStr">
        <is>
          <t>FRAIS REMISE CHQ N  8441999</t>
        </is>
      </c>
      <c r="D564" s="25" t="n">
        <v>238</v>
      </c>
      <c r="E564" s="25" t="n"/>
      <c r="F564" s="25" t="n">
        <v>-12014430.84</v>
      </c>
      <c r="G564" s="12" t="inlineStr">
        <is>
          <t>2026-04</t>
        </is>
      </c>
      <c r="H564" s="12" t="inlineStr">
        <is>
          <t>Agios, commissions et frais</t>
        </is>
      </c>
      <c r="I564" s="12" t="inlineStr"/>
      <c r="J564" s="12" t="inlineStr">
        <is>
          <t>B26040342</t>
        </is>
      </c>
      <c r="K564" s="12" t="inlineStr">
        <is>
          <t>44557, 62750</t>
        </is>
      </c>
      <c r="L564" s="12" t="inlineStr">
        <is>
          <t>Probable</t>
        </is>
      </c>
    </row>
    <row r="565">
      <c r="A565" s="22" t="inlineStr">
        <is>
          <t>30/04/2026</t>
        </is>
      </c>
      <c r="B565" s="22" t="inlineStr">
        <is>
          <t>99000-066482</t>
        </is>
      </c>
      <c r="C565" s="22" t="inlineStr">
        <is>
          <t>FRAIS REMISE CHQ N  5162789</t>
        </is>
      </c>
      <c r="D565" s="25" t="n">
        <v>238</v>
      </c>
      <c r="E565" s="25" t="n"/>
      <c r="F565" s="25" t="n">
        <v>-12014668.84</v>
      </c>
      <c r="G565" s="12" t="inlineStr">
        <is>
          <t>2026-04</t>
        </is>
      </c>
      <c r="H565" s="12" t="inlineStr">
        <is>
          <t>Agios, commissions et frais</t>
        </is>
      </c>
      <c r="I565" s="12" t="inlineStr"/>
      <c r="J565" s="12" t="inlineStr">
        <is>
          <t>B26040343</t>
        </is>
      </c>
      <c r="K565" s="12" t="inlineStr">
        <is>
          <t>44557, 62750</t>
        </is>
      </c>
      <c r="L565" s="12" t="inlineStr">
        <is>
          <t>Probable</t>
        </is>
      </c>
    </row>
    <row r="566">
      <c r="A566" s="22" t="inlineStr">
        <is>
          <t>04/05/2026</t>
        </is>
      </c>
      <c r="B566" s="22" t="inlineStr">
        <is>
          <t>99000-005404</t>
        </is>
      </c>
      <c r="C566" s="22" t="inlineStr">
        <is>
          <t>PERCEPTION DES COMMISSIONS</t>
        </is>
      </c>
      <c r="D566" s="25" t="n">
        <v>4880.15</v>
      </c>
      <c r="E566" s="25" t="n"/>
      <c r="F566" s="25" t="n">
        <v>-12019548.99</v>
      </c>
      <c r="G566" s="12" t="inlineStr">
        <is>
          <t>2026-05</t>
        </is>
      </c>
      <c r="H566" s="12" t="inlineStr">
        <is>
          <t>Agios, commissions et frais</t>
        </is>
      </c>
      <c r="I566" s="12" t="inlineStr"/>
      <c r="J566" s="12" t="inlineStr">
        <is>
          <t>B26050344</t>
        </is>
      </c>
      <c r="K566" s="12" t="inlineStr">
        <is>
          <t>44557, 62750</t>
        </is>
      </c>
      <c r="L566" s="12" t="inlineStr">
        <is>
          <t>Probable</t>
        </is>
      </c>
    </row>
    <row r="567">
      <c r="A567" s="22" t="inlineStr">
        <is>
          <t>04/05/2026</t>
        </is>
      </c>
      <c r="B567" s="22" t="inlineStr">
        <is>
          <t>99000-005405</t>
        </is>
      </c>
      <c r="C567" s="22" t="inlineStr">
        <is>
          <t>PERCEPTION DES COMMISSIONS</t>
        </is>
      </c>
      <c r="D567" s="25" t="n">
        <v>1247.08</v>
      </c>
      <c r="E567" s="25" t="n"/>
      <c r="F567" s="25" t="n">
        <v>-12020796.07</v>
      </c>
      <c r="G567" s="12" t="inlineStr">
        <is>
          <t>2026-05</t>
        </is>
      </c>
      <c r="H567" s="12" t="inlineStr">
        <is>
          <t>Agios, commissions et frais</t>
        </is>
      </c>
      <c r="I567" s="12" t="inlineStr"/>
      <c r="J567" s="12" t="inlineStr">
        <is>
          <t>B26050345</t>
        </is>
      </c>
      <c r="K567" s="12" t="inlineStr">
        <is>
          <t>44557, 62750</t>
        </is>
      </c>
      <c r="L567" s="12" t="inlineStr">
        <is>
          <t>Probable</t>
        </is>
      </c>
    </row>
    <row r="568">
      <c r="A568" s="22" t="inlineStr">
        <is>
          <t>04/05/2026</t>
        </is>
      </c>
      <c r="B568" s="22" t="inlineStr">
        <is>
          <t>99000-020441</t>
        </is>
      </c>
      <c r="C568" s="22" t="inlineStr">
        <is>
          <t>FRAIS ABONN. INTERNET 2026/05</t>
        </is>
      </c>
      <c r="D568" s="25" t="n">
        <v>1606.5</v>
      </c>
      <c r="E568" s="25" t="n"/>
      <c r="F568" s="25" t="n">
        <v>-12022402.57</v>
      </c>
      <c r="G568" s="12" t="inlineStr">
        <is>
          <t>2026-05</t>
        </is>
      </c>
      <c r="H568" s="12" t="inlineStr">
        <is>
          <t>Agios, commissions et frais</t>
        </is>
      </c>
      <c r="I568" s="12" t="inlineStr"/>
      <c r="J568" s="12" t="inlineStr">
        <is>
          <t>B26050346</t>
        </is>
      </c>
      <c r="K568" s="12" t="inlineStr">
        <is>
          <t>44557, 62750</t>
        </is>
      </c>
      <c r="L568" s="12" t="inlineStr">
        <is>
          <t>Probable</t>
        </is>
      </c>
    </row>
    <row r="569">
      <c r="A569" s="22" t="inlineStr">
        <is>
          <t>06/05/2026</t>
        </is>
      </c>
      <c r="B569" s="22" t="inlineStr">
        <is>
          <t>99000-066538</t>
        </is>
      </c>
      <c r="C569" s="22" t="inlineStr">
        <is>
          <t>SORT CHQ NUM  2357563</t>
        </is>
      </c>
      <c r="D569" s="25" t="n"/>
      <c r="E569" s="25" t="n">
        <v>66273.48</v>
      </c>
      <c r="F569" s="25" t="n">
        <v>-11956129.09</v>
      </c>
      <c r="G569" s="12" t="inlineStr">
        <is>
          <t>2026-05</t>
        </is>
      </c>
      <c r="H569" s="12" t="inlineStr">
        <is>
          <t>Encaissements clients</t>
        </is>
      </c>
      <c r="I569" s="12" t="inlineStr"/>
      <c r="J569" s="12" t="inlineStr">
        <is>
          <t>B26050347</t>
        </is>
      </c>
      <c r="K569" s="12" t="inlineStr">
        <is>
          <t>47000</t>
        </is>
      </c>
      <c r="L569" s="12" t="inlineStr">
        <is>
          <t>À identifier</t>
        </is>
      </c>
    </row>
    <row r="570">
      <c r="A570" s="22" t="inlineStr">
        <is>
          <t>06/05/2026</t>
        </is>
      </c>
      <c r="B570" s="22" t="inlineStr">
        <is>
          <t>99000-066545</t>
        </is>
      </c>
      <c r="C570" s="22" t="inlineStr">
        <is>
          <t>SORT CHQ NUM  6392153</t>
        </is>
      </c>
      <c r="D570" s="25" t="n"/>
      <c r="E570" s="25" t="n">
        <v>437920</v>
      </c>
      <c r="F570" s="25" t="n">
        <v>-11518209.09</v>
      </c>
      <c r="G570" s="12" t="inlineStr">
        <is>
          <t>2026-05</t>
        </is>
      </c>
      <c r="H570" s="12" t="inlineStr">
        <is>
          <t>Encaissements clients</t>
        </is>
      </c>
      <c r="I570" s="12" t="inlineStr"/>
      <c r="J570" s="12" t="inlineStr">
        <is>
          <t>B26050348</t>
        </is>
      </c>
      <c r="K570" s="12" t="inlineStr">
        <is>
          <t>47000</t>
        </is>
      </c>
      <c r="L570" s="12" t="inlineStr">
        <is>
          <t>À identifier</t>
        </is>
      </c>
    </row>
    <row r="571">
      <c r="A571" s="22" t="inlineStr">
        <is>
          <t>06/05/2026</t>
        </is>
      </c>
      <c r="B571" s="22" t="inlineStr">
        <is>
          <t>99000-066538</t>
        </is>
      </c>
      <c r="C571" s="22" t="inlineStr">
        <is>
          <t>FRAIS REMISE CHQ N  2357563</t>
        </is>
      </c>
      <c r="D571" s="25" t="n">
        <v>78.86</v>
      </c>
      <c r="E571" s="25" t="n"/>
      <c r="F571" s="25" t="n">
        <v>-11518287.95</v>
      </c>
      <c r="G571" s="12" t="inlineStr">
        <is>
          <t>2026-05</t>
        </is>
      </c>
      <c r="H571" s="12" t="inlineStr">
        <is>
          <t>Agios, commissions et frais</t>
        </is>
      </c>
      <c r="I571" s="12" t="inlineStr"/>
      <c r="J571" s="12" t="inlineStr">
        <is>
          <t>B26050349</t>
        </is>
      </c>
      <c r="K571" s="12" t="inlineStr">
        <is>
          <t>44557, 62750</t>
        </is>
      </c>
      <c r="L571" s="12" t="inlineStr">
        <is>
          <t>Probable</t>
        </is>
      </c>
    </row>
    <row r="572">
      <c r="A572" s="22" t="inlineStr">
        <is>
          <t>06/05/2026</t>
        </is>
      </c>
      <c r="B572" s="22" t="inlineStr">
        <is>
          <t>99000-066545</t>
        </is>
      </c>
      <c r="C572" s="22" t="inlineStr">
        <is>
          <t>FRAIS REMISE CHQ N  6392153</t>
        </is>
      </c>
      <c r="D572" s="25" t="n">
        <v>238</v>
      </c>
      <c r="E572" s="25" t="n"/>
      <c r="F572" s="25" t="n">
        <v>-11518525.95</v>
      </c>
      <c r="G572" s="12" t="inlineStr">
        <is>
          <t>2026-05</t>
        </is>
      </c>
      <c r="H572" s="12" t="inlineStr">
        <is>
          <t>Agios, commissions et frais</t>
        </is>
      </c>
      <c r="I572" s="12" t="inlineStr"/>
      <c r="J572" s="12" t="inlineStr">
        <is>
          <t>B26050350</t>
        </is>
      </c>
      <c r="K572" s="12" t="inlineStr">
        <is>
          <t>44557, 62750</t>
        </is>
      </c>
      <c r="L572" s="12" t="inlineStr">
        <is>
          <t>Probable</t>
        </is>
      </c>
    </row>
    <row r="573">
      <c r="A573" s="22" t="inlineStr">
        <is>
          <t>10/05/2026</t>
        </is>
      </c>
      <c r="B573" s="22" t="inlineStr">
        <is>
          <t>00370-121023</t>
        </is>
      </c>
      <c r="C573" s="22" t="inlineStr">
        <is>
          <t>PAIEMENT CHQ NUM  2125753</t>
        </is>
      </c>
      <c r="D573" s="25" t="n">
        <v>128936.48</v>
      </c>
      <c r="E573" s="25" t="n"/>
      <c r="F573" s="25" t="n">
        <v>-11647462.43</v>
      </c>
      <c r="G573" s="12" t="inlineStr">
        <is>
          <t>2026-05</t>
        </is>
      </c>
      <c r="H573" s="12" t="inlineStr">
        <is>
          <t>CNAS</t>
        </is>
      </c>
      <c r="I573" s="4" t="inlineStr">
        <is>
          <t>CNAS IMPORT mars 2026</t>
        </is>
      </c>
      <c r="J573" s="12" t="inlineStr">
        <is>
          <t>B26050351</t>
        </is>
      </c>
      <c r="K573" s="12" t="inlineStr">
        <is>
          <t>43100, 43200</t>
        </is>
      </c>
      <c r="L573" s="12" t="inlineStr">
        <is>
          <t>Certaine</t>
        </is>
      </c>
    </row>
    <row r="574">
      <c r="A574" s="22" t="inlineStr">
        <is>
          <t>10/05/2026</t>
        </is>
      </c>
      <c r="B574" s="22" t="inlineStr">
        <is>
          <t>00370-121023</t>
        </is>
      </c>
      <c r="C574" s="22" t="inlineStr">
        <is>
          <t>PERCEP.COM SUR PAIEMENTS CHQ</t>
        </is>
      </c>
      <c r="D574" s="25" t="n">
        <v>59.5</v>
      </c>
      <c r="E574" s="25" t="n"/>
      <c r="F574" s="25" t="n">
        <v>-11647521.93</v>
      </c>
      <c r="G574" s="12" t="inlineStr">
        <is>
          <t>2026-05</t>
        </is>
      </c>
      <c r="H574" s="12" t="inlineStr">
        <is>
          <t>Agios, commissions et frais</t>
        </is>
      </c>
      <c r="I574" s="12" t="inlineStr"/>
      <c r="J574" s="12" t="inlineStr">
        <is>
          <t>B26050352</t>
        </is>
      </c>
      <c r="K574" s="12" t="inlineStr">
        <is>
          <t>44557, 62750</t>
        </is>
      </c>
      <c r="L574" s="12" t="inlineStr">
        <is>
          <t>Probable</t>
        </is>
      </c>
    </row>
    <row r="575">
      <c r="A575" s="22" t="inlineStr">
        <is>
          <t>10/05/2026</t>
        </is>
      </c>
      <c r="B575" s="22" t="inlineStr">
        <is>
          <t>99000-066581</t>
        </is>
      </c>
      <c r="C575" s="22" t="inlineStr">
        <is>
          <t>SORT CHQ NUM  4749344</t>
        </is>
      </c>
      <c r="D575" s="25" t="n"/>
      <c r="E575" s="25" t="n">
        <v>1099560</v>
      </c>
      <c r="F575" s="25" t="n">
        <v>-10547961.93</v>
      </c>
      <c r="G575" s="12" t="inlineStr">
        <is>
          <t>2026-05</t>
        </is>
      </c>
      <c r="H575" s="12" t="inlineStr">
        <is>
          <t>Encaissements clients</t>
        </is>
      </c>
      <c r="I575" s="12" t="inlineStr"/>
      <c r="J575" s="12" t="inlineStr">
        <is>
          <t>B26050353</t>
        </is>
      </c>
      <c r="K575" s="12" t="inlineStr">
        <is>
          <t>47000</t>
        </is>
      </c>
      <c r="L575" s="12" t="inlineStr">
        <is>
          <t>À identifier</t>
        </is>
      </c>
    </row>
    <row r="576">
      <c r="A576" s="22" t="inlineStr">
        <is>
          <t>10/05/2026</t>
        </is>
      </c>
      <c r="B576" s="22" t="inlineStr">
        <is>
          <t>99000-066581</t>
        </is>
      </c>
      <c r="C576" s="22" t="inlineStr">
        <is>
          <t>FRAIS REMISE CHQ N  4749344</t>
        </is>
      </c>
      <c r="D576" s="25" t="n">
        <v>238</v>
      </c>
      <c r="E576" s="25" t="n"/>
      <c r="F576" s="25" t="n">
        <v>-10548199.93</v>
      </c>
      <c r="G576" s="12" t="inlineStr">
        <is>
          <t>2026-05</t>
        </is>
      </c>
      <c r="H576" s="12" t="inlineStr">
        <is>
          <t>Agios, commissions et frais</t>
        </is>
      </c>
      <c r="I576" s="12" t="inlineStr"/>
      <c r="J576" s="12" t="inlineStr">
        <is>
          <t>B26050354</t>
        </is>
      </c>
      <c r="K576" s="12" t="inlineStr">
        <is>
          <t>44557, 62750</t>
        </is>
      </c>
      <c r="L576" s="12" t="inlineStr">
        <is>
          <t>Probable</t>
        </is>
      </c>
    </row>
    <row r="577">
      <c r="A577" s="22" t="inlineStr">
        <is>
          <t>10/05/2026</t>
        </is>
      </c>
      <c r="B577" s="22" t="inlineStr">
        <is>
          <t>-12916</t>
        </is>
      </c>
      <c r="C577" s="22" t="inlineStr">
        <is>
          <t>RECOUV.IMP.TOMB.ANTI     4099</t>
        </is>
      </c>
      <c r="D577" s="25" t="n">
        <v>4271.27</v>
      </c>
      <c r="E577" s="25" t="n"/>
      <c r="F577" s="25" t="n">
        <v>-10552471.2</v>
      </c>
      <c r="G577" s="12" t="inlineStr">
        <is>
          <t>2026-05</t>
        </is>
      </c>
      <c r="H577" s="12" t="inlineStr">
        <is>
          <t>Remboursement crédit / échéances</t>
        </is>
      </c>
      <c r="I577" s="12" t="inlineStr"/>
      <c r="J577" s="12" t="inlineStr">
        <is>
          <t>B26050355</t>
        </is>
      </c>
      <c r="K577" s="12" t="inlineStr">
        <is>
          <t>51900</t>
        </is>
      </c>
      <c r="L577" s="12" t="inlineStr">
        <is>
          <t>Probable</t>
        </is>
      </c>
    </row>
    <row r="578">
      <c r="A578" s="22" t="inlineStr">
        <is>
          <t>10/05/2026</t>
        </is>
      </c>
      <c r="B578" s="22" t="inlineStr">
        <is>
          <t>00003-000009</t>
        </is>
      </c>
      <c r="C578" s="22" t="inlineStr">
        <is>
          <t>MODIF CRED00370 CDI00014662</t>
        </is>
      </c>
      <c r="D578" s="25" t="n">
        <v>7165</v>
      </c>
      <c r="E578" s="25" t="n"/>
      <c r="F578" s="25" t="n">
        <v>-10559636.2</v>
      </c>
      <c r="G578" s="12" t="inlineStr">
        <is>
          <t>2026-05</t>
        </is>
      </c>
      <c r="H578" s="12" t="inlineStr">
        <is>
          <t>Importations (règlements, provisions, crédoc)</t>
        </is>
      </c>
      <c r="I578" s="12" t="inlineStr"/>
      <c r="J578" s="12" t="inlineStr">
        <is>
          <t>B26050356</t>
        </is>
      </c>
      <c r="K578" s="12" t="inlineStr">
        <is>
          <t>44557, 62750</t>
        </is>
      </c>
      <c r="L578" s="12" t="inlineStr">
        <is>
          <t>Probable</t>
        </is>
      </c>
    </row>
    <row r="579">
      <c r="A579" s="22" t="inlineStr">
        <is>
          <t>10/05/2026</t>
        </is>
      </c>
      <c r="B579" s="22" t="inlineStr">
        <is>
          <t>00370-000361</t>
        </is>
      </c>
      <c r="C579" s="22" t="inlineStr">
        <is>
          <t>OPERATION PROV 20%PTI67673 EUR</t>
        </is>
      </c>
      <c r="D579" s="25" t="n">
        <v>4000000</v>
      </c>
      <c r="E579" s="25" t="n"/>
      <c r="F579" s="25" t="n">
        <v>-14559636.2</v>
      </c>
      <c r="G579" s="12" t="inlineStr">
        <is>
          <t>2026-05</t>
        </is>
      </c>
      <c r="H579" s="12" t="inlineStr">
        <is>
          <t>Importations (règlements, provisions, crédoc)</t>
        </is>
      </c>
      <c r="I579" s="12" t="inlineStr"/>
      <c r="J579" s="12" t="inlineStr">
        <is>
          <t>B26050357</t>
        </is>
      </c>
      <c r="K579" s="12" t="inlineStr">
        <is>
          <t>54200</t>
        </is>
      </c>
      <c r="L579" s="12" t="inlineStr">
        <is>
          <t>Certaine</t>
        </is>
      </c>
    </row>
    <row r="580">
      <c r="A580" s="22" t="inlineStr">
        <is>
          <t>11/05/2026</t>
        </is>
      </c>
      <c r="B580" s="22" t="inlineStr">
        <is>
          <t>00370-015382</t>
        </is>
      </c>
      <c r="C580" s="22" t="inlineStr">
        <is>
          <t>CAUTION PROVISIONNEE A 100%</t>
        </is>
      </c>
      <c r="D580" s="25" t="n">
        <v>26000</v>
      </c>
      <c r="E580" s="25" t="n"/>
      <c r="F580" s="25" t="n">
        <v>-14585636.2</v>
      </c>
      <c r="G580" s="12" t="inlineStr">
        <is>
          <t>2026-05</t>
        </is>
      </c>
      <c r="H580" s="12" t="inlineStr">
        <is>
          <t>Cautions et mains levées</t>
        </is>
      </c>
      <c r="I580" s="12" t="inlineStr"/>
      <c r="J580" s="12" t="inlineStr">
        <is>
          <t>B26050358</t>
        </is>
      </c>
      <c r="K580" s="12" t="inlineStr">
        <is>
          <t>27500</t>
        </is>
      </c>
      <c r="L580" s="12" t="inlineStr">
        <is>
          <t>Certaine</t>
        </is>
      </c>
    </row>
    <row r="581">
      <c r="A581" s="22" t="inlineStr">
        <is>
          <t>11/05/2026</t>
        </is>
      </c>
      <c r="B581" s="22" t="inlineStr">
        <is>
          <t>00370-015384</t>
        </is>
      </c>
      <c r="C581" s="22" t="inlineStr">
        <is>
          <t>CAUTION PROVISIONNEE A 100%</t>
        </is>
      </c>
      <c r="D581" s="25" t="n">
        <v>111000</v>
      </c>
      <c r="E581" s="25" t="n"/>
      <c r="F581" s="25" t="n">
        <v>-14696636.2</v>
      </c>
      <c r="G581" s="12" t="inlineStr">
        <is>
          <t>2026-05</t>
        </is>
      </c>
      <c r="H581" s="12" t="inlineStr">
        <is>
          <t>Cautions et mains levées</t>
        </is>
      </c>
      <c r="I581" s="12" t="inlineStr"/>
      <c r="J581" s="12" t="inlineStr">
        <is>
          <t>B26050359</t>
        </is>
      </c>
      <c r="K581" s="12" t="inlineStr">
        <is>
          <t>27500</t>
        </is>
      </c>
      <c r="L581" s="12" t="inlineStr">
        <is>
          <t>Certaine</t>
        </is>
      </c>
    </row>
    <row r="582">
      <c r="A582" s="22" t="inlineStr">
        <is>
          <t>11/05/2026</t>
        </is>
      </c>
      <c r="B582" s="22" t="inlineStr">
        <is>
          <t>00370-015383</t>
        </is>
      </c>
      <c r="C582" s="22" t="inlineStr">
        <is>
          <t>CAUTION PROVISIONNEE A 100%</t>
        </is>
      </c>
      <c r="D582" s="25" t="n">
        <v>111000</v>
      </c>
      <c r="E582" s="25" t="n"/>
      <c r="F582" s="25" t="n">
        <v>-14807636.2</v>
      </c>
      <c r="G582" s="12" t="inlineStr">
        <is>
          <t>2026-05</t>
        </is>
      </c>
      <c r="H582" s="12" t="inlineStr">
        <is>
          <t>Cautions et mains levées</t>
        </is>
      </c>
      <c r="I582" s="12" t="inlineStr"/>
      <c r="J582" s="12" t="inlineStr">
        <is>
          <t>B26050360</t>
        </is>
      </c>
      <c r="K582" s="12" t="inlineStr">
        <is>
          <t>27500</t>
        </is>
      </c>
      <c r="L582" s="12" t="inlineStr">
        <is>
          <t>Certaine</t>
        </is>
      </c>
    </row>
    <row r="583">
      <c r="A583" s="22" t="inlineStr">
        <is>
          <t>11/05/2026</t>
        </is>
      </c>
      <c r="B583" s="22" t="inlineStr">
        <is>
          <t>00370-015385</t>
        </is>
      </c>
      <c r="C583" s="22" t="inlineStr">
        <is>
          <t>CAUTION PROVISIONNEE A 100%</t>
        </is>
      </c>
      <c r="D583" s="25" t="n">
        <v>80000</v>
      </c>
      <c r="E583" s="25" t="n"/>
      <c r="F583" s="25" t="n">
        <v>-14887636.2</v>
      </c>
      <c r="G583" s="12" t="inlineStr">
        <is>
          <t>2026-05</t>
        </is>
      </c>
      <c r="H583" s="12" t="inlineStr">
        <is>
          <t>Cautions et mains levées</t>
        </is>
      </c>
      <c r="I583" s="12" t="inlineStr"/>
      <c r="J583" s="12" t="inlineStr">
        <is>
          <t>B26050361</t>
        </is>
      </c>
      <c r="K583" s="12" t="inlineStr">
        <is>
          <t>27500</t>
        </is>
      </c>
      <c r="L583" s="12" t="inlineStr">
        <is>
          <t>Certaine</t>
        </is>
      </c>
    </row>
    <row r="584">
      <c r="A584" s="22" t="inlineStr">
        <is>
          <t>11/05/2026</t>
        </is>
      </c>
      <c r="B584" s="22" t="inlineStr">
        <is>
          <t>99000-005410</t>
        </is>
      </c>
      <c r="C584" s="22" t="inlineStr">
        <is>
          <t>PERCEPTION DES COMMISSIONS</t>
        </is>
      </c>
      <c r="D584" s="25" t="n">
        <v>245.94</v>
      </c>
      <c r="E584" s="25" t="n"/>
      <c r="F584" s="25" t="n">
        <v>-14887882.14</v>
      </c>
      <c r="G584" s="12" t="inlineStr">
        <is>
          <t>2026-05</t>
        </is>
      </c>
      <c r="H584" s="12" t="inlineStr">
        <is>
          <t>Agios, commissions et frais</t>
        </is>
      </c>
      <c r="I584" s="12" t="inlineStr"/>
      <c r="J584" s="12" t="inlineStr">
        <is>
          <t>B26050362</t>
        </is>
      </c>
      <c r="K584" s="12" t="inlineStr">
        <is>
          <t>44557, 62750</t>
        </is>
      </c>
      <c r="L584" s="12" t="inlineStr">
        <is>
          <t>Probable</t>
        </is>
      </c>
    </row>
    <row r="585">
      <c r="A585" s="22" t="inlineStr">
        <is>
          <t>11/05/2026</t>
        </is>
      </c>
      <c r="B585" s="22" t="inlineStr">
        <is>
          <t>99000-005411</t>
        </is>
      </c>
      <c r="C585" s="22" t="inlineStr">
        <is>
          <t>PERCEPTION DES COMMISSIONS</t>
        </is>
      </c>
      <c r="D585" s="25" t="n">
        <v>341.23</v>
      </c>
      <c r="E585" s="25" t="n"/>
      <c r="F585" s="25" t="n">
        <v>-14888223.37</v>
      </c>
      <c r="G585" s="12" t="inlineStr">
        <is>
          <t>2026-05</t>
        </is>
      </c>
      <c r="H585" s="12" t="inlineStr">
        <is>
          <t>Agios, commissions et frais</t>
        </is>
      </c>
      <c r="I585" s="12" t="inlineStr"/>
      <c r="J585" s="12" t="inlineStr">
        <is>
          <t>B26050363</t>
        </is>
      </c>
      <c r="K585" s="12" t="inlineStr">
        <is>
          <t>44557, 62750</t>
        </is>
      </c>
      <c r="L585" s="12" t="inlineStr">
        <is>
          <t>Probable</t>
        </is>
      </c>
    </row>
    <row r="586">
      <c r="A586" s="22" t="inlineStr">
        <is>
          <t>11/05/2026</t>
        </is>
      </c>
      <c r="B586" s="22" t="inlineStr">
        <is>
          <t>99000-005409</t>
        </is>
      </c>
      <c r="C586" s="22" t="inlineStr">
        <is>
          <t>PERCEPTION DES COMMISSIONS</t>
        </is>
      </c>
      <c r="D586" s="25" t="n">
        <v>341.23</v>
      </c>
      <c r="E586" s="25" t="n"/>
      <c r="F586" s="25" t="n">
        <v>-14888564.6</v>
      </c>
      <c r="G586" s="12" t="inlineStr">
        <is>
          <t>2026-05</t>
        </is>
      </c>
      <c r="H586" s="12" t="inlineStr">
        <is>
          <t>Agios, commissions et frais</t>
        </is>
      </c>
      <c r="I586" s="12" t="inlineStr"/>
      <c r="J586" s="12" t="inlineStr">
        <is>
          <t>B26050364</t>
        </is>
      </c>
      <c r="K586" s="12" t="inlineStr">
        <is>
          <t>44557, 62750</t>
        </is>
      </c>
      <c r="L586" s="12" t="inlineStr">
        <is>
          <t>Probable</t>
        </is>
      </c>
    </row>
    <row r="587">
      <c r="A587" s="22" t="inlineStr">
        <is>
          <t>11/05/2026</t>
        </is>
      </c>
      <c r="B587" s="22" t="inlineStr">
        <is>
          <t>99000-005412</t>
        </is>
      </c>
      <c r="C587" s="22" t="inlineStr">
        <is>
          <t>PERCEPTION DES COMMISSIONS</t>
        </is>
      </c>
      <c r="D587" s="25" t="n">
        <v>79.93000000000001</v>
      </c>
      <c r="E587" s="25" t="n"/>
      <c r="F587" s="25" t="n">
        <v>-14888644.53</v>
      </c>
      <c r="G587" s="12" t="inlineStr">
        <is>
          <t>2026-05</t>
        </is>
      </c>
      <c r="H587" s="12" t="inlineStr">
        <is>
          <t>Agios, commissions et frais</t>
        </is>
      </c>
      <c r="I587" s="12" t="inlineStr"/>
      <c r="J587" s="12" t="inlineStr">
        <is>
          <t>B26050365</t>
        </is>
      </c>
      <c r="K587" s="12" t="inlineStr">
        <is>
          <t>44557, 62750</t>
        </is>
      </c>
      <c r="L587" s="12" t="inlineStr">
        <is>
          <t>Probable</t>
        </is>
      </c>
    </row>
    <row r="588">
      <c r="A588" s="22" t="inlineStr">
        <is>
          <t>12/05/2026</t>
        </is>
      </c>
      <c r="B588" s="22" t="inlineStr">
        <is>
          <t>00370-001471</t>
        </is>
      </c>
      <c r="C588" s="22" t="inlineStr">
        <is>
          <t>VRT. RECU VIREMENT ARTS CLIENT</t>
        </is>
      </c>
      <c r="D588" s="25" t="n"/>
      <c r="E588" s="25" t="n">
        <v>1272854.35</v>
      </c>
      <c r="F588" s="25" t="n">
        <v>-13615790.18</v>
      </c>
      <c r="G588" s="12" t="inlineStr">
        <is>
          <t>2026-05</t>
        </is>
      </c>
      <c r="H588" s="12" t="inlineStr">
        <is>
          <t>Encaissements clients</t>
        </is>
      </c>
      <c r="I588" s="12" t="inlineStr"/>
      <c r="J588" s="12" t="inlineStr">
        <is>
          <t>B26050366</t>
        </is>
      </c>
      <c r="K588" s="12" t="inlineStr">
        <is>
          <t>41100</t>
        </is>
      </c>
      <c r="L588" s="12" t="inlineStr">
        <is>
          <t>Probable</t>
        </is>
      </c>
    </row>
    <row r="589">
      <c r="A589" s="22" t="inlineStr">
        <is>
          <t>12/05/2026</t>
        </is>
      </c>
      <c r="B589" s="22" t="inlineStr">
        <is>
          <t>00370-001471</t>
        </is>
      </c>
      <c r="C589" s="22" t="inlineStr">
        <is>
          <t>FRAIS VRT RTGS</t>
        </is>
      </c>
      <c r="D589" s="25" t="n">
        <v>357</v>
      </c>
      <c r="E589" s="25" t="n"/>
      <c r="F589" s="25" t="n">
        <v>-13616147.18</v>
      </c>
      <c r="G589" s="12" t="inlineStr">
        <is>
          <t>2026-05</t>
        </is>
      </c>
      <c r="H589" s="12" t="inlineStr">
        <is>
          <t>Agios, commissions et frais</t>
        </is>
      </c>
      <c r="I589" s="12" t="inlineStr"/>
      <c r="J589" s="12" t="inlineStr">
        <is>
          <t>B26050367</t>
        </is>
      </c>
      <c r="K589" s="12" t="inlineStr">
        <is>
          <t>44557, 62750</t>
        </is>
      </c>
      <c r="L589" s="12" t="inlineStr">
        <is>
          <t>Probable</t>
        </is>
      </c>
    </row>
    <row r="590">
      <c r="A590" s="22" t="inlineStr">
        <is>
          <t>12/05/2026</t>
        </is>
      </c>
      <c r="B590" s="22" t="inlineStr">
        <is>
          <t>00370-000588</t>
        </is>
      </c>
      <c r="C590" s="22" t="inlineStr">
        <is>
          <t>VRT EDI AUTRES BQUES</t>
        </is>
      </c>
      <c r="D590" s="25" t="n">
        <v>244006.12</v>
      </c>
      <c r="E590" s="25" t="n"/>
      <c r="F590" s="25" t="n">
        <v>-13860153.3</v>
      </c>
      <c r="G590" s="12" t="inlineStr">
        <is>
          <t>2026-05</t>
        </is>
      </c>
      <c r="H590" s="12" t="inlineStr">
        <is>
          <t>Fournisseurs, salaires et divers</t>
        </is>
      </c>
      <c r="I590" s="12" t="inlineStr"/>
      <c r="J590" s="12" t="inlineStr">
        <is>
          <t>B26050368</t>
        </is>
      </c>
      <c r="K590" s="12" t="inlineStr">
        <is>
          <t>47000</t>
        </is>
      </c>
      <c r="L590" s="12" t="inlineStr">
        <is>
          <t>À identifier</t>
        </is>
      </c>
    </row>
    <row r="591">
      <c r="A591" s="22" t="inlineStr">
        <is>
          <t>12/05/2026</t>
        </is>
      </c>
      <c r="B591" s="22" t="inlineStr">
        <is>
          <t>00370-000588</t>
        </is>
      </c>
      <c r="C591" s="22" t="inlineStr">
        <is>
          <t>COM.VRT EDI BQUE</t>
        </is>
      </c>
      <c r="D591" s="25" t="n">
        <v>107.1</v>
      </c>
      <c r="E591" s="25" t="n"/>
      <c r="F591" s="25" t="n">
        <v>-13860260.4</v>
      </c>
      <c r="G591" s="12" t="inlineStr">
        <is>
          <t>2026-05</t>
        </is>
      </c>
      <c r="H591" s="12" t="inlineStr">
        <is>
          <t>Agios, commissions et frais</t>
        </is>
      </c>
      <c r="I591" s="12" t="inlineStr"/>
      <c r="J591" s="12" t="inlineStr">
        <is>
          <t>B26050369</t>
        </is>
      </c>
      <c r="K591" s="12" t="inlineStr">
        <is>
          <t>44557, 62750</t>
        </is>
      </c>
      <c r="L591" s="12" t="inlineStr">
        <is>
          <t>Probable</t>
        </is>
      </c>
    </row>
    <row r="592">
      <c r="A592" s="22" t="inlineStr">
        <is>
          <t>12/05/2026</t>
        </is>
      </c>
      <c r="B592" s="22" t="inlineStr">
        <is>
          <t>00370-121096</t>
        </is>
      </c>
      <c r="C592" s="22" t="inlineStr">
        <is>
          <t>PAIEMENT CHQ NUM  2125754</t>
        </is>
      </c>
      <c r="D592" s="25" t="n">
        <v>65629.8</v>
      </c>
      <c r="E592" s="25" t="n"/>
      <c r="F592" s="25" t="n">
        <v>-13925890.2</v>
      </c>
      <c r="G592" s="12" t="inlineStr">
        <is>
          <t>2026-05</t>
        </is>
      </c>
      <c r="H592" s="12" t="inlineStr">
        <is>
          <t>CNAS</t>
        </is>
      </c>
      <c r="I592" s="4" t="inlineStr">
        <is>
          <t>CNAS TPM T1 2026</t>
        </is>
      </c>
      <c r="J592" s="12" t="inlineStr">
        <is>
          <t>B26050370</t>
        </is>
      </c>
      <c r="K592" s="12" t="inlineStr">
        <is>
          <t>43100, 43200</t>
        </is>
      </c>
      <c r="L592" s="12" t="inlineStr">
        <is>
          <t>Certaine</t>
        </is>
      </c>
    </row>
    <row r="593">
      <c r="A593" s="22" t="inlineStr">
        <is>
          <t>12/05/2026</t>
        </is>
      </c>
      <c r="B593" s="22" t="inlineStr">
        <is>
          <t>00370-121096</t>
        </is>
      </c>
      <c r="C593" s="22" t="inlineStr">
        <is>
          <t>PERCEP.COM SUR PAIEMENTS CHQ</t>
        </is>
      </c>
      <c r="D593" s="25" t="n">
        <v>59.5</v>
      </c>
      <c r="E593" s="25" t="n"/>
      <c r="F593" s="25" t="n">
        <v>-13925949.7</v>
      </c>
      <c r="G593" s="12" t="inlineStr">
        <is>
          <t>2026-05</t>
        </is>
      </c>
      <c r="H593" s="12" t="inlineStr">
        <is>
          <t>Agios, commissions et frais</t>
        </is>
      </c>
      <c r="I593" s="12" t="inlineStr"/>
      <c r="J593" s="12" t="inlineStr">
        <is>
          <t>B26050371</t>
        </is>
      </c>
      <c r="K593" s="12" t="inlineStr">
        <is>
          <t>44557, 62750</t>
        </is>
      </c>
      <c r="L593" s="12" t="inlineStr">
        <is>
          <t>Probable</t>
        </is>
      </c>
    </row>
    <row r="594">
      <c r="A594" s="22" t="inlineStr">
        <is>
          <t>13/05/2026</t>
        </is>
      </c>
      <c r="B594" s="22" t="inlineStr">
        <is>
          <t>99000-066611</t>
        </is>
      </c>
      <c r="C594" s="22" t="inlineStr">
        <is>
          <t>SORT CHQ NUM  7107688</t>
        </is>
      </c>
      <c r="D594" s="25" t="n"/>
      <c r="E594" s="25" t="n">
        <v>400000</v>
      </c>
      <c r="F594" s="25" t="n">
        <v>-13525949.7</v>
      </c>
      <c r="G594" s="12" t="inlineStr">
        <is>
          <t>2026-05</t>
        </is>
      </c>
      <c r="H594" s="12" t="inlineStr">
        <is>
          <t>Encaissements clients</t>
        </is>
      </c>
      <c r="I594" s="12" t="inlineStr"/>
      <c r="J594" s="12" t="inlineStr">
        <is>
          <t>B26050372</t>
        </is>
      </c>
      <c r="K594" s="12" t="inlineStr">
        <is>
          <t>41100</t>
        </is>
      </c>
      <c r="L594" s="12" t="inlineStr">
        <is>
          <t>Probable</t>
        </is>
      </c>
    </row>
    <row r="595">
      <c r="A595" s="22" t="inlineStr">
        <is>
          <t>13/05/2026</t>
        </is>
      </c>
      <c r="B595" s="22" t="inlineStr">
        <is>
          <t>99000-066617</t>
        </is>
      </c>
      <c r="C595" s="22" t="inlineStr">
        <is>
          <t>SORT CHQ NUM  1335055</t>
        </is>
      </c>
      <c r="D595" s="25" t="n"/>
      <c r="E595" s="25" t="n">
        <v>184500</v>
      </c>
      <c r="F595" s="25" t="n">
        <v>-13341449.7</v>
      </c>
      <c r="G595" s="12" t="inlineStr">
        <is>
          <t>2026-05</t>
        </is>
      </c>
      <c r="H595" s="12" t="inlineStr">
        <is>
          <t>Encaissements clients</t>
        </is>
      </c>
      <c r="I595" s="12" t="inlineStr"/>
      <c r="J595" s="12" t="inlineStr">
        <is>
          <t>B26050373</t>
        </is>
      </c>
      <c r="K595" s="12" t="inlineStr">
        <is>
          <t>47000</t>
        </is>
      </c>
      <c r="L595" s="12" t="inlineStr">
        <is>
          <t>À identifier</t>
        </is>
      </c>
    </row>
    <row r="596">
      <c r="A596" s="22" t="inlineStr">
        <is>
          <t>13/05/2026</t>
        </is>
      </c>
      <c r="B596" s="22" t="inlineStr">
        <is>
          <t>99000-066611</t>
        </is>
      </c>
      <c r="C596" s="22" t="inlineStr">
        <is>
          <t>FRAIS REMISE CHQ N  7107688</t>
        </is>
      </c>
      <c r="D596" s="25" t="n">
        <v>119</v>
      </c>
      <c r="E596" s="25" t="n"/>
      <c r="F596" s="25" t="n">
        <v>-13341568.7</v>
      </c>
      <c r="G596" s="12" t="inlineStr">
        <is>
          <t>2026-05</t>
        </is>
      </c>
      <c r="H596" s="12" t="inlineStr">
        <is>
          <t>Agios, commissions et frais</t>
        </is>
      </c>
      <c r="I596" s="12" t="inlineStr"/>
      <c r="J596" s="12" t="inlineStr">
        <is>
          <t>B26050374</t>
        </is>
      </c>
      <c r="K596" s="12" t="inlineStr">
        <is>
          <t>44557, 62750</t>
        </is>
      </c>
      <c r="L596" s="12" t="inlineStr">
        <is>
          <t>Probable</t>
        </is>
      </c>
    </row>
    <row r="597">
      <c r="A597" s="22" t="inlineStr">
        <is>
          <t>13/05/2026</t>
        </is>
      </c>
      <c r="B597" s="22" t="inlineStr">
        <is>
          <t>99000-066617</t>
        </is>
      </c>
      <c r="C597" s="22" t="inlineStr">
        <is>
          <t>FRAIS REMISE CHQ N  1335055</t>
        </is>
      </c>
      <c r="D597" s="25" t="n">
        <v>219.56</v>
      </c>
      <c r="E597" s="25" t="n"/>
      <c r="F597" s="25" t="n">
        <v>-13341788.26</v>
      </c>
      <c r="G597" s="12" t="inlineStr">
        <is>
          <t>2026-05</t>
        </is>
      </c>
      <c r="H597" s="12" t="inlineStr">
        <is>
          <t>Agios, commissions et frais</t>
        </is>
      </c>
      <c r="I597" s="12" t="inlineStr"/>
      <c r="J597" s="12" t="inlineStr">
        <is>
          <t>B26050375</t>
        </is>
      </c>
      <c r="K597" s="12" t="inlineStr">
        <is>
          <t>44557, 62750</t>
        </is>
      </c>
      <c r="L597" s="12" t="inlineStr">
        <is>
          <t>Probable</t>
        </is>
      </c>
    </row>
    <row r="598">
      <c r="A598" s="22" t="inlineStr">
        <is>
          <t>14/05/2026</t>
        </is>
      </c>
      <c r="B598" s="22" t="inlineStr">
        <is>
          <t>00370-019121</t>
        </is>
      </c>
      <c r="C598" s="22" t="inlineStr">
        <is>
          <t>FRAIS CHQ BQE NUM  4288440</t>
        </is>
      </c>
      <c r="D598" s="25" t="n">
        <v>952</v>
      </c>
      <c r="E598" s="25" t="n"/>
      <c r="F598" s="25" t="n">
        <v>-13342740.26</v>
      </c>
      <c r="G598" s="12" t="inlineStr">
        <is>
          <t>2026-05</t>
        </is>
      </c>
      <c r="H598" s="12" t="inlineStr">
        <is>
          <t>Agios, commissions et frais</t>
        </is>
      </c>
      <c r="I598" s="12" t="inlineStr"/>
      <c r="J598" s="12" t="inlineStr">
        <is>
          <t>B26050376</t>
        </is>
      </c>
      <c r="K598" s="12" t="inlineStr">
        <is>
          <t>44557, 62750</t>
        </is>
      </c>
      <c r="L598" s="12" t="inlineStr">
        <is>
          <t>Probable</t>
        </is>
      </c>
    </row>
    <row r="599">
      <c r="A599" s="22" t="inlineStr">
        <is>
          <t>14/05/2026</t>
        </is>
      </c>
      <c r="B599" s="22" t="inlineStr">
        <is>
          <t>00370-019121</t>
        </is>
      </c>
      <c r="C599" s="22" t="inlineStr">
        <is>
          <t>CHQ BANQUE NUM  4288440</t>
        </is>
      </c>
      <c r="D599" s="25" t="n">
        <v>5546364</v>
      </c>
      <c r="E599" s="25" t="n"/>
      <c r="F599" s="25" t="n">
        <v>-18889104.26</v>
      </c>
      <c r="G599" s="12" t="inlineStr">
        <is>
          <t>2026-05</t>
        </is>
      </c>
      <c r="H599" s="12" t="inlineStr">
        <is>
          <t>Chèques de banque (douane / autres)</t>
        </is>
      </c>
      <c r="I599" s="12" t="inlineStr"/>
      <c r="J599" s="12" t="inlineStr">
        <is>
          <t>B26050377</t>
        </is>
      </c>
      <c r="K599" s="12" t="inlineStr">
        <is>
          <t>40100</t>
        </is>
      </c>
      <c r="L599" s="12" t="inlineStr">
        <is>
          <t>Probable</t>
        </is>
      </c>
    </row>
    <row r="600">
      <c r="A600" s="22" t="inlineStr">
        <is>
          <t>17/05/2026</t>
        </is>
      </c>
      <c r="B600" s="22" t="inlineStr">
        <is>
          <t>00370-001163</t>
        </is>
      </c>
      <c r="C600" s="22" t="inlineStr">
        <is>
          <t>COM.VRT EDI BQUE</t>
        </is>
      </c>
      <c r="D600" s="25" t="n">
        <v>35.7</v>
      </c>
      <c r="E600" s="25" t="n"/>
      <c r="F600" s="25" t="n">
        <v>-18889139.96</v>
      </c>
      <c r="G600" s="12" t="inlineStr">
        <is>
          <t>2026-05</t>
        </is>
      </c>
      <c r="H600" s="12" t="inlineStr">
        <is>
          <t>Agios, commissions et frais</t>
        </is>
      </c>
      <c r="I600" s="12" t="inlineStr"/>
      <c r="J600" s="12" t="inlineStr">
        <is>
          <t>B26050378</t>
        </is>
      </c>
      <c r="K600" s="12" t="inlineStr">
        <is>
          <t>44557, 62750</t>
        </is>
      </c>
      <c r="L600" s="12" t="inlineStr">
        <is>
          <t>Probable</t>
        </is>
      </c>
    </row>
    <row r="601">
      <c r="A601" s="22" t="inlineStr">
        <is>
          <t>17/05/2026</t>
        </is>
      </c>
      <c r="B601" s="22" t="inlineStr">
        <is>
          <t>00370-001163</t>
        </is>
      </c>
      <c r="C601" s="22" t="inlineStr">
        <is>
          <t>VRT EDI SIMPLE AUTRE</t>
        </is>
      </c>
      <c r="D601" s="25" t="n">
        <v>100000</v>
      </c>
      <c r="E601" s="25" t="n"/>
      <c r="F601" s="25" t="n">
        <v>-18989139.96</v>
      </c>
      <c r="G601" s="12" t="inlineStr">
        <is>
          <t>2026-05</t>
        </is>
      </c>
      <c r="H601" s="12" t="inlineStr">
        <is>
          <t>Fournisseurs, salaires et divers</t>
        </is>
      </c>
      <c r="I601" s="12" t="inlineStr"/>
      <c r="J601" s="12" t="inlineStr">
        <is>
          <t>B26050379</t>
        </is>
      </c>
      <c r="K601" s="12" t="inlineStr">
        <is>
          <t>27500</t>
        </is>
      </c>
      <c r="L601" s="12" t="inlineStr">
        <is>
          <t>Par analogie</t>
        </is>
      </c>
    </row>
    <row r="602">
      <c r="A602" s="22" t="inlineStr">
        <is>
          <t>17/05/2026</t>
        </is>
      </c>
      <c r="B602" s="22" t="inlineStr">
        <is>
          <t>99000-066657</t>
        </is>
      </c>
      <c r="C602" s="22" t="inlineStr">
        <is>
          <t>SORT CHQ NUM  4215631</t>
        </is>
      </c>
      <c r="D602" s="25" t="n"/>
      <c r="E602" s="25" t="n">
        <v>1730000</v>
      </c>
      <c r="F602" s="25" t="n">
        <v>-17259139.96</v>
      </c>
      <c r="G602" s="12" t="inlineStr">
        <is>
          <t>2026-05</t>
        </is>
      </c>
      <c r="H602" s="12" t="inlineStr">
        <is>
          <t>Encaissements clients</t>
        </is>
      </c>
      <c r="I602" s="12" t="inlineStr"/>
      <c r="J602" s="12" t="inlineStr">
        <is>
          <t>B26050380</t>
        </is>
      </c>
      <c r="K602" s="12" t="inlineStr">
        <is>
          <t>41100</t>
        </is>
      </c>
      <c r="L602" s="12" t="inlineStr">
        <is>
          <t>Probable</t>
        </is>
      </c>
    </row>
    <row r="603">
      <c r="A603" s="22" t="inlineStr">
        <is>
          <t>17/05/2026</t>
        </is>
      </c>
      <c r="B603" s="22" t="inlineStr">
        <is>
          <t>99000-066657</t>
        </is>
      </c>
      <c r="C603" s="22" t="inlineStr">
        <is>
          <t>FRAIS REMISE CHQ N  4215631</t>
        </is>
      </c>
      <c r="D603" s="25" t="n">
        <v>238</v>
      </c>
      <c r="E603" s="25" t="n"/>
      <c r="F603" s="25" t="n">
        <v>-17259377.96</v>
      </c>
      <c r="G603" s="12" t="inlineStr">
        <is>
          <t>2026-05</t>
        </is>
      </c>
      <c r="H603" s="12" t="inlineStr">
        <is>
          <t>Agios, commissions et frais</t>
        </is>
      </c>
      <c r="I603" s="12" t="inlineStr"/>
      <c r="J603" s="12" t="inlineStr">
        <is>
          <t>B26050381</t>
        </is>
      </c>
      <c r="K603" s="12" t="inlineStr">
        <is>
          <t>44557, 62750</t>
        </is>
      </c>
      <c r="L603" s="12" t="inlineStr">
        <is>
          <t>Probable</t>
        </is>
      </c>
    </row>
    <row r="604">
      <c r="A604" s="22" t="inlineStr">
        <is>
          <t>18/05/2026</t>
        </is>
      </c>
      <c r="B604" s="22" t="inlineStr">
        <is>
          <t>00370-086346</t>
        </is>
      </c>
      <c r="C604" s="22" t="inlineStr">
        <is>
          <t>VRT. RECU POIDS LOURDS SERVICE</t>
        </is>
      </c>
      <c r="D604" s="25" t="n"/>
      <c r="E604" s="25" t="n">
        <v>947240</v>
      </c>
      <c r="F604" s="25" t="n">
        <v>-16312137.96</v>
      </c>
      <c r="G604" s="12" t="inlineStr">
        <is>
          <t>2026-05</t>
        </is>
      </c>
      <c r="H604" s="12" t="inlineStr">
        <is>
          <t>Encaissements clients</t>
        </is>
      </c>
      <c r="I604" s="12" t="inlineStr"/>
      <c r="J604" s="12" t="inlineStr">
        <is>
          <t>B26050382</t>
        </is>
      </c>
      <c r="K604" s="12" t="inlineStr">
        <is>
          <t>41100</t>
        </is>
      </c>
      <c r="L604" s="12" t="inlineStr">
        <is>
          <t>Probable</t>
        </is>
      </c>
    </row>
    <row r="605">
      <c r="A605" s="22" t="inlineStr">
        <is>
          <t>18/05/2026</t>
        </is>
      </c>
      <c r="B605" s="22" t="inlineStr">
        <is>
          <t>00370-121225</t>
        </is>
      </c>
      <c r="C605" s="22" t="inlineStr">
        <is>
          <t>PAIEMENT CHQ NUM  2125744</t>
        </is>
      </c>
      <c r="D605" s="25" t="n">
        <v>41855.09</v>
      </c>
      <c r="E605" s="25" t="n"/>
      <c r="F605" s="25" t="n">
        <v>-16353993.05</v>
      </c>
      <c r="G605" s="12" t="inlineStr">
        <is>
          <t>2026-05</t>
        </is>
      </c>
      <c r="H605" s="12" t="inlineStr">
        <is>
          <t>Fournisseurs, salaires et divers</t>
        </is>
      </c>
      <c r="I605" s="12" t="inlineStr"/>
      <c r="J605" s="12" t="inlineStr">
        <is>
          <t>B26050383</t>
        </is>
      </c>
      <c r="K605" s="12" t="inlineStr">
        <is>
          <t>47000</t>
        </is>
      </c>
      <c r="L605" s="12" t="inlineStr">
        <is>
          <t>À identifier</t>
        </is>
      </c>
    </row>
    <row r="606">
      <c r="A606" s="22" t="inlineStr">
        <is>
          <t>19/05/2026</t>
        </is>
      </c>
      <c r="B606" s="22" t="inlineStr">
        <is>
          <t>00370-001165</t>
        </is>
      </c>
      <c r="C606" s="22" t="inlineStr">
        <is>
          <t>COM.VRT EDI BQUE</t>
        </is>
      </c>
      <c r="D606" s="25" t="n">
        <v>35.7</v>
      </c>
      <c r="E606" s="25" t="n"/>
      <c r="F606" s="25" t="n">
        <v>-16354028.75</v>
      </c>
      <c r="G606" s="12" t="inlineStr">
        <is>
          <t>2026-05</t>
        </is>
      </c>
      <c r="H606" s="12" t="inlineStr">
        <is>
          <t>Agios, commissions et frais</t>
        </is>
      </c>
      <c r="I606" s="12" t="inlineStr"/>
      <c r="J606" s="12" t="inlineStr">
        <is>
          <t>B26050384</t>
        </is>
      </c>
      <c r="K606" s="12" t="inlineStr">
        <is>
          <t>44557, 62750</t>
        </is>
      </c>
      <c r="L606" s="12" t="inlineStr">
        <is>
          <t>Probable</t>
        </is>
      </c>
    </row>
    <row r="607">
      <c r="A607" s="22" t="inlineStr">
        <is>
          <t>19/05/2026</t>
        </is>
      </c>
      <c r="B607" s="22" t="inlineStr">
        <is>
          <t>00370-001165</t>
        </is>
      </c>
      <c r="C607" s="22" t="inlineStr">
        <is>
          <t>VRT EDI SIMPLE AUTRE</t>
        </is>
      </c>
      <c r="D607" s="25" t="n">
        <v>650000</v>
      </c>
      <c r="E607" s="25" t="n"/>
      <c r="F607" s="25" t="n">
        <v>-17004028.75</v>
      </c>
      <c r="G607" s="12" t="inlineStr">
        <is>
          <t>2026-05</t>
        </is>
      </c>
      <c r="H607" s="12" t="inlineStr">
        <is>
          <t>Fournisseurs, salaires et divers</t>
        </is>
      </c>
      <c r="I607" s="12" t="inlineStr"/>
      <c r="J607" s="12" t="inlineStr">
        <is>
          <t>B26050385</t>
        </is>
      </c>
      <c r="K607" s="12" t="inlineStr">
        <is>
          <t>45500</t>
        </is>
      </c>
      <c r="L607" s="12" t="inlineStr">
        <is>
          <t>Par analogie</t>
        </is>
      </c>
    </row>
    <row r="608">
      <c r="A608" s="22" t="inlineStr">
        <is>
          <t>19/05/2026</t>
        </is>
      </c>
      <c r="B608" s="22" t="inlineStr">
        <is>
          <t>99000-066676</t>
        </is>
      </c>
      <c r="C608" s="22" t="inlineStr">
        <is>
          <t>SORT CHQ NUM  2827190</t>
        </is>
      </c>
      <c r="D608" s="25" t="n"/>
      <c r="E608" s="25" t="n">
        <v>450200</v>
      </c>
      <c r="F608" s="25" t="n">
        <v>-16553828.75</v>
      </c>
      <c r="G608" s="12" t="inlineStr">
        <is>
          <t>2026-05</t>
        </is>
      </c>
      <c r="H608" s="12" t="inlineStr">
        <is>
          <t>Encaissements clients</t>
        </is>
      </c>
      <c r="I608" s="12" t="inlineStr"/>
      <c r="J608" s="12" t="inlineStr">
        <is>
          <t>B26050386</t>
        </is>
      </c>
      <c r="K608" s="12" t="inlineStr">
        <is>
          <t>47000</t>
        </is>
      </c>
      <c r="L608" s="12" t="inlineStr">
        <is>
          <t>À identifier</t>
        </is>
      </c>
    </row>
    <row r="609">
      <c r="A609" s="22" t="inlineStr">
        <is>
          <t>19/05/2026</t>
        </is>
      </c>
      <c r="B609" s="22" t="inlineStr">
        <is>
          <t>99000-066676</t>
        </is>
      </c>
      <c r="C609" s="22" t="inlineStr">
        <is>
          <t>FRAIS REMISE CHQ N  2827190</t>
        </is>
      </c>
      <c r="D609" s="25" t="n">
        <v>238</v>
      </c>
      <c r="E609" s="25" t="n"/>
      <c r="F609" s="25" t="n">
        <v>-16554066.75</v>
      </c>
      <c r="G609" s="12" t="inlineStr">
        <is>
          <t>2026-05</t>
        </is>
      </c>
      <c r="H609" s="12" t="inlineStr">
        <is>
          <t>Agios, commissions et frais</t>
        </is>
      </c>
      <c r="I609" s="12" t="inlineStr"/>
      <c r="J609" s="12" t="inlineStr">
        <is>
          <t>B26050387</t>
        </is>
      </c>
      <c r="K609" s="12" t="inlineStr">
        <is>
          <t>44557, 62750</t>
        </is>
      </c>
      <c r="L609" s="12" t="inlineStr">
        <is>
          <t>Probable</t>
        </is>
      </c>
    </row>
    <row r="610">
      <c r="A610" s="22" t="inlineStr">
        <is>
          <t>20/05/2026</t>
        </is>
      </c>
      <c r="B610" s="22" t="inlineStr">
        <is>
          <t>00370-000716</t>
        </is>
      </c>
      <c r="C610" s="22" t="inlineStr">
        <is>
          <t>COM.VRT EDI CAISSE</t>
        </is>
      </c>
      <c r="D610" s="25" t="n">
        <v>11.9</v>
      </c>
      <c r="E610" s="25" t="n"/>
      <c r="F610" s="25" t="n">
        <v>-16554078.65</v>
      </c>
      <c r="G610" s="12" t="inlineStr">
        <is>
          <t>2026-05</t>
        </is>
      </c>
      <c r="H610" s="12" t="inlineStr">
        <is>
          <t>Agios, commissions et frais</t>
        </is>
      </c>
      <c r="I610" s="12" t="inlineStr"/>
      <c r="J610" s="12" t="inlineStr">
        <is>
          <t>B26050388</t>
        </is>
      </c>
      <c r="K610" s="12" t="inlineStr">
        <is>
          <t>44557, 62750</t>
        </is>
      </c>
      <c r="L610" s="12" t="inlineStr">
        <is>
          <t>Probable</t>
        </is>
      </c>
    </row>
    <row r="611">
      <c r="A611" s="22" t="inlineStr">
        <is>
          <t>20/05/2026</t>
        </is>
      </c>
      <c r="B611" s="22" t="inlineStr">
        <is>
          <t>00370-000716</t>
        </is>
      </c>
      <c r="C611" s="22" t="inlineStr">
        <is>
          <t>VRT EDI SIMPLE NOS C</t>
        </is>
      </c>
      <c r="D611" s="25" t="n">
        <v>250000</v>
      </c>
      <c r="E611" s="25" t="n"/>
      <c r="F611" s="25" t="n">
        <v>-16804078.65</v>
      </c>
      <c r="G611" s="12" t="inlineStr">
        <is>
          <t>2026-05</t>
        </is>
      </c>
      <c r="H611" s="12" t="inlineStr">
        <is>
          <t>Fournisseurs, salaires et divers</t>
        </is>
      </c>
      <c r="I611" s="12" t="inlineStr"/>
      <c r="J611" s="12" t="inlineStr">
        <is>
          <t>B26050389</t>
        </is>
      </c>
      <c r="K611" s="12" t="inlineStr">
        <is>
          <t>58100</t>
        </is>
      </c>
      <c r="L611" s="12" t="inlineStr">
        <is>
          <t>Par analogie</t>
        </is>
      </c>
    </row>
    <row r="612">
      <c r="A612" s="22" t="inlineStr">
        <is>
          <t>20/05/2026</t>
        </is>
      </c>
      <c r="B612" s="22" t="inlineStr">
        <is>
          <t>00370-001167</t>
        </is>
      </c>
      <c r="C612" s="22" t="inlineStr">
        <is>
          <t>COM.VRT EDI BQUE</t>
        </is>
      </c>
      <c r="D612" s="25" t="n">
        <v>35.7</v>
      </c>
      <c r="E612" s="25" t="n"/>
      <c r="F612" s="25" t="n">
        <v>-16804114.35</v>
      </c>
      <c r="G612" s="12" t="inlineStr">
        <is>
          <t>2026-05</t>
        </is>
      </c>
      <c r="H612" s="12" t="inlineStr">
        <is>
          <t>Agios, commissions et frais</t>
        </is>
      </c>
      <c r="I612" s="12" t="inlineStr"/>
      <c r="J612" s="12" t="inlineStr">
        <is>
          <t>B26050390</t>
        </is>
      </c>
      <c r="K612" s="12" t="inlineStr">
        <is>
          <t>44557, 62750</t>
        </is>
      </c>
      <c r="L612" s="12" t="inlineStr">
        <is>
          <t>Probable</t>
        </is>
      </c>
    </row>
    <row r="613">
      <c r="A613" s="22" t="inlineStr">
        <is>
          <t>20/05/2026</t>
        </is>
      </c>
      <c r="B613" s="22" t="inlineStr">
        <is>
          <t>00370-001167</t>
        </is>
      </c>
      <c r="C613" s="22" t="inlineStr">
        <is>
          <t>VRT EDI SIMPLE AUTRE</t>
        </is>
      </c>
      <c r="D613" s="25" t="n">
        <v>45000.87</v>
      </c>
      <c r="E613" s="25" t="n"/>
      <c r="F613" s="25" t="n">
        <v>-16849115.22</v>
      </c>
      <c r="G613" s="12" t="inlineStr">
        <is>
          <t>2026-05</t>
        </is>
      </c>
      <c r="H613" s="12" t="inlineStr">
        <is>
          <t>Fournisseurs, salaires et divers</t>
        </is>
      </c>
      <c r="I613" s="12" t="inlineStr"/>
      <c r="J613" s="12" t="inlineStr">
        <is>
          <t>B26050391</t>
        </is>
      </c>
      <c r="K613" s="12" t="inlineStr">
        <is>
          <t>47000</t>
        </is>
      </c>
      <c r="L613" s="12" t="inlineStr">
        <is>
          <t>À identifier</t>
        </is>
      </c>
    </row>
    <row r="614">
      <c r="A614" s="22" t="inlineStr">
        <is>
          <t>20/05/2026</t>
        </is>
      </c>
      <c r="B614" s="22" t="inlineStr">
        <is>
          <t>00370-001168</t>
        </is>
      </c>
      <c r="C614" s="22" t="inlineStr">
        <is>
          <t>COM.VRT EDI BQUE</t>
        </is>
      </c>
      <c r="D614" s="25" t="n">
        <v>35.7</v>
      </c>
      <c r="E614" s="25" t="n"/>
      <c r="F614" s="25" t="n">
        <v>-16849150.92</v>
      </c>
      <c r="G614" s="12" t="inlineStr">
        <is>
          <t>2026-05</t>
        </is>
      </c>
      <c r="H614" s="12" t="inlineStr">
        <is>
          <t>Agios, commissions et frais</t>
        </is>
      </c>
      <c r="I614" s="12" t="inlineStr"/>
      <c r="J614" s="12" t="inlineStr">
        <is>
          <t>B26050392</t>
        </is>
      </c>
      <c r="K614" s="12" t="inlineStr">
        <is>
          <t>44557, 62750</t>
        </is>
      </c>
      <c r="L614" s="12" t="inlineStr">
        <is>
          <t>Probable</t>
        </is>
      </c>
    </row>
    <row r="615">
      <c r="A615" s="22" t="inlineStr">
        <is>
          <t>20/05/2026</t>
        </is>
      </c>
      <c r="B615" s="22" t="inlineStr">
        <is>
          <t>00370-001168</t>
        </is>
      </c>
      <c r="C615" s="22" t="inlineStr">
        <is>
          <t>VRT EDI SIMPLE AUTRE</t>
        </is>
      </c>
      <c r="D615" s="25" t="n">
        <v>80002.03999999999</v>
      </c>
      <c r="E615" s="25" t="n"/>
      <c r="F615" s="25" t="n">
        <v>-16929152.96</v>
      </c>
      <c r="G615" s="12" t="inlineStr">
        <is>
          <t>2026-05</t>
        </is>
      </c>
      <c r="H615" s="12" t="inlineStr">
        <is>
          <t>Fournisseurs, salaires et divers</t>
        </is>
      </c>
      <c r="I615" s="12" t="inlineStr"/>
      <c r="J615" s="12" t="inlineStr">
        <is>
          <t>B26050393</t>
        </is>
      </c>
      <c r="K615" s="12" t="inlineStr">
        <is>
          <t>47000</t>
        </is>
      </c>
      <c r="L615" s="12" t="inlineStr">
        <is>
          <t>À identifier</t>
        </is>
      </c>
    </row>
    <row r="616">
      <c r="A616" s="22" t="inlineStr">
        <is>
          <t>20/05/2026</t>
        </is>
      </c>
      <c r="B616" s="22" t="inlineStr">
        <is>
          <t>99000-066700</t>
        </is>
      </c>
      <c r="C616" s="22" t="inlineStr">
        <is>
          <t>SORT CHQ NUM  3785236</t>
        </is>
      </c>
      <c r="D616" s="25" t="n"/>
      <c r="E616" s="25" t="n">
        <v>580000</v>
      </c>
      <c r="F616" s="25" t="n">
        <v>-16349152.96</v>
      </c>
      <c r="G616" s="12" t="inlineStr">
        <is>
          <t>2026-05</t>
        </is>
      </c>
      <c r="H616" s="12" t="inlineStr">
        <is>
          <t>Encaissements clients</t>
        </is>
      </c>
      <c r="I616" s="12" t="inlineStr"/>
      <c r="J616" s="12" t="inlineStr">
        <is>
          <t>B26050394</t>
        </is>
      </c>
      <c r="K616" s="12" t="inlineStr">
        <is>
          <t>47000</t>
        </is>
      </c>
      <c r="L616" s="12" t="inlineStr">
        <is>
          <t>À identifier</t>
        </is>
      </c>
    </row>
    <row r="617">
      <c r="A617" s="22" t="inlineStr">
        <is>
          <t>20/05/2026</t>
        </is>
      </c>
      <c r="B617" s="22" t="inlineStr">
        <is>
          <t>99000-066692</t>
        </is>
      </c>
      <c r="C617" s="22" t="inlineStr">
        <is>
          <t>SORT CHQ NUM  6389843</t>
        </is>
      </c>
      <c r="D617" s="25" t="n"/>
      <c r="E617" s="25" t="n">
        <v>200000</v>
      </c>
      <c r="F617" s="25" t="n">
        <v>-16149152.96</v>
      </c>
      <c r="G617" s="12" t="inlineStr">
        <is>
          <t>2026-05</t>
        </is>
      </c>
      <c r="H617" s="12" t="inlineStr">
        <is>
          <t>Encaissements clients</t>
        </is>
      </c>
      <c r="I617" s="12" t="inlineStr"/>
      <c r="J617" s="12" t="inlineStr">
        <is>
          <t>B26050395</t>
        </is>
      </c>
      <c r="K617" s="12" t="inlineStr">
        <is>
          <t>41100</t>
        </is>
      </c>
      <c r="L617" s="12" t="inlineStr">
        <is>
          <t>Probable</t>
        </is>
      </c>
    </row>
    <row r="618">
      <c r="A618" s="22" t="inlineStr">
        <is>
          <t>20/05/2026</t>
        </is>
      </c>
      <c r="B618" s="22" t="inlineStr">
        <is>
          <t>99000-066700</t>
        </is>
      </c>
      <c r="C618" s="22" t="inlineStr">
        <is>
          <t>FRAIS REMISE CHQ N  3785236</t>
        </is>
      </c>
      <c r="D618" s="25" t="n">
        <v>238</v>
      </c>
      <c r="E618" s="25" t="n"/>
      <c r="F618" s="25" t="n">
        <v>-16149390.96</v>
      </c>
      <c r="G618" s="12" t="inlineStr">
        <is>
          <t>2026-05</t>
        </is>
      </c>
      <c r="H618" s="12" t="inlineStr">
        <is>
          <t>Agios, commissions et frais</t>
        </is>
      </c>
      <c r="I618" s="12" t="inlineStr"/>
      <c r="J618" s="12" t="inlineStr">
        <is>
          <t>B26050396</t>
        </is>
      </c>
      <c r="K618" s="12" t="inlineStr">
        <is>
          <t>44557, 62750</t>
        </is>
      </c>
      <c r="L618" s="12" t="inlineStr">
        <is>
          <t>Probable</t>
        </is>
      </c>
    </row>
    <row r="619">
      <c r="A619" s="22" t="inlineStr">
        <is>
          <t>20/05/2026</t>
        </is>
      </c>
      <c r="B619" s="22" t="inlineStr">
        <is>
          <t>99000-066692</t>
        </is>
      </c>
      <c r="C619" s="22" t="inlineStr">
        <is>
          <t>FRAIS REMISE CHQ N  6389843</t>
        </is>
      </c>
      <c r="D619" s="25" t="n">
        <v>238</v>
      </c>
      <c r="E619" s="25" t="n"/>
      <c r="F619" s="25" t="n">
        <v>-16149628.96</v>
      </c>
      <c r="G619" s="12" t="inlineStr">
        <is>
          <t>2026-05</t>
        </is>
      </c>
      <c r="H619" s="12" t="inlineStr">
        <is>
          <t>Agios, commissions et frais</t>
        </is>
      </c>
      <c r="I619" s="12" t="inlineStr"/>
      <c r="J619" s="12" t="inlineStr">
        <is>
          <t>B26050397</t>
        </is>
      </c>
      <c r="K619" s="12" t="inlineStr">
        <is>
          <t>44557, 62750</t>
        </is>
      </c>
      <c r="L619" s="12" t="inlineStr">
        <is>
          <t>Probable</t>
        </is>
      </c>
    </row>
    <row r="620">
      <c r="A620" s="22" t="inlineStr">
        <is>
          <t>20/05/2026</t>
        </is>
      </c>
      <c r="B620" s="22" t="inlineStr">
        <is>
          <t>-121661</t>
        </is>
      </c>
      <c r="C620" s="22" t="inlineStr">
        <is>
          <t>DEBLOCAGE A LA DEMAN     4127</t>
        </is>
      </c>
      <c r="D620" s="25" t="n"/>
      <c r="E620" s="25" t="n">
        <v>15558175.01</v>
      </c>
      <c r="F620" s="25" t="n">
        <v>-591453.95</v>
      </c>
      <c r="G620" s="12" t="inlineStr">
        <is>
          <t>2026-05</t>
        </is>
      </c>
      <c r="H620" s="12" t="inlineStr">
        <is>
          <t>Crédit bancaire débloqué</t>
        </is>
      </c>
      <c r="I620" s="12" t="inlineStr"/>
      <c r="J620" s="12" t="inlineStr">
        <is>
          <t>B26050398</t>
        </is>
      </c>
      <c r="K620" s="12" t="inlineStr">
        <is>
          <t>51900</t>
        </is>
      </c>
      <c r="L620" s="12" t="inlineStr">
        <is>
          <t>Certaine</t>
        </is>
      </c>
    </row>
    <row r="621">
      <c r="A621" s="22" t="inlineStr">
        <is>
          <t>20/05/2026</t>
        </is>
      </c>
      <c r="B621" s="22" t="inlineStr">
        <is>
          <t>99000-000539</t>
        </is>
      </c>
      <c r="C621" s="22" t="inlineStr">
        <is>
          <t>REG A US R00370 PTI00067673</t>
        </is>
      </c>
      <c r="D621" s="25" t="n">
        <v>3000</v>
      </c>
      <c r="E621" s="25" t="n"/>
      <c r="F621" s="25" t="n">
        <v>-594453.95</v>
      </c>
      <c r="G621" s="12" t="inlineStr">
        <is>
          <t>2026-05</t>
        </is>
      </c>
      <c r="H621" s="12" t="inlineStr">
        <is>
          <t>Importations (règlements, provisions, crédoc)</t>
        </is>
      </c>
      <c r="I621" s="12" t="inlineStr"/>
      <c r="J621" s="12" t="inlineStr">
        <is>
          <t>B26050399</t>
        </is>
      </c>
      <c r="K621" s="12" t="inlineStr">
        <is>
          <t>44557, 62750</t>
        </is>
      </c>
      <c r="L621" s="12" t="inlineStr">
        <is>
          <t>Probable</t>
        </is>
      </c>
    </row>
    <row r="622">
      <c r="A622" s="22" t="inlineStr">
        <is>
          <t>20/05/2026</t>
        </is>
      </c>
      <c r="B622" s="22" t="inlineStr">
        <is>
          <t>00370-000371</t>
        </is>
      </c>
      <c r="C622" s="22" t="inlineStr">
        <is>
          <t>OPERATION REST GAIN DE CHANGE</t>
        </is>
      </c>
      <c r="D622" s="25" t="n"/>
      <c r="E622" s="25" t="n">
        <v>110456.24</v>
      </c>
      <c r="F622" s="25" t="n">
        <v>-483997.71</v>
      </c>
      <c r="G622" s="12" t="inlineStr">
        <is>
          <t>2026-05</t>
        </is>
      </c>
      <c r="H622" s="12" t="inlineStr">
        <is>
          <t>Importations (règlements, provisions, crédoc)</t>
        </is>
      </c>
      <c r="I622" s="12" t="inlineStr"/>
      <c r="J622" s="12" t="inlineStr">
        <is>
          <t>B26050400</t>
        </is>
      </c>
      <c r="K622" s="12" t="inlineStr">
        <is>
          <t>76600</t>
        </is>
      </c>
      <c r="L622" s="12" t="inlineStr">
        <is>
          <t>Certaine</t>
        </is>
      </c>
    </row>
    <row r="623">
      <c r="A623" s="22" t="inlineStr">
        <is>
          <t>20/05/2026</t>
        </is>
      </c>
      <c r="B623" s="22" t="inlineStr">
        <is>
          <t>00370-000370</t>
        </is>
      </c>
      <c r="C623" s="22" t="inlineStr">
        <is>
          <t>OPERATION REGLT 80% PTI67673 E</t>
        </is>
      </c>
      <c r="D623" s="25" t="n">
        <v>15558175.01</v>
      </c>
      <c r="E623" s="25" t="n"/>
      <c r="F623" s="25" t="n">
        <v>-16042172.72</v>
      </c>
      <c r="G623" s="12" t="inlineStr">
        <is>
          <t>2026-05</t>
        </is>
      </c>
      <c r="H623" s="12" t="inlineStr">
        <is>
          <t>Importations (règlements, provisions, crédoc)</t>
        </is>
      </c>
      <c r="I623" s="12" t="inlineStr"/>
      <c r="J623" s="12" t="inlineStr">
        <is>
          <t>B26050401</t>
        </is>
      </c>
      <c r="K623" s="12" t="inlineStr">
        <is>
          <t>40102</t>
        </is>
      </c>
      <c r="L623" s="12" t="inlineStr">
        <is>
          <t>Probable</t>
        </is>
      </c>
    </row>
    <row r="624">
      <c r="A624" s="22" t="inlineStr">
        <is>
          <t>21/05/2026</t>
        </is>
      </c>
      <c r="B624" s="22" t="inlineStr">
        <is>
          <t>00370-086608</t>
        </is>
      </c>
      <c r="C624" s="22" t="inlineStr">
        <is>
          <t>VRT. RECU NUMILOG SPA</t>
        </is>
      </c>
      <c r="D624" s="25" t="n"/>
      <c r="E624" s="25" t="n">
        <v>172550</v>
      </c>
      <c r="F624" s="25" t="n">
        <v>-15869622.72</v>
      </c>
      <c r="G624" s="12" t="inlineStr">
        <is>
          <t>2026-05</t>
        </is>
      </c>
      <c r="H624" s="12" t="inlineStr">
        <is>
          <t>Encaissements clients</t>
        </is>
      </c>
      <c r="I624" s="12" t="inlineStr"/>
      <c r="J624" s="12" t="inlineStr">
        <is>
          <t>B26050402</t>
        </is>
      </c>
      <c r="K624" s="12" t="inlineStr">
        <is>
          <t>41100</t>
        </is>
      </c>
      <c r="L624" s="12" t="inlineStr">
        <is>
          <t>Probable</t>
        </is>
      </c>
    </row>
    <row r="625">
      <c r="A625" s="22" t="inlineStr">
        <is>
          <t>21/05/2026</t>
        </is>
      </c>
      <c r="B625" s="22" t="inlineStr">
        <is>
          <t>99000-066707</t>
        </is>
      </c>
      <c r="C625" s="22" t="inlineStr">
        <is>
          <t>SORT CHQ NUM  1751268</t>
        </is>
      </c>
      <c r="D625" s="25" t="n"/>
      <c r="E625" s="25" t="n">
        <v>678300</v>
      </c>
      <c r="F625" s="25" t="n">
        <v>-15191322.72</v>
      </c>
      <c r="G625" s="12" t="inlineStr">
        <is>
          <t>2026-05</t>
        </is>
      </c>
      <c r="H625" s="12" t="inlineStr">
        <is>
          <t>Encaissements clients</t>
        </is>
      </c>
      <c r="I625" s="12" t="inlineStr"/>
      <c r="J625" s="12" t="inlineStr">
        <is>
          <t>B26050403</t>
        </is>
      </c>
      <c r="K625" s="12" t="inlineStr">
        <is>
          <t>47000</t>
        </is>
      </c>
      <c r="L625" s="12" t="inlineStr">
        <is>
          <t>À identifier</t>
        </is>
      </c>
    </row>
    <row r="626">
      <c r="A626" s="22" t="inlineStr">
        <is>
          <t>21/05/2026</t>
        </is>
      </c>
      <c r="B626" s="22" t="inlineStr">
        <is>
          <t>99000-066707</t>
        </is>
      </c>
      <c r="C626" s="22" t="inlineStr">
        <is>
          <t>FRAIS REMISE CHQ N  1751268</t>
        </is>
      </c>
      <c r="D626" s="25" t="n">
        <v>119</v>
      </c>
      <c r="E626" s="25" t="n"/>
      <c r="F626" s="25" t="n">
        <v>-15191441.72</v>
      </c>
      <c r="G626" s="12" t="inlineStr">
        <is>
          <t>2026-05</t>
        </is>
      </c>
      <c r="H626" s="12" t="inlineStr">
        <is>
          <t>Agios, commissions et frais</t>
        </is>
      </c>
      <c r="I626" s="12" t="inlineStr"/>
      <c r="J626" s="12" t="inlineStr">
        <is>
          <t>B26050404</t>
        </is>
      </c>
      <c r="K626" s="12" t="inlineStr">
        <is>
          <t>44557, 62750</t>
        </is>
      </c>
      <c r="L626" s="12" t="inlineStr">
        <is>
          <t>Probable</t>
        </is>
      </c>
    </row>
    <row r="627">
      <c r="A627" s="22" t="inlineStr">
        <is>
          <t>21/05/2026</t>
        </is>
      </c>
      <c r="B627" s="22" t="inlineStr">
        <is>
          <t>-30178</t>
        </is>
      </c>
      <c r="C627" s="22" t="inlineStr">
        <is>
          <t>APPEL ECHEANCE     4127</t>
        </is>
      </c>
      <c r="D627" s="25" t="n">
        <v>354856.04</v>
      </c>
      <c r="E627" s="25" t="n"/>
      <c r="F627" s="25" t="n">
        <v>-15546297.76</v>
      </c>
      <c r="G627" s="12" t="inlineStr">
        <is>
          <t>2026-05</t>
        </is>
      </c>
      <c r="H627" s="12" t="inlineStr">
        <is>
          <t>Remboursement crédit / échéances</t>
        </is>
      </c>
      <c r="I627" s="12" t="inlineStr"/>
      <c r="J627" s="12" t="inlineStr">
        <is>
          <t>B26050405</t>
        </is>
      </c>
      <c r="K627" s="12" t="inlineStr">
        <is>
          <t>51900</t>
        </is>
      </c>
      <c r="L627" s="12" t="inlineStr">
        <is>
          <t>Probable</t>
        </is>
      </c>
    </row>
    <row r="628">
      <c r="A628" s="22" t="inlineStr">
        <is>
          <t>24/05/2026</t>
        </is>
      </c>
      <c r="B628" s="22" t="inlineStr">
        <is>
          <t>00370-058985</t>
        </is>
      </c>
      <c r="C628" s="22" t="inlineStr">
        <is>
          <t>REMISE CHQ NUM    58985</t>
        </is>
      </c>
      <c r="D628" s="25" t="n"/>
      <c r="E628" s="25" t="n">
        <v>389725</v>
      </c>
      <c r="F628" s="25" t="n">
        <v>-15156572.76</v>
      </c>
      <c r="G628" s="12" t="inlineStr">
        <is>
          <t>2026-05</t>
        </is>
      </c>
      <c r="H628" s="12" t="inlineStr">
        <is>
          <t>Encaissements clients</t>
        </is>
      </c>
      <c r="I628" s="12" t="inlineStr"/>
      <c r="J628" s="12" t="inlineStr">
        <is>
          <t>B26050406</t>
        </is>
      </c>
      <c r="K628" s="12" t="inlineStr">
        <is>
          <t>47000</t>
        </is>
      </c>
      <c r="L628" s="12" t="inlineStr">
        <is>
          <t>À identifier</t>
        </is>
      </c>
    </row>
    <row r="629">
      <c r="A629" s="22" t="inlineStr">
        <is>
          <t>24/05/2026</t>
        </is>
      </c>
      <c r="B629" s="22" t="inlineStr">
        <is>
          <t>00370-121336</t>
        </is>
      </c>
      <c r="C629" s="22" t="inlineStr">
        <is>
          <t>PAIEMENT CHQ NUM  2125756</t>
        </is>
      </c>
      <c r="D629" s="25" t="n">
        <v>6874.85</v>
      </c>
      <c r="E629" s="25" t="n"/>
      <c r="F629" s="25" t="n">
        <v>-15163447.61</v>
      </c>
      <c r="G629" s="12" t="inlineStr">
        <is>
          <t>2026-05</t>
        </is>
      </c>
      <c r="H629" s="12" t="inlineStr">
        <is>
          <t>Fournisseurs, salaires et divers</t>
        </is>
      </c>
      <c r="I629" s="12" t="inlineStr"/>
      <c r="J629" s="12" t="inlineStr">
        <is>
          <t>B26050407</t>
        </is>
      </c>
      <c r="K629" s="12" t="inlineStr">
        <is>
          <t>47000</t>
        </is>
      </c>
      <c r="L629" s="12" t="inlineStr">
        <is>
          <t>À identifier</t>
        </is>
      </c>
    </row>
    <row r="630">
      <c r="A630" s="22" t="inlineStr">
        <is>
          <t>25/05/2026</t>
        </is>
      </c>
      <c r="B630" s="22" t="inlineStr">
        <is>
          <t>00370-006321</t>
        </is>
      </c>
      <c r="C630" s="22" t="inlineStr">
        <is>
          <t>FRAIS VRT.</t>
        </is>
      </c>
      <c r="D630" s="25" t="n">
        <v>119</v>
      </c>
      <c r="E630" s="25" t="n"/>
      <c r="F630" s="25" t="n">
        <v>-15163566.61</v>
      </c>
      <c r="G630" s="12" t="inlineStr">
        <is>
          <t>2026-05</t>
        </is>
      </c>
      <c r="H630" s="12" t="inlineStr">
        <is>
          <t>Agios, commissions et frais</t>
        </is>
      </c>
      <c r="I630" s="12" t="inlineStr"/>
      <c r="J630" s="12" t="inlineStr">
        <is>
          <t>B26050408</t>
        </is>
      </c>
      <c r="K630" s="12" t="inlineStr">
        <is>
          <t>44557, 62750</t>
        </is>
      </c>
      <c r="L630" s="12" t="inlineStr">
        <is>
          <t>Probable</t>
        </is>
      </c>
    </row>
    <row r="631">
      <c r="A631" s="22" t="inlineStr">
        <is>
          <t>25/05/2026</t>
        </is>
      </c>
      <c r="B631" s="22" t="inlineStr">
        <is>
          <t>00370-006321</t>
        </is>
      </c>
      <c r="C631" s="22" t="inlineStr">
        <is>
          <t>VRT. ORD. SARL MSCA</t>
        </is>
      </c>
      <c r="D631" s="25" t="n">
        <v>41394.76</v>
      </c>
      <c r="E631" s="25" t="n"/>
      <c r="F631" s="25" t="n">
        <v>-15204961.37</v>
      </c>
      <c r="G631" s="12" t="inlineStr">
        <is>
          <t>2026-05</t>
        </is>
      </c>
      <c r="H631" s="12" t="inlineStr">
        <is>
          <t>Fournisseurs, salaires et divers</t>
        </is>
      </c>
      <c r="I631" s="12" t="inlineStr"/>
      <c r="J631" s="12" t="inlineStr">
        <is>
          <t>B26050409</t>
        </is>
      </c>
      <c r="K631" s="12" t="inlineStr">
        <is>
          <t>40100</t>
        </is>
      </c>
      <c r="L631" s="12" t="inlineStr">
        <is>
          <t>Probable</t>
        </is>
      </c>
    </row>
    <row r="632">
      <c r="A632" s="22" t="inlineStr">
        <is>
          <t>26/05/2026</t>
        </is>
      </c>
      <c r="B632" s="22" t="inlineStr">
        <is>
          <t>99000-066755</t>
        </is>
      </c>
      <c r="C632" s="22" t="inlineStr">
        <is>
          <t>SORT CHQ NUM   878494</t>
        </is>
      </c>
      <c r="D632" s="25" t="n"/>
      <c r="E632" s="25" t="n">
        <v>2283800</v>
      </c>
      <c r="F632" s="25" t="n">
        <v>-12921161.37</v>
      </c>
      <c r="G632" s="12" t="inlineStr">
        <is>
          <t>2026-05</t>
        </is>
      </c>
      <c r="H632" s="12" t="inlineStr">
        <is>
          <t>Encaissements clients</t>
        </is>
      </c>
      <c r="I632" s="12" t="inlineStr"/>
      <c r="J632" s="12" t="inlineStr">
        <is>
          <t>B26050410</t>
        </is>
      </c>
      <c r="K632" s="12" t="inlineStr">
        <is>
          <t>47000</t>
        </is>
      </c>
      <c r="L632" s="12" t="inlineStr">
        <is>
          <t>À identifier</t>
        </is>
      </c>
    </row>
    <row r="633">
      <c r="A633" s="22" t="inlineStr">
        <is>
          <t>26/05/2026</t>
        </is>
      </c>
      <c r="B633" s="22" t="inlineStr">
        <is>
          <t>99000-066761</t>
        </is>
      </c>
      <c r="C633" s="22" t="inlineStr">
        <is>
          <t>SORT CHQ NUM  1294580</t>
        </is>
      </c>
      <c r="D633" s="25" t="n"/>
      <c r="E633" s="25" t="n">
        <v>4242588</v>
      </c>
      <c r="F633" s="25" t="n">
        <v>-8678573.369999999</v>
      </c>
      <c r="G633" s="12" t="inlineStr">
        <is>
          <t>2026-05</t>
        </is>
      </c>
      <c r="H633" s="12" t="inlineStr">
        <is>
          <t>Encaissements clients</t>
        </is>
      </c>
      <c r="I633" s="12" t="inlineStr"/>
      <c r="J633" s="12" t="inlineStr">
        <is>
          <t>B26050411</t>
        </is>
      </c>
      <c r="K633" s="12" t="inlineStr">
        <is>
          <t>47000</t>
        </is>
      </c>
      <c r="L633" s="12" t="inlineStr">
        <is>
          <t>À identifier</t>
        </is>
      </c>
    </row>
    <row r="634">
      <c r="A634" s="22" t="inlineStr">
        <is>
          <t>26/05/2026</t>
        </is>
      </c>
      <c r="B634" s="22" t="inlineStr">
        <is>
          <t>99000-066755</t>
        </is>
      </c>
      <c r="C634" s="22" t="inlineStr">
        <is>
          <t>FRAIS REMISE CHQ N   878494</t>
        </is>
      </c>
      <c r="D634" s="25" t="n">
        <v>238</v>
      </c>
      <c r="E634" s="25" t="n"/>
      <c r="F634" s="25" t="n">
        <v>-8678811.369999999</v>
      </c>
      <c r="G634" s="12" t="inlineStr">
        <is>
          <t>2026-05</t>
        </is>
      </c>
      <c r="H634" s="12" t="inlineStr">
        <is>
          <t>Agios, commissions et frais</t>
        </is>
      </c>
      <c r="I634" s="12" t="inlineStr"/>
      <c r="J634" s="12" t="inlineStr">
        <is>
          <t>B26050412</t>
        </is>
      </c>
      <c r="K634" s="12" t="inlineStr">
        <is>
          <t>44557, 62750</t>
        </is>
      </c>
      <c r="L634" s="12" t="inlineStr">
        <is>
          <t>Probable</t>
        </is>
      </c>
    </row>
    <row r="635">
      <c r="A635" s="22" t="inlineStr">
        <is>
          <t>26/05/2026</t>
        </is>
      </c>
      <c r="B635" s="22" t="inlineStr">
        <is>
          <t>99000-066761</t>
        </is>
      </c>
      <c r="C635" s="22" t="inlineStr">
        <is>
          <t>FRAIS REMISE CHQ N  1294580</t>
        </is>
      </c>
      <c r="D635" s="25" t="n">
        <v>238</v>
      </c>
      <c r="E635" s="25" t="n"/>
      <c r="F635" s="25" t="n">
        <v>-8679049.369999999</v>
      </c>
      <c r="G635" s="12" t="inlineStr">
        <is>
          <t>2026-05</t>
        </is>
      </c>
      <c r="H635" s="12" t="inlineStr">
        <is>
          <t>Agios, commissions et frais</t>
        </is>
      </c>
      <c r="I635" s="12" t="inlineStr"/>
      <c r="J635" s="12" t="inlineStr">
        <is>
          <t>B26050413</t>
        </is>
      </c>
      <c r="K635" s="12" t="inlineStr">
        <is>
          <t>44557, 62750</t>
        </is>
      </c>
      <c r="L635" s="12" t="inlineStr">
        <is>
          <t>Probable</t>
        </is>
      </c>
    </row>
    <row r="636">
      <c r="A636" s="22" t="inlineStr">
        <is>
          <t>31/05/2026</t>
        </is>
      </c>
      <c r="B636" s="22" t="inlineStr">
        <is>
          <t>99000-066778</t>
        </is>
      </c>
      <c r="C636" s="22" t="inlineStr">
        <is>
          <t>SORT CHQ NUM  9742703</t>
        </is>
      </c>
      <c r="D636" s="25" t="n"/>
      <c r="E636" s="25" t="n">
        <v>1000000</v>
      </c>
      <c r="F636" s="25" t="n">
        <v>-7679049.37</v>
      </c>
      <c r="G636" s="12" t="inlineStr">
        <is>
          <t>2026-05</t>
        </is>
      </c>
      <c r="H636" s="12" t="inlineStr">
        <is>
          <t>Encaissements clients</t>
        </is>
      </c>
      <c r="I636" s="12" t="inlineStr"/>
      <c r="J636" s="12" t="inlineStr">
        <is>
          <t>B26050414</t>
        </is>
      </c>
      <c r="K636" s="12" t="inlineStr">
        <is>
          <t>47000</t>
        </is>
      </c>
      <c r="L636" s="12" t="inlineStr">
        <is>
          <t>À identifier</t>
        </is>
      </c>
    </row>
    <row r="637">
      <c r="A637" s="22" t="inlineStr">
        <is>
          <t>31/05/2026</t>
        </is>
      </c>
      <c r="B637" s="22" t="inlineStr">
        <is>
          <t>99000-066778</t>
        </is>
      </c>
      <c r="C637" s="22" t="inlineStr">
        <is>
          <t>FRAIS REMISE CHQ N  9742703</t>
        </is>
      </c>
      <c r="D637" s="25" t="n">
        <v>238</v>
      </c>
      <c r="E637" s="25" t="n"/>
      <c r="F637" s="25" t="n">
        <v>-7679287.37</v>
      </c>
      <c r="G637" s="12" t="inlineStr">
        <is>
          <t>2026-05</t>
        </is>
      </c>
      <c r="H637" s="12" t="inlineStr">
        <is>
          <t>Agios, commissions et frais</t>
        </is>
      </c>
      <c r="I637" s="12" t="inlineStr"/>
      <c r="J637" s="12" t="inlineStr">
        <is>
          <t>B26050415</t>
        </is>
      </c>
      <c r="K637" s="12" t="inlineStr">
        <is>
          <t>44557, 62750</t>
        </is>
      </c>
      <c r="L637" s="12" t="inlineStr">
        <is>
          <t>Probable</t>
        </is>
      </c>
    </row>
    <row r="638">
      <c r="A638" s="22" t="inlineStr">
        <is>
          <t>01/06/2026</t>
        </is>
      </c>
      <c r="B638" s="22" t="inlineStr">
        <is>
          <t>00370-019161</t>
        </is>
      </c>
      <c r="C638" s="22" t="inlineStr">
        <is>
          <t>FRAIS CHQ BQE NUM  4288475</t>
        </is>
      </c>
      <c r="D638" s="25" t="n">
        <v>952</v>
      </c>
      <c r="E638" s="25" t="n"/>
      <c r="F638" s="25" t="n">
        <v>-7680239.37</v>
      </c>
      <c r="G638" s="12" t="inlineStr">
        <is>
          <t>2026-06</t>
        </is>
      </c>
      <c r="H638" s="12" t="inlineStr">
        <is>
          <t>Agios, commissions et frais</t>
        </is>
      </c>
      <c r="I638" s="12" t="inlineStr"/>
      <c r="J638" s="12" t="inlineStr">
        <is>
          <t>B26060416</t>
        </is>
      </c>
      <c r="K638" s="12" t="inlineStr">
        <is>
          <t>44557, 62750</t>
        </is>
      </c>
      <c r="L638" s="12" t="inlineStr">
        <is>
          <t>Probable</t>
        </is>
      </c>
    </row>
    <row r="639">
      <c r="A639" s="22" t="inlineStr">
        <is>
          <t>01/06/2026</t>
        </is>
      </c>
      <c r="B639" s="22" t="inlineStr">
        <is>
          <t>00370-019161</t>
        </is>
      </c>
      <c r="C639" s="22" t="inlineStr">
        <is>
          <t>CHQ BANQUE NUM  4288475</t>
        </is>
      </c>
      <c r="D639" s="25" t="n">
        <v>2851027</v>
      </c>
      <c r="E639" s="25" t="n"/>
      <c r="F639" s="25" t="n">
        <v>-10531266.37</v>
      </c>
      <c r="G639" s="12" t="inlineStr">
        <is>
          <t>2026-06</t>
        </is>
      </c>
      <c r="H639" s="12" t="inlineStr">
        <is>
          <t>Chèques de banque (douane / autres)</t>
        </is>
      </c>
      <c r="I639" s="12" t="inlineStr"/>
      <c r="J639" s="12" t="inlineStr">
        <is>
          <t>B26060417</t>
        </is>
      </c>
      <c r="K639" s="12" t="inlineStr">
        <is>
          <t>40100</t>
        </is>
      </c>
      <c r="L639" s="12" t="inlineStr">
        <is>
          <t>Probable</t>
        </is>
      </c>
    </row>
    <row r="640">
      <c r="A640" s="22" t="inlineStr">
        <is>
          <t>01/06/2026</t>
        </is>
      </c>
      <c r="B640" s="22" t="inlineStr">
        <is>
          <t>-12931</t>
        </is>
      </c>
      <c r="C640" s="22" t="inlineStr">
        <is>
          <t>RECOUV.IMP.TOMB.ANTI     4099</t>
        </is>
      </c>
      <c r="D640" s="25" t="n">
        <v>13.41</v>
      </c>
      <c r="E640" s="25" t="n"/>
      <c r="F640" s="25" t="n">
        <v>-10531279.78</v>
      </c>
      <c r="G640" s="12" t="inlineStr">
        <is>
          <t>2026-06</t>
        </is>
      </c>
      <c r="H640" s="12" t="inlineStr">
        <is>
          <t>Remboursement crédit / échéances</t>
        </is>
      </c>
      <c r="I640" s="12" t="inlineStr"/>
      <c r="J640" s="12" t="inlineStr">
        <is>
          <t>B26060418</t>
        </is>
      </c>
      <c r="K640" s="12" t="inlineStr">
        <is>
          <t>51900</t>
        </is>
      </c>
      <c r="L640" s="12" t="inlineStr">
        <is>
          <t>Probable</t>
        </is>
      </c>
    </row>
    <row r="641">
      <c r="A641" s="22" t="inlineStr">
        <is>
          <t>02/06/2026</t>
        </is>
      </c>
      <c r="B641" s="22" t="inlineStr">
        <is>
          <t>00370-003269</t>
        </is>
      </c>
      <c r="C641" s="22" t="inlineStr">
        <is>
          <t>PAIEMENT CHQ NUM  2125746</t>
        </is>
      </c>
      <c r="D641" s="25" t="n">
        <v>2000390</v>
      </c>
      <c r="E641" s="25" t="n"/>
      <c r="F641" s="25" t="n">
        <v>-12531669.78</v>
      </c>
      <c r="G641" s="12" t="inlineStr">
        <is>
          <t>2026-06</t>
        </is>
      </c>
      <c r="H641" s="12" t="inlineStr">
        <is>
          <t>Fournisseurs, salaires et divers</t>
        </is>
      </c>
      <c r="I641" s="12" t="inlineStr"/>
      <c r="J641" s="12" t="inlineStr">
        <is>
          <t>B26060419</t>
        </is>
      </c>
      <c r="K641" s="12" t="inlineStr">
        <is>
          <t>47000</t>
        </is>
      </c>
      <c r="L641" s="12" t="inlineStr">
        <is>
          <t>À identifier</t>
        </is>
      </c>
    </row>
    <row r="642">
      <c r="A642" s="22" t="inlineStr">
        <is>
          <t>02/06/2026</t>
        </is>
      </c>
      <c r="B642" s="22" t="inlineStr">
        <is>
          <t>00370-003269</t>
        </is>
      </c>
      <c r="C642" s="22" t="inlineStr">
        <is>
          <t>PERCEP.COM SUR PAIEMENTS CHQ</t>
        </is>
      </c>
      <c r="D642" s="25" t="n">
        <v>59.5</v>
      </c>
      <c r="E642" s="25" t="n"/>
      <c r="F642" s="25" t="n">
        <v>-12531729.28</v>
      </c>
      <c r="G642" s="12" t="inlineStr">
        <is>
          <t>2026-06</t>
        </is>
      </c>
      <c r="H642" s="12" t="inlineStr">
        <is>
          <t>Agios, commissions et frais</t>
        </is>
      </c>
      <c r="I642" s="12" t="inlineStr"/>
      <c r="J642" s="12" t="inlineStr">
        <is>
          <t>B26060420</t>
        </is>
      </c>
      <c r="K642" s="12" t="inlineStr">
        <is>
          <t>44557, 62750</t>
        </is>
      </c>
      <c r="L642" s="12" t="inlineStr">
        <is>
          <t>Probable</t>
        </is>
      </c>
    </row>
    <row r="643">
      <c r="A643" s="22" t="inlineStr">
        <is>
          <t>02/06/2026</t>
        </is>
      </c>
      <c r="B643" s="22" t="inlineStr">
        <is>
          <t>00370-121488</t>
        </is>
      </c>
      <c r="C643" s="22" t="inlineStr">
        <is>
          <t>PAIEMENT CHQ NUM  2125755</t>
        </is>
      </c>
      <c r="D643" s="25" t="n">
        <v>719735</v>
      </c>
      <c r="E643" s="25" t="n"/>
      <c r="F643" s="25" t="n">
        <v>-13251464.28</v>
      </c>
      <c r="G643" s="12" t="inlineStr">
        <is>
          <t>2026-06</t>
        </is>
      </c>
      <c r="H643" s="12" t="inlineStr">
        <is>
          <t>G50 (impôts)</t>
        </is>
      </c>
      <c r="I643" s="4" t="inlineStr">
        <is>
          <t>G50 IMPORT avril 2026</t>
        </is>
      </c>
      <c r="J643" s="12" t="inlineStr">
        <is>
          <t>B26060421</t>
        </is>
      </c>
      <c r="K643" s="12" t="inlineStr">
        <is>
          <t>44210, 44510, 44760</t>
        </is>
      </c>
      <c r="L643" s="12" t="inlineStr">
        <is>
          <t>Certaine</t>
        </is>
      </c>
    </row>
    <row r="644">
      <c r="A644" s="22" t="inlineStr">
        <is>
          <t>02/06/2026</t>
        </is>
      </c>
      <c r="B644" s="22" t="inlineStr">
        <is>
          <t>00370-121488</t>
        </is>
      </c>
      <c r="C644" s="22" t="inlineStr">
        <is>
          <t>PERCEP.COM SUR PAIEMENTS CHQ</t>
        </is>
      </c>
      <c r="D644" s="25" t="n">
        <v>59.5</v>
      </c>
      <c r="E644" s="25" t="n"/>
      <c r="F644" s="25" t="n">
        <v>-13251523.78</v>
      </c>
      <c r="G644" s="12" t="inlineStr">
        <is>
          <t>2026-06</t>
        </is>
      </c>
      <c r="H644" s="12" t="inlineStr">
        <is>
          <t>Agios, commissions et frais</t>
        </is>
      </c>
      <c r="I644" s="12" t="inlineStr"/>
      <c r="J644" s="12" t="inlineStr">
        <is>
          <t>B26060422</t>
        </is>
      </c>
      <c r="K644" s="12" t="inlineStr">
        <is>
          <t>44557, 62750</t>
        </is>
      </c>
      <c r="L644" s="12" t="inlineStr">
        <is>
          <t>Probable</t>
        </is>
      </c>
    </row>
    <row r="645">
      <c r="A645" s="22" t="inlineStr">
        <is>
          <t>02/06/2026</t>
        </is>
      </c>
      <c r="B645" s="22" t="inlineStr">
        <is>
          <t>99000-066804</t>
        </is>
      </c>
      <c r="C645" s="22" t="inlineStr">
        <is>
          <t>SORT CHQ NUM  9174566</t>
        </is>
      </c>
      <c r="D645" s="25" t="n"/>
      <c r="E645" s="25" t="n">
        <v>340340</v>
      </c>
      <c r="F645" s="25" t="n">
        <v>-12911183.78</v>
      </c>
      <c r="G645" s="12" t="inlineStr">
        <is>
          <t>2026-06</t>
        </is>
      </c>
      <c r="H645" s="12" t="inlineStr">
        <is>
          <t>Encaissements clients</t>
        </is>
      </c>
      <c r="I645" s="12" t="inlineStr"/>
      <c r="J645" s="12" t="inlineStr">
        <is>
          <t>B26060423</t>
        </is>
      </c>
      <c r="K645" s="12" t="inlineStr">
        <is>
          <t>47000</t>
        </is>
      </c>
      <c r="L645" s="12" t="inlineStr">
        <is>
          <t>À identifier</t>
        </is>
      </c>
    </row>
    <row r="646">
      <c r="A646" s="22" t="inlineStr">
        <is>
          <t>02/06/2026</t>
        </is>
      </c>
      <c r="B646" s="22" t="inlineStr">
        <is>
          <t>99000-066809</t>
        </is>
      </c>
      <c r="C646" s="22" t="inlineStr">
        <is>
          <t>SORT CHQ NUM  3968775</t>
        </is>
      </c>
      <c r="D646" s="25" t="n"/>
      <c r="E646" s="25" t="n">
        <v>1200000</v>
      </c>
      <c r="F646" s="25" t="n">
        <v>-11711183.78</v>
      </c>
      <c r="G646" s="12" t="inlineStr">
        <is>
          <t>2026-06</t>
        </is>
      </c>
      <c r="H646" s="12" t="inlineStr">
        <is>
          <t>Encaissements clients</t>
        </is>
      </c>
      <c r="I646" s="12" t="inlineStr"/>
      <c r="J646" s="12" t="inlineStr">
        <is>
          <t>B26060424</t>
        </is>
      </c>
      <c r="K646" s="12" t="inlineStr">
        <is>
          <t>47000</t>
        </is>
      </c>
      <c r="L646" s="12" t="inlineStr">
        <is>
          <t>À identifier</t>
        </is>
      </c>
    </row>
    <row r="647">
      <c r="A647" s="22" t="inlineStr">
        <is>
          <t>02/06/2026</t>
        </is>
      </c>
      <c r="B647" s="22" t="inlineStr">
        <is>
          <t>99000-066807</t>
        </is>
      </c>
      <c r="C647" s="22" t="inlineStr">
        <is>
          <t>SORT CHQ NUM  8587159</t>
        </is>
      </c>
      <c r="D647" s="25" t="n"/>
      <c r="E647" s="25" t="n">
        <v>174500</v>
      </c>
      <c r="F647" s="25" t="n">
        <v>-11536683.78</v>
      </c>
      <c r="G647" s="12" t="inlineStr">
        <is>
          <t>2026-06</t>
        </is>
      </c>
      <c r="H647" s="12" t="inlineStr">
        <is>
          <t>Encaissements clients</t>
        </is>
      </c>
      <c r="I647" s="12" t="inlineStr"/>
      <c r="J647" s="12" t="inlineStr">
        <is>
          <t>B26060425</t>
        </is>
      </c>
      <c r="K647" s="12" t="inlineStr">
        <is>
          <t>47000</t>
        </is>
      </c>
      <c r="L647" s="12" t="inlineStr">
        <is>
          <t>À identifier</t>
        </is>
      </c>
    </row>
    <row r="648">
      <c r="A648" s="22" t="inlineStr">
        <is>
          <t>02/06/2026</t>
        </is>
      </c>
      <c r="B648" s="22" t="inlineStr">
        <is>
          <t>99000-066808</t>
        </is>
      </c>
      <c r="C648" s="22" t="inlineStr">
        <is>
          <t>SORT CHQ NUM  9955384</t>
        </is>
      </c>
      <c r="D648" s="25" t="n"/>
      <c r="E648" s="25" t="n">
        <v>27370</v>
      </c>
      <c r="F648" s="25" t="n">
        <v>-11509313.78</v>
      </c>
      <c r="G648" s="12" t="inlineStr">
        <is>
          <t>2026-06</t>
        </is>
      </c>
      <c r="H648" s="12" t="inlineStr">
        <is>
          <t>Encaissements clients</t>
        </is>
      </c>
      <c r="I648" s="12" t="inlineStr"/>
      <c r="J648" s="12" t="inlineStr">
        <is>
          <t>B26060426</t>
        </is>
      </c>
      <c r="K648" s="12" t="inlineStr">
        <is>
          <t>41100</t>
        </is>
      </c>
      <c r="L648" s="12" t="inlineStr">
        <is>
          <t>Probable</t>
        </is>
      </c>
    </row>
    <row r="649">
      <c r="A649" s="22" t="inlineStr">
        <is>
          <t>02/06/2026</t>
        </is>
      </c>
      <c r="B649" s="22" t="inlineStr">
        <is>
          <t>99000-066804</t>
        </is>
      </c>
      <c r="C649" s="22" t="inlineStr">
        <is>
          <t>FRAIS REMISE CHQ N  9174566</t>
        </is>
      </c>
      <c r="D649" s="25" t="n">
        <v>119</v>
      </c>
      <c r="E649" s="25" t="n"/>
      <c r="F649" s="25" t="n">
        <v>-11509432.78</v>
      </c>
      <c r="G649" s="12" t="inlineStr">
        <is>
          <t>2026-06</t>
        </is>
      </c>
      <c r="H649" s="12" t="inlineStr">
        <is>
          <t>Agios, commissions et frais</t>
        </is>
      </c>
      <c r="I649" s="12" t="inlineStr"/>
      <c r="J649" s="12" t="inlineStr">
        <is>
          <t>B26060427</t>
        </is>
      </c>
      <c r="K649" s="12" t="inlineStr">
        <is>
          <t>44557, 62750</t>
        </is>
      </c>
      <c r="L649" s="12" t="inlineStr">
        <is>
          <t>Probable</t>
        </is>
      </c>
    </row>
    <row r="650">
      <c r="A650" s="22" t="inlineStr">
        <is>
          <t>02/06/2026</t>
        </is>
      </c>
      <c r="B650" s="22" t="inlineStr">
        <is>
          <t>99000-066809</t>
        </is>
      </c>
      <c r="C650" s="22" t="inlineStr">
        <is>
          <t>FRAIS REMISE CHQ N  3968775</t>
        </is>
      </c>
      <c r="D650" s="25" t="n">
        <v>119</v>
      </c>
      <c r="E650" s="25" t="n"/>
      <c r="F650" s="25" t="n">
        <v>-11509551.78</v>
      </c>
      <c r="G650" s="12" t="inlineStr">
        <is>
          <t>2026-06</t>
        </is>
      </c>
      <c r="H650" s="12" t="inlineStr">
        <is>
          <t>Agios, commissions et frais</t>
        </is>
      </c>
      <c r="I650" s="12" t="inlineStr"/>
      <c r="J650" s="12" t="inlineStr">
        <is>
          <t>B26060428</t>
        </is>
      </c>
      <c r="K650" s="12" t="inlineStr">
        <is>
          <t>44557, 62750</t>
        </is>
      </c>
      <c r="L650" s="12" t="inlineStr">
        <is>
          <t>Probable</t>
        </is>
      </c>
    </row>
    <row r="651">
      <c r="A651" s="22" t="inlineStr">
        <is>
          <t>02/06/2026</t>
        </is>
      </c>
      <c r="B651" s="22" t="inlineStr">
        <is>
          <t>99000-066807</t>
        </is>
      </c>
      <c r="C651" s="22" t="inlineStr">
        <is>
          <t>FRAIS REMISE CHQ N  8587159</t>
        </is>
      </c>
      <c r="D651" s="25" t="n">
        <v>119</v>
      </c>
      <c r="E651" s="25" t="n"/>
      <c r="F651" s="25" t="n">
        <v>-11509670.78</v>
      </c>
      <c r="G651" s="12" t="inlineStr">
        <is>
          <t>2026-06</t>
        </is>
      </c>
      <c r="H651" s="12" t="inlineStr">
        <is>
          <t>Agios, commissions et frais</t>
        </is>
      </c>
      <c r="I651" s="12" t="inlineStr"/>
      <c r="J651" s="12" t="inlineStr">
        <is>
          <t>B26060429</t>
        </is>
      </c>
      <c r="K651" s="12" t="inlineStr">
        <is>
          <t>44557, 62750</t>
        </is>
      </c>
      <c r="L651" s="12" t="inlineStr">
        <is>
          <t>Probable</t>
        </is>
      </c>
    </row>
    <row r="652">
      <c r="A652" s="22" t="inlineStr">
        <is>
          <t>02/06/2026</t>
        </is>
      </c>
      <c r="B652" s="22" t="inlineStr">
        <is>
          <t>99000-066808</t>
        </is>
      </c>
      <c r="C652" s="22" t="inlineStr">
        <is>
          <t>FRAIS REMISE CHQ N  9955384</t>
        </is>
      </c>
      <c r="D652" s="25" t="n">
        <v>119</v>
      </c>
      <c r="E652" s="25" t="n"/>
      <c r="F652" s="25" t="n">
        <v>-11509789.78</v>
      </c>
      <c r="G652" s="12" t="inlineStr">
        <is>
          <t>2026-06</t>
        </is>
      </c>
      <c r="H652" s="12" t="inlineStr">
        <is>
          <t>Agios, commissions et frais</t>
        </is>
      </c>
      <c r="I652" s="12" t="inlineStr"/>
      <c r="J652" s="12" t="inlineStr">
        <is>
          <t>B26060430</t>
        </is>
      </c>
      <c r="K652" s="12" t="inlineStr">
        <is>
          <t>44557, 62750</t>
        </is>
      </c>
      <c r="L652" s="12" t="inlineStr">
        <is>
          <t>Probable</t>
        </is>
      </c>
    </row>
    <row r="653">
      <c r="A653" s="22" t="inlineStr">
        <is>
          <t>03/06/2026</t>
        </is>
      </c>
      <c r="B653" s="22" t="inlineStr">
        <is>
          <t>00370-001183</t>
        </is>
      </c>
      <c r="C653" s="22" t="inlineStr">
        <is>
          <t>COM.VRT EDI BQUE</t>
        </is>
      </c>
      <c r="D653" s="25" t="n">
        <v>35.7</v>
      </c>
      <c r="E653" s="25" t="n"/>
      <c r="F653" s="25" t="n">
        <v>-11509825.48</v>
      </c>
      <c r="G653" s="12" t="inlineStr">
        <is>
          <t>2026-06</t>
        </is>
      </c>
      <c r="H653" s="12" t="inlineStr">
        <is>
          <t>Agios, commissions et frais</t>
        </is>
      </c>
      <c r="I653" s="12" t="inlineStr"/>
      <c r="J653" s="12" t="inlineStr">
        <is>
          <t>B26060431</t>
        </is>
      </c>
      <c r="K653" s="12" t="inlineStr">
        <is>
          <t>44557, 62750</t>
        </is>
      </c>
      <c r="L653" s="12" t="inlineStr">
        <is>
          <t>Probable</t>
        </is>
      </c>
    </row>
    <row r="654">
      <c r="A654" s="22" t="inlineStr">
        <is>
          <t>03/06/2026</t>
        </is>
      </c>
      <c r="B654" s="22" t="inlineStr">
        <is>
          <t>00370-001183</t>
        </is>
      </c>
      <c r="C654" s="22" t="inlineStr">
        <is>
          <t>VRT EDI SIMPLE AUTRE</t>
        </is>
      </c>
      <c r="D654" s="25" t="n">
        <v>550000</v>
      </c>
      <c r="E654" s="25" t="n"/>
      <c r="F654" s="25" t="n">
        <v>-12059825.48</v>
      </c>
      <c r="G654" s="12" t="inlineStr">
        <is>
          <t>2026-06</t>
        </is>
      </c>
      <c r="H654" s="12" t="inlineStr">
        <is>
          <t>Fournisseurs, salaires et divers</t>
        </is>
      </c>
      <c r="I654" s="12" t="inlineStr"/>
      <c r="J654" s="12" t="inlineStr">
        <is>
          <t>B26060432</t>
        </is>
      </c>
      <c r="K654" s="12" t="inlineStr">
        <is>
          <t>40100</t>
        </is>
      </c>
      <c r="L654" s="12" t="inlineStr">
        <is>
          <t>Par analogie</t>
        </is>
      </c>
    </row>
    <row r="655">
      <c r="A655" s="22" t="inlineStr">
        <is>
          <t>04/06/2026</t>
        </is>
      </c>
      <c r="B655" s="22" t="inlineStr">
        <is>
          <t>00370-121527</t>
        </is>
      </c>
      <c r="C655" s="22" t="inlineStr">
        <is>
          <t>PAIEMENT CHQ NUM  2125757</t>
        </is>
      </c>
      <c r="D655" s="25" t="n">
        <v>1944000</v>
      </c>
      <c r="E655" s="25" t="n"/>
      <c r="F655" s="25" t="n">
        <v>-14003825.48</v>
      </c>
      <c r="G655" s="12" t="inlineStr">
        <is>
          <t>2026-06</t>
        </is>
      </c>
      <c r="H655" s="12" t="inlineStr">
        <is>
          <t>Fournisseurs, salaires et divers</t>
        </is>
      </c>
      <c r="I655" s="12" t="inlineStr"/>
      <c r="J655" s="12" t="inlineStr">
        <is>
          <t>B26060433</t>
        </is>
      </c>
      <c r="K655" s="12" t="inlineStr">
        <is>
          <t>47000</t>
        </is>
      </c>
      <c r="L655" s="12" t="inlineStr">
        <is>
          <t>À identifier</t>
        </is>
      </c>
    </row>
    <row r="656">
      <c r="A656" s="22" t="inlineStr">
        <is>
          <t>04/06/2026</t>
        </is>
      </c>
      <c r="B656" s="22" t="inlineStr">
        <is>
          <t>00370-121527</t>
        </is>
      </c>
      <c r="C656" s="22" t="inlineStr">
        <is>
          <t>PERCEP.COM SUR PAIEMENTS CHQ</t>
        </is>
      </c>
      <c r="D656" s="25" t="n">
        <v>59.5</v>
      </c>
      <c r="E656" s="25" t="n"/>
      <c r="F656" s="25" t="n">
        <v>-14003884.98</v>
      </c>
      <c r="G656" s="12" t="inlineStr">
        <is>
          <t>2026-06</t>
        </is>
      </c>
      <c r="H656" s="12" t="inlineStr">
        <is>
          <t>Agios, commissions et frais</t>
        </is>
      </c>
      <c r="I656" s="12" t="inlineStr"/>
      <c r="J656" s="12" t="inlineStr">
        <is>
          <t>B26060434</t>
        </is>
      </c>
      <c r="K656" s="12" t="inlineStr">
        <is>
          <t>44557, 62750</t>
        </is>
      </c>
      <c r="L656" s="12" t="inlineStr">
        <is>
          <t>Probable</t>
        </is>
      </c>
    </row>
    <row r="657">
      <c r="A657" s="22" t="inlineStr">
        <is>
          <t>04/06/2026</t>
        </is>
      </c>
      <c r="B657" s="22" t="inlineStr">
        <is>
          <t>99000-066836</t>
        </is>
      </c>
      <c r="C657" s="22" t="inlineStr">
        <is>
          <t>SORT CHQ NUM  5015485</t>
        </is>
      </c>
      <c r="D657" s="25" t="n"/>
      <c r="E657" s="25" t="n">
        <v>210000</v>
      </c>
      <c r="F657" s="25" t="n">
        <v>-13793884.98</v>
      </c>
      <c r="G657" s="12" t="inlineStr">
        <is>
          <t>2026-06</t>
        </is>
      </c>
      <c r="H657" s="12" t="inlineStr">
        <is>
          <t>Encaissements clients</t>
        </is>
      </c>
      <c r="I657" s="12" t="inlineStr"/>
      <c r="J657" s="12" t="inlineStr">
        <is>
          <t>B26060435</t>
        </is>
      </c>
      <c r="K657" s="12" t="inlineStr">
        <is>
          <t>47000</t>
        </is>
      </c>
      <c r="L657" s="12" t="inlineStr">
        <is>
          <t>À identifier</t>
        </is>
      </c>
    </row>
    <row r="658">
      <c r="A658" s="22" t="inlineStr">
        <is>
          <t>04/06/2026</t>
        </is>
      </c>
      <c r="B658" s="22" t="inlineStr">
        <is>
          <t>99000-066832</t>
        </is>
      </c>
      <c r="C658" s="22" t="inlineStr">
        <is>
          <t>SORT CHQ NUM  1949459</t>
        </is>
      </c>
      <c r="D658" s="25" t="n"/>
      <c r="E658" s="25" t="n">
        <v>86870</v>
      </c>
      <c r="F658" s="25" t="n">
        <v>-13707014.98</v>
      </c>
      <c r="G658" s="12" t="inlineStr">
        <is>
          <t>2026-06</t>
        </is>
      </c>
      <c r="H658" s="12" t="inlineStr">
        <is>
          <t>Encaissements clients</t>
        </is>
      </c>
      <c r="I658" s="12" t="inlineStr"/>
      <c r="J658" s="12" t="inlineStr">
        <is>
          <t>B26060436</t>
        </is>
      </c>
      <c r="K658" s="12" t="inlineStr">
        <is>
          <t>47000</t>
        </is>
      </c>
      <c r="L658" s="12" t="inlineStr">
        <is>
          <t>À identifier</t>
        </is>
      </c>
    </row>
    <row r="659">
      <c r="A659" s="22" t="inlineStr">
        <is>
          <t>04/06/2026</t>
        </is>
      </c>
      <c r="B659" s="22" t="inlineStr">
        <is>
          <t>99000-066838</t>
        </is>
      </c>
      <c r="C659" s="22" t="inlineStr">
        <is>
          <t>SORT CHQ NUM       44</t>
        </is>
      </c>
      <c r="D659" s="25" t="n"/>
      <c r="E659" s="25" t="n">
        <v>1063860</v>
      </c>
      <c r="F659" s="25" t="n">
        <v>-12643154.98</v>
      </c>
      <c r="G659" s="12" t="inlineStr">
        <is>
          <t>2026-06</t>
        </is>
      </c>
      <c r="H659" s="12" t="inlineStr">
        <is>
          <t>Encaissements clients</t>
        </is>
      </c>
      <c r="I659" s="12" t="inlineStr"/>
      <c r="J659" s="12" t="inlineStr">
        <is>
          <t>B26060437</t>
        </is>
      </c>
      <c r="K659" s="12" t="inlineStr">
        <is>
          <t>41100</t>
        </is>
      </c>
      <c r="L659" s="12" t="inlineStr">
        <is>
          <t>Probable</t>
        </is>
      </c>
    </row>
    <row r="660">
      <c r="A660" s="22" t="inlineStr">
        <is>
          <t>04/06/2026</t>
        </is>
      </c>
      <c r="B660" s="22" t="inlineStr">
        <is>
          <t>99000-066836</t>
        </is>
      </c>
      <c r="C660" s="22" t="inlineStr">
        <is>
          <t>FRAIS REMISE CHQ N  5015485</t>
        </is>
      </c>
      <c r="D660" s="25" t="n">
        <v>238</v>
      </c>
      <c r="E660" s="25" t="n"/>
      <c r="F660" s="25" t="n">
        <v>-12643392.98</v>
      </c>
      <c r="G660" s="12" t="inlineStr">
        <is>
          <t>2026-06</t>
        </is>
      </c>
      <c r="H660" s="12" t="inlineStr">
        <is>
          <t>Agios, commissions et frais</t>
        </is>
      </c>
      <c r="I660" s="12" t="inlineStr"/>
      <c r="J660" s="12" t="inlineStr">
        <is>
          <t>B26060438</t>
        </is>
      </c>
      <c r="K660" s="12" t="inlineStr">
        <is>
          <t>44557, 62750</t>
        </is>
      </c>
      <c r="L660" s="12" t="inlineStr">
        <is>
          <t>Probable</t>
        </is>
      </c>
    </row>
    <row r="661">
      <c r="A661" s="22" t="inlineStr">
        <is>
          <t>04/06/2026</t>
        </is>
      </c>
      <c r="B661" s="22" t="inlineStr">
        <is>
          <t>99000-066832</t>
        </is>
      </c>
      <c r="C661" s="22" t="inlineStr">
        <is>
          <t>FRAIS REMISE CHQ N  1949459</t>
        </is>
      </c>
      <c r="D661" s="25" t="n">
        <v>103.38</v>
      </c>
      <c r="E661" s="25" t="n"/>
      <c r="F661" s="25" t="n">
        <v>-12643496.36</v>
      </c>
      <c r="G661" s="12" t="inlineStr">
        <is>
          <t>2026-06</t>
        </is>
      </c>
      <c r="H661" s="12" t="inlineStr">
        <is>
          <t>Agios, commissions et frais</t>
        </is>
      </c>
      <c r="I661" s="12" t="inlineStr"/>
      <c r="J661" s="12" t="inlineStr">
        <is>
          <t>B26060439</t>
        </is>
      </c>
      <c r="K661" s="12" t="inlineStr">
        <is>
          <t>44557, 62750</t>
        </is>
      </c>
      <c r="L661" s="12" t="inlineStr">
        <is>
          <t>Probable</t>
        </is>
      </c>
    </row>
    <row r="662">
      <c r="A662" s="22" t="inlineStr">
        <is>
          <t>04/06/2026</t>
        </is>
      </c>
      <c r="B662" s="22" t="inlineStr">
        <is>
          <t>99000-066838</t>
        </is>
      </c>
      <c r="C662" s="22" t="inlineStr">
        <is>
          <t>FRAIS REMISE CHQ N       44</t>
        </is>
      </c>
      <c r="D662" s="25" t="n">
        <v>238</v>
      </c>
      <c r="E662" s="25" t="n"/>
      <c r="F662" s="25" t="n">
        <v>-12643734.36</v>
      </c>
      <c r="G662" s="12" t="inlineStr">
        <is>
          <t>2026-06</t>
        </is>
      </c>
      <c r="H662" s="12" t="inlineStr">
        <is>
          <t>Agios, commissions et frais</t>
        </is>
      </c>
      <c r="I662" s="12" t="inlineStr"/>
      <c r="J662" s="12" t="inlineStr">
        <is>
          <t>B26060440</t>
        </is>
      </c>
      <c r="K662" s="12" t="inlineStr">
        <is>
          <t>44557, 62750</t>
        </is>
      </c>
      <c r="L662" s="12" t="inlineStr">
        <is>
          <t>Probable</t>
        </is>
      </c>
    </row>
    <row r="663">
      <c r="A663" s="22" t="inlineStr">
        <is>
          <t>04/06/2026</t>
        </is>
      </c>
      <c r="B663" s="22" t="inlineStr">
        <is>
          <t>99000-020644</t>
        </is>
      </c>
      <c r="C663" s="22" t="inlineStr">
        <is>
          <t>FRAIS ABONN. INTERNET 2026/06</t>
        </is>
      </c>
      <c r="D663" s="25" t="n">
        <v>1606.5</v>
      </c>
      <c r="E663" s="25" t="n"/>
      <c r="F663" s="25" t="n">
        <v>-12645340.86</v>
      </c>
      <c r="G663" s="12" t="inlineStr">
        <is>
          <t>2026-06</t>
        </is>
      </c>
      <c r="H663" s="12" t="inlineStr">
        <is>
          <t>Agios, commissions et frais</t>
        </is>
      </c>
      <c r="I663" s="12" t="inlineStr"/>
      <c r="J663" s="12" t="inlineStr">
        <is>
          <t>B26060441</t>
        </is>
      </c>
      <c r="K663" s="12" t="inlineStr">
        <is>
          <t>44557, 62750</t>
        </is>
      </c>
      <c r="L663" s="12" t="inlineStr">
        <is>
          <t>Probable</t>
        </is>
      </c>
    </row>
    <row r="664">
      <c r="A664" s="22" t="inlineStr">
        <is>
          <t>07/06/2026</t>
        </is>
      </c>
      <c r="B664" s="22" t="inlineStr">
        <is>
          <t>00370-012916</t>
        </is>
      </c>
      <c r="C664" s="22" t="inlineStr">
        <is>
          <t>FRAIS VRT.</t>
        </is>
      </c>
      <c r="D664" s="25" t="n">
        <v>59.5</v>
      </c>
      <c r="E664" s="25" t="n"/>
      <c r="F664" s="25" t="n">
        <v>-12645400.36</v>
      </c>
      <c r="G664" s="12" t="inlineStr">
        <is>
          <t>2026-06</t>
        </is>
      </c>
      <c r="H664" s="12" t="inlineStr">
        <is>
          <t>Agios, commissions et frais</t>
        </is>
      </c>
      <c r="I664" s="12" t="inlineStr"/>
      <c r="J664" s="12" t="inlineStr">
        <is>
          <t>B26060442</t>
        </is>
      </c>
      <c r="K664" s="12" t="inlineStr">
        <is>
          <t>44557, 62750</t>
        </is>
      </c>
      <c r="L664" s="12" t="inlineStr">
        <is>
          <t>Probable</t>
        </is>
      </c>
    </row>
    <row r="665">
      <c r="A665" s="22" t="inlineStr">
        <is>
          <t>07/06/2026</t>
        </is>
      </c>
      <c r="B665" s="22" t="inlineStr">
        <is>
          <t>00370-012916</t>
        </is>
      </c>
      <c r="C665" s="22" t="inlineStr">
        <is>
          <t>VRT. ORD. SARL STATION OUATAH</t>
        </is>
      </c>
      <c r="D665" s="25" t="n">
        <v>599974</v>
      </c>
      <c r="E665" s="25" t="n"/>
      <c r="F665" s="25" t="n">
        <v>-13245374.36</v>
      </c>
      <c r="G665" s="12" t="inlineStr">
        <is>
          <t>2026-06</t>
        </is>
      </c>
      <c r="H665" s="12" t="inlineStr">
        <is>
          <t>Fournisseurs, salaires et divers</t>
        </is>
      </c>
      <c r="I665" s="12" t="inlineStr"/>
      <c r="J665" s="12" t="inlineStr">
        <is>
          <t>B26060443</t>
        </is>
      </c>
      <c r="K665" s="12" t="inlineStr">
        <is>
          <t>40100</t>
        </is>
      </c>
      <c r="L665" s="12" t="inlineStr">
        <is>
          <t>Probable</t>
        </is>
      </c>
    </row>
    <row r="666">
      <c r="A666" s="22" t="inlineStr">
        <is>
          <t>08/06/2026</t>
        </is>
      </c>
      <c r="B666" s="22" t="inlineStr">
        <is>
          <t>99000-066862</t>
        </is>
      </c>
      <c r="C666" s="22" t="inlineStr">
        <is>
          <t>SORT CHQ NUM  6904121</t>
        </is>
      </c>
      <c r="D666" s="25" t="n"/>
      <c r="E666" s="25" t="n">
        <v>168200</v>
      </c>
      <c r="F666" s="25" t="n">
        <v>-13077174.36</v>
      </c>
      <c r="G666" s="12" t="inlineStr">
        <is>
          <t>2026-06</t>
        </is>
      </c>
      <c r="H666" s="12" t="inlineStr">
        <is>
          <t>Encaissements clients</t>
        </is>
      </c>
      <c r="I666" s="12" t="inlineStr"/>
      <c r="J666" s="12" t="inlineStr">
        <is>
          <t>B26060444</t>
        </is>
      </c>
      <c r="K666" s="12" t="inlineStr">
        <is>
          <t>47000</t>
        </is>
      </c>
      <c r="L666" s="12" t="inlineStr">
        <is>
          <t>À identifier</t>
        </is>
      </c>
    </row>
    <row r="667">
      <c r="A667" s="22" t="inlineStr">
        <is>
          <t>08/06/2026</t>
        </is>
      </c>
      <c r="B667" s="22" t="inlineStr">
        <is>
          <t>99000-066862</t>
        </is>
      </c>
      <c r="C667" s="22" t="inlineStr">
        <is>
          <t>FRAIS REMISE CHQ N  6904121</t>
        </is>
      </c>
      <c r="D667" s="25" t="n">
        <v>119</v>
      </c>
      <c r="E667" s="25" t="n"/>
      <c r="F667" s="25" t="n">
        <v>-13077293.36</v>
      </c>
      <c r="G667" s="12" t="inlineStr">
        <is>
          <t>2026-06</t>
        </is>
      </c>
      <c r="H667" s="12" t="inlineStr">
        <is>
          <t>Agios, commissions et frais</t>
        </is>
      </c>
      <c r="I667" s="12" t="inlineStr"/>
      <c r="J667" s="12" t="inlineStr">
        <is>
          <t>B26060445</t>
        </is>
      </c>
      <c r="K667" s="12" t="inlineStr">
        <is>
          <t>44557, 62750</t>
        </is>
      </c>
      <c r="L667" s="12" t="inlineStr">
        <is>
          <t>Probable</t>
        </is>
      </c>
    </row>
    <row r="668">
      <c r="A668" s="22" t="inlineStr">
        <is>
          <t>09/06/2026</t>
        </is>
      </c>
      <c r="B668" s="22" t="inlineStr">
        <is>
          <t>00370-086936</t>
        </is>
      </c>
      <c r="C668" s="22" t="inlineStr">
        <is>
          <t>VRT. RECU SARL ATELIER SERVICE</t>
        </is>
      </c>
      <c r="D668" s="25" t="n"/>
      <c r="E668" s="25" t="n">
        <v>766200</v>
      </c>
      <c r="F668" s="25" t="n">
        <v>-12311093.36</v>
      </c>
      <c r="G668" s="12" t="inlineStr">
        <is>
          <t>2026-06</t>
        </is>
      </c>
      <c r="H668" s="12" t="inlineStr">
        <is>
          <t>Encaissements clients</t>
        </is>
      </c>
      <c r="I668" s="12" t="inlineStr"/>
      <c r="J668" s="12" t="inlineStr">
        <is>
          <t>B26060446</t>
        </is>
      </c>
      <c r="K668" s="12" t="inlineStr">
        <is>
          <t>41100</t>
        </is>
      </c>
      <c r="L668" s="12" t="inlineStr">
        <is>
          <t>Probable</t>
        </is>
      </c>
    </row>
    <row r="669">
      <c r="A669" s="22" t="inlineStr">
        <is>
          <t>09/06/2026</t>
        </is>
      </c>
      <c r="B669" s="22" t="inlineStr">
        <is>
          <t>00370-000598</t>
        </is>
      </c>
      <c r="C669" s="22" t="inlineStr">
        <is>
          <t>VRT EDI AUTRES BQUES</t>
        </is>
      </c>
      <c r="D669" s="25" t="n">
        <v>255402.27</v>
      </c>
      <c r="E669" s="25" t="n"/>
      <c r="F669" s="25" t="n">
        <v>-12566495.63</v>
      </c>
      <c r="G669" s="12" t="inlineStr">
        <is>
          <t>2026-06</t>
        </is>
      </c>
      <c r="H669" s="12" t="inlineStr">
        <is>
          <t>Fournisseurs, salaires et divers</t>
        </is>
      </c>
      <c r="I669" s="12" t="inlineStr"/>
      <c r="J669" s="12" t="inlineStr">
        <is>
          <t>B26060447</t>
        </is>
      </c>
      <c r="K669" s="12" t="inlineStr">
        <is>
          <t>47000</t>
        </is>
      </c>
      <c r="L669" s="12" t="inlineStr">
        <is>
          <t>À identifier</t>
        </is>
      </c>
    </row>
    <row r="670">
      <c r="A670" s="22" t="inlineStr">
        <is>
          <t>09/06/2026</t>
        </is>
      </c>
      <c r="B670" s="22" t="inlineStr">
        <is>
          <t>00370-000598</t>
        </is>
      </c>
      <c r="C670" s="22" t="inlineStr">
        <is>
          <t>COM.VRT EDI BQUE</t>
        </is>
      </c>
      <c r="D670" s="25" t="n">
        <v>107.1</v>
      </c>
      <c r="E670" s="25" t="n"/>
      <c r="F670" s="25" t="n">
        <v>-12566602.73</v>
      </c>
      <c r="G670" s="12" t="inlineStr">
        <is>
          <t>2026-06</t>
        </is>
      </c>
      <c r="H670" s="12" t="inlineStr">
        <is>
          <t>Agios, commissions et frais</t>
        </is>
      </c>
      <c r="I670" s="12" t="inlineStr"/>
      <c r="J670" s="12" t="inlineStr">
        <is>
          <t>B26060448</t>
        </is>
      </c>
      <c r="K670" s="12" t="inlineStr">
        <is>
          <t>44557, 62750</t>
        </is>
      </c>
      <c r="L670" s="12" t="inlineStr">
        <is>
          <t>Probable</t>
        </is>
      </c>
    </row>
    <row r="671">
      <c r="A671" s="22" t="inlineStr">
        <is>
          <t>10/06/2026</t>
        </is>
      </c>
      <c r="B671" s="22" t="inlineStr">
        <is>
          <t>00370-121617</t>
        </is>
      </c>
      <c r="C671" s="22" t="inlineStr">
        <is>
          <t>PAIEMENT CHQ NUM  2125747</t>
        </is>
      </c>
      <c r="D671" s="25" t="n">
        <v>37431.26</v>
      </c>
      <c r="E671" s="25" t="n"/>
      <c r="F671" s="25" t="n">
        <v>-12604033.99</v>
      </c>
      <c r="G671" s="12" t="inlineStr">
        <is>
          <t>2026-06</t>
        </is>
      </c>
      <c r="H671" s="12" t="inlineStr">
        <is>
          <t>Fournisseurs, salaires et divers</t>
        </is>
      </c>
      <c r="I671" s="12" t="inlineStr"/>
      <c r="J671" s="12" t="inlineStr">
        <is>
          <t>B26060449</t>
        </is>
      </c>
      <c r="K671" s="12" t="inlineStr">
        <is>
          <t>47000</t>
        </is>
      </c>
      <c r="L671" s="12" t="inlineStr">
        <is>
          <t>À identifier</t>
        </is>
      </c>
    </row>
    <row r="672">
      <c r="A672" s="22" t="inlineStr">
        <is>
          <t>10/06/2026</t>
        </is>
      </c>
      <c r="B672" s="22" t="inlineStr">
        <is>
          <t>99000-066897</t>
        </is>
      </c>
      <c r="C672" s="22" t="inlineStr">
        <is>
          <t>SORT CHQ NUM  6392171</t>
        </is>
      </c>
      <c r="D672" s="25" t="n"/>
      <c r="E672" s="25" t="n">
        <v>291550</v>
      </c>
      <c r="F672" s="25" t="n">
        <v>-12312483.99</v>
      </c>
      <c r="G672" s="12" t="inlineStr">
        <is>
          <t>2026-06</t>
        </is>
      </c>
      <c r="H672" s="12" t="inlineStr">
        <is>
          <t>Encaissements clients</t>
        </is>
      </c>
      <c r="I672" s="12" t="inlineStr"/>
      <c r="J672" s="12" t="inlineStr">
        <is>
          <t>B26060450</t>
        </is>
      </c>
      <c r="K672" s="12" t="inlineStr">
        <is>
          <t>47000</t>
        </is>
      </c>
      <c r="L672" s="12" t="inlineStr">
        <is>
          <t>À identifier</t>
        </is>
      </c>
    </row>
    <row r="673">
      <c r="A673" s="22" t="inlineStr">
        <is>
          <t>10/06/2026</t>
        </is>
      </c>
      <c r="B673" s="22" t="inlineStr">
        <is>
          <t>99000-066897</t>
        </is>
      </c>
      <c r="C673" s="22" t="inlineStr">
        <is>
          <t>FRAIS REMISE CHQ N  6392171</t>
        </is>
      </c>
      <c r="D673" s="25" t="n">
        <v>238</v>
      </c>
      <c r="E673" s="25" t="n"/>
      <c r="F673" s="25" t="n">
        <v>-12312721.99</v>
      </c>
      <c r="G673" s="12" t="inlineStr">
        <is>
          <t>2026-06</t>
        </is>
      </c>
      <c r="H673" s="12" t="inlineStr">
        <is>
          <t>Agios, commissions et frais</t>
        </is>
      </c>
      <c r="I673" s="12" t="inlineStr"/>
      <c r="J673" s="12" t="inlineStr">
        <is>
          <t>B26060451</t>
        </is>
      </c>
      <c r="K673" s="12" t="inlineStr">
        <is>
          <t>44557, 62750</t>
        </is>
      </c>
      <c r="L673" s="12" t="inlineStr">
        <is>
          <t>Probable</t>
        </is>
      </c>
    </row>
    <row r="674">
      <c r="A674" s="22" t="inlineStr">
        <is>
          <t>11/06/2026</t>
        </is>
      </c>
      <c r="B674" s="22" t="inlineStr">
        <is>
          <t>99000-066915</t>
        </is>
      </c>
      <c r="C674" s="22" t="inlineStr">
        <is>
          <t>SORT CHQ NUM  7012998</t>
        </is>
      </c>
      <c r="D674" s="25" t="n"/>
      <c r="E674" s="25" t="n">
        <v>693770</v>
      </c>
      <c r="F674" s="25" t="n">
        <v>-11618951.99</v>
      </c>
      <c r="G674" s="12" t="inlineStr">
        <is>
          <t>2026-06</t>
        </is>
      </c>
      <c r="H674" s="12" t="inlineStr">
        <is>
          <t>Encaissements clients</t>
        </is>
      </c>
      <c r="I674" s="12" t="inlineStr"/>
      <c r="J674" s="12" t="inlineStr">
        <is>
          <t>B26060452</t>
        </is>
      </c>
      <c r="K674" s="12" t="inlineStr">
        <is>
          <t>47000</t>
        </is>
      </c>
      <c r="L674" s="12" t="inlineStr">
        <is>
          <t>À identifier</t>
        </is>
      </c>
    </row>
    <row r="675">
      <c r="A675" s="22" t="inlineStr">
        <is>
          <t>11/06/2026</t>
        </is>
      </c>
      <c r="B675" s="22" t="inlineStr">
        <is>
          <t>99000-066920</t>
        </is>
      </c>
      <c r="C675" s="22" t="inlineStr">
        <is>
          <t>SORT CHQ NUM  7012923</t>
        </is>
      </c>
      <c r="D675" s="25" t="n"/>
      <c r="E675" s="25" t="n">
        <v>2595390</v>
      </c>
      <c r="F675" s="25" t="n">
        <v>-9023561.99</v>
      </c>
      <c r="G675" s="12" t="inlineStr">
        <is>
          <t>2026-06</t>
        </is>
      </c>
      <c r="H675" s="12" t="inlineStr">
        <is>
          <t>Encaissements clients</t>
        </is>
      </c>
      <c r="I675" s="12" t="inlineStr"/>
      <c r="J675" s="12" t="inlineStr">
        <is>
          <t>B26060453</t>
        </is>
      </c>
      <c r="K675" s="12" t="inlineStr">
        <is>
          <t>47000</t>
        </is>
      </c>
      <c r="L675" s="12" t="inlineStr">
        <is>
          <t>À identifier</t>
        </is>
      </c>
    </row>
    <row r="676">
      <c r="A676" s="22" t="inlineStr">
        <is>
          <t>11/06/2026</t>
        </is>
      </c>
      <c r="B676" s="22" t="inlineStr">
        <is>
          <t>99000-066915</t>
        </is>
      </c>
      <c r="C676" s="22" t="inlineStr">
        <is>
          <t>FRAIS REMISE CHQ N  7012998</t>
        </is>
      </c>
      <c r="D676" s="25" t="n">
        <v>238</v>
      </c>
      <c r="E676" s="25" t="n"/>
      <c r="F676" s="25" t="n">
        <v>-9023799.99</v>
      </c>
      <c r="G676" s="12" t="inlineStr">
        <is>
          <t>2026-06</t>
        </is>
      </c>
      <c r="H676" s="12" t="inlineStr">
        <is>
          <t>Agios, commissions et frais</t>
        </is>
      </c>
      <c r="I676" s="12" t="inlineStr"/>
      <c r="J676" s="12" t="inlineStr">
        <is>
          <t>B26060454</t>
        </is>
      </c>
      <c r="K676" s="12" t="inlineStr">
        <is>
          <t>44557, 62750</t>
        </is>
      </c>
      <c r="L676" s="12" t="inlineStr">
        <is>
          <t>Probable</t>
        </is>
      </c>
    </row>
    <row r="677">
      <c r="A677" s="22" t="inlineStr">
        <is>
          <t>11/06/2026</t>
        </is>
      </c>
      <c r="B677" s="22" t="inlineStr">
        <is>
          <t>99000-066920</t>
        </is>
      </c>
      <c r="C677" s="22" t="inlineStr">
        <is>
          <t>FRAIS REMISE CHQ N  7012923</t>
        </is>
      </c>
      <c r="D677" s="25" t="n">
        <v>238</v>
      </c>
      <c r="E677" s="25" t="n"/>
      <c r="F677" s="25" t="n">
        <v>-9024037.99</v>
      </c>
      <c r="G677" s="12" t="inlineStr">
        <is>
          <t>2026-06</t>
        </is>
      </c>
      <c r="H677" s="12" t="inlineStr">
        <is>
          <t>Agios, commissions et frais</t>
        </is>
      </c>
      <c r="I677" s="12" t="inlineStr"/>
      <c r="J677" s="12" t="inlineStr">
        <is>
          <t>B26060455</t>
        </is>
      </c>
      <c r="K677" s="12" t="inlineStr">
        <is>
          <t>44557, 62750</t>
        </is>
      </c>
      <c r="L677" s="12" t="inlineStr">
        <is>
          <t>Probable</t>
        </is>
      </c>
    </row>
    <row r="678">
      <c r="A678" s="22" t="inlineStr">
        <is>
          <t>15/06/2026</t>
        </is>
      </c>
      <c r="B678" s="22" t="inlineStr">
        <is>
          <t>00370-001197</t>
        </is>
      </c>
      <c r="C678" s="22" t="inlineStr">
        <is>
          <t>COM.VRT EDI BQUE</t>
        </is>
      </c>
      <c r="D678" s="25" t="n">
        <v>35.7</v>
      </c>
      <c r="E678" s="25" t="n"/>
      <c r="F678" s="25" t="n">
        <v>-9024073.689999999</v>
      </c>
      <c r="G678" s="12" t="inlineStr">
        <is>
          <t>2026-06</t>
        </is>
      </c>
      <c r="H678" s="12" t="inlineStr">
        <is>
          <t>Agios, commissions et frais</t>
        </is>
      </c>
      <c r="I678" s="12" t="inlineStr"/>
      <c r="J678" s="12" t="inlineStr">
        <is>
          <t>B26060456</t>
        </is>
      </c>
      <c r="K678" s="12" t="inlineStr">
        <is>
          <t>44557, 62750</t>
        </is>
      </c>
      <c r="L678" s="12" t="inlineStr">
        <is>
          <t>Probable</t>
        </is>
      </c>
    </row>
    <row r="679">
      <c r="A679" s="22" t="inlineStr">
        <is>
          <t>15/06/2026</t>
        </is>
      </c>
      <c r="B679" s="22" t="inlineStr">
        <is>
          <t>00370-001197</t>
        </is>
      </c>
      <c r="C679" s="22" t="inlineStr">
        <is>
          <t>VRT EDI SIMPLE AUTRE</t>
        </is>
      </c>
      <c r="D679" s="25" t="n">
        <v>800000</v>
      </c>
      <c r="E679" s="25" t="n"/>
      <c r="F679" s="25" t="n">
        <v>-9824073.689999999</v>
      </c>
      <c r="G679" s="12" t="inlineStr">
        <is>
          <t>2026-06</t>
        </is>
      </c>
      <c r="H679" s="12" t="inlineStr">
        <is>
          <t>Fournisseurs, salaires et divers</t>
        </is>
      </c>
      <c r="I679" s="12" t="inlineStr"/>
      <c r="J679" s="12" t="inlineStr">
        <is>
          <t>B26060457</t>
        </is>
      </c>
      <c r="K679" s="12" t="inlineStr">
        <is>
          <t>47000</t>
        </is>
      </c>
      <c r="L679" s="12" t="inlineStr">
        <is>
          <t>À identifier</t>
        </is>
      </c>
    </row>
    <row r="680">
      <c r="A680" s="22" t="inlineStr">
        <is>
          <t>15/06/2026</t>
        </is>
      </c>
      <c r="B680" s="22" t="inlineStr">
        <is>
          <t>00370-005445</t>
        </is>
      </c>
      <c r="C680" s="22" t="inlineStr">
        <is>
          <t>PERCEPTION DES COMMISSIONS</t>
        </is>
      </c>
      <c r="D680" s="25" t="n">
        <v>71.39</v>
      </c>
      <c r="E680" s="25" t="n"/>
      <c r="F680" s="25" t="n">
        <v>-9824145.08</v>
      </c>
      <c r="G680" s="12" t="inlineStr">
        <is>
          <t>2026-06</t>
        </is>
      </c>
      <c r="H680" s="12" t="inlineStr">
        <is>
          <t>Agios, commissions et frais</t>
        </is>
      </c>
      <c r="I680" s="12" t="inlineStr"/>
      <c r="J680" s="12" t="inlineStr">
        <is>
          <t>B26060458</t>
        </is>
      </c>
      <c r="K680" s="12" t="inlineStr">
        <is>
          <t>44557, 62750</t>
        </is>
      </c>
      <c r="L680" s="12" t="inlineStr">
        <is>
          <t>Probable</t>
        </is>
      </c>
    </row>
    <row r="681">
      <c r="A681" s="22" t="inlineStr">
        <is>
          <t>15/06/2026</t>
        </is>
      </c>
      <c r="B681" s="22" t="inlineStr">
        <is>
          <t>00370-000192</t>
        </is>
      </c>
      <c r="C681" s="22" t="inlineStr">
        <is>
          <t>OUV CREDOC00370 CDI00014662</t>
        </is>
      </c>
      <c r="D681" s="25" t="n">
        <v>185386.98</v>
      </c>
      <c r="E681" s="25" t="n"/>
      <c r="F681" s="25" t="n">
        <v>-10009532.06</v>
      </c>
      <c r="G681" s="12" t="inlineStr">
        <is>
          <t>2026-06</t>
        </is>
      </c>
      <c r="H681" s="12" t="inlineStr">
        <is>
          <t>Importations (règlements, provisions, crédoc)</t>
        </is>
      </c>
      <c r="I681" s="12" t="inlineStr"/>
      <c r="J681" s="12" t="inlineStr">
        <is>
          <t>B26060459</t>
        </is>
      </c>
      <c r="K681" s="12" t="inlineStr">
        <is>
          <t>44557, 62750</t>
        </is>
      </c>
      <c r="L681" s="12" t="inlineStr">
        <is>
          <t>Probable</t>
        </is>
      </c>
    </row>
    <row r="682">
      <c r="A682" s="22" t="inlineStr">
        <is>
          <t>17/06/2026</t>
        </is>
      </c>
      <c r="B682" s="22" t="inlineStr">
        <is>
          <t>00370-005459</t>
        </is>
      </c>
      <c r="C682" s="22" t="inlineStr">
        <is>
          <t>PERCEPTION DES COMMISSIONS</t>
        </is>
      </c>
      <c r="D682" s="25" t="n">
        <v>60.82</v>
      </c>
      <c r="E682" s="25" t="n"/>
      <c r="F682" s="25" t="n">
        <v>-10009592.88</v>
      </c>
      <c r="G682" s="12" t="inlineStr">
        <is>
          <t>2026-06</t>
        </is>
      </c>
      <c r="H682" s="12" t="inlineStr">
        <is>
          <t>Agios, commissions et frais</t>
        </is>
      </c>
      <c r="I682" s="12" t="inlineStr"/>
      <c r="J682" s="12" t="inlineStr">
        <is>
          <t>B26060460</t>
        </is>
      </c>
      <c r="K682" s="12" t="inlineStr">
        <is>
          <t>44557, 62750</t>
        </is>
      </c>
      <c r="L682" s="12" t="inlineStr">
        <is>
          <t>Probable</t>
        </is>
      </c>
    </row>
    <row r="683">
      <c r="A683" s="22" t="inlineStr">
        <is>
          <t>17/06/2026</t>
        </is>
      </c>
      <c r="B683" s="22" t="inlineStr">
        <is>
          <t>00370-005460</t>
        </is>
      </c>
      <c r="C683" s="22" t="inlineStr">
        <is>
          <t>PERCEPTION DES COMMISSIONS</t>
        </is>
      </c>
      <c r="D683" s="25" t="n">
        <v>1520.56</v>
      </c>
      <c r="E683" s="25" t="n"/>
      <c r="F683" s="25" t="n">
        <v>-10011113.44</v>
      </c>
      <c r="G683" s="12" t="inlineStr">
        <is>
          <t>2026-06</t>
        </is>
      </c>
      <c r="H683" s="12" t="inlineStr">
        <is>
          <t>Agios, commissions et frais</t>
        </is>
      </c>
      <c r="I683" s="12" t="inlineStr"/>
      <c r="J683" s="12" t="inlineStr">
        <is>
          <t>B26060461</t>
        </is>
      </c>
      <c r="K683" s="12" t="inlineStr">
        <is>
          <t>44557, 62750</t>
        </is>
      </c>
      <c r="L683" s="12" t="inlineStr">
        <is>
          <t>Probable</t>
        </is>
      </c>
    </row>
    <row r="684">
      <c r="A684" s="22" t="inlineStr">
        <is>
          <t>17/06/2026</t>
        </is>
      </c>
      <c r="B684" s="22" t="inlineStr">
        <is>
          <t>00370-005461</t>
        </is>
      </c>
      <c r="C684" s="22" t="inlineStr">
        <is>
          <t>PERCEPTION DES COMMISSIONS</t>
        </is>
      </c>
      <c r="D684" s="25" t="n">
        <v>60.82</v>
      </c>
      <c r="E684" s="25" t="n"/>
      <c r="F684" s="25" t="n">
        <v>-10011174.26</v>
      </c>
      <c r="G684" s="12" t="inlineStr">
        <is>
          <t>2026-06</t>
        </is>
      </c>
      <c r="H684" s="12" t="inlineStr">
        <is>
          <t>Agios, commissions et frais</t>
        </is>
      </c>
      <c r="I684" s="12" t="inlineStr"/>
      <c r="J684" s="12" t="inlineStr">
        <is>
          <t>B26060462</t>
        </is>
      </c>
      <c r="K684" s="12" t="inlineStr">
        <is>
          <t>44557, 62750</t>
        </is>
      </c>
      <c r="L684" s="12" t="inlineStr">
        <is>
          <t>Probable</t>
        </is>
      </c>
    </row>
    <row r="685">
      <c r="A685" s="22" t="inlineStr">
        <is>
          <t>17/06/2026</t>
        </is>
      </c>
      <c r="B685" s="22" t="inlineStr">
        <is>
          <t>00370-005457</t>
        </is>
      </c>
      <c r="C685" s="22" t="inlineStr">
        <is>
          <t>PERCEPTION DES COMMISSIONS</t>
        </is>
      </c>
      <c r="D685" s="25" t="n">
        <v>60.82</v>
      </c>
      <c r="E685" s="25" t="n"/>
      <c r="F685" s="25" t="n">
        <v>-10011235.08</v>
      </c>
      <c r="G685" s="12" t="inlineStr">
        <is>
          <t>2026-06</t>
        </is>
      </c>
      <c r="H685" s="12" t="inlineStr">
        <is>
          <t>Agios, commissions et frais</t>
        </is>
      </c>
      <c r="I685" s="12" t="inlineStr"/>
      <c r="J685" s="12" t="inlineStr">
        <is>
          <t>B26060463</t>
        </is>
      </c>
      <c r="K685" s="12" t="inlineStr">
        <is>
          <t>44557, 62750</t>
        </is>
      </c>
      <c r="L685" s="12" t="inlineStr">
        <is>
          <t>Probable</t>
        </is>
      </c>
    </row>
    <row r="686">
      <c r="A686" s="22" t="inlineStr">
        <is>
          <t>17/06/2026</t>
        </is>
      </c>
      <c r="B686" s="22" t="inlineStr">
        <is>
          <t>00370-005458</t>
        </is>
      </c>
      <c r="C686" s="22" t="inlineStr">
        <is>
          <t>PERCEPTION DES COMMISSIONS</t>
        </is>
      </c>
      <c r="D686" s="25" t="n">
        <v>60.82</v>
      </c>
      <c r="E686" s="25" t="n"/>
      <c r="F686" s="25" t="n">
        <v>-10011295.9</v>
      </c>
      <c r="G686" s="12" t="inlineStr">
        <is>
          <t>2026-06</t>
        </is>
      </c>
      <c r="H686" s="12" t="inlineStr">
        <is>
          <t>Agios, commissions et frais</t>
        </is>
      </c>
      <c r="I686" s="12" t="inlineStr"/>
      <c r="J686" s="12" t="inlineStr">
        <is>
          <t>B26060464</t>
        </is>
      </c>
      <c r="K686" s="12" t="inlineStr">
        <is>
          <t>44557, 62750</t>
        </is>
      </c>
      <c r="L686" s="12" t="inlineStr">
        <is>
          <t>Probable</t>
        </is>
      </c>
    </row>
    <row r="687">
      <c r="A687" s="22" t="inlineStr">
        <is>
          <t>17/06/2026</t>
        </is>
      </c>
      <c r="B687" s="22" t="inlineStr">
        <is>
          <t>00370-005456</t>
        </is>
      </c>
      <c r="C687" s="22" t="inlineStr">
        <is>
          <t>PERCEPTION DES COMMISSIONS</t>
        </is>
      </c>
      <c r="D687" s="25" t="n">
        <v>60.82</v>
      </c>
      <c r="E687" s="25" t="n"/>
      <c r="F687" s="25" t="n">
        <v>-10011356.72</v>
      </c>
      <c r="G687" s="12" t="inlineStr">
        <is>
          <t>2026-06</t>
        </is>
      </c>
      <c r="H687" s="12" t="inlineStr">
        <is>
          <t>Agios, commissions et frais</t>
        </is>
      </c>
      <c r="I687" s="12" t="inlineStr"/>
      <c r="J687" s="12" t="inlineStr">
        <is>
          <t>B26060465</t>
        </is>
      </c>
      <c r="K687" s="12" t="inlineStr">
        <is>
          <t>44557, 62750</t>
        </is>
      </c>
      <c r="L687" s="12" t="inlineStr">
        <is>
          <t>Probable</t>
        </is>
      </c>
    </row>
    <row r="688">
      <c r="A688" s="22" t="inlineStr">
        <is>
          <t>18/06/2026</t>
        </is>
      </c>
      <c r="B688" s="22" t="inlineStr">
        <is>
          <t>00370-087169</t>
        </is>
      </c>
      <c r="C688" s="22" t="inlineStr">
        <is>
          <t>VRT. RECU LAOUEDJ MOHAMMED SAL</t>
        </is>
      </c>
      <c r="D688" s="25" t="n"/>
      <c r="E688" s="25" t="n">
        <v>938094.28</v>
      </c>
      <c r="F688" s="25" t="n">
        <v>-9073262.439999999</v>
      </c>
      <c r="G688" s="12" t="inlineStr">
        <is>
          <t>2026-06</t>
        </is>
      </c>
      <c r="H688" s="12" t="inlineStr">
        <is>
          <t>Encaissements clients</t>
        </is>
      </c>
      <c r="I688" s="12" t="inlineStr"/>
      <c r="J688" s="12" t="inlineStr">
        <is>
          <t>B26060466</t>
        </is>
      </c>
      <c r="K688" s="12" t="inlineStr">
        <is>
          <t>41100</t>
        </is>
      </c>
      <c r="L688" s="12" t="inlineStr">
        <is>
          <t>Probable</t>
        </is>
      </c>
    </row>
    <row r="689">
      <c r="A689" s="22" t="inlineStr">
        <is>
          <t>18/06/2026</t>
        </is>
      </c>
      <c r="B689" s="22" t="inlineStr">
        <is>
          <t>00370-000374</t>
        </is>
      </c>
      <c r="C689" s="22" t="inlineStr">
        <is>
          <t>OPERATION PROV 20% PTI65855 US</t>
        </is>
      </c>
      <c r="D689" s="25" t="n">
        <v>1500000</v>
      </c>
      <c r="E689" s="25" t="n"/>
      <c r="F689" s="25" t="n">
        <v>-10573262.44</v>
      </c>
      <c r="G689" s="12" t="inlineStr">
        <is>
          <t>2026-06</t>
        </is>
      </c>
      <c r="H689" s="12" t="inlineStr">
        <is>
          <t>Importations (règlements, provisions, crédoc)</t>
        </is>
      </c>
      <c r="I689" s="12" t="inlineStr"/>
      <c r="J689" s="12" t="inlineStr">
        <is>
          <t>B26060467</t>
        </is>
      </c>
      <c r="K689" s="12" t="inlineStr">
        <is>
          <t>54200</t>
        </is>
      </c>
      <c r="L689" s="12" t="inlineStr">
        <is>
          <t>Certaine</t>
        </is>
      </c>
    </row>
    <row r="690">
      <c r="A690" s="22" t="inlineStr">
        <is>
          <t>21/06/2026</t>
        </is>
      </c>
      <c r="B690" s="22" t="inlineStr">
        <is>
          <t>00370-000008</t>
        </is>
      </c>
      <c r="C690" s="22" t="inlineStr">
        <is>
          <t>FRAIS VRT RTGS</t>
        </is>
      </c>
      <c r="D690" s="25" t="n">
        <v>10125.95</v>
      </c>
      <c r="E690" s="25" t="n"/>
      <c r="F690" s="25" t="n">
        <v>-10583388.39</v>
      </c>
      <c r="G690" s="12" t="inlineStr">
        <is>
          <t>2026-06</t>
        </is>
      </c>
      <c r="H690" s="12" t="inlineStr">
        <is>
          <t>Agios, commissions et frais</t>
        </is>
      </c>
      <c r="I690" s="12" t="inlineStr"/>
      <c r="J690" s="12" t="inlineStr">
        <is>
          <t>B26060468</t>
        </is>
      </c>
      <c r="K690" s="12" t="inlineStr">
        <is>
          <t>44557, 62750</t>
        </is>
      </c>
      <c r="L690" s="12" t="inlineStr">
        <is>
          <t>Probable</t>
        </is>
      </c>
    </row>
    <row r="691">
      <c r="A691" s="22" t="inlineStr">
        <is>
          <t>21/06/2026</t>
        </is>
      </c>
      <c r="B691" s="22" t="inlineStr">
        <is>
          <t>00370-000008</t>
        </is>
      </c>
      <c r="C691" s="22" t="inlineStr">
        <is>
          <t>VRT. ORD. SARL COLMAR LEAF SPR</t>
        </is>
      </c>
      <c r="D691" s="25" t="n">
        <v>8509199.720000001</v>
      </c>
      <c r="E691" s="25" t="n"/>
      <c r="F691" s="25" t="n">
        <v>-19092588.11</v>
      </c>
      <c r="G691" s="12" t="inlineStr">
        <is>
          <t>2026-06</t>
        </is>
      </c>
      <c r="H691" s="12" t="inlineStr">
        <is>
          <t>Fournisseurs, salaires et divers</t>
        </is>
      </c>
      <c r="I691" s="12" t="inlineStr"/>
      <c r="J691" s="12" t="inlineStr">
        <is>
          <t>B26060469</t>
        </is>
      </c>
      <c r="K691" s="12" t="inlineStr">
        <is>
          <t>40100</t>
        </is>
      </c>
      <c r="L691" s="12" t="inlineStr">
        <is>
          <t>Probable</t>
        </is>
      </c>
    </row>
    <row r="692">
      <c r="A692" s="22" t="inlineStr">
        <is>
          <t>28/06/2026</t>
        </is>
      </c>
      <c r="B692" s="22" t="inlineStr">
        <is>
          <t>99000-000177</t>
        </is>
      </c>
      <c r="C692" s="22" t="inlineStr">
        <is>
          <t>REG A US R00370 PTI00065855</t>
        </is>
      </c>
      <c r="D692" s="25" t="n">
        <v>3000</v>
      </c>
      <c r="E692" s="25" t="n"/>
      <c r="F692" s="25" t="n">
        <v>-19095588.11</v>
      </c>
      <c r="G692" s="12" t="inlineStr">
        <is>
          <t>2026-06</t>
        </is>
      </c>
      <c r="H692" s="12" t="inlineStr">
        <is>
          <t>Importations (règlements, provisions, crédoc)</t>
        </is>
      </c>
      <c r="I692" s="12" t="inlineStr"/>
      <c r="J692" s="12" t="inlineStr">
        <is>
          <t>B26060470</t>
        </is>
      </c>
      <c r="K692" s="12" t="inlineStr">
        <is>
          <t>44557, 62750</t>
        </is>
      </c>
      <c r="L692" s="12" t="inlineStr">
        <is>
          <t>Probable</t>
        </is>
      </c>
    </row>
    <row r="693">
      <c r="A693" s="22" t="inlineStr">
        <is>
          <t>29/06/2026</t>
        </is>
      </c>
      <c r="B693" s="22" t="inlineStr">
        <is>
          <t>00370-005473</t>
        </is>
      </c>
      <c r="C693" s="22" t="inlineStr">
        <is>
          <t>PERCEPTION DES COMMISSIONS</t>
        </is>
      </c>
      <c r="D693" s="25" t="n">
        <v>3016.1</v>
      </c>
      <c r="E693" s="25" t="n"/>
      <c r="F693" s="25" t="n">
        <v>-19098604.21</v>
      </c>
      <c r="G693" s="12" t="inlineStr">
        <is>
          <t>2026-06</t>
        </is>
      </c>
      <c r="H693" s="12" t="inlineStr">
        <is>
          <t>Agios, commissions et frais</t>
        </is>
      </c>
      <c r="I693" s="12" t="inlineStr"/>
      <c r="J693" s="12" t="inlineStr">
        <is>
          <t>B26060471</t>
        </is>
      </c>
      <c r="K693" s="12" t="inlineStr">
        <is>
          <t>44557, 62750</t>
        </is>
      </c>
      <c r="L693" s="12" t="inlineStr">
        <is>
          <t>Probable</t>
        </is>
      </c>
    </row>
    <row r="694">
      <c r="A694" s="22" t="inlineStr">
        <is>
          <t>06/07/2026</t>
        </is>
      </c>
      <c r="B694" s="22" t="inlineStr">
        <is>
          <t>00370-001210</t>
        </is>
      </c>
      <c r="C694" s="22" t="inlineStr">
        <is>
          <t>COM.VRT EDI BQUE</t>
        </is>
      </c>
      <c r="D694" s="25" t="n">
        <v>35.7</v>
      </c>
      <c r="E694" s="25" t="n"/>
      <c r="F694" s="25" t="n">
        <v>-19098639.91</v>
      </c>
      <c r="G694" s="12" t="inlineStr">
        <is>
          <t>2026-07</t>
        </is>
      </c>
      <c r="H694" s="12" t="inlineStr">
        <is>
          <t>Agios, commissions et frais</t>
        </is>
      </c>
      <c r="I694" s="12" t="inlineStr"/>
      <c r="J694" s="12" t="inlineStr">
        <is>
          <t>B26070472</t>
        </is>
      </c>
      <c r="K694" s="12" t="inlineStr">
        <is>
          <t>44557, 62750</t>
        </is>
      </c>
      <c r="L694" s="12" t="inlineStr">
        <is>
          <t>Probable</t>
        </is>
      </c>
    </row>
    <row r="695">
      <c r="A695" s="22" t="inlineStr">
        <is>
          <t>06/07/2026</t>
        </is>
      </c>
      <c r="B695" s="22" t="inlineStr">
        <is>
          <t>00370-001210</t>
        </is>
      </c>
      <c r="C695" s="22" t="inlineStr">
        <is>
          <t>VRT EDI SIMPLE AUTRE</t>
        </is>
      </c>
      <c r="D695" s="25" t="n">
        <v>428400</v>
      </c>
      <c r="E695" s="25" t="n"/>
      <c r="F695" s="25" t="n">
        <v>-19527039.91</v>
      </c>
      <c r="G695" s="12" t="inlineStr">
        <is>
          <t>2026-07</t>
        </is>
      </c>
      <c r="H695" s="12" t="inlineStr">
        <is>
          <t>Fournisseurs, salaires et divers</t>
        </is>
      </c>
      <c r="I695" s="12" t="inlineStr"/>
      <c r="J695" s="12" t="inlineStr">
        <is>
          <t>B26070473</t>
        </is>
      </c>
      <c r="K695" s="12" t="inlineStr">
        <is>
          <t>40130</t>
        </is>
      </c>
      <c r="L695" s="12" t="inlineStr">
        <is>
          <t>Par analogie</t>
        </is>
      </c>
    </row>
    <row r="696">
      <c r="A696" s="22" t="inlineStr">
        <is>
          <t>06/07/2026</t>
        </is>
      </c>
      <c r="B696" s="22" t="inlineStr">
        <is>
          <t>00370-030473</t>
        </is>
      </c>
      <c r="C696" s="22" t="inlineStr">
        <is>
          <t>APPEL ECHEANCE     4136</t>
        </is>
      </c>
      <c r="D696" s="25" t="n">
        <v>132625.69</v>
      </c>
      <c r="E696" s="25" t="n"/>
      <c r="F696" s="25" t="n">
        <v>-19659665.6</v>
      </c>
      <c r="G696" s="12" t="inlineStr">
        <is>
          <t>2026-07</t>
        </is>
      </c>
      <c r="H696" s="12" t="inlineStr">
        <is>
          <t>Remboursement crédit / échéances</t>
        </is>
      </c>
      <c r="I696" s="12" t="inlineStr"/>
      <c r="J696" s="12" t="inlineStr">
        <is>
          <t>B26070474</t>
        </is>
      </c>
      <c r="K696" s="12" t="inlineStr">
        <is>
          <t>51900</t>
        </is>
      </c>
      <c r="L696" s="12" t="inlineStr">
        <is>
          <t>Probable</t>
        </is>
      </c>
    </row>
    <row r="697">
      <c r="A697" s="22" t="inlineStr">
        <is>
          <t>07/07/2026</t>
        </is>
      </c>
      <c r="B697" s="22" t="inlineStr">
        <is>
          <t>00370-000138</t>
        </is>
      </c>
      <c r="C697" s="22" t="inlineStr">
        <is>
          <t>COM.VRT EDI AGENCE</t>
        </is>
      </c>
      <c r="D697" s="25" t="n">
        <v>23.8</v>
      </c>
      <c r="E697" s="25" t="n"/>
      <c r="F697" s="25" t="n">
        <v>-19659689.4</v>
      </c>
      <c r="G697" s="12" t="inlineStr">
        <is>
          <t>2026-07</t>
        </is>
      </c>
      <c r="H697" s="12" t="inlineStr">
        <is>
          <t>Agios, commissions et frais</t>
        </is>
      </c>
      <c r="I697" s="12" t="inlineStr"/>
      <c r="J697" s="12" t="inlineStr">
        <is>
          <t>B26070475</t>
        </is>
      </c>
      <c r="K697" s="12" t="inlineStr">
        <is>
          <t>44557, 62750</t>
        </is>
      </c>
      <c r="L697" s="12" t="inlineStr">
        <is>
          <t>Probable</t>
        </is>
      </c>
    </row>
    <row r="698">
      <c r="A698" s="22" t="inlineStr">
        <is>
          <t>07/07/2026</t>
        </is>
      </c>
      <c r="B698" s="22" t="inlineStr">
        <is>
          <t>00370-000138</t>
        </is>
      </c>
      <c r="C698" s="22" t="inlineStr">
        <is>
          <t>SNC GENERAL BATTERIES ET LUBRI</t>
        </is>
      </c>
      <c r="D698" s="25" t="n">
        <v>602900.0699999999</v>
      </c>
      <c r="E698" s="25" t="n"/>
      <c r="F698" s="25" t="n">
        <v>-20262589.47</v>
      </c>
      <c r="G698" s="12" t="inlineStr">
        <is>
          <t>2026-07</t>
        </is>
      </c>
      <c r="H698" s="12" t="inlineStr">
        <is>
          <t>Fournisseurs, salaires et divers</t>
        </is>
      </c>
      <c r="I698" s="12" t="inlineStr"/>
      <c r="J698" s="12" t="inlineStr">
        <is>
          <t>B26070476</t>
        </is>
      </c>
      <c r="K698" s="12" t="inlineStr">
        <is>
          <t>40100</t>
        </is>
      </c>
      <c r="L698" s="12" t="inlineStr">
        <is>
          <t>Probable</t>
        </is>
      </c>
    </row>
    <row r="699">
      <c r="A699" s="22" t="inlineStr">
        <is>
          <t>07/07/2026</t>
        </is>
      </c>
      <c r="B699" s="22" t="inlineStr">
        <is>
          <t>00370-001213</t>
        </is>
      </c>
      <c r="C699" s="22" t="inlineStr">
        <is>
          <t>COM.VRT EDI BQUE</t>
        </is>
      </c>
      <c r="D699" s="25" t="n">
        <v>35.7</v>
      </c>
      <c r="E699" s="25" t="n"/>
      <c r="F699" s="25" t="n">
        <v>-20262625.17</v>
      </c>
      <c r="G699" s="12" t="inlineStr">
        <is>
          <t>2026-07</t>
        </is>
      </c>
      <c r="H699" s="12" t="inlineStr">
        <is>
          <t>Agios, commissions et frais</t>
        </is>
      </c>
      <c r="I699" s="12" t="inlineStr"/>
      <c r="J699" s="12" t="inlineStr">
        <is>
          <t>B26070477</t>
        </is>
      </c>
      <c r="K699" s="12" t="inlineStr">
        <is>
          <t>44557, 62750</t>
        </is>
      </c>
      <c r="L699" s="12" t="inlineStr">
        <is>
          <t>Probable</t>
        </is>
      </c>
    </row>
    <row r="700">
      <c r="A700" s="22" t="inlineStr">
        <is>
          <t>07/07/2026</t>
        </is>
      </c>
      <c r="B700" s="22" t="inlineStr">
        <is>
          <t>00370-001213</t>
        </is>
      </c>
      <c r="C700" s="22" t="inlineStr">
        <is>
          <t>VRT EDI SIMPLE AUTRE</t>
        </is>
      </c>
      <c r="D700" s="25" t="n">
        <v>80000</v>
      </c>
      <c r="E700" s="25" t="n"/>
      <c r="F700" s="25" t="n">
        <v>-20342625.17</v>
      </c>
      <c r="G700" s="12" t="inlineStr">
        <is>
          <t>2026-07</t>
        </is>
      </c>
      <c r="H700" s="12" t="inlineStr">
        <is>
          <t>Fournisseurs, salaires et divers</t>
        </is>
      </c>
      <c r="I700" s="12" t="inlineStr"/>
      <c r="J700" s="12" t="inlineStr">
        <is>
          <t>B26070478</t>
        </is>
      </c>
      <c r="K700" s="12" t="inlineStr">
        <is>
          <t>47000</t>
        </is>
      </c>
      <c r="L700" s="12" t="inlineStr">
        <is>
          <t>À identifier</t>
        </is>
      </c>
    </row>
    <row r="701">
      <c r="A701" s="22" t="inlineStr">
        <is>
          <t>07/07/2026</t>
        </is>
      </c>
      <c r="B701" s="22" t="inlineStr">
        <is>
          <t>00370-015561</t>
        </is>
      </c>
      <c r="C701" s="22" t="inlineStr">
        <is>
          <t>CAUTION PROVISIONNEE A 100%</t>
        </is>
      </c>
      <c r="D701" s="25" t="n">
        <v>500000</v>
      </c>
      <c r="E701" s="25" t="n"/>
      <c r="F701" s="25" t="n">
        <v>-20842625.17</v>
      </c>
      <c r="G701" s="12" t="inlineStr">
        <is>
          <t>2026-07</t>
        </is>
      </c>
      <c r="H701" s="12" t="inlineStr">
        <is>
          <t>Cautions et mains levées</t>
        </is>
      </c>
      <c r="I701" s="12" t="inlineStr"/>
      <c r="J701" s="12" t="inlineStr">
        <is>
          <t>B26070479</t>
        </is>
      </c>
      <c r="K701" s="12" t="inlineStr">
        <is>
          <t>27500</t>
        </is>
      </c>
      <c r="L701" s="12" t="inlineStr">
        <is>
          <t>Certaine</t>
        </is>
      </c>
    </row>
    <row r="702">
      <c r="A702" s="22" t="inlineStr">
        <is>
          <t>07/07/2026</t>
        </is>
      </c>
      <c r="B702" s="22" t="inlineStr">
        <is>
          <t>00370-005479</t>
        </is>
      </c>
      <c r="C702" s="22" t="inlineStr">
        <is>
          <t>PERCEPTION DES COMMISSIONS</t>
        </is>
      </c>
      <c r="D702" s="25" t="n">
        <v>1537.09</v>
      </c>
      <c r="E702" s="25" t="n"/>
      <c r="F702" s="25" t="n">
        <v>-20844162.26</v>
      </c>
      <c r="G702" s="12" t="inlineStr">
        <is>
          <t>2026-07</t>
        </is>
      </c>
      <c r="H702" s="12" t="inlineStr">
        <is>
          <t>Agios, commissions et frais</t>
        </is>
      </c>
      <c r="I702" s="12" t="inlineStr"/>
      <c r="J702" s="12" t="inlineStr">
        <is>
          <t>B26070480</t>
        </is>
      </c>
      <c r="K702" s="12" t="inlineStr">
        <is>
          <t>44557, 62750</t>
        </is>
      </c>
      <c r="L702" s="12" t="inlineStr">
        <is>
          <t>Probable</t>
        </is>
      </c>
    </row>
    <row r="703">
      <c r="A703" s="22" t="inlineStr">
        <is>
          <t>08/07/2026</t>
        </is>
      </c>
      <c r="B703" s="22" t="inlineStr">
        <is>
          <t>00370-122094</t>
        </is>
      </c>
      <c r="C703" s="22" t="inlineStr">
        <is>
          <t>PAIEMENT CHQ NUM  2125750</t>
        </is>
      </c>
      <c r="D703" s="25" t="n">
        <v>3000</v>
      </c>
      <c r="E703" s="25" t="n"/>
      <c r="F703" s="25" t="n">
        <v>-20847162.26</v>
      </c>
      <c r="G703" s="12" t="inlineStr">
        <is>
          <t>2026-07</t>
        </is>
      </c>
      <c r="H703" s="12" t="inlineStr">
        <is>
          <t>Fournisseurs, salaires et divers</t>
        </is>
      </c>
      <c r="I703" s="12" t="inlineStr"/>
      <c r="J703" s="12" t="inlineStr">
        <is>
          <t>B26070481</t>
        </is>
      </c>
      <c r="K703" s="12" t="inlineStr">
        <is>
          <t>47000</t>
        </is>
      </c>
      <c r="L703" s="12" t="inlineStr">
        <is>
          <t>À identifier</t>
        </is>
      </c>
    </row>
    <row r="704">
      <c r="A704" s="22" t="inlineStr">
        <is>
          <t>12/07/2026</t>
        </is>
      </c>
      <c r="B704" s="22" t="inlineStr">
        <is>
          <t>00370-122222</t>
        </is>
      </c>
      <c r="C704" s="22" t="inlineStr">
        <is>
          <t>PAIEMENT CHQ NUM  2125758</t>
        </is>
      </c>
      <c r="D704" s="25" t="n">
        <v>413136.41</v>
      </c>
      <c r="E704" s="25" t="n"/>
      <c r="F704" s="25" t="n">
        <v>-21260298.67</v>
      </c>
      <c r="G704" s="12" t="inlineStr">
        <is>
          <t>2026-07</t>
        </is>
      </c>
      <c r="H704" s="12" t="inlineStr">
        <is>
          <t>CNAS</t>
        </is>
      </c>
      <c r="I704" s="4" t="inlineStr">
        <is>
          <t>CNAS IMPORT T2 2026</t>
        </is>
      </c>
      <c r="J704" s="12" t="inlineStr">
        <is>
          <t>B26070482</t>
        </is>
      </c>
      <c r="K704" s="12" t="inlineStr">
        <is>
          <t>43100, 43200</t>
        </is>
      </c>
      <c r="L704" s="12" t="inlineStr">
        <is>
          <t>Certaine</t>
        </is>
      </c>
    </row>
    <row r="705">
      <c r="A705" s="22" t="inlineStr">
        <is>
          <t>12/07/2026</t>
        </is>
      </c>
      <c r="B705" s="22" t="inlineStr">
        <is>
          <t>00370-122222</t>
        </is>
      </c>
      <c r="C705" s="22" t="inlineStr">
        <is>
          <t>PERCEP.COM SUR PAIEMENTS CHQ</t>
        </is>
      </c>
      <c r="D705" s="25" t="n">
        <v>59.5</v>
      </c>
      <c r="E705" s="25" t="n"/>
      <c r="F705" s="25" t="n">
        <v>-21260358.17</v>
      </c>
      <c r="G705" s="12" t="inlineStr">
        <is>
          <t>2026-07</t>
        </is>
      </c>
      <c r="H705" s="12" t="inlineStr">
        <is>
          <t>Agios, commissions et frais</t>
        </is>
      </c>
      <c r="I705" s="12" t="inlineStr"/>
      <c r="J705" s="12" t="inlineStr">
        <is>
          <t>B26070483</t>
        </is>
      </c>
      <c r="K705" s="12" t="inlineStr">
        <is>
          <t>44557, 62750</t>
        </is>
      </c>
      <c r="L705" s="12" t="inlineStr">
        <is>
          <t>Probable</t>
        </is>
      </c>
    </row>
    <row r="706">
      <c r="A706" s="22" t="inlineStr">
        <is>
          <t>12/07/2026</t>
        </is>
      </c>
      <c r="B706" s="22" t="inlineStr">
        <is>
          <t>00370-000011</t>
        </is>
      </c>
      <c r="C706" s="22" t="inlineStr">
        <is>
          <t>VIREMENTS MULT EDI A DEBITER</t>
        </is>
      </c>
      <c r="D706" s="25" t="n">
        <v>174301.77</v>
      </c>
      <c r="E706" s="25" t="n"/>
      <c r="F706" s="25" t="n">
        <v>-21434659.94</v>
      </c>
      <c r="G706" s="12" t="inlineStr">
        <is>
          <t>2026-07</t>
        </is>
      </c>
      <c r="H706" s="12" t="inlineStr">
        <is>
          <t>Fournisseurs, salaires et divers</t>
        </is>
      </c>
      <c r="I706" s="12" t="inlineStr"/>
      <c r="J706" s="12" t="inlineStr">
        <is>
          <t>B26070484</t>
        </is>
      </c>
      <c r="K706" s="12" t="inlineStr">
        <is>
          <t>42100</t>
        </is>
      </c>
      <c r="L706" s="12" t="inlineStr">
        <is>
          <t>Probable</t>
        </is>
      </c>
    </row>
    <row r="707">
      <c r="A707" s="22" t="inlineStr">
        <is>
          <t>12/07/2026</t>
        </is>
      </c>
      <c r="B707" s="22" t="inlineStr">
        <is>
          <t>00370-000011</t>
        </is>
      </c>
      <c r="C707" s="22" t="inlineStr">
        <is>
          <t>VIREMENTS MULT EDI A DEBITER</t>
        </is>
      </c>
      <c r="D707" s="25" t="n">
        <v>71.40000000000001</v>
      </c>
      <c r="E707" s="25" t="n"/>
      <c r="F707" s="25" t="n">
        <v>-21434731.34</v>
      </c>
      <c r="G707" s="12" t="inlineStr">
        <is>
          <t>2026-07</t>
        </is>
      </c>
      <c r="H707" s="12" t="inlineStr">
        <is>
          <t>Fournisseurs, salaires et divers</t>
        </is>
      </c>
      <c r="I707" s="12" t="inlineStr"/>
      <c r="J707" s="12" t="inlineStr">
        <is>
          <t>B26070485</t>
        </is>
      </c>
      <c r="K707" s="12" t="inlineStr">
        <is>
          <t>42100</t>
        </is>
      </c>
      <c r="L707" s="12" t="inlineStr">
        <is>
          <t>Probable</t>
        </is>
      </c>
    </row>
    <row r="708">
      <c r="A708" s="22" t="inlineStr">
        <is>
          <t>14/07/2026</t>
        </is>
      </c>
      <c r="B708" s="22" t="inlineStr">
        <is>
          <t>99000-000099</t>
        </is>
      </c>
      <c r="C708" s="22" t="inlineStr">
        <is>
          <t>REGLEMENT 00370 CDI00014662</t>
        </is>
      </c>
      <c r="D708" s="25" t="n">
        <v>3000</v>
      </c>
      <c r="E708" s="25" t="n"/>
      <c r="F708" s="25" t="n">
        <v>-21437731.34</v>
      </c>
      <c r="G708" s="12" t="inlineStr">
        <is>
          <t>2026-07</t>
        </is>
      </c>
      <c r="H708" s="12" t="inlineStr">
        <is>
          <t>Importations (règlements, provisions, crédoc)</t>
        </is>
      </c>
      <c r="I708" s="12" t="inlineStr"/>
      <c r="J708" s="12" t="inlineStr">
        <is>
          <t>B26070486</t>
        </is>
      </c>
      <c r="K708" s="12" t="inlineStr">
        <is>
          <t>44557, 62750</t>
        </is>
      </c>
      <c r="L708" s="12" t="inlineStr">
        <is>
          <t>Probable</t>
        </is>
      </c>
    </row>
    <row r="709">
      <c r="A709" s="22" t="inlineStr">
        <is>
          <t>14/07/2026</t>
        </is>
      </c>
      <c r="B709" s="22" t="inlineStr">
        <is>
          <t>00370-067221</t>
        </is>
      </c>
      <c r="C709" s="22" t="inlineStr">
        <is>
          <t>SORT CHQ NUM  9454937</t>
        </is>
      </c>
      <c r="D709" s="25" t="n"/>
      <c r="E709" s="25" t="n">
        <v>41650</v>
      </c>
      <c r="F709" s="25" t="n">
        <v>-21396081.34</v>
      </c>
      <c r="G709" s="12" t="inlineStr">
        <is>
          <t>2026-07</t>
        </is>
      </c>
      <c r="H709" s="12" t="inlineStr">
        <is>
          <t>Encaissements clients</t>
        </is>
      </c>
      <c r="I709" s="12" t="inlineStr"/>
      <c r="J709" s="12" t="inlineStr">
        <is>
          <t>B26070487</t>
        </is>
      </c>
      <c r="K709" s="12" t="inlineStr">
        <is>
          <t>47000</t>
        </is>
      </c>
      <c r="L709" s="12" t="inlineStr">
        <is>
          <t>À identifier</t>
        </is>
      </c>
    </row>
    <row r="710">
      <c r="A710" s="22" t="inlineStr">
        <is>
          <t>14/07/2026</t>
        </is>
      </c>
      <c r="B710" s="22" t="inlineStr">
        <is>
          <t>00370-067221</t>
        </is>
      </c>
      <c r="C710" s="22" t="inlineStr">
        <is>
          <t>FRAIS REMISE CHQ N  9454937</t>
        </is>
      </c>
      <c r="D710" s="25" t="n">
        <v>59.5</v>
      </c>
      <c r="E710" s="25" t="n"/>
      <c r="F710" s="25" t="n">
        <v>-21396140.84</v>
      </c>
      <c r="G710" s="12" t="inlineStr">
        <is>
          <t>2026-07</t>
        </is>
      </c>
      <c r="H710" s="12" t="inlineStr">
        <is>
          <t>Agios, commissions et frais</t>
        </is>
      </c>
      <c r="I710" s="12" t="inlineStr"/>
      <c r="J710" s="12" t="inlineStr">
        <is>
          <t>B26070488</t>
        </is>
      </c>
      <c r="K710" s="12" t="inlineStr">
        <is>
          <t>44557, 62750</t>
        </is>
      </c>
      <c r="L710" s="12" t="inlineStr">
        <is>
          <t>Probable</t>
        </is>
      </c>
    </row>
    <row r="711">
      <c r="A711" s="22" t="inlineStr">
        <is>
          <t>15/07/2026</t>
        </is>
      </c>
      <c r="B711" s="22" t="inlineStr">
        <is>
          <t>00370-007006</t>
        </is>
      </c>
      <c r="C711" s="22" t="inlineStr">
        <is>
          <t>VRT.ORD   REGLT 70% CDI14662 U</t>
        </is>
      </c>
      <c r="D711" s="25" t="n">
        <v>16737336.35</v>
      </c>
      <c r="E711" s="25" t="n"/>
      <c r="F711" s="25" t="n">
        <v>-38133477.19</v>
      </c>
      <c r="G711" s="12" t="inlineStr">
        <is>
          <t>2026-07</t>
        </is>
      </c>
      <c r="H711" s="12" t="inlineStr">
        <is>
          <t>Importations (règlements, provisions, crédoc)</t>
        </is>
      </c>
      <c r="I711" s="12" t="inlineStr"/>
      <c r="J711" s="12" t="inlineStr">
        <is>
          <t>B26070489</t>
        </is>
      </c>
      <c r="K711" s="12" t="inlineStr">
        <is>
          <t>40102</t>
        </is>
      </c>
      <c r="L711" s="12" t="inlineStr">
        <is>
          <t>Probable</t>
        </is>
      </c>
    </row>
    <row r="712">
      <c r="A712" s="22" t="inlineStr">
        <is>
          <t>15/07/2026</t>
        </is>
      </c>
      <c r="B712" s="22" t="inlineStr">
        <is>
          <t>00370-058904</t>
        </is>
      </c>
      <c r="C712" s="22" t="inlineStr">
        <is>
          <t>DEBLOCAGE A LA DEMAN     4145</t>
        </is>
      </c>
      <c r="D712" s="25" t="n"/>
      <c r="E712" s="25" t="n">
        <v>16737336.35</v>
      </c>
      <c r="F712" s="25" t="n">
        <v>-21396140.84</v>
      </c>
      <c r="G712" s="12" t="inlineStr">
        <is>
          <t>2026-07</t>
        </is>
      </c>
      <c r="H712" s="12" t="inlineStr">
        <is>
          <t>Crédit bancaire débloqué</t>
        </is>
      </c>
      <c r="I712" s="12" t="inlineStr"/>
      <c r="J712" s="12" t="inlineStr">
        <is>
          <t>B26070490</t>
        </is>
      </c>
      <c r="K712" s="12" t="inlineStr">
        <is>
          <t>51900</t>
        </is>
      </c>
      <c r="L712" s="12" t="inlineStr">
        <is>
          <t>Certaine</t>
        </is>
      </c>
    </row>
    <row r="713">
      <c r="A713" s="22" t="inlineStr">
        <is>
          <t>15/07/2026</t>
        </is>
      </c>
      <c r="B713" s="22" t="inlineStr">
        <is>
          <t>00370-007007</t>
        </is>
      </c>
      <c r="C713" s="22" t="inlineStr">
        <is>
          <t>VRT.RECU  REST GAIN CHANGE CDI</t>
        </is>
      </c>
      <c r="D713" s="25" t="n"/>
      <c r="E713" s="25" t="n">
        <v>326855.85</v>
      </c>
      <c r="F713" s="25" t="n">
        <v>-21069284.99</v>
      </c>
      <c r="G713" s="12" t="inlineStr">
        <is>
          <t>2026-07</t>
        </is>
      </c>
      <c r="H713" s="12" t="inlineStr">
        <is>
          <t>Importations (règlements, provisions, crédoc)</t>
        </is>
      </c>
      <c r="I713" s="12" t="inlineStr"/>
      <c r="J713" s="12" t="inlineStr">
        <is>
          <t>B26070491</t>
        </is>
      </c>
      <c r="K713" s="12" t="inlineStr">
        <is>
          <t>76600</t>
        </is>
      </c>
      <c r="L713" s="12" t="inlineStr">
        <is>
          <t>Certaine</t>
        </is>
      </c>
    </row>
    <row r="714">
      <c r="A714" s="22" t="inlineStr">
        <is>
          <t>15/07/2026</t>
        </is>
      </c>
      <c r="B714" s="22" t="inlineStr">
        <is>
          <t>00370-016591</t>
        </is>
      </c>
      <c r="C714" s="22" t="inlineStr">
        <is>
          <t>REMUNI CDI14662 USD179390</t>
        </is>
      </c>
      <c r="D714" s="25" t="n"/>
      <c r="E714" s="25" t="n">
        <v>13134.38</v>
      </c>
      <c r="F714" s="25" t="n">
        <v>-21056150.61</v>
      </c>
      <c r="G714" s="12" t="inlineStr">
        <is>
          <t>2026-07</t>
        </is>
      </c>
      <c r="H714" s="12" t="inlineStr">
        <is>
          <t>Importations (règlements, provisions, crédoc)</t>
        </is>
      </c>
      <c r="I714" s="12" t="inlineStr"/>
      <c r="J714" s="12" t="inlineStr">
        <is>
          <t>B26070492</t>
        </is>
      </c>
      <c r="K714" s="12" t="inlineStr">
        <is>
          <t>76800</t>
        </is>
      </c>
      <c r="L714" s="12" t="inlineStr">
        <is>
          <t>Probable</t>
        </is>
      </c>
    </row>
    <row r="715">
      <c r="A715" s="22" t="inlineStr">
        <is>
          <t>15/07/2026</t>
        </is>
      </c>
      <c r="B715" s="22" t="inlineStr">
        <is>
          <t>00402-000112</t>
        </is>
      </c>
      <c r="C715" s="22" t="inlineStr">
        <is>
          <t>VERSEMENT EURL BS COMMERCE</t>
        </is>
      </c>
      <c r="D715" s="25" t="n"/>
      <c r="E715" s="25" t="n">
        <v>922250</v>
      </c>
      <c r="F715" s="25" t="n">
        <v>-20133900.61</v>
      </c>
      <c r="G715" s="12" t="inlineStr">
        <is>
          <t>2026-07</t>
        </is>
      </c>
      <c r="H715" s="12" t="inlineStr">
        <is>
          <t>Encaissements clients</t>
        </is>
      </c>
      <c r="I715" s="12" t="inlineStr"/>
      <c r="J715" s="12" t="inlineStr">
        <is>
          <t>B26070493</t>
        </is>
      </c>
      <c r="K715" s="12" t="inlineStr">
        <is>
          <t>41100</t>
        </is>
      </c>
      <c r="L715" s="12" t="inlineStr">
        <is>
          <t>Probable</t>
        </is>
      </c>
    </row>
    <row r="716">
      <c r="A716" s="22" t="inlineStr">
        <is>
          <t>16/07/2026</t>
        </is>
      </c>
      <c r="B716" s="22" t="inlineStr">
        <is>
          <t>00370-085635</t>
        </is>
      </c>
      <c r="C716" s="22" t="inlineStr">
        <is>
          <t>TAXE/INTERETS DBT AU 30/06/26</t>
        </is>
      </c>
      <c r="D716" s="25" t="n">
        <v>56699.72</v>
      </c>
      <c r="E716" s="25" t="n"/>
      <c r="F716" s="25" t="n">
        <v>-20190600.33</v>
      </c>
      <c r="G716" s="12" t="inlineStr">
        <is>
          <t>2026-07</t>
        </is>
      </c>
      <c r="H716" s="12" t="inlineStr">
        <is>
          <t>Agios, commissions et frais</t>
        </is>
      </c>
      <c r="I716" s="12" t="inlineStr"/>
      <c r="J716" s="12" t="inlineStr">
        <is>
          <t>B26070494</t>
        </is>
      </c>
      <c r="K716" s="12" t="inlineStr">
        <is>
          <t>44557</t>
        </is>
      </c>
      <c r="L716" s="12" t="inlineStr">
        <is>
          <t>Certaine</t>
        </is>
      </c>
    </row>
    <row r="717">
      <c r="A717" s="22" t="inlineStr">
        <is>
          <t>16/07/2026</t>
        </is>
      </c>
      <c r="B717" s="22" t="inlineStr">
        <is>
          <t>00370-085635</t>
        </is>
      </c>
      <c r="C717" s="22" t="inlineStr">
        <is>
          <t>TAXE FRAIS FIXE AU 30/06/26</t>
        </is>
      </c>
      <c r="D717" s="25" t="n">
        <v>71.25</v>
      </c>
      <c r="E717" s="25" t="n"/>
      <c r="F717" s="25" t="n">
        <v>-20190671.58</v>
      </c>
      <c r="G717" s="12" t="inlineStr">
        <is>
          <t>2026-07</t>
        </is>
      </c>
      <c r="H717" s="12" t="inlineStr">
        <is>
          <t>Agios, commissions et frais</t>
        </is>
      </c>
      <c r="I717" s="12" t="inlineStr"/>
      <c r="J717" s="12" t="inlineStr">
        <is>
          <t>B26070495</t>
        </is>
      </c>
      <c r="K717" s="12" t="inlineStr">
        <is>
          <t>44557</t>
        </is>
      </c>
      <c r="L717" s="12" t="inlineStr">
        <is>
          <t>Certaine</t>
        </is>
      </c>
    </row>
    <row r="718">
      <c r="A718" s="22" t="inlineStr">
        <is>
          <t>16/07/2026</t>
        </is>
      </c>
      <c r="B718" s="22" t="inlineStr">
        <is>
          <t>00370-085635</t>
        </is>
      </c>
      <c r="C718" s="22" t="inlineStr">
        <is>
          <t>FRAIS FIXE AU 30/06/26</t>
        </is>
      </c>
      <c r="D718" s="25" t="n">
        <v>375</v>
      </c>
      <c r="E718" s="25" t="n"/>
      <c r="F718" s="25" t="n">
        <v>-20191046.58</v>
      </c>
      <c r="G718" s="12" t="inlineStr">
        <is>
          <t>2026-07</t>
        </is>
      </c>
      <c r="H718" s="12" t="inlineStr">
        <is>
          <t>Agios, commissions et frais</t>
        </is>
      </c>
      <c r="I718" s="12" t="inlineStr"/>
      <c r="J718" s="12" t="inlineStr">
        <is>
          <t>B26070496</t>
        </is>
      </c>
      <c r="K718" s="12" t="inlineStr">
        <is>
          <t>44557, 62750</t>
        </is>
      </c>
      <c r="L718" s="12" t="inlineStr">
        <is>
          <t>Probable</t>
        </is>
      </c>
    </row>
    <row r="719">
      <c r="A719" s="22" t="inlineStr">
        <is>
          <t>16/07/2026</t>
        </is>
      </c>
      <c r="B719" s="22" t="inlineStr">
        <is>
          <t>00370-085635</t>
        </is>
      </c>
      <c r="C719" s="22" t="inlineStr">
        <is>
          <t>INTERETS DEBITEURS AU 30/06/26</t>
        </is>
      </c>
      <c r="D719" s="25" t="n">
        <v>298419.58</v>
      </c>
      <c r="E719" s="25" t="n"/>
      <c r="F719" s="25" t="n">
        <v>-20489466.16</v>
      </c>
      <c r="G719" s="12" t="inlineStr">
        <is>
          <t>2026-07</t>
        </is>
      </c>
      <c r="H719" s="12" t="inlineStr">
        <is>
          <t>Agios, commissions et frais</t>
        </is>
      </c>
      <c r="I719" s="12" t="inlineStr"/>
      <c r="J719" s="12" t="inlineStr">
        <is>
          <t>B26070497</t>
        </is>
      </c>
      <c r="K719" s="12" t="inlineStr">
        <is>
          <t>66100</t>
        </is>
      </c>
      <c r="L719" s="12" t="inlineStr">
        <is>
          <t>Certaine</t>
        </is>
      </c>
    </row>
    <row r="720">
      <c r="A720" s="22" t="inlineStr">
        <is>
          <t>16/07/2026</t>
        </is>
      </c>
      <c r="B720" s="22" t="inlineStr">
        <is>
          <t>00370-030489</t>
        </is>
      </c>
      <c r="C720" s="22" t="inlineStr">
        <is>
          <t>APPEL ECHEANCE     4145</t>
        </is>
      </c>
      <c r="D720" s="25" t="n">
        <v>381750.75</v>
      </c>
      <c r="E720" s="25" t="n"/>
      <c r="F720" s="25" t="n">
        <v>-20871216.91</v>
      </c>
      <c r="G720" s="12" t="inlineStr">
        <is>
          <t>2026-07</t>
        </is>
      </c>
      <c r="H720" s="12" t="inlineStr">
        <is>
          <t>Remboursement crédit / échéances</t>
        </is>
      </c>
      <c r="I720" s="12" t="inlineStr"/>
      <c r="J720" s="12" t="inlineStr">
        <is>
          <t>B26070498</t>
        </is>
      </c>
      <c r="K720" s="12" t="inlineStr">
        <is>
          <t>51900</t>
        </is>
      </c>
      <c r="L720" s="12" t="inlineStr">
        <is>
          <t>Probable</t>
        </is>
      </c>
    </row>
    <row r="721">
      <c r="A721" s="22" t="inlineStr">
        <is>
          <t>19/07/2026</t>
        </is>
      </c>
      <c r="B721" s="22" t="inlineStr">
        <is>
          <t>00370-001225</t>
        </is>
      </c>
      <c r="C721" s="22" t="inlineStr">
        <is>
          <t>COM.VRT EDI BQUE</t>
        </is>
      </c>
      <c r="D721" s="25" t="n">
        <v>35.7</v>
      </c>
      <c r="E721" s="25" t="n"/>
      <c r="F721" s="25" t="n">
        <v>-20871252.61</v>
      </c>
      <c r="G721" s="12" t="inlineStr">
        <is>
          <t>2026-07</t>
        </is>
      </c>
      <c r="H721" s="12" t="inlineStr">
        <is>
          <t>Agios, commissions et frais</t>
        </is>
      </c>
      <c r="I721" s="12" t="inlineStr"/>
      <c r="J721" s="12" t="inlineStr">
        <is>
          <t>B26070499</t>
        </is>
      </c>
      <c r="K721" s="12" t="inlineStr">
        <is>
          <t>44557, 62750</t>
        </is>
      </c>
      <c r="L721" s="12" t="inlineStr">
        <is>
          <t>Probable</t>
        </is>
      </c>
    </row>
    <row r="722">
      <c r="A722" s="22" t="inlineStr">
        <is>
          <t>19/07/2026</t>
        </is>
      </c>
      <c r="B722" s="22" t="inlineStr">
        <is>
          <t>00370-001225</t>
        </is>
      </c>
      <c r="C722" s="22" t="inlineStr">
        <is>
          <t>VRT EDI SIMPLE AUTRE</t>
        </is>
      </c>
      <c r="D722" s="25" t="n">
        <v>300000</v>
      </c>
      <c r="E722" s="25" t="n"/>
      <c r="F722" s="25" t="n">
        <v>-21171252.61</v>
      </c>
      <c r="G722" s="12" t="inlineStr">
        <is>
          <t>2026-07</t>
        </is>
      </c>
      <c r="H722" s="12" t="inlineStr">
        <is>
          <t>Fournisseurs, salaires et divers</t>
        </is>
      </c>
      <c r="I722" s="12" t="inlineStr"/>
      <c r="J722" s="12" t="inlineStr">
        <is>
          <t>B26070500</t>
        </is>
      </c>
      <c r="K722" s="12" t="inlineStr">
        <is>
          <t>40100</t>
        </is>
      </c>
      <c r="L722" s="12" t="inlineStr">
        <is>
          <t>Par analogie</t>
        </is>
      </c>
    </row>
    <row r="723">
      <c r="A723" s="22" t="inlineStr">
        <is>
          <t>19/07/2026</t>
        </is>
      </c>
      <c r="B723" s="22" t="inlineStr">
        <is>
          <t>00370-003351</t>
        </is>
      </c>
      <c r="C723" s="22" t="inlineStr">
        <is>
          <t>REMISE CHQ NUM  9174945</t>
        </is>
      </c>
      <c r="D723" s="25" t="n"/>
      <c r="E723" s="25" t="n">
        <v>244545</v>
      </c>
      <c r="F723" s="25" t="n">
        <v>-20926707.61</v>
      </c>
      <c r="G723" s="12" t="inlineStr">
        <is>
          <t>2026-07</t>
        </is>
      </c>
      <c r="H723" s="12" t="inlineStr">
        <is>
          <t>Encaissements clients</t>
        </is>
      </c>
      <c r="I723" s="12" t="inlineStr"/>
      <c r="J723" s="12" t="inlineStr">
        <is>
          <t>B26070501</t>
        </is>
      </c>
      <c r="K723" s="12" t="inlineStr">
        <is>
          <t>47000</t>
        </is>
      </c>
      <c r="L723" s="12" t="inlineStr">
        <is>
          <t>À identifier</t>
        </is>
      </c>
    </row>
    <row r="724">
      <c r="A724" s="22" t="inlineStr">
        <is>
          <t>19/07/2026</t>
        </is>
      </c>
      <c r="B724" s="22" t="inlineStr">
        <is>
          <t>00370-003354</t>
        </is>
      </c>
      <c r="C724" s="22" t="inlineStr">
        <is>
          <t>REMISE CHQ NUM  9174949</t>
        </is>
      </c>
      <c r="D724" s="25" t="n"/>
      <c r="E724" s="25" t="n">
        <v>124950</v>
      </c>
      <c r="F724" s="25" t="n">
        <v>-20801757.61</v>
      </c>
      <c r="G724" s="12" t="inlineStr">
        <is>
          <t>2026-07</t>
        </is>
      </c>
      <c r="H724" s="12" t="inlineStr">
        <is>
          <t>Encaissements clients</t>
        </is>
      </c>
      <c r="I724" s="12" t="inlineStr"/>
      <c r="J724" s="12" t="inlineStr">
        <is>
          <t>B26070502</t>
        </is>
      </c>
      <c r="K724" s="12" t="inlineStr">
        <is>
          <t>47000</t>
        </is>
      </c>
      <c r="L724" s="12" t="inlineStr">
        <is>
          <t>À identifier</t>
        </is>
      </c>
    </row>
    <row r="725">
      <c r="A725" s="22" t="inlineStr">
        <is>
          <t>19/07/2026</t>
        </is>
      </c>
      <c r="B725" s="22" t="inlineStr">
        <is>
          <t>00370-003351</t>
        </is>
      </c>
      <c r="C725" s="22" t="inlineStr">
        <is>
          <t>FRAIS REM. CHQ NUM  9174945</t>
        </is>
      </c>
      <c r="D725" s="25" t="n">
        <v>119</v>
      </c>
      <c r="E725" s="25" t="n"/>
      <c r="F725" s="25" t="n">
        <v>-20801876.61</v>
      </c>
      <c r="G725" s="12" t="inlineStr">
        <is>
          <t>2026-07</t>
        </is>
      </c>
      <c r="H725" s="12" t="inlineStr">
        <is>
          <t>Agios, commissions et frais</t>
        </is>
      </c>
      <c r="I725" s="12" t="inlineStr"/>
      <c r="J725" s="12" t="inlineStr">
        <is>
          <t>B26070503</t>
        </is>
      </c>
      <c r="K725" s="12" t="inlineStr">
        <is>
          <t>44557, 62750</t>
        </is>
      </c>
      <c r="L725" s="12" t="inlineStr">
        <is>
          <t>Probable</t>
        </is>
      </c>
    </row>
    <row r="726">
      <c r="A726" s="22" t="inlineStr">
        <is>
          <t>19/07/2026</t>
        </is>
      </c>
      <c r="B726" s="22" t="inlineStr">
        <is>
          <t>00370-003354</t>
        </is>
      </c>
      <c r="C726" s="22" t="inlineStr">
        <is>
          <t>FRAIS REM. CHQ NUM  9174949</t>
        </is>
      </c>
      <c r="D726" s="25" t="n">
        <v>119</v>
      </c>
      <c r="E726" s="25" t="n"/>
      <c r="F726" s="25" t="n">
        <v>-20801995.61</v>
      </c>
      <c r="G726" s="12" t="inlineStr">
        <is>
          <t>2026-07</t>
        </is>
      </c>
      <c r="H726" s="12" t="inlineStr">
        <is>
          <t>Agios, commissions et frais</t>
        </is>
      </c>
      <c r="I726" s="12" t="inlineStr"/>
      <c r="J726" s="12" t="inlineStr">
        <is>
          <t>B26070504</t>
        </is>
      </c>
      <c r="K726" s="12" t="inlineStr">
        <is>
          <t>44557, 62750</t>
        </is>
      </c>
      <c r="L726" s="12" t="inlineStr">
        <is>
          <t>Probable</t>
        </is>
      </c>
    </row>
    <row r="727">
      <c r="A727" s="22" t="inlineStr">
        <is>
          <t>21/07/2026</t>
        </is>
      </c>
      <c r="B727" s="22" t="inlineStr">
        <is>
          <t>00370-012966</t>
        </is>
      </c>
      <c r="C727" s="22" t="inlineStr">
        <is>
          <t>FRAIS VRT.</t>
        </is>
      </c>
      <c r="D727" s="25" t="n">
        <v>59.5</v>
      </c>
      <c r="E727" s="25" t="n"/>
      <c r="F727" s="25" t="n">
        <v>-20802055.11</v>
      </c>
      <c r="G727" s="12" t="inlineStr">
        <is>
          <t>2026-07</t>
        </is>
      </c>
      <c r="H727" s="12" t="inlineStr">
        <is>
          <t>Agios, commissions et frais</t>
        </is>
      </c>
      <c r="I727" s="12" t="inlineStr"/>
      <c r="J727" s="12" t="inlineStr">
        <is>
          <t>B26070505</t>
        </is>
      </c>
      <c r="K727" s="12" t="inlineStr">
        <is>
          <t>44557, 62750</t>
        </is>
      </c>
      <c r="L727" s="12" t="inlineStr">
        <is>
          <t>Probable</t>
        </is>
      </c>
    </row>
    <row r="728">
      <c r="A728" s="22" t="inlineStr">
        <is>
          <t>21/07/2026</t>
        </is>
      </c>
      <c r="B728" s="22" t="inlineStr">
        <is>
          <t>00370-012966</t>
        </is>
      </c>
      <c r="C728" s="22" t="inlineStr">
        <is>
          <t>VRT. ORD. SARL DPR AXXAM</t>
        </is>
      </c>
      <c r="D728" s="25" t="n">
        <v>4000000</v>
      </c>
      <c r="E728" s="25" t="n"/>
      <c r="F728" s="25" t="n">
        <v>-24802055.11</v>
      </c>
      <c r="G728" s="12" t="inlineStr">
        <is>
          <t>2026-07</t>
        </is>
      </c>
      <c r="H728" s="12" t="inlineStr">
        <is>
          <t>DPR AXXAM (partie liée)</t>
        </is>
      </c>
      <c r="I728" s="12" t="inlineStr"/>
      <c r="J728" s="12" t="inlineStr">
        <is>
          <t>B26070506</t>
        </is>
      </c>
      <c r="K728" s="12" t="inlineStr">
        <is>
          <t>40900</t>
        </is>
      </c>
      <c r="L728" s="12" t="inlineStr">
        <is>
          <t>À justifier</t>
        </is>
      </c>
    </row>
    <row r="729">
      <c r="A729" s="22" t="inlineStr">
        <is>
          <t>21/07/2026</t>
        </is>
      </c>
      <c r="B729" s="22" t="inlineStr">
        <is>
          <t>00402-000127</t>
        </is>
      </c>
      <c r="C729" s="22" t="inlineStr">
        <is>
          <t>VERSEMENT EURL BS COMMERCE</t>
        </is>
      </c>
      <c r="D729" s="25" t="n"/>
      <c r="E729" s="25" t="n">
        <v>614950</v>
      </c>
      <c r="F729" s="25" t="n">
        <v>-24187105.11</v>
      </c>
      <c r="G729" s="12" t="inlineStr">
        <is>
          <t>2026-07</t>
        </is>
      </c>
      <c r="H729" s="12" t="inlineStr">
        <is>
          <t>Encaissements clients</t>
        </is>
      </c>
      <c r="I729" s="12" t="inlineStr"/>
      <c r="J729" s="12" t="inlineStr">
        <is>
          <t>B26070507</t>
        </is>
      </c>
      <c r="K729" s="12" t="inlineStr">
        <is>
          <t>41100</t>
        </is>
      </c>
      <c r="L729" s="12" t="inlineStr">
        <is>
          <t>Probable</t>
        </is>
      </c>
    </row>
    <row r="730">
      <c r="A730" s="22" t="inlineStr">
        <is>
          <t>22/07/2026</t>
        </is>
      </c>
      <c r="B730" s="22" t="inlineStr">
        <is>
          <t>00370-067269</t>
        </is>
      </c>
      <c r="C730" s="22" t="inlineStr">
        <is>
          <t>SORT CHQ NUM  5632932</t>
        </is>
      </c>
      <c r="D730" s="25" t="n"/>
      <c r="E730" s="25" t="n">
        <v>1226000</v>
      </c>
      <c r="F730" s="25" t="n">
        <v>-22961105.11</v>
      </c>
      <c r="G730" s="12" t="inlineStr">
        <is>
          <t>2026-07</t>
        </is>
      </c>
      <c r="H730" s="12" t="inlineStr">
        <is>
          <t>Encaissements clients</t>
        </is>
      </c>
      <c r="I730" s="12" t="inlineStr"/>
      <c r="J730" s="12" t="inlineStr">
        <is>
          <t>B26070508</t>
        </is>
      </c>
      <c r="K730" s="12" t="inlineStr">
        <is>
          <t>47000</t>
        </is>
      </c>
      <c r="L730" s="12" t="inlineStr">
        <is>
          <t>À identifier</t>
        </is>
      </c>
    </row>
    <row r="731">
      <c r="A731" s="22" t="inlineStr">
        <is>
          <t>22/07/2026</t>
        </is>
      </c>
      <c r="B731" s="22" t="inlineStr">
        <is>
          <t>00370-067269</t>
        </is>
      </c>
      <c r="C731" s="22" t="inlineStr">
        <is>
          <t>FRAIS REMISE CHQ N  5632932</t>
        </is>
      </c>
      <c r="D731" s="25" t="n">
        <v>238</v>
      </c>
      <c r="E731" s="25" t="n"/>
      <c r="F731" s="25" t="n">
        <v>-22961343.11</v>
      </c>
      <c r="G731" s="12" t="inlineStr">
        <is>
          <t>2026-07</t>
        </is>
      </c>
      <c r="H731" s="12" t="inlineStr">
        <is>
          <t>Agios, commissions et frais</t>
        </is>
      </c>
      <c r="I731" s="12" t="inlineStr"/>
      <c r="J731" s="12" t="inlineStr">
        <is>
          <t>B26070509</t>
        </is>
      </c>
      <c r="K731" s="12" t="inlineStr">
        <is>
          <t>44557, 62750</t>
        </is>
      </c>
      <c r="L731" s="12" t="inlineStr">
        <is>
          <t>Probable</t>
        </is>
      </c>
    </row>
    <row r="732">
      <c r="A732" s="22" t="inlineStr">
        <is>
          <t>26/07/2026</t>
        </is>
      </c>
      <c r="B732" s="22" t="inlineStr">
        <is>
          <t>00370-012969</t>
        </is>
      </c>
      <c r="C732" s="22" t="inlineStr">
        <is>
          <t>FRAIS VRT.</t>
        </is>
      </c>
      <c r="D732" s="25" t="n">
        <v>59.5</v>
      </c>
      <c r="E732" s="25" t="n"/>
      <c r="F732" s="25" t="n">
        <v>-22961402.61</v>
      </c>
      <c r="G732" s="12" t="inlineStr">
        <is>
          <t>2026-07</t>
        </is>
      </c>
      <c r="H732" s="12" t="inlineStr">
        <is>
          <t>Agios, commissions et frais</t>
        </is>
      </c>
      <c r="I732" s="12" t="inlineStr"/>
      <c r="J732" s="12" t="inlineStr">
        <is>
          <t>B26070510</t>
        </is>
      </c>
      <c r="K732" s="12" t="inlineStr">
        <is>
          <t>44557, 62750</t>
        </is>
      </c>
      <c r="L732" s="12" t="inlineStr">
        <is>
          <t>Probable</t>
        </is>
      </c>
    </row>
    <row r="733">
      <c r="A733" s="22" t="inlineStr">
        <is>
          <t>26/07/2026</t>
        </is>
      </c>
      <c r="B733" s="22" t="inlineStr">
        <is>
          <t>00370-012969</t>
        </is>
      </c>
      <c r="C733" s="22" t="inlineStr">
        <is>
          <t>VRT. ORD. SARL DPR AXXAM</t>
        </is>
      </c>
      <c r="D733" s="25" t="n">
        <v>2000000</v>
      </c>
      <c r="E733" s="25" t="n"/>
      <c r="F733" s="25" t="n">
        <v>-24961402.61</v>
      </c>
      <c r="G733" s="12" t="inlineStr">
        <is>
          <t>2026-07</t>
        </is>
      </c>
      <c r="H733" s="12" t="inlineStr">
        <is>
          <t>DPR AXXAM (partie liée)</t>
        </is>
      </c>
      <c r="I733" s="12" t="inlineStr"/>
      <c r="J733" s="12" t="inlineStr">
        <is>
          <t>B26070511</t>
        </is>
      </c>
      <c r="K733" s="12" t="inlineStr">
        <is>
          <t>40900</t>
        </is>
      </c>
      <c r="L733" s="12" t="inlineStr">
        <is>
          <t>À justifier</t>
        </is>
      </c>
    </row>
    <row r="734">
      <c r="A734" s="22" t="inlineStr">
        <is>
          <t>28/07/2026</t>
        </is>
      </c>
      <c r="B734" s="22" t="inlineStr">
        <is>
          <t>00370-005492</t>
        </is>
      </c>
      <c r="C734" s="22" t="inlineStr">
        <is>
          <t>PERCEPTION DES COMMISSIONS</t>
        </is>
      </c>
      <c r="D734" s="25" t="n">
        <v>304.12</v>
      </c>
      <c r="E734" s="25" t="n"/>
      <c r="F734" s="25" t="n">
        <v>-24961706.73</v>
      </c>
      <c r="G734" s="12" t="inlineStr">
        <is>
          <t>2026-07</t>
        </is>
      </c>
      <c r="H734" s="12" t="inlineStr">
        <is>
          <t>Agios, commissions et frais</t>
        </is>
      </c>
      <c r="I734" s="12" t="inlineStr"/>
      <c r="J734" s="12" t="inlineStr">
        <is>
          <t>B26070512</t>
        </is>
      </c>
      <c r="K734" s="12" t="inlineStr">
        <is>
          <t>44557, 62750</t>
        </is>
      </c>
      <c r="L734" s="12" t="inlineStr">
        <is>
          <t>Probable</t>
        </is>
      </c>
    </row>
    <row r="735">
      <c r="A735" s="22" t="inlineStr">
        <is>
          <t>28/07/2026</t>
        </is>
      </c>
      <c r="B735" s="22" t="inlineStr">
        <is>
          <t>00370-005491</t>
        </is>
      </c>
      <c r="C735" s="22" t="inlineStr">
        <is>
          <t>PERCEPTION DES COMMISSIONS</t>
        </is>
      </c>
      <c r="D735" s="25" t="n">
        <v>304.12</v>
      </c>
      <c r="E735" s="25" t="n"/>
      <c r="F735" s="25" t="n">
        <v>-24962010.85</v>
      </c>
      <c r="G735" s="12" t="inlineStr">
        <is>
          <t>2026-07</t>
        </is>
      </c>
      <c r="H735" s="12" t="inlineStr">
        <is>
          <t>Agios, commissions et frais</t>
        </is>
      </c>
      <c r="I735" s="12" t="inlineStr"/>
      <c r="J735" s="12" t="inlineStr">
        <is>
          <t>B26070513</t>
        </is>
      </c>
      <c r="K735" s="12" t="inlineStr">
        <is>
          <t>44557, 62750</t>
        </is>
      </c>
      <c r="L735" s="12" t="inlineStr">
        <is>
          <t>Probable</t>
        </is>
      </c>
    </row>
    <row r="736">
      <c r="A736" s="22" t="inlineStr">
        <is>
          <t>28/07/2026</t>
        </is>
      </c>
      <c r="B736" s="22" t="inlineStr">
        <is>
          <t>00370-005493</t>
        </is>
      </c>
      <c r="C736" s="22" t="inlineStr">
        <is>
          <t>PERCEPTION DES COMMISSIONS</t>
        </is>
      </c>
      <c r="D736" s="25" t="n">
        <v>304.12</v>
      </c>
      <c r="E736" s="25" t="n"/>
      <c r="F736" s="25" t="n">
        <v>-24962314.97</v>
      </c>
      <c r="G736" s="12" t="inlineStr">
        <is>
          <t>2026-07</t>
        </is>
      </c>
      <c r="H736" s="12" t="inlineStr">
        <is>
          <t>Agios, commissions et frais</t>
        </is>
      </c>
      <c r="I736" s="12" t="inlineStr"/>
      <c r="J736" s="12" t="inlineStr">
        <is>
          <t>B26070514</t>
        </is>
      </c>
      <c r="K736" s="12" t="inlineStr">
        <is>
          <t>44557, 62750</t>
        </is>
      </c>
      <c r="L736" s="12" t="inlineStr">
        <is>
          <t>Probable</t>
        </is>
      </c>
    </row>
    <row r="737">
      <c r="A737" s="22" t="inlineStr">
        <is>
          <t>29/07/2026</t>
        </is>
      </c>
      <c r="B737" s="22" t="inlineStr">
        <is>
          <t>00370-000032</t>
        </is>
      </c>
      <c r="C737" s="22" t="inlineStr">
        <is>
          <t>VRT. RECU LAOUEDJ MOHAMMED SAL</t>
        </is>
      </c>
      <c r="D737" s="25" t="n"/>
      <c r="E737" s="25" t="n">
        <v>1076688.15</v>
      </c>
      <c r="F737" s="25" t="n">
        <v>-23885626.82</v>
      </c>
      <c r="G737" s="12" t="inlineStr">
        <is>
          <t>2026-07</t>
        </is>
      </c>
      <c r="H737" s="12" t="inlineStr">
        <is>
          <t>Encaissements clients</t>
        </is>
      </c>
      <c r="I737" s="12" t="inlineStr"/>
      <c r="J737" s="12" t="inlineStr">
        <is>
          <t>B26070515</t>
        </is>
      </c>
      <c r="K737" s="12" t="inlineStr">
        <is>
          <t>41100</t>
        </is>
      </c>
      <c r="L737" s="12" t="inlineStr">
        <is>
          <t>Probable</t>
        </is>
      </c>
    </row>
    <row r="738">
      <c r="A738" s="22" t="inlineStr">
        <is>
          <t>29/07/2026</t>
        </is>
      </c>
      <c r="B738" s="22" t="inlineStr">
        <is>
          <t>00370-000032</t>
        </is>
      </c>
      <c r="C738" s="22" t="inlineStr">
        <is>
          <t>FRAIS VRT RTGS</t>
        </is>
      </c>
      <c r="D738" s="25" t="n">
        <v>357</v>
      </c>
      <c r="E738" s="25" t="n"/>
      <c r="F738" s="25" t="n">
        <v>-23885983.82</v>
      </c>
      <c r="G738" s="12" t="inlineStr">
        <is>
          <t>2026-07</t>
        </is>
      </c>
      <c r="H738" s="12" t="inlineStr">
        <is>
          <t>Agios, commissions et frais</t>
        </is>
      </c>
      <c r="I738" s="12" t="inlineStr"/>
      <c r="J738" s="12" t="inlineStr">
        <is>
          <t>B26070516</t>
        </is>
      </c>
      <c r="K738" s="12" t="inlineStr">
        <is>
          <t>44557, 62750</t>
        </is>
      </c>
      <c r="L738" s="12" t="inlineStr">
        <is>
          <t>Probable</t>
        </is>
      </c>
    </row>
    <row r="739">
      <c r="A739" s="22" t="inlineStr">
        <is>
          <t>29/07/2026</t>
        </is>
      </c>
      <c r="B739" s="22" t="inlineStr">
        <is>
          <t>00370-067327</t>
        </is>
      </c>
      <c r="C739" s="22" t="inlineStr">
        <is>
          <t>SORT CHQ NUM  9364998</t>
        </is>
      </c>
      <c r="D739" s="25" t="n"/>
      <c r="E739" s="25" t="n">
        <v>950000</v>
      </c>
      <c r="F739" s="25" t="n">
        <v>-22935983.82</v>
      </c>
      <c r="G739" s="12" t="inlineStr">
        <is>
          <t>2026-07</t>
        </is>
      </c>
      <c r="H739" s="12" t="inlineStr">
        <is>
          <t>Encaissements clients</t>
        </is>
      </c>
      <c r="I739" s="12" t="inlineStr"/>
      <c r="J739" s="12" t="inlineStr">
        <is>
          <t>B26070517</t>
        </is>
      </c>
      <c r="K739" s="12" t="inlineStr">
        <is>
          <t>41100</t>
        </is>
      </c>
      <c r="L739" s="12" t="inlineStr">
        <is>
          <t>Probable</t>
        </is>
      </c>
    </row>
    <row r="740">
      <c r="A740" s="22" t="inlineStr">
        <is>
          <t>29/07/2026</t>
        </is>
      </c>
      <c r="B740" s="22" t="inlineStr">
        <is>
          <t>00370-067327</t>
        </is>
      </c>
      <c r="C740" s="22" t="inlineStr">
        <is>
          <t>FRAIS REMISE CHQ N  9364998</t>
        </is>
      </c>
      <c r="D740" s="25" t="n">
        <v>238</v>
      </c>
      <c r="E740" s="25" t="n"/>
      <c r="F740" s="25" t="n">
        <v>-22936221.82</v>
      </c>
      <c r="G740" s="12" t="inlineStr">
        <is>
          <t>2026-07</t>
        </is>
      </c>
      <c r="H740" s="12" t="inlineStr">
        <is>
          <t>Agios, commissions et frais</t>
        </is>
      </c>
      <c r="I740" s="12" t="inlineStr"/>
      <c r="J740" s="12" t="inlineStr">
        <is>
          <t>B26070518</t>
        </is>
      </c>
      <c r="K740" s="12" t="inlineStr">
        <is>
          <t>44557, 62750</t>
        </is>
      </c>
      <c r="L740" s="12" t="inlineStr">
        <is>
          <t>Probable</t>
        </is>
      </c>
    </row>
    <row r="741">
      <c r="A741" s="22" t="inlineStr">
        <is>
          <t>30/07/2026</t>
        </is>
      </c>
      <c r="B741" s="22" t="inlineStr">
        <is>
          <t>99000-020797</t>
        </is>
      </c>
      <c r="C741" s="22" t="inlineStr">
        <is>
          <t>FRAIS ABONN. INTERNET 2026/07</t>
        </is>
      </c>
      <c r="D741" s="25" t="n">
        <v>1606.5</v>
      </c>
      <c r="E741" s="25" t="n"/>
      <c r="F741" s="25" t="n">
        <v>-22937828.32</v>
      </c>
      <c r="G741" s="12" t="inlineStr">
        <is>
          <t>2026-07</t>
        </is>
      </c>
      <c r="H741" s="12" t="inlineStr">
        <is>
          <t>Agios, commissions et frais</t>
        </is>
      </c>
      <c r="I741" s="12" t="inlineStr"/>
      <c r="J741" s="12" t="inlineStr">
        <is>
          <t>B26070519</t>
        </is>
      </c>
      <c r="K741" s="12" t="inlineStr">
        <is>
          <t>44557, 62750</t>
        </is>
      </c>
      <c r="L741" s="12" t="inlineStr">
        <is>
          <t>Probable</t>
        </is>
      </c>
    </row>
    <row r="742">
      <c r="A742" s="22" t="inlineStr">
        <is>
          <t>30/07/2026</t>
        </is>
      </c>
      <c r="B742" s="22" t="inlineStr">
        <is>
          <t>00370-000001</t>
        </is>
      </c>
      <c r="C742" s="22" t="inlineStr">
        <is>
          <t>RECOUV.IMP.TOMB.ANTI     4120</t>
        </is>
      </c>
      <c r="D742" s="25" t="n">
        <v>3902071.94</v>
      </c>
      <c r="E742" s="25" t="n"/>
      <c r="F742" s="25" t="n">
        <v>-26839900.26</v>
      </c>
      <c r="G742" s="12" t="inlineStr">
        <is>
          <t>2026-07</t>
        </is>
      </c>
      <c r="H742" s="12" t="inlineStr">
        <is>
          <t>Remboursement crédit / échéances</t>
        </is>
      </c>
      <c r="I742" s="12" t="inlineStr"/>
      <c r="J742" s="12" t="inlineStr">
        <is>
          <t>B26070520</t>
        </is>
      </c>
      <c r="K742" s="12" t="inlineStr">
        <is>
          <t>51900</t>
        </is>
      </c>
      <c r="L742" s="12" t="inlineStr">
        <is>
          <t>Probable</t>
        </is>
      </c>
    </row>
    <row r="743">
      <c r="A743" s="22" t="inlineStr">
        <is>
          <t>30/07/2026</t>
        </is>
      </c>
      <c r="B743" s="22" t="inlineStr">
        <is>
          <t>00370-067336</t>
        </is>
      </c>
      <c r="C743" s="22" t="inlineStr">
        <is>
          <t>SORT CHQ NUM  1458366</t>
        </is>
      </c>
      <c r="D743" s="25" t="n"/>
      <c r="E743" s="25" t="n">
        <v>1874600</v>
      </c>
      <c r="F743" s="25" t="n">
        <v>-24965300.26</v>
      </c>
      <c r="G743" s="12" t="inlineStr">
        <is>
          <t>2026-07</t>
        </is>
      </c>
      <c r="H743" s="12" t="inlineStr">
        <is>
          <t>Encaissements clients</t>
        </is>
      </c>
      <c r="I743" s="12" t="inlineStr"/>
      <c r="J743" s="12" t="inlineStr">
        <is>
          <t>B26070521</t>
        </is>
      </c>
      <c r="K743" s="12" t="inlineStr">
        <is>
          <t>47000</t>
        </is>
      </c>
      <c r="L743" s="12" t="inlineStr">
        <is>
          <t>À identifier</t>
        </is>
      </c>
    </row>
    <row r="744">
      <c r="A744" s="22" t="inlineStr">
        <is>
          <t>30/07/2026</t>
        </is>
      </c>
      <c r="B744" s="22" t="inlineStr">
        <is>
          <t>00370-067336</t>
        </is>
      </c>
      <c r="C744" s="22" t="inlineStr">
        <is>
          <t>FRAIS REMISE CHQ N  1458366</t>
        </is>
      </c>
      <c r="D744" s="25" t="n">
        <v>238</v>
      </c>
      <c r="E744" s="25" t="n"/>
      <c r="F744" s="25" t="n">
        <v>-24965538.26</v>
      </c>
      <c r="G744" s="12" t="inlineStr">
        <is>
          <t>2026-07</t>
        </is>
      </c>
      <c r="H744" s="12" t="inlineStr">
        <is>
          <t>Agios, commissions et frais</t>
        </is>
      </c>
      <c r="I744" s="12" t="inlineStr"/>
      <c r="J744" s="12" t="inlineStr">
        <is>
          <t>B26070522</t>
        </is>
      </c>
      <c r="K744" s="12" t="inlineStr">
        <is>
          <t>44557, 62750</t>
        </is>
      </c>
      <c r="L744" s="12" t="inlineStr">
        <is>
          <t>Probable</t>
        </is>
      </c>
    </row>
    <row r="745">
      <c r="A745" s="22" t="inlineStr">
        <is>
          <t>03/08/2026</t>
        </is>
      </c>
      <c r="B745" s="22" t="inlineStr">
        <is>
          <t>00370-000001</t>
        </is>
      </c>
      <c r="C745" s="22" t="inlineStr">
        <is>
          <t>RECOUV.IMP.TOMB.ANTI     4120</t>
        </is>
      </c>
      <c r="D745" s="25" t="n">
        <v>4299969.46</v>
      </c>
      <c r="E745" s="25" t="n"/>
      <c r="F745" s="25" t="n">
        <v>-29265507.72</v>
      </c>
      <c r="G745" s="12" t="inlineStr">
        <is>
          <t>2026-08</t>
        </is>
      </c>
      <c r="H745" s="12" t="inlineStr">
        <is>
          <t>Remboursement crédit / échéances</t>
        </is>
      </c>
      <c r="I745" s="12" t="inlineStr"/>
      <c r="J745" s="12" t="inlineStr">
        <is>
          <t>B26080523</t>
        </is>
      </c>
      <c r="K745" s="12" t="inlineStr">
        <is>
          <t>51900</t>
        </is>
      </c>
      <c r="L745" s="12" t="inlineStr">
        <is>
          <t>Probable</t>
        </is>
      </c>
    </row>
    <row r="746">
      <c r="A746" s="22" t="inlineStr">
        <is>
          <t>03/08/2026</t>
        </is>
      </c>
      <c r="B746" s="22" t="inlineStr">
        <is>
          <t>00370-000001</t>
        </is>
      </c>
      <c r="C746" s="22" t="inlineStr">
        <is>
          <t>RECOUV.IMP.TOMB.ANTI     4120</t>
        </is>
      </c>
      <c r="D746" s="25" t="n">
        <v>5151.34</v>
      </c>
      <c r="E746" s="25" t="n"/>
      <c r="F746" s="25" t="n">
        <v>-29270659.06</v>
      </c>
      <c r="G746" s="12" t="inlineStr">
        <is>
          <t>2026-08</t>
        </is>
      </c>
      <c r="H746" s="12" t="inlineStr">
        <is>
          <t>Remboursement crédit / échéances</t>
        </is>
      </c>
      <c r="I746" s="12" t="inlineStr"/>
      <c r="J746" s="12" t="inlineStr">
        <is>
          <t>B26080524</t>
        </is>
      </c>
      <c r="K746" s="12" t="inlineStr">
        <is>
          <t>51900</t>
        </is>
      </c>
      <c r="L746" s="12" t="inlineStr">
        <is>
          <t>Probable</t>
        </is>
      </c>
    </row>
    <row r="747">
      <c r="A747" s="22" t="inlineStr">
        <is>
          <t>03/08/2026</t>
        </is>
      </c>
      <c r="B747" s="22" t="inlineStr">
        <is>
          <t>00370-012978</t>
        </is>
      </c>
      <c r="C747" s="22" t="inlineStr">
        <is>
          <t>VRT. RECU SARL DPR AXXAM</t>
        </is>
      </c>
      <c r="D747" s="25" t="n"/>
      <c r="E747" s="25" t="n">
        <v>7700000</v>
      </c>
      <c r="F747" s="25" t="n">
        <v>-21570659.06</v>
      </c>
      <c r="G747" s="12" t="inlineStr">
        <is>
          <t>2026-08</t>
        </is>
      </c>
      <c r="H747" s="12" t="inlineStr">
        <is>
          <t>DPR AXXAM (partie liée)</t>
        </is>
      </c>
      <c r="I747" s="12" t="inlineStr"/>
      <c r="J747" s="12" t="inlineStr">
        <is>
          <t>B26080525</t>
        </is>
      </c>
      <c r="K747" s="12" t="inlineStr">
        <is>
          <t>40900</t>
        </is>
      </c>
      <c r="L747" s="12" t="inlineStr">
        <is>
          <t>À justifier</t>
        </is>
      </c>
    </row>
    <row r="748">
      <c r="A748" s="22" t="inlineStr">
        <is>
          <t>04/08/2026</t>
        </is>
      </c>
      <c r="B748" s="22" t="inlineStr">
        <is>
          <t>00370-005504</t>
        </is>
      </c>
      <c r="C748" s="22" t="inlineStr">
        <is>
          <t>PERCEPTION DES COMMISSIONS</t>
        </is>
      </c>
      <c r="D748" s="25" t="n">
        <v>4880.15</v>
      </c>
      <c r="E748" s="25" t="n"/>
      <c r="F748" s="25" t="n">
        <v>-21575539.21</v>
      </c>
      <c r="G748" s="12" t="inlineStr">
        <is>
          <t>2026-08</t>
        </is>
      </c>
      <c r="H748" s="12" t="inlineStr">
        <is>
          <t>Agios, commissions et frais</t>
        </is>
      </c>
      <c r="I748" s="12" t="inlineStr"/>
      <c r="J748" s="12" t="inlineStr">
        <is>
          <t>B26080526</t>
        </is>
      </c>
      <c r="K748" s="12" t="inlineStr">
        <is>
          <t>44557, 62750</t>
        </is>
      </c>
      <c r="L748" s="12" t="inlineStr">
        <is>
          <t>Probable</t>
        </is>
      </c>
    </row>
    <row r="749">
      <c r="A749" s="22" t="inlineStr">
        <is>
          <t>04/08/2026</t>
        </is>
      </c>
      <c r="B749" s="22" t="inlineStr">
        <is>
          <t>00370-005503</t>
        </is>
      </c>
      <c r="C749" s="22" t="inlineStr">
        <is>
          <t>PERCEPTION DES COMMISSIONS</t>
        </is>
      </c>
      <c r="D749" s="25" t="n">
        <v>1247.08</v>
      </c>
      <c r="E749" s="25" t="n"/>
      <c r="F749" s="25" t="n">
        <v>-21576786.29</v>
      </c>
      <c r="G749" s="12" t="inlineStr">
        <is>
          <t>2026-08</t>
        </is>
      </c>
      <c r="H749" s="12" t="inlineStr">
        <is>
          <t>Agios, commissions et frais</t>
        </is>
      </c>
      <c r="I749" s="12" t="inlineStr"/>
      <c r="J749" s="12" t="inlineStr">
        <is>
          <t>B26080527</t>
        </is>
      </c>
      <c r="K749" s="12" t="inlineStr">
        <is>
          <t>44557, 62750</t>
        </is>
      </c>
      <c r="L749" s="12" t="inlineStr">
        <is>
          <t>Probable</t>
        </is>
      </c>
    </row>
    <row r="750">
      <c r="A750" s="22" t="inlineStr">
        <is>
          <t>05/08/2026</t>
        </is>
      </c>
      <c r="B750" s="22" t="inlineStr">
        <is>
          <t>00370-122729</t>
        </is>
      </c>
      <c r="C750" s="22" t="inlineStr">
        <is>
          <t>PAIEMENT CHQ NUM  2125766</t>
        </is>
      </c>
      <c r="D750" s="25" t="n">
        <v>59018</v>
      </c>
      <c r="E750" s="25" t="n"/>
      <c r="F750" s="25" t="n">
        <v>-21635804.29</v>
      </c>
      <c r="G750" s="12" t="inlineStr">
        <is>
          <t>2026-08</t>
        </is>
      </c>
      <c r="H750" s="12" t="inlineStr">
        <is>
          <t>G50 (impôts)</t>
        </is>
      </c>
      <c r="I750" s="4" t="inlineStr">
        <is>
          <t>G50 IMPORT juin 2026</t>
        </is>
      </c>
      <c r="J750" s="12" t="inlineStr">
        <is>
          <t>B26080528</t>
        </is>
      </c>
      <c r="K750" s="12" t="inlineStr">
        <is>
          <t>44210</t>
        </is>
      </c>
      <c r="L750" s="12" t="inlineStr">
        <is>
          <t>Certaine</t>
        </is>
      </c>
    </row>
    <row r="751">
      <c r="A751" s="22" t="inlineStr">
        <is>
          <t>05/08/2026</t>
        </is>
      </c>
      <c r="B751" s="22" t="inlineStr">
        <is>
          <t>00370-122722</t>
        </is>
      </c>
      <c r="C751" s="22" t="inlineStr">
        <is>
          <t>PAIEMENT CHQ NUM  2125760</t>
        </is>
      </c>
      <c r="D751" s="25" t="n">
        <v>2500</v>
      </c>
      <c r="E751" s="25" t="n"/>
      <c r="F751" s="25" t="n">
        <v>-21638304.29</v>
      </c>
      <c r="G751" s="12" t="inlineStr">
        <is>
          <t>2026-08</t>
        </is>
      </c>
      <c r="H751" s="12" t="inlineStr">
        <is>
          <t>Fournisseurs, salaires et divers</t>
        </is>
      </c>
      <c r="I751" s="12" t="inlineStr"/>
      <c r="J751" s="12" t="inlineStr">
        <is>
          <t>B26080529</t>
        </is>
      </c>
      <c r="K751" s="12" t="inlineStr">
        <is>
          <t>47000</t>
        </is>
      </c>
      <c r="L751" s="12" t="inlineStr">
        <is>
          <t>À identifier</t>
        </is>
      </c>
    </row>
    <row r="752">
      <c r="A752" s="22" t="inlineStr">
        <is>
          <t>05/08/2026</t>
        </is>
      </c>
      <c r="B752" s="22" t="inlineStr">
        <is>
          <t>00370-122729</t>
        </is>
      </c>
      <c r="C752" s="22" t="inlineStr">
        <is>
          <t>PERCEP.COM SUR PAIEMENTS CHQ</t>
        </is>
      </c>
      <c r="D752" s="25" t="n">
        <v>59.5</v>
      </c>
      <c r="E752" s="25" t="n"/>
      <c r="F752" s="25" t="n">
        <v>-21638363.79</v>
      </c>
      <c r="G752" s="12" t="inlineStr">
        <is>
          <t>2026-08</t>
        </is>
      </c>
      <c r="H752" s="12" t="inlineStr">
        <is>
          <t>Agios, commissions et frais</t>
        </is>
      </c>
      <c r="I752" s="12" t="inlineStr"/>
      <c r="J752" s="12" t="inlineStr">
        <is>
          <t>B26080530</t>
        </is>
      </c>
      <c r="K752" s="12" t="inlineStr">
        <is>
          <t>44557, 62750</t>
        </is>
      </c>
      <c r="L752" s="12" t="inlineStr">
        <is>
          <t>Probable</t>
        </is>
      </c>
    </row>
    <row r="753">
      <c r="A753" s="22" t="inlineStr">
        <is>
          <t>05/08/2026</t>
        </is>
      </c>
      <c r="B753" s="22" t="inlineStr">
        <is>
          <t>00370-000019</t>
        </is>
      </c>
      <c r="C753" s="22" t="inlineStr">
        <is>
          <t>VIREMENTS MULT EDI A DEBITER</t>
        </is>
      </c>
      <c r="D753" s="25" t="n">
        <v>161645.71</v>
      </c>
      <c r="E753" s="25" t="n"/>
      <c r="F753" s="25" t="n">
        <v>-21800009.5</v>
      </c>
      <c r="G753" s="12" t="inlineStr">
        <is>
          <t>2026-08</t>
        </is>
      </c>
      <c r="H753" s="12" t="inlineStr">
        <is>
          <t>Fournisseurs, salaires et divers</t>
        </is>
      </c>
      <c r="I753" s="12" t="inlineStr"/>
      <c r="J753" s="12" t="inlineStr">
        <is>
          <t>B26080531</t>
        </is>
      </c>
      <c r="K753" s="12" t="inlineStr">
        <is>
          <t>42100</t>
        </is>
      </c>
      <c r="L753" s="12" t="inlineStr">
        <is>
          <t>Probable</t>
        </is>
      </c>
    </row>
    <row r="754">
      <c r="A754" s="22" t="inlineStr">
        <is>
          <t>05/08/2026</t>
        </is>
      </c>
      <c r="B754" s="22" t="inlineStr">
        <is>
          <t>00370-000019</t>
        </is>
      </c>
      <c r="C754" s="22" t="inlineStr">
        <is>
          <t>VIREMENTS MULT EDI A DEBITER</t>
        </is>
      </c>
      <c r="D754" s="25" t="n">
        <v>83.3</v>
      </c>
      <c r="E754" s="25" t="n"/>
      <c r="F754" s="25" t="n">
        <v>-21800092.8</v>
      </c>
      <c r="G754" s="12" t="inlineStr">
        <is>
          <t>2026-08</t>
        </is>
      </c>
      <c r="H754" s="12" t="inlineStr">
        <is>
          <t>Fournisseurs, salaires et divers</t>
        </is>
      </c>
      <c r="I754" s="12" t="inlineStr"/>
      <c r="J754" s="12" t="inlineStr">
        <is>
          <t>B26080532</t>
        </is>
      </c>
      <c r="K754" s="12" t="inlineStr">
        <is>
          <t>42100</t>
        </is>
      </c>
      <c r="L754" s="12" t="inlineStr">
        <is>
          <t>Probable</t>
        </is>
      </c>
    </row>
    <row r="755">
      <c r="A755" s="22" t="inlineStr">
        <is>
          <t>06/08/2026</t>
        </is>
      </c>
      <c r="B755" s="22" t="inlineStr">
        <is>
          <t>00370-122739</t>
        </is>
      </c>
      <c r="C755" s="22" t="inlineStr">
        <is>
          <t>PAIEMENT CHQ NUM  2125761</t>
        </is>
      </c>
      <c r="D755" s="25" t="n">
        <v>3642951</v>
      </c>
      <c r="E755" s="25" t="n"/>
      <c r="F755" s="25" t="n">
        <v>-25443043.8</v>
      </c>
      <c r="G755" s="12" t="inlineStr">
        <is>
          <t>2026-08</t>
        </is>
      </c>
      <c r="H755" s="12" t="inlineStr">
        <is>
          <t>Fournisseurs, salaires et divers</t>
        </is>
      </c>
      <c r="I755" s="12" t="inlineStr"/>
      <c r="J755" s="12" t="inlineStr">
        <is>
          <t>B26080533</t>
        </is>
      </c>
      <c r="K755" s="12" t="inlineStr">
        <is>
          <t>47000</t>
        </is>
      </c>
      <c r="L755" s="12" t="inlineStr">
        <is>
          <t>À identifier</t>
        </is>
      </c>
    </row>
    <row r="756">
      <c r="A756" s="22" t="inlineStr">
        <is>
          <t>06/08/2026</t>
        </is>
      </c>
      <c r="B756" s="22" t="inlineStr">
        <is>
          <t>00370-122739</t>
        </is>
      </c>
      <c r="C756" s="22" t="inlineStr">
        <is>
          <t>PERCEP.COM SUR PAIEMENTS CHQ</t>
        </is>
      </c>
      <c r="D756" s="25" t="n">
        <v>59.5</v>
      </c>
      <c r="E756" s="25" t="n"/>
      <c r="F756" s="25" t="n">
        <v>-25443103.3</v>
      </c>
      <c r="G756" s="12" t="inlineStr">
        <is>
          <t>2026-08</t>
        </is>
      </c>
      <c r="H756" s="12" t="inlineStr">
        <is>
          <t>Agios, commissions et frais</t>
        </is>
      </c>
      <c r="I756" s="12" t="inlineStr"/>
      <c r="J756" s="12" t="inlineStr">
        <is>
          <t>B26080534</t>
        </is>
      </c>
      <c r="K756" s="12" t="inlineStr">
        <is>
          <t>44557, 62750</t>
        </is>
      </c>
      <c r="L756" s="12" t="inlineStr">
        <is>
          <t>Probable</t>
        </is>
      </c>
    </row>
    <row r="757">
      <c r="A757" s="22" t="inlineStr">
        <is>
          <t>06/08/2026</t>
        </is>
      </c>
      <c r="B757" s="22" t="inlineStr">
        <is>
          <t>00370-067390</t>
        </is>
      </c>
      <c r="C757" s="22" t="inlineStr">
        <is>
          <t>SORT CHQ NUM  9454959</t>
        </is>
      </c>
      <c r="D757" s="25" t="n"/>
      <c r="E757" s="25" t="n">
        <v>114240</v>
      </c>
      <c r="F757" s="25" t="n">
        <v>-25328863.3</v>
      </c>
      <c r="G757" s="12" t="inlineStr">
        <is>
          <t>2026-08</t>
        </is>
      </c>
      <c r="H757" s="12" t="inlineStr">
        <is>
          <t>Encaissements clients</t>
        </is>
      </c>
      <c r="I757" s="12" t="inlineStr"/>
      <c r="J757" s="12" t="inlineStr">
        <is>
          <t>B26080535</t>
        </is>
      </c>
      <c r="K757" s="12" t="inlineStr">
        <is>
          <t>47000</t>
        </is>
      </c>
      <c r="L757" s="12" t="inlineStr">
        <is>
          <t>À identifier</t>
        </is>
      </c>
    </row>
    <row r="758">
      <c r="A758" s="22" t="inlineStr">
        <is>
          <t>06/08/2026</t>
        </is>
      </c>
      <c r="B758" s="22" t="inlineStr">
        <is>
          <t>00370-067390</t>
        </is>
      </c>
      <c r="C758" s="22" t="inlineStr">
        <is>
          <t>FRAIS REMISE CHQ N  9454959</t>
        </is>
      </c>
      <c r="D758" s="25" t="n">
        <v>135.95</v>
      </c>
      <c r="E758" s="25" t="n"/>
      <c r="F758" s="25" t="n">
        <v>-25328999.25</v>
      </c>
      <c r="G758" s="12" t="inlineStr">
        <is>
          <t>2026-08</t>
        </is>
      </c>
      <c r="H758" s="12" t="inlineStr">
        <is>
          <t>Agios, commissions et frais</t>
        </is>
      </c>
      <c r="I758" s="12" t="inlineStr"/>
      <c r="J758" s="12" t="inlineStr">
        <is>
          <t>B26080536</t>
        </is>
      </c>
      <c r="K758" s="12" t="inlineStr">
        <is>
          <t>44557, 62750</t>
        </is>
      </c>
      <c r="L758" s="12" t="inlineStr">
        <is>
          <t>Probable</t>
        </is>
      </c>
    </row>
    <row r="759">
      <c r="A759" s="22" t="inlineStr">
        <is>
          <t>06/08/2026</t>
        </is>
      </c>
      <c r="B759" s="22" t="inlineStr">
        <is>
          <t>00370-000587</t>
        </is>
      </c>
      <c r="C759" s="22" t="inlineStr">
        <is>
          <t>VERSEMENT DEGAGEMENT CAISSE</t>
        </is>
      </c>
      <c r="D759" s="25" t="n"/>
      <c r="E759" s="25" t="n">
        <v>500000</v>
      </c>
      <c r="F759" s="25" t="n">
        <v>-24828999.25</v>
      </c>
      <c r="G759" s="12" t="inlineStr">
        <is>
          <t>2026-08</t>
        </is>
      </c>
      <c r="H759" s="12" t="inlineStr">
        <is>
          <t>Versement d'espèces (caisse)</t>
        </is>
      </c>
      <c r="I759" s="12" t="inlineStr"/>
      <c r="J759" s="12" t="inlineStr">
        <is>
          <t>B26080537</t>
        </is>
      </c>
      <c r="K759" s="12" t="inlineStr">
        <is>
          <t>58100</t>
        </is>
      </c>
      <c r="L759" s="12" t="inlineStr">
        <is>
          <t>Certaine</t>
        </is>
      </c>
    </row>
    <row r="760">
      <c r="A760" s="22" t="inlineStr">
        <is>
          <t>08/08/2026</t>
        </is>
      </c>
      <c r="B760" s="22" t="inlineStr">
        <is>
          <t>00370-122779</t>
        </is>
      </c>
      <c r="C760" s="22" t="inlineStr">
        <is>
          <t>PAIEMENT CHQ NUM  2125763</t>
        </is>
      </c>
      <c r="D760" s="25" t="n">
        <v>109142.97</v>
      </c>
      <c r="E760" s="25" t="n"/>
      <c r="F760" s="25" t="n">
        <v>-24938142.22</v>
      </c>
      <c r="G760" s="12" t="inlineStr">
        <is>
          <t>2026-08</t>
        </is>
      </c>
      <c r="H760" s="12" t="inlineStr">
        <is>
          <t>CNAS</t>
        </is>
      </c>
      <c r="I760" s="4" t="inlineStr">
        <is>
          <t>CNAS TPM T2 2026</t>
        </is>
      </c>
      <c r="J760" s="12" t="inlineStr">
        <is>
          <t>B26080538</t>
        </is>
      </c>
      <c r="K760" s="12" t="inlineStr">
        <is>
          <t>43100, 43200</t>
        </is>
      </c>
      <c r="L760" s="12" t="inlineStr">
        <is>
          <t>Certaine</t>
        </is>
      </c>
    </row>
    <row r="761">
      <c r="A761" s="22" t="inlineStr">
        <is>
          <t>08/08/2026</t>
        </is>
      </c>
      <c r="B761" s="22" t="inlineStr">
        <is>
          <t>00370-122779</t>
        </is>
      </c>
      <c r="C761" s="22" t="inlineStr">
        <is>
          <t>PERCEP.COM SUR PAIEMENTS CHQ</t>
        </is>
      </c>
      <c r="D761" s="25" t="n">
        <v>59.5</v>
      </c>
      <c r="E761" s="25" t="n"/>
      <c r="F761" s="25" t="n">
        <v>-24938201.72</v>
      </c>
      <c r="G761" s="12" t="inlineStr">
        <is>
          <t>2026-08</t>
        </is>
      </c>
      <c r="H761" s="12" t="inlineStr">
        <is>
          <t>Agios, commissions et frais</t>
        </is>
      </c>
      <c r="I761" s="12" t="inlineStr"/>
      <c r="J761" s="12" t="inlineStr">
        <is>
          <t>B26080539</t>
        </is>
      </c>
      <c r="K761" s="12" t="inlineStr">
        <is>
          <t>44557, 62750</t>
        </is>
      </c>
      <c r="L761" s="12" t="inlineStr">
        <is>
          <t>Probable</t>
        </is>
      </c>
    </row>
    <row r="762">
      <c r="A762" s="22" t="inlineStr">
        <is>
          <t>08/08/2026</t>
        </is>
      </c>
      <c r="B762" s="22" t="inlineStr">
        <is>
          <t>00370-067417</t>
        </is>
      </c>
      <c r="C762" s="22" t="inlineStr">
        <is>
          <t>SORT CHQ NUM  6984652</t>
        </is>
      </c>
      <c r="D762" s="25" t="n"/>
      <c r="E762" s="25" t="n">
        <v>250000</v>
      </c>
      <c r="F762" s="25" t="n">
        <v>-24688201.72</v>
      </c>
      <c r="G762" s="12" t="inlineStr">
        <is>
          <t>2026-08</t>
        </is>
      </c>
      <c r="H762" s="12" t="inlineStr">
        <is>
          <t>Encaissements clients</t>
        </is>
      </c>
      <c r="I762" s="12" t="inlineStr"/>
      <c r="J762" s="12" t="inlineStr">
        <is>
          <t>B26080540</t>
        </is>
      </c>
      <c r="K762" s="12" t="inlineStr">
        <is>
          <t>47000</t>
        </is>
      </c>
      <c r="L762" s="12" t="inlineStr">
        <is>
          <t>À identifier</t>
        </is>
      </c>
    </row>
    <row r="763">
      <c r="A763" s="22" t="inlineStr">
        <is>
          <t>08/08/2026</t>
        </is>
      </c>
      <c r="B763" s="22" t="inlineStr">
        <is>
          <t>00370-067417</t>
        </is>
      </c>
      <c r="C763" s="22" t="inlineStr">
        <is>
          <t>FRAIS REMISE CHQ N  6984652</t>
        </is>
      </c>
      <c r="D763" s="25" t="n">
        <v>238</v>
      </c>
      <c r="E763" s="25" t="n"/>
      <c r="F763" s="25" t="n">
        <v>-24688439.72</v>
      </c>
      <c r="G763" s="12" t="inlineStr">
        <is>
          <t>2026-08</t>
        </is>
      </c>
      <c r="H763" s="12" t="inlineStr">
        <is>
          <t>Agios, commissions et frais</t>
        </is>
      </c>
      <c r="I763" s="12" t="inlineStr"/>
      <c r="J763" s="12" t="inlineStr">
        <is>
          <t>B26080541</t>
        </is>
      </c>
      <c r="K763" s="12" t="inlineStr">
        <is>
          <t>44557, 62750</t>
        </is>
      </c>
      <c r="L763" s="12" t="inlineStr">
        <is>
          <t>Probable</t>
        </is>
      </c>
    </row>
    <row r="764">
      <c r="A764" s="22" t="inlineStr">
        <is>
          <t>09/08/2026</t>
        </is>
      </c>
      <c r="B764" s="22" t="inlineStr">
        <is>
          <t>00370-001249</t>
        </is>
      </c>
      <c r="C764" s="22" t="inlineStr">
        <is>
          <t>COM.VRT EDI BQUE</t>
        </is>
      </c>
      <c r="D764" s="25" t="n">
        <v>35.7</v>
      </c>
      <c r="E764" s="25" t="n"/>
      <c r="F764" s="25" t="n">
        <v>-24688475.42</v>
      </c>
      <c r="G764" s="12" t="inlineStr">
        <is>
          <t>2026-08</t>
        </is>
      </c>
      <c r="H764" s="12" t="inlineStr">
        <is>
          <t>Agios, commissions et frais</t>
        </is>
      </c>
      <c r="I764" s="12" t="inlineStr"/>
      <c r="J764" s="12" t="inlineStr">
        <is>
          <t>B26080542</t>
        </is>
      </c>
      <c r="K764" s="12" t="inlineStr">
        <is>
          <t>44557, 62750</t>
        </is>
      </c>
      <c r="L764" s="12" t="inlineStr">
        <is>
          <t>Probable</t>
        </is>
      </c>
    </row>
    <row r="765">
      <c r="A765" s="22" t="inlineStr">
        <is>
          <t>09/08/2026</t>
        </is>
      </c>
      <c r="B765" s="22" t="inlineStr">
        <is>
          <t>00370-001249</t>
        </is>
      </c>
      <c r="C765" s="22" t="inlineStr">
        <is>
          <t>VRT EDI SIMPLE AUTRE</t>
        </is>
      </c>
      <c r="D765" s="25" t="n">
        <v>35000</v>
      </c>
      <c r="E765" s="25" t="n"/>
      <c r="F765" s="25" t="n">
        <v>-24723475.42</v>
      </c>
      <c r="G765" s="12" t="inlineStr">
        <is>
          <t>2026-08</t>
        </is>
      </c>
      <c r="H765" s="12" t="inlineStr">
        <is>
          <t>Fournisseurs, salaires et divers</t>
        </is>
      </c>
      <c r="I765" s="12" t="inlineStr"/>
      <c r="J765" s="12" t="inlineStr">
        <is>
          <t>B26080543</t>
        </is>
      </c>
      <c r="K765" s="12" t="inlineStr">
        <is>
          <t>47000</t>
        </is>
      </c>
      <c r="L765" s="12" t="inlineStr">
        <is>
          <t>À identifier</t>
        </is>
      </c>
    </row>
    <row r="766">
      <c r="A766" s="22" t="inlineStr">
        <is>
          <t>11/08/2026</t>
        </is>
      </c>
      <c r="B766" s="22" t="inlineStr">
        <is>
          <t>00370-005510</t>
        </is>
      </c>
      <c r="C766" s="22" t="inlineStr">
        <is>
          <t>PERCEPTION DES COMMISSIONS</t>
        </is>
      </c>
      <c r="D766" s="25" t="n">
        <v>243.28</v>
      </c>
      <c r="E766" s="25" t="n"/>
      <c r="F766" s="25" t="n">
        <v>-24723718.7</v>
      </c>
      <c r="G766" s="12" t="inlineStr">
        <is>
          <t>2026-08</t>
        </is>
      </c>
      <c r="H766" s="12" t="inlineStr">
        <is>
          <t>Agios, commissions et frais</t>
        </is>
      </c>
      <c r="I766" s="12" t="inlineStr"/>
      <c r="J766" s="12" t="inlineStr">
        <is>
          <t>B26080544</t>
        </is>
      </c>
      <c r="K766" s="12" t="inlineStr">
        <is>
          <t>44557, 62750</t>
        </is>
      </c>
      <c r="L766" s="12" t="inlineStr">
        <is>
          <t>Probable</t>
        </is>
      </c>
    </row>
    <row r="767">
      <c r="A767" s="22" t="inlineStr">
        <is>
          <t>11/08/2026</t>
        </is>
      </c>
      <c r="B767" s="22" t="inlineStr">
        <is>
          <t>00370-005512</t>
        </is>
      </c>
      <c r="C767" s="22" t="inlineStr">
        <is>
          <t>PERCEPTION DES COMMISSIONS</t>
        </is>
      </c>
      <c r="D767" s="25" t="n">
        <v>337.57</v>
      </c>
      <c r="E767" s="25" t="n"/>
      <c r="F767" s="25" t="n">
        <v>-24724056.27</v>
      </c>
      <c r="G767" s="12" t="inlineStr">
        <is>
          <t>2026-08</t>
        </is>
      </c>
      <c r="H767" s="12" t="inlineStr">
        <is>
          <t>Agios, commissions et frais</t>
        </is>
      </c>
      <c r="I767" s="12" t="inlineStr"/>
      <c r="J767" s="12" t="inlineStr">
        <is>
          <t>B26080545</t>
        </is>
      </c>
      <c r="K767" s="12" t="inlineStr">
        <is>
          <t>44557, 62750</t>
        </is>
      </c>
      <c r="L767" s="12" t="inlineStr">
        <is>
          <t>Probable</t>
        </is>
      </c>
    </row>
    <row r="768">
      <c r="A768" s="22" t="inlineStr">
        <is>
          <t>11/08/2026</t>
        </is>
      </c>
      <c r="B768" s="22" t="inlineStr">
        <is>
          <t>00370-005509</t>
        </is>
      </c>
      <c r="C768" s="22" t="inlineStr">
        <is>
          <t>PERCEPTION DES COMMISSIONS</t>
        </is>
      </c>
      <c r="D768" s="25" t="n">
        <v>79.06</v>
      </c>
      <c r="E768" s="25" t="n"/>
      <c r="F768" s="25" t="n">
        <v>-24724135.33</v>
      </c>
      <c r="G768" s="12" t="inlineStr">
        <is>
          <t>2026-08</t>
        </is>
      </c>
      <c r="H768" s="12" t="inlineStr">
        <is>
          <t>Agios, commissions et frais</t>
        </is>
      </c>
      <c r="I768" s="12" t="inlineStr"/>
      <c r="J768" s="12" t="inlineStr">
        <is>
          <t>B26080546</t>
        </is>
      </c>
      <c r="K768" s="12" t="inlineStr">
        <is>
          <t>44557, 62750</t>
        </is>
      </c>
      <c r="L768" s="12" t="inlineStr">
        <is>
          <t>Probable</t>
        </is>
      </c>
    </row>
    <row r="769">
      <c r="A769" s="22" t="inlineStr">
        <is>
          <t>11/08/2026</t>
        </is>
      </c>
      <c r="B769" s="22" t="inlineStr">
        <is>
          <t>00370-005511</t>
        </is>
      </c>
      <c r="C769" s="22" t="inlineStr">
        <is>
          <t>PERCEPTION DES COMMISSIONS</t>
        </is>
      </c>
      <c r="D769" s="25" t="n">
        <v>337.57</v>
      </c>
      <c r="E769" s="25" t="n"/>
      <c r="F769" s="25" t="n">
        <v>-24724472.9</v>
      </c>
      <c r="G769" s="12" t="inlineStr">
        <is>
          <t>2026-08</t>
        </is>
      </c>
      <c r="H769" s="12" t="inlineStr">
        <is>
          <t>Agios, commissions et frais</t>
        </is>
      </c>
      <c r="I769" s="12" t="inlineStr"/>
      <c r="J769" s="12" t="inlineStr">
        <is>
          <t>B26080547</t>
        </is>
      </c>
      <c r="K769" s="12" t="inlineStr">
        <is>
          <t>44557, 62750</t>
        </is>
      </c>
      <c r="L769" s="12" t="inlineStr">
        <is>
          <t>Probable</t>
        </is>
      </c>
    </row>
    <row r="770">
      <c r="A770" s="22" t="inlineStr">
        <is>
          <t>12/08/2026</t>
        </is>
      </c>
      <c r="B770" s="22" t="inlineStr">
        <is>
          <t>00370-122865</t>
        </is>
      </c>
      <c r="C770" s="22" t="inlineStr">
        <is>
          <t>PAIEMENT CHQ NUM  2125764</t>
        </is>
      </c>
      <c r="D770" s="25" t="n">
        <v>5147.25</v>
      </c>
      <c r="E770" s="25" t="n"/>
      <c r="F770" s="25" t="n">
        <v>-24729620.15</v>
      </c>
      <c r="G770" s="12" t="inlineStr">
        <is>
          <t>2026-08</t>
        </is>
      </c>
      <c r="H770" s="12" t="inlineStr">
        <is>
          <t>Fournisseurs, salaires et divers</t>
        </is>
      </c>
      <c r="I770" s="12" t="inlineStr"/>
      <c r="J770" s="12" t="inlineStr">
        <is>
          <t>B26080548</t>
        </is>
      </c>
      <c r="K770" s="12" t="inlineStr">
        <is>
          <t>47000</t>
        </is>
      </c>
      <c r="L770" s="12" t="inlineStr">
        <is>
          <t>À identifier</t>
        </is>
      </c>
    </row>
    <row r="771">
      <c r="A771" s="22" t="inlineStr">
        <is>
          <t>12/08/2026</t>
        </is>
      </c>
      <c r="B771" s="22" t="inlineStr">
        <is>
          <t>00370-088155</t>
        </is>
      </c>
      <c r="C771" s="22" t="inlineStr">
        <is>
          <t>VRT. RECU LAOUEDJ MOHAMMED SAL</t>
        </is>
      </c>
      <c r="D771" s="25" t="n"/>
      <c r="E771" s="25" t="n">
        <v>985217.59</v>
      </c>
      <c r="F771" s="25" t="n">
        <v>-23744402.56</v>
      </c>
      <c r="G771" s="12" t="inlineStr">
        <is>
          <t>2026-08</t>
        </is>
      </c>
      <c r="H771" s="12" t="inlineStr">
        <is>
          <t>Encaissements clients</t>
        </is>
      </c>
      <c r="I771" s="12" t="inlineStr"/>
      <c r="J771" s="12" t="inlineStr">
        <is>
          <t>B26080549</t>
        </is>
      </c>
      <c r="K771" s="12" t="inlineStr">
        <is>
          <t>41100</t>
        </is>
      </c>
      <c r="L771" s="12" t="inlineStr">
        <is>
          <t>Probable</t>
        </is>
      </c>
    </row>
    <row r="772">
      <c r="A772" s="22" t="inlineStr">
        <is>
          <t>12/08/2026</t>
        </is>
      </c>
      <c r="B772" s="22" t="inlineStr">
        <is>
          <t>00370-067450</t>
        </is>
      </c>
      <c r="C772" s="22" t="inlineStr">
        <is>
          <t>SORT CHQ NUM  1169932</t>
        </is>
      </c>
      <c r="D772" s="25" t="n"/>
      <c r="E772" s="25" t="n">
        <v>207060</v>
      </c>
      <c r="F772" s="25" t="n">
        <v>-23537342.56</v>
      </c>
      <c r="G772" s="12" t="inlineStr">
        <is>
          <t>2026-08</t>
        </is>
      </c>
      <c r="H772" s="12" t="inlineStr">
        <is>
          <t>Encaissements clients</t>
        </is>
      </c>
      <c r="I772" s="12" t="inlineStr"/>
      <c r="J772" s="12" t="inlineStr">
        <is>
          <t>B26080550</t>
        </is>
      </c>
      <c r="K772" s="12" t="inlineStr">
        <is>
          <t>47000</t>
        </is>
      </c>
      <c r="L772" s="12" t="inlineStr">
        <is>
          <t>À identifier</t>
        </is>
      </c>
    </row>
    <row r="773">
      <c r="A773" s="22" t="inlineStr">
        <is>
          <t>12/08/2026</t>
        </is>
      </c>
      <c r="B773" s="22" t="inlineStr">
        <is>
          <t>00370-067449</t>
        </is>
      </c>
      <c r="C773" s="22" t="inlineStr">
        <is>
          <t>SORT CHQ NUM  1335064</t>
        </is>
      </c>
      <c r="D773" s="25" t="n"/>
      <c r="E773" s="25" t="n">
        <v>476000</v>
      </c>
      <c r="F773" s="25" t="n">
        <v>-23061342.56</v>
      </c>
      <c r="G773" s="12" t="inlineStr">
        <is>
          <t>2026-08</t>
        </is>
      </c>
      <c r="H773" s="12" t="inlineStr">
        <is>
          <t>Encaissements clients</t>
        </is>
      </c>
      <c r="I773" s="12" t="inlineStr"/>
      <c r="J773" s="12" t="inlineStr">
        <is>
          <t>B26080551</t>
        </is>
      </c>
      <c r="K773" s="12" t="inlineStr">
        <is>
          <t>47000</t>
        </is>
      </c>
      <c r="L773" s="12" t="inlineStr">
        <is>
          <t>À identifier</t>
        </is>
      </c>
    </row>
    <row r="774">
      <c r="A774" s="22" t="inlineStr">
        <is>
          <t>12/08/2026</t>
        </is>
      </c>
      <c r="B774" s="22" t="inlineStr">
        <is>
          <t>00370-067450</t>
        </is>
      </c>
      <c r="C774" s="22" t="inlineStr">
        <is>
          <t>FRAIS REMISE CHQ N  1169932</t>
        </is>
      </c>
      <c r="D774" s="25" t="n">
        <v>238</v>
      </c>
      <c r="E774" s="25" t="n"/>
      <c r="F774" s="25" t="n">
        <v>-23061580.56</v>
      </c>
      <c r="G774" s="12" t="inlineStr">
        <is>
          <t>2026-08</t>
        </is>
      </c>
      <c r="H774" s="12" t="inlineStr">
        <is>
          <t>Agios, commissions et frais</t>
        </is>
      </c>
      <c r="I774" s="12" t="inlineStr"/>
      <c r="J774" s="12" t="inlineStr">
        <is>
          <t>B26080552</t>
        </is>
      </c>
      <c r="K774" s="12" t="inlineStr">
        <is>
          <t>44557, 62750</t>
        </is>
      </c>
      <c r="L774" s="12" t="inlineStr">
        <is>
          <t>Probable</t>
        </is>
      </c>
    </row>
    <row r="775">
      <c r="A775" s="22" t="inlineStr">
        <is>
          <t>12/08/2026</t>
        </is>
      </c>
      <c r="B775" s="22" t="inlineStr">
        <is>
          <t>00370-067449</t>
        </is>
      </c>
      <c r="C775" s="22" t="inlineStr">
        <is>
          <t>FRAIS REMISE CHQ N  1335064</t>
        </is>
      </c>
      <c r="D775" s="25" t="n">
        <v>238</v>
      </c>
      <c r="E775" s="25" t="n"/>
      <c r="F775" s="25" t="n">
        <v>-23061818.56</v>
      </c>
      <c r="G775" s="12" t="inlineStr">
        <is>
          <t>2026-08</t>
        </is>
      </c>
      <c r="H775" s="12" t="inlineStr">
        <is>
          <t>Agios, commissions et frais</t>
        </is>
      </c>
      <c r="I775" s="12" t="inlineStr"/>
      <c r="J775" s="12" t="inlineStr">
        <is>
          <t>B26080553</t>
        </is>
      </c>
      <c r="K775" s="12" t="inlineStr">
        <is>
          <t>44557, 62750</t>
        </is>
      </c>
      <c r="L775" s="12" t="inlineStr">
        <is>
          <t>Probable</t>
        </is>
      </c>
    </row>
    <row r="776">
      <c r="A776" s="22" t="inlineStr">
        <is>
          <t>13/08/2026</t>
        </is>
      </c>
      <c r="B776" s="22" t="inlineStr">
        <is>
          <t>00370-122916</t>
        </is>
      </c>
      <c r="C776" s="22" t="inlineStr">
        <is>
          <t>PAIEMENT CHQ NUM  2125767</t>
        </is>
      </c>
      <c r="D776" s="25" t="n">
        <v>80063.14</v>
      </c>
      <c r="E776" s="25" t="n"/>
      <c r="F776" s="25" t="n">
        <v>-23141881.7</v>
      </c>
      <c r="G776" s="12" t="inlineStr">
        <is>
          <t>2026-08</t>
        </is>
      </c>
      <c r="H776" s="12" t="inlineStr">
        <is>
          <t>Fournisseurs, salaires et divers</t>
        </is>
      </c>
      <c r="I776" s="12" t="inlineStr"/>
      <c r="J776" s="12" t="inlineStr">
        <is>
          <t>B26080554</t>
        </is>
      </c>
      <c r="K776" s="12" t="inlineStr">
        <is>
          <t>47000</t>
        </is>
      </c>
      <c r="L776" s="12" t="inlineStr">
        <is>
          <t>À identifier</t>
        </is>
      </c>
    </row>
    <row r="777">
      <c r="A777" s="22" t="inlineStr">
        <is>
          <t>13/08/2026</t>
        </is>
      </c>
      <c r="B777" s="22" t="inlineStr">
        <is>
          <t>00370-122916</t>
        </is>
      </c>
      <c r="C777" s="22" t="inlineStr">
        <is>
          <t>PERCEP.COM SUR PAIEMENTS CHQ</t>
        </is>
      </c>
      <c r="D777" s="25" t="n">
        <v>59.5</v>
      </c>
      <c r="E777" s="25" t="n"/>
      <c r="F777" s="25" t="n">
        <v>-23141941.2</v>
      </c>
      <c r="G777" s="12" t="inlineStr">
        <is>
          <t>2026-08</t>
        </is>
      </c>
      <c r="H777" s="12" t="inlineStr">
        <is>
          <t>Agios, commissions et frais</t>
        </is>
      </c>
      <c r="I777" s="12" t="inlineStr"/>
      <c r="J777" s="12" t="inlineStr">
        <is>
          <t>B26080555</t>
        </is>
      </c>
      <c r="K777" s="12" t="inlineStr">
        <is>
          <t>44557, 62750</t>
        </is>
      </c>
      <c r="L777" s="12" t="inlineStr">
        <is>
          <t>Probable</t>
        </is>
      </c>
    </row>
    <row r="778">
      <c r="A778" s="22" t="inlineStr">
        <is>
          <t>20/08/2026</t>
        </is>
      </c>
      <c r="B778" s="22" t="inlineStr">
        <is>
          <t>00370-000143</t>
        </is>
      </c>
      <c r="C778" s="22" t="inlineStr">
        <is>
          <t>COM.VRT EDI AGENCE</t>
        </is>
      </c>
      <c r="D778" s="25" t="n">
        <v>23.8</v>
      </c>
      <c r="E778" s="25" t="n"/>
      <c r="F778" s="25" t="n">
        <v>-23141965</v>
      </c>
      <c r="G778" s="12" t="inlineStr">
        <is>
          <t>2026-08</t>
        </is>
      </c>
      <c r="H778" s="12" t="inlineStr">
        <is>
          <t>Agios, commissions et frais</t>
        </is>
      </c>
      <c r="I778" s="12" t="inlineStr"/>
      <c r="J778" s="12" t="inlineStr">
        <is>
          <t>B26080556</t>
        </is>
      </c>
      <c r="K778" s="12" t="inlineStr">
        <is>
          <t>44557, 62750</t>
        </is>
      </c>
      <c r="L778" s="12" t="inlineStr">
        <is>
          <t>Probable</t>
        </is>
      </c>
    </row>
    <row r="779">
      <c r="A779" s="22" t="inlineStr">
        <is>
          <t>20/08/2026</t>
        </is>
      </c>
      <c r="B779" s="22" t="inlineStr">
        <is>
          <t>00370-000143</t>
        </is>
      </c>
      <c r="C779" s="22" t="inlineStr">
        <is>
          <t>SNC GENERAL BATTERIES ET LUBRI</t>
        </is>
      </c>
      <c r="D779" s="25" t="n">
        <v>800000</v>
      </c>
      <c r="E779" s="25" t="n"/>
      <c r="F779" s="25" t="n">
        <v>-23941965</v>
      </c>
      <c r="G779" s="12" t="inlineStr">
        <is>
          <t>2026-08</t>
        </is>
      </c>
      <c r="H779" s="12" t="inlineStr">
        <is>
          <t>Fournisseurs, salaires et divers</t>
        </is>
      </c>
      <c r="I779" s="12" t="inlineStr"/>
      <c r="J779" s="12" t="inlineStr">
        <is>
          <t>B26080557</t>
        </is>
      </c>
      <c r="K779" s="12" t="inlineStr">
        <is>
          <t>40100</t>
        </is>
      </c>
      <c r="L779" s="12" t="inlineStr">
        <is>
          <t>Probable</t>
        </is>
      </c>
    </row>
    <row r="780">
      <c r="A780" s="22" t="inlineStr">
        <is>
          <t>20/08/2026</t>
        </is>
      </c>
      <c r="B780" s="22" t="inlineStr">
        <is>
          <t>00370-001257</t>
        </is>
      </c>
      <c r="C780" s="22" t="inlineStr">
        <is>
          <t>COM.VRT EDI BQUE</t>
        </is>
      </c>
      <c r="D780" s="25" t="n">
        <v>35.7</v>
      </c>
      <c r="E780" s="25" t="n"/>
      <c r="F780" s="25" t="n">
        <v>-23942000.7</v>
      </c>
      <c r="G780" s="12" t="inlineStr">
        <is>
          <t>2026-08</t>
        </is>
      </c>
      <c r="H780" s="12" t="inlineStr">
        <is>
          <t>Agios, commissions et frais</t>
        </is>
      </c>
      <c r="I780" s="12" t="inlineStr"/>
      <c r="J780" s="12" t="inlineStr">
        <is>
          <t>B26080558</t>
        </is>
      </c>
      <c r="K780" s="12" t="inlineStr">
        <is>
          <t>44557, 62750</t>
        </is>
      </c>
      <c r="L780" s="12" t="inlineStr">
        <is>
          <t>Probable</t>
        </is>
      </c>
    </row>
    <row r="781">
      <c r="A781" s="22" t="inlineStr">
        <is>
          <t>20/08/2026</t>
        </is>
      </c>
      <c r="B781" s="22" t="inlineStr">
        <is>
          <t>00370-001257</t>
        </is>
      </c>
      <c r="C781" s="22" t="inlineStr">
        <is>
          <t>VRT EDI SIMPLE AUTRE</t>
        </is>
      </c>
      <c r="D781" s="25" t="n">
        <v>39000</v>
      </c>
      <c r="E781" s="25" t="n"/>
      <c r="F781" s="25" t="n">
        <v>-23981000.7</v>
      </c>
      <c r="G781" s="12" t="inlineStr">
        <is>
          <t>2026-08</t>
        </is>
      </c>
      <c r="H781" s="12" t="inlineStr">
        <is>
          <t>Fournisseurs, salaires et divers</t>
        </is>
      </c>
      <c r="I781" s="12" t="inlineStr"/>
      <c r="J781" s="12" t="inlineStr">
        <is>
          <t>B26080559</t>
        </is>
      </c>
      <c r="K781" s="12" t="inlineStr">
        <is>
          <t>47000</t>
        </is>
      </c>
      <c r="L781" s="12" t="inlineStr">
        <is>
          <t>À identifier</t>
        </is>
      </c>
    </row>
    <row r="782">
      <c r="A782" s="22" t="inlineStr">
        <is>
          <t>22/08/2026</t>
        </is>
      </c>
      <c r="B782" s="22" t="inlineStr">
        <is>
          <t>00370-067527</t>
        </is>
      </c>
      <c r="C782" s="22" t="inlineStr">
        <is>
          <t>SORT CHQ NUM  3074120</t>
        </is>
      </c>
      <c r="D782" s="25" t="n"/>
      <c r="E782" s="25" t="n">
        <v>170000</v>
      </c>
      <c r="F782" s="25" t="n">
        <v>-23811000.7</v>
      </c>
      <c r="G782" s="12" t="inlineStr">
        <is>
          <t>2026-08</t>
        </is>
      </c>
      <c r="H782" s="12" t="inlineStr">
        <is>
          <t>Encaissements clients</t>
        </is>
      </c>
      <c r="I782" s="12" t="inlineStr"/>
      <c r="J782" s="12" t="inlineStr">
        <is>
          <t>B26080560</t>
        </is>
      </c>
      <c r="K782" s="12" t="inlineStr">
        <is>
          <t>47000</t>
        </is>
      </c>
      <c r="L782" s="12" t="inlineStr">
        <is>
          <t>À identifier</t>
        </is>
      </c>
    </row>
    <row r="783">
      <c r="A783" s="22" t="inlineStr">
        <is>
          <t>22/08/2026</t>
        </is>
      </c>
      <c r="B783" s="22" t="inlineStr">
        <is>
          <t>00370-067524</t>
        </is>
      </c>
      <c r="C783" s="22" t="inlineStr">
        <is>
          <t>SORT CHQ NUM  7131927</t>
        </is>
      </c>
      <c r="D783" s="25" t="n"/>
      <c r="E783" s="25" t="n">
        <v>108800</v>
      </c>
      <c r="F783" s="25" t="n">
        <v>-23702200.7</v>
      </c>
      <c r="G783" s="12" t="inlineStr">
        <is>
          <t>2026-08</t>
        </is>
      </c>
      <c r="H783" s="12" t="inlineStr">
        <is>
          <t>Encaissements clients</t>
        </is>
      </c>
      <c r="I783" s="12" t="inlineStr"/>
      <c r="J783" s="12" t="inlineStr">
        <is>
          <t>B26080561</t>
        </is>
      </c>
      <c r="K783" s="12" t="inlineStr">
        <is>
          <t>47000</t>
        </is>
      </c>
      <c r="L783" s="12" t="inlineStr">
        <is>
          <t>À identifier</t>
        </is>
      </c>
    </row>
    <row r="784">
      <c r="A784" s="22" t="inlineStr">
        <is>
          <t>22/08/2026</t>
        </is>
      </c>
      <c r="B784" s="22" t="inlineStr">
        <is>
          <t>00370-067527</t>
        </is>
      </c>
      <c r="C784" s="22" t="inlineStr">
        <is>
          <t>FRAIS REMISE CHQ N  3074120</t>
        </is>
      </c>
      <c r="D784" s="25" t="n">
        <v>202.3</v>
      </c>
      <c r="E784" s="25" t="n"/>
      <c r="F784" s="25" t="n">
        <v>-23702403</v>
      </c>
      <c r="G784" s="12" t="inlineStr">
        <is>
          <t>2026-08</t>
        </is>
      </c>
      <c r="H784" s="12" t="inlineStr">
        <is>
          <t>Agios, commissions et frais</t>
        </is>
      </c>
      <c r="I784" s="12" t="inlineStr"/>
      <c r="J784" s="12" t="inlineStr">
        <is>
          <t>B26080562</t>
        </is>
      </c>
      <c r="K784" s="12" t="inlineStr">
        <is>
          <t>44557, 62750</t>
        </is>
      </c>
      <c r="L784" s="12" t="inlineStr">
        <is>
          <t>Probable</t>
        </is>
      </c>
    </row>
    <row r="785">
      <c r="A785" s="22" t="inlineStr">
        <is>
          <t>22/08/2026</t>
        </is>
      </c>
      <c r="B785" s="22" t="inlineStr">
        <is>
          <t>00370-067524</t>
        </is>
      </c>
      <c r="C785" s="22" t="inlineStr">
        <is>
          <t>FRAIS REMISE CHQ N  7131927</t>
        </is>
      </c>
      <c r="D785" s="25" t="n">
        <v>129.47</v>
      </c>
      <c r="E785" s="25" t="n"/>
      <c r="F785" s="25" t="n">
        <v>-23702532.47</v>
      </c>
      <c r="G785" s="12" t="inlineStr">
        <is>
          <t>2026-08</t>
        </is>
      </c>
      <c r="H785" s="12" t="inlineStr">
        <is>
          <t>Agios, commissions et frais</t>
        </is>
      </c>
      <c r="I785" s="12" t="inlineStr"/>
      <c r="J785" s="12" t="inlineStr">
        <is>
          <t>B26080563</t>
        </is>
      </c>
      <c r="K785" s="12" t="inlineStr">
        <is>
          <t>44557, 62750</t>
        </is>
      </c>
      <c r="L785" s="12" t="inlineStr">
        <is>
          <t>Probable</t>
        </is>
      </c>
    </row>
    <row r="786">
      <c r="A786" s="22" t="inlineStr">
        <is>
          <t>23/08/2026</t>
        </is>
      </c>
      <c r="B786" s="22" t="inlineStr">
        <is>
          <t>00370-000001</t>
        </is>
      </c>
      <c r="C786" s="22" t="inlineStr">
        <is>
          <t>RECOUV.IMP.TOMB.ANTI     4127</t>
        </is>
      </c>
      <c r="D786" s="25" t="n">
        <v>1561161.29</v>
      </c>
      <c r="E786" s="25" t="n"/>
      <c r="F786" s="25" t="n">
        <v>-25263693.76</v>
      </c>
      <c r="G786" s="12" t="inlineStr">
        <is>
          <t>2026-08</t>
        </is>
      </c>
      <c r="H786" s="12" t="inlineStr">
        <is>
          <t>Remboursement crédit / échéances</t>
        </is>
      </c>
      <c r="I786" s="12" t="inlineStr"/>
      <c r="J786" s="12" t="inlineStr">
        <is>
          <t>B26080564</t>
        </is>
      </c>
      <c r="K786" s="12" t="inlineStr">
        <is>
          <t>51900</t>
        </is>
      </c>
      <c r="L786" s="12" t="inlineStr">
        <is>
          <t>Probable</t>
        </is>
      </c>
    </row>
    <row r="787">
      <c r="A787" s="22" t="inlineStr">
        <is>
          <t>23/08/2026</t>
        </is>
      </c>
      <c r="B787" s="22" t="inlineStr">
        <is>
          <t>00370-067541</t>
        </is>
      </c>
      <c r="C787" s="22" t="inlineStr">
        <is>
          <t>SORT CHQ NUM  6102782</t>
        </is>
      </c>
      <c r="D787" s="25" t="n"/>
      <c r="E787" s="25" t="n">
        <v>300000</v>
      </c>
      <c r="F787" s="25" t="n">
        <v>-24963693.76</v>
      </c>
      <c r="G787" s="12" t="inlineStr">
        <is>
          <t>2026-08</t>
        </is>
      </c>
      <c r="H787" s="12" t="inlineStr">
        <is>
          <t>Encaissements clients</t>
        </is>
      </c>
      <c r="I787" s="12" t="inlineStr"/>
      <c r="J787" s="12" t="inlineStr">
        <is>
          <t>B26080565</t>
        </is>
      </c>
      <c r="K787" s="12" t="inlineStr">
        <is>
          <t>47000</t>
        </is>
      </c>
      <c r="L787" s="12" t="inlineStr">
        <is>
          <t>À identifier</t>
        </is>
      </c>
    </row>
    <row r="788">
      <c r="A788" s="22" t="inlineStr">
        <is>
          <t>23/08/2026</t>
        </is>
      </c>
      <c r="B788" s="22" t="inlineStr">
        <is>
          <t>00370-067541</t>
        </is>
      </c>
      <c r="C788" s="22" t="inlineStr">
        <is>
          <t>FRAIS REMISE CHQ N  6102782</t>
        </is>
      </c>
      <c r="D788" s="25" t="n">
        <v>238</v>
      </c>
      <c r="E788" s="25" t="n"/>
      <c r="F788" s="25" t="n">
        <v>-24963931.76</v>
      </c>
      <c r="G788" s="12" t="inlineStr">
        <is>
          <t>2026-08</t>
        </is>
      </c>
      <c r="H788" s="12" t="inlineStr">
        <is>
          <t>Agios, commissions et frais</t>
        </is>
      </c>
      <c r="I788" s="12" t="inlineStr"/>
      <c r="J788" s="12" t="inlineStr">
        <is>
          <t>B26080566</t>
        </is>
      </c>
      <c r="K788" s="12" t="inlineStr">
        <is>
          <t>44557, 62750</t>
        </is>
      </c>
      <c r="L788" s="12" t="inlineStr">
        <is>
          <t>Probable</t>
        </is>
      </c>
    </row>
    <row r="789">
      <c r="A789" s="22" t="inlineStr">
        <is>
          <t>24/08/2026</t>
        </is>
      </c>
      <c r="B789" s="22" t="inlineStr">
        <is>
          <t>00370-000001</t>
        </is>
      </c>
      <c r="C789" s="22" t="inlineStr">
        <is>
          <t>RECOUV.IMP.TOMB.ANTI     4127</t>
        </is>
      </c>
      <c r="D789" s="25" t="n">
        <v>218841</v>
      </c>
      <c r="E789" s="25" t="n"/>
      <c r="F789" s="25" t="n">
        <v>-25182772.76</v>
      </c>
      <c r="G789" s="12" t="inlineStr">
        <is>
          <t>2026-08</t>
        </is>
      </c>
      <c r="H789" s="12" t="inlineStr">
        <is>
          <t>Remboursement crédit / échéances</t>
        </is>
      </c>
      <c r="I789" s="12" t="inlineStr"/>
      <c r="J789" s="12" t="inlineStr">
        <is>
          <t>B26080567</t>
        </is>
      </c>
      <c r="K789" s="12" t="inlineStr">
        <is>
          <t>51900</t>
        </is>
      </c>
      <c r="L789" s="12" t="inlineStr">
        <is>
          <t>Probable</t>
        </is>
      </c>
    </row>
    <row r="790">
      <c r="A790" s="22" t="inlineStr">
        <is>
          <t>24/08/2026</t>
        </is>
      </c>
      <c r="B790" s="22" t="inlineStr">
        <is>
          <t>00370-003417</t>
        </is>
      </c>
      <c r="C790" s="22" t="inlineStr">
        <is>
          <t>REMISE CHQ NUM  1752020</t>
        </is>
      </c>
      <c r="D790" s="25" t="n"/>
      <c r="E790" s="25" t="n">
        <v>218960</v>
      </c>
      <c r="F790" s="25" t="n">
        <v>-24963812.76</v>
      </c>
      <c r="G790" s="12" t="inlineStr">
        <is>
          <t>2026-08</t>
        </is>
      </c>
      <c r="H790" s="12" t="inlineStr">
        <is>
          <t>Encaissements clients</t>
        </is>
      </c>
      <c r="I790" s="12" t="inlineStr"/>
      <c r="J790" s="12" t="inlineStr">
        <is>
          <t>B26080568</t>
        </is>
      </c>
      <c r="K790" s="12" t="inlineStr">
        <is>
          <t>47000</t>
        </is>
      </c>
      <c r="L790" s="12" t="inlineStr">
        <is>
          <t>À identifier</t>
        </is>
      </c>
    </row>
    <row r="791">
      <c r="A791" s="22" t="inlineStr">
        <is>
          <t>24/08/2026</t>
        </is>
      </c>
      <c r="B791" s="22" t="inlineStr">
        <is>
          <t>00370-003417</t>
        </is>
      </c>
      <c r="C791" s="22" t="inlineStr">
        <is>
          <t>FRAIS REM. CHQ NUM  1752020</t>
        </is>
      </c>
      <c r="D791" s="25" t="n">
        <v>119</v>
      </c>
      <c r="E791" s="25" t="n"/>
      <c r="F791" s="25" t="n">
        <v>-24963931.76</v>
      </c>
      <c r="G791" s="12" t="inlineStr">
        <is>
          <t>2026-08</t>
        </is>
      </c>
      <c r="H791" s="12" t="inlineStr">
        <is>
          <t>Agios, commissions et frais</t>
        </is>
      </c>
      <c r="I791" s="12" t="inlineStr"/>
      <c r="J791" s="12" t="inlineStr">
        <is>
          <t>B26080569</t>
        </is>
      </c>
      <c r="K791" s="12" t="inlineStr">
        <is>
          <t>44557, 62750</t>
        </is>
      </c>
      <c r="L791" s="12" t="inlineStr">
        <is>
          <t>Probable</t>
        </is>
      </c>
    </row>
    <row r="792">
      <c r="A792" s="22" t="inlineStr">
        <is>
          <t>26/08/2026</t>
        </is>
      </c>
      <c r="B792" s="22" t="inlineStr">
        <is>
          <t>00370-000001</t>
        </is>
      </c>
      <c r="C792" s="22" t="inlineStr">
        <is>
          <t>RECOUV.IMP.TOMB.ANTI     4127</t>
        </is>
      </c>
      <c r="D792" s="25" t="n">
        <v>11400000</v>
      </c>
      <c r="E792" s="25" t="n"/>
      <c r="F792" s="25" t="n">
        <v>-36363931.76</v>
      </c>
      <c r="G792" s="12" t="inlineStr">
        <is>
          <t>2026-08</t>
        </is>
      </c>
      <c r="H792" s="12" t="inlineStr">
        <is>
          <t>Remboursement crédit / échéances</t>
        </is>
      </c>
      <c r="I792" s="12" t="inlineStr"/>
      <c r="J792" s="12" t="inlineStr">
        <is>
          <t>B26080570</t>
        </is>
      </c>
      <c r="K792" s="12" t="inlineStr">
        <is>
          <t>51900</t>
        </is>
      </c>
      <c r="L792" s="12" t="inlineStr">
        <is>
          <t>Probable</t>
        </is>
      </c>
    </row>
    <row r="793">
      <c r="A793" s="22" t="inlineStr">
        <is>
          <t>26/08/2026</t>
        </is>
      </c>
      <c r="B793" s="22" t="inlineStr">
        <is>
          <t>00370-013000</t>
        </is>
      </c>
      <c r="C793" s="22" t="inlineStr">
        <is>
          <t>VRT. RECU SARL DPR AXXAM</t>
        </is>
      </c>
      <c r="D793" s="25" t="n"/>
      <c r="E793" s="25" t="n">
        <v>10000000</v>
      </c>
      <c r="F793" s="25" t="n">
        <v>-26363931.76</v>
      </c>
      <c r="G793" s="12" t="inlineStr">
        <is>
          <t>2026-08</t>
        </is>
      </c>
      <c r="H793" s="12" t="inlineStr">
        <is>
          <t>DPR AXXAM (partie liée)</t>
        </is>
      </c>
      <c r="I793" s="12" t="inlineStr"/>
      <c r="J793" s="12" t="inlineStr">
        <is>
          <t>B26080571</t>
        </is>
      </c>
      <c r="K793" s="12" t="inlineStr">
        <is>
          <t>40900</t>
        </is>
      </c>
      <c r="L793" s="12" t="inlineStr">
        <is>
          <t>À justifier</t>
        </is>
      </c>
    </row>
    <row r="794">
      <c r="A794" s="22" t="inlineStr">
        <is>
          <t>26/08/2026</t>
        </is>
      </c>
      <c r="B794" s="22" t="inlineStr">
        <is>
          <t>00370-000209</t>
        </is>
      </c>
      <c r="C794" s="22" t="inlineStr">
        <is>
          <t>VERSEMENT DEGAGEMENT CAISSE</t>
        </is>
      </c>
      <c r="D794" s="25" t="n"/>
      <c r="E794" s="25" t="n">
        <v>1400000</v>
      </c>
      <c r="F794" s="25" t="n">
        <v>-24963931.76</v>
      </c>
      <c r="G794" s="12" t="inlineStr">
        <is>
          <t>2026-08</t>
        </is>
      </c>
      <c r="H794" s="12" t="inlineStr">
        <is>
          <t>Versement d'espèces (caisse)</t>
        </is>
      </c>
      <c r="I794" s="12" t="inlineStr"/>
      <c r="J794" s="12" t="inlineStr">
        <is>
          <t>B26080572</t>
        </is>
      </c>
      <c r="K794" s="12" t="inlineStr">
        <is>
          <t>58100</t>
        </is>
      </c>
      <c r="L794" s="12" t="inlineStr">
        <is>
          <t>Certaine</t>
        </is>
      </c>
    </row>
    <row r="795">
      <c r="A795" s="22" t="inlineStr">
        <is>
          <t>31/08/2026</t>
        </is>
      </c>
      <c r="B795" s="22" t="inlineStr">
        <is>
          <t>00370-000001</t>
        </is>
      </c>
      <c r="C795" s="22" t="inlineStr">
        <is>
          <t>RECOUV.IMP.TOMB.ANTI     4127</t>
        </is>
      </c>
      <c r="D795" s="25" t="n">
        <v>128367.06</v>
      </c>
      <c r="E795" s="25" t="n"/>
      <c r="F795" s="25" t="n">
        <v>-25092298.82</v>
      </c>
      <c r="G795" s="12" t="inlineStr">
        <is>
          <t>2026-08</t>
        </is>
      </c>
      <c r="H795" s="12" t="inlineStr">
        <is>
          <t>Remboursement crédit / échéances</t>
        </is>
      </c>
      <c r="I795" s="12" t="inlineStr"/>
      <c r="J795" s="12" t="inlineStr">
        <is>
          <t>B26080573</t>
        </is>
      </c>
      <c r="K795" s="12" t="inlineStr">
        <is>
          <t>51900</t>
        </is>
      </c>
      <c r="L795" s="12" t="inlineStr">
        <is>
          <t>Probable</t>
        </is>
      </c>
    </row>
    <row r="796">
      <c r="A796" s="22" t="inlineStr">
        <is>
          <t>31/08/2026</t>
        </is>
      </c>
      <c r="B796" s="22" t="inlineStr">
        <is>
          <t>00370-067616</t>
        </is>
      </c>
      <c r="C796" s="22" t="inlineStr">
        <is>
          <t>SORT CHQ NUM  4978802</t>
        </is>
      </c>
      <c r="D796" s="25" t="n"/>
      <c r="E796" s="25" t="n">
        <v>128520</v>
      </c>
      <c r="F796" s="25" t="n">
        <v>-24963778.82</v>
      </c>
      <c r="G796" s="12" t="inlineStr">
        <is>
          <t>2026-08</t>
        </is>
      </c>
      <c r="H796" s="12" t="inlineStr">
        <is>
          <t>Encaissements clients</t>
        </is>
      </c>
      <c r="I796" s="12" t="inlineStr"/>
      <c r="J796" s="12" t="inlineStr">
        <is>
          <t>B26080574</t>
        </is>
      </c>
      <c r="K796" s="12" t="inlineStr">
        <is>
          <t>47000</t>
        </is>
      </c>
      <c r="L796" s="12" t="inlineStr">
        <is>
          <t>À identifier</t>
        </is>
      </c>
    </row>
    <row r="797">
      <c r="A797" s="22" t="inlineStr">
        <is>
          <t>31/08/2026</t>
        </is>
      </c>
      <c r="B797" s="22" t="inlineStr">
        <is>
          <t>00370-067616</t>
        </is>
      </c>
      <c r="C797" s="22" t="inlineStr">
        <is>
          <t>FRAIS REMISE CHQ N  4978802</t>
        </is>
      </c>
      <c r="D797" s="25" t="n">
        <v>152.94</v>
      </c>
      <c r="E797" s="25" t="n"/>
      <c r="F797" s="25" t="n">
        <v>-24963931.76</v>
      </c>
      <c r="G797" s="12" t="inlineStr">
        <is>
          <t>2026-08</t>
        </is>
      </c>
      <c r="H797" s="12" t="inlineStr">
        <is>
          <t>Agios, commissions et frais</t>
        </is>
      </c>
      <c r="I797" s="12" t="inlineStr"/>
      <c r="J797" s="12" t="inlineStr">
        <is>
          <t>B26080575</t>
        </is>
      </c>
      <c r="K797" s="12" t="inlineStr">
        <is>
          <t>44557, 62750</t>
        </is>
      </c>
      <c r="L797" s="12" t="inlineStr">
        <is>
          <t>Probable</t>
        </is>
      </c>
    </row>
    <row r="798">
      <c r="A798" s="22" t="inlineStr">
        <is>
          <t>01/09/2026</t>
        </is>
      </c>
      <c r="B798" s="22" t="inlineStr">
        <is>
          <t>00370-123222</t>
        </is>
      </c>
      <c r="C798" s="22" t="inlineStr">
        <is>
          <t>PAIEMENT CHQ NUM  2125770</t>
        </is>
      </c>
      <c r="D798" s="25" t="n">
        <v>173457.03</v>
      </c>
      <c r="E798" s="25" t="n"/>
      <c r="F798" s="25" t="n">
        <v>-25137388.79</v>
      </c>
      <c r="G798" s="12" t="inlineStr">
        <is>
          <t>2026-09</t>
        </is>
      </c>
      <c r="H798" s="12" t="inlineStr">
        <is>
          <t>Fournisseurs, salaires et divers</t>
        </is>
      </c>
      <c r="I798" s="12" t="inlineStr"/>
      <c r="J798" s="12" t="inlineStr">
        <is>
          <t>B26090576</t>
        </is>
      </c>
      <c r="K798" s="12" t="inlineStr">
        <is>
          <t>47000</t>
        </is>
      </c>
      <c r="L798" s="12" t="inlineStr">
        <is>
          <t>À identifier</t>
        </is>
      </c>
    </row>
    <row r="799">
      <c r="A799" s="22" t="inlineStr">
        <is>
          <t>01/09/2026</t>
        </is>
      </c>
      <c r="B799" s="22" t="inlineStr">
        <is>
          <t>00370-123222</t>
        </is>
      </c>
      <c r="C799" s="22" t="inlineStr">
        <is>
          <t>PERCEP.COM SUR PAIEMENTS CHQ</t>
        </is>
      </c>
      <c r="D799" s="25" t="n">
        <v>59.5</v>
      </c>
      <c r="E799" s="25" t="n"/>
      <c r="F799" s="25" t="n">
        <v>-25137448.29</v>
      </c>
      <c r="G799" s="12" t="inlineStr">
        <is>
          <t>2026-09</t>
        </is>
      </c>
      <c r="H799" s="12" t="inlineStr">
        <is>
          <t>Agios, commissions et frais</t>
        </is>
      </c>
      <c r="I799" s="12" t="inlineStr"/>
      <c r="J799" s="12" t="inlineStr">
        <is>
          <t>B26090577</t>
        </is>
      </c>
      <c r="K799" s="12" t="inlineStr">
        <is>
          <t>44557, 62750</t>
        </is>
      </c>
      <c r="L799" s="12" t="inlineStr">
        <is>
          <t>Probable</t>
        </is>
      </c>
    </row>
    <row r="800">
      <c r="A800" s="22" t="inlineStr">
        <is>
          <t>01/09/2026</t>
        </is>
      </c>
      <c r="B800" s="22" t="inlineStr">
        <is>
          <t>00370-000001</t>
        </is>
      </c>
      <c r="C800" s="22" t="inlineStr">
        <is>
          <t>RECOUV.IMP.TOMB.ANTI     4127</t>
        </is>
      </c>
      <c r="D800" s="25" t="n">
        <v>1511983.9</v>
      </c>
      <c r="E800" s="25" t="n"/>
      <c r="F800" s="25" t="n">
        <v>-26649432.19</v>
      </c>
      <c r="G800" s="12" t="inlineStr">
        <is>
          <t>2026-09</t>
        </is>
      </c>
      <c r="H800" s="12" t="inlineStr">
        <is>
          <t>Remboursement crédit / échéances</t>
        </is>
      </c>
      <c r="I800" s="12" t="inlineStr"/>
      <c r="J800" s="12" t="inlineStr">
        <is>
          <t>B26090578</t>
        </is>
      </c>
      <c r="K800" s="12" t="inlineStr">
        <is>
          <t>51900</t>
        </is>
      </c>
      <c r="L800" s="12" t="inlineStr">
        <is>
          <t>Probable</t>
        </is>
      </c>
    </row>
    <row r="801">
      <c r="A801" s="22" t="inlineStr">
        <is>
          <t>01/09/2026</t>
        </is>
      </c>
      <c r="B801" s="22" t="inlineStr">
        <is>
          <t>00370-000001</t>
        </is>
      </c>
      <c r="C801" s="22" t="inlineStr">
        <is>
          <t>RECOUV.IMP.TOMB.ANTI     4127</t>
        </is>
      </c>
      <c r="D801" s="25" t="n">
        <v>31440.07</v>
      </c>
      <c r="E801" s="25" t="n"/>
      <c r="F801" s="25" t="n">
        <v>-26680872.26</v>
      </c>
      <c r="G801" s="12" t="inlineStr">
        <is>
          <t>2026-09</t>
        </is>
      </c>
      <c r="H801" s="12" t="inlineStr">
        <is>
          <t>Remboursement crédit / échéances</t>
        </is>
      </c>
      <c r="I801" s="12" t="inlineStr"/>
      <c r="J801" s="12" t="inlineStr">
        <is>
          <t>B26090579</t>
        </is>
      </c>
      <c r="K801" s="12" t="inlineStr">
        <is>
          <t>51900</t>
        </is>
      </c>
      <c r="L801" s="12" t="inlineStr">
        <is>
          <t>Probable</t>
        </is>
      </c>
    </row>
    <row r="802">
      <c r="A802" s="22" t="inlineStr">
        <is>
          <t>01/09/2026</t>
        </is>
      </c>
      <c r="B802" s="22" t="inlineStr">
        <is>
          <t>00370-000566</t>
        </is>
      </c>
      <c r="C802" s="22" t="inlineStr">
        <is>
          <t>MAIN LEVEE</t>
        </is>
      </c>
      <c r="D802" s="25" t="n"/>
      <c r="E802" s="25" t="n">
        <v>26000</v>
      </c>
      <c r="F802" s="25" t="n">
        <v>-26654872.26</v>
      </c>
      <c r="G802" s="12" t="inlineStr">
        <is>
          <t>2026-09</t>
        </is>
      </c>
      <c r="H802" s="12" t="inlineStr">
        <is>
          <t>Cautions et mains levées</t>
        </is>
      </c>
      <c r="I802" s="12" t="inlineStr"/>
      <c r="J802" s="12" t="inlineStr">
        <is>
          <t>B26090580</t>
        </is>
      </c>
      <c r="K802" s="12" t="inlineStr">
        <is>
          <t>27500</t>
        </is>
      </c>
      <c r="L802" s="12" t="inlineStr">
        <is>
          <t>Certaine</t>
        </is>
      </c>
    </row>
    <row r="803">
      <c r="A803" s="22" t="inlineStr">
        <is>
          <t>01/09/2026</t>
        </is>
      </c>
      <c r="B803" s="22" t="inlineStr">
        <is>
          <t>00370-000568</t>
        </is>
      </c>
      <c r="C803" s="22" t="inlineStr">
        <is>
          <t>MAIN LEVEE</t>
        </is>
      </c>
      <c r="D803" s="25" t="n"/>
      <c r="E803" s="25" t="n">
        <v>111000</v>
      </c>
      <c r="F803" s="25" t="n">
        <v>-26543872.26</v>
      </c>
      <c r="G803" s="12" t="inlineStr">
        <is>
          <t>2026-09</t>
        </is>
      </c>
      <c r="H803" s="12" t="inlineStr">
        <is>
          <t>Cautions et mains levées</t>
        </is>
      </c>
      <c r="I803" s="12" t="inlineStr"/>
      <c r="J803" s="12" t="inlineStr">
        <is>
          <t>B26090581</t>
        </is>
      </c>
      <c r="K803" s="12" t="inlineStr">
        <is>
          <t>27500</t>
        </is>
      </c>
      <c r="L803" s="12" t="inlineStr">
        <is>
          <t>Certaine</t>
        </is>
      </c>
    </row>
    <row r="804">
      <c r="A804" s="22" t="inlineStr">
        <is>
          <t>01/09/2026</t>
        </is>
      </c>
      <c r="B804" s="22" t="inlineStr">
        <is>
          <t>00370-000567</t>
        </is>
      </c>
      <c r="C804" s="22" t="inlineStr">
        <is>
          <t>MAIN LEVEE</t>
        </is>
      </c>
      <c r="D804" s="25" t="n"/>
      <c r="E804" s="25" t="n">
        <v>80000</v>
      </c>
      <c r="F804" s="25" t="n">
        <v>-26463872.26</v>
      </c>
      <c r="G804" s="12" t="inlineStr">
        <is>
          <t>2026-09</t>
        </is>
      </c>
      <c r="H804" s="12" t="inlineStr">
        <is>
          <t>Cautions et mains levées</t>
        </is>
      </c>
      <c r="I804" s="12" t="inlineStr"/>
      <c r="J804" s="12" t="inlineStr">
        <is>
          <t>B26090582</t>
        </is>
      </c>
      <c r="K804" s="12" t="inlineStr">
        <is>
          <t>27500</t>
        </is>
      </c>
      <c r="L804" s="12" t="inlineStr">
        <is>
          <t>Certaine</t>
        </is>
      </c>
    </row>
    <row r="805">
      <c r="A805" s="22" t="inlineStr">
        <is>
          <t>01/09/2026</t>
        </is>
      </c>
      <c r="B805" s="22" t="inlineStr">
        <is>
          <t>00370-003435</t>
        </is>
      </c>
      <c r="C805" s="22" t="inlineStr">
        <is>
          <t>REMISE CHQ NUM  6949179</t>
        </is>
      </c>
      <c r="D805" s="25" t="n"/>
      <c r="E805" s="25" t="n">
        <v>1500000</v>
      </c>
      <c r="F805" s="25" t="n">
        <v>-24963872.26</v>
      </c>
      <c r="G805" s="12" t="inlineStr">
        <is>
          <t>2026-09</t>
        </is>
      </c>
      <c r="H805" s="12" t="inlineStr">
        <is>
          <t>Encaissements clients</t>
        </is>
      </c>
      <c r="I805" s="12" t="inlineStr"/>
      <c r="J805" s="12" t="inlineStr">
        <is>
          <t>B26090583</t>
        </is>
      </c>
      <c r="K805" s="12" t="inlineStr">
        <is>
          <t>47000</t>
        </is>
      </c>
      <c r="L805" s="12" t="inlineStr">
        <is>
          <t>À identifier</t>
        </is>
      </c>
    </row>
    <row r="806">
      <c r="A806" s="22" t="inlineStr">
        <is>
          <t>01/09/2026</t>
        </is>
      </c>
      <c r="B806" s="22" t="inlineStr">
        <is>
          <t>00370-003435</t>
        </is>
      </c>
      <c r="C806" s="22" t="inlineStr">
        <is>
          <t>FRAIS REM. CHQ NUM  6949179</t>
        </is>
      </c>
      <c r="D806" s="25" t="n">
        <v>119</v>
      </c>
      <c r="E806" s="25" t="n"/>
      <c r="F806" s="25" t="n">
        <v>-24963991.26</v>
      </c>
      <c r="G806" s="12" t="inlineStr">
        <is>
          <t>2026-09</t>
        </is>
      </c>
      <c r="H806" s="12" t="inlineStr">
        <is>
          <t>Agios, commissions et frais</t>
        </is>
      </c>
      <c r="I806" s="12" t="inlineStr"/>
      <c r="J806" s="12" t="inlineStr">
        <is>
          <t>B26090584</t>
        </is>
      </c>
      <c r="K806" s="12" t="inlineStr">
        <is>
          <t>44557, 62750</t>
        </is>
      </c>
      <c r="L806" s="12" t="inlineStr">
        <is>
          <t>Probable</t>
        </is>
      </c>
    </row>
    <row r="807">
      <c r="A807" s="22" t="inlineStr">
        <is>
          <t>02/09/2026</t>
        </is>
      </c>
      <c r="B807" s="22" t="inlineStr">
        <is>
          <t>00370-000001</t>
        </is>
      </c>
      <c r="C807" s="22" t="inlineStr">
        <is>
          <t>RECOUV.IMP.TOMB.ANTI     4127</t>
        </is>
      </c>
      <c r="D807" s="25" t="n">
        <v>123792.94</v>
      </c>
      <c r="E807" s="25" t="n"/>
      <c r="F807" s="25" t="n">
        <v>-25087784.2</v>
      </c>
      <c r="G807" s="12" t="inlineStr">
        <is>
          <t>2026-09</t>
        </is>
      </c>
      <c r="H807" s="12" t="inlineStr">
        <is>
          <t>Remboursement crédit / échéances</t>
        </is>
      </c>
      <c r="I807" s="12" t="inlineStr"/>
      <c r="J807" s="12" t="inlineStr">
        <is>
          <t>B26090585</t>
        </is>
      </c>
      <c r="K807" s="12" t="inlineStr">
        <is>
          <t>51900</t>
        </is>
      </c>
      <c r="L807" s="12" t="inlineStr">
        <is>
          <t>Probable</t>
        </is>
      </c>
    </row>
    <row r="808">
      <c r="A808" s="22" t="inlineStr">
        <is>
          <t>02/09/2026</t>
        </is>
      </c>
      <c r="B808" s="22" t="inlineStr">
        <is>
          <t>00370-067633</t>
        </is>
      </c>
      <c r="C808" s="22" t="inlineStr">
        <is>
          <t>SORT CHQ NUM  9966219</t>
        </is>
      </c>
      <c r="D808" s="25" t="n"/>
      <c r="E808" s="25" t="n">
        <v>124000</v>
      </c>
      <c r="F808" s="25" t="n">
        <v>-24963784.2</v>
      </c>
      <c r="G808" s="12" t="inlineStr">
        <is>
          <t>2026-09</t>
        </is>
      </c>
      <c r="H808" s="12" t="inlineStr">
        <is>
          <t>Encaissements clients</t>
        </is>
      </c>
      <c r="I808" s="12" t="inlineStr"/>
      <c r="J808" s="12" t="inlineStr">
        <is>
          <t>B26090586</t>
        </is>
      </c>
      <c r="K808" s="12" t="inlineStr">
        <is>
          <t>47000</t>
        </is>
      </c>
      <c r="L808" s="12" t="inlineStr">
        <is>
          <t>À identifier</t>
        </is>
      </c>
    </row>
    <row r="809">
      <c r="A809" s="22" t="inlineStr">
        <is>
          <t>02/09/2026</t>
        </is>
      </c>
      <c r="B809" s="22" t="inlineStr">
        <is>
          <t>00370-067633</t>
        </is>
      </c>
      <c r="C809" s="22" t="inlineStr">
        <is>
          <t>FRAIS REMISE CHQ N  9966219</t>
        </is>
      </c>
      <c r="D809" s="25" t="n">
        <v>147.56</v>
      </c>
      <c r="E809" s="25" t="n"/>
      <c r="F809" s="25" t="n">
        <v>-24963931.76</v>
      </c>
      <c r="G809" s="12" t="inlineStr">
        <is>
          <t>2026-09</t>
        </is>
      </c>
      <c r="H809" s="12" t="inlineStr">
        <is>
          <t>Agios, commissions et frais</t>
        </is>
      </c>
      <c r="I809" s="12" t="inlineStr"/>
      <c r="J809" s="12" t="inlineStr">
        <is>
          <t>B26090587</t>
        </is>
      </c>
      <c r="K809" s="12" t="inlineStr">
        <is>
          <t>44557, 62750</t>
        </is>
      </c>
      <c r="L809" s="12" t="inlineStr">
        <is>
          <t>Probable</t>
        </is>
      </c>
    </row>
    <row r="810">
      <c r="A810" s="22" t="inlineStr">
        <is>
          <t>03/09/2026</t>
        </is>
      </c>
      <c r="B810" s="22" t="inlineStr">
        <is>
          <t>00370-000001</t>
        </is>
      </c>
      <c r="C810" s="22" t="inlineStr">
        <is>
          <t>RECOUV.IMP.TOMB.ANTI     4127</t>
        </is>
      </c>
      <c r="D810" s="25" t="n">
        <v>87955.21000000001</v>
      </c>
      <c r="E810" s="25" t="n"/>
      <c r="F810" s="25" t="n">
        <v>-25051886.97</v>
      </c>
      <c r="G810" s="12" t="inlineStr">
        <is>
          <t>2026-09</t>
        </is>
      </c>
      <c r="H810" s="12" t="inlineStr">
        <is>
          <t>Remboursement crédit / échéances</t>
        </is>
      </c>
      <c r="I810" s="12" t="inlineStr"/>
      <c r="J810" s="12" t="inlineStr">
        <is>
          <t>B26090588</t>
        </is>
      </c>
      <c r="K810" s="12" t="inlineStr">
        <is>
          <t>51900</t>
        </is>
      </c>
      <c r="L810" s="12" t="inlineStr">
        <is>
          <t>Probable</t>
        </is>
      </c>
    </row>
    <row r="811">
      <c r="A811" s="22" t="inlineStr">
        <is>
          <t>03/09/2026</t>
        </is>
      </c>
      <c r="B811" s="22" t="inlineStr">
        <is>
          <t>00370-067649</t>
        </is>
      </c>
      <c r="C811" s="22" t="inlineStr">
        <is>
          <t>SORT CHQ NUM  9455011</t>
        </is>
      </c>
      <c r="D811" s="25" t="n"/>
      <c r="E811" s="25" t="n">
        <v>88060</v>
      </c>
      <c r="F811" s="25" t="n">
        <v>-24963826.97</v>
      </c>
      <c r="G811" s="12" t="inlineStr">
        <is>
          <t>2026-09</t>
        </is>
      </c>
      <c r="H811" s="12" t="inlineStr">
        <is>
          <t>Encaissements clients</t>
        </is>
      </c>
      <c r="I811" s="12" t="inlineStr"/>
      <c r="J811" s="12" t="inlineStr">
        <is>
          <t>B26090589</t>
        </is>
      </c>
      <c r="K811" s="12" t="inlineStr">
        <is>
          <t>47000</t>
        </is>
      </c>
      <c r="L811" s="12" t="inlineStr">
        <is>
          <t>À identifier</t>
        </is>
      </c>
    </row>
    <row r="812">
      <c r="A812" s="22" t="inlineStr">
        <is>
          <t>03/09/2026</t>
        </is>
      </c>
      <c r="B812" s="22" t="inlineStr">
        <is>
          <t>00370-067649</t>
        </is>
      </c>
      <c r="C812" s="22" t="inlineStr">
        <is>
          <t>FRAIS REMISE CHQ N  9455011</t>
        </is>
      </c>
      <c r="D812" s="25" t="n">
        <v>104.79</v>
      </c>
      <c r="E812" s="25" t="n"/>
      <c r="F812" s="25" t="n">
        <v>-24963931.76</v>
      </c>
      <c r="G812" s="12" t="inlineStr">
        <is>
          <t>2026-09</t>
        </is>
      </c>
      <c r="H812" s="12" t="inlineStr">
        <is>
          <t>Agios, commissions et frais</t>
        </is>
      </c>
      <c r="I812" s="12" t="inlineStr"/>
      <c r="J812" s="12" t="inlineStr">
        <is>
          <t>B26090590</t>
        </is>
      </c>
      <c r="K812" s="12" t="inlineStr">
        <is>
          <t>44557, 62750</t>
        </is>
      </c>
      <c r="L812" s="12" t="inlineStr">
        <is>
          <t>Probable</t>
        </is>
      </c>
    </row>
    <row r="813">
      <c r="A813" s="22" t="inlineStr">
        <is>
          <t>14/09/2026</t>
        </is>
      </c>
      <c r="B813" s="22" t="inlineStr">
        <is>
          <t>00370-123428</t>
        </is>
      </c>
      <c r="C813" s="22" t="inlineStr">
        <is>
          <t>PAIEMENT CHQ NUM  2125771</t>
        </is>
      </c>
      <c r="D813" s="25" t="n">
        <v>1793652</v>
      </c>
      <c r="E813" s="25" t="n"/>
      <c r="F813" s="25" t="n">
        <v>-26757583.76</v>
      </c>
      <c r="G813" s="12" t="inlineStr">
        <is>
          <t>2026-09</t>
        </is>
      </c>
      <c r="H813" s="12" t="inlineStr">
        <is>
          <t>Fournisseurs, salaires et divers</t>
        </is>
      </c>
      <c r="I813" s="12" t="inlineStr"/>
      <c r="J813" s="12" t="inlineStr">
        <is>
          <t>B26090591</t>
        </is>
      </c>
      <c r="K813" s="12" t="inlineStr">
        <is>
          <t>47000</t>
        </is>
      </c>
      <c r="L813" s="12" t="inlineStr">
        <is>
          <t>À identifier</t>
        </is>
      </c>
    </row>
    <row r="814">
      <c r="A814" s="22" t="inlineStr">
        <is>
          <t>14/09/2026</t>
        </is>
      </c>
      <c r="B814" s="22" t="inlineStr">
        <is>
          <t>00370-123428</t>
        </is>
      </c>
      <c r="C814" s="22" t="inlineStr">
        <is>
          <t>PERCEP.COM SUR PAIEMENTS CHQ</t>
        </is>
      </c>
      <c r="D814" s="25" t="n">
        <v>59.5</v>
      </c>
      <c r="E814" s="25" t="n"/>
      <c r="F814" s="25" t="n">
        <v>-26757643.26</v>
      </c>
      <c r="G814" s="12" t="inlineStr">
        <is>
          <t>2026-09</t>
        </is>
      </c>
      <c r="H814" s="12" t="inlineStr">
        <is>
          <t>Agios, commissions et frais</t>
        </is>
      </c>
      <c r="I814" s="12" t="inlineStr"/>
      <c r="J814" s="12" t="inlineStr">
        <is>
          <t>B26090592</t>
        </is>
      </c>
      <c r="K814" s="12" t="inlineStr">
        <is>
          <t>44557, 62750</t>
        </is>
      </c>
      <c r="L814" s="12" t="inlineStr">
        <is>
          <t>Probable</t>
        </is>
      </c>
    </row>
    <row r="815">
      <c r="A815" s="22" t="inlineStr">
        <is>
          <t>14/09/2026</t>
        </is>
      </c>
      <c r="B815" s="22" t="inlineStr">
        <is>
          <t>00370-000001</t>
        </is>
      </c>
      <c r="C815" s="22" t="inlineStr">
        <is>
          <t>RECOUV.IMP.TOMB.ANTI     4127</t>
        </is>
      </c>
      <c r="D815" s="25" t="n">
        <v>526073.61</v>
      </c>
      <c r="E815" s="25" t="n"/>
      <c r="F815" s="25" t="n">
        <v>-27283716.87</v>
      </c>
      <c r="G815" s="12" t="inlineStr">
        <is>
          <t>2026-09</t>
        </is>
      </c>
      <c r="H815" s="12" t="inlineStr">
        <is>
          <t>Remboursement crédit / échéances</t>
        </is>
      </c>
      <c r="I815" s="12" t="inlineStr"/>
      <c r="J815" s="12" t="inlineStr">
        <is>
          <t>B26090593</t>
        </is>
      </c>
      <c r="K815" s="12" t="inlineStr">
        <is>
          <t>51900</t>
        </is>
      </c>
      <c r="L815" s="12" t="inlineStr">
        <is>
          <t>Probable</t>
        </is>
      </c>
    </row>
    <row r="816">
      <c r="A816" s="22" t="inlineStr">
        <is>
          <t>14/09/2026</t>
        </is>
      </c>
      <c r="B816" s="22" t="inlineStr">
        <is>
          <t>00370-003461</t>
        </is>
      </c>
      <c r="C816" s="22" t="inlineStr">
        <is>
          <t>REMISE CHQ NUM  2126203</t>
        </is>
      </c>
      <c r="D816" s="25" t="n"/>
      <c r="E816" s="25" t="n">
        <v>250000</v>
      </c>
      <c r="F816" s="25" t="n">
        <v>-27033716.87</v>
      </c>
      <c r="G816" s="12" t="inlineStr">
        <is>
          <t>2026-09</t>
        </is>
      </c>
      <c r="H816" s="12" t="inlineStr">
        <is>
          <t>Encaissements clients</t>
        </is>
      </c>
      <c r="I816" s="12" t="inlineStr"/>
      <c r="J816" s="12" t="inlineStr">
        <is>
          <t>B26090594</t>
        </is>
      </c>
      <c r="K816" s="12" t="inlineStr">
        <is>
          <t>41100</t>
        </is>
      </c>
      <c r="L816" s="12" t="inlineStr">
        <is>
          <t>Probable</t>
        </is>
      </c>
    </row>
    <row r="817">
      <c r="A817" s="22" t="inlineStr">
        <is>
          <t>14/09/2026</t>
        </is>
      </c>
      <c r="B817" s="22" t="inlineStr">
        <is>
          <t>00370-067757</t>
        </is>
      </c>
      <c r="C817" s="22" t="inlineStr">
        <is>
          <t>SORT CHQ NUM  7597601</t>
        </is>
      </c>
      <c r="D817" s="25" t="n"/>
      <c r="E817" s="25" t="n">
        <v>12000000</v>
      </c>
      <c r="F817" s="25" t="n">
        <v>-15033716.87</v>
      </c>
      <c r="G817" s="12" t="inlineStr">
        <is>
          <t>2026-09</t>
        </is>
      </c>
      <c r="H817" s="12" t="inlineStr">
        <is>
          <t>Encaissements clients</t>
        </is>
      </c>
      <c r="I817" s="12" t="inlineStr"/>
      <c r="J817" s="12" t="inlineStr">
        <is>
          <t>B26090595</t>
        </is>
      </c>
      <c r="K817" s="12" t="inlineStr">
        <is>
          <t>47000</t>
        </is>
      </c>
      <c r="L817" s="12" t="inlineStr">
        <is>
          <t>À identifier</t>
        </is>
      </c>
    </row>
    <row r="818">
      <c r="A818" s="22" t="inlineStr">
        <is>
          <t>14/09/2026</t>
        </is>
      </c>
      <c r="B818" s="22" t="inlineStr">
        <is>
          <t>00370-067757</t>
        </is>
      </c>
      <c r="C818" s="22" t="inlineStr">
        <is>
          <t>FRAIS REMISE CHQ N  7597601</t>
        </is>
      </c>
      <c r="D818" s="25" t="n">
        <v>238</v>
      </c>
      <c r="E818" s="25" t="n"/>
      <c r="F818" s="25" t="n">
        <v>-15033954.87</v>
      </c>
      <c r="G818" s="12" t="inlineStr">
        <is>
          <t>2026-09</t>
        </is>
      </c>
      <c r="H818" s="12" t="inlineStr">
        <is>
          <t>Agios, commissions et frais</t>
        </is>
      </c>
      <c r="I818" s="12" t="inlineStr"/>
      <c r="J818" s="12" t="inlineStr">
        <is>
          <t>B26090596</t>
        </is>
      </c>
      <c r="K818" s="12" t="inlineStr">
        <is>
          <t>44557, 62750</t>
        </is>
      </c>
      <c r="L818" s="12" t="inlineStr">
        <is>
          <t>Probable</t>
        </is>
      </c>
    </row>
    <row r="819">
      <c r="A819" s="22" t="inlineStr">
        <is>
          <t>15/09/2026</t>
        </is>
      </c>
      <c r="B819" s="22" t="inlineStr">
        <is>
          <t>00370-001290</t>
        </is>
      </c>
      <c r="C819" s="22" t="inlineStr">
        <is>
          <t>COM.VRT EDI BQUE</t>
        </is>
      </c>
      <c r="D819" s="25" t="n">
        <v>35.7</v>
      </c>
      <c r="E819" s="25" t="n"/>
      <c r="F819" s="25" t="n">
        <v>-15033990.57</v>
      </c>
      <c r="G819" s="12" t="inlineStr">
        <is>
          <t>2026-09</t>
        </is>
      </c>
      <c r="H819" s="12" t="inlineStr">
        <is>
          <t>Agios, commissions et frais</t>
        </is>
      </c>
      <c r="I819" s="12" t="inlineStr"/>
      <c r="J819" s="12" t="inlineStr">
        <is>
          <t>B26090597</t>
        </is>
      </c>
      <c r="K819" s="12" t="inlineStr">
        <is>
          <t>44557, 62750</t>
        </is>
      </c>
      <c r="L819" s="12" t="inlineStr">
        <is>
          <t>Probable</t>
        </is>
      </c>
    </row>
    <row r="820">
      <c r="A820" s="22" t="inlineStr">
        <is>
          <t>15/09/2026</t>
        </is>
      </c>
      <c r="B820" s="22" t="inlineStr">
        <is>
          <t>00370-001290</t>
        </is>
      </c>
      <c r="C820" s="22" t="inlineStr">
        <is>
          <t>VRT EDI SIMPLE AUTRE</t>
        </is>
      </c>
      <c r="D820" s="25" t="n">
        <v>700000</v>
      </c>
      <c r="E820" s="25" t="n"/>
      <c r="F820" s="25" t="n">
        <v>-15733990.57</v>
      </c>
      <c r="G820" s="12" t="inlineStr">
        <is>
          <t>2026-09</t>
        </is>
      </c>
      <c r="H820" s="12" t="inlineStr">
        <is>
          <t>Fournisseurs, salaires et divers</t>
        </is>
      </c>
      <c r="I820" s="12" t="inlineStr"/>
      <c r="J820" s="12" t="inlineStr">
        <is>
          <t>B26090598</t>
        </is>
      </c>
      <c r="K820" s="12" t="inlineStr">
        <is>
          <t>40100</t>
        </is>
      </c>
      <c r="L820" s="12" t="inlineStr">
        <is>
          <t>Par analogie</t>
        </is>
      </c>
    </row>
    <row r="821">
      <c r="A821" s="22" t="inlineStr">
        <is>
          <t>15/09/2026</t>
        </is>
      </c>
      <c r="B821" s="22" t="inlineStr">
        <is>
          <t>00370-005541</t>
        </is>
      </c>
      <c r="C821" s="22" t="inlineStr">
        <is>
          <t>PERCEPTION DES COMMISSIONS</t>
        </is>
      </c>
      <c r="D821" s="25" t="n">
        <v>70.59999999999999</v>
      </c>
      <c r="E821" s="25" t="n"/>
      <c r="F821" s="25" t="n">
        <v>-15734061.17</v>
      </c>
      <c r="G821" s="12" t="inlineStr">
        <is>
          <t>2026-09</t>
        </is>
      </c>
      <c r="H821" s="12" t="inlineStr">
        <is>
          <t>Agios, commissions et frais</t>
        </is>
      </c>
      <c r="I821" s="12" t="inlineStr"/>
      <c r="J821" s="12" t="inlineStr">
        <is>
          <t>B26090599</t>
        </is>
      </c>
      <c r="K821" s="12" t="inlineStr">
        <is>
          <t>44557, 62750</t>
        </is>
      </c>
      <c r="L821" s="12" t="inlineStr">
        <is>
          <t>Probable</t>
        </is>
      </c>
    </row>
    <row r="822">
      <c r="A822" s="22" t="inlineStr">
        <is>
          <t>16/09/2026</t>
        </is>
      </c>
      <c r="B822" s="22" t="inlineStr">
        <is>
          <t>00370-013027</t>
        </is>
      </c>
      <c r="C822" s="22" t="inlineStr">
        <is>
          <t>FRAIS VRT.</t>
        </is>
      </c>
      <c r="D822" s="25" t="n">
        <v>59.5</v>
      </c>
      <c r="E822" s="25" t="n"/>
      <c r="F822" s="25" t="n">
        <v>-15734120.67</v>
      </c>
      <c r="G822" s="12" t="inlineStr">
        <is>
          <t>2026-09</t>
        </is>
      </c>
      <c r="H822" s="12" t="inlineStr">
        <is>
          <t>Agios, commissions et frais</t>
        </is>
      </c>
      <c r="I822" s="12" t="inlineStr"/>
      <c r="J822" s="12" t="inlineStr">
        <is>
          <t>B26090600</t>
        </is>
      </c>
      <c r="K822" s="12" t="inlineStr">
        <is>
          <t>44557, 62750</t>
        </is>
      </c>
      <c r="L822" s="12" t="inlineStr">
        <is>
          <t>Probable</t>
        </is>
      </c>
    </row>
    <row r="823">
      <c r="A823" s="22" t="inlineStr">
        <is>
          <t>16/09/2026</t>
        </is>
      </c>
      <c r="B823" s="22" t="inlineStr">
        <is>
          <t>00370-013027</t>
        </is>
      </c>
      <c r="C823" s="22" t="inlineStr">
        <is>
          <t>VRT. ORD. SARL DPR AXXAM</t>
        </is>
      </c>
      <c r="D823" s="25" t="n">
        <v>8500000</v>
      </c>
      <c r="E823" s="25" t="n"/>
      <c r="F823" s="25" t="n">
        <v>-24234120.67</v>
      </c>
      <c r="G823" s="12" t="inlineStr">
        <is>
          <t>2026-09</t>
        </is>
      </c>
      <c r="H823" s="12" t="inlineStr">
        <is>
          <t>DPR AXXAM (partie liée)</t>
        </is>
      </c>
      <c r="I823" s="12" t="inlineStr"/>
      <c r="J823" s="12" t="inlineStr">
        <is>
          <t>B26090601</t>
        </is>
      </c>
      <c r="K823" s="12" t="inlineStr">
        <is>
          <t>40900</t>
        </is>
      </c>
      <c r="L823" s="12" t="inlineStr">
        <is>
          <t>À justifier</t>
        </is>
      </c>
    </row>
    <row r="824">
      <c r="A824" s="22" t="inlineStr">
        <is>
          <t>16/09/2026</t>
        </is>
      </c>
      <c r="B824" s="22" t="inlineStr">
        <is>
          <t>00370-000031</t>
        </is>
      </c>
      <c r="C824" s="22" t="inlineStr">
        <is>
          <t>VIREMENTS MULT EDI A DEBITER</t>
        </is>
      </c>
      <c r="D824" s="25" t="n">
        <v>156653.63</v>
      </c>
      <c r="E824" s="25" t="n"/>
      <c r="F824" s="25" t="n">
        <v>-24390774.3</v>
      </c>
      <c r="G824" s="12" t="inlineStr">
        <is>
          <t>2026-09</t>
        </is>
      </c>
      <c r="H824" s="12" t="inlineStr">
        <is>
          <t>Fournisseurs, salaires et divers</t>
        </is>
      </c>
      <c r="I824" s="12" t="inlineStr"/>
      <c r="J824" s="12" t="inlineStr">
        <is>
          <t>B26090602</t>
        </is>
      </c>
      <c r="K824" s="12" t="inlineStr">
        <is>
          <t>42100</t>
        </is>
      </c>
      <c r="L824" s="12" t="inlineStr">
        <is>
          <t>Probable</t>
        </is>
      </c>
    </row>
    <row r="825">
      <c r="A825" s="22" t="inlineStr">
        <is>
          <t>16/09/2026</t>
        </is>
      </c>
      <c r="B825" s="22" t="inlineStr">
        <is>
          <t>00370-000031</t>
        </is>
      </c>
      <c r="C825" s="22" t="inlineStr">
        <is>
          <t>VIREMENTS MULT EDI A DEBITER</t>
        </is>
      </c>
      <c r="D825" s="25" t="n">
        <v>83.3</v>
      </c>
      <c r="E825" s="25" t="n"/>
      <c r="F825" s="25" t="n">
        <v>-24390857.6</v>
      </c>
      <c r="G825" s="12" t="inlineStr">
        <is>
          <t>2026-09</t>
        </is>
      </c>
      <c r="H825" s="12" t="inlineStr">
        <is>
          <t>Fournisseurs, salaires et divers</t>
        </is>
      </c>
      <c r="I825" s="12" t="inlineStr"/>
      <c r="J825" s="12" t="inlineStr">
        <is>
          <t>B26090603</t>
        </is>
      </c>
      <c r="K825" s="12" t="inlineStr">
        <is>
          <t>42100</t>
        </is>
      </c>
      <c r="L825" s="12" t="inlineStr">
        <is>
          <t>Probable</t>
        </is>
      </c>
    </row>
    <row r="826">
      <c r="A826" s="22" t="inlineStr">
        <is>
          <t>16/09/2026</t>
        </is>
      </c>
      <c r="B826" s="22" t="inlineStr">
        <is>
          <t>00370-005557</t>
        </is>
      </c>
      <c r="C826" s="22" t="inlineStr">
        <is>
          <t>PERCEPTION DES COMMISSIONS</t>
        </is>
      </c>
      <c r="D826" s="25" t="n">
        <v>60.17</v>
      </c>
      <c r="E826" s="25" t="n"/>
      <c r="F826" s="25" t="n">
        <v>-24390917.77</v>
      </c>
      <c r="G826" s="12" t="inlineStr">
        <is>
          <t>2026-09</t>
        </is>
      </c>
      <c r="H826" s="12" t="inlineStr">
        <is>
          <t>Agios, commissions et frais</t>
        </is>
      </c>
      <c r="I826" s="12" t="inlineStr"/>
      <c r="J826" s="12" t="inlineStr">
        <is>
          <t>B26090604</t>
        </is>
      </c>
      <c r="K826" s="12" t="inlineStr">
        <is>
          <t>44557, 62750</t>
        </is>
      </c>
      <c r="L826" s="12" t="inlineStr">
        <is>
          <t>Probable</t>
        </is>
      </c>
    </row>
    <row r="827">
      <c r="A827" s="22" t="inlineStr">
        <is>
          <t>16/09/2026</t>
        </is>
      </c>
      <c r="B827" s="22" t="inlineStr">
        <is>
          <t>00370-005556</t>
        </is>
      </c>
      <c r="C827" s="22" t="inlineStr">
        <is>
          <t>PERCEPTION DES COMMISSIONS</t>
        </is>
      </c>
      <c r="D827" s="25" t="n">
        <v>1504.03</v>
      </c>
      <c r="E827" s="25" t="n"/>
      <c r="F827" s="25" t="n">
        <v>-24392421.8</v>
      </c>
      <c r="G827" s="12" t="inlineStr">
        <is>
          <t>2026-09</t>
        </is>
      </c>
      <c r="H827" s="12" t="inlineStr">
        <is>
          <t>Agios, commissions et frais</t>
        </is>
      </c>
      <c r="I827" s="12" t="inlineStr"/>
      <c r="J827" s="12" t="inlineStr">
        <is>
          <t>B26090605</t>
        </is>
      </c>
      <c r="K827" s="12" t="inlineStr">
        <is>
          <t>44557, 62750</t>
        </is>
      </c>
      <c r="L827" s="12" t="inlineStr">
        <is>
          <t>Probable</t>
        </is>
      </c>
    </row>
    <row r="828">
      <c r="A828" s="22" t="inlineStr">
        <is>
          <t>16/09/2026</t>
        </is>
      </c>
      <c r="B828" s="22" t="inlineStr">
        <is>
          <t>00370-005555</t>
        </is>
      </c>
      <c r="C828" s="22" t="inlineStr">
        <is>
          <t>PERCEPTION DES COMMISSIONS</t>
        </is>
      </c>
      <c r="D828" s="25" t="n">
        <v>60.17</v>
      </c>
      <c r="E828" s="25" t="n"/>
      <c r="F828" s="25" t="n">
        <v>-24392481.97</v>
      </c>
      <c r="G828" s="12" t="inlineStr">
        <is>
          <t>2026-09</t>
        </is>
      </c>
      <c r="H828" s="12" t="inlineStr">
        <is>
          <t>Agios, commissions et frais</t>
        </is>
      </c>
      <c r="I828" s="12" t="inlineStr"/>
      <c r="J828" s="12" t="inlineStr">
        <is>
          <t>B26090606</t>
        </is>
      </c>
      <c r="K828" s="12" t="inlineStr">
        <is>
          <t>44557, 62750</t>
        </is>
      </c>
      <c r="L828" s="12" t="inlineStr">
        <is>
          <t>Probable</t>
        </is>
      </c>
    </row>
    <row r="829">
      <c r="A829" s="22" t="inlineStr">
        <is>
          <t>16/09/2026</t>
        </is>
      </c>
      <c r="B829" s="22" t="inlineStr">
        <is>
          <t>00370-005554</t>
        </is>
      </c>
      <c r="C829" s="22" t="inlineStr">
        <is>
          <t>PERCEPTION DES COMMISSIONS</t>
        </is>
      </c>
      <c r="D829" s="25" t="n">
        <v>60.17</v>
      </c>
      <c r="E829" s="25" t="n"/>
      <c r="F829" s="25" t="n">
        <v>-24392542.14</v>
      </c>
      <c r="G829" s="12" t="inlineStr">
        <is>
          <t>2026-09</t>
        </is>
      </c>
      <c r="H829" s="12" t="inlineStr">
        <is>
          <t>Agios, commissions et frais</t>
        </is>
      </c>
      <c r="I829" s="12" t="inlineStr"/>
      <c r="J829" s="12" t="inlineStr">
        <is>
          <t>B26090607</t>
        </is>
      </c>
      <c r="K829" s="12" t="inlineStr">
        <is>
          <t>44557, 62750</t>
        </is>
      </c>
      <c r="L829" s="12" t="inlineStr">
        <is>
          <t>Probable</t>
        </is>
      </c>
    </row>
    <row r="830">
      <c r="A830" s="22" t="inlineStr">
        <is>
          <t>16/09/2026</t>
        </is>
      </c>
      <c r="B830" s="22" t="inlineStr">
        <is>
          <t>00370-005553</t>
        </is>
      </c>
      <c r="C830" s="22" t="inlineStr">
        <is>
          <t>PERCEPTION DES COMMISSIONS</t>
        </is>
      </c>
      <c r="D830" s="25" t="n">
        <v>60.17</v>
      </c>
      <c r="E830" s="25" t="n"/>
      <c r="F830" s="25" t="n">
        <v>-24392602.31</v>
      </c>
      <c r="G830" s="12" t="inlineStr">
        <is>
          <t>2026-09</t>
        </is>
      </c>
      <c r="H830" s="12" t="inlineStr">
        <is>
          <t>Agios, commissions et frais</t>
        </is>
      </c>
      <c r="I830" s="12" t="inlineStr"/>
      <c r="J830" s="12" t="inlineStr">
        <is>
          <t>B26090608</t>
        </is>
      </c>
      <c r="K830" s="12" t="inlineStr">
        <is>
          <t>44557, 62750</t>
        </is>
      </c>
      <c r="L830" s="12" t="inlineStr">
        <is>
          <t>Probable</t>
        </is>
      </c>
    </row>
    <row r="831">
      <c r="A831" s="22" t="inlineStr">
        <is>
          <t>16/09/2026</t>
        </is>
      </c>
      <c r="B831" s="22" t="inlineStr">
        <is>
          <t>00370-005552</t>
        </is>
      </c>
      <c r="C831" s="22" t="inlineStr">
        <is>
          <t>PERCEPTION DES COMMISSIONS</t>
        </is>
      </c>
      <c r="D831" s="25" t="n">
        <v>60.17</v>
      </c>
      <c r="E831" s="25" t="n"/>
      <c r="F831" s="25" t="n">
        <v>-24392662.48</v>
      </c>
      <c r="G831" s="12" t="inlineStr">
        <is>
          <t>2026-09</t>
        </is>
      </c>
      <c r="H831" s="12" t="inlineStr">
        <is>
          <t>Agios, commissions et frais</t>
        </is>
      </c>
      <c r="I831" s="12" t="inlineStr"/>
      <c r="J831" s="12" t="inlineStr">
        <is>
          <t>B26090609</t>
        </is>
      </c>
      <c r="K831" s="12" t="inlineStr">
        <is>
          <t>44557, 62750</t>
        </is>
      </c>
      <c r="L831" s="12" t="inlineStr">
        <is>
          <t>Probable</t>
        </is>
      </c>
    </row>
    <row r="832">
      <c r="A832" s="22" t="inlineStr">
        <is>
          <t>16/09/2026</t>
        </is>
      </c>
      <c r="B832" s="22" t="inlineStr">
        <is>
          <t>00370-003470</t>
        </is>
      </c>
      <c r="C832" s="22" t="inlineStr">
        <is>
          <t>REMISE CHQ NUM  2126204</t>
        </is>
      </c>
      <c r="D832" s="25" t="n"/>
      <c r="E832" s="25" t="n">
        <v>200000</v>
      </c>
      <c r="F832" s="25" t="n">
        <v>-24192662.48</v>
      </c>
      <c r="G832" s="12" t="inlineStr">
        <is>
          <t>2026-09</t>
        </is>
      </c>
      <c r="H832" s="12" t="inlineStr">
        <is>
          <t>Encaissements clients</t>
        </is>
      </c>
      <c r="I832" s="12" t="inlineStr"/>
      <c r="J832" s="12" t="inlineStr">
        <is>
          <t>B26090610</t>
        </is>
      </c>
      <c r="K832" s="12" t="inlineStr">
        <is>
          <t>41100</t>
        </is>
      </c>
      <c r="L832" s="12" t="inlineStr">
        <is>
          <t>Probable</t>
        </is>
      </c>
    </row>
    <row r="833">
      <c r="A833" s="22" t="inlineStr">
        <is>
          <t>16/09/2026</t>
        </is>
      </c>
      <c r="B833" s="22" t="inlineStr">
        <is>
          <t>00370-067768</t>
        </is>
      </c>
      <c r="C833" s="22" t="inlineStr">
        <is>
          <t>SORT CHQ NUM  9966220</t>
        </is>
      </c>
      <c r="D833" s="25" t="n"/>
      <c r="E833" s="25" t="n">
        <v>313400</v>
      </c>
      <c r="F833" s="25" t="n">
        <v>-23879262.48</v>
      </c>
      <c r="G833" s="12" t="inlineStr">
        <is>
          <t>2026-09</t>
        </is>
      </c>
      <c r="H833" s="12" t="inlineStr">
        <is>
          <t>Encaissements clients</t>
        </is>
      </c>
      <c r="I833" s="12" t="inlineStr"/>
      <c r="J833" s="12" t="inlineStr">
        <is>
          <t>B26090611</t>
        </is>
      </c>
      <c r="K833" s="12" t="inlineStr">
        <is>
          <t>47000</t>
        </is>
      </c>
      <c r="L833" s="12" t="inlineStr">
        <is>
          <t>À identifier</t>
        </is>
      </c>
    </row>
    <row r="834">
      <c r="A834" s="22" t="inlineStr">
        <is>
          <t>16/09/2026</t>
        </is>
      </c>
      <c r="B834" s="22" t="inlineStr">
        <is>
          <t>00370-067768</t>
        </is>
      </c>
      <c r="C834" s="22" t="inlineStr">
        <is>
          <t>FRAIS REMISE CHQ N  9966220</t>
        </is>
      </c>
      <c r="D834" s="25" t="n">
        <v>238</v>
      </c>
      <c r="E834" s="25" t="n"/>
      <c r="F834" s="25" t="n">
        <v>-23879500.48</v>
      </c>
      <c r="G834" s="12" t="inlineStr">
        <is>
          <t>2026-09</t>
        </is>
      </c>
      <c r="H834" s="12" t="inlineStr">
        <is>
          <t>Agios, commissions et frais</t>
        </is>
      </c>
      <c r="I834" s="12" t="inlineStr"/>
      <c r="J834" s="12" t="inlineStr">
        <is>
          <t>B26090612</t>
        </is>
      </c>
      <c r="K834" s="12" t="inlineStr">
        <is>
          <t>44557, 62750</t>
        </is>
      </c>
      <c r="L834" s="12" t="inlineStr">
        <is>
          <t>Probable</t>
        </is>
      </c>
    </row>
    <row r="835">
      <c r="A835" s="22" t="inlineStr">
        <is>
          <t>17/09/2026</t>
        </is>
      </c>
      <c r="B835" s="22" t="inlineStr">
        <is>
          <t>00370-067775</t>
        </is>
      </c>
      <c r="C835" s="22" t="inlineStr">
        <is>
          <t>SORT CHQ NUM  7967250</t>
        </is>
      </c>
      <c r="D835" s="25" t="n"/>
      <c r="E835" s="25" t="n">
        <v>2000000</v>
      </c>
      <c r="F835" s="25" t="n">
        <v>-21879500.48</v>
      </c>
      <c r="G835" s="12" t="inlineStr">
        <is>
          <t>2026-09</t>
        </is>
      </c>
      <c r="H835" s="12" t="inlineStr">
        <is>
          <t>Encaissements clients</t>
        </is>
      </c>
      <c r="I835" s="12" t="inlineStr"/>
      <c r="J835" s="12" t="inlineStr">
        <is>
          <t>B26090613</t>
        </is>
      </c>
      <c r="K835" s="12" t="inlineStr">
        <is>
          <t>41100</t>
        </is>
      </c>
      <c r="L835" s="12" t="inlineStr">
        <is>
          <t>Probable</t>
        </is>
      </c>
    </row>
    <row r="836">
      <c r="A836" s="22" t="inlineStr">
        <is>
          <t>17/09/2026</t>
        </is>
      </c>
      <c r="B836" s="22" t="inlineStr">
        <is>
          <t>00370-067775</t>
        </is>
      </c>
      <c r="C836" s="22" t="inlineStr">
        <is>
          <t>FRAIS REMISE CHQ N  7967250</t>
        </is>
      </c>
      <c r="D836" s="25" t="n">
        <v>238</v>
      </c>
      <c r="E836" s="25" t="n"/>
      <c r="F836" s="25" t="n">
        <v>-21879738.48</v>
      </c>
      <c r="G836" s="12" t="inlineStr">
        <is>
          <t>2026-09</t>
        </is>
      </c>
      <c r="H836" s="12" t="inlineStr">
        <is>
          <t>Agios, commissions et frais</t>
        </is>
      </c>
      <c r="I836" s="12" t="inlineStr"/>
      <c r="J836" s="12" t="inlineStr">
        <is>
          <t>B26090614</t>
        </is>
      </c>
      <c r="K836" s="12" t="inlineStr">
        <is>
          <t>44557, 62750</t>
        </is>
      </c>
      <c r="L836" s="12" t="inlineStr">
        <is>
          <t>Probable</t>
        </is>
      </c>
    </row>
    <row r="837">
      <c r="A837" s="22" t="inlineStr">
        <is>
          <t>20/09/2026</t>
        </is>
      </c>
      <c r="B837" s="22" t="inlineStr">
        <is>
          <t>00370-000766</t>
        </is>
      </c>
      <c r="C837" s="22" t="inlineStr">
        <is>
          <t>COM.VRT EDI CAISSE</t>
        </is>
      </c>
      <c r="D837" s="25" t="n">
        <v>11.9</v>
      </c>
      <c r="E837" s="25" t="n"/>
      <c r="F837" s="25" t="n">
        <v>-21879750.38</v>
      </c>
      <c r="G837" s="12" t="inlineStr">
        <is>
          <t>2026-09</t>
        </is>
      </c>
      <c r="H837" s="12" t="inlineStr">
        <is>
          <t>Agios, commissions et frais</t>
        </is>
      </c>
      <c r="I837" s="12" t="inlineStr"/>
      <c r="J837" s="12" t="inlineStr">
        <is>
          <t>B26090615</t>
        </is>
      </c>
      <c r="K837" s="12" t="inlineStr">
        <is>
          <t>44557, 62750</t>
        </is>
      </c>
      <c r="L837" s="12" t="inlineStr">
        <is>
          <t>Probable</t>
        </is>
      </c>
    </row>
    <row r="838">
      <c r="A838" s="22" t="inlineStr">
        <is>
          <t>20/09/2026</t>
        </is>
      </c>
      <c r="B838" s="22" t="inlineStr">
        <is>
          <t>00370-000766</t>
        </is>
      </c>
      <c r="C838" s="22" t="inlineStr">
        <is>
          <t>SARL DPR AXXAM</t>
        </is>
      </c>
      <c r="D838" s="25" t="n">
        <v>250000</v>
      </c>
      <c r="E838" s="25" t="n"/>
      <c r="F838" s="25" t="n">
        <v>-22129750.38</v>
      </c>
      <c r="G838" s="12" t="inlineStr">
        <is>
          <t>2026-09</t>
        </is>
      </c>
      <c r="H838" s="12" t="inlineStr">
        <is>
          <t>DPR AXXAM (partie liée)</t>
        </is>
      </c>
      <c r="I838" s="12" t="inlineStr"/>
      <c r="J838" s="12" t="inlineStr">
        <is>
          <t>B26090616</t>
        </is>
      </c>
      <c r="K838" s="12" t="inlineStr">
        <is>
          <t>40900</t>
        </is>
      </c>
      <c r="L838" s="12" t="inlineStr">
        <is>
          <t>À justifier</t>
        </is>
      </c>
    </row>
    <row r="839">
      <c r="A839" s="22" t="inlineStr">
        <is>
          <t>20/09/2026</t>
        </is>
      </c>
      <c r="B839" s="22" t="inlineStr">
        <is>
          <t>00370-000765</t>
        </is>
      </c>
      <c r="C839" s="22" t="inlineStr">
        <is>
          <t>COM.VRT EDI CAISSE</t>
        </is>
      </c>
      <c r="D839" s="25" t="n">
        <v>11.9</v>
      </c>
      <c r="E839" s="25" t="n"/>
      <c r="F839" s="25" t="n">
        <v>-22129762.28</v>
      </c>
      <c r="G839" s="12" t="inlineStr">
        <is>
          <t>2026-09</t>
        </is>
      </c>
      <c r="H839" s="12" t="inlineStr">
        <is>
          <t>Agios, commissions et frais</t>
        </is>
      </c>
      <c r="I839" s="12" t="inlineStr"/>
      <c r="J839" s="12" t="inlineStr">
        <is>
          <t>B26090617</t>
        </is>
      </c>
      <c r="K839" s="12" t="inlineStr">
        <is>
          <t>44557, 62750</t>
        </is>
      </c>
      <c r="L839" s="12" t="inlineStr">
        <is>
          <t>Probable</t>
        </is>
      </c>
    </row>
    <row r="840">
      <c r="A840" s="22" t="inlineStr">
        <is>
          <t>20/09/2026</t>
        </is>
      </c>
      <c r="B840" s="22" t="inlineStr">
        <is>
          <t>00370-000765</t>
        </is>
      </c>
      <c r="C840" s="22" t="inlineStr">
        <is>
          <t>SARL DPR AXXAM</t>
        </is>
      </c>
      <c r="D840" s="25" t="n">
        <v>950000</v>
      </c>
      <c r="E840" s="25" t="n"/>
      <c r="F840" s="25" t="n">
        <v>-23079762.28</v>
      </c>
      <c r="G840" s="12" t="inlineStr">
        <is>
          <t>2026-09</t>
        </is>
      </c>
      <c r="H840" s="12" t="inlineStr">
        <is>
          <t>DPR AXXAM (partie liée)</t>
        </is>
      </c>
      <c r="I840" s="12" t="inlineStr"/>
      <c r="J840" s="12" t="inlineStr">
        <is>
          <t>B26090618</t>
        </is>
      </c>
      <c r="K840" s="12" t="inlineStr">
        <is>
          <t>40900</t>
        </is>
      </c>
      <c r="L840" s="12" t="inlineStr">
        <is>
          <t>À justifier</t>
        </is>
      </c>
    </row>
    <row r="841">
      <c r="A841" s="22" t="inlineStr">
        <is>
          <t>20/09/2026</t>
        </is>
      </c>
      <c r="B841" s="22" t="inlineStr">
        <is>
          <t>00370-123544</t>
        </is>
      </c>
      <c r="C841" s="22" t="inlineStr">
        <is>
          <t>PAIEMENT CHQ NUM  2125769</t>
        </is>
      </c>
      <c r="D841" s="25" t="n">
        <v>37833.31</v>
      </c>
      <c r="E841" s="25" t="n"/>
      <c r="F841" s="25" t="n">
        <v>-23117595.59</v>
      </c>
      <c r="G841" s="12" t="inlineStr">
        <is>
          <t>2026-09</t>
        </is>
      </c>
      <c r="H841" s="12" t="inlineStr">
        <is>
          <t>Fournisseurs, salaires et divers</t>
        </is>
      </c>
      <c r="I841" s="12" t="inlineStr"/>
      <c r="J841" s="12" t="inlineStr">
        <is>
          <t>B26090619</t>
        </is>
      </c>
      <c r="K841" s="12" t="inlineStr">
        <is>
          <t>47000</t>
        </is>
      </c>
      <c r="L841" s="12" t="inlineStr">
        <is>
          <t>À identifier</t>
        </is>
      </c>
    </row>
    <row r="842">
      <c r="A842" s="22" t="inlineStr">
        <is>
          <t>21/09/2026</t>
        </is>
      </c>
      <c r="B842" s="22" t="inlineStr">
        <is>
          <t>00370-000767</t>
        </is>
      </c>
      <c r="C842" s="22" t="inlineStr">
        <is>
          <t>COM.VRT EDI CAISSE</t>
        </is>
      </c>
      <c r="D842" s="25" t="n">
        <v>11.9</v>
      </c>
      <c r="E842" s="25" t="n"/>
      <c r="F842" s="25" t="n">
        <v>-23117607.49</v>
      </c>
      <c r="G842" s="12" t="inlineStr">
        <is>
          <t>2026-09</t>
        </is>
      </c>
      <c r="H842" s="12" t="inlineStr">
        <is>
          <t>Agios, commissions et frais</t>
        </is>
      </c>
      <c r="I842" s="12" t="inlineStr"/>
      <c r="J842" s="12" t="inlineStr">
        <is>
          <t>B26090620</t>
        </is>
      </c>
      <c r="K842" s="12" t="inlineStr">
        <is>
          <t>44557, 62750</t>
        </is>
      </c>
      <c r="L842" s="12" t="inlineStr">
        <is>
          <t>Probable</t>
        </is>
      </c>
    </row>
    <row r="843">
      <c r="A843" s="22" t="inlineStr">
        <is>
          <t>21/09/2026</t>
        </is>
      </c>
      <c r="B843" s="22" t="inlineStr">
        <is>
          <t>00370-000767</t>
        </is>
      </c>
      <c r="C843" s="22" t="inlineStr">
        <is>
          <t>SARL DPR AXXAM</t>
        </is>
      </c>
      <c r="D843" s="25" t="n">
        <v>700000</v>
      </c>
      <c r="E843" s="25" t="n"/>
      <c r="F843" s="25" t="n">
        <v>-23817607.49</v>
      </c>
      <c r="G843" s="12" t="inlineStr">
        <is>
          <t>2026-09</t>
        </is>
      </c>
      <c r="H843" s="12" t="inlineStr">
        <is>
          <t>DPR AXXAM (partie liée)</t>
        </is>
      </c>
      <c r="I843" s="12" t="inlineStr"/>
      <c r="J843" s="12" t="inlineStr">
        <is>
          <t>B26090621</t>
        </is>
      </c>
      <c r="K843" s="12" t="inlineStr">
        <is>
          <t>40900</t>
        </is>
      </c>
      <c r="L843" s="12" t="inlineStr">
        <is>
          <t>À justifier</t>
        </is>
      </c>
    </row>
    <row r="844">
      <c r="A844" s="22" t="inlineStr">
        <is>
          <t>21/09/2026</t>
        </is>
      </c>
      <c r="B844" s="22" t="inlineStr">
        <is>
          <t>00370-003475</t>
        </is>
      </c>
      <c r="C844" s="22" t="inlineStr">
        <is>
          <t>REMISE CHQ NUM  9174999</t>
        </is>
      </c>
      <c r="D844" s="25" t="n"/>
      <c r="E844" s="25" t="n">
        <v>136255</v>
      </c>
      <c r="F844" s="25" t="n">
        <v>-23681352.49</v>
      </c>
      <c r="G844" s="12" t="inlineStr">
        <is>
          <t>2026-09</t>
        </is>
      </c>
      <c r="H844" s="12" t="inlineStr">
        <is>
          <t>Encaissements clients</t>
        </is>
      </c>
      <c r="I844" s="12" t="inlineStr"/>
      <c r="J844" s="12" t="inlineStr">
        <is>
          <t>B26090622</t>
        </is>
      </c>
      <c r="K844" s="12" t="inlineStr">
        <is>
          <t>47000</t>
        </is>
      </c>
      <c r="L844" s="12" t="inlineStr">
        <is>
          <t>À identifier</t>
        </is>
      </c>
    </row>
    <row r="845">
      <c r="A845" s="22" t="inlineStr">
        <is>
          <t>21/09/2026</t>
        </is>
      </c>
      <c r="B845" s="22" t="inlineStr">
        <is>
          <t>00370-003475</t>
        </is>
      </c>
      <c r="C845" s="22" t="inlineStr">
        <is>
          <t>FRAIS REM. CHQ NUM  9174999</t>
        </is>
      </c>
      <c r="D845" s="25" t="n">
        <v>119</v>
      </c>
      <c r="E845" s="25" t="n"/>
      <c r="F845" s="25" t="n">
        <v>-23681471.49</v>
      </c>
      <c r="G845" s="12" t="inlineStr">
        <is>
          <t>2026-09</t>
        </is>
      </c>
      <c r="H845" s="12" t="inlineStr">
        <is>
          <t>Agios, commissions et frais</t>
        </is>
      </c>
      <c r="I845" s="12" t="inlineStr"/>
      <c r="J845" s="12" t="inlineStr">
        <is>
          <t>B26090623</t>
        </is>
      </c>
      <c r="K845" s="12" t="inlineStr">
        <is>
          <t>44557, 62750</t>
        </is>
      </c>
      <c r="L845" s="12" t="inlineStr">
        <is>
          <t>Probable</t>
        </is>
      </c>
    </row>
    <row r="846">
      <c r="A846" s="22" t="inlineStr">
        <is>
          <t>23/09/2026</t>
        </is>
      </c>
      <c r="B846" s="22" t="inlineStr">
        <is>
          <t>00370-000770</t>
        </is>
      </c>
      <c r="C846" s="22" t="inlineStr">
        <is>
          <t>COM.VRT EDI CAISSE</t>
        </is>
      </c>
      <c r="D846" s="25" t="n">
        <v>11.9</v>
      </c>
      <c r="E846" s="25" t="n"/>
      <c r="F846" s="25" t="n">
        <v>-23681483.39</v>
      </c>
      <c r="G846" s="12" t="inlineStr">
        <is>
          <t>2026-09</t>
        </is>
      </c>
      <c r="H846" s="12" t="inlineStr">
        <is>
          <t>Agios, commissions et frais</t>
        </is>
      </c>
      <c r="I846" s="12" t="inlineStr"/>
      <c r="J846" s="12" t="inlineStr">
        <is>
          <t>B26090624</t>
        </is>
      </c>
      <c r="K846" s="12" t="inlineStr">
        <is>
          <t>44557, 62750</t>
        </is>
      </c>
      <c r="L846" s="12" t="inlineStr">
        <is>
          <t>Probable</t>
        </is>
      </c>
    </row>
    <row r="847">
      <c r="A847" s="22" t="inlineStr">
        <is>
          <t>23/09/2026</t>
        </is>
      </c>
      <c r="B847" s="22" t="inlineStr">
        <is>
          <t>00370-000770</t>
        </is>
      </c>
      <c r="C847" s="22" t="inlineStr">
        <is>
          <t>SARL DPR AXXAM</t>
        </is>
      </c>
      <c r="D847" s="25" t="n">
        <v>900000</v>
      </c>
      <c r="E847" s="25" t="n"/>
      <c r="F847" s="25" t="n">
        <v>-24581483.39</v>
      </c>
      <c r="G847" s="12" t="inlineStr">
        <is>
          <t>2026-09</t>
        </is>
      </c>
      <c r="H847" s="12" t="inlineStr">
        <is>
          <t>DPR AXXAM (partie liée)</t>
        </is>
      </c>
      <c r="I847" s="12" t="inlineStr"/>
      <c r="J847" s="12" t="inlineStr">
        <is>
          <t>B26090625</t>
        </is>
      </c>
      <c r="K847" s="12" t="inlineStr">
        <is>
          <t>40900</t>
        </is>
      </c>
      <c r="L847" s="12" t="inlineStr">
        <is>
          <t>À justifier</t>
        </is>
      </c>
    </row>
    <row r="848">
      <c r="A848" s="22" t="inlineStr">
        <is>
          <t>24/09/2026</t>
        </is>
      </c>
      <c r="B848" s="22" t="inlineStr">
        <is>
          <t>00370-000773</t>
        </is>
      </c>
      <c r="C848" s="22" t="inlineStr">
        <is>
          <t>COM.VRT EDI CAISSE</t>
        </is>
      </c>
      <c r="D848" s="25" t="n">
        <v>11.9</v>
      </c>
      <c r="E848" s="25" t="n"/>
      <c r="F848" s="25" t="n">
        <v>-24581495.29</v>
      </c>
      <c r="G848" s="12" t="inlineStr">
        <is>
          <t>2026-09</t>
        </is>
      </c>
      <c r="H848" s="12" t="inlineStr">
        <is>
          <t>Agios, commissions et frais</t>
        </is>
      </c>
      <c r="I848" s="12" t="inlineStr"/>
      <c r="J848" s="12" t="inlineStr">
        <is>
          <t>B26090626</t>
        </is>
      </c>
      <c r="K848" s="12" t="inlineStr">
        <is>
          <t>44557, 62750</t>
        </is>
      </c>
      <c r="L848" s="12" t="inlineStr">
        <is>
          <t>Probable</t>
        </is>
      </c>
    </row>
    <row r="849">
      <c r="A849" s="22" t="inlineStr">
        <is>
          <t>24/09/2026</t>
        </is>
      </c>
      <c r="B849" s="22" t="inlineStr">
        <is>
          <t>00370-000773</t>
        </is>
      </c>
      <c r="C849" s="22" t="inlineStr">
        <is>
          <t>SARL DPR AXXAM</t>
        </is>
      </c>
      <c r="D849" s="25" t="n">
        <v>950000</v>
      </c>
      <c r="E849" s="25" t="n"/>
      <c r="F849" s="25" t="n">
        <v>-25531495.29</v>
      </c>
      <c r="G849" s="12" t="inlineStr">
        <is>
          <t>2026-09</t>
        </is>
      </c>
      <c r="H849" s="12" t="inlineStr">
        <is>
          <t>DPR AXXAM (partie liée)</t>
        </is>
      </c>
      <c r="I849" s="12" t="inlineStr"/>
      <c r="J849" s="12" t="inlineStr">
        <is>
          <t>B26090627</t>
        </is>
      </c>
      <c r="K849" s="12" t="inlineStr">
        <is>
          <t>40900</t>
        </is>
      </c>
      <c r="L849" s="12" t="inlineStr">
        <is>
          <t>À justifier</t>
        </is>
      </c>
    </row>
    <row r="850">
      <c r="A850" s="22" t="inlineStr">
        <is>
          <t>24/09/2026</t>
        </is>
      </c>
      <c r="B850" s="22" t="inlineStr">
        <is>
          <t>00370-067836</t>
        </is>
      </c>
      <c r="C850" s="22" t="inlineStr">
        <is>
          <t>SORT CHQ NUM   369825</t>
        </is>
      </c>
      <c r="D850" s="25" t="n"/>
      <c r="E850" s="25" t="n">
        <v>1183700</v>
      </c>
      <c r="F850" s="25" t="n">
        <v>-24347795.29</v>
      </c>
      <c r="G850" s="12" t="inlineStr">
        <is>
          <t>2026-09</t>
        </is>
      </c>
      <c r="H850" s="12" t="inlineStr">
        <is>
          <t>Encaissements clients</t>
        </is>
      </c>
      <c r="I850" s="12" t="inlineStr"/>
      <c r="J850" s="12" t="inlineStr">
        <is>
          <t>B26090628</t>
        </is>
      </c>
      <c r="K850" s="12" t="inlineStr">
        <is>
          <t>47000</t>
        </is>
      </c>
      <c r="L850" s="12" t="inlineStr">
        <is>
          <t>À identifier</t>
        </is>
      </c>
    </row>
    <row r="851">
      <c r="A851" s="22" t="inlineStr">
        <is>
          <t>24/09/2026</t>
        </is>
      </c>
      <c r="B851" s="22" t="inlineStr">
        <is>
          <t>00370-067838</t>
        </is>
      </c>
      <c r="C851" s="22" t="inlineStr">
        <is>
          <t>SORT CHQ NUM  9381034</t>
        </is>
      </c>
      <c r="D851" s="25" t="n"/>
      <c r="E851" s="25" t="n">
        <v>1200000</v>
      </c>
      <c r="F851" s="25" t="n">
        <v>-23147795.29</v>
      </c>
      <c r="G851" s="12" t="inlineStr">
        <is>
          <t>2026-09</t>
        </is>
      </c>
      <c r="H851" s="12" t="inlineStr">
        <is>
          <t>Encaissements clients</t>
        </is>
      </c>
      <c r="I851" s="12" t="inlineStr"/>
      <c r="J851" s="12" t="inlineStr">
        <is>
          <t>B26090629</t>
        </is>
      </c>
      <c r="K851" s="12" t="inlineStr">
        <is>
          <t>47000</t>
        </is>
      </c>
      <c r="L851" s="12" t="inlineStr">
        <is>
          <t>À identifier</t>
        </is>
      </c>
    </row>
    <row r="852">
      <c r="A852" s="22" t="inlineStr">
        <is>
          <t>24/09/2026</t>
        </is>
      </c>
      <c r="B852" s="22" t="inlineStr">
        <is>
          <t>00370-067836</t>
        </is>
      </c>
      <c r="C852" s="22" t="inlineStr">
        <is>
          <t>FRAIS REMISE CHQ N   369825</t>
        </is>
      </c>
      <c r="D852" s="25" t="n">
        <v>238</v>
      </c>
      <c r="E852" s="25" t="n"/>
      <c r="F852" s="25" t="n">
        <v>-23148033.29</v>
      </c>
      <c r="G852" s="12" t="inlineStr">
        <is>
          <t>2026-09</t>
        </is>
      </c>
      <c r="H852" s="12" t="inlineStr">
        <is>
          <t>Agios, commissions et frais</t>
        </is>
      </c>
      <c r="I852" s="12" t="inlineStr"/>
      <c r="J852" s="12" t="inlineStr">
        <is>
          <t>B26090630</t>
        </is>
      </c>
      <c r="K852" s="12" t="inlineStr">
        <is>
          <t>44557, 62750</t>
        </is>
      </c>
      <c r="L852" s="12" t="inlineStr">
        <is>
          <t>Probable</t>
        </is>
      </c>
    </row>
    <row r="853">
      <c r="A853" s="22" t="inlineStr">
        <is>
          <t>24/09/2026</t>
        </is>
      </c>
      <c r="B853" s="22" t="inlineStr">
        <is>
          <t>00370-067838</t>
        </is>
      </c>
      <c r="C853" s="22" t="inlineStr">
        <is>
          <t>FRAIS REMISE CHQ N  9381034</t>
        </is>
      </c>
      <c r="D853" s="25" t="n">
        <v>238</v>
      </c>
      <c r="E853" s="25" t="n"/>
      <c r="F853" s="25" t="n">
        <v>-23148271.29</v>
      </c>
      <c r="G853" s="12" t="inlineStr">
        <is>
          <t>2026-09</t>
        </is>
      </c>
      <c r="H853" s="12" t="inlineStr">
        <is>
          <t>Agios, commissions et frais</t>
        </is>
      </c>
      <c r="I853" s="12" t="inlineStr"/>
      <c r="J853" s="12" t="inlineStr">
        <is>
          <t>B26090631</t>
        </is>
      </c>
      <c r="K853" s="12" t="inlineStr">
        <is>
          <t>44557, 62750</t>
        </is>
      </c>
      <c r="L853" s="12" t="inlineStr">
        <is>
          <t>Probable</t>
        </is>
      </c>
    </row>
    <row r="854">
      <c r="A854" s="22" t="inlineStr">
        <is>
          <t>26/09/2026</t>
        </is>
      </c>
      <c r="B854" s="22" t="inlineStr">
        <is>
          <t>00370-003484</t>
        </is>
      </c>
      <c r="C854" s="22" t="inlineStr">
        <is>
          <t>REMISE CHQ NUM    34900</t>
        </is>
      </c>
      <c r="D854" s="25" t="n"/>
      <c r="E854" s="25" t="n">
        <v>53550</v>
      </c>
      <c r="F854" s="25" t="n">
        <v>-23094721.29</v>
      </c>
      <c r="G854" s="12" t="inlineStr">
        <is>
          <t>2026-09</t>
        </is>
      </c>
      <c r="H854" s="12" t="inlineStr">
        <is>
          <t>Encaissements clients</t>
        </is>
      </c>
      <c r="I854" s="12" t="inlineStr"/>
      <c r="J854" s="12" t="inlineStr">
        <is>
          <t>B26090632</t>
        </is>
      </c>
      <c r="K854" s="12" t="inlineStr">
        <is>
          <t>47000</t>
        </is>
      </c>
      <c r="L854" s="12" t="inlineStr">
        <is>
          <t>À identifier</t>
        </is>
      </c>
    </row>
    <row r="855">
      <c r="A855" s="22" t="inlineStr">
        <is>
          <t>26/09/2026</t>
        </is>
      </c>
      <c r="B855" s="22" t="inlineStr">
        <is>
          <t>00370-003486</t>
        </is>
      </c>
      <c r="C855" s="22" t="inlineStr">
        <is>
          <t>REMISE CHQ NUM    34925</t>
        </is>
      </c>
      <c r="D855" s="25" t="n"/>
      <c r="E855" s="25" t="n">
        <v>597499</v>
      </c>
      <c r="F855" s="25" t="n">
        <v>-22497222.29</v>
      </c>
      <c r="G855" s="12" t="inlineStr">
        <is>
          <t>2026-09</t>
        </is>
      </c>
      <c r="H855" s="12" t="inlineStr">
        <is>
          <t>Encaissements clients</t>
        </is>
      </c>
      <c r="I855" s="12" t="inlineStr"/>
      <c r="J855" s="12" t="inlineStr">
        <is>
          <t>B26090633</t>
        </is>
      </c>
      <c r="K855" s="12" t="inlineStr">
        <is>
          <t>47000</t>
        </is>
      </c>
      <c r="L855" s="12" t="inlineStr">
        <is>
          <t>À identifier</t>
        </is>
      </c>
    </row>
    <row r="856">
      <c r="A856" s="22" t="inlineStr">
        <is>
          <t>26/09/2026</t>
        </is>
      </c>
      <c r="B856" s="22" t="inlineStr">
        <is>
          <t>00370-003485</t>
        </is>
      </c>
      <c r="C856" s="22" t="inlineStr">
        <is>
          <t>REMISE CHQ NUM    34936</t>
        </is>
      </c>
      <c r="D856" s="25" t="n"/>
      <c r="E856" s="25" t="n">
        <v>226100</v>
      </c>
      <c r="F856" s="25" t="n">
        <v>-22271122.29</v>
      </c>
      <c r="G856" s="12" t="inlineStr">
        <is>
          <t>2026-09</t>
        </is>
      </c>
      <c r="H856" s="12" t="inlineStr">
        <is>
          <t>Encaissements clients</t>
        </is>
      </c>
      <c r="I856" s="12" t="inlineStr"/>
      <c r="J856" s="12" t="inlineStr">
        <is>
          <t>B26090634</t>
        </is>
      </c>
      <c r="K856" s="12" t="inlineStr">
        <is>
          <t>47000</t>
        </is>
      </c>
      <c r="L856" s="12" t="inlineStr">
        <is>
          <t>À identifier</t>
        </is>
      </c>
    </row>
    <row r="857">
      <c r="A857" s="22" t="inlineStr">
        <is>
          <t>26/09/2026</t>
        </is>
      </c>
      <c r="B857" s="22" t="inlineStr">
        <is>
          <t>00370-003484</t>
        </is>
      </c>
      <c r="C857" s="22" t="inlineStr">
        <is>
          <t>FRAIS REM. CHQ NUM    34900</t>
        </is>
      </c>
      <c r="D857" s="25" t="n">
        <v>119</v>
      </c>
      <c r="E857" s="25" t="n"/>
      <c r="F857" s="25" t="n">
        <v>-22271241.29</v>
      </c>
      <c r="G857" s="12" t="inlineStr">
        <is>
          <t>2026-09</t>
        </is>
      </c>
      <c r="H857" s="12" t="inlineStr">
        <is>
          <t>Agios, commissions et frais</t>
        </is>
      </c>
      <c r="I857" s="12" t="inlineStr"/>
      <c r="J857" s="12" t="inlineStr">
        <is>
          <t>B26090635</t>
        </is>
      </c>
      <c r="K857" s="12" t="inlineStr">
        <is>
          <t>44557, 62750</t>
        </is>
      </c>
      <c r="L857" s="12" t="inlineStr">
        <is>
          <t>Probable</t>
        </is>
      </c>
    </row>
    <row r="858">
      <c r="A858" s="22" t="inlineStr">
        <is>
          <t>26/09/2026</t>
        </is>
      </c>
      <c r="B858" s="22" t="inlineStr">
        <is>
          <t>00370-003486</t>
        </is>
      </c>
      <c r="C858" s="22" t="inlineStr">
        <is>
          <t>FRAIS REM. CHQ NUM    34925</t>
        </is>
      </c>
      <c r="D858" s="25" t="n">
        <v>119</v>
      </c>
      <c r="E858" s="25" t="n"/>
      <c r="F858" s="25" t="n">
        <v>-22271360.29</v>
      </c>
      <c r="G858" s="12" t="inlineStr">
        <is>
          <t>2026-09</t>
        </is>
      </c>
      <c r="H858" s="12" t="inlineStr">
        <is>
          <t>Agios, commissions et frais</t>
        </is>
      </c>
      <c r="I858" s="12" t="inlineStr"/>
      <c r="J858" s="12" t="inlineStr">
        <is>
          <t>B26090636</t>
        </is>
      </c>
      <c r="K858" s="12" t="inlineStr">
        <is>
          <t>44557, 62750</t>
        </is>
      </c>
      <c r="L858" s="12" t="inlineStr">
        <is>
          <t>Probable</t>
        </is>
      </c>
    </row>
    <row r="859">
      <c r="A859" s="22" t="inlineStr">
        <is>
          <t>26/09/2026</t>
        </is>
      </c>
      <c r="B859" s="22" t="inlineStr">
        <is>
          <t>00370-003485</t>
        </is>
      </c>
      <c r="C859" s="22" t="inlineStr">
        <is>
          <t>FRAIS REM. CHQ NUM    34936</t>
        </is>
      </c>
      <c r="D859" s="25" t="n">
        <v>119</v>
      </c>
      <c r="E859" s="25" t="n"/>
      <c r="F859" s="25" t="n">
        <v>-22271479.29</v>
      </c>
      <c r="G859" s="12" t="inlineStr">
        <is>
          <t>2026-09</t>
        </is>
      </c>
      <c r="H859" s="12" t="inlineStr">
        <is>
          <t>Agios, commissions et frais</t>
        </is>
      </c>
      <c r="I859" s="12" t="inlineStr"/>
      <c r="J859" s="12" t="inlineStr">
        <is>
          <t>B26090637</t>
        </is>
      </c>
      <c r="K859" s="12" t="inlineStr">
        <is>
          <t>44557, 62750</t>
        </is>
      </c>
      <c r="L859" s="12" t="inlineStr">
        <is>
          <t>Probable</t>
        </is>
      </c>
    </row>
    <row r="860">
      <c r="A860" s="22" t="inlineStr">
        <is>
          <t>27/09/2026</t>
        </is>
      </c>
      <c r="B860" s="22" t="inlineStr">
        <is>
          <t>00370-003487</t>
        </is>
      </c>
      <c r="C860" s="22" t="inlineStr">
        <is>
          <t>REMISE CHQ NUM  2126206</t>
        </is>
      </c>
      <c r="D860" s="25" t="n"/>
      <c r="E860" s="25" t="n">
        <v>122000</v>
      </c>
      <c r="F860" s="25" t="n">
        <v>-22149479.29</v>
      </c>
      <c r="G860" s="12" t="inlineStr">
        <is>
          <t>2026-09</t>
        </is>
      </c>
      <c r="H860" s="12" t="inlineStr">
        <is>
          <t>Encaissements clients</t>
        </is>
      </c>
      <c r="I860" s="12" t="inlineStr"/>
      <c r="J860" s="12" t="inlineStr">
        <is>
          <t>B26090638</t>
        </is>
      </c>
      <c r="K860" s="12" t="inlineStr">
        <is>
          <t>41100</t>
        </is>
      </c>
      <c r="L860" s="12" t="inlineStr">
        <is>
          <t>Probable</t>
        </is>
      </c>
    </row>
    <row r="861">
      <c r="A861" s="22" t="inlineStr">
        <is>
          <t>27/09/2026</t>
        </is>
      </c>
      <c r="B861" s="22" t="inlineStr">
        <is>
          <t>00370-003488</t>
        </is>
      </c>
      <c r="C861" s="22" t="inlineStr">
        <is>
          <t>REMISE CHQ NUM  6904122</t>
        </is>
      </c>
      <c r="D861" s="25" t="n"/>
      <c r="E861" s="25" t="n">
        <v>887700</v>
      </c>
      <c r="F861" s="25" t="n">
        <v>-21261779.29</v>
      </c>
      <c r="G861" s="12" t="inlineStr">
        <is>
          <t>2026-09</t>
        </is>
      </c>
      <c r="H861" s="12" t="inlineStr">
        <is>
          <t>Encaissements clients</t>
        </is>
      </c>
      <c r="I861" s="12" t="inlineStr"/>
      <c r="J861" s="12" t="inlineStr">
        <is>
          <t>B26090639</t>
        </is>
      </c>
      <c r="K861" s="12" t="inlineStr">
        <is>
          <t>47000</t>
        </is>
      </c>
      <c r="L861" s="12" t="inlineStr">
        <is>
          <t>À identifier</t>
        </is>
      </c>
    </row>
    <row r="862">
      <c r="A862" s="22" t="inlineStr">
        <is>
          <t>27/09/2026</t>
        </is>
      </c>
      <c r="B862" s="22" t="inlineStr">
        <is>
          <t>00370-003488</t>
        </is>
      </c>
      <c r="C862" s="22" t="inlineStr">
        <is>
          <t>FRAIS REM. CHQ NUM  6904122</t>
        </is>
      </c>
      <c r="D862" s="25" t="n">
        <v>119</v>
      </c>
      <c r="E862" s="25" t="n"/>
      <c r="F862" s="25" t="n">
        <v>-21261898.29</v>
      </c>
      <c r="G862" s="12" t="inlineStr">
        <is>
          <t>2026-09</t>
        </is>
      </c>
      <c r="H862" s="12" t="inlineStr">
        <is>
          <t>Agios, commissions et frais</t>
        </is>
      </c>
      <c r="I862" s="12" t="inlineStr"/>
      <c r="J862" s="12" t="inlineStr">
        <is>
          <t>B26090640</t>
        </is>
      </c>
      <c r="K862" s="12" t="inlineStr">
        <is>
          <t>44557, 62750</t>
        </is>
      </c>
      <c r="L862" s="12" t="inlineStr">
        <is>
          <t>Probable</t>
        </is>
      </c>
    </row>
    <row r="863">
      <c r="A863" s="22" t="inlineStr">
        <is>
          <t>27/09/2026</t>
        </is>
      </c>
      <c r="B863" s="22" t="inlineStr">
        <is>
          <t>00370-067851</t>
        </is>
      </c>
      <c r="C863" s="22" t="inlineStr">
        <is>
          <t>SORT CHQ NUM  9381037</t>
        </is>
      </c>
      <c r="D863" s="25" t="n"/>
      <c r="E863" s="25" t="n">
        <v>1651200</v>
      </c>
      <c r="F863" s="25" t="n">
        <v>-19610698.29</v>
      </c>
      <c r="G863" s="12" t="inlineStr">
        <is>
          <t>2026-09</t>
        </is>
      </c>
      <c r="H863" s="12" t="inlineStr">
        <is>
          <t>Encaissements clients</t>
        </is>
      </c>
      <c r="I863" s="12" t="inlineStr"/>
      <c r="J863" s="12" t="inlineStr">
        <is>
          <t>B26090641</t>
        </is>
      </c>
      <c r="K863" s="12" t="inlineStr">
        <is>
          <t>47000</t>
        </is>
      </c>
      <c r="L863" s="12" t="inlineStr">
        <is>
          <t>À identifier</t>
        </is>
      </c>
    </row>
    <row r="864">
      <c r="A864" s="22" t="inlineStr">
        <is>
          <t>27/09/2026</t>
        </is>
      </c>
      <c r="B864" s="22" t="inlineStr">
        <is>
          <t>00370-067851</t>
        </is>
      </c>
      <c r="C864" s="22" t="inlineStr">
        <is>
          <t>FRAIS REMISE CHQ N  9381037</t>
        </is>
      </c>
      <c r="D864" s="25" t="n">
        <v>238</v>
      </c>
      <c r="E864" s="25" t="n"/>
      <c r="F864" s="25" t="n">
        <v>-19610936.29</v>
      </c>
      <c r="G864" s="12" t="inlineStr">
        <is>
          <t>2026-09</t>
        </is>
      </c>
      <c r="H864" s="12" t="inlineStr">
        <is>
          <t>Agios, commissions et frais</t>
        </is>
      </c>
      <c r="I864" s="12" t="inlineStr"/>
      <c r="J864" s="12" t="inlineStr">
        <is>
          <t>B26090642</t>
        </is>
      </c>
      <c r="K864" s="12" t="inlineStr">
        <is>
          <t>44557, 62750</t>
        </is>
      </c>
      <c r="L864" s="12" t="inlineStr">
        <is>
          <t>Probable</t>
        </is>
      </c>
    </row>
    <row r="865">
      <c r="A865" s="22" t="inlineStr">
        <is>
          <t>28/09/2026</t>
        </is>
      </c>
      <c r="B865" s="22" t="inlineStr">
        <is>
          <t>00370-123714</t>
        </is>
      </c>
      <c r="C865" s="22" t="inlineStr">
        <is>
          <t>PAIEMENT CHQ NUM  2125772</t>
        </is>
      </c>
      <c r="D865" s="25" t="n">
        <v>932361</v>
      </c>
      <c r="E865" s="25" t="n"/>
      <c r="F865" s="25" t="n">
        <v>-20543297.29</v>
      </c>
      <c r="G865" s="12" t="inlineStr">
        <is>
          <t>2026-09</t>
        </is>
      </c>
      <c r="H865" s="12" t="inlineStr">
        <is>
          <t>G50 (impôts)</t>
        </is>
      </c>
      <c r="I865" s="4" t="inlineStr">
        <is>
          <t>G50 IMPORT août 2026</t>
        </is>
      </c>
      <c r="J865" s="12" t="inlineStr">
        <is>
          <t>B26090643</t>
        </is>
      </c>
      <c r="K865" s="12" t="inlineStr">
        <is>
          <t>44210, 44510, 44720</t>
        </is>
      </c>
      <c r="L865" s="12" t="inlineStr">
        <is>
          <t>Certaine</t>
        </is>
      </c>
    </row>
    <row r="866">
      <c r="A866" s="22" t="inlineStr">
        <is>
          <t>28/09/2026</t>
        </is>
      </c>
      <c r="B866" s="22" t="inlineStr">
        <is>
          <t>00370-123714</t>
        </is>
      </c>
      <c r="C866" s="22" t="inlineStr">
        <is>
          <t>PERCEP.COM SUR PAIEMENTS CHQ</t>
        </is>
      </c>
      <c r="D866" s="25" t="n">
        <v>59.5</v>
      </c>
      <c r="E866" s="25" t="n"/>
      <c r="F866" s="25" t="n">
        <v>-20543356.79</v>
      </c>
      <c r="G866" s="12" t="inlineStr">
        <is>
          <t>2026-09</t>
        </is>
      </c>
      <c r="H866" s="12" t="inlineStr">
        <is>
          <t>Agios, commissions et frais</t>
        </is>
      </c>
      <c r="I866" s="12" t="inlineStr"/>
      <c r="J866" s="12" t="inlineStr">
        <is>
          <t>B26090644</t>
        </is>
      </c>
      <c r="K866" s="12" t="inlineStr">
        <is>
          <t>44557, 62750</t>
        </is>
      </c>
      <c r="L866" s="12" t="inlineStr">
        <is>
          <t>Probable</t>
        </is>
      </c>
    </row>
    <row r="867">
      <c r="A867" s="22" t="inlineStr">
        <is>
          <t>29/09/2026</t>
        </is>
      </c>
      <c r="B867" s="22" t="inlineStr">
        <is>
          <t>00370-001303</t>
        </is>
      </c>
      <c r="C867" s="22" t="inlineStr">
        <is>
          <t>COM.VRT EDI BQUE</t>
        </is>
      </c>
      <c r="D867" s="25" t="n">
        <v>35.7</v>
      </c>
      <c r="E867" s="25" t="n"/>
      <c r="F867" s="25" t="n">
        <v>-20543392.49</v>
      </c>
      <c r="G867" s="12" t="inlineStr">
        <is>
          <t>2026-09</t>
        </is>
      </c>
      <c r="H867" s="12" t="inlineStr">
        <is>
          <t>Agios, commissions et frais</t>
        </is>
      </c>
      <c r="I867" s="12" t="inlineStr"/>
      <c r="J867" s="12" t="inlineStr">
        <is>
          <t>B26090645</t>
        </is>
      </c>
      <c r="K867" s="12" t="inlineStr">
        <is>
          <t>44557, 62750</t>
        </is>
      </c>
      <c r="L867" s="12" t="inlineStr">
        <is>
          <t>Probable</t>
        </is>
      </c>
    </row>
    <row r="868">
      <c r="A868" s="22" t="inlineStr">
        <is>
          <t>29/09/2026</t>
        </is>
      </c>
      <c r="B868" s="22" t="inlineStr">
        <is>
          <t>00370-001303</t>
        </is>
      </c>
      <c r="C868" s="22" t="inlineStr">
        <is>
          <t>VRT EDI SIMPLE AUTRE</t>
        </is>
      </c>
      <c r="D868" s="25" t="n">
        <v>42000</v>
      </c>
      <c r="E868" s="25" t="n"/>
      <c r="F868" s="25" t="n">
        <v>-20585392.49</v>
      </c>
      <c r="G868" s="12" t="inlineStr">
        <is>
          <t>2026-09</t>
        </is>
      </c>
      <c r="H868" s="12" t="inlineStr">
        <is>
          <t>Fournisseurs, salaires et divers</t>
        </is>
      </c>
      <c r="I868" s="12" t="inlineStr"/>
      <c r="J868" s="12" t="inlineStr">
        <is>
          <t>B26090646</t>
        </is>
      </c>
      <c r="K868" s="12" t="inlineStr">
        <is>
          <t>47000</t>
        </is>
      </c>
      <c r="L868" s="12" t="inlineStr">
        <is>
          <t>À identifier</t>
        </is>
      </c>
    </row>
    <row r="869">
      <c r="A869" s="22" t="inlineStr">
        <is>
          <t>29/09/2026</t>
        </is>
      </c>
      <c r="B869" s="22" t="inlineStr">
        <is>
          <t>00370-005569</t>
        </is>
      </c>
      <c r="C869" s="22" t="inlineStr">
        <is>
          <t>PERCEPTION DES COMMISSIONS</t>
        </is>
      </c>
      <c r="D869" s="25" t="n">
        <v>2983.32</v>
      </c>
      <c r="E869" s="25" t="n"/>
      <c r="F869" s="25" t="n">
        <v>-20588375.81</v>
      </c>
      <c r="G869" s="12" t="inlineStr">
        <is>
          <t>2026-09</t>
        </is>
      </c>
      <c r="H869" s="12" t="inlineStr">
        <is>
          <t>Agios, commissions et frais</t>
        </is>
      </c>
      <c r="I869" s="12" t="inlineStr"/>
      <c r="J869" s="12" t="inlineStr">
        <is>
          <t>B26090647</t>
        </is>
      </c>
      <c r="K869" s="12" t="inlineStr">
        <is>
          <t>44557, 62750</t>
        </is>
      </c>
      <c r="L869" s="12" t="inlineStr">
        <is>
          <t>Probable</t>
        </is>
      </c>
    </row>
    <row r="870">
      <c r="A870" s="22" t="inlineStr">
        <is>
          <t>30/09/2026</t>
        </is>
      </c>
      <c r="B870" s="22" t="inlineStr">
        <is>
          <t>99000-020877</t>
        </is>
      </c>
      <c r="C870" s="22" t="inlineStr">
        <is>
          <t>FRAIS ABONN. INTERNET 2026/08</t>
        </is>
      </c>
      <c r="D870" s="25" t="n">
        <v>1606.5</v>
      </c>
      <c r="E870" s="25" t="n"/>
      <c r="F870" s="25" t="n">
        <v>-20589982.31</v>
      </c>
      <c r="G870" s="12" t="inlineStr">
        <is>
          <t>2026-09</t>
        </is>
      </c>
      <c r="H870" s="12" t="inlineStr">
        <is>
          <t>Agios, commissions et frais</t>
        </is>
      </c>
      <c r="I870" s="12" t="inlineStr"/>
      <c r="J870" s="12" t="inlineStr">
        <is>
          <t>B26090648</t>
        </is>
      </c>
      <c r="K870" s="12" t="inlineStr">
        <is>
          <t>44557, 62750</t>
        </is>
      </c>
      <c r="L870" s="12" t="inlineStr">
        <is>
          <t>Probable</t>
        </is>
      </c>
    </row>
    <row r="871">
      <c r="A871" s="22" t="inlineStr">
        <is>
          <t>01/10/2026</t>
        </is>
      </c>
      <c r="B871" s="22" t="inlineStr">
        <is>
          <t>00370-123783</t>
        </is>
      </c>
      <c r="C871" s="22" t="inlineStr">
        <is>
          <t>PAIEMENT CHQ NUM  2125765</t>
        </is>
      </c>
      <c r="D871" s="25" t="n">
        <v>105100.71</v>
      </c>
      <c r="E871" s="25" t="n"/>
      <c r="F871" s="25" t="n">
        <v>-20695083.02</v>
      </c>
      <c r="G871" s="12" t="inlineStr">
        <is>
          <t>2026-10</t>
        </is>
      </c>
      <c r="H871" s="12" t="inlineStr">
        <is>
          <t>Fournisseurs, salaires et divers</t>
        </is>
      </c>
      <c r="I871" s="12" t="inlineStr"/>
      <c r="J871" s="12" t="inlineStr">
        <is>
          <t>B26100649</t>
        </is>
      </c>
      <c r="K871" s="12" t="inlineStr">
        <is>
          <t>47000</t>
        </is>
      </c>
      <c r="L871" s="12" t="inlineStr">
        <is>
          <t>À identifier</t>
        </is>
      </c>
    </row>
    <row r="872">
      <c r="A872" s="22" t="inlineStr">
        <is>
          <t>01/10/2026</t>
        </is>
      </c>
      <c r="B872" s="22" t="inlineStr">
        <is>
          <t>00370-123789</t>
        </is>
      </c>
      <c r="C872" s="22" t="inlineStr">
        <is>
          <t>PAIEMENT CHQ NUM  2125768</t>
        </is>
      </c>
      <c r="D872" s="25" t="n">
        <v>1309043</v>
      </c>
      <c r="E872" s="25" t="n"/>
      <c r="F872" s="25" t="n">
        <v>-22004126.02</v>
      </c>
      <c r="G872" s="12" t="inlineStr">
        <is>
          <t>2026-10</t>
        </is>
      </c>
      <c r="H872" s="12" t="inlineStr">
        <is>
          <t>G50 (impôts)</t>
        </is>
      </c>
      <c r="I872" s="4" t="inlineStr">
        <is>
          <t>G50 IMPORT juillet 2026</t>
        </is>
      </c>
      <c r="J872" s="12" t="inlineStr">
        <is>
          <t>B26100650</t>
        </is>
      </c>
      <c r="K872" s="12" t="inlineStr">
        <is>
          <t>44210, 44510</t>
        </is>
      </c>
      <c r="L872" s="12" t="inlineStr">
        <is>
          <t>Certaine</t>
        </is>
      </c>
    </row>
    <row r="873">
      <c r="A873" s="22" t="inlineStr">
        <is>
          <t>01/10/2026</t>
        </is>
      </c>
      <c r="B873" s="22" t="inlineStr">
        <is>
          <t>00370-123783</t>
        </is>
      </c>
      <c r="C873" s="22" t="inlineStr">
        <is>
          <t>PERCEP.COM SUR PAIEMENTS CHQ</t>
        </is>
      </c>
      <c r="D873" s="25" t="n">
        <v>59.5</v>
      </c>
      <c r="E873" s="25" t="n"/>
      <c r="F873" s="25" t="n">
        <v>-22004185.52</v>
      </c>
      <c r="G873" s="12" t="inlineStr">
        <is>
          <t>2026-10</t>
        </is>
      </c>
      <c r="H873" s="12" t="inlineStr">
        <is>
          <t>Agios, commissions et frais</t>
        </is>
      </c>
      <c r="I873" s="12" t="inlineStr"/>
      <c r="J873" s="12" t="inlineStr">
        <is>
          <t>B26100651</t>
        </is>
      </c>
      <c r="K873" s="12" t="inlineStr">
        <is>
          <t>44557, 62750</t>
        </is>
      </c>
      <c r="L873" s="12" t="inlineStr">
        <is>
          <t>Probable</t>
        </is>
      </c>
    </row>
    <row r="874">
      <c r="A874" s="22" t="inlineStr">
        <is>
          <t>01/10/2026</t>
        </is>
      </c>
      <c r="B874" s="22" t="inlineStr">
        <is>
          <t>00370-123789</t>
        </is>
      </c>
      <c r="C874" s="22" t="inlineStr">
        <is>
          <t>PERCEP.COM SUR PAIEMENTS CHQ</t>
        </is>
      </c>
      <c r="D874" s="25" t="n">
        <v>59.5</v>
      </c>
      <c r="E874" s="25" t="n"/>
      <c r="F874" s="25" t="n">
        <v>-22004245.02</v>
      </c>
      <c r="G874" s="12" t="inlineStr">
        <is>
          <t>2026-10</t>
        </is>
      </c>
      <c r="H874" s="12" t="inlineStr">
        <is>
          <t>Agios, commissions et frais</t>
        </is>
      </c>
      <c r="I874" s="12" t="inlineStr"/>
      <c r="J874" s="12" t="inlineStr">
        <is>
          <t>B26100652</t>
        </is>
      </c>
      <c r="K874" s="12" t="inlineStr">
        <is>
          <t>44557, 62750</t>
        </is>
      </c>
      <c r="L874" s="12" t="inlineStr">
        <is>
          <t>Probable</t>
        </is>
      </c>
    </row>
    <row r="875">
      <c r="A875" s="22" t="inlineStr">
        <is>
          <t>03/10/2026</t>
        </is>
      </c>
      <c r="B875" s="22" t="inlineStr">
        <is>
          <t>00370-123809</t>
        </is>
      </c>
      <c r="C875" s="22" t="inlineStr">
        <is>
          <t>PAIEMENT CHQ NUM  2125778</t>
        </is>
      </c>
      <c r="D875" s="25" t="n">
        <v>30110</v>
      </c>
      <c r="E875" s="25" t="n"/>
      <c r="F875" s="25" t="n">
        <v>-22034355.02</v>
      </c>
      <c r="G875" s="12" t="inlineStr">
        <is>
          <t>2026-10</t>
        </is>
      </c>
      <c r="H875" s="12" t="inlineStr">
        <is>
          <t>Fournisseurs, salaires et divers</t>
        </is>
      </c>
      <c r="I875" s="12" t="inlineStr"/>
      <c r="J875" s="12" t="inlineStr">
        <is>
          <t>B26100653</t>
        </is>
      </c>
      <c r="K875" s="12" t="inlineStr">
        <is>
          <t>40130</t>
        </is>
      </c>
      <c r="L875" s="12" t="inlineStr">
        <is>
          <t>Par analogie</t>
        </is>
      </c>
    </row>
    <row r="876">
      <c r="C876" s="4" t="inlineStr">
        <is>
          <t>TOTAL</t>
        </is>
      </c>
      <c r="D876" s="7">
        <f>SUM(D5:D875)</f>
        <v/>
      </c>
      <c r="E876" s="7">
        <f>SUM(E5:E875)</f>
        <v/>
      </c>
    </row>
    <row r="877">
      <c r="C877" s="21" t="inlineStr">
        <is>
          <t>Contrôle : solde initial − débits + crédits − solde final (doit être 0)</t>
        </is>
      </c>
      <c r="F877" s="30">
        <f>ROUND(F5+D5-E5-D876+E876-F875,2)</f>
        <v/>
      </c>
    </row>
    <row r="878">
      <c r="C878" s="21" t="inlineStr">
        <is>
          <t>Solde final affiché par la banque (−22 070 423,26) − solde calculé</t>
        </is>
      </c>
      <c r="F878" s="54">
        <f>-22070423.26-F875</f>
        <v/>
      </c>
    </row>
  </sheetData>
  <autoFilter ref="A4:L875"/>
  <pageMargins left="0.75" right="0.75" top="1" bottom="1" header="0.5" footer="0.5"/>
  <pageSetup orientation="landscape" fitToHeight="0"/>
</worksheet>
</file>

<file path=xl/worksheets/sheet18.xml><?xml version="1.0" encoding="utf-8"?>
<worksheet xmlns="http://schemas.openxmlformats.org/spreadsheetml/2006/main">
  <sheetPr>
    <outlinePr summaryBelow="1" summaryRight="1"/>
    <pageSetUpPr fitToPage="1"/>
  </sheetPr>
  <dimension ref="A1:P63"/>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45" customWidth="1" min="16" max="16"/>
  </cols>
  <sheetData>
    <row r="1">
      <c r="A1" s="1" t="inlineStr">
        <is>
          <t>Compte CPA El Kseur (activité importation) — octobre 2025 à octobre 2026</t>
        </is>
      </c>
    </row>
    <row r="2">
      <c r="A2" s="2" t="inlineStr">
        <is>
          <t>Calculée depuis « Relevé CPA 2026 ». Débit + = sortie de trésorerie. Écritures proposées : fichier ECRITURES_BANQUE_CPA_EL_KSEUR_2026.xlsx.</t>
        </is>
      </c>
    </row>
    <row r="4">
      <c r="A4" s="11" t="inlineStr">
        <is>
          <t>Flux (sorties − entrées)</t>
        </is>
      </c>
      <c r="B4" s="11" t="inlineStr">
        <is>
          <t>Oct. 25</t>
        </is>
      </c>
      <c r="C4" s="11" t="inlineStr">
        <is>
          <t>Nov. 25</t>
        </is>
      </c>
      <c r="D4" s="11" t="inlineStr">
        <is>
          <t>Déc. 25</t>
        </is>
      </c>
      <c r="E4" s="11" t="inlineStr">
        <is>
          <t>Janv.</t>
        </is>
      </c>
      <c r="F4" s="11" t="inlineStr">
        <is>
          <t>Févr.</t>
        </is>
      </c>
      <c r="G4" s="11" t="inlineStr">
        <is>
          <t>Mars</t>
        </is>
      </c>
      <c r="H4" s="11" t="inlineStr">
        <is>
          <t>Avr.</t>
        </is>
      </c>
      <c r="I4" s="11" t="inlineStr">
        <is>
          <t>Mai</t>
        </is>
      </c>
      <c r="J4" s="11" t="inlineStr">
        <is>
          <t>Juin</t>
        </is>
      </c>
      <c r="K4" s="11" t="inlineStr">
        <is>
          <t>Juil.</t>
        </is>
      </c>
      <c r="L4" s="11" t="inlineStr">
        <is>
          <t>Août</t>
        </is>
      </c>
      <c r="M4" s="11" t="inlineStr">
        <is>
          <t>Sept.</t>
        </is>
      </c>
      <c r="N4" s="11" t="inlineStr">
        <is>
          <t>Oct. (1-3)</t>
        </is>
      </c>
      <c r="O4" s="11" t="inlineStr">
        <is>
          <t>Total</t>
        </is>
      </c>
      <c r="P4" s="11" t="inlineStr">
        <is>
          <t>Commentaire</t>
        </is>
      </c>
    </row>
    <row r="5">
      <c r="A5" s="4" t="inlineStr">
        <is>
          <t>Encaissements clients</t>
        </is>
      </c>
      <c r="B5" s="30">
        <f>SUMIFS('Relevé CPA 2026'!$D$5:$D$875,'Relevé CPA 2026'!$H$5:$H$875,$A5,'Relevé CPA 2026'!$G$5:$G$875,"2025-10")-SUMIFS('Relevé CPA 2026'!$E$5:$E$875,'Relevé CPA 2026'!$H$5:$H$875,$A5,'Relevé CPA 2026'!$G$5:$G$875,"2025-10")</f>
        <v/>
      </c>
      <c r="C5" s="30">
        <f>SUMIFS('Relevé CPA 2026'!$D$5:$D$875,'Relevé CPA 2026'!$H$5:$H$875,$A5,'Relevé CPA 2026'!$G$5:$G$875,"2025-11")-SUMIFS('Relevé CPA 2026'!$E$5:$E$875,'Relevé CPA 2026'!$H$5:$H$875,$A5,'Relevé CPA 2026'!$G$5:$G$875,"2025-11")</f>
        <v/>
      </c>
      <c r="D5" s="30">
        <f>SUMIFS('Relevé CPA 2026'!$D$5:$D$875,'Relevé CPA 2026'!$H$5:$H$875,$A5,'Relevé CPA 2026'!$G$5:$G$875,"2025-12")-SUMIFS('Relevé CPA 2026'!$E$5:$E$875,'Relevé CPA 2026'!$H$5:$H$875,$A5,'Relevé CPA 2026'!$G$5:$G$875,"2025-12")</f>
        <v/>
      </c>
      <c r="E5" s="30">
        <f>SUMIFS('Relevé CPA 2026'!$D$5:$D$875,'Relevé CPA 2026'!$H$5:$H$875,$A5,'Relevé CPA 2026'!$G$5:$G$875,"2026-01")-SUMIFS('Relevé CPA 2026'!$E$5:$E$875,'Relevé CPA 2026'!$H$5:$H$875,$A5,'Relevé CPA 2026'!$G$5:$G$875,"2026-01")</f>
        <v/>
      </c>
      <c r="F5" s="30">
        <f>SUMIFS('Relevé CPA 2026'!$D$5:$D$875,'Relevé CPA 2026'!$H$5:$H$875,$A5,'Relevé CPA 2026'!$G$5:$G$875,"2026-02")-SUMIFS('Relevé CPA 2026'!$E$5:$E$875,'Relevé CPA 2026'!$H$5:$H$875,$A5,'Relevé CPA 2026'!$G$5:$G$875,"2026-02")</f>
        <v/>
      </c>
      <c r="G5" s="30">
        <f>SUMIFS('Relevé CPA 2026'!$D$5:$D$875,'Relevé CPA 2026'!$H$5:$H$875,$A5,'Relevé CPA 2026'!$G$5:$G$875,"2026-03")-SUMIFS('Relevé CPA 2026'!$E$5:$E$875,'Relevé CPA 2026'!$H$5:$H$875,$A5,'Relevé CPA 2026'!$G$5:$G$875,"2026-03")</f>
        <v/>
      </c>
      <c r="H5" s="30">
        <f>SUMIFS('Relevé CPA 2026'!$D$5:$D$875,'Relevé CPA 2026'!$H$5:$H$875,$A5,'Relevé CPA 2026'!$G$5:$G$875,"2026-04")-SUMIFS('Relevé CPA 2026'!$E$5:$E$875,'Relevé CPA 2026'!$H$5:$H$875,$A5,'Relevé CPA 2026'!$G$5:$G$875,"2026-04")</f>
        <v/>
      </c>
      <c r="I5" s="30">
        <f>SUMIFS('Relevé CPA 2026'!$D$5:$D$875,'Relevé CPA 2026'!$H$5:$H$875,$A5,'Relevé CPA 2026'!$G$5:$G$875,"2026-05")-SUMIFS('Relevé CPA 2026'!$E$5:$E$875,'Relevé CPA 2026'!$H$5:$H$875,$A5,'Relevé CPA 2026'!$G$5:$G$875,"2026-05")</f>
        <v/>
      </c>
      <c r="J5" s="30">
        <f>SUMIFS('Relevé CPA 2026'!$D$5:$D$875,'Relevé CPA 2026'!$H$5:$H$875,$A5,'Relevé CPA 2026'!$G$5:$G$875,"2026-06")-SUMIFS('Relevé CPA 2026'!$E$5:$E$875,'Relevé CPA 2026'!$H$5:$H$875,$A5,'Relevé CPA 2026'!$G$5:$G$875,"2026-06")</f>
        <v/>
      </c>
      <c r="K5" s="30">
        <f>SUMIFS('Relevé CPA 2026'!$D$5:$D$875,'Relevé CPA 2026'!$H$5:$H$875,$A5,'Relevé CPA 2026'!$G$5:$G$875,"2026-07")-SUMIFS('Relevé CPA 2026'!$E$5:$E$875,'Relevé CPA 2026'!$H$5:$H$875,$A5,'Relevé CPA 2026'!$G$5:$G$875,"2026-07")</f>
        <v/>
      </c>
      <c r="L5" s="30">
        <f>SUMIFS('Relevé CPA 2026'!$D$5:$D$875,'Relevé CPA 2026'!$H$5:$H$875,$A5,'Relevé CPA 2026'!$G$5:$G$875,"2026-08")-SUMIFS('Relevé CPA 2026'!$E$5:$E$875,'Relevé CPA 2026'!$H$5:$H$875,$A5,'Relevé CPA 2026'!$G$5:$G$875,"2026-08")</f>
        <v/>
      </c>
      <c r="M5" s="30">
        <f>SUMIFS('Relevé CPA 2026'!$D$5:$D$875,'Relevé CPA 2026'!$H$5:$H$875,$A5,'Relevé CPA 2026'!$G$5:$G$875,"2026-09")-SUMIFS('Relevé CPA 2026'!$E$5:$E$875,'Relevé CPA 2026'!$H$5:$H$875,$A5,'Relevé CPA 2026'!$G$5:$G$875,"2026-09")</f>
        <v/>
      </c>
      <c r="N5" s="30">
        <f>SUMIFS('Relevé CPA 2026'!$D$5:$D$875,'Relevé CPA 2026'!$H$5:$H$875,$A5,'Relevé CPA 2026'!$G$5:$G$875,"2026-10")-SUMIFS('Relevé CPA 2026'!$E$5:$E$875,'Relevé CPA 2026'!$H$5:$H$875,$A5,'Relevé CPA 2026'!$G$5:$G$875,"2026-10")</f>
        <v/>
      </c>
      <c r="O5" s="7">
        <f>SUM(B5:N5)</f>
        <v/>
      </c>
      <c r="P5" s="21" t="inlineStr">
        <is>
          <t>Chèques et virements reçus</t>
        </is>
      </c>
    </row>
    <row r="6">
      <c r="A6" s="12" t="inlineStr">
        <is>
          <t>Chèques clients rejetés</t>
        </is>
      </c>
      <c r="B6" s="30">
        <f>SUMIFS('Relevé CPA 2026'!$D$5:$D$875,'Relevé CPA 2026'!$H$5:$H$875,$A6,'Relevé CPA 2026'!$G$5:$G$875,"2025-10")-SUMIFS('Relevé CPA 2026'!$E$5:$E$875,'Relevé CPA 2026'!$H$5:$H$875,$A6,'Relevé CPA 2026'!$G$5:$G$875,"2025-10")</f>
        <v/>
      </c>
      <c r="C6" s="30">
        <f>SUMIFS('Relevé CPA 2026'!$D$5:$D$875,'Relevé CPA 2026'!$H$5:$H$875,$A6,'Relevé CPA 2026'!$G$5:$G$875,"2025-11")-SUMIFS('Relevé CPA 2026'!$E$5:$E$875,'Relevé CPA 2026'!$H$5:$H$875,$A6,'Relevé CPA 2026'!$G$5:$G$875,"2025-11")</f>
        <v/>
      </c>
      <c r="D6" s="30">
        <f>SUMIFS('Relevé CPA 2026'!$D$5:$D$875,'Relevé CPA 2026'!$H$5:$H$875,$A6,'Relevé CPA 2026'!$G$5:$G$875,"2025-12")-SUMIFS('Relevé CPA 2026'!$E$5:$E$875,'Relevé CPA 2026'!$H$5:$H$875,$A6,'Relevé CPA 2026'!$G$5:$G$875,"2025-12")</f>
        <v/>
      </c>
      <c r="E6" s="30">
        <f>SUMIFS('Relevé CPA 2026'!$D$5:$D$875,'Relevé CPA 2026'!$H$5:$H$875,$A6,'Relevé CPA 2026'!$G$5:$G$875,"2026-01")-SUMIFS('Relevé CPA 2026'!$E$5:$E$875,'Relevé CPA 2026'!$H$5:$H$875,$A6,'Relevé CPA 2026'!$G$5:$G$875,"2026-01")</f>
        <v/>
      </c>
      <c r="F6" s="30">
        <f>SUMIFS('Relevé CPA 2026'!$D$5:$D$875,'Relevé CPA 2026'!$H$5:$H$875,$A6,'Relevé CPA 2026'!$G$5:$G$875,"2026-02")-SUMIFS('Relevé CPA 2026'!$E$5:$E$875,'Relevé CPA 2026'!$H$5:$H$875,$A6,'Relevé CPA 2026'!$G$5:$G$875,"2026-02")</f>
        <v/>
      </c>
      <c r="G6" s="30">
        <f>SUMIFS('Relevé CPA 2026'!$D$5:$D$875,'Relevé CPA 2026'!$H$5:$H$875,$A6,'Relevé CPA 2026'!$G$5:$G$875,"2026-03")-SUMIFS('Relevé CPA 2026'!$E$5:$E$875,'Relevé CPA 2026'!$H$5:$H$875,$A6,'Relevé CPA 2026'!$G$5:$G$875,"2026-03")</f>
        <v/>
      </c>
      <c r="H6" s="30">
        <f>SUMIFS('Relevé CPA 2026'!$D$5:$D$875,'Relevé CPA 2026'!$H$5:$H$875,$A6,'Relevé CPA 2026'!$G$5:$G$875,"2026-04")-SUMIFS('Relevé CPA 2026'!$E$5:$E$875,'Relevé CPA 2026'!$H$5:$H$875,$A6,'Relevé CPA 2026'!$G$5:$G$875,"2026-04")</f>
        <v/>
      </c>
      <c r="I6" s="30">
        <f>SUMIFS('Relevé CPA 2026'!$D$5:$D$875,'Relevé CPA 2026'!$H$5:$H$875,$A6,'Relevé CPA 2026'!$G$5:$G$875,"2026-05")-SUMIFS('Relevé CPA 2026'!$E$5:$E$875,'Relevé CPA 2026'!$H$5:$H$875,$A6,'Relevé CPA 2026'!$G$5:$G$875,"2026-05")</f>
        <v/>
      </c>
      <c r="J6" s="30">
        <f>SUMIFS('Relevé CPA 2026'!$D$5:$D$875,'Relevé CPA 2026'!$H$5:$H$875,$A6,'Relevé CPA 2026'!$G$5:$G$875,"2026-06")-SUMIFS('Relevé CPA 2026'!$E$5:$E$875,'Relevé CPA 2026'!$H$5:$H$875,$A6,'Relevé CPA 2026'!$G$5:$G$875,"2026-06")</f>
        <v/>
      </c>
      <c r="K6" s="30">
        <f>SUMIFS('Relevé CPA 2026'!$D$5:$D$875,'Relevé CPA 2026'!$H$5:$H$875,$A6,'Relevé CPA 2026'!$G$5:$G$875,"2026-07")-SUMIFS('Relevé CPA 2026'!$E$5:$E$875,'Relevé CPA 2026'!$H$5:$H$875,$A6,'Relevé CPA 2026'!$G$5:$G$875,"2026-07")</f>
        <v/>
      </c>
      <c r="L6" s="30">
        <f>SUMIFS('Relevé CPA 2026'!$D$5:$D$875,'Relevé CPA 2026'!$H$5:$H$875,$A6,'Relevé CPA 2026'!$G$5:$G$875,"2026-08")-SUMIFS('Relevé CPA 2026'!$E$5:$E$875,'Relevé CPA 2026'!$H$5:$H$875,$A6,'Relevé CPA 2026'!$G$5:$G$875,"2026-08")</f>
        <v/>
      </c>
      <c r="M6" s="30">
        <f>SUMIFS('Relevé CPA 2026'!$D$5:$D$875,'Relevé CPA 2026'!$H$5:$H$875,$A6,'Relevé CPA 2026'!$G$5:$G$875,"2026-09")-SUMIFS('Relevé CPA 2026'!$E$5:$E$875,'Relevé CPA 2026'!$H$5:$H$875,$A6,'Relevé CPA 2026'!$G$5:$G$875,"2026-09")</f>
        <v/>
      </c>
      <c r="N6" s="30">
        <f>SUMIFS('Relevé CPA 2026'!$D$5:$D$875,'Relevé CPA 2026'!$H$5:$H$875,$A6,'Relevé CPA 2026'!$G$5:$G$875,"2026-10")-SUMIFS('Relevé CPA 2026'!$E$5:$E$875,'Relevé CPA 2026'!$H$5:$H$875,$A6,'Relevé CPA 2026'!$G$5:$G$875,"2026-10")</f>
        <v/>
      </c>
      <c r="O6" s="7">
        <f>SUM(B6:N6)</f>
        <v/>
      </c>
      <c r="P6" s="21" t="inlineStr">
        <is>
          <t>Chèques reçus puis annulés (impayés)</t>
        </is>
      </c>
    </row>
    <row r="7">
      <c r="A7" s="12" t="inlineStr">
        <is>
          <t>Versement d'espèces (caisse)</t>
        </is>
      </c>
      <c r="B7" s="30">
        <f>SUMIFS('Relevé CPA 2026'!$D$5:$D$875,'Relevé CPA 2026'!$H$5:$H$875,$A7,'Relevé CPA 2026'!$G$5:$G$875,"2025-10")-SUMIFS('Relevé CPA 2026'!$E$5:$E$875,'Relevé CPA 2026'!$H$5:$H$875,$A7,'Relevé CPA 2026'!$G$5:$G$875,"2025-10")</f>
        <v/>
      </c>
      <c r="C7" s="30">
        <f>SUMIFS('Relevé CPA 2026'!$D$5:$D$875,'Relevé CPA 2026'!$H$5:$H$875,$A7,'Relevé CPA 2026'!$G$5:$G$875,"2025-11")-SUMIFS('Relevé CPA 2026'!$E$5:$E$875,'Relevé CPA 2026'!$H$5:$H$875,$A7,'Relevé CPA 2026'!$G$5:$G$875,"2025-11")</f>
        <v/>
      </c>
      <c r="D7" s="30">
        <f>SUMIFS('Relevé CPA 2026'!$D$5:$D$875,'Relevé CPA 2026'!$H$5:$H$875,$A7,'Relevé CPA 2026'!$G$5:$G$875,"2025-12")-SUMIFS('Relevé CPA 2026'!$E$5:$E$875,'Relevé CPA 2026'!$H$5:$H$875,$A7,'Relevé CPA 2026'!$G$5:$G$875,"2025-12")</f>
        <v/>
      </c>
      <c r="E7" s="30">
        <f>SUMIFS('Relevé CPA 2026'!$D$5:$D$875,'Relevé CPA 2026'!$H$5:$H$875,$A7,'Relevé CPA 2026'!$G$5:$G$875,"2026-01")-SUMIFS('Relevé CPA 2026'!$E$5:$E$875,'Relevé CPA 2026'!$H$5:$H$875,$A7,'Relevé CPA 2026'!$G$5:$G$875,"2026-01")</f>
        <v/>
      </c>
      <c r="F7" s="30">
        <f>SUMIFS('Relevé CPA 2026'!$D$5:$D$875,'Relevé CPA 2026'!$H$5:$H$875,$A7,'Relevé CPA 2026'!$G$5:$G$875,"2026-02")-SUMIFS('Relevé CPA 2026'!$E$5:$E$875,'Relevé CPA 2026'!$H$5:$H$875,$A7,'Relevé CPA 2026'!$G$5:$G$875,"2026-02")</f>
        <v/>
      </c>
      <c r="G7" s="30">
        <f>SUMIFS('Relevé CPA 2026'!$D$5:$D$875,'Relevé CPA 2026'!$H$5:$H$875,$A7,'Relevé CPA 2026'!$G$5:$G$875,"2026-03")-SUMIFS('Relevé CPA 2026'!$E$5:$E$875,'Relevé CPA 2026'!$H$5:$H$875,$A7,'Relevé CPA 2026'!$G$5:$G$875,"2026-03")</f>
        <v/>
      </c>
      <c r="H7" s="30">
        <f>SUMIFS('Relevé CPA 2026'!$D$5:$D$875,'Relevé CPA 2026'!$H$5:$H$875,$A7,'Relevé CPA 2026'!$G$5:$G$875,"2026-04")-SUMIFS('Relevé CPA 2026'!$E$5:$E$875,'Relevé CPA 2026'!$H$5:$H$875,$A7,'Relevé CPA 2026'!$G$5:$G$875,"2026-04")</f>
        <v/>
      </c>
      <c r="I7" s="30">
        <f>SUMIFS('Relevé CPA 2026'!$D$5:$D$875,'Relevé CPA 2026'!$H$5:$H$875,$A7,'Relevé CPA 2026'!$G$5:$G$875,"2026-05")-SUMIFS('Relevé CPA 2026'!$E$5:$E$875,'Relevé CPA 2026'!$H$5:$H$875,$A7,'Relevé CPA 2026'!$G$5:$G$875,"2026-05")</f>
        <v/>
      </c>
      <c r="J7" s="30">
        <f>SUMIFS('Relevé CPA 2026'!$D$5:$D$875,'Relevé CPA 2026'!$H$5:$H$875,$A7,'Relevé CPA 2026'!$G$5:$G$875,"2026-06")-SUMIFS('Relevé CPA 2026'!$E$5:$E$875,'Relevé CPA 2026'!$H$5:$H$875,$A7,'Relevé CPA 2026'!$G$5:$G$875,"2026-06")</f>
        <v/>
      </c>
      <c r="K7" s="30">
        <f>SUMIFS('Relevé CPA 2026'!$D$5:$D$875,'Relevé CPA 2026'!$H$5:$H$875,$A7,'Relevé CPA 2026'!$G$5:$G$875,"2026-07")-SUMIFS('Relevé CPA 2026'!$E$5:$E$875,'Relevé CPA 2026'!$H$5:$H$875,$A7,'Relevé CPA 2026'!$G$5:$G$875,"2026-07")</f>
        <v/>
      </c>
      <c r="L7" s="30">
        <f>SUMIFS('Relevé CPA 2026'!$D$5:$D$875,'Relevé CPA 2026'!$H$5:$H$875,$A7,'Relevé CPA 2026'!$G$5:$G$875,"2026-08")-SUMIFS('Relevé CPA 2026'!$E$5:$E$875,'Relevé CPA 2026'!$H$5:$H$875,$A7,'Relevé CPA 2026'!$G$5:$G$875,"2026-08")</f>
        <v/>
      </c>
      <c r="M7" s="30">
        <f>SUMIFS('Relevé CPA 2026'!$D$5:$D$875,'Relevé CPA 2026'!$H$5:$H$875,$A7,'Relevé CPA 2026'!$G$5:$G$875,"2026-09")-SUMIFS('Relevé CPA 2026'!$E$5:$E$875,'Relevé CPA 2026'!$H$5:$H$875,$A7,'Relevé CPA 2026'!$G$5:$G$875,"2026-09")</f>
        <v/>
      </c>
      <c r="N7" s="30">
        <f>SUMIFS('Relevé CPA 2026'!$D$5:$D$875,'Relevé CPA 2026'!$H$5:$H$875,$A7,'Relevé CPA 2026'!$G$5:$G$875,"2026-10")-SUMIFS('Relevé CPA 2026'!$E$5:$E$875,'Relevé CPA 2026'!$H$5:$H$875,$A7,'Relevé CPA 2026'!$G$5:$G$875,"2026-10")</f>
        <v/>
      </c>
      <c r="O7" s="7">
        <f>SUM(B7:N7)</f>
        <v/>
      </c>
      <c r="P7" s="21" t="inlineStr"/>
    </row>
    <row r="8">
      <c r="A8" s="12" t="inlineStr">
        <is>
          <t>Crédit bancaire débloqué</t>
        </is>
      </c>
      <c r="B8" s="30">
        <f>SUMIFS('Relevé CPA 2026'!$D$5:$D$875,'Relevé CPA 2026'!$H$5:$H$875,$A8,'Relevé CPA 2026'!$G$5:$G$875,"2025-10")-SUMIFS('Relevé CPA 2026'!$E$5:$E$875,'Relevé CPA 2026'!$H$5:$H$875,$A8,'Relevé CPA 2026'!$G$5:$G$875,"2025-10")</f>
        <v/>
      </c>
      <c r="C8" s="30">
        <f>SUMIFS('Relevé CPA 2026'!$D$5:$D$875,'Relevé CPA 2026'!$H$5:$H$875,$A8,'Relevé CPA 2026'!$G$5:$G$875,"2025-11")-SUMIFS('Relevé CPA 2026'!$E$5:$E$875,'Relevé CPA 2026'!$H$5:$H$875,$A8,'Relevé CPA 2026'!$G$5:$G$875,"2025-11")</f>
        <v/>
      </c>
      <c r="D8" s="30">
        <f>SUMIFS('Relevé CPA 2026'!$D$5:$D$875,'Relevé CPA 2026'!$H$5:$H$875,$A8,'Relevé CPA 2026'!$G$5:$G$875,"2025-12")-SUMIFS('Relevé CPA 2026'!$E$5:$E$875,'Relevé CPA 2026'!$H$5:$H$875,$A8,'Relevé CPA 2026'!$G$5:$G$875,"2025-12")</f>
        <v/>
      </c>
      <c r="E8" s="30">
        <f>SUMIFS('Relevé CPA 2026'!$D$5:$D$875,'Relevé CPA 2026'!$H$5:$H$875,$A8,'Relevé CPA 2026'!$G$5:$G$875,"2026-01")-SUMIFS('Relevé CPA 2026'!$E$5:$E$875,'Relevé CPA 2026'!$H$5:$H$875,$A8,'Relevé CPA 2026'!$G$5:$G$875,"2026-01")</f>
        <v/>
      </c>
      <c r="F8" s="30">
        <f>SUMIFS('Relevé CPA 2026'!$D$5:$D$875,'Relevé CPA 2026'!$H$5:$H$875,$A8,'Relevé CPA 2026'!$G$5:$G$875,"2026-02")-SUMIFS('Relevé CPA 2026'!$E$5:$E$875,'Relevé CPA 2026'!$H$5:$H$875,$A8,'Relevé CPA 2026'!$G$5:$G$875,"2026-02")</f>
        <v/>
      </c>
      <c r="G8" s="30">
        <f>SUMIFS('Relevé CPA 2026'!$D$5:$D$875,'Relevé CPA 2026'!$H$5:$H$875,$A8,'Relevé CPA 2026'!$G$5:$G$875,"2026-03")-SUMIFS('Relevé CPA 2026'!$E$5:$E$875,'Relevé CPA 2026'!$H$5:$H$875,$A8,'Relevé CPA 2026'!$G$5:$G$875,"2026-03")</f>
        <v/>
      </c>
      <c r="H8" s="30">
        <f>SUMIFS('Relevé CPA 2026'!$D$5:$D$875,'Relevé CPA 2026'!$H$5:$H$875,$A8,'Relevé CPA 2026'!$G$5:$G$875,"2026-04")-SUMIFS('Relevé CPA 2026'!$E$5:$E$875,'Relevé CPA 2026'!$H$5:$H$875,$A8,'Relevé CPA 2026'!$G$5:$G$875,"2026-04")</f>
        <v/>
      </c>
      <c r="I8" s="30">
        <f>SUMIFS('Relevé CPA 2026'!$D$5:$D$875,'Relevé CPA 2026'!$H$5:$H$875,$A8,'Relevé CPA 2026'!$G$5:$G$875,"2026-05")-SUMIFS('Relevé CPA 2026'!$E$5:$E$875,'Relevé CPA 2026'!$H$5:$H$875,$A8,'Relevé CPA 2026'!$G$5:$G$875,"2026-05")</f>
        <v/>
      </c>
      <c r="J8" s="30">
        <f>SUMIFS('Relevé CPA 2026'!$D$5:$D$875,'Relevé CPA 2026'!$H$5:$H$875,$A8,'Relevé CPA 2026'!$G$5:$G$875,"2026-06")-SUMIFS('Relevé CPA 2026'!$E$5:$E$875,'Relevé CPA 2026'!$H$5:$H$875,$A8,'Relevé CPA 2026'!$G$5:$G$875,"2026-06")</f>
        <v/>
      </c>
      <c r="K8" s="30">
        <f>SUMIFS('Relevé CPA 2026'!$D$5:$D$875,'Relevé CPA 2026'!$H$5:$H$875,$A8,'Relevé CPA 2026'!$G$5:$G$875,"2026-07")-SUMIFS('Relevé CPA 2026'!$E$5:$E$875,'Relevé CPA 2026'!$H$5:$H$875,$A8,'Relevé CPA 2026'!$G$5:$G$875,"2026-07")</f>
        <v/>
      </c>
      <c r="L8" s="30">
        <f>SUMIFS('Relevé CPA 2026'!$D$5:$D$875,'Relevé CPA 2026'!$H$5:$H$875,$A8,'Relevé CPA 2026'!$G$5:$G$875,"2026-08")-SUMIFS('Relevé CPA 2026'!$E$5:$E$875,'Relevé CPA 2026'!$H$5:$H$875,$A8,'Relevé CPA 2026'!$G$5:$G$875,"2026-08")</f>
        <v/>
      </c>
      <c r="M8" s="30">
        <f>SUMIFS('Relevé CPA 2026'!$D$5:$D$875,'Relevé CPA 2026'!$H$5:$H$875,$A8,'Relevé CPA 2026'!$G$5:$G$875,"2026-09")-SUMIFS('Relevé CPA 2026'!$E$5:$E$875,'Relevé CPA 2026'!$H$5:$H$875,$A8,'Relevé CPA 2026'!$G$5:$G$875,"2026-09")</f>
        <v/>
      </c>
      <c r="N8" s="30">
        <f>SUMIFS('Relevé CPA 2026'!$D$5:$D$875,'Relevé CPA 2026'!$H$5:$H$875,$A8,'Relevé CPA 2026'!$G$5:$G$875,"2026-10")-SUMIFS('Relevé CPA 2026'!$E$5:$E$875,'Relevé CPA 2026'!$H$5:$H$875,$A8,'Relevé CPA 2026'!$G$5:$G$875,"2026-10")</f>
        <v/>
      </c>
      <c r="O8" s="7">
        <f>SUM(B8:N8)</f>
        <v/>
      </c>
      <c r="P8" s="21" t="inlineStr">
        <is>
          <t>Financement des règlements import à 80 %</t>
        </is>
      </c>
    </row>
    <row r="9">
      <c r="A9" s="12" t="inlineStr">
        <is>
          <t>Remboursement crédit / échéances</t>
        </is>
      </c>
      <c r="B9" s="30">
        <f>SUMIFS('Relevé CPA 2026'!$D$5:$D$875,'Relevé CPA 2026'!$H$5:$H$875,$A9,'Relevé CPA 2026'!$G$5:$G$875,"2025-10")-SUMIFS('Relevé CPA 2026'!$E$5:$E$875,'Relevé CPA 2026'!$H$5:$H$875,$A9,'Relevé CPA 2026'!$G$5:$G$875,"2025-10")</f>
        <v/>
      </c>
      <c r="C9" s="30">
        <f>SUMIFS('Relevé CPA 2026'!$D$5:$D$875,'Relevé CPA 2026'!$H$5:$H$875,$A9,'Relevé CPA 2026'!$G$5:$G$875,"2025-11")-SUMIFS('Relevé CPA 2026'!$E$5:$E$875,'Relevé CPA 2026'!$H$5:$H$875,$A9,'Relevé CPA 2026'!$G$5:$G$875,"2025-11")</f>
        <v/>
      </c>
      <c r="D9" s="30">
        <f>SUMIFS('Relevé CPA 2026'!$D$5:$D$875,'Relevé CPA 2026'!$H$5:$H$875,$A9,'Relevé CPA 2026'!$G$5:$G$875,"2025-12")-SUMIFS('Relevé CPA 2026'!$E$5:$E$875,'Relevé CPA 2026'!$H$5:$H$875,$A9,'Relevé CPA 2026'!$G$5:$G$875,"2025-12")</f>
        <v/>
      </c>
      <c r="E9" s="30">
        <f>SUMIFS('Relevé CPA 2026'!$D$5:$D$875,'Relevé CPA 2026'!$H$5:$H$875,$A9,'Relevé CPA 2026'!$G$5:$G$875,"2026-01")-SUMIFS('Relevé CPA 2026'!$E$5:$E$875,'Relevé CPA 2026'!$H$5:$H$875,$A9,'Relevé CPA 2026'!$G$5:$G$875,"2026-01")</f>
        <v/>
      </c>
      <c r="F9" s="30">
        <f>SUMIFS('Relevé CPA 2026'!$D$5:$D$875,'Relevé CPA 2026'!$H$5:$H$875,$A9,'Relevé CPA 2026'!$G$5:$G$875,"2026-02")-SUMIFS('Relevé CPA 2026'!$E$5:$E$875,'Relevé CPA 2026'!$H$5:$H$875,$A9,'Relevé CPA 2026'!$G$5:$G$875,"2026-02")</f>
        <v/>
      </c>
      <c r="G9" s="30">
        <f>SUMIFS('Relevé CPA 2026'!$D$5:$D$875,'Relevé CPA 2026'!$H$5:$H$875,$A9,'Relevé CPA 2026'!$G$5:$G$875,"2026-03")-SUMIFS('Relevé CPA 2026'!$E$5:$E$875,'Relevé CPA 2026'!$H$5:$H$875,$A9,'Relevé CPA 2026'!$G$5:$G$875,"2026-03")</f>
        <v/>
      </c>
      <c r="H9" s="30">
        <f>SUMIFS('Relevé CPA 2026'!$D$5:$D$875,'Relevé CPA 2026'!$H$5:$H$875,$A9,'Relevé CPA 2026'!$G$5:$G$875,"2026-04")-SUMIFS('Relevé CPA 2026'!$E$5:$E$875,'Relevé CPA 2026'!$H$5:$H$875,$A9,'Relevé CPA 2026'!$G$5:$G$875,"2026-04")</f>
        <v/>
      </c>
      <c r="I9" s="30">
        <f>SUMIFS('Relevé CPA 2026'!$D$5:$D$875,'Relevé CPA 2026'!$H$5:$H$875,$A9,'Relevé CPA 2026'!$G$5:$G$875,"2026-05")-SUMIFS('Relevé CPA 2026'!$E$5:$E$875,'Relevé CPA 2026'!$H$5:$H$875,$A9,'Relevé CPA 2026'!$G$5:$G$875,"2026-05")</f>
        <v/>
      </c>
      <c r="J9" s="30">
        <f>SUMIFS('Relevé CPA 2026'!$D$5:$D$875,'Relevé CPA 2026'!$H$5:$H$875,$A9,'Relevé CPA 2026'!$G$5:$G$875,"2026-06")-SUMIFS('Relevé CPA 2026'!$E$5:$E$875,'Relevé CPA 2026'!$H$5:$H$875,$A9,'Relevé CPA 2026'!$G$5:$G$875,"2026-06")</f>
        <v/>
      </c>
      <c r="K9" s="30">
        <f>SUMIFS('Relevé CPA 2026'!$D$5:$D$875,'Relevé CPA 2026'!$H$5:$H$875,$A9,'Relevé CPA 2026'!$G$5:$G$875,"2026-07")-SUMIFS('Relevé CPA 2026'!$E$5:$E$875,'Relevé CPA 2026'!$H$5:$H$875,$A9,'Relevé CPA 2026'!$G$5:$G$875,"2026-07")</f>
        <v/>
      </c>
      <c r="L9" s="30">
        <f>SUMIFS('Relevé CPA 2026'!$D$5:$D$875,'Relevé CPA 2026'!$H$5:$H$875,$A9,'Relevé CPA 2026'!$G$5:$G$875,"2026-08")-SUMIFS('Relevé CPA 2026'!$E$5:$E$875,'Relevé CPA 2026'!$H$5:$H$875,$A9,'Relevé CPA 2026'!$G$5:$G$875,"2026-08")</f>
        <v/>
      </c>
      <c r="M9" s="30">
        <f>SUMIFS('Relevé CPA 2026'!$D$5:$D$875,'Relevé CPA 2026'!$H$5:$H$875,$A9,'Relevé CPA 2026'!$G$5:$G$875,"2026-09")-SUMIFS('Relevé CPA 2026'!$E$5:$E$875,'Relevé CPA 2026'!$H$5:$H$875,$A9,'Relevé CPA 2026'!$G$5:$G$875,"2026-09")</f>
        <v/>
      </c>
      <c r="N9" s="30">
        <f>SUMIFS('Relevé CPA 2026'!$D$5:$D$875,'Relevé CPA 2026'!$H$5:$H$875,$A9,'Relevé CPA 2026'!$G$5:$G$875,"2026-10")-SUMIFS('Relevé CPA 2026'!$E$5:$E$875,'Relevé CPA 2026'!$H$5:$H$875,$A9,'Relevé CPA 2026'!$G$5:$G$875,"2026-10")</f>
        <v/>
      </c>
      <c r="O9" s="7">
        <f>SUM(B9:N9)</f>
        <v/>
      </c>
      <c r="P9" s="21" t="inlineStr">
        <is>
          <t>Tombées et échéances de crédit</t>
        </is>
      </c>
    </row>
    <row r="10">
      <c r="A10" s="12" t="inlineStr">
        <is>
          <t>Importations (règlements, provisions, crédoc)</t>
        </is>
      </c>
      <c r="B10" s="30">
        <f>SUMIFS('Relevé CPA 2026'!$D$5:$D$875,'Relevé CPA 2026'!$H$5:$H$875,$A10,'Relevé CPA 2026'!$G$5:$G$875,"2025-10")-SUMIFS('Relevé CPA 2026'!$E$5:$E$875,'Relevé CPA 2026'!$H$5:$H$875,$A10,'Relevé CPA 2026'!$G$5:$G$875,"2025-10")</f>
        <v/>
      </c>
      <c r="C10" s="30">
        <f>SUMIFS('Relevé CPA 2026'!$D$5:$D$875,'Relevé CPA 2026'!$H$5:$H$875,$A10,'Relevé CPA 2026'!$G$5:$G$875,"2025-11")-SUMIFS('Relevé CPA 2026'!$E$5:$E$875,'Relevé CPA 2026'!$H$5:$H$875,$A10,'Relevé CPA 2026'!$G$5:$G$875,"2025-11")</f>
        <v/>
      </c>
      <c r="D10" s="30">
        <f>SUMIFS('Relevé CPA 2026'!$D$5:$D$875,'Relevé CPA 2026'!$H$5:$H$875,$A10,'Relevé CPA 2026'!$G$5:$G$875,"2025-12")-SUMIFS('Relevé CPA 2026'!$E$5:$E$875,'Relevé CPA 2026'!$H$5:$H$875,$A10,'Relevé CPA 2026'!$G$5:$G$875,"2025-12")</f>
        <v/>
      </c>
      <c r="E10" s="30">
        <f>SUMIFS('Relevé CPA 2026'!$D$5:$D$875,'Relevé CPA 2026'!$H$5:$H$875,$A10,'Relevé CPA 2026'!$G$5:$G$875,"2026-01")-SUMIFS('Relevé CPA 2026'!$E$5:$E$875,'Relevé CPA 2026'!$H$5:$H$875,$A10,'Relevé CPA 2026'!$G$5:$G$875,"2026-01")</f>
        <v/>
      </c>
      <c r="F10" s="30">
        <f>SUMIFS('Relevé CPA 2026'!$D$5:$D$875,'Relevé CPA 2026'!$H$5:$H$875,$A10,'Relevé CPA 2026'!$G$5:$G$875,"2026-02")-SUMIFS('Relevé CPA 2026'!$E$5:$E$875,'Relevé CPA 2026'!$H$5:$H$875,$A10,'Relevé CPA 2026'!$G$5:$G$875,"2026-02")</f>
        <v/>
      </c>
      <c r="G10" s="30">
        <f>SUMIFS('Relevé CPA 2026'!$D$5:$D$875,'Relevé CPA 2026'!$H$5:$H$875,$A10,'Relevé CPA 2026'!$G$5:$G$875,"2026-03")-SUMIFS('Relevé CPA 2026'!$E$5:$E$875,'Relevé CPA 2026'!$H$5:$H$875,$A10,'Relevé CPA 2026'!$G$5:$G$875,"2026-03")</f>
        <v/>
      </c>
      <c r="H10" s="30">
        <f>SUMIFS('Relevé CPA 2026'!$D$5:$D$875,'Relevé CPA 2026'!$H$5:$H$875,$A10,'Relevé CPA 2026'!$G$5:$G$875,"2026-04")-SUMIFS('Relevé CPA 2026'!$E$5:$E$875,'Relevé CPA 2026'!$H$5:$H$875,$A10,'Relevé CPA 2026'!$G$5:$G$875,"2026-04")</f>
        <v/>
      </c>
      <c r="I10" s="30">
        <f>SUMIFS('Relevé CPA 2026'!$D$5:$D$875,'Relevé CPA 2026'!$H$5:$H$875,$A10,'Relevé CPA 2026'!$G$5:$G$875,"2026-05")-SUMIFS('Relevé CPA 2026'!$E$5:$E$875,'Relevé CPA 2026'!$H$5:$H$875,$A10,'Relevé CPA 2026'!$G$5:$G$875,"2026-05")</f>
        <v/>
      </c>
      <c r="J10" s="30">
        <f>SUMIFS('Relevé CPA 2026'!$D$5:$D$875,'Relevé CPA 2026'!$H$5:$H$875,$A10,'Relevé CPA 2026'!$G$5:$G$875,"2026-06")-SUMIFS('Relevé CPA 2026'!$E$5:$E$875,'Relevé CPA 2026'!$H$5:$H$875,$A10,'Relevé CPA 2026'!$G$5:$G$875,"2026-06")</f>
        <v/>
      </c>
      <c r="K10" s="30">
        <f>SUMIFS('Relevé CPA 2026'!$D$5:$D$875,'Relevé CPA 2026'!$H$5:$H$875,$A10,'Relevé CPA 2026'!$G$5:$G$875,"2026-07")-SUMIFS('Relevé CPA 2026'!$E$5:$E$875,'Relevé CPA 2026'!$H$5:$H$875,$A10,'Relevé CPA 2026'!$G$5:$G$875,"2026-07")</f>
        <v/>
      </c>
      <c r="L10" s="30">
        <f>SUMIFS('Relevé CPA 2026'!$D$5:$D$875,'Relevé CPA 2026'!$H$5:$H$875,$A10,'Relevé CPA 2026'!$G$5:$G$875,"2026-08")-SUMIFS('Relevé CPA 2026'!$E$5:$E$875,'Relevé CPA 2026'!$H$5:$H$875,$A10,'Relevé CPA 2026'!$G$5:$G$875,"2026-08")</f>
        <v/>
      </c>
      <c r="M10" s="30">
        <f>SUMIFS('Relevé CPA 2026'!$D$5:$D$875,'Relevé CPA 2026'!$H$5:$H$875,$A10,'Relevé CPA 2026'!$G$5:$G$875,"2026-09")-SUMIFS('Relevé CPA 2026'!$E$5:$E$875,'Relevé CPA 2026'!$H$5:$H$875,$A10,'Relevé CPA 2026'!$G$5:$G$875,"2026-09")</f>
        <v/>
      </c>
      <c r="N10" s="30">
        <f>SUMIFS('Relevé CPA 2026'!$D$5:$D$875,'Relevé CPA 2026'!$H$5:$H$875,$A10,'Relevé CPA 2026'!$G$5:$G$875,"2026-10")-SUMIFS('Relevé CPA 2026'!$E$5:$E$875,'Relevé CPA 2026'!$H$5:$H$875,$A10,'Relevé CPA 2026'!$G$5:$G$875,"2026-10")</f>
        <v/>
      </c>
      <c r="O10" s="7">
        <f>SUM(B10:N10)</f>
        <v/>
      </c>
      <c r="P10" s="21" t="inlineStr">
        <is>
          <t>Transferts fournisseurs étrangers (dossiers PTI / CDI)</t>
        </is>
      </c>
    </row>
    <row r="11">
      <c r="A11" s="12" t="inlineStr">
        <is>
          <t>Chèques de banque (douane / autres)</t>
        </is>
      </c>
      <c r="B11" s="30">
        <f>SUMIFS('Relevé CPA 2026'!$D$5:$D$875,'Relevé CPA 2026'!$H$5:$H$875,$A11,'Relevé CPA 2026'!$G$5:$G$875,"2025-10")-SUMIFS('Relevé CPA 2026'!$E$5:$E$875,'Relevé CPA 2026'!$H$5:$H$875,$A11,'Relevé CPA 2026'!$G$5:$G$875,"2025-10")</f>
        <v/>
      </c>
      <c r="C11" s="30">
        <f>SUMIFS('Relevé CPA 2026'!$D$5:$D$875,'Relevé CPA 2026'!$H$5:$H$875,$A11,'Relevé CPA 2026'!$G$5:$G$875,"2025-11")-SUMIFS('Relevé CPA 2026'!$E$5:$E$875,'Relevé CPA 2026'!$H$5:$H$875,$A11,'Relevé CPA 2026'!$G$5:$G$875,"2025-11")</f>
        <v/>
      </c>
      <c r="D11" s="30">
        <f>SUMIFS('Relevé CPA 2026'!$D$5:$D$875,'Relevé CPA 2026'!$H$5:$H$875,$A11,'Relevé CPA 2026'!$G$5:$G$875,"2025-12")-SUMIFS('Relevé CPA 2026'!$E$5:$E$875,'Relevé CPA 2026'!$H$5:$H$875,$A11,'Relevé CPA 2026'!$G$5:$G$875,"2025-12")</f>
        <v/>
      </c>
      <c r="E11" s="30">
        <f>SUMIFS('Relevé CPA 2026'!$D$5:$D$875,'Relevé CPA 2026'!$H$5:$H$875,$A11,'Relevé CPA 2026'!$G$5:$G$875,"2026-01")-SUMIFS('Relevé CPA 2026'!$E$5:$E$875,'Relevé CPA 2026'!$H$5:$H$875,$A11,'Relevé CPA 2026'!$G$5:$G$875,"2026-01")</f>
        <v/>
      </c>
      <c r="F11" s="30">
        <f>SUMIFS('Relevé CPA 2026'!$D$5:$D$875,'Relevé CPA 2026'!$H$5:$H$875,$A11,'Relevé CPA 2026'!$G$5:$G$875,"2026-02")-SUMIFS('Relevé CPA 2026'!$E$5:$E$875,'Relevé CPA 2026'!$H$5:$H$875,$A11,'Relevé CPA 2026'!$G$5:$G$875,"2026-02")</f>
        <v/>
      </c>
      <c r="G11" s="30">
        <f>SUMIFS('Relevé CPA 2026'!$D$5:$D$875,'Relevé CPA 2026'!$H$5:$H$875,$A11,'Relevé CPA 2026'!$G$5:$G$875,"2026-03")-SUMIFS('Relevé CPA 2026'!$E$5:$E$875,'Relevé CPA 2026'!$H$5:$H$875,$A11,'Relevé CPA 2026'!$G$5:$G$875,"2026-03")</f>
        <v/>
      </c>
      <c r="H11" s="30">
        <f>SUMIFS('Relevé CPA 2026'!$D$5:$D$875,'Relevé CPA 2026'!$H$5:$H$875,$A11,'Relevé CPA 2026'!$G$5:$G$875,"2026-04")-SUMIFS('Relevé CPA 2026'!$E$5:$E$875,'Relevé CPA 2026'!$H$5:$H$875,$A11,'Relevé CPA 2026'!$G$5:$G$875,"2026-04")</f>
        <v/>
      </c>
      <c r="I11" s="30">
        <f>SUMIFS('Relevé CPA 2026'!$D$5:$D$875,'Relevé CPA 2026'!$H$5:$H$875,$A11,'Relevé CPA 2026'!$G$5:$G$875,"2026-05")-SUMIFS('Relevé CPA 2026'!$E$5:$E$875,'Relevé CPA 2026'!$H$5:$H$875,$A11,'Relevé CPA 2026'!$G$5:$G$875,"2026-05")</f>
        <v/>
      </c>
      <c r="J11" s="30">
        <f>SUMIFS('Relevé CPA 2026'!$D$5:$D$875,'Relevé CPA 2026'!$H$5:$H$875,$A11,'Relevé CPA 2026'!$G$5:$G$875,"2026-06")-SUMIFS('Relevé CPA 2026'!$E$5:$E$875,'Relevé CPA 2026'!$H$5:$H$875,$A11,'Relevé CPA 2026'!$G$5:$G$875,"2026-06")</f>
        <v/>
      </c>
      <c r="K11" s="30">
        <f>SUMIFS('Relevé CPA 2026'!$D$5:$D$875,'Relevé CPA 2026'!$H$5:$H$875,$A11,'Relevé CPA 2026'!$G$5:$G$875,"2026-07")-SUMIFS('Relevé CPA 2026'!$E$5:$E$875,'Relevé CPA 2026'!$H$5:$H$875,$A11,'Relevé CPA 2026'!$G$5:$G$875,"2026-07")</f>
        <v/>
      </c>
      <c r="L11" s="30">
        <f>SUMIFS('Relevé CPA 2026'!$D$5:$D$875,'Relevé CPA 2026'!$H$5:$H$875,$A11,'Relevé CPA 2026'!$G$5:$G$875,"2026-08")-SUMIFS('Relevé CPA 2026'!$E$5:$E$875,'Relevé CPA 2026'!$H$5:$H$875,$A11,'Relevé CPA 2026'!$G$5:$G$875,"2026-08")</f>
        <v/>
      </c>
      <c r="M11" s="30">
        <f>SUMIFS('Relevé CPA 2026'!$D$5:$D$875,'Relevé CPA 2026'!$H$5:$H$875,$A11,'Relevé CPA 2026'!$G$5:$G$875,"2026-09")-SUMIFS('Relevé CPA 2026'!$E$5:$E$875,'Relevé CPA 2026'!$H$5:$H$875,$A11,'Relevé CPA 2026'!$G$5:$G$875,"2026-09")</f>
        <v/>
      </c>
      <c r="N11" s="30">
        <f>SUMIFS('Relevé CPA 2026'!$D$5:$D$875,'Relevé CPA 2026'!$H$5:$H$875,$A11,'Relevé CPA 2026'!$G$5:$G$875,"2026-10")-SUMIFS('Relevé CPA 2026'!$E$5:$E$875,'Relevé CPA 2026'!$H$5:$H$875,$A11,'Relevé CPA 2026'!$G$5:$G$875,"2026-10")</f>
        <v/>
      </c>
      <c r="O11" s="7">
        <f>SUM(B11:N11)</f>
        <v/>
      </c>
      <c r="P11" s="21" t="inlineStr">
        <is>
          <t>Douane selon la pratique 2025 : quittances à joindre</t>
        </is>
      </c>
    </row>
    <row r="12">
      <c r="A12" s="40" t="inlineStr">
        <is>
          <t>DPR AXXAM (partie liée)</t>
        </is>
      </c>
      <c r="B12" s="30">
        <f>SUMIFS('Relevé CPA 2026'!$D$5:$D$875,'Relevé CPA 2026'!$H$5:$H$875,$A12,'Relevé CPA 2026'!$G$5:$G$875,"2025-10")-SUMIFS('Relevé CPA 2026'!$E$5:$E$875,'Relevé CPA 2026'!$H$5:$H$875,$A12,'Relevé CPA 2026'!$G$5:$G$875,"2025-10")</f>
        <v/>
      </c>
      <c r="C12" s="30">
        <f>SUMIFS('Relevé CPA 2026'!$D$5:$D$875,'Relevé CPA 2026'!$H$5:$H$875,$A12,'Relevé CPA 2026'!$G$5:$G$875,"2025-11")-SUMIFS('Relevé CPA 2026'!$E$5:$E$875,'Relevé CPA 2026'!$H$5:$H$875,$A12,'Relevé CPA 2026'!$G$5:$G$875,"2025-11")</f>
        <v/>
      </c>
      <c r="D12" s="30">
        <f>SUMIFS('Relevé CPA 2026'!$D$5:$D$875,'Relevé CPA 2026'!$H$5:$H$875,$A12,'Relevé CPA 2026'!$G$5:$G$875,"2025-12")-SUMIFS('Relevé CPA 2026'!$E$5:$E$875,'Relevé CPA 2026'!$H$5:$H$875,$A12,'Relevé CPA 2026'!$G$5:$G$875,"2025-12")</f>
        <v/>
      </c>
      <c r="E12" s="30">
        <f>SUMIFS('Relevé CPA 2026'!$D$5:$D$875,'Relevé CPA 2026'!$H$5:$H$875,$A12,'Relevé CPA 2026'!$G$5:$G$875,"2026-01")-SUMIFS('Relevé CPA 2026'!$E$5:$E$875,'Relevé CPA 2026'!$H$5:$H$875,$A12,'Relevé CPA 2026'!$G$5:$G$875,"2026-01")</f>
        <v/>
      </c>
      <c r="F12" s="30">
        <f>SUMIFS('Relevé CPA 2026'!$D$5:$D$875,'Relevé CPA 2026'!$H$5:$H$875,$A12,'Relevé CPA 2026'!$G$5:$G$875,"2026-02")-SUMIFS('Relevé CPA 2026'!$E$5:$E$875,'Relevé CPA 2026'!$H$5:$H$875,$A12,'Relevé CPA 2026'!$G$5:$G$875,"2026-02")</f>
        <v/>
      </c>
      <c r="G12" s="30">
        <f>SUMIFS('Relevé CPA 2026'!$D$5:$D$875,'Relevé CPA 2026'!$H$5:$H$875,$A12,'Relevé CPA 2026'!$G$5:$G$875,"2026-03")-SUMIFS('Relevé CPA 2026'!$E$5:$E$875,'Relevé CPA 2026'!$H$5:$H$875,$A12,'Relevé CPA 2026'!$G$5:$G$875,"2026-03")</f>
        <v/>
      </c>
      <c r="H12" s="30">
        <f>SUMIFS('Relevé CPA 2026'!$D$5:$D$875,'Relevé CPA 2026'!$H$5:$H$875,$A12,'Relevé CPA 2026'!$G$5:$G$875,"2026-04")-SUMIFS('Relevé CPA 2026'!$E$5:$E$875,'Relevé CPA 2026'!$H$5:$H$875,$A12,'Relevé CPA 2026'!$G$5:$G$875,"2026-04")</f>
        <v/>
      </c>
      <c r="I12" s="30">
        <f>SUMIFS('Relevé CPA 2026'!$D$5:$D$875,'Relevé CPA 2026'!$H$5:$H$875,$A12,'Relevé CPA 2026'!$G$5:$G$875,"2026-05")-SUMIFS('Relevé CPA 2026'!$E$5:$E$875,'Relevé CPA 2026'!$H$5:$H$875,$A12,'Relevé CPA 2026'!$G$5:$G$875,"2026-05")</f>
        <v/>
      </c>
      <c r="J12" s="30">
        <f>SUMIFS('Relevé CPA 2026'!$D$5:$D$875,'Relevé CPA 2026'!$H$5:$H$875,$A12,'Relevé CPA 2026'!$G$5:$G$875,"2026-06")-SUMIFS('Relevé CPA 2026'!$E$5:$E$875,'Relevé CPA 2026'!$H$5:$H$875,$A12,'Relevé CPA 2026'!$G$5:$G$875,"2026-06")</f>
        <v/>
      </c>
      <c r="K12" s="30">
        <f>SUMIFS('Relevé CPA 2026'!$D$5:$D$875,'Relevé CPA 2026'!$H$5:$H$875,$A12,'Relevé CPA 2026'!$G$5:$G$875,"2026-07")-SUMIFS('Relevé CPA 2026'!$E$5:$E$875,'Relevé CPA 2026'!$H$5:$H$875,$A12,'Relevé CPA 2026'!$G$5:$G$875,"2026-07")</f>
        <v/>
      </c>
      <c r="L12" s="30">
        <f>SUMIFS('Relevé CPA 2026'!$D$5:$D$875,'Relevé CPA 2026'!$H$5:$H$875,$A12,'Relevé CPA 2026'!$G$5:$G$875,"2026-08")-SUMIFS('Relevé CPA 2026'!$E$5:$E$875,'Relevé CPA 2026'!$H$5:$H$875,$A12,'Relevé CPA 2026'!$G$5:$G$875,"2026-08")</f>
        <v/>
      </c>
      <c r="M12" s="30">
        <f>SUMIFS('Relevé CPA 2026'!$D$5:$D$875,'Relevé CPA 2026'!$H$5:$H$875,$A12,'Relevé CPA 2026'!$G$5:$G$875,"2026-09")-SUMIFS('Relevé CPA 2026'!$E$5:$E$875,'Relevé CPA 2026'!$H$5:$H$875,$A12,'Relevé CPA 2026'!$G$5:$G$875,"2026-09")</f>
        <v/>
      </c>
      <c r="N12" s="30">
        <f>SUMIFS('Relevé CPA 2026'!$D$5:$D$875,'Relevé CPA 2026'!$H$5:$H$875,$A12,'Relevé CPA 2026'!$G$5:$G$875,"2026-10")-SUMIFS('Relevé CPA 2026'!$E$5:$E$875,'Relevé CPA 2026'!$H$5:$H$875,$A12,'Relevé CPA 2026'!$G$5:$G$875,"2026-10")</f>
        <v/>
      </c>
      <c r="O12" s="7">
        <f>SUM(B12:N12)</f>
        <v/>
      </c>
      <c r="P12" s="21" t="inlineStr">
        <is>
          <t>Virements sans contrepartie identifiée</t>
        </is>
      </c>
    </row>
    <row r="13">
      <c r="A13" s="12" t="inlineStr">
        <is>
          <t>G50 (impôts)</t>
        </is>
      </c>
      <c r="B13" s="30">
        <f>SUMIFS('Relevé CPA 2026'!$D$5:$D$875,'Relevé CPA 2026'!$H$5:$H$875,$A13,'Relevé CPA 2026'!$G$5:$G$875,"2025-10")-SUMIFS('Relevé CPA 2026'!$E$5:$E$875,'Relevé CPA 2026'!$H$5:$H$875,$A13,'Relevé CPA 2026'!$G$5:$G$875,"2025-10")</f>
        <v/>
      </c>
      <c r="C13" s="30">
        <f>SUMIFS('Relevé CPA 2026'!$D$5:$D$875,'Relevé CPA 2026'!$H$5:$H$875,$A13,'Relevé CPA 2026'!$G$5:$G$875,"2025-11")-SUMIFS('Relevé CPA 2026'!$E$5:$E$875,'Relevé CPA 2026'!$H$5:$H$875,$A13,'Relevé CPA 2026'!$G$5:$G$875,"2025-11")</f>
        <v/>
      </c>
      <c r="D13" s="30">
        <f>SUMIFS('Relevé CPA 2026'!$D$5:$D$875,'Relevé CPA 2026'!$H$5:$H$875,$A13,'Relevé CPA 2026'!$G$5:$G$875,"2025-12")-SUMIFS('Relevé CPA 2026'!$E$5:$E$875,'Relevé CPA 2026'!$H$5:$H$875,$A13,'Relevé CPA 2026'!$G$5:$G$875,"2025-12")</f>
        <v/>
      </c>
      <c r="E13" s="30">
        <f>SUMIFS('Relevé CPA 2026'!$D$5:$D$875,'Relevé CPA 2026'!$H$5:$H$875,$A13,'Relevé CPA 2026'!$G$5:$G$875,"2026-01")-SUMIFS('Relevé CPA 2026'!$E$5:$E$875,'Relevé CPA 2026'!$H$5:$H$875,$A13,'Relevé CPA 2026'!$G$5:$G$875,"2026-01")</f>
        <v/>
      </c>
      <c r="F13" s="30">
        <f>SUMIFS('Relevé CPA 2026'!$D$5:$D$875,'Relevé CPA 2026'!$H$5:$H$875,$A13,'Relevé CPA 2026'!$G$5:$G$875,"2026-02")-SUMIFS('Relevé CPA 2026'!$E$5:$E$875,'Relevé CPA 2026'!$H$5:$H$875,$A13,'Relevé CPA 2026'!$G$5:$G$875,"2026-02")</f>
        <v/>
      </c>
      <c r="G13" s="30">
        <f>SUMIFS('Relevé CPA 2026'!$D$5:$D$875,'Relevé CPA 2026'!$H$5:$H$875,$A13,'Relevé CPA 2026'!$G$5:$G$875,"2026-03")-SUMIFS('Relevé CPA 2026'!$E$5:$E$875,'Relevé CPA 2026'!$H$5:$H$875,$A13,'Relevé CPA 2026'!$G$5:$G$875,"2026-03")</f>
        <v/>
      </c>
      <c r="H13" s="30">
        <f>SUMIFS('Relevé CPA 2026'!$D$5:$D$875,'Relevé CPA 2026'!$H$5:$H$875,$A13,'Relevé CPA 2026'!$G$5:$G$875,"2026-04")-SUMIFS('Relevé CPA 2026'!$E$5:$E$875,'Relevé CPA 2026'!$H$5:$H$875,$A13,'Relevé CPA 2026'!$G$5:$G$875,"2026-04")</f>
        <v/>
      </c>
      <c r="I13" s="30">
        <f>SUMIFS('Relevé CPA 2026'!$D$5:$D$875,'Relevé CPA 2026'!$H$5:$H$875,$A13,'Relevé CPA 2026'!$G$5:$G$875,"2026-05")-SUMIFS('Relevé CPA 2026'!$E$5:$E$875,'Relevé CPA 2026'!$H$5:$H$875,$A13,'Relevé CPA 2026'!$G$5:$G$875,"2026-05")</f>
        <v/>
      </c>
      <c r="J13" s="30">
        <f>SUMIFS('Relevé CPA 2026'!$D$5:$D$875,'Relevé CPA 2026'!$H$5:$H$875,$A13,'Relevé CPA 2026'!$G$5:$G$875,"2026-06")-SUMIFS('Relevé CPA 2026'!$E$5:$E$875,'Relevé CPA 2026'!$H$5:$H$875,$A13,'Relevé CPA 2026'!$G$5:$G$875,"2026-06")</f>
        <v/>
      </c>
      <c r="K13" s="30">
        <f>SUMIFS('Relevé CPA 2026'!$D$5:$D$875,'Relevé CPA 2026'!$H$5:$H$875,$A13,'Relevé CPA 2026'!$G$5:$G$875,"2026-07")-SUMIFS('Relevé CPA 2026'!$E$5:$E$875,'Relevé CPA 2026'!$H$5:$H$875,$A13,'Relevé CPA 2026'!$G$5:$G$875,"2026-07")</f>
        <v/>
      </c>
      <c r="L13" s="30">
        <f>SUMIFS('Relevé CPA 2026'!$D$5:$D$875,'Relevé CPA 2026'!$H$5:$H$875,$A13,'Relevé CPA 2026'!$G$5:$G$875,"2026-08")-SUMIFS('Relevé CPA 2026'!$E$5:$E$875,'Relevé CPA 2026'!$H$5:$H$875,$A13,'Relevé CPA 2026'!$G$5:$G$875,"2026-08")</f>
        <v/>
      </c>
      <c r="M13" s="30">
        <f>SUMIFS('Relevé CPA 2026'!$D$5:$D$875,'Relevé CPA 2026'!$H$5:$H$875,$A13,'Relevé CPA 2026'!$G$5:$G$875,"2026-09")-SUMIFS('Relevé CPA 2026'!$E$5:$E$875,'Relevé CPA 2026'!$H$5:$H$875,$A13,'Relevé CPA 2026'!$G$5:$G$875,"2026-09")</f>
        <v/>
      </c>
      <c r="N13" s="30">
        <f>SUMIFS('Relevé CPA 2026'!$D$5:$D$875,'Relevé CPA 2026'!$H$5:$H$875,$A13,'Relevé CPA 2026'!$G$5:$G$875,"2026-10")-SUMIFS('Relevé CPA 2026'!$E$5:$E$875,'Relevé CPA 2026'!$H$5:$H$875,$A13,'Relevé CPA 2026'!$G$5:$G$875,"2026-10")</f>
        <v/>
      </c>
      <c r="O13" s="7">
        <f>SUM(B13:N13)</f>
        <v/>
      </c>
      <c r="P13" s="21" t="inlineStr">
        <is>
          <t>Rapprochés des G50 IMPORT</t>
        </is>
      </c>
    </row>
    <row r="14">
      <c r="A14" s="12" t="inlineStr">
        <is>
          <t>CNAS</t>
        </is>
      </c>
      <c r="B14" s="30">
        <f>SUMIFS('Relevé CPA 2026'!$D$5:$D$875,'Relevé CPA 2026'!$H$5:$H$875,$A14,'Relevé CPA 2026'!$G$5:$G$875,"2025-10")-SUMIFS('Relevé CPA 2026'!$E$5:$E$875,'Relevé CPA 2026'!$H$5:$H$875,$A14,'Relevé CPA 2026'!$G$5:$G$875,"2025-10")</f>
        <v/>
      </c>
      <c r="C14" s="30">
        <f>SUMIFS('Relevé CPA 2026'!$D$5:$D$875,'Relevé CPA 2026'!$H$5:$H$875,$A14,'Relevé CPA 2026'!$G$5:$G$875,"2025-11")-SUMIFS('Relevé CPA 2026'!$E$5:$E$875,'Relevé CPA 2026'!$H$5:$H$875,$A14,'Relevé CPA 2026'!$G$5:$G$875,"2025-11")</f>
        <v/>
      </c>
      <c r="D14" s="30">
        <f>SUMIFS('Relevé CPA 2026'!$D$5:$D$875,'Relevé CPA 2026'!$H$5:$H$875,$A14,'Relevé CPA 2026'!$G$5:$G$875,"2025-12")-SUMIFS('Relevé CPA 2026'!$E$5:$E$875,'Relevé CPA 2026'!$H$5:$H$875,$A14,'Relevé CPA 2026'!$G$5:$G$875,"2025-12")</f>
        <v/>
      </c>
      <c r="E14" s="30">
        <f>SUMIFS('Relevé CPA 2026'!$D$5:$D$875,'Relevé CPA 2026'!$H$5:$H$875,$A14,'Relevé CPA 2026'!$G$5:$G$875,"2026-01")-SUMIFS('Relevé CPA 2026'!$E$5:$E$875,'Relevé CPA 2026'!$H$5:$H$875,$A14,'Relevé CPA 2026'!$G$5:$G$875,"2026-01")</f>
        <v/>
      </c>
      <c r="F14" s="30">
        <f>SUMIFS('Relevé CPA 2026'!$D$5:$D$875,'Relevé CPA 2026'!$H$5:$H$875,$A14,'Relevé CPA 2026'!$G$5:$G$875,"2026-02")-SUMIFS('Relevé CPA 2026'!$E$5:$E$875,'Relevé CPA 2026'!$H$5:$H$875,$A14,'Relevé CPA 2026'!$G$5:$G$875,"2026-02")</f>
        <v/>
      </c>
      <c r="G14" s="30">
        <f>SUMIFS('Relevé CPA 2026'!$D$5:$D$875,'Relevé CPA 2026'!$H$5:$H$875,$A14,'Relevé CPA 2026'!$G$5:$G$875,"2026-03")-SUMIFS('Relevé CPA 2026'!$E$5:$E$875,'Relevé CPA 2026'!$H$5:$H$875,$A14,'Relevé CPA 2026'!$G$5:$G$875,"2026-03")</f>
        <v/>
      </c>
      <c r="H14" s="30">
        <f>SUMIFS('Relevé CPA 2026'!$D$5:$D$875,'Relevé CPA 2026'!$H$5:$H$875,$A14,'Relevé CPA 2026'!$G$5:$G$875,"2026-04")-SUMIFS('Relevé CPA 2026'!$E$5:$E$875,'Relevé CPA 2026'!$H$5:$H$875,$A14,'Relevé CPA 2026'!$G$5:$G$875,"2026-04")</f>
        <v/>
      </c>
      <c r="I14" s="30">
        <f>SUMIFS('Relevé CPA 2026'!$D$5:$D$875,'Relevé CPA 2026'!$H$5:$H$875,$A14,'Relevé CPA 2026'!$G$5:$G$875,"2026-05")-SUMIFS('Relevé CPA 2026'!$E$5:$E$875,'Relevé CPA 2026'!$H$5:$H$875,$A14,'Relevé CPA 2026'!$G$5:$G$875,"2026-05")</f>
        <v/>
      </c>
      <c r="J14" s="30">
        <f>SUMIFS('Relevé CPA 2026'!$D$5:$D$875,'Relevé CPA 2026'!$H$5:$H$875,$A14,'Relevé CPA 2026'!$G$5:$G$875,"2026-06")-SUMIFS('Relevé CPA 2026'!$E$5:$E$875,'Relevé CPA 2026'!$H$5:$H$875,$A14,'Relevé CPA 2026'!$G$5:$G$875,"2026-06")</f>
        <v/>
      </c>
      <c r="K14" s="30">
        <f>SUMIFS('Relevé CPA 2026'!$D$5:$D$875,'Relevé CPA 2026'!$H$5:$H$875,$A14,'Relevé CPA 2026'!$G$5:$G$875,"2026-07")-SUMIFS('Relevé CPA 2026'!$E$5:$E$875,'Relevé CPA 2026'!$H$5:$H$875,$A14,'Relevé CPA 2026'!$G$5:$G$875,"2026-07")</f>
        <v/>
      </c>
      <c r="L14" s="30">
        <f>SUMIFS('Relevé CPA 2026'!$D$5:$D$875,'Relevé CPA 2026'!$H$5:$H$875,$A14,'Relevé CPA 2026'!$G$5:$G$875,"2026-08")-SUMIFS('Relevé CPA 2026'!$E$5:$E$875,'Relevé CPA 2026'!$H$5:$H$875,$A14,'Relevé CPA 2026'!$G$5:$G$875,"2026-08")</f>
        <v/>
      </c>
      <c r="M14" s="30">
        <f>SUMIFS('Relevé CPA 2026'!$D$5:$D$875,'Relevé CPA 2026'!$H$5:$H$875,$A14,'Relevé CPA 2026'!$G$5:$G$875,"2026-09")-SUMIFS('Relevé CPA 2026'!$E$5:$E$875,'Relevé CPA 2026'!$H$5:$H$875,$A14,'Relevé CPA 2026'!$G$5:$G$875,"2026-09")</f>
        <v/>
      </c>
      <c r="N14" s="30">
        <f>SUMIFS('Relevé CPA 2026'!$D$5:$D$875,'Relevé CPA 2026'!$H$5:$H$875,$A14,'Relevé CPA 2026'!$G$5:$G$875,"2026-10")-SUMIFS('Relevé CPA 2026'!$E$5:$E$875,'Relevé CPA 2026'!$H$5:$H$875,$A14,'Relevé CPA 2026'!$G$5:$G$875,"2026-10")</f>
        <v/>
      </c>
      <c r="O14" s="7">
        <f>SUM(B14:N14)</f>
        <v/>
      </c>
      <c r="P14" s="21" t="inlineStr">
        <is>
          <t>Rapprochés des déclarations CNAS</t>
        </is>
      </c>
    </row>
    <row r="15">
      <c r="A15" s="12" t="inlineStr">
        <is>
          <t>Fournisseurs, salaires et divers</t>
        </is>
      </c>
      <c r="B15" s="30">
        <f>SUMIFS('Relevé CPA 2026'!$D$5:$D$875,'Relevé CPA 2026'!$H$5:$H$875,$A15,'Relevé CPA 2026'!$G$5:$G$875,"2025-10")-SUMIFS('Relevé CPA 2026'!$E$5:$E$875,'Relevé CPA 2026'!$H$5:$H$875,$A15,'Relevé CPA 2026'!$G$5:$G$875,"2025-10")</f>
        <v/>
      </c>
      <c r="C15" s="30">
        <f>SUMIFS('Relevé CPA 2026'!$D$5:$D$875,'Relevé CPA 2026'!$H$5:$H$875,$A15,'Relevé CPA 2026'!$G$5:$G$875,"2025-11")-SUMIFS('Relevé CPA 2026'!$E$5:$E$875,'Relevé CPA 2026'!$H$5:$H$875,$A15,'Relevé CPA 2026'!$G$5:$G$875,"2025-11")</f>
        <v/>
      </c>
      <c r="D15" s="30">
        <f>SUMIFS('Relevé CPA 2026'!$D$5:$D$875,'Relevé CPA 2026'!$H$5:$H$875,$A15,'Relevé CPA 2026'!$G$5:$G$875,"2025-12")-SUMIFS('Relevé CPA 2026'!$E$5:$E$875,'Relevé CPA 2026'!$H$5:$H$875,$A15,'Relevé CPA 2026'!$G$5:$G$875,"2025-12")</f>
        <v/>
      </c>
      <c r="E15" s="30">
        <f>SUMIFS('Relevé CPA 2026'!$D$5:$D$875,'Relevé CPA 2026'!$H$5:$H$875,$A15,'Relevé CPA 2026'!$G$5:$G$875,"2026-01")-SUMIFS('Relevé CPA 2026'!$E$5:$E$875,'Relevé CPA 2026'!$H$5:$H$875,$A15,'Relevé CPA 2026'!$G$5:$G$875,"2026-01")</f>
        <v/>
      </c>
      <c r="F15" s="30">
        <f>SUMIFS('Relevé CPA 2026'!$D$5:$D$875,'Relevé CPA 2026'!$H$5:$H$875,$A15,'Relevé CPA 2026'!$G$5:$G$875,"2026-02")-SUMIFS('Relevé CPA 2026'!$E$5:$E$875,'Relevé CPA 2026'!$H$5:$H$875,$A15,'Relevé CPA 2026'!$G$5:$G$875,"2026-02")</f>
        <v/>
      </c>
      <c r="G15" s="30">
        <f>SUMIFS('Relevé CPA 2026'!$D$5:$D$875,'Relevé CPA 2026'!$H$5:$H$875,$A15,'Relevé CPA 2026'!$G$5:$G$875,"2026-03")-SUMIFS('Relevé CPA 2026'!$E$5:$E$875,'Relevé CPA 2026'!$H$5:$H$875,$A15,'Relevé CPA 2026'!$G$5:$G$875,"2026-03")</f>
        <v/>
      </c>
      <c r="H15" s="30">
        <f>SUMIFS('Relevé CPA 2026'!$D$5:$D$875,'Relevé CPA 2026'!$H$5:$H$875,$A15,'Relevé CPA 2026'!$G$5:$G$875,"2026-04")-SUMIFS('Relevé CPA 2026'!$E$5:$E$875,'Relevé CPA 2026'!$H$5:$H$875,$A15,'Relevé CPA 2026'!$G$5:$G$875,"2026-04")</f>
        <v/>
      </c>
      <c r="I15" s="30">
        <f>SUMIFS('Relevé CPA 2026'!$D$5:$D$875,'Relevé CPA 2026'!$H$5:$H$875,$A15,'Relevé CPA 2026'!$G$5:$G$875,"2026-05")-SUMIFS('Relevé CPA 2026'!$E$5:$E$875,'Relevé CPA 2026'!$H$5:$H$875,$A15,'Relevé CPA 2026'!$G$5:$G$875,"2026-05")</f>
        <v/>
      </c>
      <c r="J15" s="30">
        <f>SUMIFS('Relevé CPA 2026'!$D$5:$D$875,'Relevé CPA 2026'!$H$5:$H$875,$A15,'Relevé CPA 2026'!$G$5:$G$875,"2026-06")-SUMIFS('Relevé CPA 2026'!$E$5:$E$875,'Relevé CPA 2026'!$H$5:$H$875,$A15,'Relevé CPA 2026'!$G$5:$G$875,"2026-06")</f>
        <v/>
      </c>
      <c r="K15" s="30">
        <f>SUMIFS('Relevé CPA 2026'!$D$5:$D$875,'Relevé CPA 2026'!$H$5:$H$875,$A15,'Relevé CPA 2026'!$G$5:$G$875,"2026-07")-SUMIFS('Relevé CPA 2026'!$E$5:$E$875,'Relevé CPA 2026'!$H$5:$H$875,$A15,'Relevé CPA 2026'!$G$5:$G$875,"2026-07")</f>
        <v/>
      </c>
      <c r="L15" s="30">
        <f>SUMIFS('Relevé CPA 2026'!$D$5:$D$875,'Relevé CPA 2026'!$H$5:$H$875,$A15,'Relevé CPA 2026'!$G$5:$G$875,"2026-08")-SUMIFS('Relevé CPA 2026'!$E$5:$E$875,'Relevé CPA 2026'!$H$5:$H$875,$A15,'Relevé CPA 2026'!$G$5:$G$875,"2026-08")</f>
        <v/>
      </c>
      <c r="M15" s="30">
        <f>SUMIFS('Relevé CPA 2026'!$D$5:$D$875,'Relevé CPA 2026'!$H$5:$H$875,$A15,'Relevé CPA 2026'!$G$5:$G$875,"2026-09")-SUMIFS('Relevé CPA 2026'!$E$5:$E$875,'Relevé CPA 2026'!$H$5:$H$875,$A15,'Relevé CPA 2026'!$G$5:$G$875,"2026-09")</f>
        <v/>
      </c>
      <c r="N15" s="30">
        <f>SUMIFS('Relevé CPA 2026'!$D$5:$D$875,'Relevé CPA 2026'!$H$5:$H$875,$A15,'Relevé CPA 2026'!$G$5:$G$875,"2026-10")-SUMIFS('Relevé CPA 2026'!$E$5:$E$875,'Relevé CPA 2026'!$H$5:$H$875,$A15,'Relevé CPA 2026'!$G$5:$G$875,"2026-10")</f>
        <v/>
      </c>
      <c r="O15" s="7">
        <f>SUM(B15:N15)</f>
        <v/>
      </c>
      <c r="P15" s="21" t="inlineStr"/>
    </row>
    <row r="16">
      <c r="A16" s="12" t="inlineStr">
        <is>
          <t>Cautions et mains levées</t>
        </is>
      </c>
      <c r="B16" s="30">
        <f>SUMIFS('Relevé CPA 2026'!$D$5:$D$875,'Relevé CPA 2026'!$H$5:$H$875,$A16,'Relevé CPA 2026'!$G$5:$G$875,"2025-10")-SUMIFS('Relevé CPA 2026'!$E$5:$E$875,'Relevé CPA 2026'!$H$5:$H$875,$A16,'Relevé CPA 2026'!$G$5:$G$875,"2025-10")</f>
        <v/>
      </c>
      <c r="C16" s="30">
        <f>SUMIFS('Relevé CPA 2026'!$D$5:$D$875,'Relevé CPA 2026'!$H$5:$H$875,$A16,'Relevé CPA 2026'!$G$5:$G$875,"2025-11")-SUMIFS('Relevé CPA 2026'!$E$5:$E$875,'Relevé CPA 2026'!$H$5:$H$875,$A16,'Relevé CPA 2026'!$G$5:$G$875,"2025-11")</f>
        <v/>
      </c>
      <c r="D16" s="30">
        <f>SUMIFS('Relevé CPA 2026'!$D$5:$D$875,'Relevé CPA 2026'!$H$5:$H$875,$A16,'Relevé CPA 2026'!$G$5:$G$875,"2025-12")-SUMIFS('Relevé CPA 2026'!$E$5:$E$875,'Relevé CPA 2026'!$H$5:$H$875,$A16,'Relevé CPA 2026'!$G$5:$G$875,"2025-12")</f>
        <v/>
      </c>
      <c r="E16" s="30">
        <f>SUMIFS('Relevé CPA 2026'!$D$5:$D$875,'Relevé CPA 2026'!$H$5:$H$875,$A16,'Relevé CPA 2026'!$G$5:$G$875,"2026-01")-SUMIFS('Relevé CPA 2026'!$E$5:$E$875,'Relevé CPA 2026'!$H$5:$H$875,$A16,'Relevé CPA 2026'!$G$5:$G$875,"2026-01")</f>
        <v/>
      </c>
      <c r="F16" s="30">
        <f>SUMIFS('Relevé CPA 2026'!$D$5:$D$875,'Relevé CPA 2026'!$H$5:$H$875,$A16,'Relevé CPA 2026'!$G$5:$G$875,"2026-02")-SUMIFS('Relevé CPA 2026'!$E$5:$E$875,'Relevé CPA 2026'!$H$5:$H$875,$A16,'Relevé CPA 2026'!$G$5:$G$875,"2026-02")</f>
        <v/>
      </c>
      <c r="G16" s="30">
        <f>SUMIFS('Relevé CPA 2026'!$D$5:$D$875,'Relevé CPA 2026'!$H$5:$H$875,$A16,'Relevé CPA 2026'!$G$5:$G$875,"2026-03")-SUMIFS('Relevé CPA 2026'!$E$5:$E$875,'Relevé CPA 2026'!$H$5:$H$875,$A16,'Relevé CPA 2026'!$G$5:$G$875,"2026-03")</f>
        <v/>
      </c>
      <c r="H16" s="30">
        <f>SUMIFS('Relevé CPA 2026'!$D$5:$D$875,'Relevé CPA 2026'!$H$5:$H$875,$A16,'Relevé CPA 2026'!$G$5:$G$875,"2026-04")-SUMIFS('Relevé CPA 2026'!$E$5:$E$875,'Relevé CPA 2026'!$H$5:$H$875,$A16,'Relevé CPA 2026'!$G$5:$G$875,"2026-04")</f>
        <v/>
      </c>
      <c r="I16" s="30">
        <f>SUMIFS('Relevé CPA 2026'!$D$5:$D$875,'Relevé CPA 2026'!$H$5:$H$875,$A16,'Relevé CPA 2026'!$G$5:$G$875,"2026-05")-SUMIFS('Relevé CPA 2026'!$E$5:$E$875,'Relevé CPA 2026'!$H$5:$H$875,$A16,'Relevé CPA 2026'!$G$5:$G$875,"2026-05")</f>
        <v/>
      </c>
      <c r="J16" s="30">
        <f>SUMIFS('Relevé CPA 2026'!$D$5:$D$875,'Relevé CPA 2026'!$H$5:$H$875,$A16,'Relevé CPA 2026'!$G$5:$G$875,"2026-06")-SUMIFS('Relevé CPA 2026'!$E$5:$E$875,'Relevé CPA 2026'!$H$5:$H$875,$A16,'Relevé CPA 2026'!$G$5:$G$875,"2026-06")</f>
        <v/>
      </c>
      <c r="K16" s="30">
        <f>SUMIFS('Relevé CPA 2026'!$D$5:$D$875,'Relevé CPA 2026'!$H$5:$H$875,$A16,'Relevé CPA 2026'!$G$5:$G$875,"2026-07")-SUMIFS('Relevé CPA 2026'!$E$5:$E$875,'Relevé CPA 2026'!$H$5:$H$875,$A16,'Relevé CPA 2026'!$G$5:$G$875,"2026-07")</f>
        <v/>
      </c>
      <c r="L16" s="30">
        <f>SUMIFS('Relevé CPA 2026'!$D$5:$D$875,'Relevé CPA 2026'!$H$5:$H$875,$A16,'Relevé CPA 2026'!$G$5:$G$875,"2026-08")-SUMIFS('Relevé CPA 2026'!$E$5:$E$875,'Relevé CPA 2026'!$H$5:$H$875,$A16,'Relevé CPA 2026'!$G$5:$G$875,"2026-08")</f>
        <v/>
      </c>
      <c r="M16" s="30">
        <f>SUMIFS('Relevé CPA 2026'!$D$5:$D$875,'Relevé CPA 2026'!$H$5:$H$875,$A16,'Relevé CPA 2026'!$G$5:$G$875,"2026-09")-SUMIFS('Relevé CPA 2026'!$E$5:$E$875,'Relevé CPA 2026'!$H$5:$H$875,$A16,'Relevé CPA 2026'!$G$5:$G$875,"2026-09")</f>
        <v/>
      </c>
      <c r="N16" s="30">
        <f>SUMIFS('Relevé CPA 2026'!$D$5:$D$875,'Relevé CPA 2026'!$H$5:$H$875,$A16,'Relevé CPA 2026'!$G$5:$G$875,"2026-10")-SUMIFS('Relevé CPA 2026'!$E$5:$E$875,'Relevé CPA 2026'!$H$5:$H$875,$A16,'Relevé CPA 2026'!$G$5:$G$875,"2026-10")</f>
        <v/>
      </c>
      <c r="O16" s="7">
        <f>SUM(B16:N16)</f>
        <v/>
      </c>
      <c r="P16" s="21" t="inlineStr"/>
    </row>
    <row r="17">
      <c r="A17" s="12" t="inlineStr">
        <is>
          <t>Agios, commissions et frais</t>
        </is>
      </c>
      <c r="B17" s="30">
        <f>SUMIFS('Relevé CPA 2026'!$D$5:$D$875,'Relevé CPA 2026'!$H$5:$H$875,$A17,'Relevé CPA 2026'!$G$5:$G$875,"2025-10")-SUMIFS('Relevé CPA 2026'!$E$5:$E$875,'Relevé CPA 2026'!$H$5:$H$875,$A17,'Relevé CPA 2026'!$G$5:$G$875,"2025-10")</f>
        <v/>
      </c>
      <c r="C17" s="30">
        <f>SUMIFS('Relevé CPA 2026'!$D$5:$D$875,'Relevé CPA 2026'!$H$5:$H$875,$A17,'Relevé CPA 2026'!$G$5:$G$875,"2025-11")-SUMIFS('Relevé CPA 2026'!$E$5:$E$875,'Relevé CPA 2026'!$H$5:$H$875,$A17,'Relevé CPA 2026'!$G$5:$G$875,"2025-11")</f>
        <v/>
      </c>
      <c r="D17" s="30">
        <f>SUMIFS('Relevé CPA 2026'!$D$5:$D$875,'Relevé CPA 2026'!$H$5:$H$875,$A17,'Relevé CPA 2026'!$G$5:$G$875,"2025-12")-SUMIFS('Relevé CPA 2026'!$E$5:$E$875,'Relevé CPA 2026'!$H$5:$H$875,$A17,'Relevé CPA 2026'!$G$5:$G$875,"2025-12")</f>
        <v/>
      </c>
      <c r="E17" s="30">
        <f>SUMIFS('Relevé CPA 2026'!$D$5:$D$875,'Relevé CPA 2026'!$H$5:$H$875,$A17,'Relevé CPA 2026'!$G$5:$G$875,"2026-01")-SUMIFS('Relevé CPA 2026'!$E$5:$E$875,'Relevé CPA 2026'!$H$5:$H$875,$A17,'Relevé CPA 2026'!$G$5:$G$875,"2026-01")</f>
        <v/>
      </c>
      <c r="F17" s="30">
        <f>SUMIFS('Relevé CPA 2026'!$D$5:$D$875,'Relevé CPA 2026'!$H$5:$H$875,$A17,'Relevé CPA 2026'!$G$5:$G$875,"2026-02")-SUMIFS('Relevé CPA 2026'!$E$5:$E$875,'Relevé CPA 2026'!$H$5:$H$875,$A17,'Relevé CPA 2026'!$G$5:$G$875,"2026-02")</f>
        <v/>
      </c>
      <c r="G17" s="30">
        <f>SUMIFS('Relevé CPA 2026'!$D$5:$D$875,'Relevé CPA 2026'!$H$5:$H$875,$A17,'Relevé CPA 2026'!$G$5:$G$875,"2026-03")-SUMIFS('Relevé CPA 2026'!$E$5:$E$875,'Relevé CPA 2026'!$H$5:$H$875,$A17,'Relevé CPA 2026'!$G$5:$G$875,"2026-03")</f>
        <v/>
      </c>
      <c r="H17" s="30">
        <f>SUMIFS('Relevé CPA 2026'!$D$5:$D$875,'Relevé CPA 2026'!$H$5:$H$875,$A17,'Relevé CPA 2026'!$G$5:$G$875,"2026-04")-SUMIFS('Relevé CPA 2026'!$E$5:$E$875,'Relevé CPA 2026'!$H$5:$H$875,$A17,'Relevé CPA 2026'!$G$5:$G$875,"2026-04")</f>
        <v/>
      </c>
      <c r="I17" s="30">
        <f>SUMIFS('Relevé CPA 2026'!$D$5:$D$875,'Relevé CPA 2026'!$H$5:$H$875,$A17,'Relevé CPA 2026'!$G$5:$G$875,"2026-05")-SUMIFS('Relevé CPA 2026'!$E$5:$E$875,'Relevé CPA 2026'!$H$5:$H$875,$A17,'Relevé CPA 2026'!$G$5:$G$875,"2026-05")</f>
        <v/>
      </c>
      <c r="J17" s="30">
        <f>SUMIFS('Relevé CPA 2026'!$D$5:$D$875,'Relevé CPA 2026'!$H$5:$H$875,$A17,'Relevé CPA 2026'!$G$5:$G$875,"2026-06")-SUMIFS('Relevé CPA 2026'!$E$5:$E$875,'Relevé CPA 2026'!$H$5:$H$875,$A17,'Relevé CPA 2026'!$G$5:$G$875,"2026-06")</f>
        <v/>
      </c>
      <c r="K17" s="30">
        <f>SUMIFS('Relevé CPA 2026'!$D$5:$D$875,'Relevé CPA 2026'!$H$5:$H$875,$A17,'Relevé CPA 2026'!$G$5:$G$875,"2026-07")-SUMIFS('Relevé CPA 2026'!$E$5:$E$875,'Relevé CPA 2026'!$H$5:$H$875,$A17,'Relevé CPA 2026'!$G$5:$G$875,"2026-07")</f>
        <v/>
      </c>
      <c r="L17" s="30">
        <f>SUMIFS('Relevé CPA 2026'!$D$5:$D$875,'Relevé CPA 2026'!$H$5:$H$875,$A17,'Relevé CPA 2026'!$G$5:$G$875,"2026-08")-SUMIFS('Relevé CPA 2026'!$E$5:$E$875,'Relevé CPA 2026'!$H$5:$H$875,$A17,'Relevé CPA 2026'!$G$5:$G$875,"2026-08")</f>
        <v/>
      </c>
      <c r="M17" s="30">
        <f>SUMIFS('Relevé CPA 2026'!$D$5:$D$875,'Relevé CPA 2026'!$H$5:$H$875,$A17,'Relevé CPA 2026'!$G$5:$G$875,"2026-09")-SUMIFS('Relevé CPA 2026'!$E$5:$E$875,'Relevé CPA 2026'!$H$5:$H$875,$A17,'Relevé CPA 2026'!$G$5:$G$875,"2026-09")</f>
        <v/>
      </c>
      <c r="N17" s="30">
        <f>SUMIFS('Relevé CPA 2026'!$D$5:$D$875,'Relevé CPA 2026'!$H$5:$H$875,$A17,'Relevé CPA 2026'!$G$5:$G$875,"2026-10")-SUMIFS('Relevé CPA 2026'!$E$5:$E$875,'Relevé CPA 2026'!$H$5:$H$875,$A17,'Relevé CPA 2026'!$G$5:$G$875,"2026-10")</f>
        <v/>
      </c>
      <c r="O17" s="7">
        <f>SUM(B17:N17)</f>
        <v/>
      </c>
      <c r="P17" s="21" t="inlineStr">
        <is>
          <t>Dont intérêts débiteurs</t>
        </is>
      </c>
    </row>
    <row r="18">
      <c r="A18" s="4" t="inlineStr">
        <is>
          <t>Variation nette (sorties − entrées)</t>
        </is>
      </c>
      <c r="B18" s="7">
        <f>SUM(B5:B17)</f>
        <v/>
      </c>
      <c r="C18" s="7">
        <f>SUM(C5:C17)</f>
        <v/>
      </c>
      <c r="D18" s="7">
        <f>SUM(D5:D17)</f>
        <v/>
      </c>
      <c r="E18" s="7">
        <f>SUM(E5:E17)</f>
        <v/>
      </c>
      <c r="F18" s="7">
        <f>SUM(F5:F17)</f>
        <v/>
      </c>
      <c r="G18" s="7">
        <f>SUM(G5:G17)</f>
        <v/>
      </c>
      <c r="H18" s="7">
        <f>SUM(H5:H17)</f>
        <v/>
      </c>
      <c r="I18" s="7">
        <f>SUM(I5:I17)</f>
        <v/>
      </c>
      <c r="J18" s="7">
        <f>SUM(J5:J17)</f>
        <v/>
      </c>
      <c r="K18" s="7">
        <f>SUM(K5:K17)</f>
        <v/>
      </c>
      <c r="L18" s="7">
        <f>SUM(L5:L17)</f>
        <v/>
      </c>
      <c r="M18" s="7">
        <f>SUM(M5:M17)</f>
        <v/>
      </c>
      <c r="N18" s="7">
        <f>SUM(N5:N17)</f>
        <v/>
      </c>
      <c r="O18" s="7">
        <f>SUM(O5:O17)</f>
        <v/>
      </c>
    </row>
    <row r="19">
      <c r="A19" s="4" t="inlineStr">
        <is>
          <t>Solde banque en fin de mois</t>
        </is>
      </c>
      <c r="B19" s="30">
        <f>('Relevé CPA 2026'!$F$5+'Relevé CPA 2026'!$D$5-'Relevé CPA 2026'!$E$5)-B18</f>
        <v/>
      </c>
      <c r="C19" s="30">
        <f>B19-C18</f>
        <v/>
      </c>
      <c r="D19" s="30">
        <f>C19-D18</f>
        <v/>
      </c>
      <c r="E19" s="30">
        <f>D19-E18</f>
        <v/>
      </c>
      <c r="F19" s="30">
        <f>E19-F18</f>
        <v/>
      </c>
      <c r="G19" s="30">
        <f>F19-G18</f>
        <v/>
      </c>
      <c r="H19" s="30">
        <f>G19-H18</f>
        <v/>
      </c>
      <c r="I19" s="30">
        <f>H19-I18</f>
        <v/>
      </c>
      <c r="J19" s="30">
        <f>I19-J18</f>
        <v/>
      </c>
      <c r="K19" s="30">
        <f>J19-K18</f>
        <v/>
      </c>
      <c r="L19" s="30">
        <f>K19-L18</f>
        <v/>
      </c>
      <c r="M19" s="30">
        <f>L19-M18</f>
        <v/>
      </c>
      <c r="N19" s="30">
        <f>M19-N18</f>
        <v/>
      </c>
    </row>
    <row r="20">
      <c r="A20" s="4" t="inlineStr">
        <is>
          <t>Découvert le plus élevé de la période</t>
        </is>
      </c>
      <c r="B20" s="39">
        <f>MIN('Relevé CPA 2026'!F5:F875)</f>
        <v/>
      </c>
    </row>
    <row r="21">
      <c r="A21" s="12" t="inlineStr">
        <is>
          <t>DPR AXXAM : sorties brutes / entrées brutes sur la période</t>
        </is>
      </c>
      <c r="B21" s="30">
        <f>SUMIFS('Relevé CPA 2026'!D5:D875,'Relevé CPA 2026'!H5:H875,"DPR AXXAM (partie liée)")</f>
        <v/>
      </c>
      <c r="C21" s="30">
        <f>SUMIFS('Relevé CPA 2026'!E5:E875,'Relevé CPA 2026'!H5:H875,"DPR AXXAM (partie liée)")</f>
        <v/>
      </c>
    </row>
    <row r="23">
      <c r="A23" s="4" t="inlineStr">
        <is>
          <t>Preuves de paiement retrouvées sur le relevé (chèques débités)</t>
        </is>
      </c>
    </row>
    <row r="24">
      <c r="A24" s="11" t="inlineStr">
        <is>
          <t>Déclaration</t>
        </is>
      </c>
      <c r="B24" s="11" t="inlineStr">
        <is>
          <t>Montant déclaré</t>
        </is>
      </c>
      <c r="C24" s="11" t="inlineStr">
        <is>
          <t>Montant débité</t>
        </is>
      </c>
      <c r="D24" s="11" t="inlineStr">
        <is>
          <t>Écart</t>
        </is>
      </c>
      <c r="E24" s="11" t="inlineStr">
        <is>
          <t>Échéance légale</t>
        </is>
      </c>
      <c r="F24" s="11" t="inlineStr">
        <is>
          <t>Date de débit</t>
        </is>
      </c>
      <c r="G24" s="11" t="inlineStr">
        <is>
          <t>Jours après échéance</t>
        </is>
      </c>
      <c r="H24" s="11" t="inlineStr">
        <is>
          <t>Libellé bancaire</t>
        </is>
      </c>
    </row>
    <row r="25">
      <c r="A25" s="12" t="inlineStr">
        <is>
          <t>G50 IMPORT novembre 2025</t>
        </is>
      </c>
      <c r="B25" s="25" t="n">
        <v>2513318</v>
      </c>
      <c r="C25" s="25" t="n">
        <v>2513318</v>
      </c>
      <c r="D25" s="30">
        <f>IF(C25="","",C25-B25)</f>
        <v/>
      </c>
      <c r="E25" s="47">
        <f>DATE(2025,12,20)</f>
        <v/>
      </c>
      <c r="F25" s="47">
        <f>DATE(2025,12,28)</f>
        <v/>
      </c>
      <c r="G25" s="13">
        <f>IF(F25="","",F25-E25)</f>
        <v/>
      </c>
      <c r="H25" s="21" t="inlineStr">
        <is>
          <t>PAIEMENT CHQ NUM  2125726</t>
        </is>
      </c>
    </row>
    <row r="26">
      <c r="A26" s="12" t="inlineStr">
        <is>
          <t>G50 IMPORT janvier 2026</t>
        </is>
      </c>
      <c r="B26" s="6">
        <f>'G50 2026'!B27</f>
        <v/>
      </c>
      <c r="C26" s="25" t="n">
        <v>1291220</v>
      </c>
      <c r="D26" s="30">
        <f>IF(C26="","",C26-B26)</f>
        <v/>
      </c>
      <c r="E26" s="47">
        <f>DATE(2026,2,20)</f>
        <v/>
      </c>
      <c r="F26" s="47">
        <f>DATE(2026,3,30)</f>
        <v/>
      </c>
      <c r="G26" s="13">
        <f>IF(F26="","",F26-E26)</f>
        <v/>
      </c>
      <c r="H26" s="21" t="inlineStr">
        <is>
          <t>PAIEMENT CHQ NUM  2125734</t>
        </is>
      </c>
    </row>
    <row r="27">
      <c r="A27" s="12" t="inlineStr">
        <is>
          <t>G50 IMPORT février 2026</t>
        </is>
      </c>
      <c r="B27" s="6">
        <f>'G50 2026'!C27</f>
        <v/>
      </c>
      <c r="C27" s="25" t="n">
        <v>3392786</v>
      </c>
      <c r="D27" s="30">
        <f>IF(C27="","",C27-B27)</f>
        <v/>
      </c>
      <c r="E27" s="47">
        <f>DATE(2026,3,20)</f>
        <v/>
      </c>
      <c r="F27" s="47">
        <f>DATE(2026,4,7)</f>
        <v/>
      </c>
      <c r="G27" s="13">
        <f>IF(F27="","",F27-E27)</f>
        <v/>
      </c>
      <c r="H27" s="21" t="inlineStr">
        <is>
          <t>PAIEMENT CHQ NUM  2125739</t>
        </is>
      </c>
    </row>
    <row r="28">
      <c r="A28" s="12" t="inlineStr">
        <is>
          <t>G50 IMPORT mars 2026</t>
        </is>
      </c>
      <c r="B28" s="6">
        <f>'G50 2026'!D27</f>
        <v/>
      </c>
      <c r="C28" s="25" t="n">
        <v>715520</v>
      </c>
      <c r="D28" s="30">
        <f>IF(C28="","",C28-B28)</f>
        <v/>
      </c>
      <c r="E28" s="47">
        <f>DATE(2026,4,20)</f>
        <v/>
      </c>
      <c r="F28" s="47">
        <f>DATE(2026,4,30)</f>
        <v/>
      </c>
      <c r="G28" s="13">
        <f>IF(F28="","",F28-E28)</f>
        <v/>
      </c>
      <c r="H28" s="21" t="inlineStr">
        <is>
          <t>PAIEMENT CHQ NUM  2125742</t>
        </is>
      </c>
    </row>
    <row r="29">
      <c r="A29" s="12" t="inlineStr">
        <is>
          <t>G50 IMPORT avril 2026</t>
        </is>
      </c>
      <c r="B29" s="6">
        <f>'G50 2026'!E27</f>
        <v/>
      </c>
      <c r="C29" s="25" t="n">
        <v>719735</v>
      </c>
      <c r="D29" s="30">
        <f>IF(C29="","",C29-B29)</f>
        <v/>
      </c>
      <c r="E29" s="47">
        <f>DATE(2026,5,20)</f>
        <v/>
      </c>
      <c r="F29" s="47">
        <f>DATE(2026,6,2)</f>
        <v/>
      </c>
      <c r="G29" s="13">
        <f>IF(F29="","",F29-E29)</f>
        <v/>
      </c>
      <c r="H29" s="21" t="inlineStr">
        <is>
          <t>PAIEMENT CHQ NUM  2125755</t>
        </is>
      </c>
    </row>
    <row r="30">
      <c r="A30" s="12" t="inlineStr">
        <is>
          <t>G50 IMPORT mai 2026</t>
        </is>
      </c>
      <c r="B30" s="6">
        <f>'G50 2026'!F27</f>
        <v/>
      </c>
      <c r="C30" s="25" t="n"/>
      <c r="D30" s="30">
        <f>IF(C30="","",C30-B30)</f>
        <v/>
      </c>
      <c r="E30" s="47">
        <f>DATE(2026,6,20)</f>
        <v/>
      </c>
      <c r="F30" s="47" t="n"/>
      <c r="G30" s="13">
        <f>IF(F30="","",F30-E30)</f>
        <v/>
      </c>
      <c r="H30" s="21" t="inlineStr">
        <is>
          <t>Non trouvé : payé depuis un autre compte ou non payé</t>
        </is>
      </c>
    </row>
    <row r="31">
      <c r="A31" s="12" t="inlineStr">
        <is>
          <t>G50 IMPORT juin 2026</t>
        </is>
      </c>
      <c r="B31" s="6">
        <f>'G50 2026'!G27</f>
        <v/>
      </c>
      <c r="C31" s="25" t="n">
        <v>59018</v>
      </c>
      <c r="D31" s="30">
        <f>IF(C31="","",C31-B31)</f>
        <v/>
      </c>
      <c r="E31" s="47">
        <f>DATE(2026,7,20)</f>
        <v/>
      </c>
      <c r="F31" s="47">
        <f>DATE(2026,8,5)</f>
        <v/>
      </c>
      <c r="G31" s="13">
        <f>IF(F31="","",F31-E31)</f>
        <v/>
      </c>
      <c r="H31" s="21" t="inlineStr">
        <is>
          <t>PAIEMENT CHQ NUM  2125766</t>
        </is>
      </c>
    </row>
    <row r="32">
      <c r="A32" s="12" t="inlineStr">
        <is>
          <t>G50 IMPORT juillet 2026</t>
        </is>
      </c>
      <c r="B32" s="6">
        <f>'G50 2026'!H27</f>
        <v/>
      </c>
      <c r="C32" s="25" t="n">
        <v>1309043</v>
      </c>
      <c r="D32" s="30">
        <f>IF(C32="","",C32-B32)</f>
        <v/>
      </c>
      <c r="E32" s="47">
        <f>DATE(2026,8,20)</f>
        <v/>
      </c>
      <c r="F32" s="47">
        <f>DATE(2026,10,1)</f>
        <v/>
      </c>
      <c r="G32" s="13">
        <f>IF(F32="","",F32-E32)</f>
        <v/>
      </c>
      <c r="H32" s="21" t="inlineStr">
        <is>
          <t>PAIEMENT CHQ NUM  2125768</t>
        </is>
      </c>
    </row>
    <row r="33">
      <c r="A33" s="12" t="inlineStr">
        <is>
          <t>G50 IMPORT août 2026</t>
        </is>
      </c>
      <c r="B33" s="6">
        <f>'G50 2026'!I27</f>
        <v/>
      </c>
      <c r="C33" s="25" t="n">
        <v>932361</v>
      </c>
      <c r="D33" s="30">
        <f>IF(C33="","",C33-B33)</f>
        <v/>
      </c>
      <c r="E33" s="47">
        <f>DATE(2026,9,20)</f>
        <v/>
      </c>
      <c r="F33" s="47">
        <f>DATE(2026,9,28)</f>
        <v/>
      </c>
      <c r="G33" s="13">
        <f>IF(F33="","",F33-E33)</f>
        <v/>
      </c>
      <c r="H33" s="21" t="inlineStr">
        <is>
          <t>PAIEMENT CHQ NUM  2125772</t>
        </is>
      </c>
    </row>
    <row r="34">
      <c r="A34" s="12" t="inlineStr">
        <is>
          <t>CNAS IMPORT janvier 2026</t>
        </is>
      </c>
      <c r="B34" s="6">
        <f>'Rappro CNAS'!K5</f>
        <v/>
      </c>
      <c r="C34" s="25" t="n">
        <v>286426.62</v>
      </c>
      <c r="D34" s="30">
        <f>IF(C34="","",C34-B34)</f>
        <v/>
      </c>
      <c r="E34" s="47">
        <f>DATE(2026,2,28)</f>
        <v/>
      </c>
      <c r="F34" s="47">
        <f>DATE(2026,3,4)</f>
        <v/>
      </c>
      <c r="G34" s="13">
        <f>IF(F34="","",F34-E34)</f>
        <v/>
      </c>
      <c r="H34" s="21" t="inlineStr">
        <is>
          <t>PAIEMENT CHQ NUM  2125736</t>
        </is>
      </c>
    </row>
    <row r="35">
      <c r="A35" s="12" t="inlineStr">
        <is>
          <t>CNAS IMPORT février 2026 (déclaration non fournie)</t>
        </is>
      </c>
      <c r="B35" s="6">
        <f>'Rappro CNAS'!J6</f>
        <v/>
      </c>
      <c r="C35" s="25" t="n">
        <v>333366.53</v>
      </c>
      <c r="D35" s="30">
        <f>IF(C35="","",C35-B35)</f>
        <v/>
      </c>
      <c r="E35" s="47">
        <f>DATE(2026,3,31)</f>
        <v/>
      </c>
      <c r="F35" s="47">
        <f>DATE(2026,4,6)</f>
        <v/>
      </c>
      <c r="G35" s="13">
        <f>IF(F35="","",F35-E35)</f>
        <v/>
      </c>
      <c r="H35" s="21" t="inlineStr">
        <is>
          <t>PAIEMENT CHQ NUM  2125751</t>
        </is>
      </c>
    </row>
    <row r="36">
      <c r="A36" s="12" t="inlineStr">
        <is>
          <t>CNAS IMPORT mars 2026</t>
        </is>
      </c>
      <c r="B36" s="6">
        <f>'Rappro CNAS'!K7</f>
        <v/>
      </c>
      <c r="C36" s="25" t="n">
        <v>128936.48</v>
      </c>
      <c r="D36" s="30">
        <f>IF(C36="","",C36-B36)</f>
        <v/>
      </c>
      <c r="E36" s="47">
        <f>DATE(2026,4,30)</f>
        <v/>
      </c>
      <c r="F36" s="47">
        <f>DATE(2026,5,10)</f>
        <v/>
      </c>
      <c r="G36" s="13">
        <f>IF(F36="","",F36-E36)</f>
        <v/>
      </c>
      <c r="H36" s="21" t="inlineStr">
        <is>
          <t>PAIEMENT CHQ NUM  2125753</t>
        </is>
      </c>
    </row>
    <row r="37">
      <c r="A37" s="12" t="inlineStr">
        <is>
          <t>CNAS TPM T1 2026</t>
        </is>
      </c>
      <c r="B37" s="6">
        <f>'Rappro CNAS'!K10</f>
        <v/>
      </c>
      <c r="C37" s="25" t="n">
        <v>65629.8</v>
      </c>
      <c r="D37" s="30">
        <f>IF(C37="","",C37-B37)</f>
        <v/>
      </c>
      <c r="E37" s="47">
        <f>DATE(2026,4,30)</f>
        <v/>
      </c>
      <c r="F37" s="47">
        <f>DATE(2026,5,12)</f>
        <v/>
      </c>
      <c r="G37" s="13">
        <f>IF(F37="","",F37-E37)</f>
        <v/>
      </c>
      <c r="H37" s="21" t="inlineStr">
        <is>
          <t>PAIEMENT CHQ NUM  2125754</t>
        </is>
      </c>
    </row>
    <row r="38">
      <c r="A38" s="12" t="inlineStr">
        <is>
          <t>CNAS IMPORT T2 2026</t>
        </is>
      </c>
      <c r="B38" s="6">
        <f>'Rappro CNAS'!K8</f>
        <v/>
      </c>
      <c r="C38" s="25" t="n">
        <v>413136.41</v>
      </c>
      <c r="D38" s="30">
        <f>IF(C38="","",C38-B38)</f>
        <v/>
      </c>
      <c r="E38" s="47">
        <f>DATE(2026,7,30)</f>
        <v/>
      </c>
      <c r="F38" s="47">
        <f>DATE(2026,7,12)</f>
        <v/>
      </c>
      <c r="G38" s="13">
        <f>IF(F38="","",F38-E38)</f>
        <v/>
      </c>
      <c r="H38" s="21" t="inlineStr">
        <is>
          <t>PAIEMENT CHQ NUM  2125758</t>
        </is>
      </c>
    </row>
    <row r="39">
      <c r="A39" s="12" t="inlineStr">
        <is>
          <t>CNAS TPM T2 2026</t>
        </is>
      </c>
      <c r="B39" s="6">
        <f>'Rappro CNAS'!K11</f>
        <v/>
      </c>
      <c r="C39" s="25" t="n">
        <v>109142.97</v>
      </c>
      <c r="D39" s="30">
        <f>IF(C39="","",C39-B39)</f>
        <v/>
      </c>
      <c r="E39" s="47">
        <f>DATE(2026,7,30)</f>
        <v/>
      </c>
      <c r="F39" s="47">
        <f>DATE(2026,8,8)</f>
        <v/>
      </c>
      <c r="G39" s="13">
        <f>IF(F39="","",F39-E39)</f>
        <v/>
      </c>
      <c r="H39" s="21" t="inlineStr">
        <is>
          <t>PAIEMENT CHQ NUM  2125763</t>
        </is>
      </c>
    </row>
    <row r="40">
      <c r="A40" s="21" t="inlineStr">
        <is>
          <t>La date de débit d'un chèque peut être postérieure à son dépôt : rapprocher des quittances de la recette et des reçus CNAS pour établir un éventuel retard. G50 TPM et G50 IMPORT de mai : aucun paiement sur ce compte.</t>
        </is>
      </c>
    </row>
    <row r="42">
      <c r="A42" s="4" t="inlineStr">
        <is>
          <t>Encaissements clients du mois et CA déclaré sur les G50 IMPORT (TTC)</t>
        </is>
      </c>
    </row>
    <row r="43">
      <c r="A43" s="11" t="inlineStr">
        <is>
          <t>Rubrique</t>
        </is>
      </c>
      <c r="B43" s="11" t="inlineStr">
        <is>
          <t>Janv.</t>
        </is>
      </c>
      <c r="C43" s="11" t="inlineStr">
        <is>
          <t>Févr.</t>
        </is>
      </c>
      <c r="D43" s="11" t="inlineStr">
        <is>
          <t>Mars</t>
        </is>
      </c>
      <c r="E43" s="11" t="inlineStr">
        <is>
          <t>Avr.</t>
        </is>
      </c>
      <c r="F43" s="11" t="inlineStr">
        <is>
          <t>Mai</t>
        </is>
      </c>
      <c r="G43" s="11" t="inlineStr">
        <is>
          <t>Juin</t>
        </is>
      </c>
      <c r="H43" s="11" t="inlineStr">
        <is>
          <t>Juil.</t>
        </is>
      </c>
      <c r="I43" s="11" t="inlineStr">
        <is>
          <t>Août</t>
        </is>
      </c>
      <c r="J43" s="11" t="inlineStr">
        <is>
          <t>Total</t>
        </is>
      </c>
      <c r="K43" s="11" t="inlineStr">
        <is>
          <t>Commentaire</t>
        </is>
      </c>
    </row>
    <row r="44">
      <c r="A44" s="12" t="inlineStr">
        <is>
          <t>Encaissements clients nets sur ce compte</t>
        </is>
      </c>
      <c r="B44" s="30">
        <f>-(E5+E6)</f>
        <v/>
      </c>
      <c r="C44" s="30">
        <f>-(F5+F6)</f>
        <v/>
      </c>
      <c r="D44" s="30">
        <f>-(G5+G6)</f>
        <v/>
      </c>
      <c r="E44" s="30">
        <f>-(H5+H6)</f>
        <v/>
      </c>
      <c r="F44" s="30">
        <f>-(I5+I6)</f>
        <v/>
      </c>
      <c r="G44" s="30">
        <f>-(J5+J6)</f>
        <v/>
      </c>
      <c r="H44" s="30">
        <f>-(K5+K6)</f>
        <v/>
      </c>
      <c r="I44" s="30">
        <f>-(L5+L6)</f>
        <v/>
      </c>
      <c r="J44" s="7">
        <f>SUM(B44:I44)</f>
        <v/>
      </c>
    </row>
    <row r="45">
      <c r="A45" s="12" t="inlineStr">
        <is>
          <t>CA déclaré G50 × (1 + TVA)</t>
        </is>
      </c>
      <c r="B45" s="6">
        <f>ROUND('G50 2026'!B7*(1+'G50 2026'!$B$4),0)</f>
        <v/>
      </c>
      <c r="C45" s="6">
        <f>ROUND('G50 2026'!C7*(1+'G50 2026'!$B$4),0)</f>
        <v/>
      </c>
      <c r="D45" s="6">
        <f>ROUND('G50 2026'!D7*(1+'G50 2026'!$B$4),0)</f>
        <v/>
      </c>
      <c r="E45" s="6">
        <f>ROUND('G50 2026'!E7*(1+'G50 2026'!$B$4),0)</f>
        <v/>
      </c>
      <c r="F45" s="6">
        <f>ROUND('G50 2026'!F7*(1+'G50 2026'!$B$4),0)</f>
        <v/>
      </c>
      <c r="G45" s="6">
        <f>ROUND('G50 2026'!G7*(1+'G50 2026'!$B$4),0)</f>
        <v/>
      </c>
      <c r="H45" s="6">
        <f>ROUND('G50 2026'!H7*(1+'G50 2026'!$B$4),0)</f>
        <v/>
      </c>
      <c r="I45" s="6">
        <f>ROUND('G50 2026'!I7*(1+'G50 2026'!$B$4),0)</f>
        <v/>
      </c>
      <c r="J45" s="7">
        <f>SUM(B45:I45)</f>
        <v/>
      </c>
    </row>
    <row r="46">
      <c r="A46" s="12" t="inlineStr">
        <is>
          <t>Encaissements / CA déclaré TTC</t>
        </is>
      </c>
      <c r="B46" s="19">
        <f>IF(B45=0,"",B44/B45)</f>
        <v/>
      </c>
      <c r="C46" s="19">
        <f>IF(C45=0,"",C44/C45)</f>
        <v/>
      </c>
      <c r="D46" s="19">
        <f>IF(D45=0,"",D44/D45)</f>
        <v/>
      </c>
      <c r="E46" s="19">
        <f>IF(E45=0,"",E44/E45)</f>
        <v/>
      </c>
      <c r="F46" s="19">
        <f>IF(F45=0,"",F44/F45)</f>
        <v/>
      </c>
      <c r="G46" s="19">
        <f>IF(G45=0,"",G44/G45)</f>
        <v/>
      </c>
      <c r="H46" s="19">
        <f>IF(H45=0,"",H44/H45)</f>
        <v/>
      </c>
      <c r="I46" s="19">
        <f>IF(I45=0,"",I44/I45)</f>
        <v/>
      </c>
      <c r="J46" s="38">
        <f>J44/J45</f>
        <v/>
      </c>
      <c r="K46" s="21" t="inlineStr">
        <is>
          <t>Mars : encaissements très supérieurs au CA déclaré (A18)</t>
        </is>
      </c>
    </row>
    <row r="49">
      <c r="A49" s="4" t="inlineStr">
        <is>
          <t>Rapprochement au 31/12/2025 (compte 51220 « CPA AGENCE EL KSEUR »)</t>
        </is>
      </c>
    </row>
    <row r="50">
      <c r="A50" s="12" t="inlineStr">
        <is>
          <t>Solde banque au 31/12/2025</t>
        </is>
      </c>
      <c r="B50" s="6">
        <f>D19</f>
        <v/>
      </c>
    </row>
    <row r="51">
      <c r="A51" s="12" t="inlineStr">
        <is>
          <t>Solde comptable 51220 au 31/12/2025</t>
        </is>
      </c>
      <c r="B51" s="6">
        <f>'Balance 2024-2025'!D63</f>
        <v/>
      </c>
    </row>
    <row r="52">
      <c r="A52" s="4" t="inlineStr">
        <is>
          <t>Écart à expliquer (banque − comptabilité)</t>
        </is>
      </c>
      <c r="B52" s="39">
        <f>B50-B51</f>
        <v/>
      </c>
    </row>
    <row r="53">
      <c r="A53" s="12" t="inlineStr">
        <is>
          <t xml:space="preserve">  dont 13 opérations bancaires du 31/12/2025 non comptabilisées (net)</t>
        </is>
      </c>
      <c r="B53" s="6">
        <f>SUMIFS('Relevé CPA 2026'!E5:E875,'Relevé CPA 2026'!I5:I875,"Non comptabilisé en 2025")-SUMIFS('Relevé CPA 2026'!D5:D875,'Relevé CPA 2026'!I5:I875,"Non comptabilisé en 2025")</f>
        <v/>
      </c>
      <c r="C53" s="21" t="inlineStr">
        <is>
          <t>Dont versement d'espèces de 10 000 000 non sorti de la caisse (A22)</t>
        </is>
      </c>
    </row>
    <row r="54">
      <c r="A54" s="12" t="inlineStr">
        <is>
          <t xml:space="preserve">  dont écart antérieur au 05/10/2025 (avant le début du relevé)</t>
        </is>
      </c>
      <c r="B54" s="25" t="n">
        <v>179625.9</v>
      </c>
    </row>
    <row r="55">
      <c r="A55" s="4" t="inlineStr">
        <is>
          <t>Écart non expliqué (doit être 0)</t>
        </is>
      </c>
      <c r="B55" s="55">
        <f>ROUND(B52-B53-B54,2)</f>
        <v/>
      </c>
    </row>
    <row r="57">
      <c r="A57" s="4" t="inlineStr">
        <is>
          <t>Écritures de banque proposées (fichier ECRITURES_BANQUE_CPA_EL_KSEUR_2026.xlsx)</t>
        </is>
      </c>
    </row>
    <row r="58">
      <c r="A58" s="11" t="inlineStr">
        <is>
          <t>Niveau de confiance</t>
        </is>
      </c>
      <c r="B58" s="11" t="inlineStr">
        <is>
          <t>Pièces</t>
        </is>
      </c>
      <c r="C58" s="11" t="inlineStr">
        <is>
          <t>Montant banque</t>
        </is>
      </c>
    </row>
    <row r="59">
      <c r="A59" s="4" t="inlineStr">
        <is>
          <t>Certaine</t>
        </is>
      </c>
      <c r="B59" s="23" t="n">
        <v>62</v>
      </c>
      <c r="C59" s="25" t="n">
        <v>81384987.03</v>
      </c>
    </row>
    <row r="60">
      <c r="A60" s="4" t="inlineStr">
        <is>
          <t>Probable</t>
        </is>
      </c>
      <c r="B60" s="23" t="n">
        <v>401</v>
      </c>
      <c r="C60" s="25" t="n">
        <v>155937519.39</v>
      </c>
    </row>
    <row r="61">
      <c r="A61" s="4" t="inlineStr">
        <is>
          <t>Par analogie</t>
        </is>
      </c>
      <c r="B61" s="23" t="n">
        <v>16</v>
      </c>
      <c r="C61" s="25" t="n">
        <v>5945310</v>
      </c>
    </row>
    <row r="62">
      <c r="A62" s="40" t="inlineStr">
        <is>
          <t>À identifier</t>
        </is>
      </c>
      <c r="B62" s="23" t="n">
        <v>158</v>
      </c>
      <c r="C62" s="25" t="n">
        <v>117889004.44</v>
      </c>
    </row>
    <row r="63">
      <c r="A63" s="40" t="inlineStr">
        <is>
          <t>À justifier</t>
        </is>
      </c>
      <c r="B63" s="23" t="n">
        <v>16</v>
      </c>
      <c r="C63" s="25" t="n">
        <v>79450000</v>
      </c>
    </row>
  </sheetData>
  <conditionalFormatting sqref="G25:G39">
    <cfRule type="cellIs" priority="1" operator="greaterThan" dxfId="1">
      <formula>15</formula>
    </cfRule>
  </conditionalFormatting>
  <pageMargins left="0.75" right="0.75" top="1" bottom="1" header="0.5" footer="0.5"/>
  <pageSetup orientation="landscape" fitToHeight="0"/>
</worksheet>
</file>

<file path=xl/worksheets/sheet19.xml><?xml version="1.0" encoding="utf-8"?>
<worksheet xmlns="http://schemas.openxmlformats.org/spreadsheetml/2006/main">
  <sheetPr>
    <outlinePr summaryBelow="1" summaryRight="1"/>
    <pageSetUpPr fitToPage="1"/>
  </sheetPr>
  <dimension ref="A1:I57"/>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11" customWidth="1" min="3" max="3"/>
    <col width="13" customWidth="1" min="4" max="4"/>
    <col width="60" customWidth="1" min="5" max="5"/>
    <col width="16" customWidth="1" min="6" max="6"/>
    <col width="52" customWidth="1" min="7" max="7"/>
    <col width="14" customWidth="1" min="8" max="8"/>
    <col width="12" customWidth="1" min="9" max="9"/>
  </cols>
  <sheetData>
    <row r="1">
      <c r="A1" s="1" t="inlineStr">
        <is>
          <t>Anomalies relevées et plan d'actions</t>
        </is>
      </c>
    </row>
    <row r="2">
      <c r="A2" s="2" t="inlineStr">
        <is>
          <t>Priorité : 1 = critique (risque de redressement/pénalités), 2 = à corriger, 3 = à vérifier. Colonnes Responsable/Statut à compléter.</t>
        </is>
      </c>
    </row>
    <row r="4">
      <c r="A4" s="11" t="inlineStr">
        <is>
          <t>N°</t>
        </is>
      </c>
      <c r="B4" s="11" t="inlineStr">
        <is>
          <t>Priorité</t>
        </is>
      </c>
      <c r="C4" s="11" t="inlineStr">
        <is>
          <t>Établissement</t>
        </is>
      </c>
      <c r="D4" s="11" t="inlineStr">
        <is>
          <t>Domaine</t>
        </is>
      </c>
      <c r="E4" s="11" t="inlineStr">
        <is>
          <t>Constat</t>
        </is>
      </c>
      <c r="F4" s="11" t="inlineStr">
        <is>
          <t>Impact estimé (DA)</t>
        </is>
      </c>
      <c r="G4" s="11" t="inlineStr">
        <is>
          <t>Action recommandée</t>
        </is>
      </c>
      <c r="H4" s="11" t="inlineStr">
        <is>
          <t>Responsable</t>
        </is>
      </c>
      <c r="I4" s="11" t="inlineStr">
        <is>
          <t>Statut</t>
        </is>
      </c>
    </row>
    <row r="5" ht="52" customHeight="1">
      <c r="A5" s="4" t="inlineStr">
        <is>
          <t>A01</t>
        </is>
      </c>
      <c r="B5" s="56" t="n">
        <v>2</v>
      </c>
      <c r="C5" s="29" t="inlineStr">
        <is>
          <t>IMPORT</t>
        </is>
      </c>
      <c r="D5" s="29" t="inlineStr">
        <is>
          <t>CNAS</t>
        </is>
      </c>
      <c r="E5" s="29" t="inlineStr">
        <is>
          <t>Déclaration CNAS de février 2026 non fournie (assiette paie 952 475,81 ; 7 STC payés). Le relevé CPA montre un paiement de 333 366,53 le 06/04/2026, égal aux cotisations calculées : la déclaration a donc probablement été déposée.</t>
        </is>
      </c>
      <c r="F5" s="57">
        <f>'Rappro CNAS'!J6</f>
        <v/>
      </c>
      <c r="G5" s="29" t="inlineStr">
        <is>
          <t>Fournir la déclaration de février et l'EMS (7 sorties attendues).</t>
        </is>
      </c>
      <c r="H5" s="41" t="n"/>
      <c r="I5" s="41" t="inlineStr">
        <is>
          <t>Ouvert</t>
        </is>
      </c>
    </row>
    <row r="6" ht="52" customHeight="1">
      <c r="A6" s="4" t="inlineStr">
        <is>
          <t>A02</t>
        </is>
      </c>
      <c r="B6" s="58" t="n">
        <v>1</v>
      </c>
      <c r="C6" s="29" t="inlineStr">
        <is>
          <t>IMPORT</t>
        </is>
      </c>
      <c r="D6" s="29" t="inlineStr">
        <is>
          <t>Paie</t>
        </is>
      </c>
      <c r="E6" s="29" t="inlineStr">
        <is>
          <t>Centralisateur de mars 2026 absent (onglet vide) alors que la CNAS de mars déclare 368 389,93 d'assiette, 5 salariés.</t>
        </is>
      </c>
      <c r="F6" s="57">
        <f>'Rappro CNAS'!K7</f>
        <v/>
      </c>
      <c r="G6" s="29" t="inlineStr">
        <is>
          <t>Obtenir le livre de paie de mars et le saisir dans « Paie IMPORT » col. E ; comptabiliser la paie de mars.</t>
        </is>
      </c>
      <c r="H6" s="41" t="n"/>
      <c r="I6" s="41" t="inlineStr">
        <is>
          <t>Ouvert</t>
        </is>
      </c>
    </row>
    <row r="7" ht="52" customHeight="1">
      <c r="A7" s="4" t="inlineStr">
        <is>
          <t>A03</t>
        </is>
      </c>
      <c r="B7" s="58" t="n">
        <v>1</v>
      </c>
      <c r="C7" s="29" t="inlineStr">
        <is>
          <t>IMPORT</t>
        </is>
      </c>
      <c r="D7" s="29" t="inlineStr">
        <is>
          <t>CNAS</t>
        </is>
      </c>
      <c r="E7" s="29" t="inlineStr">
        <is>
          <t>Prime de ponctualité (R540) imposée à l'IRG mais exclue du salaire de poste (assiette CNAS) chaque mois.</t>
        </is>
      </c>
      <c r="F7" s="57">
        <f>'Rappro CNAS'!V13</f>
        <v/>
      </c>
      <c r="G7" s="29" t="inlineStr">
        <is>
          <t>Vérifier le paramétrage de la rubrique R540 (soumise SS) ; régulariser les déclarations concernées.</t>
        </is>
      </c>
      <c r="H7" s="41" t="n"/>
      <c r="I7" s="41" t="inlineStr">
        <is>
          <t>Ouvert</t>
        </is>
      </c>
    </row>
    <row r="8" ht="52" customHeight="1">
      <c r="A8" s="4" t="inlineStr">
        <is>
          <t>A04</t>
        </is>
      </c>
      <c r="B8" s="56" t="n">
        <v>2</v>
      </c>
      <c r="C8" s="29" t="inlineStr">
        <is>
          <t>TPM</t>
        </is>
      </c>
      <c r="D8" s="29" t="inlineStr">
        <is>
          <t>CNAS</t>
        </is>
      </c>
      <c r="E8" s="29" t="inlineStr">
        <is>
          <t>Effectif déclaré au T1 = 2 alors que 3 salariés sont inscrits ; T2 déclare 1 sortie et un effectif final de 2 ⇒ T1 aurait dû être 3.</t>
        </is>
      </c>
      <c r="F8" s="59" t="n"/>
      <c r="G8" s="29" t="inlineStr">
        <is>
          <t>Rectifier l'effectif du T1 auprès de la CNAS.</t>
        </is>
      </c>
      <c r="H8" s="41" t="n"/>
      <c r="I8" s="41" t="inlineStr">
        <is>
          <t>Ouvert</t>
        </is>
      </c>
    </row>
    <row r="9" ht="52" customHeight="1">
      <c r="A9" s="4" t="inlineStr">
        <is>
          <t>A05</t>
        </is>
      </c>
      <c r="B9" s="56" t="n">
        <v>2</v>
      </c>
      <c r="C9" s="29" t="inlineStr">
        <is>
          <t>TPM</t>
        </is>
      </c>
      <c r="D9" s="29" t="inlineStr">
        <is>
          <t>Paie / CNAS</t>
        </is>
      </c>
      <c r="E9" s="29" t="inlineStr">
        <is>
          <t>Salarié totalement absent (non rémunéré) en juillet, disparu de la paie en août sans STC ni sortie déclarée.</t>
        </is>
      </c>
      <c r="F9" s="59" t="n"/>
      <c r="G9" s="29" t="inlineStr">
        <is>
          <t>Établir le STC et déclarer la sortie dans l'EMS du T3 (échéance 30/10/2026).</t>
        </is>
      </c>
      <c r="H9" s="41" t="n"/>
      <c r="I9" s="41" t="inlineStr">
        <is>
          <t>Ouvert</t>
        </is>
      </c>
    </row>
    <row r="10" ht="52" customHeight="1">
      <c r="A10" s="4" t="inlineStr">
        <is>
          <t>A06</t>
        </is>
      </c>
      <c r="B10" s="56" t="n">
        <v>2</v>
      </c>
      <c r="C10" s="29" t="inlineStr">
        <is>
          <t>IMPORT</t>
        </is>
      </c>
      <c r="D10" s="29" t="inlineStr">
        <is>
          <t>CNAS</t>
        </is>
      </c>
      <c r="E10" s="29" t="inlineStr">
        <is>
          <t>STC de 2 237,40 en août : une sortie à déclarer au T3.</t>
        </is>
      </c>
      <c r="F10" s="59" t="n"/>
      <c r="G10" s="29" t="inlineStr">
        <is>
          <t>Déclarer la sortie dans l'EMS du T3.</t>
        </is>
      </c>
      <c r="H10" s="41" t="n"/>
      <c r="I10" s="41" t="inlineStr">
        <is>
          <t>Ouvert</t>
        </is>
      </c>
    </row>
    <row r="11" ht="52" customHeight="1">
      <c r="A11" s="4" t="inlineStr">
        <is>
          <t>A07</t>
        </is>
      </c>
      <c r="B11" s="56" t="n">
        <v>2</v>
      </c>
      <c r="C11" s="29" t="inlineStr">
        <is>
          <t>Les deux</t>
        </is>
      </c>
      <c r="D11" s="29" t="inlineStr">
        <is>
          <t>CNAS</t>
        </is>
      </c>
      <c r="E11" s="29" t="inlineStr">
        <is>
          <t>Déclarations T3 2026 (juil–sept) à établir ; paie de septembre non fournie.</t>
        </is>
      </c>
      <c r="F11" s="57">
        <f>'Rappro CNAS'!J9+'Rappro CNAS'!J12</f>
        <v/>
      </c>
      <c r="G11" s="29" t="inlineStr">
        <is>
          <t>Transmettre les centralisateurs de septembre ; déposer et payer avant le 30/10/2026.</t>
        </is>
      </c>
      <c r="H11" s="41" t="n"/>
      <c r="I11" s="41" t="inlineStr">
        <is>
          <t>Ouvert</t>
        </is>
      </c>
    </row>
    <row r="12" ht="52" customHeight="1">
      <c r="A12" s="4" t="inlineStr">
        <is>
          <t>A08</t>
        </is>
      </c>
      <c r="B12" s="60" t="n">
        <v>3</v>
      </c>
      <c r="C12" s="29" t="inlineStr">
        <is>
          <t>TPM</t>
        </is>
      </c>
      <c r="D12" s="29" t="inlineStr">
        <is>
          <t>Paie</t>
        </is>
      </c>
      <c r="E12" s="29" t="inlineStr">
        <is>
          <t>Avril = mai et juillet = août strictement identiques (mêmes absences, heures sup., IRG) : variables probablement non saisies.</t>
        </is>
      </c>
      <c r="F12" s="59" t="n"/>
      <c r="G12" s="29" t="inlineStr">
        <is>
          <t>Contrôler les pointages et bulletins de mai et août.</t>
        </is>
      </c>
      <c r="H12" s="41" t="n"/>
      <c r="I12" s="41" t="inlineStr">
        <is>
          <t>Ouvert</t>
        </is>
      </c>
    </row>
    <row r="13" ht="52" customHeight="1">
      <c r="A13" s="4" t="inlineStr">
        <is>
          <t>A09</t>
        </is>
      </c>
      <c r="B13" s="60" t="n">
        <v>3</v>
      </c>
      <c r="C13" s="29" t="inlineStr">
        <is>
          <t>TPM</t>
        </is>
      </c>
      <c r="D13" s="29" t="inlineStr">
        <is>
          <t>Paie</t>
        </is>
      </c>
      <c r="E13" s="29" t="inlineStr">
        <is>
          <t>Frais de mission élevés (avril 41 615 ; mai 49 115, soit 47–55 % de l'assiette), non soumis à cotisations.</t>
        </is>
      </c>
      <c r="F13" s="57">
        <f>'Paie TPM'!K26</f>
        <v/>
      </c>
      <c r="G13" s="29" t="inlineStr">
        <is>
          <t>Conserver ordres de mission et justificatifs ; risque de requalification en salaire.</t>
        </is>
      </c>
      <c r="H13" s="41" t="n"/>
      <c r="I13" s="41" t="inlineStr">
        <is>
          <t>Ouvert</t>
        </is>
      </c>
    </row>
    <row r="14" ht="52" customHeight="1">
      <c r="A14" s="4" t="inlineStr">
        <is>
          <t>A10</t>
        </is>
      </c>
      <c r="B14" s="60" t="n">
        <v>3</v>
      </c>
      <c r="C14" s="29" t="inlineStr">
        <is>
          <t>IMPORT</t>
        </is>
      </c>
      <c r="D14" s="29" t="inlineStr">
        <is>
          <t>Paie</t>
        </is>
      </c>
      <c r="E14" s="29" t="inlineStr">
        <is>
          <t>Prime de responsabilité de 5,00 DA (janv.) et 1,14 DA (févr.) : paramètre vraisemblablement erroné (5 au lieu de 5 %).</t>
        </is>
      </c>
      <c r="F14" s="59" t="n"/>
      <c r="G14" s="29" t="inlineStr">
        <is>
          <t>Corriger le paramètre B291 ; régulariser le rappel éventuel.</t>
        </is>
      </c>
      <c r="H14" s="41" t="n"/>
      <c r="I14" s="41" t="inlineStr">
        <is>
          <t>Ouvert</t>
        </is>
      </c>
    </row>
    <row r="15" ht="52" customHeight="1">
      <c r="A15" s="4" t="inlineStr">
        <is>
          <t>A11</t>
        </is>
      </c>
      <c r="B15" s="56" t="n">
        <v>2</v>
      </c>
      <c r="C15" s="29" t="inlineStr">
        <is>
          <t>Les deux</t>
        </is>
      </c>
      <c r="D15" s="29" t="inlineStr">
        <is>
          <t>Trésorerie</t>
        </is>
      </c>
      <c r="E15" s="29" t="inlineStr">
        <is>
          <t>Bordereaux de versement CNAS à « 0,00 ». Relevé CPA : paiements retrouvés pour janvier, février, mars IMPORT et T1 TPM (jusqu'à 12 jours après l'échéance) ; T2 à justifier.</t>
        </is>
      </c>
      <c r="F15" s="57">
        <f>'Rappro CNAS'!K13</f>
        <v/>
      </c>
      <c r="G15" s="29" t="inlineStr">
        <is>
          <t>Joindre les quittances CNAS / avis de virement ; comptabiliser les règlements (débit 431).</t>
        </is>
      </c>
      <c r="H15" s="41" t="n"/>
      <c r="I15" s="41" t="inlineStr">
        <is>
          <t>Ouvert</t>
        </is>
      </c>
    </row>
    <row r="16" ht="52" customHeight="1">
      <c r="A16" s="4" t="inlineStr">
        <is>
          <t>A12</t>
        </is>
      </c>
      <c r="B16" s="56" t="n">
        <v>2</v>
      </c>
      <c r="C16" s="29" t="inlineStr">
        <is>
          <t>Les deux</t>
        </is>
      </c>
      <c r="D16" s="29" t="inlineStr">
        <is>
          <t>Fiscal</t>
        </is>
      </c>
      <c r="E16" s="29" t="inlineStr">
        <is>
          <t>IRG IMPORT : G50 de janvier à août conformes à la paie (écarts d'arrondi ≤ 3 DA ; juillet : 2,30 DA retenus non reversés). Mars non vérifiable (paie absente).</t>
        </is>
      </c>
      <c r="F16" s="57">
        <f>'Échéancier IRG-CNAS'!G13</f>
        <v/>
      </c>
      <c r="G16" s="29" t="inlineStr">
        <is>
          <t>Reverser l'IRG retenu au dinar près ; fournir la paie de mars.</t>
        </is>
      </c>
      <c r="H16" s="41" t="n"/>
      <c r="I16" s="41" t="inlineStr">
        <is>
          <t>Ouvert</t>
        </is>
      </c>
    </row>
    <row r="17" ht="52" customHeight="1">
      <c r="A17" s="4" t="inlineStr">
        <is>
          <t>A13</t>
        </is>
      </c>
      <c r="B17" s="60" t="n">
        <v>3</v>
      </c>
      <c r="C17" s="29" t="inlineStr">
        <is>
          <t>Les deux</t>
        </is>
      </c>
      <c r="D17" s="29" t="inlineStr">
        <is>
          <t>BTPH</t>
        </is>
      </c>
      <c r="E17" s="29" t="inlineStr">
        <is>
          <t>Paie paramétrée CACOBATPH (taux X504) mais aucune déclaration CACOBATPH (congés payés / intempéries) dans le dossier.</t>
        </is>
      </c>
      <c r="F17" s="59" t="n"/>
      <c r="G17" s="29" t="inlineStr">
        <is>
          <t>Fournir les déclarations et paiements CACOBATPH 2026.</t>
        </is>
      </c>
      <c r="H17" s="41" t="n"/>
      <c r="I17" s="41" t="inlineStr">
        <is>
          <t>Ouvert</t>
        </is>
      </c>
    </row>
    <row r="18" ht="52" customHeight="1">
      <c r="A18" s="4" t="inlineStr">
        <is>
          <t>A14</t>
        </is>
      </c>
      <c r="B18" s="60" t="n">
        <v>3</v>
      </c>
      <c r="C18" s="29" t="inlineStr">
        <is>
          <t>Les deux</t>
        </is>
      </c>
      <c r="D18" s="29" t="inlineStr">
        <is>
          <t>Administratif</t>
        </is>
      </c>
      <c r="E18" s="29" t="inlineStr">
        <is>
          <t>Libellés divergents : « D.P.R.COMPAGNY » / « DPR COMPAGNY » ; en-tête de paie TPM à l'adresse VGE TIZI alors que l'affiliation TPM est à TISSA.</t>
        </is>
      </c>
      <c r="F18" s="59" t="n"/>
      <c r="G18" s="29" t="inlineStr">
        <is>
          <t>Harmoniser raison sociale et adresse dans le logiciel de paie.</t>
        </is>
      </c>
      <c r="H18" s="41" t="n"/>
      <c r="I18" s="41" t="inlineStr">
        <is>
          <t>Ouvert</t>
        </is>
      </c>
    </row>
    <row r="19" ht="52" customHeight="1">
      <c r="A19" s="4" t="inlineStr">
        <is>
          <t>A15</t>
        </is>
      </c>
      <c r="B19" s="60" t="n">
        <v>3</v>
      </c>
      <c r="C19" s="29" t="inlineStr">
        <is>
          <t>IMPORT</t>
        </is>
      </c>
      <c r="D19" s="29" t="inlineStr">
        <is>
          <t>CNAS</t>
        </is>
      </c>
      <c r="E19" s="29" t="inlineStr">
        <is>
          <t>Périodicité mixte : déclarations mensuelles (janv., mars) puis trimestrielle (T2).</t>
        </is>
      </c>
      <c r="F19" s="59" t="n"/>
      <c r="G19" s="29" t="inlineStr">
        <is>
          <t>Confirmer auprès de la CNAS le passage au trimestriel après la baisse d'effectif (12 → 5).</t>
        </is>
      </c>
      <c r="H19" s="41" t="n"/>
      <c r="I19" s="41" t="inlineStr">
        <is>
          <t>Ouvert</t>
        </is>
      </c>
    </row>
    <row r="20" ht="52" customHeight="1">
      <c r="A20" s="4" t="inlineStr">
        <is>
          <t>A16</t>
        </is>
      </c>
      <c r="B20" s="60" t="n">
        <v>3</v>
      </c>
      <c r="C20" s="29" t="inlineStr">
        <is>
          <t>Les deux</t>
        </is>
      </c>
      <c r="D20" s="29" t="inlineStr">
        <is>
          <t>Paie</t>
        </is>
      </c>
      <c r="E20" s="29" t="inlineStr">
        <is>
          <t>IRG non vérifiable salarié par salarié (centralisateurs uniquement).</t>
        </is>
      </c>
      <c r="F20" s="59" t="n"/>
      <c r="G20" s="29" t="inlineStr">
        <is>
          <t>Fournir le livre de paie individuel / bulletins.</t>
        </is>
      </c>
      <c r="H20" s="41" t="n"/>
      <c r="I20" s="41" t="inlineStr">
        <is>
          <t>Ouvert</t>
        </is>
      </c>
    </row>
    <row r="21" ht="52" customHeight="1">
      <c r="A21" s="4" t="inlineStr">
        <is>
          <t>A17</t>
        </is>
      </c>
      <c r="B21" s="58" t="n">
        <v>1</v>
      </c>
      <c r="C21" s="29" t="inlineStr">
        <is>
          <t>TPM</t>
        </is>
      </c>
      <c r="D21" s="29" t="inlineStr">
        <is>
          <t>Fiscal / TVA</t>
        </is>
      </c>
      <c r="E21" s="29" t="inlineStr">
        <is>
          <t>TVA collectée TPM (44537) et location (44527) jamais soldées : 58,9 M DA cumulés au 31/12/2025, accumulés depuis au moins 2022 (37,3 M à l'ouverture 2023) ; 2023–2025 : 18,5 M collectés, 1,5 M apurés. En 2025, 4 839 300 de TVA TPM générée, seuls 391 208 passés en G50 (déc.). Les G50 TPM 2026 (juil., août) ne déclarent aucun CA et reportent un précompte de 1 714 499 (= compte 44550).</t>
        </is>
      </c>
      <c r="F21" s="57">
        <f>-('Balance 2024-2025'!D48+'Balance 2024-2025'!D47)</f>
        <v/>
      </c>
      <c r="G21" s="29" t="inlineStr">
        <is>
          <t>Rapprocher avec les G50 TPM 2023–2025 ; si TVA non déclarée, régulariser ; sinon passer les écritures de G50 manquantes.</t>
        </is>
      </c>
      <c r="H21" s="41" t="n"/>
      <c r="I21" s="41" t="inlineStr">
        <is>
          <t>Ouvert</t>
        </is>
      </c>
    </row>
    <row r="22" ht="52" customHeight="1">
      <c r="A22" s="4" t="inlineStr">
        <is>
          <t>A18</t>
        </is>
      </c>
      <c r="B22" s="58" t="n">
        <v>1</v>
      </c>
      <c r="C22" s="29" t="inlineStr">
        <is>
          <t>Les deux</t>
        </is>
      </c>
      <c r="D22" s="29" t="inlineStr">
        <is>
          <t>Fiscal / TVA</t>
        </is>
      </c>
      <c r="E22" s="29" t="inlineStr">
        <is>
          <t>CA de mars 2026 facturé 27 006 870 (gros 16 281 570 + détail Fenaia 10 725 300, journaux de factures) mais seulement 3 445 200 déclarés en mars « pour manque TVA à récupérer » ; le reste a été déclaré en avril (+13 157 894) et mai (+10 403 776). Fin août, le cumul déclaré rattrape le cumul facturé : la TVA de mars (4 476 717) a été payée avec 1 à 2 mois de retard.</t>
        </is>
      </c>
      <c r="F22" s="57">
        <f>'G50 2026'!B40</f>
        <v/>
      </c>
      <c r="G22" s="29" t="inlineStr">
        <is>
          <t>Déclarer le CA au titre du mois de facturation ; chiffrer les pénalités de retard sur la TVA de mars (fichier ECRITURES_VENTES_2026.xlsx, feuille Rapprochement G50).</t>
        </is>
      </c>
      <c r="H22" s="41" t="n"/>
      <c r="I22" s="41" t="inlineStr">
        <is>
          <t>Ouvert</t>
        </is>
      </c>
    </row>
    <row r="23" ht="52" customHeight="1">
      <c r="A23" s="4" t="inlineStr">
        <is>
          <t>A19</t>
        </is>
      </c>
      <c r="B23" s="58" t="n">
        <v>1</v>
      </c>
      <c r="C23" s="29" t="inlineStr">
        <is>
          <t>TPM</t>
        </is>
      </c>
      <c r="D23" s="29" t="inlineStr">
        <is>
          <t>Fiscal / IRG</t>
        </is>
      </c>
      <c r="E23" s="29" t="inlineStr">
        <is>
          <t>G50 TPM d'avril à juillet identiques (mois imprimé « AVRIL », IRG 9 375 chaque mois) : juin sous-déclaré de 9 614,90 (18 989,90 retenus), juillet sur-déclaré de 5 683,70. Janvier–mars et août conformes.</t>
        </is>
      </c>
      <c r="F23" s="57">
        <f>-'G50 TPM 2026'!G15</f>
        <v/>
      </c>
      <c r="G23" s="29" t="inlineStr">
        <is>
          <t>Déposer une G50 rectificative pour juin (IRG retenu non reversé) et régulariser juillet.</t>
        </is>
      </c>
      <c r="H23" s="41" t="n"/>
      <c r="I23" s="41" t="inlineStr">
        <is>
          <t>Ouvert</t>
        </is>
      </c>
    </row>
    <row r="24" ht="52" customHeight="1">
      <c r="A24" s="4" t="inlineStr">
        <is>
          <t>A20</t>
        </is>
      </c>
      <c r="B24" s="56" t="n">
        <v>2</v>
      </c>
      <c r="C24" s="29" t="inlineStr">
        <is>
          <t>Les deux</t>
        </is>
      </c>
      <c r="D24" s="29" t="inlineStr">
        <is>
          <t>Comptabilité</t>
        </is>
      </c>
      <c r="E24" s="29" t="inlineStr">
        <is>
          <t>Écriture du 31/12/2025 « POUR SOLDE PRCT EXE 2025 » passée en sens inverse (D 44410 / C 444, 3 074 299) : dette IBS 9,79 M et acomptes 6,15 M au lieu d'un net de 3 642 951.</t>
        </is>
      </c>
      <c r="F24" s="57" t="n">
        <v>3074299</v>
      </c>
      <c r="G24" s="29" t="inlineStr">
        <is>
          <t>Contrepasser et compenser (D 444 / C 44410) ; vérifier le paiement du solde IBS 2025 en 2026.</t>
        </is>
      </c>
      <c r="H24" s="41" t="n"/>
      <c r="I24" s="41" t="inlineStr">
        <is>
          <t>Ouvert</t>
        </is>
      </c>
    </row>
    <row r="25" ht="52" customHeight="1">
      <c r="A25" s="4" t="inlineStr">
        <is>
          <t>A21</t>
        </is>
      </c>
      <c r="B25" s="56" t="n">
        <v>2</v>
      </c>
      <c r="C25" s="29" t="inlineStr">
        <is>
          <t>Les deux</t>
        </is>
      </c>
      <c r="D25" s="29" t="inlineStr">
        <is>
          <t>Fiscal / IBS</t>
        </is>
      </c>
      <c r="E25" s="29" t="inlineStr">
        <is>
          <t>Solde IBS 2024 réglé le 03/07/2025 ; IBS 2025 net à liquider de 3 642 951 (précomptes douane déduits).</t>
        </is>
      </c>
      <c r="F25" s="57" t="n">
        <v>3642951</v>
      </c>
      <c r="G25" s="29" t="inlineStr">
        <is>
          <t>Vérifier les dates d'échéance de liquidation, les pénalités éventuelles et la preuve de paiement 2026.</t>
        </is>
      </c>
      <c r="H25" s="41" t="n"/>
      <c r="I25" s="41" t="inlineStr">
        <is>
          <t>Ouvert</t>
        </is>
      </c>
    </row>
    <row r="26" ht="52" customHeight="1">
      <c r="A26" s="4" t="inlineStr">
        <is>
          <t>A22</t>
        </is>
      </c>
      <c r="B26" s="56" t="n">
        <v>2</v>
      </c>
      <c r="C26" s="29" t="inlineStr">
        <is>
          <t>Les deux</t>
        </is>
      </c>
      <c r="D26" s="29" t="inlineStr">
        <is>
          <t>Trésorerie</t>
        </is>
      </c>
      <c r="E26" s="29" t="inlineStr">
        <is>
          <t>Caisse comptable de 12,1 M au 31/12/2025, surévaluée de 10 M : le versement d'espèces à la CPA du 31/12/2025 (10 000 000) n'a pas été sorti de la caisse (caisse réelle ≈ 2,1 M). Remboursement en espèces de 6 800 000 à SARL DPR AXXAM le 06/12/2025.</t>
        </is>
      </c>
      <c r="F26" s="57">
        <f>'Balance 2024-2025'!D67</f>
        <v/>
      </c>
      <c r="G26" s="29" t="inlineStr">
        <is>
          <t>Passer D 58100 / C 53000 de 10 000 000 au 31/12/2025 ; PV de caisse ; paiements par banque au-delà des seuils réglementaires.</t>
        </is>
      </c>
      <c r="H26" s="41" t="n"/>
      <c r="I26" s="41" t="inlineStr">
        <is>
          <t>Ouvert</t>
        </is>
      </c>
    </row>
    <row r="27" ht="52" customHeight="1">
      <c r="A27" s="4" t="inlineStr">
        <is>
          <t>A23</t>
        </is>
      </c>
      <c r="B27" s="56" t="n">
        <v>2</v>
      </c>
      <c r="C27" s="29" t="inlineStr">
        <is>
          <t>Les deux</t>
        </is>
      </c>
      <c r="D27" s="29" t="inlineStr">
        <is>
          <t>Parties liées</t>
        </is>
      </c>
      <c r="E27" s="29" t="inlineStr">
        <is>
          <t>100 % du CA TPM 2025 (25,47 M) facturé à SARL DPR AXXAM BRIQUETERIE ; aucune facturation TPM d'oct. à déc. 2025 alors que du personnel TPM reste payé.</t>
        </is>
      </c>
      <c r="F27" s="57">
        <f>-'Balance 2024-2025'!D100</f>
        <v/>
      </c>
      <c r="G27" s="29" t="inlineStr">
        <is>
          <t>Documenter les conventions intra-groupe et la facturation d'oct.–déc. 2025.</t>
        </is>
      </c>
      <c r="H27" s="41" t="n"/>
      <c r="I27" s="41" t="inlineStr">
        <is>
          <t>Ouvert</t>
        </is>
      </c>
    </row>
    <row r="28" ht="52" customHeight="1">
      <c r="A28" s="4" t="inlineStr">
        <is>
          <t>A24</t>
        </is>
      </c>
      <c r="B28" s="56" t="n">
        <v>2</v>
      </c>
      <c r="C28" s="29" t="inlineStr">
        <is>
          <t>Les deux</t>
        </is>
      </c>
      <c r="D28" s="29" t="inlineStr">
        <is>
          <t>Comptabilité</t>
        </is>
      </c>
      <c r="E28" s="29" t="inlineStr">
        <is>
          <t>Compte d'attente 47000 non soldé (« SARL FAHAS ?? », « TRESORERIE BEJAIA ?? », chèques).</t>
        </is>
      </c>
      <c r="F28" s="57">
        <f>'Balance 2024-2025'!D59</f>
        <v/>
      </c>
      <c r="G28" s="29" t="inlineStr">
        <is>
          <t>Identifier et apurer avant clôture.</t>
        </is>
      </c>
      <c r="H28" s="41" t="n"/>
      <c r="I28" s="41" t="inlineStr">
        <is>
          <t>Ouvert</t>
        </is>
      </c>
    </row>
    <row r="29" ht="52" customHeight="1">
      <c r="A29" s="4" t="inlineStr">
        <is>
          <t>A25</t>
        </is>
      </c>
      <c r="B29" s="56" t="n">
        <v>2</v>
      </c>
      <c r="C29" s="29" t="inlineStr">
        <is>
          <t>Les deux</t>
        </is>
      </c>
      <c r="D29" s="29" t="inlineStr">
        <is>
          <t>CNAS</t>
        </is>
      </c>
      <c r="E29" s="29" t="inlineStr">
        <is>
          <t>Compte 63120 « prime imposable » non soumise à cotisation : 957 406 en 2025 et 1 139 275 en 2024 (même mécanisme que A03).</t>
        </is>
      </c>
      <c r="F29" s="57">
        <f>'États 2024-2025'!C24+'États 2024-2025'!D24</f>
        <v/>
      </c>
      <c r="G29" s="29" t="inlineStr">
        <is>
          <t>Analyser les primes concernées ; régulariser si elles sont cotisables.</t>
        </is>
      </c>
      <c r="H29" s="41" t="n"/>
      <c r="I29" s="41" t="inlineStr">
        <is>
          <t>Ouvert</t>
        </is>
      </c>
    </row>
    <row r="30" ht="52" customHeight="1">
      <c r="A30" s="4" t="inlineStr">
        <is>
          <t>A26</t>
        </is>
      </c>
      <c r="B30" s="60" t="n">
        <v>3</v>
      </c>
      <c r="C30" s="29" t="inlineStr">
        <is>
          <t>Les deux</t>
        </is>
      </c>
      <c r="D30" s="29" t="inlineStr">
        <is>
          <t>Trésorerie</t>
        </is>
      </c>
      <c r="E30" s="29" t="inlineStr">
        <is>
          <t>Banque CPA El Kseur (51220) créditrice de 12,43 M au 31/12/2025 : découvert présenté en banque.</t>
        </is>
      </c>
      <c r="F30" s="57">
        <f>ABS('Balance 2024-2025'!D63)</f>
        <v/>
      </c>
      <c r="G30" s="29" t="inlineStr">
        <is>
          <t>Reclasser en 519 ; vérifier les agios (aucune charge 661 en 2025).</t>
        </is>
      </c>
      <c r="H30" s="41" t="n"/>
      <c r="I30" s="41" t="inlineStr">
        <is>
          <t>Ouvert</t>
        </is>
      </c>
    </row>
    <row r="31" ht="52" customHeight="1">
      <c r="A31" s="4" t="inlineStr">
        <is>
          <t>A27</t>
        </is>
      </c>
      <c r="B31" s="60" t="n">
        <v>3</v>
      </c>
      <c r="C31" s="29" t="inlineStr">
        <is>
          <t>Les deux</t>
        </is>
      </c>
      <c r="D31" s="29" t="inlineStr">
        <is>
          <t>Fiscal / CNAS</t>
        </is>
      </c>
      <c r="E31" s="29" t="inlineStr">
        <is>
          <t>Reversements IRG 2025 parfois partiels (févr., juin) et rattrapés le mois suivant ; amendes 2025 : douane 100 000, CNAS 1 746.</t>
        </is>
      </c>
      <c r="F31" s="57">
        <f>'Balance 2024-2025'!D93</f>
        <v/>
      </c>
      <c r="G31" s="29" t="inlineStr">
        <is>
          <t>Reverser l'IRG en totalité chaque mois.</t>
        </is>
      </c>
      <c r="H31" s="41" t="n"/>
      <c r="I31" s="41" t="inlineStr">
        <is>
          <t>Ouvert</t>
        </is>
      </c>
    </row>
    <row r="32" ht="52" customHeight="1">
      <c r="A32" s="4" t="inlineStr">
        <is>
          <t>A28</t>
        </is>
      </c>
      <c r="B32" s="60" t="n">
        <v>3</v>
      </c>
      <c r="C32" s="29" t="inlineStr">
        <is>
          <t>IMPORT</t>
        </is>
      </c>
      <c r="D32" s="29" t="inlineStr">
        <is>
          <t>Fiscal</t>
        </is>
      </c>
      <c r="E32" s="29" t="inlineStr">
        <is>
          <t>Modèles G50 non mis à jour : dates de signature de 2021–2022 sur toutes les G50 2026, onglet de saisie figé (mai, TVA 17 %), G50 TPM contenant le récap TVA de déc. 2025 et un extrait de journal 2019 ; libellés de comptes de TVA à 17 %.</t>
        </is>
      </c>
      <c r="F32" s="59" t="n"/>
      <c r="G32" s="29" t="inlineStr">
        <is>
          <t>Mettre à jour le modèle et les libellés (TVA 19 %).</t>
        </is>
      </c>
      <c r="H32" s="41" t="n"/>
      <c r="I32" s="41" t="inlineStr">
        <is>
          <t>Ouvert</t>
        </is>
      </c>
    </row>
    <row r="33" ht="52" customHeight="1">
      <c r="A33" s="4" t="inlineStr">
        <is>
          <t>A29</t>
        </is>
      </c>
      <c r="B33" s="60" t="n">
        <v>3</v>
      </c>
      <c r="C33" s="29" t="inlineStr">
        <is>
          <t>Les deux</t>
        </is>
      </c>
      <c r="D33" s="29" t="inlineStr">
        <is>
          <t>Fiscal</t>
        </is>
      </c>
      <c r="E33" s="29" t="inlineStr">
        <is>
          <t>Taxe d'apprentissage payée deux fois en 2026 : février (87 828 IMPORT sur 8 782 828 + 9 851 TPM sur 985 118) et août (44 091 IMPORT sur 4 409 079 + 6 809 TPM sur 680 900).</t>
        </is>
      </c>
      <c r="F33" s="57">
        <f>'G50 2026'!J26+'G50 TPM 2026'!J17</f>
        <v/>
      </c>
      <c r="G33" s="29" t="inlineStr">
        <is>
          <t>Justifier les bases et la période couverte par chaque paiement (risque de double paiement).</t>
        </is>
      </c>
      <c r="H33" s="41" t="n"/>
      <c r="I33" s="41" t="inlineStr">
        <is>
          <t>Ouvert</t>
        </is>
      </c>
    </row>
    <row r="34" ht="52" customHeight="1">
      <c r="A34" s="4" t="inlineStr">
        <is>
          <t>A30</t>
        </is>
      </c>
      <c r="B34" s="60" t="n">
        <v>3</v>
      </c>
      <c r="C34" s="29" t="inlineStr">
        <is>
          <t>IMPORT</t>
        </is>
      </c>
      <c r="D34" s="29" t="inlineStr">
        <is>
          <t>Fiscal / TVA</t>
        </is>
      </c>
      <c r="E34" s="29" t="inlineStr">
        <is>
          <t>Droit de timbre : taux apparents incohérents (janv. 2,0 %, févr. 1,0 %, avr. 5,05 %, mai 1,79 %) ; même base en avril et mai ; aucun timbre en mars et de juin à août.</t>
        </is>
      </c>
      <c r="F34" s="57">
        <f>'G50 2026'!J24</f>
        <v/>
      </c>
      <c r="G34" s="29" t="inlineStr">
        <is>
          <t>Justifier la base (ventes en espèces) et le taux appliqué.</t>
        </is>
      </c>
      <c r="H34" s="41" t="n"/>
      <c r="I34" s="41" t="inlineStr">
        <is>
          <t>Ouvert</t>
        </is>
      </c>
    </row>
    <row r="35" ht="52" customHeight="1">
      <c r="A35" s="4" t="inlineStr">
        <is>
          <t>A32</t>
        </is>
      </c>
      <c r="B35" s="58" t="n">
        <v>1</v>
      </c>
      <c r="C35" s="29" t="inlineStr">
        <is>
          <t>Société</t>
        </is>
      </c>
      <c r="D35" s="29" t="inlineStr">
        <is>
          <t>Comptabilité</t>
        </is>
      </c>
      <c r="E35" s="29" t="inlineStr">
        <is>
          <t>Journal 2023 fourni provisoire : résultat 18,54 M contre 7,26 M repris en à-nouveau 2024 ; 38 comptes en écart avec les ouvertures 2024 (stocks, fournisseurs, banques, IBS, TVA).</t>
        </is>
      </c>
      <c r="F35" s="57">
        <f>'Contrôle 2023'!B6</f>
        <v/>
      </c>
      <c r="G35" s="29" t="inlineStr">
        <is>
          <t>Obtenir le journal 2023 définitif et la liasse fiscale 2023 ; documenter les écritures de clôture.</t>
        </is>
      </c>
      <c r="H35" s="41" t="n"/>
      <c r="I35" s="41" t="inlineStr">
        <is>
          <t>Ouvert</t>
        </is>
      </c>
    </row>
    <row r="36" ht="52" customHeight="1">
      <c r="A36" s="4" t="inlineStr">
        <is>
          <t>A33</t>
        </is>
      </c>
      <c r="B36" s="58" t="n">
        <v>1</v>
      </c>
      <c r="C36" s="29" t="inlineStr">
        <is>
          <t>Société</t>
        </is>
      </c>
      <c r="D36" s="29" t="inlineStr">
        <is>
          <t>Clients / parties liées</t>
        </is>
      </c>
      <c r="E36" s="29" t="inlineStr">
        <is>
          <t>Créance SARL DPR AXXAM BRIQUETERIE : 371,0 M au 31/12/2025 (96 % du poste clients), en hausse continue depuis 2023 (277,7 M) ; 2023–2025 : 115,7 M facturés, 26,2 M encaissés (23 %).</t>
        </is>
      </c>
      <c r="F36" s="57">
        <f>'Démarrage 2026'!E8</f>
        <v/>
      </c>
      <c r="G36" s="29" t="inlineStr">
        <is>
          <t>Convention, reconnaissance de dette et échéancier ; confirmation de solde ; évaluer la dépréciation (Démarrage 2026, R7).</t>
        </is>
      </c>
      <c r="H36" s="41" t="n"/>
      <c r="I36" s="41" t="inlineStr">
        <is>
          <t>Ouvert</t>
        </is>
      </c>
    </row>
    <row r="37" ht="52" customHeight="1">
      <c r="A37" s="4" t="inlineStr">
        <is>
          <t>A34</t>
        </is>
      </c>
      <c r="B37" s="58" t="n">
        <v>1</v>
      </c>
      <c r="C37" s="29" t="inlineStr">
        <is>
          <t>Société</t>
        </is>
      </c>
      <c r="D37" s="29" t="inlineStr">
        <is>
          <t>Clients / fiscal</t>
        </is>
      </c>
      <c r="E37" s="29" t="inlineStr">
        <is>
          <t>Avances clients (419) dormantes : 229,4 M sur 144 clients, inchangées depuis au moins le 01/01/2023 (hors associés et clients à compenser). Soit livraisons non facturées (CA et TVA non déclarés), soit dettes à rembourser.</t>
        </is>
      </c>
      <c r="F37" s="57">
        <f>'Démarrage 2026'!E35</f>
        <v/>
      </c>
      <c r="G37" s="29" t="inlineStr">
        <is>
          <t>Dossier par client ; facturer ou rembourser (R4 / R5) ; ne pas reprendre ces soldes tels quels en 2026.</t>
        </is>
      </c>
      <c r="H37" s="41" t="n"/>
      <c r="I37" s="41" t="inlineStr">
        <is>
          <t>Ouvert</t>
        </is>
      </c>
    </row>
    <row r="38" ht="52" customHeight="1">
      <c r="A38" s="4" t="inlineStr">
        <is>
          <t>A35</t>
        </is>
      </c>
      <c r="B38" s="58" t="n">
        <v>1</v>
      </c>
      <c r="C38" s="29" t="inlineStr">
        <is>
          <t>Société</t>
        </is>
      </c>
      <c r="D38" s="29" t="inlineStr">
        <is>
          <t>Trésorerie / parties liées</t>
        </is>
      </c>
      <c r="E38" s="29" t="inlineStr">
        <is>
          <t>SARL DPR AXXAM : 62,5 M versés en 2025 (dont 45,35 M d'avances 409 sans facture) et 6,8 M remboursés en espèces, alors que la briqueterie du même groupe ne paie pas.</t>
        </is>
      </c>
      <c r="F38" s="57">
        <f>'Démarrage 2026'!B21</f>
        <v/>
      </c>
      <c r="G38" s="29" t="inlineStr">
        <is>
          <t>Justifier chaque avance (contrat, facture) ; stopper les avances sans convention.</t>
        </is>
      </c>
      <c r="H38" s="41" t="n"/>
      <c r="I38" s="41" t="inlineStr">
        <is>
          <t>Ouvert</t>
        </is>
      </c>
    </row>
    <row r="39" ht="52" customHeight="1">
      <c r="A39" s="4" t="inlineStr">
        <is>
          <t>A36</t>
        </is>
      </c>
      <c r="B39" s="56" t="n">
        <v>2</v>
      </c>
      <c r="C39" s="29" t="inlineStr">
        <is>
          <t>Société</t>
        </is>
      </c>
      <c r="D39" s="29" t="inlineStr">
        <is>
          <t>Associés</t>
        </is>
      </c>
      <c r="E39" s="29" t="inlineStr">
        <is>
          <t>Associés (famille DJENNADI, dont les 3 gérants inscrits au registre de commerce : Abdelkrim, Ryad, Ahcene) logés en comptes clients / fournisseurs : soldes créditeurs en 411, 419 et 401.</t>
        </is>
      </c>
      <c r="F39" s="57">
        <f>'Démarrage 2026'!E26</f>
        <v/>
      </c>
      <c r="G39" s="29" t="inlineStr">
        <is>
          <t>Reclasser en 455 / 457 après attestation (R1).</t>
        </is>
      </c>
      <c r="H39" s="41" t="n"/>
      <c r="I39" s="41" t="inlineStr">
        <is>
          <t>Ouvert</t>
        </is>
      </c>
    </row>
    <row r="40" ht="52" customHeight="1">
      <c r="A40" s="4" t="inlineStr">
        <is>
          <t>A37</t>
        </is>
      </c>
      <c r="B40" s="60" t="n">
        <v>3</v>
      </c>
      <c r="C40" s="29" t="inlineStr">
        <is>
          <t>Société</t>
        </is>
      </c>
      <c r="D40" s="29" t="inlineStr">
        <is>
          <t>Juridique</t>
        </is>
      </c>
      <c r="E40" s="29" t="inlineStr">
        <is>
          <t>Extrait expiré le 13/02/2026, renouvelé par l'extrait modifié remis le 29/07/2026 (validité 16/02/2026 – 16/02/2028) : 166 jours sans extrait valide remis.</t>
        </is>
      </c>
      <c r="F40" s="57">
        <f>'Registre de commerce'!B20</f>
        <v/>
      </c>
      <c r="G40" s="29" t="inlineStr">
        <is>
          <t>Régularisé ; prochain renouvellement avant le 16/02/2028 (impact = jours sans extrait).</t>
        </is>
      </c>
      <c r="H40" s="41" t="n"/>
      <c r="I40" s="41" t="inlineStr">
        <is>
          <t>Ouvert</t>
        </is>
      </c>
    </row>
    <row r="41" ht="52" customHeight="1">
      <c r="A41" s="4" t="inlineStr">
        <is>
          <t>A38</t>
        </is>
      </c>
      <c r="B41" s="58" t="n">
        <v>1</v>
      </c>
      <c r="C41" s="29" t="inlineStr">
        <is>
          <t>Société</t>
        </is>
      </c>
      <c r="D41" s="29" t="inlineStr">
        <is>
          <t>Juridique / fiscal</t>
        </is>
      </c>
      <c r="E41" s="29" t="inlineStr">
        <is>
          <t>Registre du siège limité à l'importation pour revente en l'état (442101 à 442104), y compris dans l'extrait modifié du 29/07/2026 ; la vente au détail est inscrite sur l'établissement de Fenaia, mais les activités TPM, location d'engins et transport restent exercées et facturées hors objet du registre.</t>
        </is>
      </c>
      <c r="F41" s="57">
        <f>-'Balance 2024-2025'!D100</f>
        <v/>
      </c>
      <c r="G41" s="29" t="inlineStr">
        <is>
          <t>Modifier le registre ou filialiser les activités TPM / location ; vérifier la compatibilité avec le statut d'importateur.</t>
        </is>
      </c>
      <c r="H41" s="41" t="n"/>
      <c r="I41" s="41" t="inlineStr">
        <is>
          <t>Ouvert</t>
        </is>
      </c>
    </row>
    <row r="42" ht="52" customHeight="1">
      <c r="A42" s="4" t="inlineStr">
        <is>
          <t>A39</t>
        </is>
      </c>
      <c r="B42" s="56" t="n">
        <v>2</v>
      </c>
      <c r="C42" s="29" t="inlineStr">
        <is>
          <t>TPM</t>
        </is>
      </c>
      <c r="D42" s="29" t="inlineStr">
        <is>
          <t>Juridique</t>
        </is>
      </c>
      <c r="E42" s="29" t="inlineStr">
        <is>
          <t>Seul établissement secondaire inscrit : le magasin de détail de Fenaia Il Maten (06/04-0184232 B 03). L'activité TPM, affiliée à la CNAS à TISSA sous un numéro distinct, n'a aucun établissement inscrit.</t>
        </is>
      </c>
      <c r="F42" s="59" t="n"/>
      <c r="G42" s="29" t="inlineStr">
        <is>
          <t>Inscrire l'établissement secondaire ou aligner les affiliations.</t>
        </is>
      </c>
      <c r="H42" s="41" t="n"/>
      <c r="I42" s="41" t="inlineStr">
        <is>
          <t>Ouvert</t>
        </is>
      </c>
    </row>
    <row r="43" ht="52" customHeight="1">
      <c r="A43" s="4" t="inlineStr">
        <is>
          <t>A40</t>
        </is>
      </c>
      <c r="B43" s="60" t="n">
        <v>3</v>
      </c>
      <c r="C43" s="29" t="inlineStr">
        <is>
          <t>Société</t>
        </is>
      </c>
      <c r="D43" s="29" t="inlineStr">
        <is>
          <t>Administratif</t>
        </is>
      </c>
      <c r="E43" s="29" t="inlineStr">
        <is>
          <t>N° de registre de commerce différent entre l'extrait (06/00-0184232 B 03) et le dossier comptable PCCOMPTA (06/01-0184232B03) ; local commercial appartenant à un associé (DJENNADI Abdelkader, créancier de 2,51 M en 401).</t>
        </is>
      </c>
      <c r="F43" s="59" t="n"/>
      <c r="G43" s="29" t="inlineStr">
        <is>
          <t>Corriger le n° RC dans PCCOMPTA ; produire le bail et l'état des loyers.</t>
        </is>
      </c>
      <c r="H43" s="41" t="n"/>
      <c r="I43" s="41" t="inlineStr">
        <is>
          <t>Ouvert</t>
        </is>
      </c>
    </row>
    <row r="44" ht="52" customHeight="1">
      <c r="A44" s="4" t="inlineStr">
        <is>
          <t>A41</t>
        </is>
      </c>
      <c r="B44" s="58" t="n">
        <v>1</v>
      </c>
      <c r="C44" s="29" t="inlineStr">
        <is>
          <t>Société</t>
        </is>
      </c>
      <c r="D44" s="29" t="inlineStr">
        <is>
          <t>Trésorerie / parties liées</t>
        </is>
      </c>
      <c r="E44" s="29" t="inlineStr">
        <is>
          <t>Relevé CPA : du 01/01 au 03/10/2026, 61,75 M virés à SARL DPR AXXAM et 17,7 M reçus d'elle (net 44,05 M) ; sur oct. 2025 – oct. 2026, 68,6 M nets sortis (impact), alors que le compte est à découvert permanent.</t>
        </is>
      </c>
      <c r="F44" s="57">
        <f>'Banque CPA 2026'!O12</f>
        <v/>
      </c>
      <c r="G44" s="29" t="inlineStr">
        <is>
          <t>Suspendre ces virements tant qu'aucune convention ni facture ne les justifie.</t>
        </is>
      </c>
      <c r="H44" s="41" t="n"/>
      <c r="I44" s="41" t="inlineStr">
        <is>
          <t>Ouvert</t>
        </is>
      </c>
    </row>
    <row r="45" ht="52" customHeight="1">
      <c r="A45" s="4" t="inlineStr">
        <is>
          <t>A42</t>
        </is>
      </c>
      <c r="B45" s="56" t="n">
        <v>2</v>
      </c>
      <c r="C45" s="29" t="inlineStr">
        <is>
          <t>IMPORT</t>
        </is>
      </c>
      <c r="D45" s="29" t="inlineStr">
        <is>
          <t>Trésorerie</t>
        </is>
      </c>
      <c r="E45" s="29" t="inlineStr">
        <is>
          <t>Compte CPA El Kseur à découvert quasi permanent (−22,1 M au 03/10/2026). Écart de 9,47 M au 31/12/2025 entièrement expliqué : 13 opérations du 31/12/2025 non comptabilisées (9,30 M net, dont versement d'espèces de 10 M, agios, provision import) et 0,18 M antérieur au 05/10/2025.</t>
        </is>
      </c>
      <c r="F45" s="57">
        <f>ABS('Banque CPA 2026'!B52)</f>
        <v/>
      </c>
      <c r="G45" s="29" t="inlineStr">
        <is>
          <t>Passer les 13 écritures (JOURNAL 31-12-2025 du fichier d'écritures) ; rapprochements bancaires mensuels ; agios en 661.</t>
        </is>
      </c>
      <c r="H45" s="41" t="n"/>
      <c r="I45" s="41" t="inlineStr">
        <is>
          <t>Ouvert</t>
        </is>
      </c>
    </row>
    <row r="46" ht="52" customHeight="1">
      <c r="A46" s="4" t="inlineStr">
        <is>
          <t>A43</t>
        </is>
      </c>
      <c r="B46" s="60" t="n">
        <v>3</v>
      </c>
      <c r="C46" s="29" t="inlineStr">
        <is>
          <t>IMPORT</t>
        </is>
      </c>
      <c r="D46" s="29" t="inlineStr">
        <is>
          <t>Clients</t>
        </is>
      </c>
      <c r="E46" s="29" t="inlineStr">
        <is>
          <t>Chèques clients rejetés (annulés) sur le relevé CPA en 2026.</t>
        </is>
      </c>
      <c r="F46" s="57">
        <f>'Banque CPA 2026'!O6</f>
        <v/>
      </c>
      <c r="G46" s="29" t="inlineStr">
        <is>
          <t>Relancer les tireurs ; ne plus livrer contre chèque sans provision vérifiée.</t>
        </is>
      </c>
      <c r="H46" s="41" t="n"/>
      <c r="I46" s="41" t="inlineStr">
        <is>
          <t>Ouvert</t>
        </is>
      </c>
    </row>
    <row r="47" ht="52" customHeight="1">
      <c r="A47" s="4" t="inlineStr">
        <is>
          <t>A44</t>
        </is>
      </c>
      <c r="B47" s="58" t="n">
        <v>1</v>
      </c>
      <c r="C47" s="29" t="inlineStr">
        <is>
          <t>Société</t>
        </is>
      </c>
      <c r="D47" s="29" t="inlineStr">
        <is>
          <t>Juridique / comptabilité</t>
        </is>
      </c>
      <c r="E47" s="29" t="inlineStr">
        <is>
          <t>Capital porté de 106 M à 268 M DA (extrait du 29/07/2026) : +162 M à justifier et à comptabiliser en 2026 ; sources possibles au 31/12/2025 : réserves, résultat 2025, comptes courants d'associés.</t>
        </is>
      </c>
      <c r="F47" s="57">
        <f>'Registre de commerce'!C25</f>
        <v/>
      </c>
      <c r="G47" s="29" t="inlineStr">
        <is>
          <t>Obtenir PV d'AGE, statuts notariés, justificatif de libération ; passer l'écriture 2026 au compte 10100.</t>
        </is>
      </c>
      <c r="H47" s="41" t="n"/>
      <c r="I47" s="41" t="inlineStr">
        <is>
          <t>Ouvert</t>
        </is>
      </c>
    </row>
    <row r="48" ht="52" customHeight="1">
      <c r="A48" s="4" t="inlineStr">
        <is>
          <t>A45</t>
        </is>
      </c>
      <c r="B48" s="56" t="n">
        <v>2</v>
      </c>
      <c r="C48" s="29" t="inlineStr">
        <is>
          <t>IMPORT</t>
        </is>
      </c>
      <c r="D48" s="29" t="inlineStr">
        <is>
          <t>Fiscal / CNAS</t>
        </is>
      </c>
      <c r="E48" s="29" t="inlineStr">
        <is>
          <t>Paiements débités après l'échéance : G50 janvier (+38 j), G50 juillet payée le 01/10/2026 (+42 j, après celle d'août), G50 février (+18 j), CNAS TPM T2 (+9 j).</t>
        </is>
      </c>
      <c r="F48" s="59" t="n"/>
      <c r="G48" s="29" t="inlineStr">
        <is>
          <t>Rapprocher des quittances ; régler chaque G50 avec son dépôt pour éviter les pénalités de retard.</t>
        </is>
      </c>
      <c r="H48" s="41" t="n"/>
      <c r="I48" s="41" t="inlineStr">
        <is>
          <t>Ouvert</t>
        </is>
      </c>
    </row>
    <row r="49" ht="52" customHeight="1">
      <c r="A49" s="4" t="inlineStr">
        <is>
          <t>A46</t>
        </is>
      </c>
      <c r="B49" s="56" t="n">
        <v>2</v>
      </c>
      <c r="C49" s="29" t="inlineStr">
        <is>
          <t>IMPORT</t>
        </is>
      </c>
      <c r="D49" s="29" t="inlineStr">
        <is>
          <t>Comptabilité</t>
        </is>
      </c>
      <c r="E49" s="29" t="inlineStr">
        <is>
          <t>Écritures de banque 2026 non tenues : 640 opérations à saisir ; 158 sans tiers identifiable (surtout des remises de chèques clients), proposées en compte d'attente 47000.</t>
        </is>
      </c>
      <c r="F49" s="57">
        <f>'Banque CPA 2026'!C62</f>
        <v/>
      </c>
      <c r="G49" s="29" t="inlineStr">
        <is>
          <t>Fournir les bordereaux de remise et les talons de chéquiers ; valider le fichier d'écritures proposé.</t>
        </is>
      </c>
      <c r="H49" s="41" t="n"/>
      <c r="I49" s="41" t="inlineStr">
        <is>
          <t>Ouvert</t>
        </is>
      </c>
    </row>
    <row r="50" ht="52" customHeight="1">
      <c r="A50" s="4" t="inlineStr">
        <is>
          <t>A47</t>
        </is>
      </c>
      <c r="B50" s="60" t="n">
        <v>3</v>
      </c>
      <c r="C50" s="29" t="inlineStr">
        <is>
          <t>IMPORT</t>
        </is>
      </c>
      <c r="D50" s="29" t="inlineStr">
        <is>
          <t>Banque</t>
        </is>
      </c>
      <c r="E50" s="29" t="inlineStr">
        <is>
          <t>Relevé CPA : solde final affiché (−22 070 423,26) inférieur de 36 068,24 au solde calculé depuis le solde initial annoncé ; écart constant depuis le 06/10/2025.</t>
        </is>
      </c>
      <c r="F50" s="57" t="n">
        <v>36068.24</v>
      </c>
      <c r="G50" s="29" t="inlineStr">
        <is>
          <t>Faire confirmer par la CPA le solde au 05/10/2025.</t>
        </is>
      </c>
      <c r="H50" s="41" t="n"/>
      <c r="I50" s="41" t="inlineStr">
        <is>
          <t>Ouvert</t>
        </is>
      </c>
    </row>
    <row r="51" ht="52" customHeight="1">
      <c r="A51" s="4" t="inlineStr">
        <is>
          <t>A48</t>
        </is>
      </c>
      <c r="B51" s="58" t="n">
        <v>1</v>
      </c>
      <c r="C51" s="29" t="inlineStr">
        <is>
          <t>Fenaia (détail)</t>
        </is>
      </c>
      <c r="D51" s="29" t="inlineStr">
        <is>
          <t>Fiscal / comptabilité</t>
        </is>
      </c>
      <c r="E51" s="29" t="inlineStr">
        <is>
          <t>Établissement de vente au détail ouvert le 10/09/2024, déclaré aux impôts le 03/03/2026 seulement (article 06180778071). Ses ventes facturées commencent en mars 2026 (79 factures, 28,64 M HT jusqu'au 04/10/2026) et sont déclarées sur les G50 du siège ; aucune vente, aucun stock de magasin ni G50 propre entre septembre 2024 et février 2026.</t>
        </is>
      </c>
      <c r="F51" s="57">
        <f>'Registre de commerce'!C53</f>
        <v/>
      </c>
      <c r="G51" s="29" t="inlineStr">
        <is>
          <t>Reconstituer les ventes du magasin depuis le 10/09/2024 (factures, tickets, caisse) ; tenir le journal 15001 ; déposer les G50 de l'établissement (impact = jours de retard de la déclaration).</t>
        </is>
      </c>
      <c r="H51" s="41" t="n"/>
      <c r="I51" s="41" t="inlineStr">
        <is>
          <t>Ouvert</t>
        </is>
      </c>
    </row>
    <row r="52" ht="52" customHeight="1">
      <c r="A52" s="4" t="inlineStr">
        <is>
          <t>A49</t>
        </is>
      </c>
      <c r="B52" s="56" t="n">
        <v>2</v>
      </c>
      <c r="C52" s="29" t="inlineStr">
        <is>
          <t>Fenaia (détail)</t>
        </is>
      </c>
      <c r="D52" s="29" t="inlineStr">
        <is>
          <t>Social</t>
        </is>
      </c>
      <c r="E52" s="29" t="inlineStr">
        <is>
          <t>Aucune affiliation CNAS ni paie identifiée pour le personnel du magasin et de l'atelier de Fenaia.</t>
        </is>
      </c>
      <c r="F52" s="59" t="n"/>
      <c r="G52" s="29" t="inlineStr">
        <is>
          <t>Vérifier le personnel affecté au magasin ; l'affilier et le déclarer.</t>
        </is>
      </c>
      <c r="H52" s="41" t="n"/>
      <c r="I52" s="41" t="inlineStr">
        <is>
          <t>Ouvert</t>
        </is>
      </c>
    </row>
    <row r="53" ht="52" customHeight="1">
      <c r="A53" s="4" t="inlineStr">
        <is>
          <t>A50</t>
        </is>
      </c>
      <c r="B53" s="56" t="n">
        <v>2</v>
      </c>
      <c r="C53" s="29" t="inlineStr">
        <is>
          <t>IMPORT</t>
        </is>
      </c>
      <c r="D53" s="29" t="inlineStr">
        <is>
          <t>Parties liées</t>
        </is>
      </c>
      <c r="E53" s="29" t="inlineStr">
        <is>
          <t>Ventes de gros 2026 aux associés-gérants : DJENNADI Abdelkrim (6 factures, 12 739 948 HT) et DJENNADI Reyad (28 factures, 2 051 589 HT), soit 17,6 % du CA de gros facturé.</t>
        </is>
      </c>
      <c r="F53" s="57" t="n">
        <v>14791537</v>
      </c>
      <c r="G53" s="29" t="inlineStr">
        <is>
          <t>Documenter les prix pratiqués et le règlement de ces factures ; vérifier qu'elles ne sont pas compensées avec les comptes courants d'associés.</t>
        </is>
      </c>
      <c r="H53" s="41" t="n"/>
      <c r="I53" s="41" t="inlineStr">
        <is>
          <t>Ouvert</t>
        </is>
      </c>
    </row>
    <row r="54" ht="52" customHeight="1">
      <c r="A54" s="4" t="inlineStr">
        <is>
          <t>A51</t>
        </is>
      </c>
      <c r="B54" s="60" t="n">
        <v>3</v>
      </c>
      <c r="C54" s="29" t="inlineStr">
        <is>
          <t>IMPORT</t>
        </is>
      </c>
      <c r="D54" s="29" t="inlineStr">
        <is>
          <t>Facturation</t>
        </is>
      </c>
      <c r="E54" s="29" t="inlineStr">
        <is>
          <t>Numérotation des factures de gros 2026 discontinue : n° 2026000128, 129, 141 et 168 absents du journal des factures.</t>
        </is>
      </c>
      <c r="F54" s="59" t="n"/>
      <c r="G54" s="29" t="inlineStr">
        <is>
          <t>Justifier ces numéros (factures annulées, avec l'original et les copies).</t>
        </is>
      </c>
      <c r="H54" s="41" t="n"/>
      <c r="I54" s="41" t="inlineStr">
        <is>
          <t>Ouvert</t>
        </is>
      </c>
    </row>
    <row r="55" ht="52" customHeight="1">
      <c r="A55" s="4" t="inlineStr">
        <is>
          <t>A31</t>
        </is>
      </c>
      <c r="B55" s="60" t="n">
        <v>3</v>
      </c>
      <c r="C55" s="29" t="inlineStr">
        <is>
          <t>Les deux</t>
        </is>
      </c>
      <c r="D55" s="29" t="inlineStr">
        <is>
          <t>Comptabilité</t>
        </is>
      </c>
      <c r="E55" s="29" t="inlineStr">
        <is>
          <t>Clients débiteurs 387,1 M et avances clients 314,6 M ; fournisseurs débiteurs 46,2 M au 31/12/2025.</t>
        </is>
      </c>
      <c r="F55" s="59" t="n"/>
      <c r="G55" s="29" t="inlineStr">
        <is>
          <t>Lettrer les comptes clients/fournisseurs et compenser les avances soldées.</t>
        </is>
      </c>
      <c r="H55" s="41" t="n"/>
      <c r="I55" s="41" t="inlineStr">
        <is>
          <t>Ouvert</t>
        </is>
      </c>
    </row>
    <row r="57">
      <c r="A57" s="2" t="inlineStr">
        <is>
          <t>Impact : A01 = cotisations calculées de février ; A02 = cotisations de mars déclarées sans justificatif ; A03 = cotisations sur ponctualité ; A07 = cotisations T3 partielles (juil–août) ; A09 = frais de mission TPM cumulés ; A11 = cotisations déclarées sans preuve de paiement ; A12 = IRG cumulé à rapprocher.</t>
        </is>
      </c>
    </row>
  </sheetData>
  <autoFilter ref="A4:I55"/>
  <pageMargins left="0.75" right="0.75" top="1" bottom="1" header="0.5" footer="0.5"/>
  <pageSetup orientation="landscape" fitToHeight="0"/>
</worksheet>
</file>

<file path=xl/worksheets/sheet20.xml><?xml version="1.0" encoding="utf-8"?>
<worksheet xmlns="http://schemas.openxmlformats.org/spreadsheetml/2006/main">
  <sheetPr>
    <outlinePr summaryBelow="1" summaryRight="1"/>
    <pageSetUpPr fitToPage="1"/>
  </sheetPr>
  <dimension ref="A1:F53"/>
  <sheetViews>
    <sheetView showGridLines="0" workbookViewId="0">
      <selection activeCell="A1" sqref="A1"/>
    </sheetView>
  </sheetViews>
  <sheetFormatPr baseColWidth="8" defaultRowHeight="15"/>
  <cols>
    <col width="5" customWidth="1" min="1" max="1"/>
    <col width="52" customWidth="1" min="2" max="2"/>
    <col width="12" customWidth="1" min="3" max="3"/>
    <col width="16" customWidth="1" min="4" max="4"/>
    <col width="12" customWidth="1" min="5" max="5"/>
    <col width="50" customWidth="1" min="6" max="6"/>
  </cols>
  <sheetData>
    <row r="1">
      <c r="A1" s="1" t="inlineStr">
        <is>
          <t>Inventaire des pièces du dossier</t>
        </is>
      </c>
    </row>
    <row r="2">
      <c r="A2" s="2" t="inlineStr">
        <is>
          <t>Reçues = transmises pour ce dossier ; Manquantes = à réclamer.</t>
        </is>
      </c>
    </row>
    <row r="4">
      <c r="A4" s="11" t="inlineStr">
        <is>
          <t>N°</t>
        </is>
      </c>
      <c r="B4" s="11" t="inlineStr">
        <is>
          <t>Pièce</t>
        </is>
      </c>
      <c r="C4" s="11" t="inlineStr">
        <is>
          <t>Établissement</t>
        </is>
      </c>
      <c r="D4" s="11" t="inlineStr">
        <is>
          <t>Période</t>
        </is>
      </c>
      <c r="E4" s="11" t="inlineStr">
        <is>
          <t>Statut</t>
        </is>
      </c>
      <c r="F4" s="11" t="inlineStr">
        <is>
          <t>Remarque</t>
        </is>
      </c>
    </row>
    <row r="5">
      <c r="A5" s="12" t="n">
        <v>1</v>
      </c>
      <c r="B5" s="12" t="inlineStr">
        <is>
          <t>PAIE_2026_DPR_COMPANY_IMPORT.xlsx — centralisateurs</t>
        </is>
      </c>
      <c r="C5" s="12" t="inlineStr">
        <is>
          <t>IMPORT</t>
        </is>
      </c>
      <c r="D5" s="12" t="inlineStr">
        <is>
          <t>Janv–août 2026</t>
        </is>
      </c>
      <c r="E5" s="61" t="inlineStr">
        <is>
          <t>Reçue</t>
        </is>
      </c>
      <c r="F5" s="12" t="inlineStr">
        <is>
          <t>Onglet mars vide</t>
        </is>
      </c>
    </row>
    <row r="6">
      <c r="A6" s="12" t="n">
        <v>2</v>
      </c>
      <c r="B6" s="12" t="inlineStr">
        <is>
          <t>PAIE_2026_DPR_COMPANY_TPM.xlsx — centralisateurs</t>
        </is>
      </c>
      <c r="C6" s="12" t="inlineStr">
        <is>
          <t>TPM</t>
        </is>
      </c>
      <c r="D6" s="12" t="inlineStr">
        <is>
          <t>Janv–août 2026</t>
        </is>
      </c>
      <c r="E6" s="61" t="inlineStr">
        <is>
          <t>Reçue</t>
        </is>
      </c>
      <c r="F6" s="12" t="inlineStr"/>
    </row>
    <row r="7">
      <c r="A7" s="12" t="n">
        <v>3</v>
      </c>
      <c r="B7" s="12" t="inlineStr">
        <is>
          <t>CNAS_SARL_DPR_COMPANY_IMP_012026.pdf</t>
        </is>
      </c>
      <c r="C7" s="12" t="inlineStr">
        <is>
          <t>IMPORT</t>
        </is>
      </c>
      <c r="D7" s="12" t="inlineStr">
        <is>
          <t>Janvier 2026</t>
        </is>
      </c>
      <c r="E7" s="61" t="inlineStr">
        <is>
          <t>Reçue</t>
        </is>
      </c>
      <c r="F7" s="12" t="inlineStr">
        <is>
          <t>Déposée 28/02/2026</t>
        </is>
      </c>
    </row>
    <row r="8">
      <c r="A8" s="12" t="n">
        <v>4</v>
      </c>
      <c r="B8" s="12" t="inlineStr">
        <is>
          <t>CNAS_SARL_DPR_COMPANY_IMP_032026.pdf</t>
        </is>
      </c>
      <c r="C8" s="12" t="inlineStr">
        <is>
          <t>IMPORT</t>
        </is>
      </c>
      <c r="D8" s="12" t="inlineStr">
        <is>
          <t>Mars 2026</t>
        </is>
      </c>
      <c r="E8" s="61" t="inlineStr">
        <is>
          <t>Reçue</t>
        </is>
      </c>
      <c r="F8" s="12" t="inlineStr">
        <is>
          <t>Déposée 28/04/2026</t>
        </is>
      </c>
    </row>
    <row r="9">
      <c r="A9" s="12" t="n">
        <v>5</v>
      </c>
      <c r="B9" s="12" t="inlineStr">
        <is>
          <t>CNAS_T2_2026_SARL_DPR_COMPANY_IMPORT.pdf</t>
        </is>
      </c>
      <c r="C9" s="12" t="inlineStr">
        <is>
          <t>IMPORT</t>
        </is>
      </c>
      <c r="D9" s="12" t="inlineStr">
        <is>
          <t>T2 2026</t>
        </is>
      </c>
      <c r="E9" s="61" t="inlineStr">
        <is>
          <t>Reçue</t>
        </is>
      </c>
      <c r="F9" s="12" t="inlineStr">
        <is>
          <t>Déposée 06/07/2026</t>
        </is>
      </c>
    </row>
    <row r="10">
      <c r="A10" s="12" t="n">
        <v>6</v>
      </c>
      <c r="B10" s="12" t="inlineStr">
        <is>
          <t>CNAS_SARL_DPR_COMPANY_TPM_T1.pdf</t>
        </is>
      </c>
      <c r="C10" s="12" t="inlineStr">
        <is>
          <t>TPM</t>
        </is>
      </c>
      <c r="D10" s="12" t="inlineStr">
        <is>
          <t>T1 2026</t>
        </is>
      </c>
      <c r="E10" s="61" t="inlineStr">
        <is>
          <t>Reçue</t>
        </is>
      </c>
      <c r="F10" s="12" t="inlineStr">
        <is>
          <t>Déposée 28/04/2026 (reçue en double, fichiers identiques)</t>
        </is>
      </c>
    </row>
    <row r="11">
      <c r="A11" s="12" t="n">
        <v>7</v>
      </c>
      <c r="B11" s="12" t="inlineStr">
        <is>
          <t>CNAS_SARL_DPR_COMPANY_TPM_T2.pdf</t>
        </is>
      </c>
      <c r="C11" s="12" t="inlineStr">
        <is>
          <t>TPM</t>
        </is>
      </c>
      <c r="D11" s="12" t="inlineStr">
        <is>
          <t>T2 2026</t>
        </is>
      </c>
      <c r="E11" s="61" t="inlineStr">
        <is>
          <t>Reçue</t>
        </is>
      </c>
      <c r="F11" s="12" t="inlineStr">
        <is>
          <t>Déposée 23/07/2026 ; EMS : 1 sortie</t>
        </is>
      </c>
    </row>
    <row r="12">
      <c r="A12" s="12" t="n">
        <v>8</v>
      </c>
      <c r="B12" s="12" t="inlineStr">
        <is>
          <t>Déclaration CNAS + EMS février 2026</t>
        </is>
      </c>
      <c r="C12" s="12" t="inlineStr">
        <is>
          <t>IMPORT</t>
        </is>
      </c>
      <c r="D12" s="12" t="inlineStr">
        <is>
          <t>Février 2026</t>
        </is>
      </c>
      <c r="E12" s="40" t="inlineStr">
        <is>
          <t>Manquante</t>
        </is>
      </c>
      <c r="F12" s="12" t="inlineStr">
        <is>
          <t>7 sorties attendues</t>
        </is>
      </c>
    </row>
    <row r="13">
      <c r="A13" s="12" t="n">
        <v>9</v>
      </c>
      <c r="B13" s="12" t="inlineStr">
        <is>
          <t>Centralisateur / livre de paie mars 2026</t>
        </is>
      </c>
      <c r="C13" s="12" t="inlineStr">
        <is>
          <t>IMPORT</t>
        </is>
      </c>
      <c r="D13" s="12" t="inlineStr">
        <is>
          <t>Mars 2026</t>
        </is>
      </c>
      <c r="E13" s="40" t="inlineStr">
        <is>
          <t>Manquante</t>
        </is>
      </c>
      <c r="F13" s="12" t="inlineStr"/>
    </row>
    <row r="14">
      <c r="A14" s="12" t="n">
        <v>10</v>
      </c>
      <c r="B14" s="12" t="inlineStr">
        <is>
          <t>Centralisateurs septembre 2026</t>
        </is>
      </c>
      <c r="C14" s="12" t="inlineStr">
        <is>
          <t>Les deux</t>
        </is>
      </c>
      <c r="D14" s="12" t="inlineStr">
        <is>
          <t>Septembre 2026</t>
        </is>
      </c>
      <c r="E14" s="40" t="inlineStr">
        <is>
          <t>Manquante</t>
        </is>
      </c>
      <c r="F14" s="12" t="inlineStr">
        <is>
          <t>Nécessaires pour le T3</t>
        </is>
      </c>
    </row>
    <row r="15">
      <c r="A15" s="12" t="n">
        <v>11</v>
      </c>
      <c r="B15" s="12" t="inlineStr">
        <is>
          <t>Déclarations CNAS T3 2026</t>
        </is>
      </c>
      <c r="C15" s="12" t="inlineStr">
        <is>
          <t>Les deux</t>
        </is>
      </c>
      <c r="D15" s="12" t="inlineStr">
        <is>
          <t>T3 2026</t>
        </is>
      </c>
      <c r="E15" s="40" t="inlineStr">
        <is>
          <t>Manquante</t>
        </is>
      </c>
      <c r="F15" s="12" t="inlineStr">
        <is>
          <t>Échéance 30/10/2026</t>
        </is>
      </c>
    </row>
    <row r="16">
      <c r="A16" s="12" t="n">
        <v>12</v>
      </c>
      <c r="B16" s="12" t="inlineStr">
        <is>
          <t>Quittances / preuves de paiement CNAS</t>
        </is>
      </c>
      <c r="C16" s="12" t="inlineStr">
        <is>
          <t>Les deux</t>
        </is>
      </c>
      <c r="D16" s="12" t="inlineStr">
        <is>
          <t>2026</t>
        </is>
      </c>
      <c r="E16" s="40" t="inlineStr">
        <is>
          <t>Manquante</t>
        </is>
      </c>
      <c r="F16" s="12" t="inlineStr">
        <is>
          <t>Bordereaux à 0,00</t>
        </is>
      </c>
    </row>
    <row r="17">
      <c r="A17" s="12" t="n">
        <v>13</v>
      </c>
      <c r="B17" s="12" t="inlineStr">
        <is>
          <t>G50_ARL_DPR_COMPANY_IMPORT_06-2026.xls</t>
        </is>
      </c>
      <c r="C17" s="12" t="inlineStr">
        <is>
          <t>IMPORT</t>
        </is>
      </c>
      <c r="D17" s="12" t="inlineStr">
        <is>
          <t>Juin 2026</t>
        </is>
      </c>
      <c r="E17" s="61" t="inlineStr">
        <is>
          <t>Reçue</t>
        </is>
      </c>
      <c r="F17" s="12" t="inlineStr">
        <is>
          <t>TVA, IRG, précompte 178 353</t>
        </is>
      </c>
    </row>
    <row r="18">
      <c r="A18" s="12" t="n">
        <v>14</v>
      </c>
      <c r="B18" s="12" t="inlineStr">
        <is>
          <t>G50_ARL_DPR_COMPANY_IMPORT_08-2026_.xls</t>
        </is>
      </c>
      <c r="C18" s="12" t="inlineStr">
        <is>
          <t>IMPORT</t>
        </is>
      </c>
      <c r="D18" s="12" t="inlineStr">
        <is>
          <t>Août 2026</t>
        </is>
      </c>
      <c r="E18" s="61" t="inlineStr">
        <is>
          <t>Reçue</t>
        </is>
      </c>
      <c r="F18" s="12" t="inlineStr">
        <is>
          <t>TVA 838 600, IRG 49 670, TA 44 091</t>
        </is>
      </c>
    </row>
    <row r="19">
      <c r="A19" s="12" t="n">
        <v>15</v>
      </c>
      <c r="B19" s="12" t="inlineStr">
        <is>
          <t>SARL_DPR_COMPAGNY_2024.xls — journal comptable PCCOMPTA</t>
        </is>
      </c>
      <c r="C19" s="12" t="inlineStr">
        <is>
          <t>Société</t>
        </is>
      </c>
      <c r="D19" s="12" t="inlineStr">
        <is>
          <t>Exercice 2024</t>
        </is>
      </c>
      <c r="E19" s="61" t="inlineStr">
        <is>
          <t>Reçue</t>
        </is>
      </c>
      <c r="F19" s="12" t="inlineStr">
        <is>
          <t>6 861 lignes, équilibré</t>
        </is>
      </c>
    </row>
    <row r="20">
      <c r="A20" s="12" t="n">
        <v>16</v>
      </c>
      <c r="B20" s="12" t="inlineStr">
        <is>
          <t>SARL_DPR_COMPAGNY_2025.xls — journal comptable PCCOMPTA</t>
        </is>
      </c>
      <c r="C20" s="12" t="inlineStr">
        <is>
          <t>Société</t>
        </is>
      </c>
      <c r="D20" s="12" t="inlineStr">
        <is>
          <t>Exercice 2025</t>
        </is>
      </c>
      <c r="E20" s="61" t="inlineStr">
        <is>
          <t>Reçue</t>
        </is>
      </c>
      <c r="F20" s="12" t="inlineStr">
        <is>
          <t>5 774 lignes, équilibré</t>
        </is>
      </c>
    </row>
    <row r="21">
      <c r="A21" s="12" t="n">
        <v>17</v>
      </c>
      <c r="B21" s="12" t="inlineStr">
        <is>
          <t>G50_ARL_DPR_COMPANY_IMPORT_03/04/05/07-2026.xls</t>
        </is>
      </c>
      <c r="C21" s="12" t="inlineStr">
        <is>
          <t>IMPORT</t>
        </is>
      </c>
      <c r="D21" s="12" t="inlineStr">
        <is>
          <t>Mars, avril, mai, juillet 2026</t>
        </is>
      </c>
      <c r="E21" s="61" t="inlineStr">
        <is>
          <t>Reçue</t>
        </is>
      </c>
      <c r="F21" s="12" t="inlineStr">
        <is>
          <t>Série mars–août complète</t>
        </is>
      </c>
    </row>
    <row r="22">
      <c r="A22" s="12" t="n">
        <v>18</v>
      </c>
      <c r="B22" s="12" t="inlineStr">
        <is>
          <t>G50_ARL_DPR_COMPANY_IMPORT_01/02-2026.xls</t>
        </is>
      </c>
      <c r="C22" s="12" t="inlineStr">
        <is>
          <t>IMPORT</t>
        </is>
      </c>
      <c r="D22" s="12" t="inlineStr">
        <is>
          <t>Janvier, février 2026</t>
        </is>
      </c>
      <c r="E22" s="61" t="inlineStr">
        <is>
          <t>Reçue</t>
        </is>
      </c>
      <c r="F22" s="12" t="inlineStr">
        <is>
          <t>Série janv.–août complète</t>
        </is>
      </c>
    </row>
    <row r="23">
      <c r="A23" s="12" t="n">
        <v>19</v>
      </c>
      <c r="B23" s="12" t="inlineStr">
        <is>
          <t>G50_07/08-2026_TPM_ET_LOCATION_CONSOLIDE.xls</t>
        </is>
      </c>
      <c r="C23" s="12" t="inlineStr">
        <is>
          <t>TPM</t>
        </is>
      </c>
      <c r="D23" s="12" t="inlineStr">
        <is>
          <t>Juillet, août 2026</t>
        </is>
      </c>
      <c r="E23" s="61" t="inlineStr">
        <is>
          <t>Reçue</t>
        </is>
      </c>
      <c r="F23" s="12" t="inlineStr">
        <is>
          <t>Juillet : mois imprimé AVRIL</t>
        </is>
      </c>
    </row>
    <row r="24">
      <c r="A24" s="12" t="n">
        <v>20</v>
      </c>
      <c r="B24" s="12" t="inlineStr">
        <is>
          <t>G50_04/05/06-2026_TPM_ET_LOCATION_CONSOLIDE.xls</t>
        </is>
      </c>
      <c r="C24" s="12" t="inlineStr">
        <is>
          <t>TPM</t>
        </is>
      </c>
      <c r="D24" s="12" t="inlineStr">
        <is>
          <t>Avril, mai, juin 2026</t>
        </is>
      </c>
      <c r="E24" s="61" t="inlineStr">
        <is>
          <t>Reçue</t>
        </is>
      </c>
      <c r="F24" s="12" t="inlineStr">
        <is>
          <t>Identiques entre elles (mois AVRIL)</t>
        </is>
      </c>
    </row>
    <row r="25">
      <c r="A25" s="12" t="n">
        <v>21</v>
      </c>
      <c r="B25" s="12" t="inlineStr">
        <is>
          <t>DLG_COMPTAZ_SARL_DPR_COMPAGNY_2023.xls — journal 2023</t>
        </is>
      </c>
      <c r="C25" s="12" t="inlineStr">
        <is>
          <t>Société</t>
        </is>
      </c>
      <c r="D25" s="12" t="inlineStr">
        <is>
          <t>Exercice 2023</t>
        </is>
      </c>
      <c r="E25" s="61" t="inlineStr">
        <is>
          <t>Reçue</t>
        </is>
      </c>
      <c r="F25" s="12" t="inlineStr">
        <is>
          <t>Version provisoire (voir A32)</t>
        </is>
      </c>
    </row>
    <row r="26">
      <c r="A26" s="12" t="n">
        <v>22</v>
      </c>
      <c r="B26" s="12" t="inlineStr">
        <is>
          <t>G50_01/02/03-2026_TPM_ET_LOCATION_CONSOLIDE.xls</t>
        </is>
      </c>
      <c r="C26" s="12" t="inlineStr">
        <is>
          <t>TPM</t>
        </is>
      </c>
      <c r="D26" s="12" t="inlineStr">
        <is>
          <t>Janvier, février, mars 2026</t>
        </is>
      </c>
      <c r="E26" s="61" t="inlineStr">
        <is>
          <t>Reçue</t>
        </is>
      </c>
      <c r="F26" s="12" t="inlineStr">
        <is>
          <t>Conformes à la paie</t>
        </is>
      </c>
    </row>
    <row r="27">
      <c r="A27" s="12" t="n">
        <v>23</v>
      </c>
      <c r="B27" s="12" t="inlineStr">
        <is>
          <t>Journal 2023 définitif et liasse fiscale 2023</t>
        </is>
      </c>
      <c r="C27" s="12" t="inlineStr">
        <is>
          <t>Société</t>
        </is>
      </c>
      <c r="D27" s="12" t="inlineStr">
        <is>
          <t>2023</t>
        </is>
      </c>
      <c r="E27" s="40" t="inlineStr">
        <is>
          <t>Manquante</t>
        </is>
      </c>
      <c r="F27" s="12" t="inlineStr">
        <is>
          <t>Voir A32</t>
        </is>
      </c>
    </row>
    <row r="28">
      <c r="A28" s="12" t="n">
        <v>24</v>
      </c>
      <c r="B28" s="12" t="inlineStr">
        <is>
          <t>Extrait du registre de commerce (scan CNRC)</t>
        </is>
      </c>
      <c r="C28" s="12" t="inlineStr">
        <is>
          <t>Société</t>
        </is>
      </c>
      <c r="D28" s="12" t="inlineStr">
        <is>
          <t>Délivré le 10/09/2024</t>
        </is>
      </c>
      <c r="E28" s="61" t="inlineStr">
        <is>
          <t>Reçue</t>
        </is>
      </c>
      <c r="F28" s="12" t="inlineStr">
        <is>
          <t>Expiré le 13/02/2026, remplacé</t>
        </is>
      </c>
    </row>
    <row r="29">
      <c r="A29" s="12" t="n">
        <v>25</v>
      </c>
      <c r="B29" s="12" t="inlineStr">
        <is>
          <t>Extrait du registre de commerce modifié n° 700320220 (photo)</t>
        </is>
      </c>
      <c r="C29" s="12" t="inlineStr">
        <is>
          <t>Société</t>
        </is>
      </c>
      <c r="D29" s="12" t="inlineStr">
        <is>
          <t>Délivré le 29/07/2026</t>
        </is>
      </c>
      <c r="E29" s="61" t="inlineStr">
        <is>
          <t>Reçue</t>
        </is>
      </c>
      <c r="F29" s="12" t="inlineStr">
        <is>
          <t>Valide jusqu'au 16/02/2028 ; capital 268 M</t>
        </is>
      </c>
    </row>
    <row r="30">
      <c r="A30" s="12" t="n">
        <v>26</v>
      </c>
      <c r="B30" s="12" t="inlineStr">
        <is>
          <t>PV d'AGE, statuts modifiés et justificatif de libération du capital</t>
        </is>
      </c>
      <c r="C30" s="12" t="inlineStr">
        <is>
          <t>Société</t>
        </is>
      </c>
      <c r="D30" s="12" t="inlineStr">
        <is>
          <t>2026</t>
        </is>
      </c>
      <c r="E30" s="40" t="inlineStr">
        <is>
          <t>Manquante</t>
        </is>
      </c>
      <c r="F30" s="12" t="inlineStr">
        <is>
          <t>Voir A44</t>
        </is>
      </c>
    </row>
    <row r="31">
      <c r="A31" s="12" t="n">
        <v>27</v>
      </c>
      <c r="B31" s="12" t="inlineStr">
        <is>
          <t>CPA_DPR_COMPANY.xls — relevé CPA El Kseur</t>
        </is>
      </c>
      <c r="C31" s="12" t="inlineStr">
        <is>
          <t>IMPORT</t>
        </is>
      </c>
      <c r="D31" s="12" t="inlineStr">
        <is>
          <t>31/12/2025 – 29/06/2026</t>
        </is>
      </c>
      <c r="E31" s="61" t="inlineStr">
        <is>
          <t>Reçue</t>
        </is>
      </c>
      <c r="F31" s="12" t="inlineStr">
        <is>
          <t>Remplacé par le relevé complet</t>
        </is>
      </c>
    </row>
    <row r="32">
      <c r="A32" s="12" t="n">
        <v>28</v>
      </c>
      <c r="B32" s="12" t="inlineStr">
        <is>
          <t>relevé de banque SARL DPR COMPANY.xlsx — CPA El Kseur</t>
        </is>
      </c>
      <c r="C32" s="12" t="inlineStr">
        <is>
          <t>IMPORT</t>
        </is>
      </c>
      <c r="D32" s="12" t="inlineStr">
        <is>
          <t>06/10/2025 – 03/10/2026</t>
        </is>
      </c>
      <c r="E32" s="61" t="inlineStr">
        <is>
          <t>Reçue</t>
        </is>
      </c>
      <c r="F32" s="12" t="inlineStr">
        <is>
          <t>871 opérations ; écritures proposées</t>
        </is>
      </c>
    </row>
    <row r="33">
      <c r="A33" s="12" t="n">
        <v>29</v>
      </c>
      <c r="B33" s="12" t="inlineStr">
        <is>
          <t>Bordereaux de remise de chèques et talons de chéquiers 2026</t>
        </is>
      </c>
      <c r="C33" s="12" t="inlineStr">
        <is>
          <t>IMPORT</t>
        </is>
      </c>
      <c r="D33" s="12" t="inlineStr">
        <is>
          <t>2026</t>
        </is>
      </c>
      <c r="E33" s="40" t="inlineStr">
        <is>
          <t>Manquante</t>
        </is>
      </c>
      <c r="F33" s="12" t="inlineStr">
        <is>
          <t>Voir A46 : 158 opérations à identifier</t>
        </is>
      </c>
    </row>
    <row r="34">
      <c r="A34" s="12" t="n">
        <v>30</v>
      </c>
      <c r="B34" s="12" t="inlineStr">
        <is>
          <t>Relevés des autres comptes (CPA 4000015290-18, El Baraka, BNA) 2026</t>
        </is>
      </c>
      <c r="C34" s="12" t="inlineStr">
        <is>
          <t>Les deux</t>
        </is>
      </c>
      <c r="D34" s="12" t="inlineStr">
        <is>
          <t>2026</t>
        </is>
      </c>
      <c r="E34" s="40" t="inlineStr">
        <is>
          <t>Manquante</t>
        </is>
      </c>
      <c r="F34" s="12" t="inlineStr">
        <is>
          <t>Paiements G50 TPM, salaires</t>
        </is>
      </c>
    </row>
    <row r="35">
      <c r="A35" s="12" t="n">
        <v>31</v>
      </c>
      <c r="B35" s="12" t="inlineStr">
        <is>
          <t>Dossiers d'importation (domiciliations PTI, D10, quittances douane)</t>
        </is>
      </c>
      <c r="C35" s="12" t="inlineStr">
        <is>
          <t>IMPORT</t>
        </is>
      </c>
      <c r="D35" s="12" t="inlineStr">
        <is>
          <t>2026</t>
        </is>
      </c>
      <c r="E35" s="40" t="inlineStr">
        <is>
          <t>Manquante</t>
        </is>
      </c>
      <c r="F35" s="12" t="inlineStr">
        <is>
          <t>Justifier règlements et chèques de banque</t>
        </is>
      </c>
    </row>
    <row r="36">
      <c r="A36" s="12" t="n">
        <v>32</v>
      </c>
      <c r="B36" s="12" t="inlineStr">
        <is>
          <t>Statuts à jour et bail du local (DJENNADI Abdelkader)</t>
        </is>
      </c>
      <c r="C36" s="12" t="inlineStr">
        <is>
          <t>Société</t>
        </is>
      </c>
      <c r="D36" s="12" t="inlineStr"/>
      <c r="E36" s="40" t="inlineStr">
        <is>
          <t>Manquante</t>
        </is>
      </c>
      <c r="F36" s="12" t="inlineStr">
        <is>
          <t>Voir A40</t>
        </is>
      </c>
    </row>
    <row r="37">
      <c r="A37" s="12" t="n">
        <v>33</v>
      </c>
      <c r="B37" s="12" t="inlineStr">
        <is>
          <t>Déclaration d'existence du siège (10/09/2003) et avis d'identification ONS</t>
        </is>
      </c>
      <c r="C37" s="12" t="inlineStr">
        <is>
          <t>Société</t>
        </is>
      </c>
      <c r="D37" s="12" t="inlineStr">
        <is>
          <t>2003</t>
        </is>
      </c>
      <c r="E37" s="61" t="inlineStr">
        <is>
          <t>Reçue</t>
        </is>
      </c>
      <c r="F37" s="12" t="inlineStr">
        <is>
          <t>Dossier administratif</t>
        </is>
      </c>
    </row>
    <row r="38">
      <c r="A38" s="12" t="n">
        <v>34</v>
      </c>
      <c r="B38" s="12" t="inlineStr">
        <is>
          <t>Extrait RC de l'établissement secondaire de Fenaia (n° 920064572)</t>
        </is>
      </c>
      <c r="C38" s="12" t="inlineStr">
        <is>
          <t>Fenaia</t>
        </is>
      </c>
      <c r="D38" s="12" t="inlineStr">
        <is>
          <t>11/09/2024</t>
        </is>
      </c>
      <c r="E38" s="61" t="inlineStr">
        <is>
          <t>Reçue</t>
        </is>
      </c>
      <c r="F38" s="12" t="inlineStr">
        <is>
          <t>Vente au détail et réparation</t>
        </is>
      </c>
    </row>
    <row r="39">
      <c r="A39" s="12" t="n">
        <v>35</v>
      </c>
      <c r="B39" s="12" t="inlineStr">
        <is>
          <t>Déclaration d'existence fiscale de l'établissement de Fenaia</t>
        </is>
      </c>
      <c r="C39" s="12" t="inlineStr">
        <is>
          <t>Fenaia</t>
        </is>
      </c>
      <c r="D39" s="12" t="inlineStr">
        <is>
          <t>03/03/2026</t>
        </is>
      </c>
      <c r="E39" s="61" t="inlineStr">
        <is>
          <t>Reçue</t>
        </is>
      </c>
      <c r="F39" s="12" t="inlineStr">
        <is>
          <t>Article 06180778071</t>
        </is>
      </c>
    </row>
    <row r="40">
      <c r="A40" s="12" t="n">
        <v>36</v>
      </c>
      <c r="B40" s="12" t="inlineStr">
        <is>
          <t>Attestation d'immatriculation fiscale (NIF)</t>
        </is>
      </c>
      <c r="C40" s="12" t="inlineStr">
        <is>
          <t>Société</t>
        </is>
      </c>
      <c r="D40" s="12" t="inlineStr">
        <is>
          <t>09/03/2026</t>
        </is>
      </c>
      <c r="E40" s="61" t="inlineStr">
        <is>
          <t>Reçue</t>
        </is>
      </c>
      <c r="F40" s="12" t="inlineStr"/>
    </row>
    <row r="41">
      <c r="A41" s="12" t="n">
        <v>37</v>
      </c>
      <c r="B41" s="12" t="inlineStr">
        <is>
          <t>Ventes, stocks et caisse du magasin de Fenaia depuis le 10/09/2024 ; bail du local</t>
        </is>
      </c>
      <c r="C41" s="12" t="inlineStr">
        <is>
          <t>Fenaia</t>
        </is>
      </c>
      <c r="D41" s="12" t="inlineStr">
        <is>
          <t>2024–2026</t>
        </is>
      </c>
      <c r="E41" s="40" t="inlineStr">
        <is>
          <t>Manquante</t>
        </is>
      </c>
      <c r="F41" s="12" t="inlineStr">
        <is>
          <t>Voir A48</t>
        </is>
      </c>
    </row>
    <row r="42">
      <c r="A42" s="12" t="n">
        <v>38</v>
      </c>
      <c r="B42" s="12" t="inlineStr">
        <is>
          <t>Etat Détails Journal Factures gros.xls (siège)</t>
        </is>
      </c>
      <c r="C42" s="12" t="inlineStr">
        <is>
          <t>IMPORT</t>
        </is>
      </c>
      <c r="D42" s="12" t="inlineStr">
        <is>
          <t>01/01 – 04/10/2026</t>
        </is>
      </c>
      <c r="E42" s="61" t="inlineStr">
        <is>
          <t>Reçue</t>
        </is>
      </c>
      <c r="F42" s="12" t="inlineStr">
        <is>
          <t>180 factures, 84 355 024,24 HT ; écritures journal 06002</t>
        </is>
      </c>
    </row>
    <row r="43">
      <c r="A43" s="12" t="n">
        <v>39</v>
      </c>
      <c r="B43" s="12" t="inlineStr">
        <is>
          <t>Etat Détails Journal Factures detail.xls (Fenaia)</t>
        </is>
      </c>
      <c r="C43" s="12" t="inlineStr">
        <is>
          <t>Fenaia</t>
        </is>
      </c>
      <c r="D43" s="12" t="inlineStr">
        <is>
          <t>01/01 – 04/10/2026</t>
        </is>
      </c>
      <c r="E43" s="61" t="inlineStr">
        <is>
          <t>Reçue</t>
        </is>
      </c>
      <c r="F43" s="12" t="inlineStr">
        <is>
          <t>79 factures, 28 635 000 HT ; écritures journal 15001</t>
        </is>
      </c>
    </row>
    <row r="44">
      <c r="A44" s="12" t="n">
        <v>40</v>
      </c>
      <c r="B44" s="12" t="inlineStr">
        <is>
          <t>G50 IMPORT et TPM septembre 2026</t>
        </is>
      </c>
      <c r="C44" s="12" t="inlineStr">
        <is>
          <t>Les deux</t>
        </is>
      </c>
      <c r="D44" s="12" t="inlineStr">
        <is>
          <t>Sept. 2026</t>
        </is>
      </c>
      <c r="E44" s="40" t="inlineStr">
        <is>
          <t>Manquante</t>
        </is>
      </c>
      <c r="F44" s="12" t="inlineStr">
        <is>
          <t>Échéance 20/10/2026</t>
        </is>
      </c>
    </row>
    <row r="45">
      <c r="A45" s="12" t="n">
        <v>41</v>
      </c>
      <c r="B45" s="12" t="inlineStr">
        <is>
          <t>Journal des ventes / factures 2026</t>
        </is>
      </c>
      <c r="C45" s="12" t="inlineStr">
        <is>
          <t>IMPORT</t>
        </is>
      </c>
      <c r="D45" s="12" t="inlineStr">
        <is>
          <t>2026</t>
        </is>
      </c>
      <c r="E45" s="40" t="inlineStr">
        <is>
          <t>Manquante</t>
        </is>
      </c>
      <c r="F45" s="12" t="inlineStr">
        <is>
          <t>Voir A18 : CA réel par mois</t>
        </is>
      </c>
    </row>
    <row r="46">
      <c r="A46" s="12" t="n">
        <v>42</v>
      </c>
      <c r="B46" s="12" t="inlineStr">
        <is>
          <t>G50 TPM 2023–2025 (rapprochement TVA collectée TPM)</t>
        </is>
      </c>
      <c r="C46" s="12" t="inlineStr">
        <is>
          <t>TPM</t>
        </is>
      </c>
      <c r="D46" s="12" t="inlineStr">
        <is>
          <t>2023–2025</t>
        </is>
      </c>
      <c r="E46" s="40" t="inlineStr">
        <is>
          <t>Manquante</t>
        </is>
      </c>
      <c r="F46" s="12" t="inlineStr">
        <is>
          <t>Voir A17</t>
        </is>
      </c>
    </row>
    <row r="47">
      <c r="A47" s="12" t="n">
        <v>43</v>
      </c>
      <c r="B47" s="12" t="inlineStr">
        <is>
          <t>Journal comptable 2026 (PCCOMPTA)</t>
        </is>
      </c>
      <c r="C47" s="12" t="inlineStr">
        <is>
          <t>Société</t>
        </is>
      </c>
      <c r="D47" s="12" t="inlineStr">
        <is>
          <t>2026</t>
        </is>
      </c>
      <c r="E47" s="40" t="inlineStr">
        <is>
          <t>Manquante</t>
        </is>
      </c>
      <c r="F47" s="12" t="inlineStr">
        <is>
          <t>Pour rapprocher paie et G50 avec la comptabilité</t>
        </is>
      </c>
    </row>
    <row r="48">
      <c r="A48" s="12" t="n">
        <v>44</v>
      </c>
      <c r="B48" s="12" t="inlineStr">
        <is>
          <t>Liasse fiscale / bilan 2025 déposé et preuve de paiement IBS</t>
        </is>
      </c>
      <c r="C48" s="12" t="inlineStr">
        <is>
          <t>Société</t>
        </is>
      </c>
      <c r="D48" s="12" t="inlineStr">
        <is>
          <t>2025</t>
        </is>
      </c>
      <c r="E48" s="40" t="inlineStr">
        <is>
          <t>Manquante</t>
        </is>
      </c>
      <c r="F48" s="12" t="inlineStr">
        <is>
          <t>Voir A20, A21</t>
        </is>
      </c>
    </row>
    <row r="49">
      <c r="A49" s="12" t="n">
        <v>45</v>
      </c>
      <c r="B49" s="12" t="inlineStr">
        <is>
          <t>PV de caisse au 31/12/2025</t>
        </is>
      </c>
      <c r="C49" s="12" t="inlineStr">
        <is>
          <t>Société</t>
        </is>
      </c>
      <c r="D49" s="12" t="inlineStr">
        <is>
          <t>2025</t>
        </is>
      </c>
      <c r="E49" s="40" t="inlineStr">
        <is>
          <t>Manquante</t>
        </is>
      </c>
      <c r="F49" s="12" t="inlineStr">
        <is>
          <t>Voir A22</t>
        </is>
      </c>
    </row>
    <row r="50">
      <c r="A50" s="12" t="n">
        <v>46</v>
      </c>
      <c r="B50" s="12" t="inlineStr">
        <is>
          <t>Déclarations et paiements CACOBATPH</t>
        </is>
      </c>
      <c r="C50" s="12" t="inlineStr">
        <is>
          <t>Les deux</t>
        </is>
      </c>
      <c r="D50" s="12" t="inlineStr">
        <is>
          <t>2026</t>
        </is>
      </c>
      <c r="E50" s="40" t="inlineStr">
        <is>
          <t>Manquante</t>
        </is>
      </c>
      <c r="F50" s="12" t="inlineStr"/>
    </row>
    <row r="51">
      <c r="A51" s="12" t="n">
        <v>47</v>
      </c>
      <c r="B51" s="12" t="inlineStr">
        <is>
          <t>Livre de paie individuel / bulletins</t>
        </is>
      </c>
      <c r="C51" s="12" t="inlineStr">
        <is>
          <t>Les deux</t>
        </is>
      </c>
      <c r="D51" s="12" t="inlineStr">
        <is>
          <t>2026</t>
        </is>
      </c>
      <c r="E51" s="40" t="inlineStr">
        <is>
          <t>Manquante</t>
        </is>
      </c>
      <c r="F51" s="12" t="inlineStr">
        <is>
          <t>Pour contrôle IRG</t>
        </is>
      </c>
    </row>
    <row r="52">
      <c r="A52" s="12" t="n">
        <v>48</v>
      </c>
      <c r="B52" s="12" t="inlineStr">
        <is>
          <t>Ordres de mission et justificatifs de frais</t>
        </is>
      </c>
      <c r="C52" s="12" t="inlineStr">
        <is>
          <t>TPM</t>
        </is>
      </c>
      <c r="D52" s="12" t="inlineStr">
        <is>
          <t>2026</t>
        </is>
      </c>
      <c r="E52" s="40" t="inlineStr">
        <is>
          <t>Manquante</t>
        </is>
      </c>
      <c r="F52" s="12" t="inlineStr">
        <is>
          <t>Frais de mission élevés</t>
        </is>
      </c>
    </row>
    <row r="53">
      <c r="A53" s="12" t="n">
        <v>49</v>
      </c>
      <c r="B53" s="12" t="inlineStr">
        <is>
          <t>Relevés bancaires — virements de salaires</t>
        </is>
      </c>
      <c r="C53" s="12" t="inlineStr">
        <is>
          <t>Les deux</t>
        </is>
      </c>
      <c r="D53" s="12" t="inlineStr">
        <is>
          <t>2026</t>
        </is>
      </c>
      <c r="E53" s="40" t="inlineStr">
        <is>
          <t>Manquante</t>
        </is>
      </c>
      <c r="F53" s="12" t="inlineStr">
        <is>
          <t>Pour lettrage du 421</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2026-10-04T11:08:22Z</dcterms:created>
  <dcterms:modified xsi:type="dcterms:W3CDTF">2026-10-04T11:08:25Z</dcterms:modified>
</cp:coreProperties>
</file>