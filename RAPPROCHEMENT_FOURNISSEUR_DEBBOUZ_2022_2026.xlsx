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RAPPROCHEMENT DETAILLE" sheetId="2" state="visible" r:id="rId2"/>
    <sheet name="RELEVE FOURNISSEUR" sheetId="3" state="visible" r:id="rId3"/>
    <sheet name="GRAND LIVRE FL076" sheetId="4" state="visible" r:id="rId4"/>
    <sheet name="ECRITURES PASSEES 2026" sheetId="5" state="visible" r:id="rId5"/>
  </sheets>
  <definedNames>
    <definedName name="_xlnm._FilterDatabase" localSheetId="1" hidden="1">'RAPPROCHEMENT DETAILLE'!$A$1:$K$99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4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/>
    </xf>
    <xf numFmtId="0" fontId="3" fillId="0" borderId="0" pivotButton="0" quotePrefix="0" xfId="0"/>
    <xf numFmtId="4" fontId="0" fillId="0" borderId="0" pivotButton="0" quotePrefix="0" xfId="0"/>
    <xf numFmtId="165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165" fontId="0" fillId="0" borderId="0" pivotButton="0" quotePrefix="0" xfId="0"/>
    <xf numFmtId="165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5" customWidth="1" min="10" max="10"/>
    <col width="90" customWidth="1" min="11" max="11"/>
  </cols>
  <sheetData>
    <row r="1">
      <c r="A1" s="1" t="inlineStr">
        <is>
          <t>Rapprochement fournisseur SNC BEJAIA HYDROCARBURES DEBBOUZ &amp; FRERES — compte 40100 / FL076</t>
        </is>
      </c>
    </row>
    <row r="2">
      <c r="A2" t="inlineStr">
        <is>
          <t>Relevé du fournisseur (récapitulatif des achats 07/2022 → 06/2026) comparé aux grands livres 2023, 2024, 2025 et au journal 2026. Solde créditeur = dette de DPR COMPAGNY.</t>
        </is>
      </c>
    </row>
    <row r="4" ht="32" customHeight="1">
      <c r="A4" s="2" t="inlineStr">
        <is>
          <t>Exercice</t>
        </is>
      </c>
      <c r="B4" s="2" t="inlineStr">
        <is>
          <t>Solde début — relevé</t>
        </is>
      </c>
      <c r="C4" s="2" t="inlineStr">
        <is>
          <t>Solde début — compta</t>
        </is>
      </c>
      <c r="D4" s="2" t="inlineStr">
        <is>
          <t>Factures — relevé</t>
        </is>
      </c>
      <c r="E4" s="2" t="inlineStr">
        <is>
          <t>Factures — compta</t>
        </is>
      </c>
      <c r="F4" s="2" t="inlineStr">
        <is>
          <t>Règlements — relevé</t>
        </is>
      </c>
      <c r="G4" s="2" t="inlineStr">
        <is>
          <t>Règlements — compta</t>
        </is>
      </c>
      <c r="H4" s="2" t="inlineStr">
        <is>
          <t>Solde fin — relevé</t>
        </is>
      </c>
      <c r="I4" s="2" t="inlineStr">
        <is>
          <t>Solde fin — compta</t>
        </is>
      </c>
      <c r="J4" s="2" t="inlineStr">
        <is>
          <t>Écart fin (compta − relevé)</t>
        </is>
      </c>
      <c r="K4" s="2" t="inlineStr">
        <is>
          <t>Commentaire</t>
        </is>
      </c>
    </row>
    <row r="5">
      <c r="A5" s="3" t="inlineStr">
        <is>
          <t>2022</t>
        </is>
      </c>
      <c r="B5" s="4" t="n">
        <v>0</v>
      </c>
      <c r="C5" s="4" t="n"/>
      <c r="D5" s="4" t="n">
        <v>6372336.6</v>
      </c>
      <c r="E5" s="4" t="n"/>
      <c r="F5" s="4" t="n">
        <v>5176573.41</v>
      </c>
      <c r="G5" s="4" t="n"/>
      <c r="H5" s="4" t="n">
        <v>1195763.19</v>
      </c>
      <c r="I5" s="4" t="n"/>
      <c r="J5" s="5">
        <f>IF(ISNUMBER(I5),I5-H5,"")</f>
        <v/>
      </c>
      <c r="K5" s="6" t="inlineStr">
        <is>
          <t>Grand livre 2022 non fourni. Au 31/12/2022 le fournisseur n'attend que la facture 425/2022 (1 195 763,19) ; la comptabilité reprend 2 356 163,19 à nouveau en 2023 : écart 1 160 400 = facture 386/2022 réglée par CHQ 4972769 du 14/12/2022, non comptabilisé en 2022.</t>
        </is>
      </c>
    </row>
    <row r="6">
      <c r="A6" s="3" t="inlineStr">
        <is>
          <t>2023</t>
        </is>
      </c>
      <c r="B6" s="4" t="n">
        <v>1195763.19</v>
      </c>
      <c r="C6" s="4" t="n">
        <v>2356163.19</v>
      </c>
      <c r="D6" s="4" t="n">
        <v>12536787.5</v>
      </c>
      <c r="E6" s="4" t="n">
        <v>10317522.5</v>
      </c>
      <c r="F6" s="4" t="n">
        <v>11513285.69</v>
      </c>
      <c r="G6" s="4" t="n">
        <v>8268227.09</v>
      </c>
      <c r="H6" s="4" t="n">
        <v>2219265</v>
      </c>
      <c r="I6" s="4" t="n">
        <v>4405458.6</v>
      </c>
      <c r="J6" s="5">
        <f>IF(ISNUMBER(I6),I6-H6,"")</f>
        <v/>
      </c>
      <c r="K6" s="6" t="inlineStr">
        <is>
          <t>Le fichier 2023 transmis est incomplet (novembre-décembre 2023) : il manque CHQ 4972778 (909 753,60), 4972789 (1 000 845), 4972790 (1 334 460) et les factures 353/2023 et 392/2023. Le report à nouveau 2024 (2 219 265) correspond exactement au relevé : 2023 est juste dans le dossier définitif.</t>
        </is>
      </c>
    </row>
    <row r="7">
      <c r="A7" s="3" t="inlineStr">
        <is>
          <t>2024</t>
        </is>
      </c>
      <c r="B7" s="4" t="n">
        <v>2219265</v>
      </c>
      <c r="C7" s="4" t="n">
        <v>2219265</v>
      </c>
      <c r="D7" s="4" t="n">
        <v>11219588.49</v>
      </c>
      <c r="E7" s="4" t="n">
        <v>11219588.49</v>
      </c>
      <c r="F7" s="4" t="n">
        <v>11981876</v>
      </c>
      <c r="G7" s="4" t="n">
        <v>11981876</v>
      </c>
      <c r="H7" s="4" t="n">
        <v>1456977.49</v>
      </c>
      <c r="I7" s="4" t="n">
        <v>1456977.49</v>
      </c>
      <c r="J7" s="7">
        <f>IF(ISNUMBER(I7),I7-H7,"")</f>
        <v/>
      </c>
      <c r="K7" s="6" t="inlineStr">
        <is>
          <t>Concordant. Les règlements du 24/01/2024 et 07/02/2024 sont faits en 2 virements chacun (CPA El Kseur + CPA 4000015290).</t>
        </is>
      </c>
    </row>
    <row r="8">
      <c r="A8" s="3" t="inlineStr">
        <is>
          <t>2025</t>
        </is>
      </c>
      <c r="B8" s="4" t="n">
        <v>1456977.49</v>
      </c>
      <c r="C8" s="4" t="n">
        <v>1456977.49</v>
      </c>
      <c r="D8" s="4" t="n">
        <v>5671455</v>
      </c>
      <c r="E8" s="4" t="n">
        <v>5671455</v>
      </c>
      <c r="F8" s="4" t="n">
        <v>6390000</v>
      </c>
      <c r="G8" s="4" t="n">
        <v>6390000</v>
      </c>
      <c r="H8" s="4" t="n">
        <v>738432.49</v>
      </c>
      <c r="I8" s="4" t="n">
        <v>738432.49</v>
      </c>
      <c r="J8" s="7">
        <f>IF(ISNUMBER(I8),I8-H8,"")</f>
        <v/>
      </c>
      <c r="K8" s="6" t="inlineStr">
        <is>
          <t>Concordant au dinar près (738 432,49). Facture du 31/07/2025 (348 120) saisie sans numéro ; facture 31/12/2025 saisie n° 389/2025 au lieu de 386/2025.</t>
        </is>
      </c>
    </row>
    <row r="9">
      <c r="A9" s="3" t="inlineStr">
        <is>
          <t>2026 (au 30/06)</t>
        </is>
      </c>
      <c r="B9" s="4" t="n">
        <v>738432.49</v>
      </c>
      <c r="C9" s="4" t="n">
        <v>738432.49</v>
      </c>
      <c r="D9" s="4" t="n">
        <v>2433717</v>
      </c>
      <c r="E9" s="4" t="n">
        <v>2433717</v>
      </c>
      <c r="F9" s="4" t="n">
        <v>2895116</v>
      </c>
      <c r="G9" s="4" t="n">
        <v>2895116</v>
      </c>
      <c r="H9" s="4" t="n">
        <v>277033.49</v>
      </c>
      <c r="I9" s="4" t="n">
        <v>277033.49</v>
      </c>
      <c r="J9" s="7">
        <f>IF(ISNUMBER(I9),I9-H9,"")</f>
        <v/>
      </c>
      <c r="K9" s="6" t="inlineStr">
        <is>
          <t>Après régularisation : concordant (277 033,49). Avant : 6 factures non saisies (2 433 717) et 4 virements en attente au 47000 (2 195 116).</t>
        </is>
      </c>
    </row>
    <row r="11">
      <c r="A11" s="8" t="inlineStr">
        <is>
          <t>Situation au 07/10/2026 après régularisation</t>
        </is>
      </c>
    </row>
    <row r="12">
      <c r="A12" t="inlineStr">
        <is>
          <t>Solde dû au fournisseur au 30/06/2026 (relevé = compta)</t>
        </is>
      </c>
      <c r="B12" s="9" t="n">
        <v>277033.49</v>
      </c>
    </row>
    <row r="13">
      <c r="A13" t="inlineStr">
        <is>
          <t>Virement EDI du 15/09/2026 (700 000) rattaché provisoirement à DEBBOUZ</t>
        </is>
      </c>
      <c r="B13" s="9" t="n">
        <v>-700000</v>
      </c>
    </row>
    <row r="14">
      <c r="A14" t="inlineStr">
        <is>
          <t>Solde comptable FL076 au 07/10/2026 (débiteur = avance)</t>
        </is>
      </c>
      <c r="B14" s="9">
        <f>B12+B13</f>
        <v/>
      </c>
    </row>
    <row r="15">
      <c r="A15" t="inlineStr">
        <is>
          <t>→ Demander au fournisseur le relevé juillet–septembre 2026 (factures carburant) pour solder ce virement.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8" customWidth="1" min="3" max="3"/>
    <col width="15" customWidth="1" min="4" max="4"/>
    <col width="9" customWidth="1" min="5" max="5"/>
    <col width="11" customWidth="1" min="6" max="6"/>
    <col width="13" customWidth="1" min="7" max="7"/>
    <col width="26" customWidth="1" min="8" max="8"/>
    <col width="15" customWidth="1" min="9" max="9"/>
    <col width="30" customWidth="1" min="10" max="10"/>
    <col width="70" customWidth="1" min="11" max="11"/>
  </cols>
  <sheetData>
    <row r="1" ht="32" customHeight="1">
      <c r="A1" s="2" t="inlineStr">
        <is>
          <t>Date relevé</t>
        </is>
      </c>
      <c r="B1" s="2" t="inlineStr">
        <is>
          <t>Nature</t>
        </is>
      </c>
      <c r="C1" s="2" t="inlineStr">
        <is>
          <t>N° facture / mode de règlement</t>
        </is>
      </c>
      <c r="D1" s="2" t="inlineStr">
        <is>
          <t>Montant relevé</t>
        </is>
      </c>
      <c r="E1" s="2" t="inlineStr">
        <is>
          <t>Exercice compta</t>
        </is>
      </c>
      <c r="F1" s="2" t="inlineStr">
        <is>
          <t>Date compta</t>
        </is>
      </c>
      <c r="G1" s="2" t="inlineStr">
        <is>
          <t>Journal</t>
        </is>
      </c>
      <c r="H1" s="2" t="inlineStr">
        <is>
          <t>Référence compta</t>
        </is>
      </c>
      <c r="I1" s="2" t="inlineStr">
        <is>
          <t>Montant compta</t>
        </is>
      </c>
      <c r="J1" s="2" t="inlineStr">
        <is>
          <t>Statut</t>
        </is>
      </c>
      <c r="K1" s="2" t="inlineStr">
        <is>
          <t>Observation</t>
        </is>
      </c>
    </row>
    <row r="2">
      <c r="A2" s="10" t="n">
        <v>44772</v>
      </c>
      <c r="B2" s="11" t="inlineStr">
        <is>
          <t>Facture</t>
        </is>
      </c>
      <c r="C2" s="11" t="inlineStr">
        <is>
          <t>227/2022</t>
        </is>
      </c>
      <c r="D2" s="12" t="n">
        <v>769954.41</v>
      </c>
      <c r="E2" s="11" t="n"/>
      <c r="F2" s="10" t="n"/>
      <c r="G2" s="11" t="n"/>
      <c r="H2" s="11" t="n"/>
      <c r="I2" s="12" t="n"/>
      <c r="J2" s="13" t="inlineStr">
        <is>
          <t>Absent de la comptabilité</t>
        </is>
      </c>
      <c r="K2" s="11" t="inlineStr">
        <is>
          <t>Exercice 2022 : grand livre non fourni (hors périmètre comptable disponible)</t>
        </is>
      </c>
    </row>
    <row r="3">
      <c r="A3" s="10" t="n">
        <v>44775</v>
      </c>
      <c r="B3" s="11" t="inlineStr">
        <is>
          <t>Règlement</t>
        </is>
      </c>
      <c r="C3" s="11" t="inlineStr">
        <is>
          <t>CHQ 4972757 du 02/08/2022</t>
        </is>
      </c>
      <c r="D3" s="12" t="n">
        <v>769954.41</v>
      </c>
      <c r="E3" s="11" t="n"/>
      <c r="F3" s="10" t="n"/>
      <c r="G3" s="11" t="n"/>
      <c r="H3" s="11" t="n"/>
      <c r="I3" s="12" t="n"/>
      <c r="J3" s="13" t="inlineStr">
        <is>
          <t>Absent de la comptabilité</t>
        </is>
      </c>
      <c r="K3" s="11" t="inlineStr">
        <is>
          <t>Exercice 2022 : grand livre non fourni (hors périmètre comptable disponible)</t>
        </is>
      </c>
    </row>
    <row r="4">
      <c r="A4" s="10" t="n">
        <v>44803</v>
      </c>
      <c r="B4" s="11" t="inlineStr">
        <is>
          <t>Facture</t>
        </is>
      </c>
      <c r="C4" s="11" t="inlineStr">
        <is>
          <t>274/2022</t>
        </is>
      </c>
      <c r="D4" s="12" t="n">
        <v>1130374.65</v>
      </c>
      <c r="E4" s="11" t="n"/>
      <c r="F4" s="10" t="n"/>
      <c r="G4" s="11" t="n"/>
      <c r="H4" s="11" t="n"/>
      <c r="I4" s="12" t="n"/>
      <c r="J4" s="13" t="inlineStr">
        <is>
          <t>Absent de la comptabilité</t>
        </is>
      </c>
      <c r="K4" s="11" t="inlineStr">
        <is>
          <t>Exercice 2022 : grand livre non fourni (hors périmètre comptable disponible)</t>
        </is>
      </c>
    </row>
    <row r="5">
      <c r="A5" s="10" t="n">
        <v>44806</v>
      </c>
      <c r="B5" s="11" t="inlineStr">
        <is>
          <t>Règlement</t>
        </is>
      </c>
      <c r="C5" s="11" t="inlineStr">
        <is>
          <t>CHQ 4972760 du 02/09/2022</t>
        </is>
      </c>
      <c r="D5" s="12" t="n">
        <v>1130374.65</v>
      </c>
      <c r="E5" s="11" t="n"/>
      <c r="F5" s="10" t="n"/>
      <c r="G5" s="11" t="n"/>
      <c r="H5" s="11" t="n"/>
      <c r="I5" s="12" t="n"/>
      <c r="J5" s="13" t="inlineStr">
        <is>
          <t>Absent de la comptabilité</t>
        </is>
      </c>
      <c r="K5" s="11" t="inlineStr">
        <is>
          <t>Exercice 2022 : grand livre non fourni (hors périmètre comptable disponible)</t>
        </is>
      </c>
    </row>
    <row r="6">
      <c r="A6" s="10" t="n">
        <v>44834</v>
      </c>
      <c r="B6" s="11" t="inlineStr">
        <is>
          <t>Facture</t>
        </is>
      </c>
      <c r="C6" s="11" t="inlineStr">
        <is>
          <t>311/2022</t>
        </is>
      </c>
      <c r="D6" s="12" t="n">
        <v>1001715.3</v>
      </c>
      <c r="E6" s="11" t="n"/>
      <c r="F6" s="10" t="n"/>
      <c r="G6" s="11" t="n"/>
      <c r="H6" s="11" t="n"/>
      <c r="I6" s="12" t="n"/>
      <c r="J6" s="13" t="inlineStr">
        <is>
          <t>Absent de la comptabilité</t>
        </is>
      </c>
      <c r="K6" s="11" t="inlineStr">
        <is>
          <t>Exercice 2022 : grand livre non fourni (hors périmètre comptable disponible)</t>
        </is>
      </c>
    </row>
    <row r="7">
      <c r="A7" s="10" t="n">
        <v>44844</v>
      </c>
      <c r="B7" s="11" t="inlineStr">
        <is>
          <t>Règlement</t>
        </is>
      </c>
      <c r="C7" s="11" t="inlineStr">
        <is>
          <t>CHQ 4972762 du 10/10/2022</t>
        </is>
      </c>
      <c r="D7" s="12" t="n">
        <v>1001715.3</v>
      </c>
      <c r="E7" s="11" t="n"/>
      <c r="F7" s="10" t="n"/>
      <c r="G7" s="11" t="n"/>
      <c r="H7" s="11" t="n"/>
      <c r="I7" s="12" t="n"/>
      <c r="J7" s="13" t="inlineStr">
        <is>
          <t>Absent de la comptabilité</t>
        </is>
      </c>
      <c r="K7" s="11" t="inlineStr">
        <is>
          <t>Exercice 2022 : grand livre non fourni (hors périmètre comptable disponible)</t>
        </is>
      </c>
    </row>
    <row r="8">
      <c r="A8" s="10" t="n">
        <v>44865</v>
      </c>
      <c r="B8" s="11" t="inlineStr">
        <is>
          <t>Facture</t>
        </is>
      </c>
      <c r="C8" s="11" t="inlineStr">
        <is>
          <t>346/2022</t>
        </is>
      </c>
      <c r="D8" s="12" t="n">
        <v>1114129.05</v>
      </c>
      <c r="E8" s="11" t="n"/>
      <c r="F8" s="10" t="n"/>
      <c r="G8" s="11" t="n"/>
      <c r="H8" s="11" t="n"/>
      <c r="I8" s="12" t="n"/>
      <c r="J8" s="13" t="inlineStr">
        <is>
          <t>Absent de la comptabilité</t>
        </is>
      </c>
      <c r="K8" s="11" t="inlineStr">
        <is>
          <t>Exercice 2022 : grand livre non fourni (hors périmètre comptable disponible)</t>
        </is>
      </c>
    </row>
    <row r="9">
      <c r="A9" s="10" t="n">
        <v>44879</v>
      </c>
      <c r="B9" s="11" t="inlineStr">
        <is>
          <t>Règlement</t>
        </is>
      </c>
      <c r="C9" s="11" t="inlineStr">
        <is>
          <t>CHQ 4972765 du 14/11/2022</t>
        </is>
      </c>
      <c r="D9" s="12" t="n">
        <v>1114129.05</v>
      </c>
      <c r="E9" s="11" t="n"/>
      <c r="F9" s="10" t="n"/>
      <c r="G9" s="11" t="n"/>
      <c r="H9" s="11" t="n"/>
      <c r="I9" s="12" t="n"/>
      <c r="J9" s="13" t="inlineStr">
        <is>
          <t>Absent de la comptabilité</t>
        </is>
      </c>
      <c r="K9" s="11" t="inlineStr">
        <is>
          <t>Exercice 2022 : grand livre non fourni (hors périmètre comptable disponible)</t>
        </is>
      </c>
    </row>
    <row r="10">
      <c r="A10" s="10" t="n">
        <v>44895</v>
      </c>
      <c r="B10" s="11" t="inlineStr">
        <is>
          <t>Facture</t>
        </is>
      </c>
      <c r="C10" s="11" t="inlineStr">
        <is>
          <t>386/2022</t>
        </is>
      </c>
      <c r="D10" s="12" t="n">
        <v>1160400</v>
      </c>
      <c r="E10" s="11" t="n"/>
      <c r="F10" s="10" t="n"/>
      <c r="G10" s="11" t="n"/>
      <c r="H10" s="11" t="n"/>
      <c r="I10" s="12" t="n"/>
      <c r="J10" s="13" t="inlineStr">
        <is>
          <t>Absent de la comptabilité</t>
        </is>
      </c>
      <c r="K10" s="11" t="inlineStr">
        <is>
          <t>Exercice 2022 : grand livre non fourni (hors périmètre comptable disponible)</t>
        </is>
      </c>
    </row>
    <row r="11">
      <c r="A11" s="10" t="n">
        <v>44909</v>
      </c>
      <c r="B11" s="11" t="inlineStr">
        <is>
          <t>Règlement</t>
        </is>
      </c>
      <c r="C11" s="11" t="inlineStr">
        <is>
          <t>CHQ 4972769 du 14/12/2022</t>
        </is>
      </c>
      <c r="D11" s="12" t="n">
        <v>1160400</v>
      </c>
      <c r="E11" s="11" t="n"/>
      <c r="F11" s="10" t="n"/>
      <c r="G11" s="11" t="n"/>
      <c r="H11" s="11" t="n"/>
      <c r="I11" s="12" t="n"/>
      <c r="J11" s="13" t="inlineStr">
        <is>
          <t>Absent de la comptabilité</t>
        </is>
      </c>
      <c r="K11" s="11" t="inlineStr">
        <is>
          <t>Exercice 2022 : grand livre non fourni (hors périmètre comptable disponible)</t>
        </is>
      </c>
    </row>
    <row r="12">
      <c r="A12" s="10" t="n">
        <v>44926</v>
      </c>
      <c r="B12" s="11" t="inlineStr">
        <is>
          <t>Facture</t>
        </is>
      </c>
      <c r="C12" s="11" t="inlineStr">
        <is>
          <t>425/2022</t>
        </is>
      </c>
      <c r="D12" s="12" t="n">
        <v>1195763.19</v>
      </c>
      <c r="E12" s="11" t="n"/>
      <c r="F12" s="10" t="n"/>
      <c r="G12" s="11" t="n"/>
      <c r="H12" s="11" t="n"/>
      <c r="I12" s="12" t="n"/>
      <c r="J12" s="13" t="inlineStr">
        <is>
          <t>Absent de la comptabilité</t>
        </is>
      </c>
      <c r="K12" s="11" t="inlineStr">
        <is>
          <t>Exercice 2022 : grand livre non fourni (hors périmètre comptable disponible)</t>
        </is>
      </c>
    </row>
    <row r="13">
      <c r="A13" s="10" t="n">
        <v>44957</v>
      </c>
      <c r="B13" s="11" t="inlineStr">
        <is>
          <t>Facture</t>
        </is>
      </c>
      <c r="C13" s="11" t="inlineStr">
        <is>
          <t>026/2023</t>
        </is>
      </c>
      <c r="D13" s="12" t="n">
        <v>1276440</v>
      </c>
      <c r="E13" s="11" t="inlineStr">
        <is>
          <t>2023</t>
        </is>
      </c>
      <c r="F13" s="10" t="n">
        <v>44957</v>
      </c>
      <c r="G13" s="11" t="inlineStr">
        <is>
          <t>14002</t>
        </is>
      </c>
      <c r="H13" s="11" t="inlineStr">
        <is>
          <t>N°026/2023</t>
        </is>
      </c>
      <c r="I13" s="12" t="n">
        <v>1276440</v>
      </c>
      <c r="J13" s="14" t="inlineStr">
        <is>
          <t>Rapproché</t>
        </is>
      </c>
      <c r="K13" s="11" t="inlineStr"/>
    </row>
    <row r="14">
      <c r="A14" s="10" t="n">
        <v>44964</v>
      </c>
      <c r="B14" s="11" t="inlineStr">
        <is>
          <t>Règlement</t>
        </is>
      </c>
      <c r="C14" s="11" t="inlineStr">
        <is>
          <t>CHQ 4972771 du 07/02/2023</t>
        </is>
      </c>
      <c r="D14" s="12" t="n">
        <v>1195763.19</v>
      </c>
      <c r="E14" s="11" t="inlineStr">
        <is>
          <t>2023</t>
        </is>
      </c>
      <c r="F14" s="10" t="n">
        <v>44966</v>
      </c>
      <c r="G14" s="11" t="inlineStr">
        <is>
          <t>13001</t>
        </is>
      </c>
      <c r="H14" s="11" t="inlineStr">
        <is>
          <t>CQ 4972771</t>
        </is>
      </c>
      <c r="I14" s="12" t="n">
        <v>1195763.19</v>
      </c>
      <c r="J14" s="14" t="inlineStr">
        <is>
          <t>Rapproché</t>
        </is>
      </c>
      <c r="K14" s="11" t="inlineStr"/>
    </row>
    <row r="15">
      <c r="A15" s="10" t="n">
        <v>44985</v>
      </c>
      <c r="B15" s="11" t="inlineStr">
        <is>
          <t>Facture</t>
        </is>
      </c>
      <c r="C15" s="11" t="inlineStr">
        <is>
          <t>054/2023</t>
        </is>
      </c>
      <c r="D15" s="12" t="n">
        <v>968353.8</v>
      </c>
      <c r="E15" s="11" t="inlineStr">
        <is>
          <t>2023</t>
        </is>
      </c>
      <c r="F15" s="10" t="n">
        <v>44985</v>
      </c>
      <c r="G15" s="11" t="inlineStr">
        <is>
          <t>14002</t>
        </is>
      </c>
      <c r="H15" s="11" t="inlineStr">
        <is>
          <t>N°054/2023</t>
        </is>
      </c>
      <c r="I15" s="12" t="n">
        <v>968353.8</v>
      </c>
      <c r="J15" s="14" t="inlineStr">
        <is>
          <t>Rapproché</t>
        </is>
      </c>
      <c r="K15" s="11" t="inlineStr"/>
    </row>
    <row r="16">
      <c r="A16" s="10" t="n">
        <v>44990</v>
      </c>
      <c r="B16" s="11" t="inlineStr">
        <is>
          <t>Règlement</t>
        </is>
      </c>
      <c r="C16" s="11" t="inlineStr">
        <is>
          <t>CHQ 4972774 du 05/03/2023</t>
        </is>
      </c>
      <c r="D16" s="12" t="n">
        <v>1276440</v>
      </c>
      <c r="E16" s="11" t="inlineStr">
        <is>
          <t>2023</t>
        </is>
      </c>
      <c r="F16" s="10" t="n">
        <v>44998</v>
      </c>
      <c r="G16" s="11" t="inlineStr">
        <is>
          <t>13001</t>
        </is>
      </c>
      <c r="H16" s="11" t="inlineStr">
        <is>
          <t>CQ 4972774</t>
        </is>
      </c>
      <c r="I16" s="12" t="n">
        <v>1276440</v>
      </c>
      <c r="J16" s="14" t="inlineStr">
        <is>
          <t>Rapproché</t>
        </is>
      </c>
      <c r="K16" s="11" t="inlineStr"/>
    </row>
    <row r="17">
      <c r="A17" s="10" t="n">
        <v>45016</v>
      </c>
      <c r="B17" s="11" t="inlineStr">
        <is>
          <t>Facture</t>
        </is>
      </c>
      <c r="C17" s="11" t="inlineStr">
        <is>
          <t>090/2023</t>
        </is>
      </c>
      <c r="D17" s="12" t="n">
        <v>909753.6</v>
      </c>
      <c r="E17" s="11" t="inlineStr">
        <is>
          <t>2023</t>
        </is>
      </c>
      <c r="F17" s="10" t="n">
        <v>45016</v>
      </c>
      <c r="G17" s="11" t="inlineStr">
        <is>
          <t>14002</t>
        </is>
      </c>
      <c r="H17" s="11" t="inlineStr">
        <is>
          <t>N°090/2023</t>
        </is>
      </c>
      <c r="I17" s="12" t="n">
        <v>909753.6</v>
      </c>
      <c r="J17" s="14" t="inlineStr">
        <is>
          <t>Rapproché</t>
        </is>
      </c>
      <c r="K17" s="11" t="inlineStr"/>
    </row>
    <row r="18">
      <c r="A18" s="10" t="n">
        <v>45025</v>
      </c>
      <c r="B18" s="11" t="inlineStr">
        <is>
          <t>Règlement</t>
        </is>
      </c>
      <c r="C18" s="11" t="inlineStr">
        <is>
          <t>CHQ 4972776 du 09/04/2023</t>
        </is>
      </c>
      <c r="D18" s="12" t="n">
        <v>968353.8</v>
      </c>
      <c r="E18" s="11" t="inlineStr">
        <is>
          <t>2023</t>
        </is>
      </c>
      <c r="F18" s="10" t="n">
        <v>45028</v>
      </c>
      <c r="G18" s="11" t="inlineStr">
        <is>
          <t>13001</t>
        </is>
      </c>
      <c r="H18" s="11" t="inlineStr">
        <is>
          <t>CQ 4972776</t>
        </is>
      </c>
      <c r="I18" s="12" t="n">
        <v>968353.8</v>
      </c>
      <c r="J18" s="14" t="inlineStr">
        <is>
          <t>Rapproché</t>
        </is>
      </c>
      <c r="K18" s="11" t="inlineStr"/>
    </row>
    <row r="19">
      <c r="A19" s="10" t="n">
        <v>45046</v>
      </c>
      <c r="B19" s="11" t="inlineStr">
        <is>
          <t>Facture</t>
        </is>
      </c>
      <c r="C19" s="11" t="inlineStr">
        <is>
          <t>125/2023</t>
        </is>
      </c>
      <c r="D19" s="12" t="n">
        <v>916716</v>
      </c>
      <c r="E19" s="11" t="inlineStr">
        <is>
          <t>2023</t>
        </is>
      </c>
      <c r="F19" s="10" t="n">
        <v>45046</v>
      </c>
      <c r="G19" s="11" t="inlineStr">
        <is>
          <t>14002</t>
        </is>
      </c>
      <c r="H19" s="11" t="inlineStr">
        <is>
          <t>N°125/2023</t>
        </is>
      </c>
      <c r="I19" s="12" t="n">
        <v>916716</v>
      </c>
      <c r="J19" s="14" t="inlineStr">
        <is>
          <t>Rapproché</t>
        </is>
      </c>
      <c r="K19" s="11" t="inlineStr"/>
    </row>
    <row r="20">
      <c r="A20" s="10" t="n">
        <v>45053</v>
      </c>
      <c r="B20" s="11" t="inlineStr">
        <is>
          <t>Règlement</t>
        </is>
      </c>
      <c r="C20" s="11" t="inlineStr">
        <is>
          <t>CHQ 4972778 du 07/05/2023</t>
        </is>
      </c>
      <c r="D20" s="12" t="n">
        <v>909753.6</v>
      </c>
      <c r="E20" s="11" t="n"/>
      <c r="F20" s="10" t="n"/>
      <c r="G20" s="11" t="n"/>
      <c r="H20" s="11" t="n"/>
      <c r="I20" s="12" t="n"/>
      <c r="J20" s="13" t="inlineStr">
        <is>
          <t>Absent de la comptabilité</t>
        </is>
      </c>
      <c r="K20" s="11" t="inlineStr">
        <is>
          <t>Fichier 2023 incomplet (décembre 2023 : 31 lignes) ; le report à nouveau 2024 (2 219 265) est juste</t>
        </is>
      </c>
    </row>
    <row r="21">
      <c r="A21" s="10" t="n">
        <v>45077</v>
      </c>
      <c r="B21" s="11" t="inlineStr">
        <is>
          <t>Facture</t>
        </is>
      </c>
      <c r="C21" s="11" t="inlineStr">
        <is>
          <t>159/2023</t>
        </is>
      </c>
      <c r="D21" s="12" t="n">
        <v>870300</v>
      </c>
      <c r="E21" s="11" t="inlineStr">
        <is>
          <t>2023</t>
        </is>
      </c>
      <c r="F21" s="10" t="n">
        <v>45077</v>
      </c>
      <c r="G21" s="11" t="inlineStr">
        <is>
          <t>14002</t>
        </is>
      </c>
      <c r="H21" s="11" t="inlineStr">
        <is>
          <t>N°159/2023</t>
        </is>
      </c>
      <c r="I21" s="12" t="n">
        <v>870300</v>
      </c>
      <c r="J21" s="14" t="inlineStr">
        <is>
          <t>Rapproché</t>
        </is>
      </c>
      <c r="K21" s="11" t="inlineStr"/>
    </row>
    <row r="22">
      <c r="A22" s="10" t="n">
        <v>45082</v>
      </c>
      <c r="B22" s="11" t="inlineStr">
        <is>
          <t>Règlement</t>
        </is>
      </c>
      <c r="C22" s="11" t="inlineStr">
        <is>
          <t>CHQ 4972780 du 05/06/2023</t>
        </is>
      </c>
      <c r="D22" s="12" t="n">
        <v>916716</v>
      </c>
      <c r="E22" s="11" t="inlineStr">
        <is>
          <t>2023</t>
        </is>
      </c>
      <c r="F22" s="10" t="n">
        <v>45089</v>
      </c>
      <c r="G22" s="11" t="inlineStr">
        <is>
          <t>13001</t>
        </is>
      </c>
      <c r="H22" s="11" t="inlineStr">
        <is>
          <t>CQ 4972780</t>
        </is>
      </c>
      <c r="I22" s="12" t="n">
        <v>916716</v>
      </c>
      <c r="J22" s="14" t="inlineStr">
        <is>
          <t>Rapproché</t>
        </is>
      </c>
      <c r="K22" s="11" t="inlineStr"/>
    </row>
    <row r="23">
      <c r="A23" s="10" t="n">
        <v>45107</v>
      </c>
      <c r="B23" s="11" t="inlineStr">
        <is>
          <t>Facture</t>
        </is>
      </c>
      <c r="C23" s="11" t="inlineStr">
        <is>
          <t>189/2023</t>
        </is>
      </c>
      <c r="D23" s="12" t="n">
        <v>941780.6</v>
      </c>
      <c r="E23" s="11" t="inlineStr">
        <is>
          <t>2023</t>
        </is>
      </c>
      <c r="F23" s="10" t="n">
        <v>45107</v>
      </c>
      <c r="G23" s="11" t="inlineStr">
        <is>
          <t>14002</t>
        </is>
      </c>
      <c r="H23" s="11" t="inlineStr">
        <is>
          <t>N°189/2023</t>
        </is>
      </c>
      <c r="I23" s="12" t="n">
        <v>941780.6</v>
      </c>
      <c r="J23" s="14" t="inlineStr">
        <is>
          <t>Rapproché</t>
        </is>
      </c>
      <c r="K23" s="11" t="inlineStr"/>
    </row>
    <row r="24">
      <c r="A24" s="10" t="n">
        <v>45116</v>
      </c>
      <c r="B24" s="11" t="inlineStr">
        <is>
          <t>Règlement</t>
        </is>
      </c>
      <c r="C24" s="11" t="inlineStr">
        <is>
          <t>CHQ 4972781 du 09/07/2023</t>
        </is>
      </c>
      <c r="D24" s="12" t="n">
        <v>870300</v>
      </c>
      <c r="E24" s="11" t="inlineStr">
        <is>
          <t>2023</t>
        </is>
      </c>
      <c r="F24" s="10" t="n">
        <v>45123</v>
      </c>
      <c r="G24" s="11" t="inlineStr">
        <is>
          <t>13001</t>
        </is>
      </c>
      <c r="H24" s="11" t="inlineStr">
        <is>
          <t>CQ 4972781</t>
        </is>
      </c>
      <c r="I24" s="12" t="n">
        <v>870300</v>
      </c>
      <c r="J24" s="14" t="inlineStr">
        <is>
          <t>Rapproché</t>
        </is>
      </c>
      <c r="K24" s="11" t="inlineStr"/>
    </row>
    <row r="25">
      <c r="A25" s="10" t="n">
        <v>45138</v>
      </c>
      <c r="B25" s="11" t="inlineStr">
        <is>
          <t>Facture</t>
        </is>
      </c>
      <c r="C25" s="11" t="inlineStr">
        <is>
          <t>218/2023</t>
        </is>
      </c>
      <c r="D25" s="12" t="n">
        <v>1044360</v>
      </c>
      <c r="E25" s="11" t="inlineStr">
        <is>
          <t>2023</t>
        </is>
      </c>
      <c r="F25" s="10" t="n">
        <v>45138</v>
      </c>
      <c r="G25" s="11" t="inlineStr">
        <is>
          <t>14002</t>
        </is>
      </c>
      <c r="H25" s="11" t="inlineStr">
        <is>
          <t>N°218/2023</t>
        </is>
      </c>
      <c r="I25" s="12" t="n">
        <v>1044360</v>
      </c>
      <c r="J25" s="14" t="inlineStr">
        <is>
          <t>Rapproché</t>
        </is>
      </c>
      <c r="K25" s="11" t="inlineStr"/>
    </row>
    <row r="26">
      <c r="A26" s="10" t="n">
        <v>45147</v>
      </c>
      <c r="B26" s="11" t="inlineStr">
        <is>
          <t>Règlement</t>
        </is>
      </c>
      <c r="C26" s="11" t="inlineStr">
        <is>
          <t>CHQ 4972782 du 09/08/2023</t>
        </is>
      </c>
      <c r="D26" s="12" t="n">
        <v>941780.6</v>
      </c>
      <c r="E26" s="11" t="inlineStr">
        <is>
          <t>2023</t>
        </is>
      </c>
      <c r="F26" s="10" t="n">
        <v>45153</v>
      </c>
      <c r="G26" s="11" t="inlineStr">
        <is>
          <t>13001</t>
        </is>
      </c>
      <c r="H26" s="11" t="inlineStr">
        <is>
          <t>CQ 4972782</t>
        </is>
      </c>
      <c r="I26" s="12" t="n">
        <v>941780.6</v>
      </c>
      <c r="J26" s="14" t="inlineStr">
        <is>
          <t>Rapproché</t>
        </is>
      </c>
      <c r="K26" s="11" t="inlineStr"/>
    </row>
    <row r="27">
      <c r="A27" s="10" t="n">
        <v>45168</v>
      </c>
      <c r="B27" s="11" t="inlineStr">
        <is>
          <t>Règlement</t>
        </is>
      </c>
      <c r="C27" s="11" t="inlineStr">
        <is>
          <t>CHQ 4972782 du 30/08/2023 (n° répété sur le relevé)</t>
        </is>
      </c>
      <c r="D27" s="12" t="n">
        <v>1044360</v>
      </c>
      <c r="E27" s="11" t="inlineStr">
        <is>
          <t>2023</t>
        </is>
      </c>
      <c r="F27" s="10" t="n">
        <v>45186</v>
      </c>
      <c r="G27" s="11" t="inlineStr">
        <is>
          <t>13001</t>
        </is>
      </c>
      <c r="H27" s="11" t="inlineStr">
        <is>
          <t>CQ 4972785</t>
        </is>
      </c>
      <c r="I27" s="12" t="n">
        <v>1044360</v>
      </c>
      <c r="J27" s="14" t="inlineStr">
        <is>
          <t>Rapproché</t>
        </is>
      </c>
      <c r="K27" s="11" t="inlineStr"/>
    </row>
    <row r="28">
      <c r="A28" s="10" t="n">
        <v>45169</v>
      </c>
      <c r="B28" s="11" t="inlineStr">
        <is>
          <t>Facture</t>
        </is>
      </c>
      <c r="C28" s="11" t="inlineStr">
        <is>
          <t>245/2023</t>
        </is>
      </c>
      <c r="D28" s="12" t="n">
        <v>1054513.5</v>
      </c>
      <c r="E28" s="11" t="inlineStr">
        <is>
          <t>2023</t>
        </is>
      </c>
      <c r="F28" s="10" t="n">
        <v>45169</v>
      </c>
      <c r="G28" s="11" t="inlineStr">
        <is>
          <t>14002</t>
        </is>
      </c>
      <c r="H28" s="11" t="inlineStr">
        <is>
          <t>N°245/2023</t>
        </is>
      </c>
      <c r="I28" s="12" t="n">
        <v>1054513.5</v>
      </c>
      <c r="J28" s="14" t="inlineStr">
        <is>
          <t>Rapproché</t>
        </is>
      </c>
      <c r="K28" s="11" t="inlineStr"/>
    </row>
    <row r="29">
      <c r="A29" s="10" t="n">
        <v>45199</v>
      </c>
      <c r="B29" s="11" t="inlineStr">
        <is>
          <t>Facture</t>
        </is>
      </c>
      <c r="C29" s="11" t="inlineStr">
        <is>
          <t>277/2023</t>
        </is>
      </c>
      <c r="D29" s="12" t="n">
        <v>1000845</v>
      </c>
      <c r="E29" s="11" t="inlineStr">
        <is>
          <t>2023</t>
        </is>
      </c>
      <c r="F29" s="10" t="n">
        <v>45199</v>
      </c>
      <c r="G29" s="11" t="inlineStr">
        <is>
          <t>14002</t>
        </is>
      </c>
      <c r="H29" s="11" t="inlineStr">
        <is>
          <t>N°277/2023</t>
        </is>
      </c>
      <c r="I29" s="12" t="n">
        <v>1000845</v>
      </c>
      <c r="J29" s="14" t="inlineStr">
        <is>
          <t>Rapproché</t>
        </is>
      </c>
      <c r="K29" s="11" t="inlineStr"/>
    </row>
    <row r="30">
      <c r="A30" s="10" t="n">
        <v>45205</v>
      </c>
      <c r="B30" s="11" t="inlineStr">
        <is>
          <t>Règlement</t>
        </is>
      </c>
      <c r="C30" s="11" t="inlineStr">
        <is>
          <t>CHQ 4972787 du 06/10/2023</t>
        </is>
      </c>
      <c r="D30" s="12" t="n">
        <v>1054513.5</v>
      </c>
      <c r="E30" s="11" t="inlineStr">
        <is>
          <t>2023</t>
        </is>
      </c>
      <c r="F30" s="10" t="n">
        <v>45215</v>
      </c>
      <c r="G30" s="11" t="inlineStr">
        <is>
          <t>13001</t>
        </is>
      </c>
      <c r="H30" s="11" t="inlineStr">
        <is>
          <t>CQ 4972787</t>
        </is>
      </c>
      <c r="I30" s="12" t="n">
        <v>1054513.5</v>
      </c>
      <c r="J30" s="14" t="inlineStr">
        <is>
          <t>Rapproché</t>
        </is>
      </c>
      <c r="K30" s="11" t="inlineStr"/>
    </row>
    <row r="31">
      <c r="A31" s="10" t="n">
        <v>45230</v>
      </c>
      <c r="B31" s="11" t="inlineStr">
        <is>
          <t>Facture</t>
        </is>
      </c>
      <c r="C31" s="11" t="inlineStr">
        <is>
          <t>318/2023</t>
        </is>
      </c>
      <c r="D31" s="12" t="n">
        <v>1334460</v>
      </c>
      <c r="E31" s="11" t="inlineStr">
        <is>
          <t>2023</t>
        </is>
      </c>
      <c r="F31" s="10" t="n">
        <v>45230</v>
      </c>
      <c r="G31" s="11" t="inlineStr">
        <is>
          <t>14002</t>
        </is>
      </c>
      <c r="H31" s="11" t="inlineStr">
        <is>
          <t>N°318/2023</t>
        </is>
      </c>
      <c r="I31" s="12" t="n">
        <v>1334460</v>
      </c>
      <c r="J31" s="14" t="inlineStr">
        <is>
          <t>Rapproché</t>
        </is>
      </c>
      <c r="K31" s="11" t="inlineStr"/>
    </row>
    <row r="32">
      <c r="A32" s="10" t="n">
        <v>45239</v>
      </c>
      <c r="B32" s="11" t="inlineStr">
        <is>
          <t>Règlement</t>
        </is>
      </c>
      <c r="C32" s="11" t="inlineStr">
        <is>
          <t>CHQ 4972789 du 09/11/2023</t>
        </is>
      </c>
      <c r="D32" s="12" t="n">
        <v>1000845</v>
      </c>
      <c r="E32" s="11" t="n"/>
      <c r="F32" s="10" t="n"/>
      <c r="G32" s="11" t="n"/>
      <c r="H32" s="11" t="n"/>
      <c r="I32" s="12" t="n"/>
      <c r="J32" s="13" t="inlineStr">
        <is>
          <t>Absent de la comptabilité</t>
        </is>
      </c>
      <c r="K32" s="11" t="inlineStr">
        <is>
          <t>Fichier 2023 incomplet (décembre 2023 : 31 lignes) ; le report à nouveau 2024 (2 219 265) est juste</t>
        </is>
      </c>
    </row>
    <row r="33">
      <c r="A33" s="10" t="n">
        <v>45260</v>
      </c>
      <c r="B33" s="11" t="inlineStr">
        <is>
          <t>Facture</t>
        </is>
      </c>
      <c r="C33" s="11" t="inlineStr">
        <is>
          <t>353/2023</t>
        </is>
      </c>
      <c r="D33" s="12" t="n">
        <v>1058865</v>
      </c>
      <c r="E33" s="11" t="n"/>
      <c r="F33" s="10" t="n"/>
      <c r="G33" s="11" t="n"/>
      <c r="H33" s="11" t="n"/>
      <c r="I33" s="12" t="n"/>
      <c r="J33" s="13" t="inlineStr">
        <is>
          <t>Absent de la comptabilité</t>
        </is>
      </c>
      <c r="K33" s="11" t="inlineStr">
        <is>
          <t>Fichier 2023 incomplet (décembre 2023 : 31 lignes) ; le report à nouveau 2024 (2 219 265) est juste</t>
        </is>
      </c>
    </row>
    <row r="34">
      <c r="A34" s="10" t="n">
        <v>45266</v>
      </c>
      <c r="B34" s="11" t="inlineStr">
        <is>
          <t>Règlement</t>
        </is>
      </c>
      <c r="C34" s="11" t="inlineStr">
        <is>
          <t>CHQ 4972790 du 06/12/2023</t>
        </is>
      </c>
      <c r="D34" s="12" t="n">
        <v>1334460</v>
      </c>
      <c r="E34" s="11" t="n"/>
      <c r="F34" s="10" t="n"/>
      <c r="G34" s="11" t="n"/>
      <c r="H34" s="11" t="n"/>
      <c r="I34" s="12" t="n"/>
      <c r="J34" s="13" t="inlineStr">
        <is>
          <t>Absent de la comptabilité</t>
        </is>
      </c>
      <c r="K34" s="11" t="inlineStr">
        <is>
          <t>Fichier 2023 incomplet (décembre 2023 : 31 lignes) ; le report à nouveau 2024 (2 219 265) est juste</t>
        </is>
      </c>
    </row>
    <row r="35">
      <c r="A35" s="10" t="n">
        <v>45291</v>
      </c>
      <c r="B35" s="11" t="inlineStr">
        <is>
          <t>Facture</t>
        </is>
      </c>
      <c r="C35" s="11" t="inlineStr">
        <is>
          <t>392/2023</t>
        </is>
      </c>
      <c r="D35" s="12" t="n">
        <v>1160400</v>
      </c>
      <c r="E35" s="11" t="n"/>
      <c r="F35" s="10" t="n"/>
      <c r="G35" s="11" t="n"/>
      <c r="H35" s="11" t="n"/>
      <c r="I35" s="12" t="n"/>
      <c r="J35" s="13" t="inlineStr">
        <is>
          <t>Absent de la comptabilité</t>
        </is>
      </c>
      <c r="K35" s="11" t="inlineStr">
        <is>
          <t>Fichier 2023 incomplet (décembre 2023 : 31 lignes) ; le report à nouveau 2024 (2 219 265) est juste</t>
        </is>
      </c>
    </row>
    <row r="36">
      <c r="A36" s="10" t="n">
        <v>45315</v>
      </c>
      <c r="B36" s="11" t="inlineStr">
        <is>
          <t>Règlement</t>
        </is>
      </c>
      <c r="C36" s="11" t="inlineStr">
        <is>
          <t>OV du 24/01/2024</t>
        </is>
      </c>
      <c r="D36" s="12" t="n">
        <v>1058865</v>
      </c>
      <c r="E36" s="11" t="inlineStr">
        <is>
          <t>2024</t>
        </is>
      </c>
      <c r="F36" s="10" t="n">
        <v>45316</v>
      </c>
      <c r="G36" s="11" t="inlineStr">
        <is>
          <t>02001 + 13001</t>
        </is>
      </c>
      <c r="H36" s="11" t="inlineStr">
        <is>
          <t>VRT + VRT EDI</t>
        </is>
      </c>
      <c r="I36" s="12" t="n">
        <v>1058865</v>
      </c>
      <c r="J36" s="14" t="inlineStr">
        <is>
          <t>Rapproché (2 virements : CPA + CPA 4000015290)</t>
        </is>
      </c>
      <c r="K36" s="11" t="inlineStr"/>
    </row>
    <row r="37">
      <c r="A37" s="10" t="n">
        <v>45322</v>
      </c>
      <c r="B37" s="11" t="inlineStr">
        <is>
          <t>Facture</t>
        </is>
      </c>
      <c r="C37" s="11" t="inlineStr">
        <is>
          <t>029/2024</t>
        </is>
      </c>
      <c r="D37" s="12" t="n">
        <v>1105281</v>
      </c>
      <c r="E37" s="11" t="inlineStr">
        <is>
          <t>2024</t>
        </is>
      </c>
      <c r="F37" s="10" t="n">
        <v>45322</v>
      </c>
      <c r="G37" s="11" t="inlineStr">
        <is>
          <t>14002</t>
        </is>
      </c>
      <c r="H37" s="11" t="inlineStr">
        <is>
          <t>N°029/2024</t>
        </is>
      </c>
      <c r="I37" s="12" t="n">
        <v>1105281</v>
      </c>
      <c r="J37" s="14" t="inlineStr">
        <is>
          <t>Rapproché</t>
        </is>
      </c>
      <c r="K37" s="11" t="inlineStr"/>
    </row>
    <row r="38">
      <c r="A38" s="10" t="n">
        <v>45329</v>
      </c>
      <c r="B38" s="11" t="inlineStr">
        <is>
          <t>Règlement</t>
        </is>
      </c>
      <c r="C38" s="11" t="inlineStr">
        <is>
          <t>OV du 07/02/2024</t>
        </is>
      </c>
      <c r="D38" s="12" t="n">
        <v>1160400</v>
      </c>
      <c r="E38" s="11" t="inlineStr">
        <is>
          <t>2024</t>
        </is>
      </c>
      <c r="F38" s="10" t="n">
        <v>45329</v>
      </c>
      <c r="G38" s="11" t="inlineStr">
        <is>
          <t>02001 + 13001</t>
        </is>
      </c>
      <c r="H38" s="11" t="inlineStr">
        <is>
          <t>VRT EDI + VRT EDI</t>
        </is>
      </c>
      <c r="I38" s="12" t="n">
        <v>1160400</v>
      </c>
      <c r="J38" s="14" t="inlineStr">
        <is>
          <t>Rapproché (2 virements : CPA + CPA 4000015290)</t>
        </is>
      </c>
      <c r="K38" s="11" t="inlineStr"/>
    </row>
    <row r="39">
      <c r="A39" s="10" t="n">
        <v>45351</v>
      </c>
      <c r="B39" s="11" t="inlineStr">
        <is>
          <t>Facture</t>
        </is>
      </c>
      <c r="C39" s="11" t="inlineStr">
        <is>
          <t>066/2024</t>
        </is>
      </c>
      <c r="D39" s="12" t="n">
        <v>957330</v>
      </c>
      <c r="E39" s="11" t="inlineStr">
        <is>
          <t>2024</t>
        </is>
      </c>
      <c r="F39" s="10" t="n">
        <v>45351</v>
      </c>
      <c r="G39" s="11" t="inlineStr">
        <is>
          <t>14002</t>
        </is>
      </c>
      <c r="H39" s="11" t="inlineStr">
        <is>
          <t>N°068/2024</t>
        </is>
      </c>
      <c r="I39" s="12" t="n">
        <v>957330</v>
      </c>
      <c r="J39" s="14" t="inlineStr">
        <is>
          <t>Rapproché</t>
        </is>
      </c>
      <c r="K39" s="11" t="inlineStr"/>
    </row>
    <row r="40">
      <c r="A40" s="10" t="n">
        <v>45375</v>
      </c>
      <c r="B40" s="11" t="inlineStr">
        <is>
          <t>Règlement</t>
        </is>
      </c>
      <c r="C40" s="11" t="inlineStr">
        <is>
          <t>CHQ 4972793 du 24/03/2024</t>
        </is>
      </c>
      <c r="D40" s="12" t="n">
        <v>1105281</v>
      </c>
      <c r="E40" s="11" t="inlineStr">
        <is>
          <t>2024</t>
        </is>
      </c>
      <c r="F40" s="10" t="n">
        <v>45389</v>
      </c>
      <c r="G40" s="11" t="inlineStr">
        <is>
          <t>13001</t>
        </is>
      </c>
      <c r="H40" s="11" t="inlineStr">
        <is>
          <t>CQ 4972793</t>
        </is>
      </c>
      <c r="I40" s="12" t="n">
        <v>1105281</v>
      </c>
      <c r="J40" s="14" t="inlineStr">
        <is>
          <t>Rapproché</t>
        </is>
      </c>
      <c r="K40" s="11" t="inlineStr"/>
    </row>
    <row r="41">
      <c r="A41" s="10" t="n">
        <v>45382</v>
      </c>
      <c r="B41" s="11" t="inlineStr">
        <is>
          <t>Facture</t>
        </is>
      </c>
      <c r="C41" s="11" t="inlineStr">
        <is>
          <t>104/2024</t>
        </is>
      </c>
      <c r="D41" s="12" t="n">
        <v>1073370</v>
      </c>
      <c r="E41" s="11" t="inlineStr">
        <is>
          <t>2024</t>
        </is>
      </c>
      <c r="F41" s="10" t="n">
        <v>45382</v>
      </c>
      <c r="G41" s="11" t="inlineStr">
        <is>
          <t>14002</t>
        </is>
      </c>
      <c r="H41" s="11" t="inlineStr">
        <is>
          <t>N°104/2024</t>
        </is>
      </c>
      <c r="I41" s="12" t="n">
        <v>1073370</v>
      </c>
      <c r="J41" s="14" t="inlineStr">
        <is>
          <t>Rapproché</t>
        </is>
      </c>
      <c r="K41" s="11" t="inlineStr"/>
    </row>
    <row r="42">
      <c r="A42" s="10" t="n">
        <v>45412</v>
      </c>
      <c r="B42" s="11" t="inlineStr">
        <is>
          <t>Facture</t>
        </is>
      </c>
      <c r="C42" s="11" t="inlineStr">
        <is>
          <t>135/2024</t>
        </is>
      </c>
      <c r="D42" s="12" t="n">
        <v>799892.73</v>
      </c>
      <c r="E42" s="11" t="inlineStr">
        <is>
          <t>2024</t>
        </is>
      </c>
      <c r="F42" s="10" t="n">
        <v>45412</v>
      </c>
      <c r="G42" s="11" t="inlineStr">
        <is>
          <t>14002</t>
        </is>
      </c>
      <c r="H42" s="11" t="inlineStr">
        <is>
          <t>N°135/2024</t>
        </is>
      </c>
      <c r="I42" s="12" t="n">
        <v>799892.73</v>
      </c>
      <c r="J42" s="14" t="inlineStr">
        <is>
          <t>Rapproché</t>
        </is>
      </c>
      <c r="K42" s="11" t="inlineStr"/>
    </row>
    <row r="43">
      <c r="A43" s="10" t="n">
        <v>45425</v>
      </c>
      <c r="B43" s="11" t="inlineStr">
        <is>
          <t>Règlement</t>
        </is>
      </c>
      <c r="C43" s="11" t="inlineStr">
        <is>
          <t>OV du 13/05/2024</t>
        </is>
      </c>
      <c r="D43" s="12" t="n">
        <v>380000</v>
      </c>
      <c r="E43" s="11" t="inlineStr">
        <is>
          <t>2024</t>
        </is>
      </c>
      <c r="F43" s="10" t="n">
        <v>45426</v>
      </c>
      <c r="G43" s="11" t="inlineStr">
        <is>
          <t>02001</t>
        </is>
      </c>
      <c r="H43" s="11" t="inlineStr">
        <is>
          <t>VRT</t>
        </is>
      </c>
      <c r="I43" s="12" t="n">
        <v>380000</v>
      </c>
      <c r="J43" s="14" t="inlineStr">
        <is>
          <t>Rapproché</t>
        </is>
      </c>
      <c r="K43" s="11" t="inlineStr"/>
    </row>
    <row r="44">
      <c r="A44" s="10" t="n">
        <v>45427</v>
      </c>
      <c r="B44" s="11" t="inlineStr">
        <is>
          <t>Règlement</t>
        </is>
      </c>
      <c r="C44" s="11" t="inlineStr">
        <is>
          <t>OV du 15/05/2024</t>
        </is>
      </c>
      <c r="D44" s="12" t="n">
        <v>557330</v>
      </c>
      <c r="E44" s="11" t="inlineStr">
        <is>
          <t>2024</t>
        </is>
      </c>
      <c r="F44" s="10" t="n">
        <v>45428</v>
      </c>
      <c r="G44" s="11" t="inlineStr">
        <is>
          <t>13001</t>
        </is>
      </c>
      <c r="H44" s="11" t="inlineStr">
        <is>
          <t>VRT EDI</t>
        </is>
      </c>
      <c r="I44" s="12" t="n">
        <v>557330</v>
      </c>
      <c r="J44" s="14" t="inlineStr">
        <is>
          <t>Rapproché</t>
        </is>
      </c>
      <c r="K44" s="11" t="inlineStr"/>
    </row>
    <row r="45">
      <c r="A45" s="10" t="n">
        <v>45430</v>
      </c>
      <c r="B45" s="11" t="inlineStr">
        <is>
          <t>Règlement</t>
        </is>
      </c>
      <c r="C45" s="11" t="inlineStr">
        <is>
          <t>OV du 18/05/2024</t>
        </is>
      </c>
      <c r="D45" s="12" t="n">
        <v>720000</v>
      </c>
      <c r="E45" s="11" t="inlineStr">
        <is>
          <t>2024</t>
        </is>
      </c>
      <c r="F45" s="10" t="n">
        <v>45431</v>
      </c>
      <c r="G45" s="11" t="inlineStr">
        <is>
          <t>02001</t>
        </is>
      </c>
      <c r="H45" s="11" t="inlineStr">
        <is>
          <t>VRT EDI</t>
        </is>
      </c>
      <c r="I45" s="12" t="n">
        <v>720000</v>
      </c>
      <c r="J45" s="14" t="inlineStr">
        <is>
          <t>Rapproché</t>
        </is>
      </c>
      <c r="K45" s="11" t="inlineStr"/>
    </row>
    <row r="46">
      <c r="A46" s="10" t="n">
        <v>45443</v>
      </c>
      <c r="B46" s="11" t="inlineStr">
        <is>
          <t>Facture</t>
        </is>
      </c>
      <c r="C46" s="11" t="inlineStr">
        <is>
          <t>164/2024</t>
        </is>
      </c>
      <c r="D46" s="12" t="n">
        <v>1029855</v>
      </c>
      <c r="E46" s="11" t="inlineStr">
        <is>
          <t>2024</t>
        </is>
      </c>
      <c r="F46" s="10" t="n">
        <v>45443</v>
      </c>
      <c r="G46" s="11" t="inlineStr">
        <is>
          <t>14002</t>
        </is>
      </c>
      <c r="H46" s="11" t="inlineStr">
        <is>
          <t>N°164/2024</t>
        </is>
      </c>
      <c r="I46" s="12" t="n">
        <v>1029855</v>
      </c>
      <c r="J46" s="14" t="inlineStr">
        <is>
          <t>Rapproché</t>
        </is>
      </c>
      <c r="K46" s="11" t="inlineStr"/>
    </row>
    <row r="47">
      <c r="A47" s="10" t="n">
        <v>45446</v>
      </c>
      <c r="B47" s="11" t="inlineStr">
        <is>
          <t>Règlement</t>
        </is>
      </c>
      <c r="C47" s="11" t="inlineStr">
        <is>
          <t>OV du 03/06/2024</t>
        </is>
      </c>
      <c r="D47" s="12" t="n">
        <v>380000</v>
      </c>
      <c r="E47" s="11" t="inlineStr">
        <is>
          <t>2024</t>
        </is>
      </c>
      <c r="F47" s="10" t="n">
        <v>45445</v>
      </c>
      <c r="G47" s="11" t="inlineStr">
        <is>
          <t>02001</t>
        </is>
      </c>
      <c r="H47" s="11" t="inlineStr">
        <is>
          <t>VRT</t>
        </is>
      </c>
      <c r="I47" s="12" t="n">
        <v>380000</v>
      </c>
      <c r="J47" s="14" t="inlineStr">
        <is>
          <t>Rapproché</t>
        </is>
      </c>
      <c r="K47" s="11" t="inlineStr"/>
    </row>
    <row r="48">
      <c r="A48" s="10" t="n">
        <v>45473</v>
      </c>
      <c r="B48" s="11" t="inlineStr">
        <is>
          <t>Facture</t>
        </is>
      </c>
      <c r="C48" s="11" t="inlineStr">
        <is>
          <t>195/2024</t>
        </is>
      </c>
      <c r="D48" s="12" t="n">
        <v>823884</v>
      </c>
      <c r="E48" s="11" t="inlineStr">
        <is>
          <t>2024</t>
        </is>
      </c>
      <c r="F48" s="10" t="n">
        <v>45473</v>
      </c>
      <c r="G48" s="11" t="inlineStr">
        <is>
          <t>14002</t>
        </is>
      </c>
      <c r="H48" s="11" t="inlineStr">
        <is>
          <t>N°195/2024</t>
        </is>
      </c>
      <c r="I48" s="12" t="n">
        <v>823884</v>
      </c>
      <c r="J48" s="14" t="inlineStr">
        <is>
          <t>Rapproché</t>
        </is>
      </c>
      <c r="K48" s="11" t="inlineStr"/>
    </row>
    <row r="49">
      <c r="A49" s="10" t="n">
        <v>45495</v>
      </c>
      <c r="B49" s="11" t="inlineStr">
        <is>
          <t>Règlement</t>
        </is>
      </c>
      <c r="C49" s="11" t="inlineStr">
        <is>
          <t>OV du 22/07/2024</t>
        </is>
      </c>
      <c r="D49" s="12" t="n">
        <v>700000</v>
      </c>
      <c r="E49" s="11" t="inlineStr">
        <is>
          <t>2024</t>
        </is>
      </c>
      <c r="F49" s="10" t="n">
        <v>45495</v>
      </c>
      <c r="G49" s="11" t="inlineStr">
        <is>
          <t>02001</t>
        </is>
      </c>
      <c r="H49" s="11" t="inlineStr">
        <is>
          <t>VRT EDI</t>
        </is>
      </c>
      <c r="I49" s="12" t="n">
        <v>700000</v>
      </c>
      <c r="J49" s="14" t="inlineStr">
        <is>
          <t>Rapproché</t>
        </is>
      </c>
      <c r="K49" s="11" t="inlineStr"/>
    </row>
    <row r="50">
      <c r="A50" s="10" t="n">
        <v>45504</v>
      </c>
      <c r="B50" s="11" t="inlineStr">
        <is>
          <t>Facture</t>
        </is>
      </c>
      <c r="C50" s="11" t="inlineStr">
        <is>
          <t>228/2024</t>
        </is>
      </c>
      <c r="D50" s="12" t="n">
        <v>1031189.46</v>
      </c>
      <c r="E50" s="11" t="inlineStr">
        <is>
          <t>2024</t>
        </is>
      </c>
      <c r="F50" s="10" t="n">
        <v>45504</v>
      </c>
      <c r="G50" s="11" t="inlineStr">
        <is>
          <t>14002</t>
        </is>
      </c>
      <c r="H50" s="11" t="inlineStr">
        <is>
          <t>N°228/2024</t>
        </is>
      </c>
      <c r="I50" s="12" t="n">
        <v>1031189.46</v>
      </c>
      <c r="J50" s="14" t="inlineStr">
        <is>
          <t>Rapproché</t>
        </is>
      </c>
      <c r="K50" s="11" t="inlineStr"/>
    </row>
    <row r="51">
      <c r="A51" s="10" t="n">
        <v>45512</v>
      </c>
      <c r="B51" s="11" t="inlineStr">
        <is>
          <t>Règlement</t>
        </is>
      </c>
      <c r="C51" s="11" t="inlineStr">
        <is>
          <t>OV du 08/08/2024</t>
        </is>
      </c>
      <c r="D51" s="12" t="n">
        <v>950000</v>
      </c>
      <c r="E51" s="11" t="inlineStr">
        <is>
          <t>2024</t>
        </is>
      </c>
      <c r="F51" s="10" t="n">
        <v>45512</v>
      </c>
      <c r="G51" s="11" t="inlineStr">
        <is>
          <t>13001</t>
        </is>
      </c>
      <c r="H51" s="11" t="inlineStr">
        <is>
          <t>VRT EDI</t>
        </is>
      </c>
      <c r="I51" s="12" t="n">
        <v>950000</v>
      </c>
      <c r="J51" s="14" t="inlineStr">
        <is>
          <t>Rapproché</t>
        </is>
      </c>
      <c r="K51" s="11" t="inlineStr"/>
    </row>
    <row r="52">
      <c r="A52" s="10" t="n">
        <v>45513</v>
      </c>
      <c r="B52" s="11" t="inlineStr">
        <is>
          <t>Règlement</t>
        </is>
      </c>
      <c r="C52" s="11" t="inlineStr">
        <is>
          <t>OV du 09/08/2024</t>
        </is>
      </c>
      <c r="D52" s="12" t="n">
        <v>800000</v>
      </c>
      <c r="E52" s="11" t="inlineStr">
        <is>
          <t>2024</t>
        </is>
      </c>
      <c r="F52" s="10" t="n">
        <v>45515</v>
      </c>
      <c r="G52" s="11" t="inlineStr">
        <is>
          <t>02001</t>
        </is>
      </c>
      <c r="H52" s="11" t="inlineStr">
        <is>
          <t>VRT EDI</t>
        </is>
      </c>
      <c r="I52" s="12" t="n">
        <v>800000</v>
      </c>
      <c r="J52" s="14" t="inlineStr">
        <is>
          <t>Rapproché</t>
        </is>
      </c>
      <c r="K52" s="11" t="inlineStr"/>
    </row>
    <row r="53">
      <c r="A53" s="10" t="n">
        <v>45519</v>
      </c>
      <c r="B53" s="11" t="inlineStr">
        <is>
          <t>Règlement</t>
        </is>
      </c>
      <c r="C53" s="11" t="inlineStr">
        <is>
          <t>OV du 15/08/2024</t>
        </is>
      </c>
      <c r="D53" s="12" t="n">
        <v>650000</v>
      </c>
      <c r="E53" s="11" t="inlineStr">
        <is>
          <t>2024</t>
        </is>
      </c>
      <c r="F53" s="10" t="n">
        <v>45519</v>
      </c>
      <c r="G53" s="11" t="inlineStr">
        <is>
          <t>02001</t>
        </is>
      </c>
      <c r="H53" s="11" t="inlineStr">
        <is>
          <t>VRT</t>
        </is>
      </c>
      <c r="I53" s="12" t="n">
        <v>650000</v>
      </c>
      <c r="J53" s="14" t="inlineStr">
        <is>
          <t>Rapproché</t>
        </is>
      </c>
      <c r="K53" s="11" t="inlineStr"/>
    </row>
    <row r="54">
      <c r="A54" s="10" t="n">
        <v>45522</v>
      </c>
      <c r="B54" s="11" t="inlineStr">
        <is>
          <t>Règlement</t>
        </is>
      </c>
      <c r="C54" s="11" t="inlineStr">
        <is>
          <t>OV du 18/08/2024</t>
        </is>
      </c>
      <c r="D54" s="12" t="n">
        <v>500000</v>
      </c>
      <c r="E54" s="11" t="inlineStr">
        <is>
          <t>2024</t>
        </is>
      </c>
      <c r="F54" s="10" t="n">
        <v>45523</v>
      </c>
      <c r="G54" s="11" t="inlineStr">
        <is>
          <t>02001</t>
        </is>
      </c>
      <c r="H54" s="11" t="inlineStr">
        <is>
          <t>VRT</t>
        </is>
      </c>
      <c r="I54" s="12" t="n">
        <v>500000</v>
      </c>
      <c r="J54" s="14" t="inlineStr">
        <is>
          <t>Rapproché</t>
        </is>
      </c>
      <c r="K54" s="11" t="inlineStr"/>
    </row>
    <row r="55">
      <c r="A55" s="10" t="n">
        <v>45530</v>
      </c>
      <c r="B55" s="11" t="inlineStr">
        <is>
          <t>Règlement</t>
        </is>
      </c>
      <c r="C55" s="11" t="inlineStr">
        <is>
          <t>OV du 26/08/2024</t>
        </is>
      </c>
      <c r="D55" s="12" t="n">
        <v>500000</v>
      </c>
      <c r="E55" s="11" t="inlineStr">
        <is>
          <t>2024</t>
        </is>
      </c>
      <c r="F55" s="10" t="n">
        <v>45530</v>
      </c>
      <c r="G55" s="11" t="inlineStr">
        <is>
          <t>02001</t>
        </is>
      </c>
      <c r="H55" s="11" t="inlineStr">
        <is>
          <t>VRT</t>
        </is>
      </c>
      <c r="I55" s="12" t="n">
        <v>500000</v>
      </c>
      <c r="J55" s="14" t="inlineStr">
        <is>
          <t>Rapproché</t>
        </is>
      </c>
      <c r="K55" s="11" t="inlineStr"/>
    </row>
    <row r="56">
      <c r="A56" s="10" t="n">
        <v>45535</v>
      </c>
      <c r="B56" s="11" t="inlineStr">
        <is>
          <t>Facture</t>
        </is>
      </c>
      <c r="C56" s="11" t="inlineStr">
        <is>
          <t>259/2024</t>
        </is>
      </c>
      <c r="D56" s="12" t="n">
        <v>832587</v>
      </c>
      <c r="E56" s="11" t="inlineStr">
        <is>
          <t>2024</t>
        </is>
      </c>
      <c r="F56" s="10" t="n">
        <v>45535</v>
      </c>
      <c r="G56" s="11" t="inlineStr">
        <is>
          <t>14002</t>
        </is>
      </c>
      <c r="H56" s="11" t="inlineStr">
        <is>
          <t>N°259/2024</t>
        </is>
      </c>
      <c r="I56" s="12" t="n">
        <v>832587</v>
      </c>
      <c r="J56" s="14" t="inlineStr">
        <is>
          <t>Rapproché</t>
        </is>
      </c>
      <c r="K56" s="11" t="inlineStr"/>
    </row>
    <row r="57">
      <c r="A57" s="10" t="n">
        <v>45565</v>
      </c>
      <c r="B57" s="11" t="inlineStr">
        <is>
          <t>Facture</t>
        </is>
      </c>
      <c r="C57" s="11" t="inlineStr">
        <is>
          <t>289/2024</t>
        </is>
      </c>
      <c r="D57" s="12" t="n">
        <v>829686</v>
      </c>
      <c r="E57" s="11" t="inlineStr">
        <is>
          <t>2024</t>
        </is>
      </c>
      <c r="F57" s="10" t="n">
        <v>45565</v>
      </c>
      <c r="G57" s="11" t="inlineStr">
        <is>
          <t>14002</t>
        </is>
      </c>
      <c r="H57" s="11" t="inlineStr">
        <is>
          <t>N°289/2024</t>
        </is>
      </c>
      <c r="I57" s="12" t="n">
        <v>829686</v>
      </c>
      <c r="J57" s="14" t="inlineStr">
        <is>
          <t>Rapproché</t>
        </is>
      </c>
      <c r="K57" s="11" t="inlineStr"/>
    </row>
    <row r="58">
      <c r="A58" s="10" t="n">
        <v>45582</v>
      </c>
      <c r="B58" s="11" t="inlineStr">
        <is>
          <t>Règlement</t>
        </is>
      </c>
      <c r="C58" s="11" t="inlineStr">
        <is>
          <t>OV du 17/10/2024</t>
        </is>
      </c>
      <c r="D58" s="12" t="n">
        <v>540000</v>
      </c>
      <c r="E58" s="11" t="inlineStr">
        <is>
          <t>2024</t>
        </is>
      </c>
      <c r="F58" s="10" t="n">
        <v>45582</v>
      </c>
      <c r="G58" s="11" t="inlineStr">
        <is>
          <t>02001</t>
        </is>
      </c>
      <c r="H58" s="11" t="inlineStr">
        <is>
          <t>VRT EDI</t>
        </is>
      </c>
      <c r="I58" s="12" t="n">
        <v>540000</v>
      </c>
      <c r="J58" s="14" t="inlineStr">
        <is>
          <t>Rapproché</t>
        </is>
      </c>
      <c r="K58" s="11" t="inlineStr"/>
    </row>
    <row r="59">
      <c r="A59" s="10" t="n">
        <v>45587</v>
      </c>
      <c r="B59" s="11" t="inlineStr">
        <is>
          <t>Règlement</t>
        </is>
      </c>
      <c r="C59" s="11" t="inlineStr">
        <is>
          <t>OV du 22/10/2024</t>
        </is>
      </c>
      <c r="D59" s="12" t="n">
        <v>500000</v>
      </c>
      <c r="E59" s="11" t="inlineStr">
        <is>
          <t>2024</t>
        </is>
      </c>
      <c r="F59" s="10" t="n">
        <v>45587</v>
      </c>
      <c r="G59" s="11" t="inlineStr">
        <is>
          <t>02001</t>
        </is>
      </c>
      <c r="H59" s="11" t="inlineStr">
        <is>
          <t>VRT</t>
        </is>
      </c>
      <c r="I59" s="12" t="n">
        <v>500000</v>
      </c>
      <c r="J59" s="14" t="inlineStr">
        <is>
          <t>Rapproché</t>
        </is>
      </c>
      <c r="K59" s="11" t="inlineStr"/>
    </row>
    <row r="60">
      <c r="A60" s="10" t="n">
        <v>45596</v>
      </c>
      <c r="B60" s="11" t="inlineStr">
        <is>
          <t>Facture</t>
        </is>
      </c>
      <c r="C60" s="11" t="inlineStr">
        <is>
          <t>325/2024</t>
        </is>
      </c>
      <c r="D60" s="12" t="n">
        <v>1044360</v>
      </c>
      <c r="E60" s="11" t="inlineStr">
        <is>
          <t>2024</t>
        </is>
      </c>
      <c r="F60" s="10" t="n">
        <v>45596</v>
      </c>
      <c r="G60" s="11" t="inlineStr">
        <is>
          <t>14002</t>
        </is>
      </c>
      <c r="H60" s="11" t="inlineStr">
        <is>
          <t>N°325/2024</t>
        </is>
      </c>
      <c r="I60" s="12" t="n">
        <v>1044360</v>
      </c>
      <c r="J60" s="14" t="inlineStr">
        <is>
          <t>Rapproché</t>
        </is>
      </c>
      <c r="K60" s="11" t="inlineStr"/>
    </row>
    <row r="61">
      <c r="A61" s="10" t="n">
        <v>45599</v>
      </c>
      <c r="B61" s="11" t="inlineStr">
        <is>
          <t>Règlement</t>
        </is>
      </c>
      <c r="C61" s="11" t="inlineStr">
        <is>
          <t>OV du 03/11/2024</t>
        </is>
      </c>
      <c r="D61" s="12" t="n">
        <v>260000</v>
      </c>
      <c r="E61" s="11" t="inlineStr">
        <is>
          <t>2024</t>
        </is>
      </c>
      <c r="F61" s="10" t="n">
        <v>45600</v>
      </c>
      <c r="G61" s="11" t="inlineStr">
        <is>
          <t>02001</t>
        </is>
      </c>
      <c r="H61" s="11" t="inlineStr">
        <is>
          <t>VRT EDI</t>
        </is>
      </c>
      <c r="I61" s="12" t="n">
        <v>260000</v>
      </c>
      <c r="J61" s="14" t="inlineStr">
        <is>
          <t>Rapproché</t>
        </is>
      </c>
      <c r="K61" s="11" t="inlineStr"/>
    </row>
    <row r="62">
      <c r="A62" s="10" t="n">
        <v>45626</v>
      </c>
      <c r="B62" s="11" t="inlineStr">
        <is>
          <t>Facture</t>
        </is>
      </c>
      <c r="C62" s="11" t="inlineStr">
        <is>
          <t>355/2024</t>
        </is>
      </c>
      <c r="D62" s="12" t="n">
        <v>723219.3</v>
      </c>
      <c r="E62" s="11" t="inlineStr">
        <is>
          <t>2024</t>
        </is>
      </c>
      <c r="F62" s="10" t="n">
        <v>45626</v>
      </c>
      <c r="G62" s="11" t="inlineStr">
        <is>
          <t>14002</t>
        </is>
      </c>
      <c r="H62" s="11" t="inlineStr">
        <is>
          <t>N°355/2024</t>
        </is>
      </c>
      <c r="I62" s="12" t="n">
        <v>723219.3</v>
      </c>
      <c r="J62" s="14" t="inlineStr">
        <is>
          <t>Rapproché</t>
        </is>
      </c>
      <c r="K62" s="11" t="inlineStr"/>
    </row>
    <row r="63">
      <c r="A63" s="10" t="n">
        <v>45628</v>
      </c>
      <c r="B63" s="11" t="inlineStr">
        <is>
          <t>Règlement</t>
        </is>
      </c>
      <c r="C63" s="11" t="inlineStr">
        <is>
          <t>OV du 02/12/2024</t>
        </is>
      </c>
      <c r="D63" s="12" t="n">
        <v>500000</v>
      </c>
      <c r="E63" s="11" t="inlineStr">
        <is>
          <t>2024</t>
        </is>
      </c>
      <c r="F63" s="10" t="n">
        <v>45628</v>
      </c>
      <c r="G63" s="11" t="inlineStr">
        <is>
          <t>02001</t>
        </is>
      </c>
      <c r="H63" s="11" t="inlineStr">
        <is>
          <t>VRT EDI</t>
        </is>
      </c>
      <c r="I63" s="12" t="n">
        <v>500000</v>
      </c>
      <c r="J63" s="14" t="inlineStr">
        <is>
          <t>Rapproché</t>
        </is>
      </c>
      <c r="K63" s="11" t="inlineStr"/>
    </row>
    <row r="64">
      <c r="A64" s="10" t="n">
        <v>45631</v>
      </c>
      <c r="B64" s="11" t="inlineStr">
        <is>
          <t>Règlement</t>
        </is>
      </c>
      <c r="C64" s="11" t="inlineStr">
        <is>
          <t>OV du 05/12/2024</t>
        </is>
      </c>
      <c r="D64" s="12" t="n">
        <v>720000</v>
      </c>
      <c r="E64" s="11" t="inlineStr">
        <is>
          <t>2024</t>
        </is>
      </c>
      <c r="F64" s="10" t="n">
        <v>45631</v>
      </c>
      <c r="G64" s="11" t="inlineStr">
        <is>
          <t>02001</t>
        </is>
      </c>
      <c r="H64" s="11" t="inlineStr">
        <is>
          <t>VRT EDI</t>
        </is>
      </c>
      <c r="I64" s="12" t="n">
        <v>720000</v>
      </c>
      <c r="J64" s="14" t="inlineStr">
        <is>
          <t>Rapproché</t>
        </is>
      </c>
      <c r="K64" s="11" t="inlineStr"/>
    </row>
    <row r="65">
      <c r="A65" s="10" t="n">
        <v>45657</v>
      </c>
      <c r="B65" s="11" t="inlineStr">
        <is>
          <t>Facture</t>
        </is>
      </c>
      <c r="C65" s="11" t="inlineStr">
        <is>
          <t>390/2024</t>
        </is>
      </c>
      <c r="D65" s="12" t="n">
        <v>968934</v>
      </c>
      <c r="E65" s="11" t="inlineStr">
        <is>
          <t>2024</t>
        </is>
      </c>
      <c r="F65" s="10" t="n">
        <v>45657</v>
      </c>
      <c r="G65" s="11" t="inlineStr">
        <is>
          <t>14002</t>
        </is>
      </c>
      <c r="H65" s="11" t="inlineStr">
        <is>
          <t>N°390/2024</t>
        </is>
      </c>
      <c r="I65" s="12" t="n">
        <v>968934</v>
      </c>
      <c r="J65" s="14" t="inlineStr">
        <is>
          <t>Rapproché</t>
        </is>
      </c>
      <c r="K65" s="11" t="inlineStr"/>
    </row>
    <row r="66">
      <c r="A66" s="10" t="n">
        <v>45659</v>
      </c>
      <c r="B66" s="11" t="inlineStr">
        <is>
          <t>Règlement</t>
        </is>
      </c>
      <c r="C66" s="11" t="inlineStr">
        <is>
          <t>OV du 02/01/2025</t>
        </is>
      </c>
      <c r="D66" s="12" t="n">
        <v>550000</v>
      </c>
      <c r="E66" s="11" t="inlineStr">
        <is>
          <t>2025</t>
        </is>
      </c>
      <c r="F66" s="10" t="n">
        <v>45662</v>
      </c>
      <c r="G66" s="11" t="inlineStr">
        <is>
          <t>02001</t>
        </is>
      </c>
      <c r="H66" s="11" t="inlineStr">
        <is>
          <t>VRT EDI</t>
        </is>
      </c>
      <c r="I66" s="12" t="n">
        <v>550000</v>
      </c>
      <c r="J66" s="14" t="inlineStr">
        <is>
          <t>Rapproché</t>
        </is>
      </c>
      <c r="K66" s="11" t="inlineStr"/>
    </row>
    <row r="67">
      <c r="A67" s="10" t="n">
        <v>45688</v>
      </c>
      <c r="B67" s="11" t="inlineStr">
        <is>
          <t>Facture</t>
        </is>
      </c>
      <c r="C67" s="11" t="inlineStr">
        <is>
          <t>023/2025</t>
        </is>
      </c>
      <c r="D67" s="12" t="n">
        <v>609210</v>
      </c>
      <c r="E67" s="11" t="inlineStr">
        <is>
          <t>2025</t>
        </is>
      </c>
      <c r="F67" s="10" t="n">
        <v>45688</v>
      </c>
      <c r="G67" s="11" t="inlineStr">
        <is>
          <t>14002</t>
        </is>
      </c>
      <c r="H67" s="11" t="inlineStr">
        <is>
          <t>N°023/2025</t>
        </is>
      </c>
      <c r="I67" s="12" t="n">
        <v>609210</v>
      </c>
      <c r="J67" s="14" t="inlineStr">
        <is>
          <t>Rapproché</t>
        </is>
      </c>
      <c r="K67" s="11" t="inlineStr"/>
    </row>
    <row r="68">
      <c r="A68" s="10" t="n">
        <v>45690</v>
      </c>
      <c r="B68" s="11" t="inlineStr">
        <is>
          <t>Règlement</t>
        </is>
      </c>
      <c r="C68" s="11" t="inlineStr">
        <is>
          <t>OV du 02/02/2025</t>
        </is>
      </c>
      <c r="D68" s="12" t="n">
        <v>700000</v>
      </c>
      <c r="E68" s="11" t="inlineStr">
        <is>
          <t>2025</t>
        </is>
      </c>
      <c r="F68" s="10" t="n">
        <v>45690</v>
      </c>
      <c r="G68" s="11" t="inlineStr">
        <is>
          <t>02001</t>
        </is>
      </c>
      <c r="H68" s="11" t="inlineStr">
        <is>
          <t>VRT EDI</t>
        </is>
      </c>
      <c r="I68" s="12" t="n">
        <v>700000</v>
      </c>
      <c r="J68" s="14" t="inlineStr">
        <is>
          <t>Rapproché</t>
        </is>
      </c>
      <c r="K68" s="11" t="inlineStr"/>
    </row>
    <row r="69">
      <c r="A69" s="10" t="n">
        <v>45713</v>
      </c>
      <c r="B69" s="11" t="inlineStr">
        <is>
          <t>Règlement</t>
        </is>
      </c>
      <c r="C69" s="11" t="inlineStr">
        <is>
          <t>OV du 25/02/2025</t>
        </is>
      </c>
      <c r="D69" s="12" t="n">
        <v>700000</v>
      </c>
      <c r="E69" s="11" t="inlineStr">
        <is>
          <t>2025</t>
        </is>
      </c>
      <c r="F69" s="10" t="n">
        <v>45714</v>
      </c>
      <c r="G69" s="11" t="inlineStr">
        <is>
          <t>02001</t>
        </is>
      </c>
      <c r="H69" s="11" t="inlineStr">
        <is>
          <t>VRT EDI</t>
        </is>
      </c>
      <c r="I69" s="12" t="n">
        <v>700000</v>
      </c>
      <c r="J69" s="14" t="inlineStr">
        <is>
          <t>Rapproché</t>
        </is>
      </c>
      <c r="K69" s="11" t="inlineStr"/>
    </row>
    <row r="70">
      <c r="A70" s="10" t="n">
        <v>45716</v>
      </c>
      <c r="B70" s="11" t="inlineStr">
        <is>
          <t>Facture</t>
        </is>
      </c>
      <c r="C70" s="11" t="inlineStr">
        <is>
          <t>056/2025</t>
        </is>
      </c>
      <c r="D70" s="12" t="n">
        <v>696240</v>
      </c>
      <c r="E70" s="11" t="inlineStr">
        <is>
          <t>2025</t>
        </is>
      </c>
      <c r="F70" s="10" t="n">
        <v>45716</v>
      </c>
      <c r="G70" s="11" t="inlineStr">
        <is>
          <t>14002</t>
        </is>
      </c>
      <c r="H70" s="11" t="inlineStr">
        <is>
          <t>N°056/2025</t>
        </is>
      </c>
      <c r="I70" s="12" t="n">
        <v>696240</v>
      </c>
      <c r="J70" s="14" t="inlineStr">
        <is>
          <t>Rapproché</t>
        </is>
      </c>
      <c r="K70" s="11" t="inlineStr"/>
    </row>
    <row r="71">
      <c r="A71" s="10" t="n">
        <v>45725</v>
      </c>
      <c r="B71" s="11" t="inlineStr">
        <is>
          <t>Règlement</t>
        </is>
      </c>
      <c r="C71" s="11" t="inlineStr">
        <is>
          <t>OV du 09/03/2025</t>
        </is>
      </c>
      <c r="D71" s="12" t="n">
        <v>550000</v>
      </c>
      <c r="E71" s="11" t="inlineStr">
        <is>
          <t>2025</t>
        </is>
      </c>
      <c r="F71" s="10" t="n">
        <v>45725</v>
      </c>
      <c r="G71" s="11" t="inlineStr">
        <is>
          <t>02001</t>
        </is>
      </c>
      <c r="H71" s="11" t="inlineStr">
        <is>
          <t>VRT EDI</t>
        </is>
      </c>
      <c r="I71" s="12" t="n">
        <v>550000</v>
      </c>
      <c r="J71" s="14" t="inlineStr">
        <is>
          <t>Rapproché</t>
        </is>
      </c>
      <c r="K71" s="11" t="inlineStr"/>
    </row>
    <row r="72">
      <c r="A72" s="10" t="n">
        <v>45746</v>
      </c>
      <c r="B72" s="11" t="inlineStr">
        <is>
          <t>Règlement</t>
        </is>
      </c>
      <c r="C72" s="11" t="inlineStr">
        <is>
          <t>OV du 30/03/2025</t>
        </is>
      </c>
      <c r="D72" s="12" t="n">
        <v>650000</v>
      </c>
      <c r="E72" s="11" t="inlineStr">
        <is>
          <t>2025</t>
        </is>
      </c>
      <c r="F72" s="10" t="n">
        <v>45746</v>
      </c>
      <c r="G72" s="11" t="inlineStr">
        <is>
          <t>02001</t>
        </is>
      </c>
      <c r="H72" s="11" t="inlineStr">
        <is>
          <t>VRT EDI</t>
        </is>
      </c>
      <c r="I72" s="12" t="n">
        <v>650000</v>
      </c>
      <c r="J72" s="14" t="inlineStr">
        <is>
          <t>Rapproché</t>
        </is>
      </c>
      <c r="K72" s="11" t="inlineStr"/>
    </row>
    <row r="73">
      <c r="A73" s="10" t="n">
        <v>45747</v>
      </c>
      <c r="B73" s="11" t="inlineStr">
        <is>
          <t>Facture</t>
        </is>
      </c>
      <c r="C73" s="11" t="inlineStr">
        <is>
          <t>086/2025</t>
        </is>
      </c>
      <c r="D73" s="12" t="n">
        <v>594705</v>
      </c>
      <c r="E73" s="11" t="inlineStr">
        <is>
          <t>2025</t>
        </is>
      </c>
      <c r="F73" s="10" t="n">
        <v>45747</v>
      </c>
      <c r="G73" s="11" t="inlineStr">
        <is>
          <t>14002</t>
        </is>
      </c>
      <c r="H73" s="11" t="inlineStr">
        <is>
          <t>N°086/2025</t>
        </is>
      </c>
      <c r="I73" s="12" t="n">
        <v>594705</v>
      </c>
      <c r="J73" s="14" t="inlineStr">
        <is>
          <t>Rapproché</t>
        </is>
      </c>
      <c r="K73" s="11" t="inlineStr"/>
    </row>
    <row r="74">
      <c r="A74" s="10" t="n">
        <v>45777</v>
      </c>
      <c r="B74" s="11" t="inlineStr">
        <is>
          <t>Facture</t>
        </is>
      </c>
      <c r="C74" s="11" t="inlineStr">
        <is>
          <t>120/2025</t>
        </is>
      </c>
      <c r="D74" s="12" t="n">
        <v>420645</v>
      </c>
      <c r="E74" s="11" t="inlineStr">
        <is>
          <t>2025</t>
        </is>
      </c>
      <c r="F74" s="10" t="n">
        <v>45777</v>
      </c>
      <c r="G74" s="11" t="inlineStr">
        <is>
          <t>14002</t>
        </is>
      </c>
      <c r="H74" s="11" t="inlineStr">
        <is>
          <t>N°120/2025</t>
        </is>
      </c>
      <c r="I74" s="12" t="n">
        <v>420645</v>
      </c>
      <c r="J74" s="14" t="inlineStr">
        <is>
          <t>Rapproché</t>
        </is>
      </c>
      <c r="K74" s="11" t="inlineStr"/>
    </row>
    <row r="75">
      <c r="A75" s="10" t="n">
        <v>45791</v>
      </c>
      <c r="B75" s="11" t="inlineStr">
        <is>
          <t>Règlement</t>
        </is>
      </c>
      <c r="C75" s="11" t="inlineStr">
        <is>
          <t>OV du 14/05/2025</t>
        </is>
      </c>
      <c r="D75" s="12" t="n">
        <v>650000</v>
      </c>
      <c r="E75" s="11" t="inlineStr">
        <is>
          <t>2025</t>
        </is>
      </c>
      <c r="F75" s="10" t="n">
        <v>45791</v>
      </c>
      <c r="G75" s="11" t="inlineStr">
        <is>
          <t>02001</t>
        </is>
      </c>
      <c r="H75" s="11" t="inlineStr">
        <is>
          <t>VRT EDI</t>
        </is>
      </c>
      <c r="I75" s="12" t="n">
        <v>650000</v>
      </c>
      <c r="J75" s="14" t="inlineStr">
        <is>
          <t>Rapproché</t>
        </is>
      </c>
      <c r="K75" s="11" t="inlineStr"/>
    </row>
    <row r="76">
      <c r="A76" s="10" t="n">
        <v>45808</v>
      </c>
      <c r="B76" s="11" t="inlineStr">
        <is>
          <t>Facture</t>
        </is>
      </c>
      <c r="C76" s="11" t="inlineStr">
        <is>
          <t>152/2025</t>
        </is>
      </c>
      <c r="D76" s="12" t="n">
        <v>484467</v>
      </c>
      <c r="E76" s="11" t="inlineStr">
        <is>
          <t>2025</t>
        </is>
      </c>
      <c r="F76" s="10" t="n">
        <v>45808</v>
      </c>
      <c r="G76" s="11" t="inlineStr">
        <is>
          <t>14002</t>
        </is>
      </c>
      <c r="H76" s="11" t="inlineStr">
        <is>
          <t>N°152/2025</t>
        </is>
      </c>
      <c r="I76" s="12" t="n">
        <v>484467</v>
      </c>
      <c r="J76" s="14" t="inlineStr">
        <is>
          <t>Rapproché</t>
        </is>
      </c>
      <c r="K76" s="11" t="inlineStr"/>
    </row>
    <row r="77">
      <c r="A77" s="10" t="n">
        <v>45838</v>
      </c>
      <c r="B77" s="11" t="inlineStr">
        <is>
          <t>Facture</t>
        </is>
      </c>
      <c r="C77" s="11" t="inlineStr">
        <is>
          <t>185/2025</t>
        </is>
      </c>
      <c r="D77" s="12" t="n">
        <v>493170</v>
      </c>
      <c r="E77" s="11" t="inlineStr">
        <is>
          <t>2025</t>
        </is>
      </c>
      <c r="F77" s="10" t="n">
        <v>45838</v>
      </c>
      <c r="G77" s="11" t="inlineStr">
        <is>
          <t>14002</t>
        </is>
      </c>
      <c r="H77" s="11" t="inlineStr">
        <is>
          <t>N°185/2025</t>
        </is>
      </c>
      <c r="I77" s="12" t="n">
        <v>493170</v>
      </c>
      <c r="J77" s="14" t="inlineStr">
        <is>
          <t>Rapproché</t>
        </is>
      </c>
      <c r="K77" s="11" t="inlineStr"/>
    </row>
    <row r="78">
      <c r="A78" s="10" t="n">
        <v>45867</v>
      </c>
      <c r="B78" s="11" t="inlineStr">
        <is>
          <t>Règlement</t>
        </is>
      </c>
      <c r="C78" s="11" t="inlineStr">
        <is>
          <t>OV du 29/07/2025</t>
        </is>
      </c>
      <c r="D78" s="12" t="n">
        <v>700000</v>
      </c>
      <c r="E78" s="11" t="inlineStr">
        <is>
          <t>2025</t>
        </is>
      </c>
      <c r="F78" s="10" t="n">
        <v>45867</v>
      </c>
      <c r="G78" s="11" t="inlineStr">
        <is>
          <t>02001</t>
        </is>
      </c>
      <c r="H78" s="11" t="inlineStr">
        <is>
          <t>VRT EDI</t>
        </is>
      </c>
      <c r="I78" s="12" t="n">
        <v>700000</v>
      </c>
      <c r="J78" s="14" t="inlineStr">
        <is>
          <t>Rapproché</t>
        </is>
      </c>
      <c r="K78" s="11" t="inlineStr"/>
    </row>
    <row r="79">
      <c r="A79" s="10" t="n">
        <v>45869</v>
      </c>
      <c r="B79" s="11" t="inlineStr">
        <is>
          <t>Facture</t>
        </is>
      </c>
      <c r="C79" s="11" t="inlineStr">
        <is>
          <t>(n° illisible)</t>
        </is>
      </c>
      <c r="D79" s="12" t="n">
        <v>348120</v>
      </c>
      <c r="E79" s="11" t="inlineStr">
        <is>
          <t>2025</t>
        </is>
      </c>
      <c r="F79" s="10" t="n">
        <v>45869</v>
      </c>
      <c r="G79" s="11" t="inlineStr">
        <is>
          <t>14002</t>
        </is>
      </c>
      <c r="H79" s="11" t="inlineStr">
        <is>
          <t>N°/2025</t>
        </is>
      </c>
      <c r="I79" s="12" t="n">
        <v>348120</v>
      </c>
      <c r="J79" s="14" t="inlineStr">
        <is>
          <t>Rapproché</t>
        </is>
      </c>
      <c r="K79" s="11" t="inlineStr"/>
    </row>
    <row r="80">
      <c r="A80" s="10" t="n">
        <v>45879</v>
      </c>
      <c r="B80" s="11" t="inlineStr">
        <is>
          <t>Règlement</t>
        </is>
      </c>
      <c r="C80" s="11" t="inlineStr">
        <is>
          <t>OV du 10/08/2025</t>
        </is>
      </c>
      <c r="D80" s="12" t="n">
        <v>650000</v>
      </c>
      <c r="E80" s="11" t="inlineStr">
        <is>
          <t>2025</t>
        </is>
      </c>
      <c r="F80" s="10" t="n">
        <v>45879</v>
      </c>
      <c r="G80" s="11" t="inlineStr">
        <is>
          <t>02001</t>
        </is>
      </c>
      <c r="H80" s="11" t="inlineStr">
        <is>
          <t>VRT EDI</t>
        </is>
      </c>
      <c r="I80" s="12" t="n">
        <v>650000</v>
      </c>
      <c r="J80" s="14" t="inlineStr">
        <is>
          <t>Rapproché</t>
        </is>
      </c>
      <c r="K80" s="11" t="inlineStr"/>
    </row>
    <row r="81">
      <c r="A81" s="10" t="n">
        <v>45881</v>
      </c>
      <c r="B81" s="11" t="inlineStr">
        <is>
          <t>Règlement</t>
        </is>
      </c>
      <c r="C81" s="11" t="inlineStr">
        <is>
          <t>OV du 12/08/2025</t>
        </is>
      </c>
      <c r="D81" s="12" t="n">
        <v>700000</v>
      </c>
      <c r="E81" s="11" t="inlineStr">
        <is>
          <t>2025</t>
        </is>
      </c>
      <c r="F81" s="10" t="n">
        <v>45881</v>
      </c>
      <c r="G81" s="11" t="inlineStr">
        <is>
          <t>02001</t>
        </is>
      </c>
      <c r="H81" s="11" t="inlineStr">
        <is>
          <t>VRT EDI</t>
        </is>
      </c>
      <c r="I81" s="12" t="n">
        <v>700000</v>
      </c>
      <c r="J81" s="14" t="inlineStr">
        <is>
          <t>Rapproché</t>
        </is>
      </c>
      <c r="K81" s="11" t="inlineStr"/>
    </row>
    <row r="82">
      <c r="A82" s="10" t="n">
        <v>45900</v>
      </c>
      <c r="B82" s="11" t="inlineStr">
        <is>
          <t>Facture</t>
        </is>
      </c>
      <c r="C82" s="11" t="inlineStr">
        <is>
          <t>249/2025</t>
        </is>
      </c>
      <c r="D82" s="12" t="n">
        <v>435150</v>
      </c>
      <c r="E82" s="11" t="inlineStr">
        <is>
          <t>2025</t>
        </is>
      </c>
      <c r="F82" s="10" t="n">
        <v>45900</v>
      </c>
      <c r="G82" s="11" t="inlineStr">
        <is>
          <t>14002</t>
        </is>
      </c>
      <c r="H82" s="11" t="inlineStr">
        <is>
          <t>N°249/2025</t>
        </is>
      </c>
      <c r="I82" s="12" t="n">
        <v>435150</v>
      </c>
      <c r="J82" s="14" t="inlineStr">
        <is>
          <t>Rapproché</t>
        </is>
      </c>
      <c r="K82" s="11" t="inlineStr"/>
    </row>
    <row r="83">
      <c r="A83" s="10" t="n">
        <v>45909</v>
      </c>
      <c r="B83" s="11" t="inlineStr">
        <is>
          <t>Règlement</t>
        </is>
      </c>
      <c r="C83" s="11" t="inlineStr">
        <is>
          <t>OV du 09/09/2025</t>
        </is>
      </c>
      <c r="D83" s="12" t="n">
        <v>540000</v>
      </c>
      <c r="E83" s="11" t="inlineStr">
        <is>
          <t>2025</t>
        </is>
      </c>
      <c r="F83" s="10" t="n">
        <v>45909</v>
      </c>
      <c r="G83" s="11" t="inlineStr">
        <is>
          <t>02001</t>
        </is>
      </c>
      <c r="H83" s="11" t="inlineStr">
        <is>
          <t>VRT EDI</t>
        </is>
      </c>
      <c r="I83" s="12" t="n">
        <v>540000</v>
      </c>
      <c r="J83" s="14" t="inlineStr">
        <is>
          <t>Rapproché</t>
        </is>
      </c>
      <c r="K83" s="11" t="inlineStr"/>
    </row>
    <row r="84">
      <c r="A84" s="10" t="n">
        <v>45930</v>
      </c>
      <c r="B84" s="11" t="inlineStr">
        <is>
          <t>Facture</t>
        </is>
      </c>
      <c r="C84" s="11" t="inlineStr">
        <is>
          <t>284/2025</t>
        </is>
      </c>
      <c r="D84" s="12" t="n">
        <v>388734</v>
      </c>
      <c r="E84" s="11" t="inlineStr">
        <is>
          <t>2025</t>
        </is>
      </c>
      <c r="F84" s="10" t="n">
        <v>45930</v>
      </c>
      <c r="G84" s="11" t="inlineStr">
        <is>
          <t>14002</t>
        </is>
      </c>
      <c r="H84" s="11" t="inlineStr">
        <is>
          <t>N°284/2025</t>
        </is>
      </c>
      <c r="I84" s="12" t="n">
        <v>388734</v>
      </c>
      <c r="J84" s="14" t="inlineStr">
        <is>
          <t>Rapproché</t>
        </is>
      </c>
      <c r="K84" s="11" t="inlineStr"/>
    </row>
    <row r="85">
      <c r="A85" s="10" t="n">
        <v>45961</v>
      </c>
      <c r="B85" s="11" t="inlineStr">
        <is>
          <t>Facture</t>
        </is>
      </c>
      <c r="C85" s="11" t="inlineStr">
        <is>
          <t>319/2025</t>
        </is>
      </c>
      <c r="D85" s="12" t="n">
        <v>446754</v>
      </c>
      <c r="E85" s="11" t="inlineStr">
        <is>
          <t>2025</t>
        </is>
      </c>
      <c r="F85" s="10" t="n">
        <v>45961</v>
      </c>
      <c r="G85" s="11" t="inlineStr">
        <is>
          <t>14002</t>
        </is>
      </c>
      <c r="H85" s="11" t="inlineStr">
        <is>
          <t>N°319/2025</t>
        </is>
      </c>
      <c r="I85" s="12" t="n">
        <v>446754</v>
      </c>
      <c r="J85" s="14" t="inlineStr">
        <is>
          <t>Rapproché</t>
        </is>
      </c>
      <c r="K85" s="11" t="inlineStr"/>
    </row>
    <row r="86">
      <c r="A86" s="10" t="n">
        <v>45991</v>
      </c>
      <c r="B86" s="11" t="inlineStr">
        <is>
          <t>Facture</t>
        </is>
      </c>
      <c r="C86" s="11" t="inlineStr">
        <is>
          <t>350/2025</t>
        </is>
      </c>
      <c r="D86" s="12" t="n">
        <v>464160</v>
      </c>
      <c r="E86" s="11" t="inlineStr">
        <is>
          <t>2025</t>
        </is>
      </c>
      <c r="F86" s="10" t="n">
        <v>45991</v>
      </c>
      <c r="G86" s="11" t="inlineStr">
        <is>
          <t>14002</t>
        </is>
      </c>
      <c r="H86" s="11" t="inlineStr">
        <is>
          <t>N°350/2025</t>
        </is>
      </c>
      <c r="I86" s="12" t="n">
        <v>464160</v>
      </c>
      <c r="J86" s="14" t="inlineStr">
        <is>
          <t>Rapproché</t>
        </is>
      </c>
      <c r="K86" s="11" t="inlineStr"/>
    </row>
    <row r="87">
      <c r="A87" s="10" t="n">
        <v>46022</v>
      </c>
      <c r="B87" s="11" t="inlineStr">
        <is>
          <t>Facture</t>
        </is>
      </c>
      <c r="C87" s="11" t="inlineStr">
        <is>
          <t>386/2025</t>
        </is>
      </c>
      <c r="D87" s="12" t="n">
        <v>290100</v>
      </c>
      <c r="E87" s="11" t="inlineStr">
        <is>
          <t>2025</t>
        </is>
      </c>
      <c r="F87" s="10" t="n">
        <v>46022</v>
      </c>
      <c r="G87" s="11" t="inlineStr">
        <is>
          <t>14002</t>
        </is>
      </c>
      <c r="H87" s="11" t="inlineStr">
        <is>
          <t>N°389/2025</t>
        </is>
      </c>
      <c r="I87" s="12" t="n">
        <v>290100</v>
      </c>
      <c r="J87" s="14" t="inlineStr">
        <is>
          <t>Rapproché</t>
        </is>
      </c>
      <c r="K87" s="11" t="inlineStr"/>
    </row>
    <row r="88">
      <c r="A88" s="10" t="n">
        <v>46053</v>
      </c>
      <c r="B88" s="11" t="inlineStr">
        <is>
          <t>Facture</t>
        </is>
      </c>
      <c r="C88" s="11" t="inlineStr">
        <is>
          <t>025/2026</t>
        </is>
      </c>
      <c r="D88" s="12" t="n">
        <v>311116</v>
      </c>
      <c r="E88" s="11" t="inlineStr">
        <is>
          <t>2026</t>
        </is>
      </c>
      <c r="F88" s="10" t="n">
        <v>46053</v>
      </c>
      <c r="G88" s="11" t="inlineStr">
        <is>
          <t>14002</t>
        </is>
      </c>
      <c r="H88" s="11" t="inlineStr">
        <is>
          <t>N°025/2026</t>
        </is>
      </c>
      <c r="I88" s="12" t="n">
        <v>311116</v>
      </c>
      <c r="J88" s="14" t="inlineStr">
        <is>
          <t>Rapproché</t>
        </is>
      </c>
      <c r="K88" s="11" t="inlineStr"/>
    </row>
    <row r="89">
      <c r="A89" s="10" t="n">
        <v>46081</v>
      </c>
      <c r="B89" s="11" t="inlineStr">
        <is>
          <t>Facture</t>
        </is>
      </c>
      <c r="C89" s="11" t="inlineStr">
        <is>
          <t>066/2026</t>
        </is>
      </c>
      <c r="D89" s="12" t="n">
        <v>434000</v>
      </c>
      <c r="E89" s="11" t="inlineStr">
        <is>
          <t>2026</t>
        </is>
      </c>
      <c r="F89" s="10" t="n">
        <v>46081</v>
      </c>
      <c r="G89" s="11" t="inlineStr">
        <is>
          <t>14002</t>
        </is>
      </c>
      <c r="H89" s="11" t="inlineStr">
        <is>
          <t>N°066/2026</t>
        </is>
      </c>
      <c r="I89" s="12" t="n">
        <v>434000</v>
      </c>
      <c r="J89" s="14" t="inlineStr">
        <is>
          <t>Rapproché</t>
        </is>
      </c>
      <c r="K89" s="11" t="inlineStr"/>
    </row>
    <row r="90">
      <c r="A90" s="10" t="n">
        <v>46094</v>
      </c>
      <c r="B90" s="11" t="inlineStr">
        <is>
          <t>Règlement</t>
        </is>
      </c>
      <c r="C90" s="11" t="inlineStr">
        <is>
          <t>Virement EDI du 13/03/2026</t>
        </is>
      </c>
      <c r="D90" s="12" t="n">
        <v>311116</v>
      </c>
      <c r="E90" s="11" t="inlineStr">
        <is>
          <t>2026</t>
        </is>
      </c>
      <c r="F90" s="10" t="n">
        <v>46096</v>
      </c>
      <c r="G90" s="11" t="inlineStr">
        <is>
          <t>02001</t>
        </is>
      </c>
      <c r="H90" s="11" t="inlineStr">
        <is>
          <t>00370-001104</t>
        </is>
      </c>
      <c r="I90" s="12" t="n">
        <v>311116</v>
      </c>
      <c r="J90" s="14" t="inlineStr">
        <is>
          <t>Rapproché</t>
        </is>
      </c>
      <c r="K90" s="11" t="inlineStr"/>
    </row>
    <row r="91">
      <c r="A91" s="10" t="n">
        <v>46094</v>
      </c>
      <c r="B91" s="11" t="inlineStr">
        <is>
          <t>Règlement</t>
        </is>
      </c>
      <c r="C91" s="11" t="inlineStr">
        <is>
          <t>Virement EDI du 13/03/2026</t>
        </is>
      </c>
      <c r="D91" s="12" t="n">
        <v>434000</v>
      </c>
      <c r="E91" s="11" t="inlineStr">
        <is>
          <t>2026</t>
        </is>
      </c>
      <c r="F91" s="10" t="n">
        <v>46096</v>
      </c>
      <c r="G91" s="11" t="inlineStr">
        <is>
          <t>02001</t>
        </is>
      </c>
      <c r="H91" s="11" t="inlineStr">
        <is>
          <t>00370-001105</t>
        </is>
      </c>
      <c r="I91" s="12" t="n">
        <v>434000</v>
      </c>
      <c r="J91" s="14" t="inlineStr">
        <is>
          <t>Rapproché</t>
        </is>
      </c>
      <c r="K91" s="11" t="inlineStr"/>
    </row>
    <row r="92">
      <c r="A92" s="10" t="n">
        <v>46112</v>
      </c>
      <c r="B92" s="11" t="inlineStr">
        <is>
          <t>Facture</t>
        </is>
      </c>
      <c r="C92" s="11" t="inlineStr">
        <is>
          <t>093/2026</t>
        </is>
      </c>
      <c r="D92" s="12" t="n">
        <v>382974</v>
      </c>
      <c r="E92" s="11" t="inlineStr">
        <is>
          <t>2026</t>
        </is>
      </c>
      <c r="F92" s="10" t="n">
        <v>46112</v>
      </c>
      <c r="G92" s="11" t="inlineStr">
        <is>
          <t>14002</t>
        </is>
      </c>
      <c r="H92" s="11" t="inlineStr">
        <is>
          <t>N°093/2026</t>
        </is>
      </c>
      <c r="I92" s="12" t="n">
        <v>382974</v>
      </c>
      <c r="J92" s="14" t="inlineStr">
        <is>
          <t>Rapproché</t>
        </is>
      </c>
      <c r="K92" s="11" t="inlineStr"/>
    </row>
    <row r="93">
      <c r="A93" s="10" t="n">
        <v>46140</v>
      </c>
      <c r="B93" s="11" t="inlineStr">
        <is>
          <t>Règlement</t>
        </is>
      </c>
      <c r="C93" s="11" t="inlineStr">
        <is>
          <t>Virement EDI du 28/04/2026</t>
        </is>
      </c>
      <c r="D93" s="12" t="n">
        <v>700000</v>
      </c>
      <c r="E93" s="11" t="inlineStr">
        <is>
          <t>2026</t>
        </is>
      </c>
      <c r="F93" s="10" t="n">
        <v>46141</v>
      </c>
      <c r="G93" s="11" t="inlineStr">
        <is>
          <t>02001</t>
        </is>
      </c>
      <c r="H93" s="11" t="inlineStr">
        <is>
          <t>00370-001141</t>
        </is>
      </c>
      <c r="I93" s="12" t="n">
        <v>700000</v>
      </c>
      <c r="J93" s="14" t="inlineStr">
        <is>
          <t>Rapproché</t>
        </is>
      </c>
      <c r="K93" s="11" t="inlineStr"/>
    </row>
    <row r="94">
      <c r="A94" s="10" t="n">
        <v>46142</v>
      </c>
      <c r="B94" s="11" t="inlineStr">
        <is>
          <t>Facture</t>
        </is>
      </c>
      <c r="C94" s="11" t="inlineStr">
        <is>
          <t>129/2026</t>
        </is>
      </c>
      <c r="D94" s="12" t="n">
        <v>468627</v>
      </c>
      <c r="E94" s="11" t="inlineStr">
        <is>
          <t>2026</t>
        </is>
      </c>
      <c r="F94" s="10" t="n">
        <v>46142</v>
      </c>
      <c r="G94" s="11" t="inlineStr">
        <is>
          <t>14002</t>
        </is>
      </c>
      <c r="H94" s="11" t="inlineStr">
        <is>
          <t>N°129/2026</t>
        </is>
      </c>
      <c r="I94" s="12" t="n">
        <v>468627</v>
      </c>
      <c r="J94" s="14" t="inlineStr">
        <is>
          <t>Rapproché</t>
        </is>
      </c>
      <c r="K94" s="11" t="inlineStr"/>
    </row>
    <row r="95">
      <c r="A95" s="10" t="n">
        <v>46161</v>
      </c>
      <c r="B95" s="11" t="inlineStr">
        <is>
          <t>Règlement</t>
        </is>
      </c>
      <c r="C95" s="11" t="inlineStr">
        <is>
          <t>Virement EDI du 19/05/2026</t>
        </is>
      </c>
      <c r="D95" s="12" t="n">
        <v>650000</v>
      </c>
      <c r="E95" s="11" t="inlineStr">
        <is>
          <t>2026</t>
        </is>
      </c>
      <c r="F95" s="10" t="n">
        <v>46161</v>
      </c>
      <c r="G95" s="11" t="inlineStr">
        <is>
          <t>02001</t>
        </is>
      </c>
      <c r="H95" s="11" t="inlineStr">
        <is>
          <t>00370-001165</t>
        </is>
      </c>
      <c r="I95" s="12" t="n">
        <v>650000</v>
      </c>
      <c r="J95" s="14" t="inlineStr">
        <is>
          <t>Rapproché</t>
        </is>
      </c>
      <c r="K95" s="11" t="inlineStr"/>
    </row>
    <row r="96">
      <c r="A96" s="10" t="n">
        <v>46173</v>
      </c>
      <c r="B96" s="11" t="inlineStr">
        <is>
          <t>Facture</t>
        </is>
      </c>
      <c r="C96" s="11" t="inlineStr">
        <is>
          <t>169/2026</t>
        </is>
      </c>
      <c r="D96" s="12" t="n">
        <v>480500</v>
      </c>
      <c r="E96" s="11" t="inlineStr">
        <is>
          <t>2026</t>
        </is>
      </c>
      <c r="F96" s="10" t="n">
        <v>46173</v>
      </c>
      <c r="G96" s="11" t="inlineStr">
        <is>
          <t>14002</t>
        </is>
      </c>
      <c r="H96" s="11" t="inlineStr">
        <is>
          <t>N°169/2026</t>
        </is>
      </c>
      <c r="I96" s="12" t="n">
        <v>480500</v>
      </c>
      <c r="J96" s="14" t="inlineStr">
        <is>
          <t>Rapproché</t>
        </is>
      </c>
      <c r="K96" s="11" t="inlineStr"/>
    </row>
    <row r="97">
      <c r="A97" s="10" t="n">
        <v>46187</v>
      </c>
      <c r="B97" s="11" t="inlineStr">
        <is>
          <t>Règlement</t>
        </is>
      </c>
      <c r="C97" s="11" t="inlineStr">
        <is>
          <t>Virement EDI du 14/06/2026</t>
        </is>
      </c>
      <c r="D97" s="12" t="n">
        <v>800000</v>
      </c>
      <c r="E97" s="11" t="inlineStr">
        <is>
          <t>2026</t>
        </is>
      </c>
      <c r="F97" s="10" t="n">
        <v>46188</v>
      </c>
      <c r="G97" s="11" t="inlineStr">
        <is>
          <t>02001</t>
        </is>
      </c>
      <c r="H97" s="11" t="inlineStr">
        <is>
          <t>00370-001197</t>
        </is>
      </c>
      <c r="I97" s="12" t="n">
        <v>800000</v>
      </c>
      <c r="J97" s="14" t="inlineStr">
        <is>
          <t>Rapproché</t>
        </is>
      </c>
      <c r="K97" s="11" t="inlineStr"/>
    </row>
    <row r="98">
      <c r="A98" s="10" t="n">
        <v>46203</v>
      </c>
      <c r="B98" s="11" t="inlineStr">
        <is>
          <t>Facture</t>
        </is>
      </c>
      <c r="C98" s="11" t="inlineStr">
        <is>
          <t>212/2026</t>
        </is>
      </c>
      <c r="D98" s="12" t="n">
        <v>356500</v>
      </c>
      <c r="E98" s="11" t="inlineStr">
        <is>
          <t>2026</t>
        </is>
      </c>
      <c r="F98" s="10" t="n">
        <v>46203</v>
      </c>
      <c r="G98" s="11" t="inlineStr">
        <is>
          <t>14002</t>
        </is>
      </c>
      <c r="H98" s="11" t="inlineStr">
        <is>
          <t>N°212/2026</t>
        </is>
      </c>
      <c r="I98" s="12" t="n">
        <v>356500</v>
      </c>
      <c r="J98" s="14" t="inlineStr">
        <is>
          <t>Rapproché</t>
        </is>
      </c>
      <c r="K98" s="11" t="inlineStr"/>
    </row>
    <row r="99">
      <c r="A99" s="10" t="n"/>
      <c r="B99" s="11" t="inlineStr">
        <is>
          <t>Règlement</t>
        </is>
      </c>
      <c r="C99" s="11" t="n"/>
      <c r="D99" s="12" t="n"/>
      <c r="E99" s="11" t="inlineStr">
        <is>
          <t>2026</t>
        </is>
      </c>
      <c r="F99" s="10" t="n">
        <v>46280</v>
      </c>
      <c r="G99" s="11" t="inlineStr">
        <is>
          <t>02001</t>
        </is>
      </c>
      <c r="H99" s="11" t="inlineStr">
        <is>
          <t>00370-001290</t>
        </is>
      </c>
      <c r="I99" s="12" t="n">
        <v>700000</v>
      </c>
      <c r="J99" s="15" t="inlineStr">
        <is>
          <t>Absent du relevé fournisseur</t>
        </is>
      </c>
      <c r="K99" s="11" t="inlineStr">
        <is>
          <t>Virement postérieur au relevé arrêté au 30/06/2026 : à confirmer par le fournisseur</t>
        </is>
      </c>
    </row>
  </sheetData>
  <autoFilter ref="A1:K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6" customWidth="1" min="4" max="4"/>
    <col width="46" customWidth="1" min="5" max="5"/>
    <col width="16" customWidth="1" min="6" max="6"/>
  </cols>
  <sheetData>
    <row r="1" ht="32" customHeight="1">
      <c r="A1" s="2" t="inlineStr">
        <is>
          <t>Date</t>
        </is>
      </c>
      <c r="B1" s="2" t="inlineStr">
        <is>
          <t>N° facture</t>
        </is>
      </c>
      <c r="C1" s="2" t="inlineStr">
        <is>
          <t>Montant facture TTC</t>
        </is>
      </c>
      <c r="D1" s="2" t="inlineStr">
        <is>
          <t>Règlement</t>
        </is>
      </c>
      <c r="E1" s="2" t="inlineStr">
        <is>
          <t>Mode de règlement</t>
        </is>
      </c>
      <c r="F1" s="2" t="inlineStr">
        <is>
          <t>Solde cumulé</t>
        </is>
      </c>
    </row>
    <row r="2">
      <c r="A2" s="16" t="n">
        <v>44772</v>
      </c>
      <c r="B2" t="inlineStr">
        <is>
          <t>227/2022</t>
        </is>
      </c>
      <c r="C2" s="9" t="n">
        <v>769954.41</v>
      </c>
      <c r="D2" s="9" t="n">
        <v>769954.41</v>
      </c>
      <c r="E2" t="inlineStr">
        <is>
          <t>CHQ 4972757 du 02/08/2022</t>
        </is>
      </c>
      <c r="F2" s="9">
        <f>N(C2)-N(D2)</f>
        <v/>
      </c>
    </row>
    <row r="3">
      <c r="A3" s="16" t="n">
        <v>44803</v>
      </c>
      <c r="B3" t="inlineStr">
        <is>
          <t>274/2022</t>
        </is>
      </c>
      <c r="C3" s="9" t="n">
        <v>1130374.65</v>
      </c>
      <c r="D3" s="9" t="n">
        <v>1130374.65</v>
      </c>
      <c r="E3" t="inlineStr">
        <is>
          <t>CHQ 4972760 du 02/09/2022</t>
        </is>
      </c>
      <c r="F3" s="9">
        <f>N(F2)+N(C3)-N(D3)</f>
        <v/>
      </c>
    </row>
    <row r="4">
      <c r="A4" s="16" t="n">
        <v>44834</v>
      </c>
      <c r="B4" t="inlineStr">
        <is>
          <t>311/2022</t>
        </is>
      </c>
      <c r="C4" s="9" t="n">
        <v>1001715.3</v>
      </c>
      <c r="D4" s="9" t="n">
        <v>1001715.3</v>
      </c>
      <c r="E4" t="inlineStr">
        <is>
          <t>CHQ 4972762 du 10/10/2022</t>
        </is>
      </c>
      <c r="F4" s="9">
        <f>N(F3)+N(C4)-N(D4)</f>
        <v/>
      </c>
    </row>
    <row r="5">
      <c r="A5" s="16" t="n">
        <v>44865</v>
      </c>
      <c r="B5" t="inlineStr">
        <is>
          <t>346/2022</t>
        </is>
      </c>
      <c r="C5" s="9" t="n">
        <v>1114129.05</v>
      </c>
      <c r="D5" s="9" t="n">
        <v>1114129.05</v>
      </c>
      <c r="E5" t="inlineStr">
        <is>
          <t>CHQ 4972765 du 14/11/2022</t>
        </is>
      </c>
      <c r="F5" s="9">
        <f>N(F4)+N(C5)-N(D5)</f>
        <v/>
      </c>
    </row>
    <row r="6">
      <c r="A6" s="16" t="n">
        <v>44895</v>
      </c>
      <c r="B6" t="inlineStr">
        <is>
          <t>386/2022</t>
        </is>
      </c>
      <c r="C6" s="9" t="n">
        <v>1160400</v>
      </c>
      <c r="D6" s="9" t="n">
        <v>1160400</v>
      </c>
      <c r="E6" t="inlineStr">
        <is>
          <t>CHQ 4972769 du 14/12/2022</t>
        </is>
      </c>
      <c r="F6" s="9">
        <f>N(F5)+N(C6)-N(D6)</f>
        <v/>
      </c>
    </row>
    <row r="7">
      <c r="A7" s="16" t="n">
        <v>44926</v>
      </c>
      <c r="B7" t="inlineStr">
        <is>
          <t>425/2022</t>
        </is>
      </c>
      <c r="C7" s="9" t="n">
        <v>1195763.19</v>
      </c>
      <c r="D7" s="9" t="n">
        <v>1195763.19</v>
      </c>
      <c r="E7" t="inlineStr">
        <is>
          <t>CHQ 4972771 du 07/02/2023</t>
        </is>
      </c>
      <c r="F7" s="9">
        <f>N(F6)+N(C7)-N(D7)</f>
        <v/>
      </c>
    </row>
    <row r="8">
      <c r="A8" s="16" t="n">
        <v>44957</v>
      </c>
      <c r="B8" t="inlineStr">
        <is>
          <t>026/2023</t>
        </is>
      </c>
      <c r="C8" s="9" t="n">
        <v>1276440</v>
      </c>
      <c r="D8" s="9" t="n">
        <v>1276440</v>
      </c>
      <c r="E8" t="inlineStr">
        <is>
          <t>CHQ 4972774 du 05/03/2023</t>
        </is>
      </c>
      <c r="F8" s="9">
        <f>N(F7)+N(C8)-N(D8)</f>
        <v/>
      </c>
    </row>
    <row r="9">
      <c r="A9" s="16" t="n">
        <v>44985</v>
      </c>
      <c r="B9" t="inlineStr">
        <is>
          <t>054/2023</t>
        </is>
      </c>
      <c r="C9" s="9" t="n">
        <v>968353.8</v>
      </c>
      <c r="D9" s="9" t="n">
        <v>968353.8</v>
      </c>
      <c r="E9" t="inlineStr">
        <is>
          <t>CHQ 4972776 du 09/04/2023</t>
        </is>
      </c>
      <c r="F9" s="9">
        <f>N(F8)+N(C9)-N(D9)</f>
        <v/>
      </c>
    </row>
    <row r="10">
      <c r="A10" s="16" t="n">
        <v>45016</v>
      </c>
      <c r="B10" t="inlineStr">
        <is>
          <t>090/2023</t>
        </is>
      </c>
      <c r="C10" s="9" t="n">
        <v>909753.6</v>
      </c>
      <c r="D10" s="9" t="n">
        <v>909753.6</v>
      </c>
      <c r="E10" t="inlineStr">
        <is>
          <t>CHQ 4972778 du 07/05/2023</t>
        </is>
      </c>
      <c r="F10" s="9">
        <f>N(F9)+N(C10)-N(D10)</f>
        <v/>
      </c>
    </row>
    <row r="11">
      <c r="A11" s="16" t="n">
        <v>45046</v>
      </c>
      <c r="B11" t="inlineStr">
        <is>
          <t>125/2023</t>
        </is>
      </c>
      <c r="C11" s="9" t="n">
        <v>916716</v>
      </c>
      <c r="D11" s="9" t="n">
        <v>916716</v>
      </c>
      <c r="E11" t="inlineStr">
        <is>
          <t>CHQ 4972780 du 05/06/2023</t>
        </is>
      </c>
      <c r="F11" s="9">
        <f>N(F10)+N(C11)-N(D11)</f>
        <v/>
      </c>
    </row>
    <row r="12">
      <c r="A12" s="16" t="n">
        <v>45077</v>
      </c>
      <c r="B12" t="inlineStr">
        <is>
          <t>159/2023</t>
        </is>
      </c>
      <c r="C12" s="9" t="n">
        <v>870300</v>
      </c>
      <c r="D12" s="9" t="n">
        <v>870300</v>
      </c>
      <c r="E12" t="inlineStr">
        <is>
          <t>CHQ 4972781 du 09/07/2023</t>
        </is>
      </c>
      <c r="F12" s="9">
        <f>N(F11)+N(C12)-N(D12)</f>
        <v/>
      </c>
    </row>
    <row r="13">
      <c r="A13" s="16" t="n">
        <v>45107</v>
      </c>
      <c r="B13" t="inlineStr">
        <is>
          <t>189/2023</t>
        </is>
      </c>
      <c r="C13" s="9" t="n">
        <v>941780.6</v>
      </c>
      <c r="D13" s="9" t="n">
        <v>941780.6</v>
      </c>
      <c r="E13" t="inlineStr">
        <is>
          <t>CHQ 4972782 du 09/08/2023</t>
        </is>
      </c>
      <c r="F13" s="9">
        <f>N(F12)+N(C13)-N(D13)</f>
        <v/>
      </c>
    </row>
    <row r="14">
      <c r="A14" s="16" t="n">
        <v>45138</v>
      </c>
      <c r="B14" t="inlineStr">
        <is>
          <t>218/2023</t>
        </is>
      </c>
      <c r="C14" s="9" t="n">
        <v>1044360</v>
      </c>
      <c r="D14" s="9" t="n">
        <v>1044360</v>
      </c>
      <c r="E14" t="inlineStr">
        <is>
          <t>CHQ 4972782 du 30/08/2023 (n° répété sur le relevé)</t>
        </is>
      </c>
      <c r="F14" s="9">
        <f>N(F13)+N(C14)-N(D14)</f>
        <v/>
      </c>
    </row>
    <row r="15">
      <c r="A15" s="16" t="n">
        <v>45169</v>
      </c>
      <c r="B15" t="inlineStr">
        <is>
          <t>245/2023</t>
        </is>
      </c>
      <c r="C15" s="9" t="n">
        <v>1054513.5</v>
      </c>
      <c r="D15" s="9" t="n">
        <v>1054513.5</v>
      </c>
      <c r="E15" t="inlineStr">
        <is>
          <t>CHQ 4972787 du 06/10/2023</t>
        </is>
      </c>
      <c r="F15" s="9">
        <f>N(F14)+N(C15)-N(D15)</f>
        <v/>
      </c>
    </row>
    <row r="16">
      <c r="A16" s="16" t="n">
        <v>45199</v>
      </c>
      <c r="B16" t="inlineStr">
        <is>
          <t>277/2023</t>
        </is>
      </c>
      <c r="C16" s="9" t="n">
        <v>1000845</v>
      </c>
      <c r="D16" s="9" t="n">
        <v>1000845</v>
      </c>
      <c r="E16" t="inlineStr">
        <is>
          <t>CHQ 4972789 du 09/11/2023</t>
        </is>
      </c>
      <c r="F16" s="9">
        <f>N(F15)+N(C16)-N(D16)</f>
        <v/>
      </c>
    </row>
    <row r="17">
      <c r="A17" s="16" t="n">
        <v>45230</v>
      </c>
      <c r="B17" t="inlineStr">
        <is>
          <t>318/2023</t>
        </is>
      </c>
      <c r="C17" s="9" t="n">
        <v>1334460</v>
      </c>
      <c r="D17" s="9" t="n">
        <v>1334460</v>
      </c>
      <c r="E17" t="inlineStr">
        <is>
          <t>CHQ 4972790 du 06/12/2023</t>
        </is>
      </c>
      <c r="F17" s="9">
        <f>N(F16)+N(C17)-N(D17)</f>
        <v/>
      </c>
    </row>
    <row r="18">
      <c r="A18" s="16" t="n">
        <v>45260</v>
      </c>
      <c r="B18" t="inlineStr">
        <is>
          <t>353/2023</t>
        </is>
      </c>
      <c r="C18" s="9" t="n">
        <v>1058865</v>
      </c>
      <c r="D18" s="9" t="n">
        <v>1058865</v>
      </c>
      <c r="E18" t="inlineStr">
        <is>
          <t>OV du 24/01/2024</t>
        </is>
      </c>
      <c r="F18" s="9">
        <f>N(F17)+N(C18)-N(D18)</f>
        <v/>
      </c>
    </row>
    <row r="19">
      <c r="A19" s="16" t="n">
        <v>45291</v>
      </c>
      <c r="B19" t="inlineStr">
        <is>
          <t>392/2023</t>
        </is>
      </c>
      <c r="C19" s="9" t="n">
        <v>1160400</v>
      </c>
      <c r="D19" s="9" t="n">
        <v>1160400</v>
      </c>
      <c r="E19" t="inlineStr">
        <is>
          <t>OV du 07/02/2024</t>
        </is>
      </c>
      <c r="F19" s="9">
        <f>N(F18)+N(C19)-N(D19)</f>
        <v/>
      </c>
    </row>
    <row r="20">
      <c r="A20" s="16" t="n">
        <v>45322</v>
      </c>
      <c r="B20" t="inlineStr">
        <is>
          <t>029/2024</t>
        </is>
      </c>
      <c r="C20" s="9" t="n">
        <v>1105281</v>
      </c>
      <c r="D20" s="9" t="n">
        <v>1105281</v>
      </c>
      <c r="E20" t="inlineStr">
        <is>
          <t>CHQ 4972793 du 24/03/2024</t>
        </is>
      </c>
      <c r="F20" s="9">
        <f>N(F19)+N(C20)-N(D20)</f>
        <v/>
      </c>
    </row>
    <row r="21">
      <c r="A21" s="16" t="n">
        <v>45351</v>
      </c>
      <c r="B21" t="inlineStr">
        <is>
          <t>066/2024</t>
        </is>
      </c>
      <c r="C21" s="9" t="n">
        <v>957330</v>
      </c>
      <c r="D21" s="9" t="n"/>
      <c r="E21" t="inlineStr"/>
      <c r="F21" s="9">
        <f>N(F20)+N(C21)-N(D21)</f>
        <v/>
      </c>
    </row>
    <row r="22">
      <c r="A22" s="16" t="n">
        <v>45382</v>
      </c>
      <c r="B22" t="inlineStr">
        <is>
          <t>104/2024</t>
        </is>
      </c>
      <c r="C22" s="9" t="n">
        <v>1073370</v>
      </c>
      <c r="D22" s="9" t="n"/>
      <c r="E22" t="inlineStr"/>
      <c r="F22" s="9">
        <f>N(F21)+N(C22)-N(D22)</f>
        <v/>
      </c>
    </row>
    <row r="23">
      <c r="A23" s="16" t="n">
        <v>45412</v>
      </c>
      <c r="B23" t="inlineStr">
        <is>
          <t>135/2024</t>
        </is>
      </c>
      <c r="C23" s="9" t="n">
        <v>799892.73</v>
      </c>
      <c r="D23" s="9" t="n"/>
      <c r="E23" t="inlineStr"/>
      <c r="F23" s="9">
        <f>N(F22)+N(C23)-N(D23)</f>
        <v/>
      </c>
    </row>
    <row r="24">
      <c r="A24" s="16" t="n">
        <v>45425</v>
      </c>
      <c r="B24" t="inlineStr"/>
      <c r="C24" s="9" t="n"/>
      <c r="D24" s="9" t="n">
        <v>380000</v>
      </c>
      <c r="E24" t="inlineStr">
        <is>
          <t>OV du 13/05/2024</t>
        </is>
      </c>
      <c r="F24" s="9">
        <f>N(F23)+N(C24)-N(D24)</f>
        <v/>
      </c>
    </row>
    <row r="25">
      <c r="A25" s="16" t="n">
        <v>45427</v>
      </c>
      <c r="B25" t="inlineStr"/>
      <c r="C25" s="9" t="n"/>
      <c r="D25" s="9" t="n">
        <v>557330</v>
      </c>
      <c r="E25" t="inlineStr">
        <is>
          <t>OV du 15/05/2024</t>
        </is>
      </c>
      <c r="F25" s="9">
        <f>N(F24)+N(C25)-N(D25)</f>
        <v/>
      </c>
    </row>
    <row r="26">
      <c r="A26" s="16" t="n">
        <v>45430</v>
      </c>
      <c r="B26" t="inlineStr"/>
      <c r="C26" s="9" t="n"/>
      <c r="D26" s="9" t="n">
        <v>720000</v>
      </c>
      <c r="E26" t="inlineStr">
        <is>
          <t>OV du 18/05/2024</t>
        </is>
      </c>
      <c r="F26" s="9">
        <f>N(F25)+N(C26)-N(D26)</f>
        <v/>
      </c>
    </row>
    <row r="27">
      <c r="A27" s="16" t="n">
        <v>45443</v>
      </c>
      <c r="B27" t="inlineStr">
        <is>
          <t>164/2024</t>
        </is>
      </c>
      <c r="C27" s="9" t="n">
        <v>1029855</v>
      </c>
      <c r="D27" s="9" t="n"/>
      <c r="E27" t="inlineStr"/>
      <c r="F27" s="9">
        <f>N(F26)+N(C27)-N(D27)</f>
        <v/>
      </c>
    </row>
    <row r="28">
      <c r="A28" s="16" t="n">
        <v>45446</v>
      </c>
      <c r="B28" t="inlineStr"/>
      <c r="C28" s="9" t="n"/>
      <c r="D28" s="9" t="n">
        <v>380000</v>
      </c>
      <c r="E28" t="inlineStr">
        <is>
          <t>OV du 03/06/2024</t>
        </is>
      </c>
      <c r="F28" s="9">
        <f>N(F27)+N(C28)-N(D28)</f>
        <v/>
      </c>
    </row>
    <row r="29">
      <c r="A29" s="16" t="n">
        <v>45473</v>
      </c>
      <c r="B29" t="inlineStr">
        <is>
          <t>195/2024</t>
        </is>
      </c>
      <c r="C29" s="9" t="n">
        <v>823884</v>
      </c>
      <c r="D29" s="9" t="n"/>
      <c r="E29" t="inlineStr"/>
      <c r="F29" s="9">
        <f>N(F28)+N(C29)-N(D29)</f>
        <v/>
      </c>
    </row>
    <row r="30">
      <c r="A30" s="16" t="n">
        <v>45504</v>
      </c>
      <c r="B30" t="inlineStr">
        <is>
          <t>228/2024</t>
        </is>
      </c>
      <c r="C30" s="9" t="n">
        <v>1031189.46</v>
      </c>
      <c r="D30" s="9" t="n"/>
      <c r="E30" t="inlineStr"/>
      <c r="F30" s="9">
        <f>N(F29)+N(C30)-N(D30)</f>
        <v/>
      </c>
    </row>
    <row r="31">
      <c r="A31" s="16" t="n">
        <v>45495</v>
      </c>
      <c r="B31" t="inlineStr"/>
      <c r="C31" s="9" t="n"/>
      <c r="D31" s="9" t="n">
        <v>700000</v>
      </c>
      <c r="E31" t="inlineStr">
        <is>
          <t>OV du 22/07/2024</t>
        </is>
      </c>
      <c r="F31" s="9">
        <f>N(F30)+N(C31)-N(D31)</f>
        <v/>
      </c>
    </row>
    <row r="32">
      <c r="A32" s="16" t="n">
        <v>45512</v>
      </c>
      <c r="B32" t="inlineStr"/>
      <c r="C32" s="9" t="n"/>
      <c r="D32" s="9" t="n">
        <v>950000</v>
      </c>
      <c r="E32" t="inlineStr">
        <is>
          <t>OV du 08/08/2024</t>
        </is>
      </c>
      <c r="F32" s="9">
        <f>N(F31)+N(C32)-N(D32)</f>
        <v/>
      </c>
    </row>
    <row r="33">
      <c r="A33" s="16" t="n">
        <v>45513</v>
      </c>
      <c r="B33" t="inlineStr"/>
      <c r="C33" s="9" t="n"/>
      <c r="D33" s="9" t="n">
        <v>800000</v>
      </c>
      <c r="E33" t="inlineStr">
        <is>
          <t>OV du 09/08/2024</t>
        </is>
      </c>
      <c r="F33" s="9">
        <f>N(F32)+N(C33)-N(D33)</f>
        <v/>
      </c>
    </row>
    <row r="34">
      <c r="A34" s="16" t="n">
        <v>45519</v>
      </c>
      <c r="B34" t="inlineStr"/>
      <c r="C34" s="9" t="n"/>
      <c r="D34" s="9" t="n">
        <v>650000</v>
      </c>
      <c r="E34" t="inlineStr">
        <is>
          <t>OV du 15/08/2024</t>
        </is>
      </c>
      <c r="F34" s="9">
        <f>N(F33)+N(C34)-N(D34)</f>
        <v/>
      </c>
    </row>
    <row r="35">
      <c r="A35" s="16" t="n">
        <v>45522</v>
      </c>
      <c r="B35" t="inlineStr"/>
      <c r="C35" s="9" t="n"/>
      <c r="D35" s="9" t="n">
        <v>500000</v>
      </c>
      <c r="E35" t="inlineStr">
        <is>
          <t>OV du 18/08/2024</t>
        </is>
      </c>
      <c r="F35" s="9">
        <f>N(F34)+N(C35)-N(D35)</f>
        <v/>
      </c>
    </row>
    <row r="36">
      <c r="A36" s="16" t="n">
        <v>45530</v>
      </c>
      <c r="B36" t="inlineStr"/>
      <c r="C36" s="9" t="n"/>
      <c r="D36" s="9" t="n">
        <v>500000</v>
      </c>
      <c r="E36" t="inlineStr">
        <is>
          <t>OV du 26/08/2024</t>
        </is>
      </c>
      <c r="F36" s="9">
        <f>N(F35)+N(C36)-N(D36)</f>
        <v/>
      </c>
    </row>
    <row r="37">
      <c r="A37" s="16" t="n">
        <v>45535</v>
      </c>
      <c r="B37" t="inlineStr">
        <is>
          <t>259/2024</t>
        </is>
      </c>
      <c r="C37" s="9" t="n">
        <v>832587</v>
      </c>
      <c r="D37" s="9" t="n"/>
      <c r="E37" t="inlineStr"/>
      <c r="F37" s="9">
        <f>N(F36)+N(C37)-N(D37)</f>
        <v/>
      </c>
    </row>
    <row r="38">
      <c r="A38" s="16" t="n">
        <v>45565</v>
      </c>
      <c r="B38" t="inlineStr">
        <is>
          <t>289/2024</t>
        </is>
      </c>
      <c r="C38" s="9" t="n">
        <v>829686</v>
      </c>
      <c r="D38" s="9" t="n"/>
      <c r="E38" t="inlineStr"/>
      <c r="F38" s="9">
        <f>N(F37)+N(C38)-N(D38)</f>
        <v/>
      </c>
    </row>
    <row r="39">
      <c r="A39" s="16" t="n">
        <v>45582</v>
      </c>
      <c r="B39" t="inlineStr"/>
      <c r="C39" s="9" t="n"/>
      <c r="D39" s="9" t="n">
        <v>540000</v>
      </c>
      <c r="E39" t="inlineStr">
        <is>
          <t>OV du 17/10/2024</t>
        </is>
      </c>
      <c r="F39" s="9">
        <f>N(F38)+N(C39)-N(D39)</f>
        <v/>
      </c>
    </row>
    <row r="40">
      <c r="A40" s="16" t="n">
        <v>45587</v>
      </c>
      <c r="B40" t="inlineStr"/>
      <c r="C40" s="9" t="n"/>
      <c r="D40" s="9" t="n">
        <v>500000</v>
      </c>
      <c r="E40" t="inlineStr">
        <is>
          <t>OV du 22/10/2024</t>
        </is>
      </c>
      <c r="F40" s="9">
        <f>N(F39)+N(C40)-N(D40)</f>
        <v/>
      </c>
    </row>
    <row r="41">
      <c r="A41" s="16" t="n">
        <v>45596</v>
      </c>
      <c r="B41" t="inlineStr">
        <is>
          <t>325/2024</t>
        </is>
      </c>
      <c r="C41" s="9" t="n">
        <v>1044360</v>
      </c>
      <c r="D41" s="9" t="n"/>
      <c r="E41" t="inlineStr"/>
      <c r="F41" s="9">
        <f>N(F40)+N(C41)-N(D41)</f>
        <v/>
      </c>
    </row>
    <row r="42">
      <c r="A42" s="16" t="n">
        <v>45599</v>
      </c>
      <c r="B42" t="inlineStr"/>
      <c r="C42" s="9" t="n"/>
      <c r="D42" s="9" t="n">
        <v>260000</v>
      </c>
      <c r="E42" t="inlineStr">
        <is>
          <t>OV du 03/11/2024</t>
        </is>
      </c>
      <c r="F42" s="9">
        <f>N(F41)+N(C42)-N(D42)</f>
        <v/>
      </c>
    </row>
    <row r="43">
      <c r="A43" s="16" t="n">
        <v>45626</v>
      </c>
      <c r="B43" t="inlineStr">
        <is>
          <t>355/2024</t>
        </is>
      </c>
      <c r="C43" s="9" t="n">
        <v>723219.3</v>
      </c>
      <c r="D43" s="9" t="n"/>
      <c r="E43" t="inlineStr"/>
      <c r="F43" s="9">
        <f>N(F42)+N(C43)-N(D43)</f>
        <v/>
      </c>
    </row>
    <row r="44">
      <c r="A44" s="16" t="n">
        <v>45628</v>
      </c>
      <c r="B44" t="inlineStr"/>
      <c r="C44" s="9" t="n"/>
      <c r="D44" s="9" t="n">
        <v>500000</v>
      </c>
      <c r="E44" t="inlineStr">
        <is>
          <t>OV du 02/12/2024</t>
        </is>
      </c>
      <c r="F44" s="9">
        <f>N(F43)+N(C44)-N(D44)</f>
        <v/>
      </c>
    </row>
    <row r="45">
      <c r="A45" s="16" t="n">
        <v>45631</v>
      </c>
      <c r="B45" t="inlineStr"/>
      <c r="C45" s="9" t="n"/>
      <c r="D45" s="9" t="n">
        <v>720000</v>
      </c>
      <c r="E45" t="inlineStr">
        <is>
          <t>OV du 05/12/2024</t>
        </is>
      </c>
      <c r="F45" s="9">
        <f>N(F44)+N(C45)-N(D45)</f>
        <v/>
      </c>
    </row>
    <row r="46">
      <c r="A46" s="16" t="n">
        <v>45657</v>
      </c>
      <c r="B46" t="inlineStr">
        <is>
          <t>390/2024</t>
        </is>
      </c>
      <c r="C46" s="9" t="n">
        <v>968934</v>
      </c>
      <c r="D46" s="9" t="n"/>
      <c r="E46" t="inlineStr"/>
      <c r="F46" s="9">
        <f>N(F45)+N(C46)-N(D46)</f>
        <v/>
      </c>
    </row>
    <row r="47">
      <c r="A47" s="16" t="n">
        <v>45659</v>
      </c>
      <c r="B47" t="inlineStr"/>
      <c r="C47" s="9" t="n"/>
      <c r="D47" s="9" t="n">
        <v>550000</v>
      </c>
      <c r="E47" t="inlineStr">
        <is>
          <t>OV du 02/01/2025</t>
        </is>
      </c>
      <c r="F47" s="9">
        <f>N(F46)+N(C47)-N(D47)</f>
        <v/>
      </c>
    </row>
    <row r="48">
      <c r="A48" s="16" t="n">
        <v>45688</v>
      </c>
      <c r="B48" t="inlineStr">
        <is>
          <t>023/2025</t>
        </is>
      </c>
      <c r="C48" s="9" t="n">
        <v>609210</v>
      </c>
      <c r="D48" s="9" t="n"/>
      <c r="E48" t="inlineStr"/>
      <c r="F48" s="9">
        <f>N(F47)+N(C48)-N(D48)</f>
        <v/>
      </c>
    </row>
    <row r="49">
      <c r="A49" s="16" t="n">
        <v>45690</v>
      </c>
      <c r="B49" t="inlineStr"/>
      <c r="C49" s="9" t="n"/>
      <c r="D49" s="9" t="n">
        <v>700000</v>
      </c>
      <c r="E49" t="inlineStr">
        <is>
          <t>OV du 02/02/2025</t>
        </is>
      </c>
      <c r="F49" s="9">
        <f>N(F48)+N(C49)-N(D49)</f>
        <v/>
      </c>
    </row>
    <row r="50">
      <c r="A50" s="16" t="n">
        <v>45713</v>
      </c>
      <c r="B50" t="inlineStr"/>
      <c r="C50" s="9" t="n"/>
      <c r="D50" s="9" t="n">
        <v>700000</v>
      </c>
      <c r="E50" t="inlineStr">
        <is>
          <t>OV du 25/02/2025</t>
        </is>
      </c>
      <c r="F50" s="9">
        <f>N(F49)+N(C50)-N(D50)</f>
        <v/>
      </c>
    </row>
    <row r="51">
      <c r="A51" s="16" t="n">
        <v>45716</v>
      </c>
      <c r="B51" t="inlineStr">
        <is>
          <t>056/2025</t>
        </is>
      </c>
      <c r="C51" s="9" t="n">
        <v>696240</v>
      </c>
      <c r="D51" s="9" t="n"/>
      <c r="E51" t="inlineStr"/>
      <c r="F51" s="9">
        <f>N(F50)+N(C51)-N(D51)</f>
        <v/>
      </c>
    </row>
    <row r="52">
      <c r="A52" s="16" t="n">
        <v>45725</v>
      </c>
      <c r="B52" t="inlineStr"/>
      <c r="C52" s="9" t="n"/>
      <c r="D52" s="9" t="n">
        <v>550000</v>
      </c>
      <c r="E52" t="inlineStr">
        <is>
          <t>OV du 09/03/2025</t>
        </is>
      </c>
      <c r="F52" s="9">
        <f>N(F51)+N(C52)-N(D52)</f>
        <v/>
      </c>
    </row>
    <row r="53">
      <c r="A53" s="16" t="n">
        <v>45746</v>
      </c>
      <c r="B53" t="inlineStr"/>
      <c r="C53" s="9" t="n"/>
      <c r="D53" s="9" t="n">
        <v>650000</v>
      </c>
      <c r="E53" t="inlineStr">
        <is>
          <t>OV du 30/03/2025</t>
        </is>
      </c>
      <c r="F53" s="9">
        <f>N(F52)+N(C53)-N(D53)</f>
        <v/>
      </c>
    </row>
    <row r="54">
      <c r="A54" s="16" t="n">
        <v>45747</v>
      </c>
      <c r="B54" t="inlineStr">
        <is>
          <t>086/2025</t>
        </is>
      </c>
      <c r="C54" s="9" t="n">
        <v>594705</v>
      </c>
      <c r="D54" s="9" t="n"/>
      <c r="E54" t="inlineStr"/>
      <c r="F54" s="9">
        <f>N(F53)+N(C54)-N(D54)</f>
        <v/>
      </c>
    </row>
    <row r="55">
      <c r="A55" s="16" t="n">
        <v>45777</v>
      </c>
      <c r="B55" t="inlineStr">
        <is>
          <t>120/2025</t>
        </is>
      </c>
      <c r="C55" s="9" t="n">
        <v>420645</v>
      </c>
      <c r="D55" s="9" t="n"/>
      <c r="E55" t="inlineStr"/>
      <c r="F55" s="9">
        <f>N(F54)+N(C55)-N(D55)</f>
        <v/>
      </c>
    </row>
    <row r="56">
      <c r="A56" s="16" t="n">
        <v>45791</v>
      </c>
      <c r="B56" t="inlineStr"/>
      <c r="C56" s="9" t="n"/>
      <c r="D56" s="9" t="n">
        <v>650000</v>
      </c>
      <c r="E56" t="inlineStr">
        <is>
          <t>OV du 14/05/2025</t>
        </is>
      </c>
      <c r="F56" s="9">
        <f>N(F55)+N(C56)-N(D56)</f>
        <v/>
      </c>
    </row>
    <row r="57">
      <c r="A57" s="16" t="n">
        <v>45808</v>
      </c>
      <c r="B57" t="inlineStr">
        <is>
          <t>152/2025</t>
        </is>
      </c>
      <c r="C57" s="9" t="n">
        <v>484467</v>
      </c>
      <c r="D57" s="9" t="n"/>
      <c r="E57" t="inlineStr"/>
      <c r="F57" s="9">
        <f>N(F56)+N(C57)-N(D57)</f>
        <v/>
      </c>
    </row>
    <row r="58">
      <c r="A58" s="16" t="n">
        <v>45838</v>
      </c>
      <c r="B58" t="inlineStr">
        <is>
          <t>185/2025</t>
        </is>
      </c>
      <c r="C58" s="9" t="n">
        <v>493170</v>
      </c>
      <c r="D58" s="9" t="n"/>
      <c r="E58" t="inlineStr"/>
      <c r="F58" s="9">
        <f>N(F57)+N(C58)-N(D58)</f>
        <v/>
      </c>
    </row>
    <row r="59">
      <c r="A59" s="16" t="n">
        <v>45867</v>
      </c>
      <c r="B59" t="inlineStr"/>
      <c r="C59" s="9" t="n"/>
      <c r="D59" s="9" t="n">
        <v>700000</v>
      </c>
      <c r="E59" t="inlineStr">
        <is>
          <t>OV du 29/07/2025</t>
        </is>
      </c>
      <c r="F59" s="9">
        <f>N(F58)+N(C59)-N(D59)</f>
        <v/>
      </c>
    </row>
    <row r="60">
      <c r="A60" s="16" t="n">
        <v>45869</v>
      </c>
      <c r="B60" t="inlineStr">
        <is>
          <t>(n° illisible)</t>
        </is>
      </c>
      <c r="C60" s="9" t="n">
        <v>348120</v>
      </c>
      <c r="D60" s="9" t="n"/>
      <c r="E60" t="inlineStr"/>
      <c r="F60" s="9">
        <f>N(F59)+N(C60)-N(D60)</f>
        <v/>
      </c>
    </row>
    <row r="61">
      <c r="A61" s="16" t="n">
        <v>45879</v>
      </c>
      <c r="B61" t="inlineStr"/>
      <c r="C61" s="9" t="n"/>
      <c r="D61" s="9" t="n">
        <v>650000</v>
      </c>
      <c r="E61" t="inlineStr">
        <is>
          <t>OV du 10/08/2025</t>
        </is>
      </c>
      <c r="F61" s="9">
        <f>N(F60)+N(C61)-N(D61)</f>
        <v/>
      </c>
    </row>
    <row r="62">
      <c r="A62" s="16" t="n">
        <v>45881</v>
      </c>
      <c r="B62" t="inlineStr"/>
      <c r="C62" s="9" t="n"/>
      <c r="D62" s="9" t="n">
        <v>700000</v>
      </c>
      <c r="E62" t="inlineStr">
        <is>
          <t>OV du 12/08/2025</t>
        </is>
      </c>
      <c r="F62" s="9">
        <f>N(F61)+N(C62)-N(D62)</f>
        <v/>
      </c>
    </row>
    <row r="63">
      <c r="A63" s="16" t="n">
        <v>45900</v>
      </c>
      <c r="B63" t="inlineStr">
        <is>
          <t>249/2025</t>
        </is>
      </c>
      <c r="C63" s="9" t="n">
        <v>435150</v>
      </c>
      <c r="D63" s="9" t="n"/>
      <c r="E63" t="inlineStr"/>
      <c r="F63" s="9">
        <f>N(F62)+N(C63)-N(D63)</f>
        <v/>
      </c>
    </row>
    <row r="64">
      <c r="A64" s="16" t="n">
        <v>45909</v>
      </c>
      <c r="B64" t="inlineStr"/>
      <c r="C64" s="9" t="n"/>
      <c r="D64" s="9" t="n">
        <v>540000</v>
      </c>
      <c r="E64" t="inlineStr">
        <is>
          <t>OV du 09/09/2025</t>
        </is>
      </c>
      <c r="F64" s="9">
        <f>N(F63)+N(C64)-N(D64)</f>
        <v/>
      </c>
    </row>
    <row r="65">
      <c r="A65" s="16" t="n">
        <v>45930</v>
      </c>
      <c r="B65" t="inlineStr">
        <is>
          <t>284/2025</t>
        </is>
      </c>
      <c r="C65" s="9" t="n">
        <v>388734</v>
      </c>
      <c r="D65" s="9" t="n"/>
      <c r="E65" t="inlineStr"/>
      <c r="F65" s="9">
        <f>N(F64)+N(C65)-N(D65)</f>
        <v/>
      </c>
    </row>
    <row r="66">
      <c r="A66" s="16" t="n">
        <v>45961</v>
      </c>
      <c r="B66" t="inlineStr">
        <is>
          <t>319/2025</t>
        </is>
      </c>
      <c r="C66" s="9" t="n">
        <v>446754</v>
      </c>
      <c r="D66" s="9" t="n"/>
      <c r="E66" t="inlineStr"/>
      <c r="F66" s="9">
        <f>N(F65)+N(C66)-N(D66)</f>
        <v/>
      </c>
    </row>
    <row r="67">
      <c r="A67" s="16" t="n">
        <v>45991</v>
      </c>
      <c r="B67" t="inlineStr">
        <is>
          <t>350/2025</t>
        </is>
      </c>
      <c r="C67" s="9" t="n">
        <v>464160</v>
      </c>
      <c r="D67" s="9" t="n"/>
      <c r="E67" t="inlineStr"/>
      <c r="F67" s="9">
        <f>N(F66)+N(C67)-N(D67)</f>
        <v/>
      </c>
    </row>
    <row r="68">
      <c r="A68" s="16" t="n">
        <v>46022</v>
      </c>
      <c r="B68" t="inlineStr">
        <is>
          <t>386/2025</t>
        </is>
      </c>
      <c r="C68" s="9" t="n">
        <v>290100</v>
      </c>
      <c r="D68" s="9" t="n"/>
      <c r="E68" t="inlineStr"/>
      <c r="F68" s="9">
        <f>N(F67)+N(C68)-N(D68)</f>
        <v/>
      </c>
    </row>
    <row r="69">
      <c r="A69" s="16" t="n">
        <v>46053</v>
      </c>
      <c r="B69" t="inlineStr">
        <is>
          <t>025/2026</t>
        </is>
      </c>
      <c r="C69" s="9" t="n">
        <v>311116</v>
      </c>
      <c r="D69" s="9" t="n">
        <v>311116</v>
      </c>
      <c r="E69" t="inlineStr">
        <is>
          <t>Virement EDI du 13/03/2026</t>
        </is>
      </c>
      <c r="F69" s="9">
        <f>N(F68)+N(C69)-N(D69)</f>
        <v/>
      </c>
    </row>
    <row r="70">
      <c r="A70" s="16" t="n">
        <v>46081</v>
      </c>
      <c r="B70" t="inlineStr">
        <is>
          <t>066/2026</t>
        </is>
      </c>
      <c r="C70" s="9" t="n">
        <v>434000</v>
      </c>
      <c r="D70" s="9" t="n">
        <v>434000</v>
      </c>
      <c r="E70" t="inlineStr">
        <is>
          <t>Virement EDI du 13/03/2026</t>
        </is>
      </c>
      <c r="F70" s="9">
        <f>N(F69)+N(C70)-N(D70)</f>
        <v/>
      </c>
    </row>
    <row r="71">
      <c r="A71" s="16" t="n">
        <v>46112</v>
      </c>
      <c r="B71" t="inlineStr">
        <is>
          <t>093/2026</t>
        </is>
      </c>
      <c r="C71" s="9" t="n">
        <v>382974</v>
      </c>
      <c r="D71" s="9" t="n"/>
      <c r="E71" t="inlineStr"/>
      <c r="F71" s="9">
        <f>N(F70)+N(C71)-N(D71)</f>
        <v/>
      </c>
    </row>
    <row r="72">
      <c r="A72" s="16" t="n">
        <v>46140</v>
      </c>
      <c r="B72" t="inlineStr"/>
      <c r="C72" s="9" t="n"/>
      <c r="D72" s="9" t="n">
        <v>700000</v>
      </c>
      <c r="E72" t="inlineStr">
        <is>
          <t>Virement EDI du 28/04/2026</t>
        </is>
      </c>
      <c r="F72" s="9">
        <f>N(F71)+N(C72)-N(D72)</f>
        <v/>
      </c>
    </row>
    <row r="73">
      <c r="A73" s="16" t="n">
        <v>46142</v>
      </c>
      <c r="B73" t="inlineStr">
        <is>
          <t>129/2026</t>
        </is>
      </c>
      <c r="C73" s="9" t="n">
        <v>468627</v>
      </c>
      <c r="D73" s="9" t="n"/>
      <c r="E73" t="inlineStr"/>
      <c r="F73" s="9">
        <f>N(F72)+N(C73)-N(D73)</f>
        <v/>
      </c>
    </row>
    <row r="74">
      <c r="A74" s="16" t="n">
        <v>46161</v>
      </c>
      <c r="B74" t="inlineStr"/>
      <c r="C74" s="9" t="n"/>
      <c r="D74" s="9" t="n">
        <v>650000</v>
      </c>
      <c r="E74" t="inlineStr">
        <is>
          <t>Virement EDI du 19/05/2026</t>
        </is>
      </c>
      <c r="F74" s="9">
        <f>N(F73)+N(C74)-N(D74)</f>
        <v/>
      </c>
    </row>
    <row r="75">
      <c r="A75" s="16" t="n">
        <v>46173</v>
      </c>
      <c r="B75" t="inlineStr">
        <is>
          <t>169/2026</t>
        </is>
      </c>
      <c r="C75" s="9" t="n">
        <v>480500</v>
      </c>
      <c r="D75" s="9" t="n"/>
      <c r="E75" t="inlineStr"/>
      <c r="F75" s="9">
        <f>N(F74)+N(C75)-N(D75)</f>
        <v/>
      </c>
    </row>
    <row r="76">
      <c r="A76" s="16" t="n">
        <v>46187</v>
      </c>
      <c r="B76" t="inlineStr"/>
      <c r="C76" s="9" t="n"/>
      <c r="D76" s="9" t="n">
        <v>800000</v>
      </c>
      <c r="E76" t="inlineStr">
        <is>
          <t>Virement EDI du 14/06/2026</t>
        </is>
      </c>
      <c r="F76" s="9">
        <f>N(F75)+N(C76)-N(D76)</f>
        <v/>
      </c>
    </row>
    <row r="77">
      <c r="A77" s="16" t="n">
        <v>46203</v>
      </c>
      <c r="B77" t="inlineStr">
        <is>
          <t>212/2026</t>
        </is>
      </c>
      <c r="C77" s="9" t="n">
        <v>356500</v>
      </c>
      <c r="D77" s="9" t="n"/>
      <c r="E77" t="inlineStr"/>
      <c r="F77" s="9">
        <f>N(F76)+N(C77)-N(D77)</f>
        <v/>
      </c>
    </row>
    <row r="78">
      <c r="B78" s="8" t="inlineStr">
        <is>
          <t>TOTAL</t>
        </is>
      </c>
      <c r="C78" s="9">
        <f>SUM(C2:C77)</f>
        <v/>
      </c>
      <c r="D78" s="9">
        <f>SUM(D2:D77)</f>
        <v/>
      </c>
    </row>
    <row r="79">
      <c r="B79" t="inlineStr">
        <is>
          <t>Solde final relevé</t>
        </is>
      </c>
      <c r="F79" s="9" t="n">
        <v>277033.49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6" customWidth="1" min="4" max="4"/>
    <col width="40" customWidth="1" min="5" max="5"/>
    <col width="15" customWidth="1" min="6" max="6"/>
    <col width="15" customWidth="1" min="7" max="7"/>
    <col width="16" customWidth="1" min="8" max="8"/>
  </cols>
  <sheetData>
    <row r="1" ht="32" customHeight="1">
      <c r="A1" s="2" t="inlineStr">
        <is>
          <t>Exercice</t>
        </is>
      </c>
      <c r="B1" s="2" t="inlineStr">
        <is>
          <t>Date</t>
        </is>
      </c>
      <c r="C1" s="2" t="inlineStr">
        <is>
          <t>Journal</t>
        </is>
      </c>
      <c r="D1" s="2" t="inlineStr">
        <is>
          <t>Référence</t>
        </is>
      </c>
      <c r="E1" s="2" t="inlineStr">
        <is>
          <t>Libellé</t>
        </is>
      </c>
      <c r="F1" s="2" t="inlineStr">
        <is>
          <t>Débit</t>
        </is>
      </c>
      <c r="G1" s="2" t="inlineStr">
        <is>
          <t>Crédit</t>
        </is>
      </c>
      <c r="H1" s="2" t="inlineStr">
        <is>
          <t>Solde (créditeur +)</t>
        </is>
      </c>
    </row>
    <row r="2">
      <c r="A2" s="8" t="inlineStr">
        <is>
          <t>2023</t>
        </is>
      </c>
      <c r="B2" s="17" t="n">
        <v>44926</v>
      </c>
      <c r="C2" s="8" t="inlineStr">
        <is>
          <t>01001</t>
        </is>
      </c>
      <c r="D2" s="8" t="inlineStr"/>
      <c r="E2" s="8" t="inlineStr">
        <is>
          <t>REOUVERTURE AU 01/01/23</t>
        </is>
      </c>
      <c r="F2" s="18" t="n"/>
      <c r="G2" s="18" t="n">
        <v>2356163.19</v>
      </c>
      <c r="H2" s="18">
        <f>N(G2)-N(F2)</f>
        <v/>
      </c>
    </row>
    <row r="3">
      <c r="A3" t="inlineStr">
        <is>
          <t>2023</t>
        </is>
      </c>
      <c r="B3" s="16" t="n">
        <v>44957</v>
      </c>
      <c r="C3" t="inlineStr">
        <is>
          <t>14002</t>
        </is>
      </c>
      <c r="D3" t="inlineStr">
        <is>
          <t>N°026/2023</t>
        </is>
      </c>
      <c r="E3" t="inlineStr">
        <is>
          <t>SNC BEJAIA HYDROCARB DEBBOUZ ET FRERES</t>
        </is>
      </c>
      <c r="F3" s="9" t="n"/>
      <c r="G3" s="9" t="n">
        <v>1276440</v>
      </c>
      <c r="H3" s="9">
        <f>H2+N(G3)-N(F3)</f>
        <v/>
      </c>
    </row>
    <row r="4">
      <c r="A4" t="inlineStr">
        <is>
          <t>2023</t>
        </is>
      </c>
      <c r="B4" s="16" t="n">
        <v>44966</v>
      </c>
      <c r="C4" t="inlineStr">
        <is>
          <t>13001</t>
        </is>
      </c>
      <c r="D4" t="inlineStr">
        <is>
          <t>CQ 4972771</t>
        </is>
      </c>
      <c r="E4" t="inlineStr">
        <is>
          <t>SNC BEJAIA HYDROCARB DEBBOUZ ET FRERES</t>
        </is>
      </c>
      <c r="F4" s="9" t="n">
        <v>1195763.19</v>
      </c>
      <c r="G4" s="9" t="n"/>
      <c r="H4" s="9">
        <f>H3+N(G4)-N(F4)</f>
        <v/>
      </c>
    </row>
    <row r="5">
      <c r="A5" t="inlineStr">
        <is>
          <t>2023</t>
        </is>
      </c>
      <c r="B5" s="16" t="n">
        <v>44985</v>
      </c>
      <c r="C5" t="inlineStr">
        <is>
          <t>14002</t>
        </is>
      </c>
      <c r="D5" t="inlineStr">
        <is>
          <t>N°054/2023</t>
        </is>
      </c>
      <c r="E5" t="inlineStr">
        <is>
          <t>SNC BEJAIA HYDROCARB DEBBOUZ ET FRERES</t>
        </is>
      </c>
      <c r="F5" s="9" t="n"/>
      <c r="G5" s="9" t="n">
        <v>968353.8</v>
      </c>
      <c r="H5" s="9">
        <f>H4+N(G5)-N(F5)</f>
        <v/>
      </c>
    </row>
    <row r="6">
      <c r="A6" t="inlineStr">
        <is>
          <t>2023</t>
        </is>
      </c>
      <c r="B6" s="16" t="n">
        <v>44998</v>
      </c>
      <c r="C6" t="inlineStr">
        <is>
          <t>13001</t>
        </is>
      </c>
      <c r="D6" t="inlineStr">
        <is>
          <t>CQ 4972774</t>
        </is>
      </c>
      <c r="E6" t="inlineStr">
        <is>
          <t>SNC BEJAIA HYDROCARB DEBBOUZ ET FRERES</t>
        </is>
      </c>
      <c r="F6" s="9" t="n">
        <v>1276440</v>
      </c>
      <c r="G6" s="9" t="n"/>
      <c r="H6" s="9">
        <f>H5+N(G6)-N(F6)</f>
        <v/>
      </c>
    </row>
    <row r="7">
      <c r="A7" t="inlineStr">
        <is>
          <t>2023</t>
        </is>
      </c>
      <c r="B7" s="16" t="n">
        <v>45016</v>
      </c>
      <c r="C7" t="inlineStr">
        <is>
          <t>14002</t>
        </is>
      </c>
      <c r="D7" t="inlineStr">
        <is>
          <t>N°090/2023</t>
        </is>
      </c>
      <c r="E7" t="inlineStr">
        <is>
          <t>SNC BEJAIA HYDROCARB DEBBOUZ ET FRERES</t>
        </is>
      </c>
      <c r="F7" s="9" t="n"/>
      <c r="G7" s="9" t="n">
        <v>909753.6</v>
      </c>
      <c r="H7" s="9">
        <f>H6+N(G7)-N(F7)</f>
        <v/>
      </c>
    </row>
    <row r="8">
      <c r="A8" t="inlineStr">
        <is>
          <t>2023</t>
        </is>
      </c>
      <c r="B8" s="16" t="n">
        <v>45028</v>
      </c>
      <c r="C8" t="inlineStr">
        <is>
          <t>13001</t>
        </is>
      </c>
      <c r="D8" t="inlineStr">
        <is>
          <t>CQ 4972776</t>
        </is>
      </c>
      <c r="E8" t="inlineStr">
        <is>
          <t>SNC BEJAIA HYDROCARB DEBBOUZ ET FRERES</t>
        </is>
      </c>
      <c r="F8" s="9" t="n">
        <v>968353.8</v>
      </c>
      <c r="G8" s="9" t="n"/>
      <c r="H8" s="9">
        <f>H7+N(G8)-N(F8)</f>
        <v/>
      </c>
    </row>
    <row r="9">
      <c r="A9" t="inlineStr">
        <is>
          <t>2023</t>
        </is>
      </c>
      <c r="B9" s="16" t="n">
        <v>45046</v>
      </c>
      <c r="C9" t="inlineStr">
        <is>
          <t>14002</t>
        </is>
      </c>
      <c r="D9" t="inlineStr">
        <is>
          <t>N°125/2023</t>
        </is>
      </c>
      <c r="E9" t="inlineStr">
        <is>
          <t>SNC BEJAIA HYDROCARB DEBBOUZ ET FRERES</t>
        </is>
      </c>
      <c r="F9" s="9" t="n"/>
      <c r="G9" s="9" t="n">
        <v>916716</v>
      </c>
      <c r="H9" s="9">
        <f>H8+N(G9)-N(F9)</f>
        <v/>
      </c>
    </row>
    <row r="10">
      <c r="A10" t="inlineStr">
        <is>
          <t>2023</t>
        </is>
      </c>
      <c r="B10" s="16" t="n">
        <v>45077</v>
      </c>
      <c r="C10" t="inlineStr">
        <is>
          <t>14002</t>
        </is>
      </c>
      <c r="D10" t="inlineStr">
        <is>
          <t>N°159/2023</t>
        </is>
      </c>
      <c r="E10" t="inlineStr">
        <is>
          <t>SNC BEJAIA HYDROCARB DEBBOUZ ET FRERES</t>
        </is>
      </c>
      <c r="F10" s="9" t="n"/>
      <c r="G10" s="9" t="n">
        <v>870300</v>
      </c>
      <c r="H10" s="9">
        <f>H9+N(G10)-N(F10)</f>
        <v/>
      </c>
    </row>
    <row r="11">
      <c r="A11" t="inlineStr">
        <is>
          <t>2023</t>
        </is>
      </c>
      <c r="B11" s="16" t="n">
        <v>45089</v>
      </c>
      <c r="C11" t="inlineStr">
        <is>
          <t>13001</t>
        </is>
      </c>
      <c r="D11" t="inlineStr">
        <is>
          <t>CQ 4972780</t>
        </is>
      </c>
      <c r="E11" t="inlineStr">
        <is>
          <t>SNC BEJAIA HYDROCARB DEBBOUZ ET FRERES</t>
        </is>
      </c>
      <c r="F11" s="9" t="n">
        <v>916716</v>
      </c>
      <c r="G11" s="9" t="n"/>
      <c r="H11" s="9">
        <f>H10+N(G11)-N(F11)</f>
        <v/>
      </c>
    </row>
    <row r="12">
      <c r="A12" t="inlineStr">
        <is>
          <t>2023</t>
        </is>
      </c>
      <c r="B12" s="16" t="n">
        <v>45107</v>
      </c>
      <c r="C12" t="inlineStr">
        <is>
          <t>14002</t>
        </is>
      </c>
      <c r="D12" t="inlineStr">
        <is>
          <t>N°189/2023</t>
        </is>
      </c>
      <c r="E12" t="inlineStr">
        <is>
          <t>SNC BEJAIA HYDROCARB DEBBOUZ ET FRERES</t>
        </is>
      </c>
      <c r="F12" s="9" t="n"/>
      <c r="G12" s="9" t="n">
        <v>941780.6</v>
      </c>
      <c r="H12" s="9">
        <f>H11+N(G12)-N(F12)</f>
        <v/>
      </c>
    </row>
    <row r="13">
      <c r="A13" t="inlineStr">
        <is>
          <t>2023</t>
        </is>
      </c>
      <c r="B13" s="16" t="n">
        <v>45123</v>
      </c>
      <c r="C13" t="inlineStr">
        <is>
          <t>13001</t>
        </is>
      </c>
      <c r="D13" t="inlineStr">
        <is>
          <t>CQ 4972781</t>
        </is>
      </c>
      <c r="E13" t="inlineStr">
        <is>
          <t>SNC BEJAIA HYDROCARB DEBBOUZ ET FRERES</t>
        </is>
      </c>
      <c r="F13" s="9" t="n">
        <v>870300</v>
      </c>
      <c r="G13" s="9" t="n"/>
      <c r="H13" s="9">
        <f>H12+N(G13)-N(F13)</f>
        <v/>
      </c>
    </row>
    <row r="14">
      <c r="A14" t="inlineStr">
        <is>
          <t>2023</t>
        </is>
      </c>
      <c r="B14" s="16" t="n">
        <v>45138</v>
      </c>
      <c r="C14" t="inlineStr">
        <is>
          <t>14002</t>
        </is>
      </c>
      <c r="D14" t="inlineStr">
        <is>
          <t>N°218/2023</t>
        </is>
      </c>
      <c r="E14" t="inlineStr">
        <is>
          <t>SNC BEJAIA HYDROCARB DEBBOUZ ET FRERES</t>
        </is>
      </c>
      <c r="F14" s="9" t="n"/>
      <c r="G14" s="9" t="n">
        <v>1044360</v>
      </c>
      <c r="H14" s="9">
        <f>H13+N(G14)-N(F14)</f>
        <v/>
      </c>
    </row>
    <row r="15">
      <c r="A15" t="inlineStr">
        <is>
          <t>2023</t>
        </is>
      </c>
      <c r="B15" s="16" t="n">
        <v>45153</v>
      </c>
      <c r="C15" t="inlineStr">
        <is>
          <t>13001</t>
        </is>
      </c>
      <c r="D15" t="inlineStr">
        <is>
          <t>CQ 4972782</t>
        </is>
      </c>
      <c r="E15" t="inlineStr">
        <is>
          <t>SNC BEJAIA HYDROCARB DEBBOUZ ET FRERES</t>
        </is>
      </c>
      <c r="F15" s="9" t="n">
        <v>941780.6</v>
      </c>
      <c r="G15" s="9" t="n"/>
      <c r="H15" s="9">
        <f>H14+N(G15)-N(F15)</f>
        <v/>
      </c>
    </row>
    <row r="16">
      <c r="A16" t="inlineStr">
        <is>
          <t>2023</t>
        </is>
      </c>
      <c r="B16" s="16" t="n">
        <v>45169</v>
      </c>
      <c r="C16" t="inlineStr">
        <is>
          <t>14002</t>
        </is>
      </c>
      <c r="D16" t="inlineStr">
        <is>
          <t>N°245/2023</t>
        </is>
      </c>
      <c r="E16" t="inlineStr">
        <is>
          <t>SNC BEJAIA HYDROCARB DEBBOUZ ET FRERES</t>
        </is>
      </c>
      <c r="F16" s="9" t="n"/>
      <c r="G16" s="9" t="n">
        <v>1054513.5</v>
      </c>
      <c r="H16" s="9">
        <f>H15+N(G16)-N(F16)</f>
        <v/>
      </c>
    </row>
    <row r="17">
      <c r="A17" t="inlineStr">
        <is>
          <t>2023</t>
        </is>
      </c>
      <c r="B17" s="16" t="n">
        <v>45186</v>
      </c>
      <c r="C17" t="inlineStr">
        <is>
          <t>13001</t>
        </is>
      </c>
      <c r="D17" t="inlineStr">
        <is>
          <t>CQ 4972785</t>
        </is>
      </c>
      <c r="E17" t="inlineStr">
        <is>
          <t>SNC BEJAIA HYDROCARB DEBBOUZ ET FRERES</t>
        </is>
      </c>
      <c r="F17" s="9" t="n">
        <v>1044360</v>
      </c>
      <c r="G17" s="9" t="n"/>
      <c r="H17" s="9">
        <f>H16+N(G17)-N(F17)</f>
        <v/>
      </c>
    </row>
    <row r="18">
      <c r="A18" t="inlineStr">
        <is>
          <t>2023</t>
        </is>
      </c>
      <c r="B18" s="16" t="n">
        <v>45199</v>
      </c>
      <c r="C18" t="inlineStr">
        <is>
          <t>14002</t>
        </is>
      </c>
      <c r="D18" t="inlineStr">
        <is>
          <t>N°277/2023</t>
        </is>
      </c>
      <c r="E18" t="inlineStr">
        <is>
          <t>SNC BEJAIA HYDROCARB DEBBOUZ&amp;FRERES</t>
        </is>
      </c>
      <c r="F18" s="9" t="n"/>
      <c r="G18" s="9" t="n">
        <v>1000845</v>
      </c>
      <c r="H18" s="9">
        <f>H17+N(G18)-N(F18)</f>
        <v/>
      </c>
    </row>
    <row r="19">
      <c r="A19" t="inlineStr">
        <is>
          <t>2023</t>
        </is>
      </c>
      <c r="B19" s="16" t="n">
        <v>45215</v>
      </c>
      <c r="C19" t="inlineStr">
        <is>
          <t>13001</t>
        </is>
      </c>
      <c r="D19" t="inlineStr">
        <is>
          <t>CQ 4972787</t>
        </is>
      </c>
      <c r="E19" t="inlineStr">
        <is>
          <t>SNC BEJAIA HYDROCARB DEBBOUZ ET FRERES</t>
        </is>
      </c>
      <c r="F19" s="9" t="n">
        <v>1054513.5</v>
      </c>
      <c r="G19" s="9" t="n"/>
      <c r="H19" s="9">
        <f>H18+N(G19)-N(F19)</f>
        <v/>
      </c>
    </row>
    <row r="20">
      <c r="A20" t="inlineStr">
        <is>
          <t>2023</t>
        </is>
      </c>
      <c r="B20" s="16" t="n">
        <v>45230</v>
      </c>
      <c r="C20" t="inlineStr">
        <is>
          <t>14002</t>
        </is>
      </c>
      <c r="D20" t="inlineStr">
        <is>
          <t>N°318/2023</t>
        </is>
      </c>
      <c r="E20" t="inlineStr">
        <is>
          <t>SNC BEJAIA HYDROCARB DEBBOUZ&amp;FRERES</t>
        </is>
      </c>
      <c r="F20" s="9" t="n"/>
      <c r="G20" s="9" t="n">
        <v>1334460</v>
      </c>
      <c r="H20" s="9">
        <f>H19+N(G20)-N(F20)</f>
        <v/>
      </c>
    </row>
    <row r="21">
      <c r="A21" s="8" t="inlineStr">
        <is>
          <t>2024</t>
        </is>
      </c>
      <c r="B21" s="17" t="n">
        <v>45291</v>
      </c>
      <c r="C21" s="8" t="inlineStr">
        <is>
          <t>01001</t>
        </is>
      </c>
      <c r="D21" s="8" t="inlineStr"/>
      <c r="E21" s="8" t="inlineStr">
        <is>
          <t>REOUVERTURE AU 01/01/24</t>
        </is>
      </c>
      <c r="F21" s="18" t="n"/>
      <c r="G21" s="18" t="n">
        <v>2219265</v>
      </c>
      <c r="H21" s="18">
        <f>N(G21)-N(F21)</f>
        <v/>
      </c>
    </row>
    <row r="22">
      <c r="A22" t="inlineStr">
        <is>
          <t>2024</t>
        </is>
      </c>
      <c r="B22" s="16" t="n">
        <v>45316</v>
      </c>
      <c r="C22" t="inlineStr">
        <is>
          <t>02001</t>
        </is>
      </c>
      <c r="D22" t="inlineStr">
        <is>
          <t>VRT</t>
        </is>
      </c>
      <c r="E22" t="inlineStr">
        <is>
          <t>SNC DEBBOUZ ET FRERES BEJAIA HYDROCARBUR</t>
        </is>
      </c>
      <c r="F22" s="9" t="n">
        <v>100000</v>
      </c>
      <c r="G22" s="9" t="n"/>
      <c r="H22" s="9">
        <f>H21+N(G22)-N(F22)</f>
        <v/>
      </c>
    </row>
    <row r="23">
      <c r="A23" t="inlineStr">
        <is>
          <t>2024</t>
        </is>
      </c>
      <c r="B23" s="16" t="n">
        <v>45316</v>
      </c>
      <c r="C23" t="inlineStr">
        <is>
          <t>13001</t>
        </is>
      </c>
      <c r="D23" t="inlineStr">
        <is>
          <t>VRT EDI</t>
        </is>
      </c>
      <c r="E23" t="inlineStr">
        <is>
          <t>SNC DEBBOUZ ET FRERES BEJAIA HYDROCARBUR</t>
        </is>
      </c>
      <c r="F23" s="9" t="n">
        <v>958865</v>
      </c>
      <c r="G23" s="9" t="n"/>
      <c r="H23" s="9">
        <f>H22+N(G23)-N(F23)</f>
        <v/>
      </c>
    </row>
    <row r="24">
      <c r="A24" t="inlineStr">
        <is>
          <t>2024</t>
        </is>
      </c>
      <c r="B24" s="16" t="n">
        <v>45322</v>
      </c>
      <c r="C24" t="inlineStr">
        <is>
          <t>14002</t>
        </is>
      </c>
      <c r="D24" t="inlineStr">
        <is>
          <t>N°029/2024</t>
        </is>
      </c>
      <c r="E24" t="inlineStr">
        <is>
          <t>SNC BEJAIA HYDROCARBURES DEBBOUZ ET FRER</t>
        </is>
      </c>
      <c r="F24" s="9" t="n"/>
      <c r="G24" s="9" t="n">
        <v>1105281</v>
      </c>
      <c r="H24" s="9">
        <f>H23+N(G24)-N(F24)</f>
        <v/>
      </c>
    </row>
    <row r="25">
      <c r="A25" t="inlineStr">
        <is>
          <t>2024</t>
        </is>
      </c>
      <c r="B25" s="16" t="n">
        <v>45329</v>
      </c>
      <c r="C25" t="inlineStr">
        <is>
          <t>02001</t>
        </is>
      </c>
      <c r="D25" t="inlineStr">
        <is>
          <t>VRT EDI</t>
        </is>
      </c>
      <c r="E25" t="inlineStr">
        <is>
          <t>SNC BEJAIA HYDROCARBURES</t>
        </is>
      </c>
      <c r="F25" s="9" t="n">
        <v>260400</v>
      </c>
      <c r="G25" s="9" t="n"/>
      <c r="H25" s="9">
        <f>H24+N(G25)-N(F25)</f>
        <v/>
      </c>
    </row>
    <row r="26">
      <c r="A26" t="inlineStr">
        <is>
          <t>2024</t>
        </is>
      </c>
      <c r="B26" s="16" t="n">
        <v>45329</v>
      </c>
      <c r="C26" t="inlineStr">
        <is>
          <t>13001</t>
        </is>
      </c>
      <c r="D26" t="inlineStr">
        <is>
          <t>VRT EDI</t>
        </is>
      </c>
      <c r="E26" t="inlineStr">
        <is>
          <t>SNC DEBBOUZ ET FRERES BEJAIA HYDROCARBUR</t>
        </is>
      </c>
      <c r="F26" s="9" t="n">
        <v>900000</v>
      </c>
      <c r="G26" s="9" t="n"/>
      <c r="H26" s="9">
        <f>H25+N(G26)-N(F26)</f>
        <v/>
      </c>
    </row>
    <row r="27">
      <c r="A27" t="inlineStr">
        <is>
          <t>2024</t>
        </is>
      </c>
      <c r="B27" s="16" t="n">
        <v>45351</v>
      </c>
      <c r="C27" t="inlineStr">
        <is>
          <t>14002</t>
        </is>
      </c>
      <c r="D27" t="inlineStr">
        <is>
          <t>N°068/2024</t>
        </is>
      </c>
      <c r="E27" t="inlineStr">
        <is>
          <t>SNC BEJAIA HYDROCARBURES DEBBOUZ ET FRER</t>
        </is>
      </c>
      <c r="F27" s="9" t="n"/>
      <c r="G27" s="9" t="n">
        <v>957330</v>
      </c>
      <c r="H27" s="9">
        <f>H26+N(G27)-N(F27)</f>
        <v/>
      </c>
    </row>
    <row r="28">
      <c r="A28" t="inlineStr">
        <is>
          <t>2024</t>
        </is>
      </c>
      <c r="B28" s="16" t="n">
        <v>45382</v>
      </c>
      <c r="C28" t="inlineStr">
        <is>
          <t>14002</t>
        </is>
      </c>
      <c r="D28" t="inlineStr">
        <is>
          <t>N°104/2024</t>
        </is>
      </c>
      <c r="E28" t="inlineStr">
        <is>
          <t>SNC BEJAIA HYDROCARBURES DEBBOUZ ET FRER</t>
        </is>
      </c>
      <c r="F28" s="9" t="n"/>
      <c r="G28" s="9" t="n">
        <v>1073370</v>
      </c>
      <c r="H28" s="9">
        <f>H27+N(G28)-N(F28)</f>
        <v/>
      </c>
    </row>
    <row r="29">
      <c r="A29" t="inlineStr">
        <is>
          <t>2024</t>
        </is>
      </c>
      <c r="B29" s="16" t="n">
        <v>45389</v>
      </c>
      <c r="C29" t="inlineStr">
        <is>
          <t>13001</t>
        </is>
      </c>
      <c r="D29" t="inlineStr">
        <is>
          <t>CQ 4972793</t>
        </is>
      </c>
      <c r="E29" t="inlineStr">
        <is>
          <t>SNC DEBBOUZ ET FRERES BEJAIA HYDROCARBUR</t>
        </is>
      </c>
      <c r="F29" s="9" t="n">
        <v>1105281</v>
      </c>
      <c r="G29" s="9" t="n"/>
      <c r="H29" s="9">
        <f>H28+N(G29)-N(F29)</f>
        <v/>
      </c>
    </row>
    <row r="30">
      <c r="A30" t="inlineStr">
        <is>
          <t>2024</t>
        </is>
      </c>
      <c r="B30" s="16" t="n">
        <v>45412</v>
      </c>
      <c r="C30" t="inlineStr">
        <is>
          <t>14002</t>
        </is>
      </c>
      <c r="D30" t="inlineStr">
        <is>
          <t>N°135/2024</t>
        </is>
      </c>
      <c r="E30" t="inlineStr">
        <is>
          <t>SNC BEJAIA HYDROCARBURES DEBBOUZ ET FRER</t>
        </is>
      </c>
      <c r="F30" s="9" t="n"/>
      <c r="G30" s="9" t="n">
        <v>799892.73</v>
      </c>
      <c r="H30" s="9">
        <f>H29+N(G30)-N(F30)</f>
        <v/>
      </c>
    </row>
    <row r="31">
      <c r="A31" t="inlineStr">
        <is>
          <t>2024</t>
        </is>
      </c>
      <c r="B31" s="16" t="n">
        <v>45426</v>
      </c>
      <c r="C31" t="inlineStr">
        <is>
          <t>02001</t>
        </is>
      </c>
      <c r="D31" t="inlineStr">
        <is>
          <t>VRT</t>
        </is>
      </c>
      <c r="E31" t="inlineStr">
        <is>
          <t>SNC BEJAIA HYDROCARBURES DEBBOUZ ET FRER</t>
        </is>
      </c>
      <c r="F31" s="9" t="n">
        <v>380000</v>
      </c>
      <c r="G31" s="9" t="n"/>
      <c r="H31" s="9">
        <f>H30+N(G31)-N(F31)</f>
        <v/>
      </c>
    </row>
    <row r="32">
      <c r="A32" t="inlineStr">
        <is>
          <t>2024</t>
        </is>
      </c>
      <c r="B32" s="16" t="n">
        <v>45428</v>
      </c>
      <c r="C32" t="inlineStr">
        <is>
          <t>13001</t>
        </is>
      </c>
      <c r="D32" t="inlineStr">
        <is>
          <t>VRT EDI</t>
        </is>
      </c>
      <c r="E32" t="inlineStr">
        <is>
          <t>SNC DEBBOUZ ET FRERES BEJAIA HYDROCARBUR</t>
        </is>
      </c>
      <c r="F32" s="9" t="n">
        <v>557330</v>
      </c>
      <c r="G32" s="9" t="n"/>
      <c r="H32" s="9">
        <f>H31+N(G32)-N(F32)</f>
        <v/>
      </c>
    </row>
    <row r="33">
      <c r="A33" t="inlineStr">
        <is>
          <t>2024</t>
        </is>
      </c>
      <c r="B33" s="16" t="n">
        <v>45431</v>
      </c>
      <c r="C33" t="inlineStr">
        <is>
          <t>02001</t>
        </is>
      </c>
      <c r="D33" t="inlineStr">
        <is>
          <t>VRT EDI</t>
        </is>
      </c>
      <c r="E33" t="inlineStr">
        <is>
          <t>SNC DEBBOUZ ET FRERES BEJAIA HYDROCARBUR</t>
        </is>
      </c>
      <c r="F33" s="9" t="n">
        <v>720000</v>
      </c>
      <c r="G33" s="9" t="n"/>
      <c r="H33" s="9">
        <f>H32+N(G33)-N(F33)</f>
        <v/>
      </c>
    </row>
    <row r="34">
      <c r="A34" t="inlineStr">
        <is>
          <t>2024</t>
        </is>
      </c>
      <c r="B34" s="16" t="n">
        <v>45443</v>
      </c>
      <c r="C34" t="inlineStr">
        <is>
          <t>14002</t>
        </is>
      </c>
      <c r="D34" t="inlineStr">
        <is>
          <t>N°164/2024</t>
        </is>
      </c>
      <c r="E34" t="inlineStr">
        <is>
          <t>SNC BEJAIA HYDROCARBURES DEBBOUZ ET FRER</t>
        </is>
      </c>
      <c r="F34" s="9" t="n"/>
      <c r="G34" s="9" t="n">
        <v>1029855</v>
      </c>
      <c r="H34" s="9">
        <f>H33+N(G34)-N(F34)</f>
        <v/>
      </c>
    </row>
    <row r="35">
      <c r="A35" t="inlineStr">
        <is>
          <t>2024</t>
        </is>
      </c>
      <c r="B35" s="16" t="n">
        <v>45445</v>
      </c>
      <c r="C35" t="inlineStr">
        <is>
          <t>02001</t>
        </is>
      </c>
      <c r="D35" t="inlineStr">
        <is>
          <t>VRT</t>
        </is>
      </c>
      <c r="E35" t="inlineStr">
        <is>
          <t>SNC BEJAIA HYDROCARBURES DEBBOUZ ET FRER</t>
        </is>
      </c>
      <c r="F35" s="9" t="n">
        <v>380000</v>
      </c>
      <c r="G35" s="9" t="n"/>
      <c r="H35" s="9">
        <f>H34+N(G35)-N(F35)</f>
        <v/>
      </c>
    </row>
    <row r="36">
      <c r="A36" t="inlineStr">
        <is>
          <t>2024</t>
        </is>
      </c>
      <c r="B36" s="16" t="n">
        <v>45473</v>
      </c>
      <c r="C36" t="inlineStr">
        <is>
          <t>14002</t>
        </is>
      </c>
      <c r="D36" t="inlineStr">
        <is>
          <t>N°195/2024</t>
        </is>
      </c>
      <c r="E36" t="inlineStr">
        <is>
          <t>SNC BEJAIA HYDROCARBURES DEBBOUZ ET FRER</t>
        </is>
      </c>
      <c r="F36" s="9" t="n"/>
      <c r="G36" s="9" t="n">
        <v>823884</v>
      </c>
      <c r="H36" s="9">
        <f>H35+N(G36)-N(F36)</f>
        <v/>
      </c>
    </row>
    <row r="37">
      <c r="A37" t="inlineStr">
        <is>
          <t>2024</t>
        </is>
      </c>
      <c r="B37" s="16" t="n">
        <v>45495</v>
      </c>
      <c r="C37" t="inlineStr">
        <is>
          <t>02001</t>
        </is>
      </c>
      <c r="D37" t="inlineStr">
        <is>
          <t>VRT EDI</t>
        </is>
      </c>
      <c r="E37" t="inlineStr">
        <is>
          <t>SNC BEJAIA HYDROCARBURES DEBBOUZ</t>
        </is>
      </c>
      <c r="F37" s="9" t="n">
        <v>700000</v>
      </c>
      <c r="G37" s="9" t="n"/>
      <c r="H37" s="9">
        <f>H36+N(G37)-N(F37)</f>
        <v/>
      </c>
    </row>
    <row r="38">
      <c r="A38" t="inlineStr">
        <is>
          <t>2024</t>
        </is>
      </c>
      <c r="B38" s="16" t="n">
        <v>45504</v>
      </c>
      <c r="C38" t="inlineStr">
        <is>
          <t>14002</t>
        </is>
      </c>
      <c r="D38" t="inlineStr">
        <is>
          <t>N°228/2024</t>
        </is>
      </c>
      <c r="E38" t="inlineStr">
        <is>
          <t>SNC BEJAIA HYDROCARBURES DEBBOUZ ET FRER</t>
        </is>
      </c>
      <c r="F38" s="9" t="n"/>
      <c r="G38" s="9" t="n">
        <v>1031189.46</v>
      </c>
      <c r="H38" s="9">
        <f>H37+N(G38)-N(F38)</f>
        <v/>
      </c>
    </row>
    <row r="39">
      <c r="A39" t="inlineStr">
        <is>
          <t>2024</t>
        </is>
      </c>
      <c r="B39" s="16" t="n">
        <v>45512</v>
      </c>
      <c r="C39" t="inlineStr">
        <is>
          <t>13001</t>
        </is>
      </c>
      <c r="D39" t="inlineStr">
        <is>
          <t>VRT EDI</t>
        </is>
      </c>
      <c r="E39" t="inlineStr">
        <is>
          <t>SNC DEBBOUZ ET FRERES BEJAIA HYDROCARBUR</t>
        </is>
      </c>
      <c r="F39" s="9" t="n">
        <v>950000</v>
      </c>
      <c r="G39" s="9" t="n"/>
      <c r="H39" s="9">
        <f>H38+N(G39)-N(F39)</f>
        <v/>
      </c>
    </row>
    <row r="40">
      <c r="A40" t="inlineStr">
        <is>
          <t>2024</t>
        </is>
      </c>
      <c r="B40" s="16" t="n">
        <v>45515</v>
      </c>
      <c r="C40" t="inlineStr">
        <is>
          <t>02001</t>
        </is>
      </c>
      <c r="D40" t="inlineStr">
        <is>
          <t>VRT EDI</t>
        </is>
      </c>
      <c r="E40" t="inlineStr">
        <is>
          <t>SNC BEJAIA HYDROCARBURES DEBBOUZ</t>
        </is>
      </c>
      <c r="F40" s="9" t="n">
        <v>800000</v>
      </c>
      <c r="G40" s="9" t="n"/>
      <c r="H40" s="9">
        <f>H39+N(G40)-N(F40)</f>
        <v/>
      </c>
    </row>
    <row r="41">
      <c r="A41" t="inlineStr">
        <is>
          <t>2024</t>
        </is>
      </c>
      <c r="B41" s="16" t="n">
        <v>45519</v>
      </c>
      <c r="C41" t="inlineStr">
        <is>
          <t>02001</t>
        </is>
      </c>
      <c r="D41" t="inlineStr">
        <is>
          <t>VRT</t>
        </is>
      </c>
      <c r="E41" t="inlineStr">
        <is>
          <t>SNC BEJAIA HYDROCARBURES DEBBOUZ</t>
        </is>
      </c>
      <c r="F41" s="9" t="n">
        <v>650000</v>
      </c>
      <c r="G41" s="9" t="n"/>
      <c r="H41" s="9">
        <f>H40+N(G41)-N(F41)</f>
        <v/>
      </c>
    </row>
    <row r="42">
      <c r="A42" t="inlineStr">
        <is>
          <t>2024</t>
        </is>
      </c>
      <c r="B42" s="16" t="n">
        <v>45523</v>
      </c>
      <c r="C42" t="inlineStr">
        <is>
          <t>02001</t>
        </is>
      </c>
      <c r="D42" t="inlineStr">
        <is>
          <t>VRT</t>
        </is>
      </c>
      <c r="E42" t="inlineStr">
        <is>
          <t>SNC BEJAIA HYDROCARBURES DEBBOUZ</t>
        </is>
      </c>
      <c r="F42" s="9" t="n">
        <v>500000</v>
      </c>
      <c r="G42" s="9" t="n"/>
      <c r="H42" s="9">
        <f>H41+N(G42)-N(F42)</f>
        <v/>
      </c>
    </row>
    <row r="43">
      <c r="A43" t="inlineStr">
        <is>
          <t>2024</t>
        </is>
      </c>
      <c r="B43" s="16" t="n">
        <v>45530</v>
      </c>
      <c r="C43" t="inlineStr">
        <is>
          <t>02001</t>
        </is>
      </c>
      <c r="D43" t="inlineStr">
        <is>
          <t>VRT</t>
        </is>
      </c>
      <c r="E43" t="inlineStr">
        <is>
          <t>SNC BEJAIA HYDROCARBURES DEBBOUZ</t>
        </is>
      </c>
      <c r="F43" s="9" t="n">
        <v>500000</v>
      </c>
      <c r="G43" s="9" t="n"/>
      <c r="H43" s="9">
        <f>H42+N(G43)-N(F43)</f>
        <v/>
      </c>
    </row>
    <row r="44">
      <c r="A44" t="inlineStr">
        <is>
          <t>2024</t>
        </is>
      </c>
      <c r="B44" s="16" t="n">
        <v>45535</v>
      </c>
      <c r="C44" t="inlineStr">
        <is>
          <t>14002</t>
        </is>
      </c>
      <c r="D44" t="inlineStr">
        <is>
          <t>N°259/2024</t>
        </is>
      </c>
      <c r="E44" t="inlineStr">
        <is>
          <t>SNC BEJAIA HYDROCARBURES DEBBOUZ ET FRER</t>
        </is>
      </c>
      <c r="F44" s="9" t="n"/>
      <c r="G44" s="9" t="n">
        <v>832587</v>
      </c>
      <c r="H44" s="9">
        <f>H43+N(G44)-N(F44)</f>
        <v/>
      </c>
    </row>
    <row r="45">
      <c r="A45" t="inlineStr">
        <is>
          <t>2024</t>
        </is>
      </c>
      <c r="B45" s="16" t="n">
        <v>45565</v>
      </c>
      <c r="C45" t="inlineStr">
        <is>
          <t>14002</t>
        </is>
      </c>
      <c r="D45" t="inlineStr">
        <is>
          <t>N°289/2024</t>
        </is>
      </c>
      <c r="E45" t="inlineStr">
        <is>
          <t>SNC BEJAIA HYDROCARBURES DEBBOUZ ET FRER</t>
        </is>
      </c>
      <c r="F45" s="9" t="n"/>
      <c r="G45" s="9" t="n">
        <v>829686</v>
      </c>
      <c r="H45" s="9">
        <f>H44+N(G45)-N(F45)</f>
        <v/>
      </c>
    </row>
    <row r="46">
      <c r="A46" t="inlineStr">
        <is>
          <t>2024</t>
        </is>
      </c>
      <c r="B46" s="16" t="n">
        <v>45582</v>
      </c>
      <c r="C46" t="inlineStr">
        <is>
          <t>02001</t>
        </is>
      </c>
      <c r="D46" t="inlineStr">
        <is>
          <t>VRT EDI</t>
        </is>
      </c>
      <c r="E46" t="inlineStr">
        <is>
          <t>SNC BEJAIA HYDROCARBURES DEBBOUZ</t>
        </is>
      </c>
      <c r="F46" s="9" t="n">
        <v>540000</v>
      </c>
      <c r="G46" s="9" t="n"/>
      <c r="H46" s="9">
        <f>H45+N(G46)-N(F46)</f>
        <v/>
      </c>
    </row>
    <row r="47">
      <c r="A47" t="inlineStr">
        <is>
          <t>2024</t>
        </is>
      </c>
      <c r="B47" s="16" t="n">
        <v>45587</v>
      </c>
      <c r="C47" t="inlineStr">
        <is>
          <t>02001</t>
        </is>
      </c>
      <c r="D47" t="inlineStr">
        <is>
          <t>VRT</t>
        </is>
      </c>
      <c r="E47" t="inlineStr">
        <is>
          <t>SNC BEJAIA HYDROCARBURES DEBBOUZ</t>
        </is>
      </c>
      <c r="F47" s="9" t="n">
        <v>500000</v>
      </c>
      <c r="G47" s="9" t="n"/>
      <c r="H47" s="9">
        <f>H46+N(G47)-N(F47)</f>
        <v/>
      </c>
    </row>
    <row r="48">
      <c r="A48" t="inlineStr">
        <is>
          <t>2024</t>
        </is>
      </c>
      <c r="B48" s="16" t="n">
        <v>45596</v>
      </c>
      <c r="C48" t="inlineStr">
        <is>
          <t>14002</t>
        </is>
      </c>
      <c r="D48" t="inlineStr">
        <is>
          <t>N°325/2024</t>
        </is>
      </c>
      <c r="E48" t="inlineStr">
        <is>
          <t>SNC BEJAIA HYDROCARBURES DEBBOUZ ET FRER</t>
        </is>
      </c>
      <c r="F48" s="9" t="n"/>
      <c r="G48" s="9" t="n">
        <v>1044360</v>
      </c>
      <c r="H48" s="9">
        <f>H47+N(G48)-N(F48)</f>
        <v/>
      </c>
    </row>
    <row r="49">
      <c r="A49" t="inlineStr">
        <is>
          <t>2024</t>
        </is>
      </c>
      <c r="B49" s="16" t="n">
        <v>45600</v>
      </c>
      <c r="C49" t="inlineStr">
        <is>
          <t>02001</t>
        </is>
      </c>
      <c r="D49" t="inlineStr">
        <is>
          <t>VRT EDI</t>
        </is>
      </c>
      <c r="E49" t="inlineStr">
        <is>
          <t>SNC DEBBOUZ ET FRERES BEJAIA HYDROCARBUR</t>
        </is>
      </c>
      <c r="F49" s="9" t="n">
        <v>260000</v>
      </c>
      <c r="G49" s="9" t="n"/>
      <c r="H49" s="9">
        <f>H48+N(G49)-N(F49)</f>
        <v/>
      </c>
    </row>
    <row r="50">
      <c r="A50" t="inlineStr">
        <is>
          <t>2024</t>
        </is>
      </c>
      <c r="B50" s="16" t="n">
        <v>45626</v>
      </c>
      <c r="C50" t="inlineStr">
        <is>
          <t>14002</t>
        </is>
      </c>
      <c r="D50" t="inlineStr">
        <is>
          <t>N°355/2024</t>
        </is>
      </c>
      <c r="E50" t="inlineStr">
        <is>
          <t>SNC BEJAIA HYDROCARBURES DEBBOUZ ET FRER</t>
        </is>
      </c>
      <c r="F50" s="9" t="n"/>
      <c r="G50" s="9" t="n">
        <v>723219.3</v>
      </c>
      <c r="H50" s="9">
        <f>H49+N(G50)-N(F50)</f>
        <v/>
      </c>
    </row>
    <row r="51">
      <c r="A51" t="inlineStr">
        <is>
          <t>2024</t>
        </is>
      </c>
      <c r="B51" s="16" t="n">
        <v>45628</v>
      </c>
      <c r="C51" t="inlineStr">
        <is>
          <t>02001</t>
        </is>
      </c>
      <c r="D51" t="inlineStr">
        <is>
          <t>VRT EDI</t>
        </is>
      </c>
      <c r="E51" t="inlineStr">
        <is>
          <t>SNC DEBBOUZ ET FRERES</t>
        </is>
      </c>
      <c r="F51" s="9" t="n">
        <v>500000</v>
      </c>
      <c r="G51" s="9" t="n"/>
      <c r="H51" s="9">
        <f>H50+N(G51)-N(F51)</f>
        <v/>
      </c>
    </row>
    <row r="52">
      <c r="A52" t="inlineStr">
        <is>
          <t>2024</t>
        </is>
      </c>
      <c r="B52" s="16" t="n">
        <v>45631</v>
      </c>
      <c r="C52" t="inlineStr">
        <is>
          <t>02001</t>
        </is>
      </c>
      <c r="D52" t="inlineStr">
        <is>
          <t>VRT EDI</t>
        </is>
      </c>
      <c r="E52" t="inlineStr">
        <is>
          <t>SNC DEBBOUZ ET FRERES BEJAIA HYDROCARBUR</t>
        </is>
      </c>
      <c r="F52" s="9" t="n">
        <v>720000</v>
      </c>
      <c r="G52" s="9" t="n"/>
      <c r="H52" s="9">
        <f>H51+N(G52)-N(F52)</f>
        <v/>
      </c>
    </row>
    <row r="53">
      <c r="A53" t="inlineStr">
        <is>
          <t>2024</t>
        </is>
      </c>
      <c r="B53" s="16" t="n">
        <v>45657</v>
      </c>
      <c r="C53" t="inlineStr">
        <is>
          <t>14002</t>
        </is>
      </c>
      <c r="D53" t="inlineStr">
        <is>
          <t>N°390/2024</t>
        </is>
      </c>
      <c r="E53" t="inlineStr">
        <is>
          <t>SNC BEJAIA HYDROCARBURES DEBBOUZ ET FRER</t>
        </is>
      </c>
      <c r="F53" s="9" t="n"/>
      <c r="G53" s="9" t="n">
        <v>968934</v>
      </c>
      <c r="H53" s="9">
        <f>H52+N(G53)-N(F53)</f>
        <v/>
      </c>
    </row>
    <row r="54">
      <c r="A54" s="8" t="inlineStr">
        <is>
          <t>2025</t>
        </is>
      </c>
      <c r="B54" s="17" t="n">
        <v>45657</v>
      </c>
      <c r="C54" s="8" t="inlineStr">
        <is>
          <t>01001</t>
        </is>
      </c>
      <c r="D54" s="8" t="inlineStr"/>
      <c r="E54" s="8" t="inlineStr">
        <is>
          <t>REOUVERTURE AU 01/01/25</t>
        </is>
      </c>
      <c r="F54" s="18" t="n"/>
      <c r="G54" s="18" t="n">
        <v>1456977.49</v>
      </c>
      <c r="H54" s="18">
        <f>N(G54)-N(F54)</f>
        <v/>
      </c>
    </row>
    <row r="55">
      <c r="A55" t="inlineStr">
        <is>
          <t>2025</t>
        </is>
      </c>
      <c r="B55" s="16" t="n">
        <v>45662</v>
      </c>
      <c r="C55" t="inlineStr">
        <is>
          <t>02001</t>
        </is>
      </c>
      <c r="D55" t="inlineStr">
        <is>
          <t>VRT EDI</t>
        </is>
      </c>
      <c r="E55" t="inlineStr">
        <is>
          <t>SNC DEBBOUZ ET FRERES</t>
        </is>
      </c>
      <c r="F55" s="9" t="n">
        <v>550000</v>
      </c>
      <c r="G55" s="9" t="n"/>
      <c r="H55" s="9">
        <f>H54+N(G55)-N(F55)</f>
        <v/>
      </c>
    </row>
    <row r="56">
      <c r="A56" t="inlineStr">
        <is>
          <t>2025</t>
        </is>
      </c>
      <c r="B56" s="16" t="n">
        <v>45688</v>
      </c>
      <c r="C56" t="inlineStr">
        <is>
          <t>14002</t>
        </is>
      </c>
      <c r="D56" t="inlineStr">
        <is>
          <t>N°023/2025</t>
        </is>
      </c>
      <c r="E56" t="inlineStr">
        <is>
          <t>SNC BEJAIA HYDROCARBURES</t>
        </is>
      </c>
      <c r="F56" s="9" t="n"/>
      <c r="G56" s="9" t="n">
        <v>609210</v>
      </c>
      <c r="H56" s="9">
        <f>H55+N(G56)-N(F56)</f>
        <v/>
      </c>
    </row>
    <row r="57">
      <c r="A57" t="inlineStr">
        <is>
          <t>2025</t>
        </is>
      </c>
      <c r="B57" s="16" t="n">
        <v>45690</v>
      </c>
      <c r="C57" t="inlineStr">
        <is>
          <t>02001</t>
        </is>
      </c>
      <c r="D57" t="inlineStr">
        <is>
          <t>VRT EDI</t>
        </is>
      </c>
      <c r="E57" t="inlineStr">
        <is>
          <t>SNC DEBBOUZ ET FRERES</t>
        </is>
      </c>
      <c r="F57" s="9" t="n">
        <v>700000</v>
      </c>
      <c r="G57" s="9" t="n"/>
      <c r="H57" s="9">
        <f>H56+N(G57)-N(F57)</f>
        <v/>
      </c>
    </row>
    <row r="58">
      <c r="A58" t="inlineStr">
        <is>
          <t>2025</t>
        </is>
      </c>
      <c r="B58" s="16" t="n">
        <v>45714</v>
      </c>
      <c r="C58" t="inlineStr">
        <is>
          <t>02001</t>
        </is>
      </c>
      <c r="D58" t="inlineStr">
        <is>
          <t>VRT EDI</t>
        </is>
      </c>
      <c r="E58" t="inlineStr">
        <is>
          <t>SNC DEBBOUZ ET FRERES</t>
        </is>
      </c>
      <c r="F58" s="9" t="n">
        <v>700000</v>
      </c>
      <c r="G58" s="9" t="n"/>
      <c r="H58" s="9">
        <f>H57+N(G58)-N(F58)</f>
        <v/>
      </c>
    </row>
    <row r="59">
      <c r="A59" t="inlineStr">
        <is>
          <t>2025</t>
        </is>
      </c>
      <c r="B59" s="16" t="n">
        <v>45716</v>
      </c>
      <c r="C59" t="inlineStr">
        <is>
          <t>14002</t>
        </is>
      </c>
      <c r="D59" t="inlineStr">
        <is>
          <t>N°056/2025</t>
        </is>
      </c>
      <c r="E59" t="inlineStr">
        <is>
          <t>SNC BEJAIA HYDROCARBURES</t>
        </is>
      </c>
      <c r="F59" s="9" t="n"/>
      <c r="G59" s="9" t="n">
        <v>696240</v>
      </c>
      <c r="H59" s="9">
        <f>H58+N(G59)-N(F59)</f>
        <v/>
      </c>
    </row>
    <row r="60">
      <c r="A60" t="inlineStr">
        <is>
          <t>2025</t>
        </is>
      </c>
      <c r="B60" s="16" t="n">
        <v>45725</v>
      </c>
      <c r="C60" t="inlineStr">
        <is>
          <t>02001</t>
        </is>
      </c>
      <c r="D60" t="inlineStr">
        <is>
          <t>VRT EDI</t>
        </is>
      </c>
      <c r="E60" t="inlineStr">
        <is>
          <t>SNC DEBBOUZ ET FRERES</t>
        </is>
      </c>
      <c r="F60" s="9" t="n">
        <v>550000</v>
      </c>
      <c r="G60" s="9" t="n"/>
      <c r="H60" s="9">
        <f>H59+N(G60)-N(F60)</f>
        <v/>
      </c>
    </row>
    <row r="61">
      <c r="A61" t="inlineStr">
        <is>
          <t>2025</t>
        </is>
      </c>
      <c r="B61" s="16" t="n">
        <v>45746</v>
      </c>
      <c r="C61" t="inlineStr">
        <is>
          <t>02001</t>
        </is>
      </c>
      <c r="D61" t="inlineStr">
        <is>
          <t>VRT EDI</t>
        </is>
      </c>
      <c r="E61" t="inlineStr">
        <is>
          <t>SNC DEBBOUZ ET FRERES</t>
        </is>
      </c>
      <c r="F61" s="9" t="n">
        <v>650000</v>
      </c>
      <c r="G61" s="9" t="n"/>
      <c r="H61" s="9">
        <f>H60+N(G61)-N(F61)</f>
        <v/>
      </c>
    </row>
    <row r="62">
      <c r="A62" t="inlineStr">
        <is>
          <t>2025</t>
        </is>
      </c>
      <c r="B62" s="16" t="n">
        <v>45747</v>
      </c>
      <c r="C62" t="inlineStr">
        <is>
          <t>14002</t>
        </is>
      </c>
      <c r="D62" t="inlineStr">
        <is>
          <t>N°086/2025</t>
        </is>
      </c>
      <c r="E62" t="inlineStr">
        <is>
          <t>SNC BEJAIA HYDROCARBURES</t>
        </is>
      </c>
      <c r="F62" s="9" t="n"/>
      <c r="G62" s="9" t="n">
        <v>594705</v>
      </c>
      <c r="H62" s="9">
        <f>H61+N(G62)-N(F62)</f>
        <v/>
      </c>
    </row>
    <row r="63">
      <c r="A63" t="inlineStr">
        <is>
          <t>2025</t>
        </is>
      </c>
      <c r="B63" s="16" t="n">
        <v>45777</v>
      </c>
      <c r="C63" t="inlineStr">
        <is>
          <t>14002</t>
        </is>
      </c>
      <c r="D63" t="inlineStr">
        <is>
          <t>N°120/2025</t>
        </is>
      </c>
      <c r="E63" t="inlineStr">
        <is>
          <t>SNC BEJAIA HYDROCARBURES</t>
        </is>
      </c>
      <c r="F63" s="9" t="n"/>
      <c r="G63" s="9" t="n">
        <v>420645</v>
      </c>
      <c r="H63" s="9">
        <f>H62+N(G63)-N(F63)</f>
        <v/>
      </c>
    </row>
    <row r="64">
      <c r="A64" t="inlineStr">
        <is>
          <t>2025</t>
        </is>
      </c>
      <c r="B64" s="16" t="n">
        <v>45791</v>
      </c>
      <c r="C64" t="inlineStr">
        <is>
          <t>02001</t>
        </is>
      </c>
      <c r="D64" t="inlineStr">
        <is>
          <t>VRT EDI</t>
        </is>
      </c>
      <c r="E64" t="inlineStr">
        <is>
          <t>SNC DEBBOUZ ET FRERES</t>
        </is>
      </c>
      <c r="F64" s="9" t="n">
        <v>650000</v>
      </c>
      <c r="G64" s="9" t="n"/>
      <c r="H64" s="9">
        <f>H63+N(G64)-N(F64)</f>
        <v/>
      </c>
    </row>
    <row r="65">
      <c r="A65" t="inlineStr">
        <is>
          <t>2025</t>
        </is>
      </c>
      <c r="B65" s="16" t="n">
        <v>45808</v>
      </c>
      <c r="C65" t="inlineStr">
        <is>
          <t>14002</t>
        </is>
      </c>
      <c r="D65" t="inlineStr">
        <is>
          <t>N°152/2025</t>
        </is>
      </c>
      <c r="E65" t="inlineStr">
        <is>
          <t>SNC BEJAIA HYDROCARBURES</t>
        </is>
      </c>
      <c r="F65" s="9" t="n"/>
      <c r="G65" s="9" t="n">
        <v>484467</v>
      </c>
      <c r="H65" s="9">
        <f>H64+N(G65)-N(F65)</f>
        <v/>
      </c>
    </row>
    <row r="66">
      <c r="A66" t="inlineStr">
        <is>
          <t>2025</t>
        </is>
      </c>
      <c r="B66" s="16" t="n">
        <v>45838</v>
      </c>
      <c r="C66" t="inlineStr">
        <is>
          <t>14002</t>
        </is>
      </c>
      <c r="D66" t="inlineStr">
        <is>
          <t>N°185/2025</t>
        </is>
      </c>
      <c r="E66" t="inlineStr">
        <is>
          <t>SNC BEJAIA HYDROCARBURES</t>
        </is>
      </c>
      <c r="F66" s="9" t="n"/>
      <c r="G66" s="9" t="n">
        <v>493170</v>
      </c>
      <c r="H66" s="9">
        <f>H65+N(G66)-N(F66)</f>
        <v/>
      </c>
    </row>
    <row r="67">
      <c r="A67" t="inlineStr">
        <is>
          <t>2025</t>
        </is>
      </c>
      <c r="B67" s="16" t="n">
        <v>45867</v>
      </c>
      <c r="C67" t="inlineStr">
        <is>
          <t>02001</t>
        </is>
      </c>
      <c r="D67" t="inlineStr">
        <is>
          <t>VRT EDI</t>
        </is>
      </c>
      <c r="E67" t="inlineStr">
        <is>
          <t>SNC DEBBOUZ ET FRERES</t>
        </is>
      </c>
      <c r="F67" s="9" t="n">
        <v>700000</v>
      </c>
      <c r="G67" s="9" t="n"/>
      <c r="H67" s="9">
        <f>H66+N(G67)-N(F67)</f>
        <v/>
      </c>
    </row>
    <row r="68">
      <c r="A68" t="inlineStr">
        <is>
          <t>2025</t>
        </is>
      </c>
      <c r="B68" s="16" t="n">
        <v>45869</v>
      </c>
      <c r="C68" t="inlineStr">
        <is>
          <t>14002</t>
        </is>
      </c>
      <c r="D68" t="inlineStr">
        <is>
          <t>N°/2025</t>
        </is>
      </c>
      <c r="E68" t="inlineStr">
        <is>
          <t>SNC BEJAIA HYDROCARBURES</t>
        </is>
      </c>
      <c r="F68" s="9" t="n"/>
      <c r="G68" s="9" t="n">
        <v>348120</v>
      </c>
      <c r="H68" s="9">
        <f>H67+N(G68)-N(F68)</f>
        <v/>
      </c>
    </row>
    <row r="69">
      <c r="A69" t="inlineStr">
        <is>
          <t>2025</t>
        </is>
      </c>
      <c r="B69" s="16" t="n">
        <v>45879</v>
      </c>
      <c r="C69" t="inlineStr">
        <is>
          <t>02001</t>
        </is>
      </c>
      <c r="D69" t="inlineStr">
        <is>
          <t>VRT EDI</t>
        </is>
      </c>
      <c r="E69" t="inlineStr">
        <is>
          <t>SNC DEBBOUZ ET FRERES</t>
        </is>
      </c>
      <c r="F69" s="9" t="n">
        <v>650000</v>
      </c>
      <c r="G69" s="9" t="n"/>
      <c r="H69" s="9">
        <f>H68+N(G69)-N(F69)</f>
        <v/>
      </c>
    </row>
    <row r="70">
      <c r="A70" t="inlineStr">
        <is>
          <t>2025</t>
        </is>
      </c>
      <c r="B70" s="16" t="n">
        <v>45881</v>
      </c>
      <c r="C70" t="inlineStr">
        <is>
          <t>02001</t>
        </is>
      </c>
      <c r="D70" t="inlineStr">
        <is>
          <t>VRT EDI</t>
        </is>
      </c>
      <c r="E70" t="inlineStr">
        <is>
          <t>SNC DEBBOUZ ET FRERES</t>
        </is>
      </c>
      <c r="F70" s="9" t="n">
        <v>700000</v>
      </c>
      <c r="G70" s="9" t="n"/>
      <c r="H70" s="9">
        <f>H69+N(G70)-N(F70)</f>
        <v/>
      </c>
    </row>
    <row r="71">
      <c r="A71" t="inlineStr">
        <is>
          <t>2025</t>
        </is>
      </c>
      <c r="B71" s="16" t="n">
        <v>45900</v>
      </c>
      <c r="C71" t="inlineStr">
        <is>
          <t>14002</t>
        </is>
      </c>
      <c r="D71" t="inlineStr">
        <is>
          <t>N°249/2025</t>
        </is>
      </c>
      <c r="E71" t="inlineStr">
        <is>
          <t>SNC BEJAIA HYDROCARBURES</t>
        </is>
      </c>
      <c r="F71" s="9" t="n"/>
      <c r="G71" s="9" t="n">
        <v>435150</v>
      </c>
      <c r="H71" s="9">
        <f>H70+N(G71)-N(F71)</f>
        <v/>
      </c>
    </row>
    <row r="72">
      <c r="A72" t="inlineStr">
        <is>
          <t>2025</t>
        </is>
      </c>
      <c r="B72" s="16" t="n">
        <v>45909</v>
      </c>
      <c r="C72" t="inlineStr">
        <is>
          <t>02001</t>
        </is>
      </c>
      <c r="D72" t="inlineStr">
        <is>
          <t>VRT EDI</t>
        </is>
      </c>
      <c r="E72" t="inlineStr">
        <is>
          <t>SNC DEBBOUZ ET FRERES</t>
        </is>
      </c>
      <c r="F72" s="9" t="n">
        <v>540000</v>
      </c>
      <c r="G72" s="9" t="n"/>
      <c r="H72" s="9">
        <f>H71+N(G72)-N(F72)</f>
        <v/>
      </c>
    </row>
    <row r="73">
      <c r="A73" t="inlineStr">
        <is>
          <t>2025</t>
        </is>
      </c>
      <c r="B73" s="16" t="n">
        <v>45930</v>
      </c>
      <c r="C73" t="inlineStr">
        <is>
          <t>14002</t>
        </is>
      </c>
      <c r="D73" t="inlineStr">
        <is>
          <t>N°284/2025</t>
        </is>
      </c>
      <c r="E73" t="inlineStr">
        <is>
          <t>SNC BEJAIA HYDROCARBURES</t>
        </is>
      </c>
      <c r="F73" s="9" t="n"/>
      <c r="G73" s="9" t="n">
        <v>388734</v>
      </c>
      <c r="H73" s="9">
        <f>H72+N(G73)-N(F73)</f>
        <v/>
      </c>
    </row>
    <row r="74">
      <c r="A74" t="inlineStr">
        <is>
          <t>2025</t>
        </is>
      </c>
      <c r="B74" s="16" t="n">
        <v>45961</v>
      </c>
      <c r="C74" t="inlineStr">
        <is>
          <t>14002</t>
        </is>
      </c>
      <c r="D74" t="inlineStr">
        <is>
          <t>N°319/2025</t>
        </is>
      </c>
      <c r="E74" t="inlineStr">
        <is>
          <t>SNC BEJAIA HYDROCARBURES</t>
        </is>
      </c>
      <c r="F74" s="9" t="n"/>
      <c r="G74" s="9" t="n">
        <v>446754</v>
      </c>
      <c r="H74" s="9">
        <f>H73+N(G74)-N(F74)</f>
        <v/>
      </c>
    </row>
    <row r="75">
      <c r="A75" t="inlineStr">
        <is>
          <t>2025</t>
        </is>
      </c>
      <c r="B75" s="16" t="n">
        <v>45991</v>
      </c>
      <c r="C75" t="inlineStr">
        <is>
          <t>14002</t>
        </is>
      </c>
      <c r="D75" t="inlineStr">
        <is>
          <t>N°350/2025</t>
        </is>
      </c>
      <c r="E75" t="inlineStr">
        <is>
          <t>SNC BEJAIA HYDROCARBURES</t>
        </is>
      </c>
      <c r="F75" s="9" t="n"/>
      <c r="G75" s="9" t="n">
        <v>464160</v>
      </c>
      <c r="H75" s="9">
        <f>H74+N(G75)-N(F75)</f>
        <v/>
      </c>
    </row>
    <row r="76">
      <c r="A76" t="inlineStr">
        <is>
          <t>2025</t>
        </is>
      </c>
      <c r="B76" s="16" t="n">
        <v>46022</v>
      </c>
      <c r="C76" t="inlineStr">
        <is>
          <t>14002</t>
        </is>
      </c>
      <c r="D76" t="inlineStr">
        <is>
          <t>N°389/2025</t>
        </is>
      </c>
      <c r="E76" t="inlineStr">
        <is>
          <t>SNC BEJAIA HYDROCARBURES</t>
        </is>
      </c>
      <c r="F76" s="9" t="n"/>
      <c r="G76" s="9" t="n">
        <v>290100</v>
      </c>
      <c r="H76" s="9">
        <f>H75+N(G76)-N(F76)</f>
        <v/>
      </c>
    </row>
    <row r="77">
      <c r="A77" s="8" t="inlineStr">
        <is>
          <t>2026</t>
        </is>
      </c>
      <c r="B77" s="17" t="n">
        <v>46022</v>
      </c>
      <c r="C77" s="8" t="inlineStr">
        <is>
          <t>01001</t>
        </is>
      </c>
      <c r="D77" s="8" t="inlineStr"/>
      <c r="E77" s="8" t="inlineStr">
        <is>
          <t>REOUVERTURE AU 01/01/26</t>
        </is>
      </c>
      <c r="F77" s="18" t="n"/>
      <c r="G77" s="18" t="n">
        <v>738432.49</v>
      </c>
      <c r="H77" s="18">
        <f>N(G77)-N(F77)</f>
        <v/>
      </c>
    </row>
    <row r="78">
      <c r="A78" t="inlineStr">
        <is>
          <t>2026</t>
        </is>
      </c>
      <c r="B78" s="16" t="n">
        <v>46053</v>
      </c>
      <c r="C78" t="inlineStr">
        <is>
          <t>14002</t>
        </is>
      </c>
      <c r="D78" t="inlineStr">
        <is>
          <t>N°025/2026</t>
        </is>
      </c>
      <c r="E78" t="inlineStr">
        <is>
          <t>SNC BEJAIA HYDROCARBURES</t>
        </is>
      </c>
      <c r="F78" s="9" t="n"/>
      <c r="G78" s="9" t="n">
        <v>311116</v>
      </c>
      <c r="H78" s="9">
        <f>H77+N(G78)-N(F78)</f>
        <v/>
      </c>
    </row>
    <row r="79">
      <c r="A79" t="inlineStr">
        <is>
          <t>2026</t>
        </is>
      </c>
      <c r="B79" s="16" t="n">
        <v>46081</v>
      </c>
      <c r="C79" t="inlineStr">
        <is>
          <t>14002</t>
        </is>
      </c>
      <c r="D79" t="inlineStr">
        <is>
          <t>N°066/2026</t>
        </is>
      </c>
      <c r="E79" t="inlineStr">
        <is>
          <t>SNC BEJAIA HYDROCARBURES</t>
        </is>
      </c>
      <c r="F79" s="9" t="n"/>
      <c r="G79" s="9" t="n">
        <v>434000</v>
      </c>
      <c r="H79" s="9">
        <f>H78+N(G79)-N(F79)</f>
        <v/>
      </c>
    </row>
    <row r="80">
      <c r="A80" t="inlineStr">
        <is>
          <t>2026</t>
        </is>
      </c>
      <c r="B80" s="16" t="n">
        <v>46096</v>
      </c>
      <c r="C80" t="inlineStr">
        <is>
          <t>02001</t>
        </is>
      </c>
      <c r="D80" t="inlineStr">
        <is>
          <t>00370-001104</t>
        </is>
      </c>
      <c r="E80" t="inlineStr">
        <is>
          <t>SNC DEBBOUZ ET FRERES</t>
        </is>
      </c>
      <c r="F80" s="9" t="n">
        <v>311116</v>
      </c>
      <c r="G80" s="9" t="n"/>
      <c r="H80" s="9">
        <f>H79+N(G80)-N(F80)</f>
        <v/>
      </c>
    </row>
    <row r="81">
      <c r="A81" t="inlineStr">
        <is>
          <t>2026</t>
        </is>
      </c>
      <c r="B81" s="16" t="n">
        <v>46096</v>
      </c>
      <c r="C81" t="inlineStr">
        <is>
          <t>02001</t>
        </is>
      </c>
      <c r="D81" t="inlineStr">
        <is>
          <t>00370-001105</t>
        </is>
      </c>
      <c r="E81" t="inlineStr">
        <is>
          <t>SNC DEBBOUZ ET FRERES</t>
        </is>
      </c>
      <c r="F81" s="9" t="n">
        <v>434000</v>
      </c>
      <c r="G81" s="9" t="n"/>
      <c r="H81" s="9">
        <f>H80+N(G81)-N(F81)</f>
        <v/>
      </c>
    </row>
    <row r="82">
      <c r="A82" t="inlineStr">
        <is>
          <t>2026</t>
        </is>
      </c>
      <c r="B82" s="16" t="n">
        <v>46112</v>
      </c>
      <c r="C82" t="inlineStr">
        <is>
          <t>14002</t>
        </is>
      </c>
      <c r="D82" t="inlineStr">
        <is>
          <t>N°093/2026</t>
        </is>
      </c>
      <c r="E82" t="inlineStr">
        <is>
          <t>SNC BEJAIA HYDROCARBURES</t>
        </is>
      </c>
      <c r="F82" s="9" t="n"/>
      <c r="G82" s="9" t="n">
        <v>382974</v>
      </c>
      <c r="H82" s="9">
        <f>H81+N(G82)-N(F82)</f>
        <v/>
      </c>
    </row>
    <row r="83">
      <c r="A83" t="inlineStr">
        <is>
          <t>2026</t>
        </is>
      </c>
      <c r="B83" s="16" t="n">
        <v>46141</v>
      </c>
      <c r="C83" t="inlineStr">
        <is>
          <t>02001</t>
        </is>
      </c>
      <c r="D83" t="inlineStr">
        <is>
          <t>00370-001141</t>
        </is>
      </c>
      <c r="E83" t="inlineStr">
        <is>
          <t>SNC DEBBOUZ ET FRERES</t>
        </is>
      </c>
      <c r="F83" s="9" t="n">
        <v>700000</v>
      </c>
      <c r="G83" s="9" t="n"/>
      <c r="H83" s="9">
        <f>H82+N(G83)-N(F83)</f>
        <v/>
      </c>
    </row>
    <row r="84">
      <c r="A84" t="inlineStr">
        <is>
          <t>2026</t>
        </is>
      </c>
      <c r="B84" s="16" t="n">
        <v>46142</v>
      </c>
      <c r="C84" t="inlineStr">
        <is>
          <t>14002</t>
        </is>
      </c>
      <c r="D84" t="inlineStr">
        <is>
          <t>N°129/2026</t>
        </is>
      </c>
      <c r="E84" t="inlineStr">
        <is>
          <t>SNC BEJAIA HYDROCARBURES</t>
        </is>
      </c>
      <c r="F84" s="9" t="n"/>
      <c r="G84" s="9" t="n">
        <v>468627</v>
      </c>
      <c r="H84" s="9">
        <f>H83+N(G84)-N(F84)</f>
        <v/>
      </c>
    </row>
    <row r="85">
      <c r="A85" t="inlineStr">
        <is>
          <t>2026</t>
        </is>
      </c>
      <c r="B85" s="16" t="n">
        <v>46161</v>
      </c>
      <c r="C85" t="inlineStr">
        <is>
          <t>02001</t>
        </is>
      </c>
      <c r="D85" t="inlineStr">
        <is>
          <t>00370-001165</t>
        </is>
      </c>
      <c r="E85" t="inlineStr">
        <is>
          <t>SNC DEBBOUZ ET FRERES</t>
        </is>
      </c>
      <c r="F85" s="9" t="n">
        <v>650000</v>
      </c>
      <c r="G85" s="9" t="n"/>
      <c r="H85" s="9">
        <f>H84+N(G85)-N(F85)</f>
        <v/>
      </c>
    </row>
    <row r="86">
      <c r="A86" t="inlineStr">
        <is>
          <t>2026</t>
        </is>
      </c>
      <c r="B86" s="16" t="n">
        <v>46173</v>
      </c>
      <c r="C86" t="inlineStr">
        <is>
          <t>14002</t>
        </is>
      </c>
      <c r="D86" t="inlineStr">
        <is>
          <t>N°169/2026</t>
        </is>
      </c>
      <c r="E86" t="inlineStr">
        <is>
          <t>SNC BEJAIA HYDROCARBURES</t>
        </is>
      </c>
      <c r="F86" s="9" t="n"/>
      <c r="G86" s="9" t="n">
        <v>480500</v>
      </c>
      <c r="H86" s="9">
        <f>H85+N(G86)-N(F86)</f>
        <v/>
      </c>
    </row>
    <row r="87">
      <c r="A87" t="inlineStr">
        <is>
          <t>2026</t>
        </is>
      </c>
      <c r="B87" s="16" t="n">
        <v>46188</v>
      </c>
      <c r="C87" t="inlineStr">
        <is>
          <t>02001</t>
        </is>
      </c>
      <c r="D87" t="inlineStr">
        <is>
          <t>00370-001197</t>
        </is>
      </c>
      <c r="E87" t="inlineStr">
        <is>
          <t>SNC DEBBOUZ ET FRERES</t>
        </is>
      </c>
      <c r="F87" s="9" t="n">
        <v>800000</v>
      </c>
      <c r="G87" s="9" t="n"/>
      <c r="H87" s="9">
        <f>H86+N(G87)-N(F87)</f>
        <v/>
      </c>
    </row>
    <row r="88">
      <c r="A88" t="inlineStr">
        <is>
          <t>2026</t>
        </is>
      </c>
      <c r="B88" s="16" t="n">
        <v>46203</v>
      </c>
      <c r="C88" t="inlineStr">
        <is>
          <t>14002</t>
        </is>
      </c>
      <c r="D88" t="inlineStr">
        <is>
          <t>N°212/2026</t>
        </is>
      </c>
      <c r="E88" t="inlineStr">
        <is>
          <t>SNC BEJAIA HYDROCARBURES</t>
        </is>
      </c>
      <c r="F88" s="9" t="n"/>
      <c r="G88" s="9" t="n">
        <v>356500</v>
      </c>
      <c r="H88" s="9">
        <f>H87+N(G88)-N(F88)</f>
        <v/>
      </c>
    </row>
    <row r="89">
      <c r="A89" t="inlineStr">
        <is>
          <t>2026</t>
        </is>
      </c>
      <c r="B89" s="16" t="n">
        <v>46280</v>
      </c>
      <c r="C89" t="inlineStr">
        <is>
          <t>02001</t>
        </is>
      </c>
      <c r="D89" t="inlineStr">
        <is>
          <t>00370-001290</t>
        </is>
      </c>
      <c r="E89" t="inlineStr">
        <is>
          <t>SNC DEBBOUZ ET FRERES</t>
        </is>
      </c>
      <c r="F89" s="9" t="n">
        <v>700000</v>
      </c>
      <c r="G89" s="9" t="n"/>
      <c r="H89" s="9">
        <f>H88+N(G89)-N(F89)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9" customWidth="1" min="4" max="4"/>
    <col width="8" customWidth="1" min="5" max="5"/>
    <col width="34" customWidth="1" min="6" max="6"/>
    <col width="15" customWidth="1" min="7" max="7"/>
    <col width="15" customWidth="1" min="8" max="8"/>
  </cols>
  <sheetData>
    <row r="1" ht="32" customHeight="1">
      <c r="A1" s="2" t="inlineStr">
        <is>
          <t>Journal</t>
        </is>
      </c>
      <c r="B1" s="2" t="inlineStr">
        <is>
          <t>Date</t>
        </is>
      </c>
      <c r="C1" s="2" t="inlineStr">
        <is>
          <t>Pièce / réf.</t>
        </is>
      </c>
      <c r="D1" s="2" t="inlineStr">
        <is>
          <t>Compte</t>
        </is>
      </c>
      <c r="E1" s="2" t="inlineStr">
        <is>
          <t>Tiers</t>
        </is>
      </c>
      <c r="F1" s="2" t="inlineStr">
        <is>
          <t>Libellé</t>
        </is>
      </c>
      <c r="G1" s="2" t="inlineStr">
        <is>
          <t>Débit</t>
        </is>
      </c>
      <c r="H1" s="2" t="inlineStr">
        <is>
          <t>Crédit</t>
        </is>
      </c>
    </row>
    <row r="2">
      <c r="A2" t="inlineStr">
        <is>
          <t>14002</t>
        </is>
      </c>
      <c r="B2" t="inlineStr">
        <is>
          <t>31/01/2026</t>
        </is>
      </c>
      <c r="C2" t="inlineStr">
        <is>
          <t>N°025/2026</t>
        </is>
      </c>
      <c r="D2" t="inlineStr">
        <is>
          <t>60711</t>
        </is>
      </c>
      <c r="E2" t="inlineStr"/>
      <c r="F2" t="inlineStr">
        <is>
          <t>SNC BEJAIA HYDROCARBURES</t>
        </is>
      </c>
      <c r="G2" s="9" t="n">
        <v>311116</v>
      </c>
      <c r="H2" s="9" t="n"/>
    </row>
    <row r="3">
      <c r="A3" t="inlineStr">
        <is>
          <t>14002</t>
        </is>
      </c>
      <c r="B3" t="inlineStr">
        <is>
          <t>31/01/2026</t>
        </is>
      </c>
      <c r="C3" t="inlineStr">
        <is>
          <t>N°025/2026</t>
        </is>
      </c>
      <c r="D3" t="inlineStr">
        <is>
          <t>40100</t>
        </is>
      </c>
      <c r="E3" t="inlineStr">
        <is>
          <t>FL076</t>
        </is>
      </c>
      <c r="F3" t="inlineStr">
        <is>
          <t>SNC BEJAIA HYDROCARBURES</t>
        </is>
      </c>
      <c r="G3" s="9" t="n"/>
      <c r="H3" s="9" t="n">
        <v>311116</v>
      </c>
    </row>
    <row r="4">
      <c r="A4" t="inlineStr">
        <is>
          <t>14002</t>
        </is>
      </c>
      <c r="B4" t="inlineStr">
        <is>
          <t>28/02/2026</t>
        </is>
      </c>
      <c r="C4" t="inlineStr">
        <is>
          <t>N°066/2026</t>
        </is>
      </c>
      <c r="D4" t="inlineStr">
        <is>
          <t>60711</t>
        </is>
      </c>
      <c r="E4" t="inlineStr"/>
      <c r="F4" t="inlineStr">
        <is>
          <t>SNC BEJAIA HYDROCARBURES</t>
        </is>
      </c>
      <c r="G4" s="9" t="n">
        <v>434000</v>
      </c>
      <c r="H4" s="9" t="n"/>
    </row>
    <row r="5">
      <c r="A5" t="inlineStr">
        <is>
          <t>14002</t>
        </is>
      </c>
      <c r="B5" t="inlineStr">
        <is>
          <t>28/02/2026</t>
        </is>
      </c>
      <c r="C5" t="inlineStr">
        <is>
          <t>N°066/2026</t>
        </is>
      </c>
      <c r="D5" t="inlineStr">
        <is>
          <t>40100</t>
        </is>
      </c>
      <c r="E5" t="inlineStr">
        <is>
          <t>FL076</t>
        </is>
      </c>
      <c r="F5" t="inlineStr">
        <is>
          <t>SNC BEJAIA HYDROCARBURES</t>
        </is>
      </c>
      <c r="G5" s="9" t="n"/>
      <c r="H5" s="9" t="n">
        <v>434000</v>
      </c>
    </row>
    <row r="6">
      <c r="A6" t="inlineStr">
        <is>
          <t>14002</t>
        </is>
      </c>
      <c r="B6" t="inlineStr">
        <is>
          <t>31/03/2026</t>
        </is>
      </c>
      <c r="C6" t="inlineStr">
        <is>
          <t>N°093/2026</t>
        </is>
      </c>
      <c r="D6" t="inlineStr">
        <is>
          <t>60711</t>
        </is>
      </c>
      <c r="E6" t="inlineStr"/>
      <c r="F6" t="inlineStr">
        <is>
          <t>SNC BEJAIA HYDROCARBURES</t>
        </is>
      </c>
      <c r="G6" s="9" t="n">
        <v>382974</v>
      </c>
      <c r="H6" s="9" t="n"/>
    </row>
    <row r="7">
      <c r="A7" t="inlineStr">
        <is>
          <t>14002</t>
        </is>
      </c>
      <c r="B7" t="inlineStr">
        <is>
          <t>31/03/2026</t>
        </is>
      </c>
      <c r="C7" t="inlineStr">
        <is>
          <t>N°093/2026</t>
        </is>
      </c>
      <c r="D7" t="inlineStr">
        <is>
          <t>40100</t>
        </is>
      </c>
      <c r="E7" t="inlineStr">
        <is>
          <t>FL076</t>
        </is>
      </c>
      <c r="F7" t="inlineStr">
        <is>
          <t>SNC BEJAIA HYDROCARBURES</t>
        </is>
      </c>
      <c r="G7" s="9" t="n"/>
      <c r="H7" s="9" t="n">
        <v>382974</v>
      </c>
    </row>
    <row r="8">
      <c r="A8" t="inlineStr">
        <is>
          <t>14002</t>
        </is>
      </c>
      <c r="B8" t="inlineStr">
        <is>
          <t>30/04/2026</t>
        </is>
      </c>
      <c r="C8" t="inlineStr">
        <is>
          <t>N°129/2026</t>
        </is>
      </c>
      <c r="D8" t="inlineStr">
        <is>
          <t>60711</t>
        </is>
      </c>
      <c r="E8" t="inlineStr"/>
      <c r="F8" t="inlineStr">
        <is>
          <t>SNC BEJAIA HYDROCARBURES</t>
        </is>
      </c>
      <c r="G8" s="9" t="n">
        <v>468627</v>
      </c>
      <c r="H8" s="9" t="n"/>
    </row>
    <row r="9">
      <c r="A9" t="inlineStr">
        <is>
          <t>14002</t>
        </is>
      </c>
      <c r="B9" t="inlineStr">
        <is>
          <t>30/04/2026</t>
        </is>
      </c>
      <c r="C9" t="inlineStr">
        <is>
          <t>N°129/2026</t>
        </is>
      </c>
      <c r="D9" t="inlineStr">
        <is>
          <t>40100</t>
        </is>
      </c>
      <c r="E9" t="inlineStr">
        <is>
          <t>FL076</t>
        </is>
      </c>
      <c r="F9" t="inlineStr">
        <is>
          <t>SNC BEJAIA HYDROCARBURES</t>
        </is>
      </c>
      <c r="G9" s="9" t="n"/>
      <c r="H9" s="9" t="n">
        <v>468627</v>
      </c>
    </row>
    <row r="10">
      <c r="A10" t="inlineStr">
        <is>
          <t>14002</t>
        </is>
      </c>
      <c r="B10" t="inlineStr">
        <is>
          <t>31/05/2026</t>
        </is>
      </c>
      <c r="C10" t="inlineStr">
        <is>
          <t>N°169/2026</t>
        </is>
      </c>
      <c r="D10" t="inlineStr">
        <is>
          <t>60711</t>
        </is>
      </c>
      <c r="E10" t="inlineStr"/>
      <c r="F10" t="inlineStr">
        <is>
          <t>SNC BEJAIA HYDROCARBURES</t>
        </is>
      </c>
      <c r="G10" s="9" t="n">
        <v>480500</v>
      </c>
      <c r="H10" s="9" t="n"/>
    </row>
    <row r="11">
      <c r="A11" t="inlineStr">
        <is>
          <t>14002</t>
        </is>
      </c>
      <c r="B11" t="inlineStr">
        <is>
          <t>31/05/2026</t>
        </is>
      </c>
      <c r="C11" t="inlineStr">
        <is>
          <t>N°169/2026</t>
        </is>
      </c>
      <c r="D11" t="inlineStr">
        <is>
          <t>40100</t>
        </is>
      </c>
      <c r="E11" t="inlineStr">
        <is>
          <t>FL076</t>
        </is>
      </c>
      <c r="F11" t="inlineStr">
        <is>
          <t>SNC BEJAIA HYDROCARBURES</t>
        </is>
      </c>
      <c r="G11" s="9" t="n"/>
      <c r="H11" s="9" t="n">
        <v>480500</v>
      </c>
    </row>
    <row r="12">
      <c r="A12" t="inlineStr">
        <is>
          <t>14002</t>
        </is>
      </c>
      <c r="B12" t="inlineStr">
        <is>
          <t>30/06/2026</t>
        </is>
      </c>
      <c r="C12" t="inlineStr">
        <is>
          <t>N°212/2026</t>
        </is>
      </c>
      <c r="D12" t="inlineStr">
        <is>
          <t>60711</t>
        </is>
      </c>
      <c r="E12" t="inlineStr"/>
      <c r="F12" t="inlineStr">
        <is>
          <t>SNC BEJAIA HYDROCARBURES</t>
        </is>
      </c>
      <c r="G12" s="9" t="n">
        <v>356500</v>
      </c>
      <c r="H12" s="9" t="n"/>
    </row>
    <row r="13">
      <c r="A13" t="inlineStr">
        <is>
          <t>14002</t>
        </is>
      </c>
      <c r="B13" t="inlineStr">
        <is>
          <t>30/06/2026</t>
        </is>
      </c>
      <c r="C13" t="inlineStr">
        <is>
          <t>N°212/2026</t>
        </is>
      </c>
      <c r="D13" t="inlineStr">
        <is>
          <t>40100</t>
        </is>
      </c>
      <c r="E13" t="inlineStr">
        <is>
          <t>FL076</t>
        </is>
      </c>
      <c r="F13" t="inlineStr">
        <is>
          <t>SNC BEJAIA HYDROCARBURES</t>
        </is>
      </c>
      <c r="G13" s="9" t="n"/>
      <c r="H13" s="9" t="n">
        <v>356500</v>
      </c>
    </row>
    <row r="14">
      <c r="A14" t="inlineStr">
        <is>
          <t>02001</t>
        </is>
      </c>
      <c r="B14" t="inlineStr">
        <is>
          <t>15/03/2026</t>
        </is>
      </c>
      <c r="C14" t="inlineStr">
        <is>
          <t>VRT EDI</t>
        </is>
      </c>
      <c r="D14" t="inlineStr">
        <is>
          <t>40100</t>
        </is>
      </c>
      <c r="E14" t="inlineStr">
        <is>
          <t>FL076</t>
        </is>
      </c>
      <c r="F14" t="inlineStr">
        <is>
          <t>VRT SNC DEBBOUZ ET FRERES (au lieu de 47000)</t>
        </is>
      </c>
      <c r="G14" s="9" t="n">
        <v>311116</v>
      </c>
      <c r="H14" s="9" t="n"/>
    </row>
    <row r="15">
      <c r="A15" t="inlineStr">
        <is>
          <t>02001</t>
        </is>
      </c>
      <c r="B15" t="inlineStr">
        <is>
          <t>15/03/2026</t>
        </is>
      </c>
      <c r="C15" t="inlineStr">
        <is>
          <t>VRT EDI</t>
        </is>
      </c>
      <c r="D15" t="inlineStr">
        <is>
          <t>51220</t>
        </is>
      </c>
      <c r="E15" t="inlineStr"/>
      <c r="F15" t="inlineStr">
        <is>
          <t>VRT SNC DEBBOUZ ET FRERES (au lieu de 47000)</t>
        </is>
      </c>
      <c r="G15" s="9" t="n"/>
      <c r="H15" s="9" t="n">
        <v>311116</v>
      </c>
    </row>
    <row r="16">
      <c r="A16" t="inlineStr">
        <is>
          <t>02001</t>
        </is>
      </c>
      <c r="B16" t="inlineStr">
        <is>
          <t>15/03/2026</t>
        </is>
      </c>
      <c r="C16" t="inlineStr">
        <is>
          <t>VRT EDI</t>
        </is>
      </c>
      <c r="D16" t="inlineStr">
        <is>
          <t>40100</t>
        </is>
      </c>
      <c r="E16" t="inlineStr">
        <is>
          <t>FL076</t>
        </is>
      </c>
      <c r="F16" t="inlineStr">
        <is>
          <t>VRT SNC DEBBOUZ ET FRERES (au lieu de 47000)</t>
        </is>
      </c>
      <c r="G16" s="9" t="n">
        <v>434000</v>
      </c>
      <c r="H16" s="9" t="n"/>
    </row>
    <row r="17">
      <c r="A17" t="inlineStr">
        <is>
          <t>02001</t>
        </is>
      </c>
      <c r="B17" t="inlineStr">
        <is>
          <t>15/03/2026</t>
        </is>
      </c>
      <c r="C17" t="inlineStr">
        <is>
          <t>VRT EDI</t>
        </is>
      </c>
      <c r="D17" t="inlineStr">
        <is>
          <t>51220</t>
        </is>
      </c>
      <c r="E17" t="inlineStr"/>
      <c r="F17" t="inlineStr">
        <is>
          <t>VRT SNC DEBBOUZ ET FRERES (au lieu de 47000)</t>
        </is>
      </c>
      <c r="G17" s="9" t="n"/>
      <c r="H17" s="9" t="n">
        <v>434000</v>
      </c>
    </row>
    <row r="18">
      <c r="A18" t="inlineStr">
        <is>
          <t>02001</t>
        </is>
      </c>
      <c r="B18" t="inlineStr">
        <is>
          <t>29/04/2026</t>
        </is>
      </c>
      <c r="C18" t="inlineStr">
        <is>
          <t>VRT EDI</t>
        </is>
      </c>
      <c r="D18" t="inlineStr">
        <is>
          <t>40100</t>
        </is>
      </c>
      <c r="E18" t="inlineStr">
        <is>
          <t>FL076</t>
        </is>
      </c>
      <c r="F18" t="inlineStr">
        <is>
          <t>VRT SNC DEBBOUZ ET FRERES (confirmé)</t>
        </is>
      </c>
      <c r="G18" s="9" t="n">
        <v>700000</v>
      </c>
      <c r="H18" s="9" t="n"/>
    </row>
    <row r="19">
      <c r="A19" t="inlineStr">
        <is>
          <t>02001</t>
        </is>
      </c>
      <c r="B19" t="inlineStr">
        <is>
          <t>29/04/2026</t>
        </is>
      </c>
      <c r="C19" t="inlineStr">
        <is>
          <t>VRT EDI</t>
        </is>
      </c>
      <c r="D19" t="inlineStr">
        <is>
          <t>51220</t>
        </is>
      </c>
      <c r="E19" t="inlineStr"/>
      <c r="F19" t="inlineStr">
        <is>
          <t>VRT SNC DEBBOUZ ET FRERES (confirmé)</t>
        </is>
      </c>
      <c r="G19" s="9" t="n"/>
      <c r="H19" s="9" t="n">
        <v>700000</v>
      </c>
    </row>
    <row r="20">
      <c r="A20" t="inlineStr">
        <is>
          <t>02001</t>
        </is>
      </c>
      <c r="B20" t="inlineStr">
        <is>
          <t>19/05/2026</t>
        </is>
      </c>
      <c r="C20" t="inlineStr">
        <is>
          <t>VRT EDI</t>
        </is>
      </c>
      <c r="D20" t="inlineStr">
        <is>
          <t>40100</t>
        </is>
      </c>
      <c r="E20" t="inlineStr">
        <is>
          <t>FL076</t>
        </is>
      </c>
      <c r="F20" t="inlineStr">
        <is>
          <t>VRT SNC DEBBOUZ ET FRERES (au lieu de 47000)</t>
        </is>
      </c>
      <c r="G20" s="9" t="n">
        <v>650000</v>
      </c>
      <c r="H20" s="9" t="n"/>
    </row>
    <row r="21">
      <c r="A21" t="inlineStr">
        <is>
          <t>02001</t>
        </is>
      </c>
      <c r="B21" t="inlineStr">
        <is>
          <t>19/05/2026</t>
        </is>
      </c>
      <c r="C21" t="inlineStr">
        <is>
          <t>VRT EDI</t>
        </is>
      </c>
      <c r="D21" t="inlineStr">
        <is>
          <t>51220</t>
        </is>
      </c>
      <c r="E21" t="inlineStr"/>
      <c r="F21" t="inlineStr">
        <is>
          <t>VRT SNC DEBBOUZ ET FRERES (au lieu de 47000)</t>
        </is>
      </c>
      <c r="G21" s="9" t="n"/>
      <c r="H21" s="9" t="n">
        <v>650000</v>
      </c>
    </row>
    <row r="22">
      <c r="A22" t="inlineStr">
        <is>
          <t>02001</t>
        </is>
      </c>
      <c r="B22" t="inlineStr">
        <is>
          <t>15/06/2026</t>
        </is>
      </c>
      <c r="C22" t="inlineStr">
        <is>
          <t>VRT EDI</t>
        </is>
      </c>
      <c r="D22" t="inlineStr">
        <is>
          <t>40100</t>
        </is>
      </c>
      <c r="E22" t="inlineStr">
        <is>
          <t>FL076</t>
        </is>
      </c>
      <c r="F22" t="inlineStr">
        <is>
          <t>VRT SNC DEBBOUZ ET FRERES (au lieu de 47000)</t>
        </is>
      </c>
      <c r="G22" s="9" t="n">
        <v>800000</v>
      </c>
      <c r="H22" s="9" t="n"/>
    </row>
    <row r="23">
      <c r="A23" t="inlineStr">
        <is>
          <t>02001</t>
        </is>
      </c>
      <c r="B23" t="inlineStr">
        <is>
          <t>15/06/2026</t>
        </is>
      </c>
      <c r="C23" t="inlineStr">
        <is>
          <t>VRT EDI</t>
        </is>
      </c>
      <c r="D23" t="inlineStr">
        <is>
          <t>51220</t>
        </is>
      </c>
      <c r="E23" t="inlineStr"/>
      <c r="F23" t="inlineStr">
        <is>
          <t>VRT SNC DEBBOUZ ET FRERES (au lieu de 47000)</t>
        </is>
      </c>
      <c r="G23" s="9" t="n"/>
      <c r="H23" s="9" t="n">
        <v>800000</v>
      </c>
    </row>
    <row r="24">
      <c r="A24" t="inlineStr">
        <is>
          <t>02001</t>
        </is>
      </c>
      <c r="B24" t="inlineStr">
        <is>
          <t>15/09/2026</t>
        </is>
      </c>
      <c r="C24" t="inlineStr">
        <is>
          <t>VRT EDI</t>
        </is>
      </c>
      <c r="D24" t="inlineStr">
        <is>
          <t>40100</t>
        </is>
      </c>
      <c r="E24" t="inlineStr">
        <is>
          <t>FL076</t>
        </is>
      </c>
      <c r="F24" t="inlineStr">
        <is>
          <t>VRT SNC DEBBOUZ ET FRERES (provisoire)</t>
        </is>
      </c>
      <c r="G24" s="9" t="n">
        <v>700000</v>
      </c>
      <c r="H24" s="9" t="n"/>
    </row>
    <row r="25">
      <c r="A25" t="inlineStr">
        <is>
          <t>02001</t>
        </is>
      </c>
      <c r="B25" t="inlineStr">
        <is>
          <t>15/09/2026</t>
        </is>
      </c>
      <c r="C25" t="inlineStr">
        <is>
          <t>VRT EDI</t>
        </is>
      </c>
      <c r="D25" t="inlineStr">
        <is>
          <t>51220</t>
        </is>
      </c>
      <c r="E25" t="inlineStr"/>
      <c r="F25" t="inlineStr">
        <is>
          <t>VRT SNC DEBBOUZ ET FRERES (provisoire)</t>
        </is>
      </c>
      <c r="G25" s="9" t="n"/>
      <c r="H25" s="9" t="n">
        <v>700000</v>
      </c>
    </row>
    <row r="26">
      <c r="F26" s="8" t="inlineStr">
        <is>
          <t>TOTAL</t>
        </is>
      </c>
      <c r="G26" s="9">
        <f>SUM(G2:G25)</f>
        <v/>
      </c>
      <c r="H26" s="9">
        <f>SUM(H2:H25)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2026-10-07T11:27:25Z</dcterms:created>
  <dcterms:modified xsi:type="dcterms:W3CDTF">2026-10-07T11:27:25Z</dcterms:modified>
</cp:coreProperties>
</file>