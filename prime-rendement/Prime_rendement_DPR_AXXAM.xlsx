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aramètres" sheetId="2" state="visible" r:id="rId4"/>
    <sheet name="Employés" sheetId="3" state="visible" r:id="rId5"/>
    <sheet name="Postes" sheetId="4" state="visible" r:id="rId6"/>
    <sheet name="Présences" sheetId="5" state="visible" r:id="rId7"/>
    <sheet name="Récap équipe" sheetId="6" state="visible" r:id="rId8"/>
    <sheet name="État employé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Lignes 5 et 6 = exemples (1er octobre) : à remplacer.</t>
        </r>
      </text>
    </comment>
    <comment ref="O4" authorId="0">
      <text>
        <r>
          <rPr>
            <sz val="10"/>
            <rFont val="Arial"/>
            <family val="2"/>
          </rPr>
          <t xml:space="preserve">Compté automatiquement dans « Présences » : personnes de cette équipe ce jour-là, sans absence/retard injustifié.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Lignes 5 à 7 = exemples : à remplacer.</t>
        </r>
      </text>
    </comment>
  </commentList>
</comments>
</file>

<file path=xl/sharedStrings.xml><?xml version="1.0" encoding="utf-8"?>
<sst xmlns="http://schemas.openxmlformats.org/spreadsheetml/2006/main" count="143" uniqueCount="108">
  <si>
    <t xml:space="preserve">SARL DPR AXXAM — Synthèse de la prime du mois</t>
  </si>
  <si>
    <t xml:space="preserve">Tableau de bord — tout est calculé.</t>
  </si>
  <si>
    <t xml:space="preserve">Mois :</t>
  </si>
  <si>
    <t xml:space="preserve">Équipe</t>
  </si>
  <si>
    <t xml:space="preserve">Postes travaillés</t>
  </si>
  <si>
    <t xml:space="preserve">Postes primés</t>
  </si>
  <si>
    <t xml:space="preserve">Wagons dépilés</t>
  </si>
  <si>
    <t xml:space="preserve">Moyenne wagons / poste</t>
  </si>
  <si>
    <t xml:space="preserve">Prime totale</t>
  </si>
  <si>
    <t xml:space="preserve">Total</t>
  </si>
  <si>
    <t xml:space="preserve">Objectif</t>
  </si>
  <si>
    <t xml:space="preserve">Prime par wagon au-delà</t>
  </si>
  <si>
    <t xml:space="preserve">Seuil de casse</t>
  </si>
  <si>
    <t xml:space="preserve">SARL DPR AXXAM — Prime de rendement</t>
  </si>
  <si>
    <t xml:space="preserve">Cellules jaunes = à remplir. Cellules grises = calculées, ne pas toucher.</t>
  </si>
  <si>
    <t xml:space="preserve">Mois de la prime (1er jour du mois)</t>
  </si>
  <si>
    <t xml:space="preserve">Un classeur par mois : changer cette date pour un nouveau mois.</t>
  </si>
  <si>
    <t xml:space="preserve">Objectif (wagons dépilés par équipe et par poste)</t>
  </si>
  <si>
    <t xml:space="preserve">Document « Prime de rendement », décision de la direction.</t>
  </si>
  <si>
    <t xml:space="preserve">Prime par wagon au-delà de l'objectif</t>
  </si>
  <si>
    <t xml:space="preserve">Seuil de casse et déclassés</t>
  </si>
  <si>
    <t xml:space="preserve">À FIXER PAR LA DIRECTION (laissé en blanc dans le document) : 5 % est une valeur provisoire.</t>
  </si>
  <si>
    <t xml:space="preserve">Paie du mois de</t>
  </si>
  <si>
    <t xml:space="preserve">Texte libre, ex. « novembre 2026 ».</t>
  </si>
  <si>
    <t xml:space="preserve">Équipes</t>
  </si>
  <si>
    <t xml:space="preserve">Équipe A</t>
  </si>
  <si>
    <t xml:space="preserve">Nommer les équipes comme à l'usine (A, B, C, matin, soir…).</t>
  </si>
  <si>
    <t xml:space="preserve">Équipe B</t>
  </si>
  <si>
    <t xml:space="preserve">Équipe C</t>
  </si>
  <si>
    <t xml:space="preserve">Fin du mois (calculé)</t>
  </si>
  <si>
    <t xml:space="preserve">Comment remplir :</t>
  </si>
  <si>
    <t xml:space="preserve">1. Feuille « Employés » : la liste du personnel de production (une seule fois).</t>
  </si>
  <si>
    <t xml:space="preserve">2. Feuille « Postes » : une ligne par équipe et par jour, recopiée de la fiche journalière (wagons dépilés, casse, contrôles O/N).</t>
  </si>
  <si>
    <t xml:space="preserve">3. Feuille « Présences » : une ligne par personne présente ce jour-là dans cette équipe. Mettre O dans « Absence/retard injustifié » pour priver la personne de sa part.</t>
  </si>
  <si>
    <t xml:space="preserve">4. Les feuilles « Récap équipe », « État employés » et « Synthèse » se remplissent toutes seules.</t>
  </si>
  <si>
    <t xml:space="preserve">5. « État employés » donne le total à verser avec la paie, avec la colonne d'émargement.</t>
  </si>
  <si>
    <t xml:space="preserve">Règle : prime de l'équipe = (wagons dépilés − objectif) × prime par wagon, seulement si TOUS les contrôles sont à O et la casse sous le seuil.</t>
  </si>
  <si>
    <t xml:space="preserve">Part par personne = prime de l'équipe ÷ nombre de présents ayant droit, arrondie au dinar.</t>
  </si>
  <si>
    <t xml:space="preserve">SARL DPR AXXAM — Personnel de production</t>
  </si>
  <si>
    <t xml:space="preserve">Saisir une fois. Les noms servent de liste déroulante dans « Présences ».</t>
  </si>
  <si>
    <t xml:space="preserve">N°</t>
  </si>
  <si>
    <t xml:space="preserve">Nom et prénom</t>
  </si>
  <si>
    <t xml:space="preserve">Poste occupé</t>
  </si>
  <si>
    <t xml:space="preserve">Équipe habituelle</t>
  </si>
  <si>
    <t xml:space="preserve">BENALI Karim</t>
  </si>
  <si>
    <t xml:space="preserve">Dépileur</t>
  </si>
  <si>
    <t xml:space="preserve">Lignes 1 à 3 = exemples (noms fictifs) : les remplacer par le vrai personnel.</t>
  </si>
  <si>
    <t xml:space="preserve">HADDAD Samir</t>
  </si>
  <si>
    <t xml:space="preserve">MEZIANE Yacine</t>
  </si>
  <si>
    <t xml:space="preserve">Cariste</t>
  </si>
  <si>
    <t xml:space="preserve">SARL DPR AXXAM — Fiches journalières — une ligne par équipe et par poste</t>
  </si>
  <si>
    <t xml:space="preserve">Recopier la fiche du poste. Contrôles : O = oui, N = non. Une case vide = prime refusée.</t>
  </si>
  <si>
    <t xml:space="preserve">Date</t>
  </si>
  <si>
    <t xml:space="preserve">Chef de poste</t>
  </si>
  <si>
    <t xml:space="preserve">Brique</t>
  </si>
  <si>
    <t xml:space="preserve">Poste (horaire)</t>
  </si>
  <si>
    <t xml:space="preserve">Wagons dépilés (1)</t>
  </si>
  <si>
    <t xml:space="preserve">Casse et déclassés (%)</t>
  </si>
  <si>
    <t xml:space="preserve">Paquets bien présentés et cerclés</t>
  </si>
  <si>
    <t xml:space="preserve">Sécurité respectée</t>
  </si>
  <si>
    <t xml:space="preserve">Poste propre</t>
  </si>
  <si>
    <t xml:space="preserve">Fiche visée chef de poste et production</t>
  </si>
  <si>
    <t xml:space="preserve">Conditions remplies</t>
  </si>
  <si>
    <t xml:space="preserve">Wagons au-delà (2)</t>
  </si>
  <si>
    <t xml:space="preserve">Prime de l'équipe (3)</t>
  </si>
  <si>
    <t xml:space="preserve">Présents ayant droit (4)</t>
  </si>
  <si>
    <t xml:space="preserve">Part par personne</t>
  </si>
  <si>
    <t xml:space="preserve">Motif si refus</t>
  </si>
  <si>
    <t xml:space="preserve">Chef A</t>
  </si>
  <si>
    <t xml:space="preserve">B8</t>
  </si>
  <si>
    <t xml:space="preserve">6h-14h</t>
  </si>
  <si>
    <t xml:space="preserve">O</t>
  </si>
  <si>
    <t xml:space="preserve">Chef B</t>
  </si>
  <si>
    <t xml:space="preserve">14h-22h</t>
  </si>
  <si>
    <t xml:space="preserve">SARL DPR AXXAM — Présences par poste</t>
  </si>
  <si>
    <t xml:space="preserve">Une ligne par personne présente. La part se calcule toute seule.</t>
  </si>
  <si>
    <t xml:space="preserve">Absence/retard injustifié (O = pas de prime)</t>
  </si>
  <si>
    <t xml:space="preserve">Part (DA)</t>
  </si>
  <si>
    <t xml:space="preserve">SARL DPR AXXAM — Récapitulatif mensuel de la prime — par équipe</t>
  </si>
  <si>
    <t xml:space="preserve">Choisir l'équipe en B3 (liste déroulante).</t>
  </si>
  <si>
    <t xml:space="preserve">Équipe :</t>
  </si>
  <si>
    <t xml:space="preserve">Jour</t>
  </si>
  <si>
    <t xml:space="preserve">Au-delà de l'objectif</t>
  </si>
  <si>
    <t xml:space="preserve">Casse (%)</t>
  </si>
  <si>
    <t xml:space="preserve">Qualité (O/N)</t>
  </si>
  <si>
    <t xml:space="preserve">Prime équipe</t>
  </si>
  <si>
    <t xml:space="preserve">Présents</t>
  </si>
  <si>
    <t xml:space="preserve">Part / pers.</t>
  </si>
  <si>
    <t xml:space="preserve">Visa</t>
  </si>
  <si>
    <t xml:space="preserve">Jours travaillés :</t>
  </si>
  <si>
    <t xml:space="preserve">Jours primés :</t>
  </si>
  <si>
    <t xml:space="preserve">Prime totale :</t>
  </si>
  <si>
    <t xml:space="preserve">Chef de production — nom et signature :</t>
  </si>
  <si>
    <t xml:space="preserve">Direction — nom et signature :</t>
  </si>
  <si>
    <t xml:space="preserve">SARL DPR AXXAM — État mensuel des primes — par employé</t>
  </si>
  <si>
    <t xml:space="preserve">À remettre à la paie. Se remplit depuis « Employés » et « Présences ».</t>
  </si>
  <si>
    <t xml:space="preserve">À verser avec la paie du mois de :</t>
  </si>
  <si>
    <t xml:space="preserve">Poste</t>
  </si>
  <si>
    <t xml:space="preserve">Jours de présence</t>
  </si>
  <si>
    <t xml:space="preserve">Jours primés</t>
  </si>
  <si>
    <t xml:space="preserve">Total prime</t>
  </si>
  <si>
    <t xml:space="preserve">Émargement</t>
  </si>
  <si>
    <t xml:space="preserve">Total général</t>
  </si>
  <si>
    <t xml:space="preserve">Contrôle : total des parts saisies dans « Présences » pour le mois</t>
  </si>
  <si>
    <t xml:space="preserve">(doit être égal au total général ; sinon un nom de « Présences » n'est pas dans « Employés »)</t>
  </si>
  <si>
    <t xml:space="preserve">Chef de production :</t>
  </si>
  <si>
    <t xml:space="preserve">Comptabilité / Paie :</t>
  </si>
  <si>
    <t xml:space="preserve">Le Gérant 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</si>
</sst>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m\ yyyy"/>
    <numFmt numFmtId="166" formatCode="#,##0;\-#,##0;\-"/>
    <numFmt numFmtId="167" formatCode="0.0"/>
    <numFmt numFmtId="168" formatCode="#,##0&quot; DA&quot;;\-#,##0&quot; DA&quot;;\-"/>
    <numFmt numFmtId="169" formatCode="0&quot; wagons&quot;"/>
    <numFmt numFmtId="170" formatCode="0.0%"/>
    <numFmt numFmtId="171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2E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6D5"/>
      </patternFill>
    </fill>
    <fill>
      <patternFill patternType="solid">
        <fgColor rgb="FF8B2E16"/>
        <bgColor rgb="FF993366"/>
      </patternFill>
    </fill>
    <fill>
      <patternFill patternType="solid">
        <fgColor rgb="FFFFF6D5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5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B2E1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Paramètres!B4</f>
        <v>46296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6" t="str">
        <f aca="false">IF(Paramètres!A11="","",Paramètres!A11)</f>
        <v>Équipe A</v>
      </c>
      <c r="B6" s="7" t="n">
        <f aca="false">IF(A6="","",COUNTIFS(Postes!$B$5:$B$124,A6,Postes!$A$5:$A$124,"&gt;="&amp;Paramètres!$B$4,Postes!$A$5:$A$124,"&lt;"&amp;Paramètres!$B$17))</f>
        <v>1</v>
      </c>
      <c r="C6" s="7" t="n">
        <f aca="false">IF(A6="","",COUNTIFS(Postes!$B$5:$B$124,A6,Postes!$A$5:$A$124,"&gt;="&amp;Paramètres!$B$4,Postes!$A$5:$A$124,"&lt;"&amp;Paramètres!$B$17,Postes!$N$5:$N$124,"&gt;0"))</f>
        <v>1</v>
      </c>
      <c r="D6" s="7" t="n">
        <f aca="false">IF(A6="","",SUMIFS(Postes!$F$5:$F$124,Postes!$B$5:$B$124,A6,Postes!$A$5:$A$124,"&gt;="&amp;Paramètres!$B$4,Postes!$A$5:$A$124,"&lt;"&amp;Paramètres!$B$17))</f>
        <v>13</v>
      </c>
      <c r="E6" s="8" t="n">
        <f aca="false">IF(A6="","",IF(B6=0,0,D6/B6))</f>
        <v>13</v>
      </c>
      <c r="F6" s="9" t="n">
        <f aca="false">IF(A6="","",SUMIFS(Postes!$N$5:$N$124,Postes!$B$5:$B$124,A6,Postes!$A$5:$A$124,"&gt;="&amp;Paramètres!$B$4,Postes!$A$5:$A$124,"&lt;"&amp;Paramètres!$B$17))</f>
        <v>4500</v>
      </c>
    </row>
    <row r="7" customFormat="false" ht="15" hidden="false" customHeight="false" outlineLevel="0" collapsed="false">
      <c r="A7" s="6" t="str">
        <f aca="false">IF(Paramètres!A12="","",Paramètres!A12)</f>
        <v>Équipe B</v>
      </c>
      <c r="B7" s="7" t="n">
        <f aca="false">IF(A7="","",COUNTIFS(Postes!$B$5:$B$124,A7,Postes!$A$5:$A$124,"&gt;="&amp;Paramètres!$B$4,Postes!$A$5:$A$124,"&lt;"&amp;Paramètres!$B$17))</f>
        <v>1</v>
      </c>
      <c r="C7" s="7" t="n">
        <f aca="false">IF(A7="","",COUNTIFS(Postes!$B$5:$B$124,A7,Postes!$A$5:$A$124,"&gt;="&amp;Paramètres!$B$4,Postes!$A$5:$A$124,"&lt;"&amp;Paramètres!$B$17,Postes!$N$5:$N$124,"&gt;0"))</f>
        <v>0</v>
      </c>
      <c r="D7" s="7" t="n">
        <f aca="false">IF(A7="","",SUMIFS(Postes!$F$5:$F$124,Postes!$B$5:$B$124,A7,Postes!$A$5:$A$124,"&gt;="&amp;Paramètres!$B$4,Postes!$A$5:$A$124,"&lt;"&amp;Paramètres!$B$17))</f>
        <v>12</v>
      </c>
      <c r="E7" s="8" t="n">
        <f aca="false">IF(A7="","",IF(B7=0,0,D7/B7))</f>
        <v>12</v>
      </c>
      <c r="F7" s="9" t="n">
        <f aca="false">IF(A7="","",SUMIFS(Postes!$N$5:$N$124,Postes!$B$5:$B$124,A7,Postes!$A$5:$A$124,"&gt;="&amp;Paramètres!$B$4,Postes!$A$5:$A$124,"&lt;"&amp;Paramètres!$B$17))</f>
        <v>0</v>
      </c>
    </row>
    <row r="8" customFormat="false" ht="15" hidden="false" customHeight="false" outlineLevel="0" collapsed="false">
      <c r="A8" s="6" t="str">
        <f aca="false">IF(Paramètres!A13="","",Paramètres!A13)</f>
        <v>Équipe C</v>
      </c>
      <c r="B8" s="7" t="n">
        <f aca="false">IF(A8="","",COUNTIFS(Postes!$B$5:$B$124,A8,Postes!$A$5:$A$124,"&gt;="&amp;Paramètres!$B$4,Postes!$A$5:$A$124,"&lt;"&amp;Paramètres!$B$17))</f>
        <v>0</v>
      </c>
      <c r="C8" s="7" t="n">
        <f aca="false">IF(A8="","",COUNTIFS(Postes!$B$5:$B$124,A8,Postes!$A$5:$A$124,"&gt;="&amp;Paramètres!$B$4,Postes!$A$5:$A$124,"&lt;"&amp;Paramètres!$B$17,Postes!$N$5:$N$124,"&gt;0"))</f>
        <v>0</v>
      </c>
      <c r="D8" s="7" t="n">
        <f aca="false">IF(A8="","",SUMIFS(Postes!$F$5:$F$124,Postes!$B$5:$B$124,A8,Postes!$A$5:$A$124,"&gt;="&amp;Paramètres!$B$4,Postes!$A$5:$A$124,"&lt;"&amp;Paramètres!$B$17))</f>
        <v>0</v>
      </c>
      <c r="E8" s="8" t="n">
        <f aca="false">IF(A8="","",IF(B8=0,0,D8/B8))</f>
        <v>0</v>
      </c>
      <c r="F8" s="9" t="n">
        <f aca="false">IF(A8="","",SUMIFS(Postes!$N$5:$N$124,Postes!$B$5:$B$124,A8,Postes!$A$5:$A$124,"&gt;="&amp;Paramètres!$B$4,Postes!$A$5:$A$124,"&lt;"&amp;Paramètres!$B$17))</f>
        <v>0</v>
      </c>
    </row>
    <row r="9" customFormat="false" ht="15" hidden="false" customHeight="false" outlineLevel="0" collapsed="false">
      <c r="A9" s="6" t="str">
        <f aca="false">IF(Paramètres!A14="","",Paramètres!A14)</f>
        <v/>
      </c>
      <c r="B9" s="7" t="str">
        <f aca="false">IF(A9="","",COUNTIFS(Postes!$B$5:$B$124,A9,Postes!$A$5:$A$124,"&gt;="&amp;Paramètres!$B$4,Postes!$A$5:$A$124,"&lt;"&amp;Paramètres!$B$17))</f>
        <v/>
      </c>
      <c r="C9" s="7" t="str">
        <f aca="false">IF(A9="","",COUNTIFS(Postes!$B$5:$B$124,A9,Postes!$A$5:$A$124,"&gt;="&amp;Paramètres!$B$4,Postes!$A$5:$A$124,"&lt;"&amp;Paramètres!$B$17,Postes!$N$5:$N$124,"&gt;0"))</f>
        <v/>
      </c>
      <c r="D9" s="7" t="str">
        <f aca="false">IF(A9="","",SUMIFS(Postes!$F$5:$F$124,Postes!$B$5:$B$124,A9,Postes!$A$5:$A$124,"&gt;="&amp;Paramètres!$B$4,Postes!$A$5:$A$124,"&lt;"&amp;Paramètres!$B$17))</f>
        <v/>
      </c>
      <c r="E9" s="8" t="str">
        <f aca="false">IF(A9="","",IF(B9=0,0,D9/B9))</f>
        <v/>
      </c>
      <c r="F9" s="9" t="str">
        <f aca="false">IF(A9="","",SUMIFS(Postes!$N$5:$N$124,Postes!$B$5:$B$124,A9,Postes!$A$5:$A$124,"&gt;="&amp;Paramètres!$B$4,Postes!$A$5:$A$124,"&lt;"&amp;Paramètres!$B$17))</f>
        <v/>
      </c>
    </row>
    <row r="10" customFormat="false" ht="15" hidden="false" customHeight="false" outlineLevel="0" collapsed="false">
      <c r="A10" s="6" t="str">
        <f aca="false">IF(Paramètres!A15="","",Paramètres!A15)</f>
        <v/>
      </c>
      <c r="B10" s="7" t="str">
        <f aca="false">IF(A10="","",COUNTIFS(Postes!$B$5:$B$124,A10,Postes!$A$5:$A$124,"&gt;="&amp;Paramètres!$B$4,Postes!$A$5:$A$124,"&lt;"&amp;Paramètres!$B$17))</f>
        <v/>
      </c>
      <c r="C10" s="7" t="str">
        <f aca="false">IF(A10="","",COUNTIFS(Postes!$B$5:$B$124,A10,Postes!$A$5:$A$124,"&gt;="&amp;Paramètres!$B$4,Postes!$A$5:$A$124,"&lt;"&amp;Paramètres!$B$17,Postes!$N$5:$N$124,"&gt;0"))</f>
        <v/>
      </c>
      <c r="D10" s="7" t="str">
        <f aca="false">IF(A10="","",SUMIFS(Postes!$F$5:$F$124,Postes!$B$5:$B$124,A10,Postes!$A$5:$A$124,"&gt;="&amp;Paramètres!$B$4,Postes!$A$5:$A$124,"&lt;"&amp;Paramètres!$B$17))</f>
        <v/>
      </c>
      <c r="E10" s="8" t="str">
        <f aca="false">IF(A10="","",IF(B10=0,0,D10/B10))</f>
        <v/>
      </c>
      <c r="F10" s="9" t="str">
        <f aca="false">IF(A10="","",SUMIFS(Postes!$N$5:$N$124,Postes!$B$5:$B$124,A10,Postes!$A$5:$A$124,"&gt;="&amp;Paramètres!$B$4,Postes!$A$5:$A$124,"&lt;"&amp;Paramètres!$B$17))</f>
        <v/>
      </c>
    </row>
    <row r="11" customFormat="false" ht="15" hidden="false" customHeight="false" outlineLevel="0" collapsed="false">
      <c r="A11" s="10" t="s">
        <v>9</v>
      </c>
      <c r="B11" s="11" t="n">
        <f aca="false">SUM(B6:B10)</f>
        <v>2</v>
      </c>
      <c r="C11" s="11" t="n">
        <f aca="false">SUM(C6:C10)</f>
        <v>1</v>
      </c>
      <c r="D11" s="11" t="n">
        <f aca="false">SUM(D6:D10)</f>
        <v>25</v>
      </c>
      <c r="E11" s="12" t="n">
        <f aca="false">IF(B11=0,0,D11/B11)</f>
        <v>12.5</v>
      </c>
      <c r="F11" s="13" t="n">
        <f aca="false">SUM(F6:F10)</f>
        <v>4500</v>
      </c>
    </row>
    <row r="13" customFormat="false" ht="15" hidden="false" customHeight="false" outlineLevel="0" collapsed="false">
      <c r="A13" s="0" t="s">
        <v>10</v>
      </c>
      <c r="B13" s="14" t="n">
        <f aca="false">Paramètres!B5</f>
        <v>10</v>
      </c>
    </row>
    <row r="14" customFormat="false" ht="15" hidden="false" customHeight="false" outlineLevel="0" collapsed="false">
      <c r="A14" s="0" t="s">
        <v>11</v>
      </c>
      <c r="B14" s="9" t="n">
        <f aca="false">Paramètres!B6</f>
        <v>1500</v>
      </c>
    </row>
    <row r="15" customFormat="false" ht="15" hidden="false" customHeight="false" outlineLevel="0" collapsed="false">
      <c r="A15" s="0" t="s">
        <v>12</v>
      </c>
      <c r="B15" s="15" t="n">
        <f aca="false">Paramètres!B7</f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10" t="s">
        <v>15</v>
      </c>
      <c r="B4" s="16" t="n">
        <v>46296</v>
      </c>
      <c r="C4" s="2" t="s">
        <v>16</v>
      </c>
    </row>
    <row r="5" customFormat="false" ht="15" hidden="false" customHeight="false" outlineLevel="0" collapsed="false">
      <c r="A5" s="10" t="s">
        <v>17</v>
      </c>
      <c r="B5" s="17" t="n">
        <v>10</v>
      </c>
      <c r="C5" s="2" t="s">
        <v>18</v>
      </c>
    </row>
    <row r="6" customFormat="false" ht="15" hidden="false" customHeight="false" outlineLevel="0" collapsed="false">
      <c r="A6" s="10" t="s">
        <v>19</v>
      </c>
      <c r="B6" s="18" t="n">
        <v>1500</v>
      </c>
      <c r="C6" s="2" t="s">
        <v>18</v>
      </c>
    </row>
    <row r="7" customFormat="false" ht="15" hidden="false" customHeight="false" outlineLevel="0" collapsed="false">
      <c r="A7" s="10" t="s">
        <v>20</v>
      </c>
      <c r="B7" s="19" t="n">
        <v>0.05</v>
      </c>
      <c r="C7" s="2" t="s">
        <v>21</v>
      </c>
    </row>
    <row r="8" customFormat="false" ht="15" hidden="false" customHeight="false" outlineLevel="0" collapsed="false">
      <c r="A8" s="10" t="s">
        <v>22</v>
      </c>
      <c r="B8" s="20"/>
      <c r="C8" s="2" t="s">
        <v>23</v>
      </c>
    </row>
    <row r="10" customFormat="false" ht="15" hidden="false" customHeight="false" outlineLevel="0" collapsed="false">
      <c r="A10" s="10" t="s">
        <v>24</v>
      </c>
    </row>
    <row r="11" customFormat="false" ht="15" hidden="false" customHeight="false" outlineLevel="0" collapsed="false">
      <c r="A11" s="20" t="s">
        <v>25</v>
      </c>
      <c r="C11" s="2" t="s">
        <v>26</v>
      </c>
    </row>
    <row r="12" customFormat="false" ht="15" hidden="false" customHeight="false" outlineLevel="0" collapsed="false">
      <c r="A12" s="20" t="s">
        <v>27</v>
      </c>
    </row>
    <row r="13" customFormat="false" ht="15" hidden="false" customHeight="false" outlineLevel="0" collapsed="false">
      <c r="A13" s="20" t="s">
        <v>28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/>
    </row>
    <row r="17" customFormat="false" ht="15" hidden="false" customHeight="false" outlineLevel="0" collapsed="false">
      <c r="A17" s="10" t="s">
        <v>29</v>
      </c>
      <c r="B17" s="21" t="n">
        <f aca="false">EDATE(B4,1)</f>
        <v>46327</v>
      </c>
    </row>
    <row r="20" customFormat="false" ht="15" hidden="false" customHeight="false" outlineLevel="0" collapsed="false">
      <c r="A20" s="3" t="s">
        <v>30</v>
      </c>
    </row>
    <row r="21" customFormat="false" ht="15" hidden="false" customHeight="false" outlineLevel="0" collapsed="false">
      <c r="A21" s="22" t="s">
        <v>31</v>
      </c>
    </row>
    <row r="22" customFormat="false" ht="15" hidden="false" customHeight="false" outlineLevel="0" collapsed="false">
      <c r="A22" s="22" t="s">
        <v>32</v>
      </c>
    </row>
    <row r="23" customFormat="false" ht="15" hidden="false" customHeight="false" outlineLevel="0" collapsed="false">
      <c r="A23" s="22" t="s">
        <v>33</v>
      </c>
    </row>
    <row r="24" customFormat="false" ht="15" hidden="false" customHeight="false" outlineLevel="0" collapsed="false">
      <c r="A24" s="22" t="s">
        <v>34</v>
      </c>
    </row>
    <row r="25" customFormat="false" ht="15" hidden="false" customHeight="false" outlineLevel="0" collapsed="false">
      <c r="A25" s="22" t="s">
        <v>35</v>
      </c>
    </row>
    <row r="26" customFormat="false" ht="15" hidden="false" customHeight="false" outlineLevel="0" collapsed="false">
      <c r="A26" s="22" t="s">
        <v>36</v>
      </c>
    </row>
    <row r="27" customFormat="false" ht="15" hidden="false" customHeight="false" outlineLevel="0" collapsed="false">
      <c r="A27" s="2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1.5" hidden="false" customHeight="true" outlineLevel="0" collapsed="false">
      <c r="A4" s="5" t="s">
        <v>40</v>
      </c>
      <c r="B4" s="5" t="s">
        <v>41</v>
      </c>
      <c r="C4" s="5" t="s">
        <v>42</v>
      </c>
      <c r="D4" s="5" t="s">
        <v>43</v>
      </c>
    </row>
    <row r="5" customFormat="false" ht="15" hidden="false" customHeight="false" outlineLevel="0" collapsed="false">
      <c r="A5" s="10" t="n">
        <v>1</v>
      </c>
      <c r="B5" s="20" t="s">
        <v>44</v>
      </c>
      <c r="C5" s="20" t="s">
        <v>45</v>
      </c>
      <c r="D5" s="20" t="s">
        <v>25</v>
      </c>
      <c r="F5" s="2" t="s">
        <v>46</v>
      </c>
    </row>
    <row r="6" customFormat="false" ht="15" hidden="false" customHeight="false" outlineLevel="0" collapsed="false">
      <c r="A6" s="10" t="n">
        <v>2</v>
      </c>
      <c r="B6" s="20" t="s">
        <v>47</v>
      </c>
      <c r="C6" s="20" t="s">
        <v>45</v>
      </c>
      <c r="D6" s="20" t="s">
        <v>25</v>
      </c>
    </row>
    <row r="7" customFormat="false" ht="15" hidden="false" customHeight="false" outlineLevel="0" collapsed="false">
      <c r="A7" s="10" t="n">
        <v>3</v>
      </c>
      <c r="B7" s="20" t="s">
        <v>48</v>
      </c>
      <c r="C7" s="20" t="s">
        <v>49</v>
      </c>
      <c r="D7" s="20" t="s">
        <v>25</v>
      </c>
    </row>
    <row r="8" customFormat="false" ht="15" hidden="false" customHeight="false" outlineLevel="0" collapsed="false">
      <c r="A8" s="10" t="n">
        <v>4</v>
      </c>
      <c r="B8" s="20"/>
      <c r="C8" s="20"/>
      <c r="D8" s="20"/>
    </row>
    <row r="9" customFormat="false" ht="15" hidden="false" customHeight="false" outlineLevel="0" collapsed="false">
      <c r="A9" s="10" t="n">
        <v>5</v>
      </c>
      <c r="B9" s="20"/>
      <c r="C9" s="20"/>
      <c r="D9" s="20"/>
    </row>
    <row r="10" customFormat="false" ht="15" hidden="false" customHeight="false" outlineLevel="0" collapsed="false">
      <c r="A10" s="10" t="n">
        <v>6</v>
      </c>
      <c r="B10" s="20"/>
      <c r="C10" s="20"/>
      <c r="D10" s="20"/>
    </row>
    <row r="11" customFormat="false" ht="15" hidden="false" customHeight="false" outlineLevel="0" collapsed="false">
      <c r="A11" s="10" t="n">
        <v>7</v>
      </c>
      <c r="B11" s="20"/>
      <c r="C11" s="20"/>
      <c r="D11" s="20"/>
    </row>
    <row r="12" customFormat="false" ht="15" hidden="false" customHeight="false" outlineLevel="0" collapsed="false">
      <c r="A12" s="10" t="n">
        <v>8</v>
      </c>
      <c r="B12" s="20"/>
      <c r="C12" s="20"/>
      <c r="D12" s="20"/>
    </row>
    <row r="13" customFormat="false" ht="15" hidden="false" customHeight="false" outlineLevel="0" collapsed="false">
      <c r="A13" s="10" t="n">
        <v>9</v>
      </c>
      <c r="B13" s="20"/>
      <c r="C13" s="20"/>
      <c r="D13" s="20"/>
    </row>
    <row r="14" customFormat="false" ht="15" hidden="false" customHeight="false" outlineLevel="0" collapsed="false">
      <c r="A14" s="10" t="n">
        <v>10</v>
      </c>
      <c r="B14" s="20"/>
      <c r="C14" s="20"/>
      <c r="D14" s="20"/>
    </row>
    <row r="15" customFormat="false" ht="15" hidden="false" customHeight="false" outlineLevel="0" collapsed="false">
      <c r="A15" s="10" t="n">
        <v>11</v>
      </c>
      <c r="B15" s="20"/>
      <c r="C15" s="20"/>
      <c r="D15" s="20"/>
    </row>
    <row r="16" customFormat="false" ht="15" hidden="false" customHeight="false" outlineLevel="0" collapsed="false">
      <c r="A16" s="10" t="n">
        <v>12</v>
      </c>
      <c r="B16" s="20"/>
      <c r="C16" s="20"/>
      <c r="D16" s="20"/>
    </row>
    <row r="17" customFormat="false" ht="15" hidden="false" customHeight="false" outlineLevel="0" collapsed="false">
      <c r="A17" s="10" t="n">
        <v>13</v>
      </c>
      <c r="B17" s="20"/>
      <c r="C17" s="20"/>
      <c r="D17" s="20"/>
    </row>
    <row r="18" customFormat="false" ht="15" hidden="false" customHeight="false" outlineLevel="0" collapsed="false">
      <c r="A18" s="10" t="n">
        <v>14</v>
      </c>
      <c r="B18" s="20"/>
      <c r="C18" s="20"/>
      <c r="D18" s="20"/>
    </row>
    <row r="19" customFormat="false" ht="15" hidden="false" customHeight="false" outlineLevel="0" collapsed="false">
      <c r="A19" s="10" t="n">
        <v>15</v>
      </c>
      <c r="B19" s="20"/>
      <c r="C19" s="20"/>
      <c r="D19" s="20"/>
    </row>
    <row r="20" customFormat="false" ht="15" hidden="false" customHeight="false" outlineLevel="0" collapsed="false">
      <c r="A20" s="10" t="n">
        <v>16</v>
      </c>
      <c r="B20" s="20"/>
      <c r="C20" s="20"/>
      <c r="D20" s="20"/>
    </row>
    <row r="21" customFormat="false" ht="15" hidden="false" customHeight="false" outlineLevel="0" collapsed="false">
      <c r="A21" s="10" t="n">
        <v>17</v>
      </c>
      <c r="B21" s="20"/>
      <c r="C21" s="20"/>
      <c r="D21" s="20"/>
    </row>
    <row r="22" customFormat="false" ht="15" hidden="false" customHeight="false" outlineLevel="0" collapsed="false">
      <c r="A22" s="10" t="n">
        <v>18</v>
      </c>
      <c r="B22" s="20"/>
      <c r="C22" s="20"/>
      <c r="D22" s="20"/>
    </row>
    <row r="23" customFormat="false" ht="15" hidden="false" customHeight="false" outlineLevel="0" collapsed="false">
      <c r="A23" s="10" t="n">
        <v>19</v>
      </c>
      <c r="B23" s="20"/>
      <c r="C23" s="20"/>
      <c r="D23" s="20"/>
    </row>
    <row r="24" customFormat="false" ht="15" hidden="false" customHeight="false" outlineLevel="0" collapsed="false">
      <c r="A24" s="10" t="n">
        <v>20</v>
      </c>
      <c r="B24" s="20"/>
      <c r="C24" s="20"/>
      <c r="D24" s="20"/>
    </row>
    <row r="25" customFormat="false" ht="15" hidden="false" customHeight="false" outlineLevel="0" collapsed="false">
      <c r="A25" s="10" t="n">
        <v>21</v>
      </c>
      <c r="B25" s="20"/>
      <c r="C25" s="20"/>
      <c r="D25" s="20"/>
    </row>
    <row r="26" customFormat="false" ht="15" hidden="false" customHeight="false" outlineLevel="0" collapsed="false">
      <c r="A26" s="10" t="n">
        <v>22</v>
      </c>
      <c r="B26" s="20"/>
      <c r="C26" s="20"/>
      <c r="D26" s="20"/>
    </row>
    <row r="27" customFormat="false" ht="15" hidden="false" customHeight="false" outlineLevel="0" collapsed="false">
      <c r="A27" s="10" t="n">
        <v>23</v>
      </c>
      <c r="B27" s="20"/>
      <c r="C27" s="20"/>
      <c r="D27" s="20"/>
    </row>
    <row r="28" customFormat="false" ht="15" hidden="false" customHeight="false" outlineLevel="0" collapsed="false">
      <c r="A28" s="10" t="n">
        <v>24</v>
      </c>
      <c r="B28" s="20"/>
      <c r="C28" s="20"/>
      <c r="D28" s="20"/>
    </row>
    <row r="29" customFormat="false" ht="15" hidden="false" customHeight="false" outlineLevel="0" collapsed="false">
      <c r="A29" s="10" t="n">
        <v>25</v>
      </c>
      <c r="B29" s="20"/>
      <c r="C29" s="20"/>
      <c r="D29" s="20"/>
    </row>
    <row r="30" customFormat="false" ht="15" hidden="false" customHeight="false" outlineLevel="0" collapsed="false">
      <c r="A30" s="10" t="n">
        <v>26</v>
      </c>
      <c r="B30" s="20"/>
      <c r="C30" s="20"/>
      <c r="D30" s="20"/>
    </row>
    <row r="31" customFormat="false" ht="15" hidden="false" customHeight="false" outlineLevel="0" collapsed="false">
      <c r="A31" s="10" t="n">
        <v>27</v>
      </c>
      <c r="B31" s="20"/>
      <c r="C31" s="20"/>
      <c r="D31" s="20"/>
    </row>
    <row r="32" customFormat="false" ht="15" hidden="false" customHeight="false" outlineLevel="0" collapsed="false">
      <c r="A32" s="10" t="n">
        <v>28</v>
      </c>
      <c r="B32" s="20"/>
      <c r="C32" s="20"/>
      <c r="D32" s="20"/>
    </row>
    <row r="33" customFormat="false" ht="15" hidden="false" customHeight="false" outlineLevel="0" collapsed="false">
      <c r="A33" s="10" t="n">
        <v>29</v>
      </c>
      <c r="B33" s="20"/>
      <c r="C33" s="20"/>
      <c r="D33" s="20"/>
    </row>
    <row r="34" customFormat="false" ht="15" hidden="false" customHeight="false" outlineLevel="0" collapsed="false">
      <c r="A34" s="10" t="n">
        <v>30</v>
      </c>
      <c r="B34" s="20"/>
      <c r="C34" s="20"/>
      <c r="D34" s="20"/>
    </row>
    <row r="35" customFormat="false" ht="15" hidden="false" customHeight="false" outlineLevel="0" collapsed="false">
      <c r="A35" s="10" t="n">
        <v>31</v>
      </c>
      <c r="B35" s="20"/>
      <c r="C35" s="20"/>
      <c r="D35" s="20"/>
    </row>
    <row r="36" customFormat="false" ht="15" hidden="false" customHeight="false" outlineLevel="0" collapsed="false">
      <c r="A36" s="10" t="n">
        <v>32</v>
      </c>
      <c r="B36" s="20"/>
      <c r="C36" s="20"/>
      <c r="D36" s="20"/>
    </row>
    <row r="37" customFormat="false" ht="15" hidden="false" customHeight="false" outlineLevel="0" collapsed="false">
      <c r="A37" s="10" t="n">
        <v>33</v>
      </c>
      <c r="B37" s="20"/>
      <c r="C37" s="20"/>
      <c r="D37" s="20"/>
    </row>
    <row r="38" customFormat="false" ht="15" hidden="false" customHeight="false" outlineLevel="0" collapsed="false">
      <c r="A38" s="10" t="n">
        <v>34</v>
      </c>
      <c r="B38" s="20"/>
      <c r="C38" s="20"/>
      <c r="D38" s="20"/>
    </row>
    <row r="39" customFormat="false" ht="15" hidden="false" customHeight="false" outlineLevel="0" collapsed="false">
      <c r="A39" s="10" t="n">
        <v>35</v>
      </c>
      <c r="B39" s="20"/>
      <c r="C39" s="20"/>
      <c r="D39" s="20"/>
    </row>
    <row r="40" customFormat="false" ht="15" hidden="false" customHeight="false" outlineLevel="0" collapsed="false">
      <c r="A40" s="10" t="n">
        <v>36</v>
      </c>
      <c r="B40" s="20"/>
      <c r="C40" s="20"/>
      <c r="D40" s="20"/>
    </row>
    <row r="41" customFormat="false" ht="15" hidden="false" customHeight="false" outlineLevel="0" collapsed="false">
      <c r="A41" s="10" t="n">
        <v>37</v>
      </c>
      <c r="B41" s="20"/>
      <c r="C41" s="20"/>
      <c r="D41" s="20"/>
    </row>
    <row r="42" customFormat="false" ht="15" hidden="false" customHeight="false" outlineLevel="0" collapsed="false">
      <c r="A42" s="10" t="n">
        <v>38</v>
      </c>
      <c r="B42" s="20"/>
      <c r="C42" s="20"/>
      <c r="D42" s="20"/>
    </row>
    <row r="43" customFormat="false" ht="15" hidden="false" customHeight="false" outlineLevel="0" collapsed="false">
      <c r="A43" s="10" t="n">
        <v>39</v>
      </c>
      <c r="B43" s="20"/>
      <c r="C43" s="20"/>
      <c r="D43" s="20"/>
    </row>
    <row r="44" customFormat="false" ht="15" hidden="false" customHeight="false" outlineLevel="0" collapsed="false">
      <c r="A44" s="10" t="n">
        <v>40</v>
      </c>
      <c r="B44" s="20"/>
      <c r="C44" s="20"/>
      <c r="D44" s="20"/>
    </row>
    <row r="45" customFormat="false" ht="15" hidden="false" customHeight="false" outlineLevel="0" collapsed="false">
      <c r="A45" s="10" t="n">
        <v>41</v>
      </c>
      <c r="B45" s="20"/>
      <c r="C45" s="20"/>
      <c r="D45" s="20"/>
    </row>
    <row r="46" customFormat="false" ht="15" hidden="false" customHeight="false" outlineLevel="0" collapsed="false">
      <c r="A46" s="10" t="n">
        <v>42</v>
      </c>
      <c r="B46" s="20"/>
      <c r="C46" s="20"/>
      <c r="D46" s="20"/>
    </row>
    <row r="47" customFormat="false" ht="15" hidden="false" customHeight="false" outlineLevel="0" collapsed="false">
      <c r="A47" s="10" t="n">
        <v>43</v>
      </c>
      <c r="B47" s="20"/>
      <c r="C47" s="20"/>
      <c r="D47" s="20"/>
    </row>
    <row r="48" customFormat="false" ht="15" hidden="false" customHeight="false" outlineLevel="0" collapsed="false">
      <c r="A48" s="10" t="n">
        <v>44</v>
      </c>
      <c r="B48" s="20"/>
      <c r="C48" s="20"/>
      <c r="D48" s="20"/>
    </row>
    <row r="49" customFormat="false" ht="15" hidden="false" customHeight="false" outlineLevel="0" collapsed="false">
      <c r="A49" s="10" t="n">
        <v>45</v>
      </c>
      <c r="B49" s="20"/>
      <c r="C49" s="20"/>
      <c r="D49" s="20"/>
    </row>
    <row r="50" customFormat="false" ht="15" hidden="false" customHeight="false" outlineLevel="0" collapsed="false">
      <c r="A50" s="10" t="n">
        <v>46</v>
      </c>
      <c r="B50" s="20"/>
      <c r="C50" s="20"/>
      <c r="D50" s="20"/>
    </row>
    <row r="51" customFormat="false" ht="15" hidden="false" customHeight="false" outlineLevel="0" collapsed="false">
      <c r="A51" s="10" t="n">
        <v>47</v>
      </c>
      <c r="B51" s="20"/>
      <c r="C51" s="20"/>
      <c r="D51" s="20"/>
    </row>
    <row r="52" customFormat="false" ht="15" hidden="false" customHeight="false" outlineLevel="0" collapsed="false">
      <c r="A52" s="10" t="n">
        <v>48</v>
      </c>
      <c r="B52" s="20"/>
      <c r="C52" s="20"/>
      <c r="D52" s="20"/>
    </row>
    <row r="53" customFormat="false" ht="15" hidden="false" customHeight="false" outlineLevel="0" collapsed="false">
      <c r="A53" s="10" t="n">
        <v>49</v>
      </c>
      <c r="B53" s="20"/>
      <c r="C53" s="20"/>
      <c r="D53" s="20"/>
    </row>
    <row r="54" customFormat="false" ht="15" hidden="false" customHeight="false" outlineLevel="0" collapsed="false">
      <c r="A54" s="10" t="n">
        <v>50</v>
      </c>
      <c r="B54" s="20"/>
      <c r="C54" s="20"/>
      <c r="D54" s="20"/>
    </row>
    <row r="55" customFormat="false" ht="15" hidden="false" customHeight="false" outlineLevel="0" collapsed="false">
      <c r="A55" s="10" t="n">
        <v>51</v>
      </c>
      <c r="B55" s="20"/>
      <c r="C55" s="20"/>
      <c r="D55" s="20"/>
    </row>
    <row r="56" customFormat="false" ht="15" hidden="false" customHeight="false" outlineLevel="0" collapsed="false">
      <c r="A56" s="10" t="n">
        <v>52</v>
      </c>
      <c r="B56" s="20"/>
      <c r="C56" s="20"/>
      <c r="D56" s="20"/>
    </row>
    <row r="57" customFormat="false" ht="15" hidden="false" customHeight="false" outlineLevel="0" collapsed="false">
      <c r="A57" s="10" t="n">
        <v>53</v>
      </c>
      <c r="B57" s="20"/>
      <c r="C57" s="20"/>
      <c r="D57" s="20"/>
    </row>
    <row r="58" customFormat="false" ht="15" hidden="false" customHeight="false" outlineLevel="0" collapsed="false">
      <c r="A58" s="10" t="n">
        <v>54</v>
      </c>
      <c r="B58" s="20"/>
      <c r="C58" s="20"/>
      <c r="D58" s="20"/>
    </row>
    <row r="59" customFormat="false" ht="15" hidden="false" customHeight="false" outlineLevel="0" collapsed="false">
      <c r="A59" s="10" t="n">
        <v>55</v>
      </c>
      <c r="B59" s="20"/>
      <c r="C59" s="20"/>
      <c r="D59" s="20"/>
    </row>
    <row r="60" customFormat="false" ht="15" hidden="false" customHeight="false" outlineLevel="0" collapsed="false">
      <c r="A60" s="10" t="n">
        <v>56</v>
      </c>
      <c r="B60" s="20"/>
      <c r="C60" s="20"/>
      <c r="D60" s="20"/>
    </row>
    <row r="61" customFormat="false" ht="15" hidden="false" customHeight="false" outlineLevel="0" collapsed="false">
      <c r="A61" s="10" t="n">
        <v>57</v>
      </c>
      <c r="B61" s="20"/>
      <c r="C61" s="20"/>
      <c r="D61" s="20"/>
    </row>
    <row r="62" customFormat="false" ht="15" hidden="false" customHeight="false" outlineLevel="0" collapsed="false">
      <c r="A62" s="10" t="n">
        <v>58</v>
      </c>
      <c r="B62" s="20"/>
      <c r="C62" s="20"/>
      <c r="D62" s="20"/>
    </row>
    <row r="63" customFormat="false" ht="15" hidden="false" customHeight="false" outlineLevel="0" collapsed="false">
      <c r="A63" s="10" t="n">
        <v>59</v>
      </c>
      <c r="B63" s="20"/>
      <c r="C63" s="20"/>
      <c r="D63" s="20"/>
    </row>
    <row r="64" customFormat="false" ht="15" hidden="false" customHeight="false" outlineLevel="0" collapsed="false">
      <c r="A64" s="10" t="n">
        <v>60</v>
      </c>
      <c r="B64" s="20"/>
      <c r="C64" s="20"/>
      <c r="D64" s="20"/>
    </row>
  </sheetData>
  <dataValidations count="1">
    <dataValidation allowBlank="true" errorStyle="stop" operator="between" showDropDown="false" showErrorMessage="false" showInputMessage="false" sqref="D5:D64" type="list">
      <formula1>Paramètres!$A$11:$A$15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31.5" hidden="false" customHeight="true" outlineLevel="0" collapsed="false">
      <c r="A4" s="5" t="s">
        <v>52</v>
      </c>
      <c r="B4" s="5" t="s">
        <v>3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65</v>
      </c>
      <c r="P4" s="5" t="s">
        <v>66</v>
      </c>
      <c r="Q4" s="5" t="s">
        <v>67</v>
      </c>
    </row>
    <row r="5" customFormat="false" ht="15" hidden="false" customHeight="false" outlineLevel="0" collapsed="false">
      <c r="A5" s="16" t="n">
        <v>46296</v>
      </c>
      <c r="B5" s="20" t="s">
        <v>25</v>
      </c>
      <c r="C5" s="20" t="s">
        <v>68</v>
      </c>
      <c r="D5" s="20" t="s">
        <v>69</v>
      </c>
      <c r="E5" s="20" t="s">
        <v>70</v>
      </c>
      <c r="F5" s="17" t="n">
        <v>13</v>
      </c>
      <c r="G5" s="23" t="n">
        <v>0.03</v>
      </c>
      <c r="H5" s="24" t="s">
        <v>71</v>
      </c>
      <c r="I5" s="24" t="s">
        <v>71</v>
      </c>
      <c r="J5" s="24" t="s">
        <v>71</v>
      </c>
      <c r="K5" s="24" t="s">
        <v>71</v>
      </c>
      <c r="L5" s="25" t="str">
        <f aca="false">IF(OR(A5="",B5=""),"",IF(AND(F5&lt;&gt;"",G5&lt;&gt;"",G5&lt;=Paramètres!$B$7,H5="O",I5="O",J5="O",K5="O"),"O","N"))</f>
        <v>O</v>
      </c>
      <c r="M5" s="7" t="n">
        <f aca="false">IF(L5="","",MAX(0,F5-Paramètres!$B$5))</f>
        <v>3</v>
      </c>
      <c r="N5" s="9" t="n">
        <f aca="false">IF(L5="","",IF(L5="O",M5*Paramètres!$B$6,0))</f>
        <v>4500</v>
      </c>
      <c r="O5" s="7" t="n">
        <f aca="false">IF(L5="","",COUNTIFS(Présences!$A$5:$A$1204,A5,Présences!$B$5:$B$1204,B5,Présences!$D$5:$D$1204,"&lt;&gt;O"))</f>
        <v>2</v>
      </c>
      <c r="P5" s="9" t="n">
        <f aca="false">IF(L5="","",IF(O5&gt;0,ROUND(N5/O5,0),0))</f>
        <v>2250</v>
      </c>
      <c r="Q5" s="20"/>
    </row>
    <row r="6" customFormat="false" ht="15" hidden="false" customHeight="false" outlineLevel="0" collapsed="false">
      <c r="A6" s="16" t="n">
        <v>46296</v>
      </c>
      <c r="B6" s="20" t="s">
        <v>27</v>
      </c>
      <c r="C6" s="20" t="s">
        <v>72</v>
      </c>
      <c r="D6" s="20" t="s">
        <v>69</v>
      </c>
      <c r="E6" s="20" t="s">
        <v>73</v>
      </c>
      <c r="F6" s="17" t="n">
        <v>12</v>
      </c>
      <c r="G6" s="23" t="n">
        <v>0.07</v>
      </c>
      <c r="H6" s="24" t="s">
        <v>71</v>
      </c>
      <c r="I6" s="24" t="s">
        <v>71</v>
      </c>
      <c r="J6" s="24" t="s">
        <v>71</v>
      </c>
      <c r="K6" s="24" t="s">
        <v>71</v>
      </c>
      <c r="L6" s="25" t="str">
        <f aca="false">IF(OR(A6="",B6=""),"",IF(AND(F6&lt;&gt;"",G6&lt;&gt;"",G6&lt;=Paramètres!$B$7,H6="O",I6="O",J6="O",K6="O"),"O","N"))</f>
        <v>N</v>
      </c>
      <c r="M6" s="7" t="n">
        <f aca="false">IF(L6="","",MAX(0,F6-Paramètres!$B$5))</f>
        <v>2</v>
      </c>
      <c r="N6" s="9" t="n">
        <f aca="false">IF(L6="","",IF(L6="O",M6*Paramètres!$B$6,0))</f>
        <v>0</v>
      </c>
      <c r="O6" s="7" t="n">
        <f aca="false">IF(L6="","",COUNTIFS(Présences!$A$5:$A$1204,A6,Présences!$B$5:$B$1204,B6,Présences!$D$5:$D$1204,"&lt;&gt;O"))</f>
        <v>0</v>
      </c>
      <c r="P6" s="9" t="n">
        <f aca="false">IF(L6="","",IF(O6&gt;0,ROUND(N6/O6,0),0))</f>
        <v>0</v>
      </c>
      <c r="Q6" s="20"/>
    </row>
    <row r="7" customFormat="false" ht="15" hidden="false" customHeight="false" outlineLevel="0" collapsed="false">
      <c r="A7" s="16"/>
      <c r="B7" s="20"/>
      <c r="C7" s="20"/>
      <c r="D7" s="20"/>
      <c r="E7" s="20"/>
      <c r="F7" s="17"/>
      <c r="G7" s="23"/>
      <c r="H7" s="24"/>
      <c r="I7" s="24"/>
      <c r="J7" s="24"/>
      <c r="K7" s="24"/>
      <c r="L7" s="25" t="str">
        <f aca="false">IF(OR(A7="",B7=""),"",IF(AND(F7&lt;&gt;"",G7&lt;&gt;"",G7&lt;=Paramètres!$B$7,H7="O",I7="O",J7="O",K7="O"),"O","N"))</f>
        <v/>
      </c>
      <c r="M7" s="7" t="str">
        <f aca="false">IF(L7="","",MAX(0,F7-Paramètres!$B$5))</f>
        <v/>
      </c>
      <c r="N7" s="9" t="str">
        <f aca="false">IF(L7="","",IF(L7="O",M7*Paramètres!$B$6,0))</f>
        <v/>
      </c>
      <c r="O7" s="7" t="str">
        <f aca="false">IF(L7="","",COUNTIFS(Présences!$A$5:$A$1204,A7,Présences!$B$5:$B$1204,B7,Présences!$D$5:$D$1204,"&lt;&gt;O"))</f>
        <v/>
      </c>
      <c r="P7" s="9" t="str">
        <f aca="false">IF(L7="","",IF(O7&gt;0,ROUND(N7/O7,0),0))</f>
        <v/>
      </c>
      <c r="Q7" s="20"/>
    </row>
    <row r="8" customFormat="false" ht="15" hidden="false" customHeight="false" outlineLevel="0" collapsed="false">
      <c r="A8" s="16"/>
      <c r="B8" s="20"/>
      <c r="C8" s="20"/>
      <c r="D8" s="20"/>
      <c r="E8" s="20"/>
      <c r="F8" s="17"/>
      <c r="G8" s="23"/>
      <c r="H8" s="24"/>
      <c r="I8" s="24"/>
      <c r="J8" s="24"/>
      <c r="K8" s="24"/>
      <c r="L8" s="25" t="str">
        <f aca="false">IF(OR(A8="",B8=""),"",IF(AND(F8&lt;&gt;"",G8&lt;&gt;"",G8&lt;=Paramètres!$B$7,H8="O",I8="O",J8="O",K8="O"),"O","N"))</f>
        <v/>
      </c>
      <c r="M8" s="7" t="str">
        <f aca="false">IF(L8="","",MAX(0,F8-Paramètres!$B$5))</f>
        <v/>
      </c>
      <c r="N8" s="9" t="str">
        <f aca="false">IF(L8="","",IF(L8="O",M8*Paramètres!$B$6,0))</f>
        <v/>
      </c>
      <c r="O8" s="7" t="str">
        <f aca="false">IF(L8="","",COUNTIFS(Présences!$A$5:$A$1204,A8,Présences!$B$5:$B$1204,B8,Présences!$D$5:$D$1204,"&lt;&gt;O"))</f>
        <v/>
      </c>
      <c r="P8" s="9" t="str">
        <f aca="false">IF(L8="","",IF(O8&gt;0,ROUND(N8/O8,0),0))</f>
        <v/>
      </c>
      <c r="Q8" s="20"/>
    </row>
    <row r="9" customFormat="false" ht="15" hidden="false" customHeight="false" outlineLevel="0" collapsed="false">
      <c r="A9" s="16"/>
      <c r="B9" s="20"/>
      <c r="C9" s="20"/>
      <c r="D9" s="20"/>
      <c r="E9" s="20"/>
      <c r="F9" s="17"/>
      <c r="G9" s="23"/>
      <c r="H9" s="24"/>
      <c r="I9" s="24"/>
      <c r="J9" s="24"/>
      <c r="K9" s="24"/>
      <c r="L9" s="25" t="str">
        <f aca="false">IF(OR(A9="",B9=""),"",IF(AND(F9&lt;&gt;"",G9&lt;&gt;"",G9&lt;=Paramètres!$B$7,H9="O",I9="O",J9="O",K9="O"),"O","N"))</f>
        <v/>
      </c>
      <c r="M9" s="7" t="str">
        <f aca="false">IF(L9="","",MAX(0,F9-Paramètres!$B$5))</f>
        <v/>
      </c>
      <c r="N9" s="9" t="str">
        <f aca="false">IF(L9="","",IF(L9="O",M9*Paramètres!$B$6,0))</f>
        <v/>
      </c>
      <c r="O9" s="7" t="str">
        <f aca="false">IF(L9="","",COUNTIFS(Présences!$A$5:$A$1204,A9,Présences!$B$5:$B$1204,B9,Présences!$D$5:$D$1204,"&lt;&gt;O"))</f>
        <v/>
      </c>
      <c r="P9" s="9" t="str">
        <f aca="false">IF(L9="","",IF(O9&gt;0,ROUND(N9/O9,0),0))</f>
        <v/>
      </c>
      <c r="Q9" s="20"/>
    </row>
    <row r="10" customFormat="false" ht="15" hidden="false" customHeight="false" outlineLevel="0" collapsed="false">
      <c r="A10" s="16"/>
      <c r="B10" s="20"/>
      <c r="C10" s="20"/>
      <c r="D10" s="20"/>
      <c r="E10" s="20"/>
      <c r="F10" s="17"/>
      <c r="G10" s="23"/>
      <c r="H10" s="24"/>
      <c r="I10" s="24"/>
      <c r="J10" s="24"/>
      <c r="K10" s="24"/>
      <c r="L10" s="25" t="str">
        <f aca="false">IF(OR(A10="",B10=""),"",IF(AND(F10&lt;&gt;"",G10&lt;&gt;"",G10&lt;=Paramètres!$B$7,H10="O",I10="O",J10="O",K10="O"),"O","N"))</f>
        <v/>
      </c>
      <c r="M10" s="7" t="str">
        <f aca="false">IF(L10="","",MAX(0,F10-Paramètres!$B$5))</f>
        <v/>
      </c>
      <c r="N10" s="9" t="str">
        <f aca="false">IF(L10="","",IF(L10="O",M10*Paramètres!$B$6,0))</f>
        <v/>
      </c>
      <c r="O10" s="7" t="str">
        <f aca="false">IF(L10="","",COUNTIFS(Présences!$A$5:$A$1204,A10,Présences!$B$5:$B$1204,B10,Présences!$D$5:$D$1204,"&lt;&gt;O"))</f>
        <v/>
      </c>
      <c r="P10" s="9" t="str">
        <f aca="false">IF(L10="","",IF(O10&gt;0,ROUND(N10/O10,0),0))</f>
        <v/>
      </c>
      <c r="Q10" s="20"/>
    </row>
    <row r="11" customFormat="false" ht="15" hidden="false" customHeight="false" outlineLevel="0" collapsed="false">
      <c r="A11" s="16"/>
      <c r="B11" s="20"/>
      <c r="C11" s="20"/>
      <c r="D11" s="20"/>
      <c r="E11" s="20"/>
      <c r="F11" s="17"/>
      <c r="G11" s="23"/>
      <c r="H11" s="24"/>
      <c r="I11" s="24"/>
      <c r="J11" s="24"/>
      <c r="K11" s="24"/>
      <c r="L11" s="25" t="str">
        <f aca="false">IF(OR(A11="",B11=""),"",IF(AND(F11&lt;&gt;"",G11&lt;&gt;"",G11&lt;=Paramètres!$B$7,H11="O",I11="O",J11="O",K11="O"),"O","N"))</f>
        <v/>
      </c>
      <c r="M11" s="7" t="str">
        <f aca="false">IF(L11="","",MAX(0,F11-Paramètres!$B$5))</f>
        <v/>
      </c>
      <c r="N11" s="9" t="str">
        <f aca="false">IF(L11="","",IF(L11="O",M11*Paramètres!$B$6,0))</f>
        <v/>
      </c>
      <c r="O11" s="7" t="str">
        <f aca="false">IF(L11="","",COUNTIFS(Présences!$A$5:$A$1204,A11,Présences!$B$5:$B$1204,B11,Présences!$D$5:$D$1204,"&lt;&gt;O"))</f>
        <v/>
      </c>
      <c r="P11" s="9" t="str">
        <f aca="false">IF(L11="","",IF(O11&gt;0,ROUND(N11/O11,0),0))</f>
        <v/>
      </c>
      <c r="Q11" s="20"/>
    </row>
    <row r="12" customFormat="false" ht="15" hidden="false" customHeight="false" outlineLevel="0" collapsed="false">
      <c r="A12" s="16"/>
      <c r="B12" s="20"/>
      <c r="C12" s="20"/>
      <c r="D12" s="20"/>
      <c r="E12" s="20"/>
      <c r="F12" s="17"/>
      <c r="G12" s="23"/>
      <c r="H12" s="24"/>
      <c r="I12" s="24"/>
      <c r="J12" s="24"/>
      <c r="K12" s="24"/>
      <c r="L12" s="25" t="str">
        <f aca="false">IF(OR(A12="",B12=""),"",IF(AND(F12&lt;&gt;"",G12&lt;&gt;"",G12&lt;=Paramètres!$B$7,H12="O",I12="O",J12="O",K12="O"),"O","N"))</f>
        <v/>
      </c>
      <c r="M12" s="7" t="str">
        <f aca="false">IF(L12="","",MAX(0,F12-Paramètres!$B$5))</f>
        <v/>
      </c>
      <c r="N12" s="9" t="str">
        <f aca="false">IF(L12="","",IF(L12="O",M12*Paramètres!$B$6,0))</f>
        <v/>
      </c>
      <c r="O12" s="7" t="str">
        <f aca="false">IF(L12="","",COUNTIFS(Présences!$A$5:$A$1204,A12,Présences!$B$5:$B$1204,B12,Présences!$D$5:$D$1204,"&lt;&gt;O"))</f>
        <v/>
      </c>
      <c r="P12" s="9" t="str">
        <f aca="false">IF(L12="","",IF(O12&gt;0,ROUND(N12/O12,0),0))</f>
        <v/>
      </c>
      <c r="Q12" s="20"/>
    </row>
    <row r="13" customFormat="false" ht="15" hidden="false" customHeight="false" outlineLevel="0" collapsed="false">
      <c r="A13" s="16"/>
      <c r="B13" s="20"/>
      <c r="C13" s="20"/>
      <c r="D13" s="20"/>
      <c r="E13" s="20"/>
      <c r="F13" s="17"/>
      <c r="G13" s="23"/>
      <c r="H13" s="24"/>
      <c r="I13" s="24"/>
      <c r="J13" s="24"/>
      <c r="K13" s="24"/>
      <c r="L13" s="25" t="str">
        <f aca="false">IF(OR(A13="",B13=""),"",IF(AND(F13&lt;&gt;"",G13&lt;&gt;"",G13&lt;=Paramètres!$B$7,H13="O",I13="O",J13="O",K13="O"),"O","N"))</f>
        <v/>
      </c>
      <c r="M13" s="7" t="str">
        <f aca="false">IF(L13="","",MAX(0,F13-Paramètres!$B$5))</f>
        <v/>
      </c>
      <c r="N13" s="9" t="str">
        <f aca="false">IF(L13="","",IF(L13="O",M13*Paramètres!$B$6,0))</f>
        <v/>
      </c>
      <c r="O13" s="7" t="str">
        <f aca="false">IF(L13="","",COUNTIFS(Présences!$A$5:$A$1204,A13,Présences!$B$5:$B$1204,B13,Présences!$D$5:$D$1204,"&lt;&gt;O"))</f>
        <v/>
      </c>
      <c r="P13" s="9" t="str">
        <f aca="false">IF(L13="","",IF(O13&gt;0,ROUND(N13/O13,0),0))</f>
        <v/>
      </c>
      <c r="Q13" s="20"/>
    </row>
    <row r="14" customFormat="false" ht="15" hidden="false" customHeight="false" outlineLevel="0" collapsed="false">
      <c r="A14" s="16"/>
      <c r="B14" s="20"/>
      <c r="C14" s="20"/>
      <c r="D14" s="20"/>
      <c r="E14" s="20"/>
      <c r="F14" s="17"/>
      <c r="G14" s="23"/>
      <c r="H14" s="24"/>
      <c r="I14" s="24"/>
      <c r="J14" s="24"/>
      <c r="K14" s="24"/>
      <c r="L14" s="25" t="str">
        <f aca="false">IF(OR(A14="",B14=""),"",IF(AND(F14&lt;&gt;"",G14&lt;&gt;"",G14&lt;=Paramètres!$B$7,H14="O",I14="O",J14="O",K14="O"),"O","N"))</f>
        <v/>
      </c>
      <c r="M14" s="7" t="str">
        <f aca="false">IF(L14="","",MAX(0,F14-Paramètres!$B$5))</f>
        <v/>
      </c>
      <c r="N14" s="9" t="str">
        <f aca="false">IF(L14="","",IF(L14="O",M14*Paramètres!$B$6,0))</f>
        <v/>
      </c>
      <c r="O14" s="7" t="str">
        <f aca="false">IF(L14="","",COUNTIFS(Présences!$A$5:$A$1204,A14,Présences!$B$5:$B$1204,B14,Présences!$D$5:$D$1204,"&lt;&gt;O"))</f>
        <v/>
      </c>
      <c r="P14" s="9" t="str">
        <f aca="false">IF(L14="","",IF(O14&gt;0,ROUND(N14/O14,0),0))</f>
        <v/>
      </c>
      <c r="Q14" s="20"/>
    </row>
    <row r="15" customFormat="false" ht="15" hidden="false" customHeight="false" outlineLevel="0" collapsed="false">
      <c r="A15" s="16"/>
      <c r="B15" s="20"/>
      <c r="C15" s="20"/>
      <c r="D15" s="20"/>
      <c r="E15" s="20"/>
      <c r="F15" s="17"/>
      <c r="G15" s="23"/>
      <c r="H15" s="24"/>
      <c r="I15" s="24"/>
      <c r="J15" s="24"/>
      <c r="K15" s="24"/>
      <c r="L15" s="25" t="str">
        <f aca="false">IF(OR(A15="",B15=""),"",IF(AND(F15&lt;&gt;"",G15&lt;&gt;"",G15&lt;=Paramètres!$B$7,H15="O",I15="O",J15="O",K15="O"),"O","N"))</f>
        <v/>
      </c>
      <c r="M15" s="7" t="str">
        <f aca="false">IF(L15="","",MAX(0,F15-Paramètres!$B$5))</f>
        <v/>
      </c>
      <c r="N15" s="9" t="str">
        <f aca="false">IF(L15="","",IF(L15="O",M15*Paramètres!$B$6,0))</f>
        <v/>
      </c>
      <c r="O15" s="7" t="str">
        <f aca="false">IF(L15="","",COUNTIFS(Présences!$A$5:$A$1204,A15,Présences!$B$5:$B$1204,B15,Présences!$D$5:$D$1204,"&lt;&gt;O"))</f>
        <v/>
      </c>
      <c r="P15" s="9" t="str">
        <f aca="false">IF(L15="","",IF(O15&gt;0,ROUND(N15/O15,0),0))</f>
        <v/>
      </c>
      <c r="Q15" s="20"/>
    </row>
    <row r="16" customFormat="false" ht="15" hidden="false" customHeight="false" outlineLevel="0" collapsed="false">
      <c r="A16" s="16"/>
      <c r="B16" s="20"/>
      <c r="C16" s="20"/>
      <c r="D16" s="20"/>
      <c r="E16" s="20"/>
      <c r="F16" s="17"/>
      <c r="G16" s="23"/>
      <c r="H16" s="24"/>
      <c r="I16" s="24"/>
      <c r="J16" s="24"/>
      <c r="K16" s="24"/>
      <c r="L16" s="25" t="str">
        <f aca="false">IF(OR(A16="",B16=""),"",IF(AND(F16&lt;&gt;"",G16&lt;&gt;"",G16&lt;=Paramètres!$B$7,H16="O",I16="O",J16="O",K16="O"),"O","N"))</f>
        <v/>
      </c>
      <c r="M16" s="7" t="str">
        <f aca="false">IF(L16="","",MAX(0,F16-Paramètres!$B$5))</f>
        <v/>
      </c>
      <c r="N16" s="9" t="str">
        <f aca="false">IF(L16="","",IF(L16="O",M16*Paramètres!$B$6,0))</f>
        <v/>
      </c>
      <c r="O16" s="7" t="str">
        <f aca="false">IF(L16="","",COUNTIFS(Présences!$A$5:$A$1204,A16,Présences!$B$5:$B$1204,B16,Présences!$D$5:$D$1204,"&lt;&gt;O"))</f>
        <v/>
      </c>
      <c r="P16" s="9" t="str">
        <f aca="false">IF(L16="","",IF(O16&gt;0,ROUND(N16/O16,0),0))</f>
        <v/>
      </c>
      <c r="Q16" s="20"/>
    </row>
    <row r="17" customFormat="false" ht="15" hidden="false" customHeight="false" outlineLevel="0" collapsed="false">
      <c r="A17" s="16"/>
      <c r="B17" s="20"/>
      <c r="C17" s="20"/>
      <c r="D17" s="20"/>
      <c r="E17" s="20"/>
      <c r="F17" s="17"/>
      <c r="G17" s="23"/>
      <c r="H17" s="24"/>
      <c r="I17" s="24"/>
      <c r="J17" s="24"/>
      <c r="K17" s="24"/>
      <c r="L17" s="25" t="str">
        <f aca="false">IF(OR(A17="",B17=""),"",IF(AND(F17&lt;&gt;"",G17&lt;&gt;"",G17&lt;=Paramètres!$B$7,H17="O",I17="O",J17="O",K17="O"),"O","N"))</f>
        <v/>
      </c>
      <c r="M17" s="7" t="str">
        <f aca="false">IF(L17="","",MAX(0,F17-Paramètres!$B$5))</f>
        <v/>
      </c>
      <c r="N17" s="9" t="str">
        <f aca="false">IF(L17="","",IF(L17="O",M17*Paramètres!$B$6,0))</f>
        <v/>
      </c>
      <c r="O17" s="7" t="str">
        <f aca="false">IF(L17="","",COUNTIFS(Présences!$A$5:$A$1204,A17,Présences!$B$5:$B$1204,B17,Présences!$D$5:$D$1204,"&lt;&gt;O"))</f>
        <v/>
      </c>
      <c r="P17" s="9" t="str">
        <f aca="false">IF(L17="","",IF(O17&gt;0,ROUND(N17/O17,0),0))</f>
        <v/>
      </c>
      <c r="Q17" s="20"/>
    </row>
    <row r="18" customFormat="false" ht="15" hidden="false" customHeight="false" outlineLevel="0" collapsed="false">
      <c r="A18" s="16"/>
      <c r="B18" s="20"/>
      <c r="C18" s="20"/>
      <c r="D18" s="20"/>
      <c r="E18" s="20"/>
      <c r="F18" s="17"/>
      <c r="G18" s="23"/>
      <c r="H18" s="24"/>
      <c r="I18" s="24"/>
      <c r="J18" s="24"/>
      <c r="K18" s="24"/>
      <c r="L18" s="25" t="str">
        <f aca="false">IF(OR(A18="",B18=""),"",IF(AND(F18&lt;&gt;"",G18&lt;&gt;"",G18&lt;=Paramètres!$B$7,H18="O",I18="O",J18="O",K18="O"),"O","N"))</f>
        <v/>
      </c>
      <c r="M18" s="7" t="str">
        <f aca="false">IF(L18="","",MAX(0,F18-Paramètres!$B$5))</f>
        <v/>
      </c>
      <c r="N18" s="9" t="str">
        <f aca="false">IF(L18="","",IF(L18="O",M18*Paramètres!$B$6,0))</f>
        <v/>
      </c>
      <c r="O18" s="7" t="str">
        <f aca="false">IF(L18="","",COUNTIFS(Présences!$A$5:$A$1204,A18,Présences!$B$5:$B$1204,B18,Présences!$D$5:$D$1204,"&lt;&gt;O"))</f>
        <v/>
      </c>
      <c r="P18" s="9" t="str">
        <f aca="false">IF(L18="","",IF(O18&gt;0,ROUND(N18/O18,0),0))</f>
        <v/>
      </c>
      <c r="Q18" s="20"/>
    </row>
    <row r="19" customFormat="false" ht="15" hidden="false" customHeight="false" outlineLevel="0" collapsed="false">
      <c r="A19" s="16"/>
      <c r="B19" s="20"/>
      <c r="C19" s="20"/>
      <c r="D19" s="20"/>
      <c r="E19" s="20"/>
      <c r="F19" s="17"/>
      <c r="G19" s="23"/>
      <c r="H19" s="24"/>
      <c r="I19" s="24"/>
      <c r="J19" s="24"/>
      <c r="K19" s="24"/>
      <c r="L19" s="25" t="str">
        <f aca="false">IF(OR(A19="",B19=""),"",IF(AND(F19&lt;&gt;"",G19&lt;&gt;"",G19&lt;=Paramètres!$B$7,H19="O",I19="O",J19="O",K19="O"),"O","N"))</f>
        <v/>
      </c>
      <c r="M19" s="7" t="str">
        <f aca="false">IF(L19="","",MAX(0,F19-Paramètres!$B$5))</f>
        <v/>
      </c>
      <c r="N19" s="9" t="str">
        <f aca="false">IF(L19="","",IF(L19="O",M19*Paramètres!$B$6,0))</f>
        <v/>
      </c>
      <c r="O19" s="7" t="str">
        <f aca="false">IF(L19="","",COUNTIFS(Présences!$A$5:$A$1204,A19,Présences!$B$5:$B$1204,B19,Présences!$D$5:$D$1204,"&lt;&gt;O"))</f>
        <v/>
      </c>
      <c r="P19" s="9" t="str">
        <f aca="false">IF(L19="","",IF(O19&gt;0,ROUND(N19/O19,0),0))</f>
        <v/>
      </c>
      <c r="Q19" s="20"/>
    </row>
    <row r="20" customFormat="false" ht="15" hidden="false" customHeight="false" outlineLevel="0" collapsed="false">
      <c r="A20" s="16"/>
      <c r="B20" s="20"/>
      <c r="C20" s="20"/>
      <c r="D20" s="20"/>
      <c r="E20" s="20"/>
      <c r="F20" s="17"/>
      <c r="G20" s="23"/>
      <c r="H20" s="24"/>
      <c r="I20" s="24"/>
      <c r="J20" s="24"/>
      <c r="K20" s="24"/>
      <c r="L20" s="25" t="str">
        <f aca="false">IF(OR(A20="",B20=""),"",IF(AND(F20&lt;&gt;"",G20&lt;&gt;"",G20&lt;=Paramètres!$B$7,H20="O",I20="O",J20="O",K20="O"),"O","N"))</f>
        <v/>
      </c>
      <c r="M20" s="7" t="str">
        <f aca="false">IF(L20="","",MAX(0,F20-Paramètres!$B$5))</f>
        <v/>
      </c>
      <c r="N20" s="9" t="str">
        <f aca="false">IF(L20="","",IF(L20="O",M20*Paramètres!$B$6,0))</f>
        <v/>
      </c>
      <c r="O20" s="7" t="str">
        <f aca="false">IF(L20="","",COUNTIFS(Présences!$A$5:$A$1204,A20,Présences!$B$5:$B$1204,B20,Présences!$D$5:$D$1204,"&lt;&gt;O"))</f>
        <v/>
      </c>
      <c r="P20" s="9" t="str">
        <f aca="false">IF(L20="","",IF(O20&gt;0,ROUND(N20/O20,0),0))</f>
        <v/>
      </c>
      <c r="Q20" s="20"/>
    </row>
    <row r="21" customFormat="false" ht="15" hidden="false" customHeight="false" outlineLevel="0" collapsed="false">
      <c r="A21" s="16"/>
      <c r="B21" s="20"/>
      <c r="C21" s="20"/>
      <c r="D21" s="20"/>
      <c r="E21" s="20"/>
      <c r="F21" s="17"/>
      <c r="G21" s="23"/>
      <c r="H21" s="24"/>
      <c r="I21" s="24"/>
      <c r="J21" s="24"/>
      <c r="K21" s="24"/>
      <c r="L21" s="25" t="str">
        <f aca="false">IF(OR(A21="",B21=""),"",IF(AND(F21&lt;&gt;"",G21&lt;&gt;"",G21&lt;=Paramètres!$B$7,H21="O",I21="O",J21="O",K21="O"),"O","N"))</f>
        <v/>
      </c>
      <c r="M21" s="7" t="str">
        <f aca="false">IF(L21="","",MAX(0,F21-Paramètres!$B$5))</f>
        <v/>
      </c>
      <c r="N21" s="9" t="str">
        <f aca="false">IF(L21="","",IF(L21="O",M21*Paramètres!$B$6,0))</f>
        <v/>
      </c>
      <c r="O21" s="7" t="str">
        <f aca="false">IF(L21="","",COUNTIFS(Présences!$A$5:$A$1204,A21,Présences!$B$5:$B$1204,B21,Présences!$D$5:$D$1204,"&lt;&gt;O"))</f>
        <v/>
      </c>
      <c r="P21" s="9" t="str">
        <f aca="false">IF(L21="","",IF(O21&gt;0,ROUND(N21/O21,0),0))</f>
        <v/>
      </c>
      <c r="Q21" s="20"/>
    </row>
    <row r="22" customFormat="false" ht="15" hidden="false" customHeight="false" outlineLevel="0" collapsed="false">
      <c r="A22" s="16"/>
      <c r="B22" s="20"/>
      <c r="C22" s="20"/>
      <c r="D22" s="20"/>
      <c r="E22" s="20"/>
      <c r="F22" s="17"/>
      <c r="G22" s="23"/>
      <c r="H22" s="24"/>
      <c r="I22" s="24"/>
      <c r="J22" s="24"/>
      <c r="K22" s="24"/>
      <c r="L22" s="25" t="str">
        <f aca="false">IF(OR(A22="",B22=""),"",IF(AND(F22&lt;&gt;"",G22&lt;&gt;"",G22&lt;=Paramètres!$B$7,H22="O",I22="O",J22="O",K22="O"),"O","N"))</f>
        <v/>
      </c>
      <c r="M22" s="7" t="str">
        <f aca="false">IF(L22="","",MAX(0,F22-Paramètres!$B$5))</f>
        <v/>
      </c>
      <c r="N22" s="9" t="str">
        <f aca="false">IF(L22="","",IF(L22="O",M22*Paramètres!$B$6,0))</f>
        <v/>
      </c>
      <c r="O22" s="7" t="str">
        <f aca="false">IF(L22="","",COUNTIFS(Présences!$A$5:$A$1204,A22,Présences!$B$5:$B$1204,B22,Présences!$D$5:$D$1204,"&lt;&gt;O"))</f>
        <v/>
      </c>
      <c r="P22" s="9" t="str">
        <f aca="false">IF(L22="","",IF(O22&gt;0,ROUND(N22/O22,0),0))</f>
        <v/>
      </c>
      <c r="Q22" s="20"/>
    </row>
    <row r="23" customFormat="false" ht="15" hidden="false" customHeight="false" outlineLevel="0" collapsed="false">
      <c r="A23" s="16"/>
      <c r="B23" s="20"/>
      <c r="C23" s="20"/>
      <c r="D23" s="20"/>
      <c r="E23" s="20"/>
      <c r="F23" s="17"/>
      <c r="G23" s="23"/>
      <c r="H23" s="24"/>
      <c r="I23" s="24"/>
      <c r="J23" s="24"/>
      <c r="K23" s="24"/>
      <c r="L23" s="25" t="str">
        <f aca="false">IF(OR(A23="",B23=""),"",IF(AND(F23&lt;&gt;"",G23&lt;&gt;"",G23&lt;=Paramètres!$B$7,H23="O",I23="O",J23="O",K23="O"),"O","N"))</f>
        <v/>
      </c>
      <c r="M23" s="7" t="str">
        <f aca="false">IF(L23="","",MAX(0,F23-Paramètres!$B$5))</f>
        <v/>
      </c>
      <c r="N23" s="9" t="str">
        <f aca="false">IF(L23="","",IF(L23="O",M23*Paramètres!$B$6,0))</f>
        <v/>
      </c>
      <c r="O23" s="7" t="str">
        <f aca="false">IF(L23="","",COUNTIFS(Présences!$A$5:$A$1204,A23,Présences!$B$5:$B$1204,B23,Présences!$D$5:$D$1204,"&lt;&gt;O"))</f>
        <v/>
      </c>
      <c r="P23" s="9" t="str">
        <f aca="false">IF(L23="","",IF(O23&gt;0,ROUND(N23/O23,0),0))</f>
        <v/>
      </c>
      <c r="Q23" s="20"/>
    </row>
    <row r="24" customFormat="false" ht="15" hidden="false" customHeight="false" outlineLevel="0" collapsed="false">
      <c r="A24" s="16"/>
      <c r="B24" s="20"/>
      <c r="C24" s="20"/>
      <c r="D24" s="20"/>
      <c r="E24" s="20"/>
      <c r="F24" s="17"/>
      <c r="G24" s="23"/>
      <c r="H24" s="24"/>
      <c r="I24" s="24"/>
      <c r="J24" s="24"/>
      <c r="K24" s="24"/>
      <c r="L24" s="25" t="str">
        <f aca="false">IF(OR(A24="",B24=""),"",IF(AND(F24&lt;&gt;"",G24&lt;&gt;"",G24&lt;=Paramètres!$B$7,H24="O",I24="O",J24="O",K24="O"),"O","N"))</f>
        <v/>
      </c>
      <c r="M24" s="7" t="str">
        <f aca="false">IF(L24="","",MAX(0,F24-Paramètres!$B$5))</f>
        <v/>
      </c>
      <c r="N24" s="9" t="str">
        <f aca="false">IF(L24="","",IF(L24="O",M24*Paramètres!$B$6,0))</f>
        <v/>
      </c>
      <c r="O24" s="7" t="str">
        <f aca="false">IF(L24="","",COUNTIFS(Présences!$A$5:$A$1204,A24,Présences!$B$5:$B$1204,B24,Présences!$D$5:$D$1204,"&lt;&gt;O"))</f>
        <v/>
      </c>
      <c r="P24" s="9" t="str">
        <f aca="false">IF(L24="","",IF(O24&gt;0,ROUND(N24/O24,0),0))</f>
        <v/>
      </c>
      <c r="Q24" s="20"/>
    </row>
    <row r="25" customFormat="false" ht="15" hidden="false" customHeight="false" outlineLevel="0" collapsed="false">
      <c r="A25" s="16"/>
      <c r="B25" s="20"/>
      <c r="C25" s="20"/>
      <c r="D25" s="20"/>
      <c r="E25" s="20"/>
      <c r="F25" s="17"/>
      <c r="G25" s="23"/>
      <c r="H25" s="24"/>
      <c r="I25" s="24"/>
      <c r="J25" s="24"/>
      <c r="K25" s="24"/>
      <c r="L25" s="25" t="str">
        <f aca="false">IF(OR(A25="",B25=""),"",IF(AND(F25&lt;&gt;"",G25&lt;&gt;"",G25&lt;=Paramètres!$B$7,H25="O",I25="O",J25="O",K25="O"),"O","N"))</f>
        <v/>
      </c>
      <c r="M25" s="7" t="str">
        <f aca="false">IF(L25="","",MAX(0,F25-Paramètres!$B$5))</f>
        <v/>
      </c>
      <c r="N25" s="9" t="str">
        <f aca="false">IF(L25="","",IF(L25="O",M25*Paramètres!$B$6,0))</f>
        <v/>
      </c>
      <c r="O25" s="7" t="str">
        <f aca="false">IF(L25="","",COUNTIFS(Présences!$A$5:$A$1204,A25,Présences!$B$5:$B$1204,B25,Présences!$D$5:$D$1204,"&lt;&gt;O"))</f>
        <v/>
      </c>
      <c r="P25" s="9" t="str">
        <f aca="false">IF(L25="","",IF(O25&gt;0,ROUND(N25/O25,0),0))</f>
        <v/>
      </c>
      <c r="Q25" s="20"/>
    </row>
    <row r="26" customFormat="false" ht="15" hidden="false" customHeight="false" outlineLevel="0" collapsed="false">
      <c r="A26" s="16"/>
      <c r="B26" s="20"/>
      <c r="C26" s="20"/>
      <c r="D26" s="20"/>
      <c r="E26" s="20"/>
      <c r="F26" s="17"/>
      <c r="G26" s="23"/>
      <c r="H26" s="24"/>
      <c r="I26" s="24"/>
      <c r="J26" s="24"/>
      <c r="K26" s="24"/>
      <c r="L26" s="25" t="str">
        <f aca="false">IF(OR(A26="",B26=""),"",IF(AND(F26&lt;&gt;"",G26&lt;&gt;"",G26&lt;=Paramètres!$B$7,H26="O",I26="O",J26="O",K26="O"),"O","N"))</f>
        <v/>
      </c>
      <c r="M26" s="7" t="str">
        <f aca="false">IF(L26="","",MAX(0,F26-Paramètres!$B$5))</f>
        <v/>
      </c>
      <c r="N26" s="9" t="str">
        <f aca="false">IF(L26="","",IF(L26="O",M26*Paramètres!$B$6,0))</f>
        <v/>
      </c>
      <c r="O26" s="7" t="str">
        <f aca="false">IF(L26="","",COUNTIFS(Présences!$A$5:$A$1204,A26,Présences!$B$5:$B$1204,B26,Présences!$D$5:$D$1204,"&lt;&gt;O"))</f>
        <v/>
      </c>
      <c r="P26" s="9" t="str">
        <f aca="false">IF(L26="","",IF(O26&gt;0,ROUND(N26/O26,0),0))</f>
        <v/>
      </c>
      <c r="Q26" s="20"/>
    </row>
    <row r="27" customFormat="false" ht="15" hidden="false" customHeight="false" outlineLevel="0" collapsed="false">
      <c r="A27" s="16"/>
      <c r="B27" s="20"/>
      <c r="C27" s="20"/>
      <c r="D27" s="20"/>
      <c r="E27" s="20"/>
      <c r="F27" s="17"/>
      <c r="G27" s="23"/>
      <c r="H27" s="24"/>
      <c r="I27" s="24"/>
      <c r="J27" s="24"/>
      <c r="K27" s="24"/>
      <c r="L27" s="25" t="str">
        <f aca="false">IF(OR(A27="",B27=""),"",IF(AND(F27&lt;&gt;"",G27&lt;&gt;"",G27&lt;=Paramètres!$B$7,H27="O",I27="O",J27="O",K27="O"),"O","N"))</f>
        <v/>
      </c>
      <c r="M27" s="7" t="str">
        <f aca="false">IF(L27="","",MAX(0,F27-Paramètres!$B$5))</f>
        <v/>
      </c>
      <c r="N27" s="9" t="str">
        <f aca="false">IF(L27="","",IF(L27="O",M27*Paramètres!$B$6,0))</f>
        <v/>
      </c>
      <c r="O27" s="7" t="str">
        <f aca="false">IF(L27="","",COUNTIFS(Présences!$A$5:$A$1204,A27,Présences!$B$5:$B$1204,B27,Présences!$D$5:$D$1204,"&lt;&gt;O"))</f>
        <v/>
      </c>
      <c r="P27" s="9" t="str">
        <f aca="false">IF(L27="","",IF(O27&gt;0,ROUND(N27/O27,0),0))</f>
        <v/>
      </c>
      <c r="Q27" s="20"/>
    </row>
    <row r="28" customFormat="false" ht="15" hidden="false" customHeight="false" outlineLevel="0" collapsed="false">
      <c r="A28" s="16"/>
      <c r="B28" s="20"/>
      <c r="C28" s="20"/>
      <c r="D28" s="20"/>
      <c r="E28" s="20"/>
      <c r="F28" s="17"/>
      <c r="G28" s="23"/>
      <c r="H28" s="24"/>
      <c r="I28" s="24"/>
      <c r="J28" s="24"/>
      <c r="K28" s="24"/>
      <c r="L28" s="25" t="str">
        <f aca="false">IF(OR(A28="",B28=""),"",IF(AND(F28&lt;&gt;"",G28&lt;&gt;"",G28&lt;=Paramètres!$B$7,H28="O",I28="O",J28="O",K28="O"),"O","N"))</f>
        <v/>
      </c>
      <c r="M28" s="7" t="str">
        <f aca="false">IF(L28="","",MAX(0,F28-Paramètres!$B$5))</f>
        <v/>
      </c>
      <c r="N28" s="9" t="str">
        <f aca="false">IF(L28="","",IF(L28="O",M28*Paramètres!$B$6,0))</f>
        <v/>
      </c>
      <c r="O28" s="7" t="str">
        <f aca="false">IF(L28="","",COUNTIFS(Présences!$A$5:$A$1204,A28,Présences!$B$5:$B$1204,B28,Présences!$D$5:$D$1204,"&lt;&gt;O"))</f>
        <v/>
      </c>
      <c r="P28" s="9" t="str">
        <f aca="false">IF(L28="","",IF(O28&gt;0,ROUND(N28/O28,0),0))</f>
        <v/>
      </c>
      <c r="Q28" s="20"/>
    </row>
    <row r="29" customFormat="false" ht="15" hidden="false" customHeight="false" outlineLevel="0" collapsed="false">
      <c r="A29" s="16"/>
      <c r="B29" s="20"/>
      <c r="C29" s="20"/>
      <c r="D29" s="20"/>
      <c r="E29" s="20"/>
      <c r="F29" s="17"/>
      <c r="G29" s="23"/>
      <c r="H29" s="24"/>
      <c r="I29" s="24"/>
      <c r="J29" s="24"/>
      <c r="K29" s="24"/>
      <c r="L29" s="25" t="str">
        <f aca="false">IF(OR(A29="",B29=""),"",IF(AND(F29&lt;&gt;"",G29&lt;&gt;"",G29&lt;=Paramètres!$B$7,H29="O",I29="O",J29="O",K29="O"),"O","N"))</f>
        <v/>
      </c>
      <c r="M29" s="7" t="str">
        <f aca="false">IF(L29="","",MAX(0,F29-Paramètres!$B$5))</f>
        <v/>
      </c>
      <c r="N29" s="9" t="str">
        <f aca="false">IF(L29="","",IF(L29="O",M29*Paramètres!$B$6,0))</f>
        <v/>
      </c>
      <c r="O29" s="7" t="str">
        <f aca="false">IF(L29="","",COUNTIFS(Présences!$A$5:$A$1204,A29,Présences!$B$5:$B$1204,B29,Présences!$D$5:$D$1204,"&lt;&gt;O"))</f>
        <v/>
      </c>
      <c r="P29" s="9" t="str">
        <f aca="false">IF(L29="","",IF(O29&gt;0,ROUND(N29/O29,0),0))</f>
        <v/>
      </c>
      <c r="Q29" s="20"/>
    </row>
    <row r="30" customFormat="false" ht="15" hidden="false" customHeight="false" outlineLevel="0" collapsed="false">
      <c r="A30" s="16"/>
      <c r="B30" s="20"/>
      <c r="C30" s="20"/>
      <c r="D30" s="20"/>
      <c r="E30" s="20"/>
      <c r="F30" s="17"/>
      <c r="G30" s="23"/>
      <c r="H30" s="24"/>
      <c r="I30" s="24"/>
      <c r="J30" s="24"/>
      <c r="K30" s="24"/>
      <c r="L30" s="25" t="str">
        <f aca="false">IF(OR(A30="",B30=""),"",IF(AND(F30&lt;&gt;"",G30&lt;&gt;"",G30&lt;=Paramètres!$B$7,H30="O",I30="O",J30="O",K30="O"),"O","N"))</f>
        <v/>
      </c>
      <c r="M30" s="7" t="str">
        <f aca="false">IF(L30="","",MAX(0,F30-Paramètres!$B$5))</f>
        <v/>
      </c>
      <c r="N30" s="9" t="str">
        <f aca="false">IF(L30="","",IF(L30="O",M30*Paramètres!$B$6,0))</f>
        <v/>
      </c>
      <c r="O30" s="7" t="str">
        <f aca="false">IF(L30="","",COUNTIFS(Présences!$A$5:$A$1204,A30,Présences!$B$5:$B$1204,B30,Présences!$D$5:$D$1204,"&lt;&gt;O"))</f>
        <v/>
      </c>
      <c r="P30" s="9" t="str">
        <f aca="false">IF(L30="","",IF(O30&gt;0,ROUND(N30/O30,0),0))</f>
        <v/>
      </c>
      <c r="Q30" s="20"/>
    </row>
    <row r="31" customFormat="false" ht="15" hidden="false" customHeight="false" outlineLevel="0" collapsed="false">
      <c r="A31" s="16"/>
      <c r="B31" s="20"/>
      <c r="C31" s="20"/>
      <c r="D31" s="20"/>
      <c r="E31" s="20"/>
      <c r="F31" s="17"/>
      <c r="G31" s="23"/>
      <c r="H31" s="24"/>
      <c r="I31" s="24"/>
      <c r="J31" s="24"/>
      <c r="K31" s="24"/>
      <c r="L31" s="25" t="str">
        <f aca="false">IF(OR(A31="",B31=""),"",IF(AND(F31&lt;&gt;"",G31&lt;&gt;"",G31&lt;=Paramètres!$B$7,H31="O",I31="O",J31="O",K31="O"),"O","N"))</f>
        <v/>
      </c>
      <c r="M31" s="7" t="str">
        <f aca="false">IF(L31="","",MAX(0,F31-Paramètres!$B$5))</f>
        <v/>
      </c>
      <c r="N31" s="9" t="str">
        <f aca="false">IF(L31="","",IF(L31="O",M31*Paramètres!$B$6,0))</f>
        <v/>
      </c>
      <c r="O31" s="7" t="str">
        <f aca="false">IF(L31="","",COUNTIFS(Présences!$A$5:$A$1204,A31,Présences!$B$5:$B$1204,B31,Présences!$D$5:$D$1204,"&lt;&gt;O"))</f>
        <v/>
      </c>
      <c r="P31" s="9" t="str">
        <f aca="false">IF(L31="","",IF(O31&gt;0,ROUND(N31/O31,0),0))</f>
        <v/>
      </c>
      <c r="Q31" s="20"/>
    </row>
    <row r="32" customFormat="false" ht="15" hidden="false" customHeight="false" outlineLevel="0" collapsed="false">
      <c r="A32" s="16"/>
      <c r="B32" s="20"/>
      <c r="C32" s="20"/>
      <c r="D32" s="20"/>
      <c r="E32" s="20"/>
      <c r="F32" s="17"/>
      <c r="G32" s="23"/>
      <c r="H32" s="24"/>
      <c r="I32" s="24"/>
      <c r="J32" s="24"/>
      <c r="K32" s="24"/>
      <c r="L32" s="25" t="str">
        <f aca="false">IF(OR(A32="",B32=""),"",IF(AND(F32&lt;&gt;"",G32&lt;&gt;"",G32&lt;=Paramètres!$B$7,H32="O",I32="O",J32="O",K32="O"),"O","N"))</f>
        <v/>
      </c>
      <c r="M32" s="7" t="str">
        <f aca="false">IF(L32="","",MAX(0,F32-Paramètres!$B$5))</f>
        <v/>
      </c>
      <c r="N32" s="9" t="str">
        <f aca="false">IF(L32="","",IF(L32="O",M32*Paramètres!$B$6,0))</f>
        <v/>
      </c>
      <c r="O32" s="7" t="str">
        <f aca="false">IF(L32="","",COUNTIFS(Présences!$A$5:$A$1204,A32,Présences!$B$5:$B$1204,B32,Présences!$D$5:$D$1204,"&lt;&gt;O"))</f>
        <v/>
      </c>
      <c r="P32" s="9" t="str">
        <f aca="false">IF(L32="","",IF(O32&gt;0,ROUND(N32/O32,0),0))</f>
        <v/>
      </c>
      <c r="Q32" s="20"/>
    </row>
    <row r="33" customFormat="false" ht="15" hidden="false" customHeight="false" outlineLevel="0" collapsed="false">
      <c r="A33" s="16"/>
      <c r="B33" s="20"/>
      <c r="C33" s="20"/>
      <c r="D33" s="20"/>
      <c r="E33" s="20"/>
      <c r="F33" s="17"/>
      <c r="G33" s="23"/>
      <c r="H33" s="24"/>
      <c r="I33" s="24"/>
      <c r="J33" s="24"/>
      <c r="K33" s="24"/>
      <c r="L33" s="25" t="str">
        <f aca="false">IF(OR(A33="",B33=""),"",IF(AND(F33&lt;&gt;"",G33&lt;&gt;"",G33&lt;=Paramètres!$B$7,H33="O",I33="O",J33="O",K33="O"),"O","N"))</f>
        <v/>
      </c>
      <c r="M33" s="7" t="str">
        <f aca="false">IF(L33="","",MAX(0,F33-Paramètres!$B$5))</f>
        <v/>
      </c>
      <c r="N33" s="9" t="str">
        <f aca="false">IF(L33="","",IF(L33="O",M33*Paramètres!$B$6,0))</f>
        <v/>
      </c>
      <c r="O33" s="7" t="str">
        <f aca="false">IF(L33="","",COUNTIFS(Présences!$A$5:$A$1204,A33,Présences!$B$5:$B$1204,B33,Présences!$D$5:$D$1204,"&lt;&gt;O"))</f>
        <v/>
      </c>
      <c r="P33" s="9" t="str">
        <f aca="false">IF(L33="","",IF(O33&gt;0,ROUND(N33/O33,0),0))</f>
        <v/>
      </c>
      <c r="Q33" s="20"/>
    </row>
    <row r="34" customFormat="false" ht="15" hidden="false" customHeight="false" outlineLevel="0" collapsed="false">
      <c r="A34" s="16"/>
      <c r="B34" s="20"/>
      <c r="C34" s="20"/>
      <c r="D34" s="20"/>
      <c r="E34" s="20"/>
      <c r="F34" s="17"/>
      <c r="G34" s="23"/>
      <c r="H34" s="24"/>
      <c r="I34" s="24"/>
      <c r="J34" s="24"/>
      <c r="K34" s="24"/>
      <c r="L34" s="25" t="str">
        <f aca="false">IF(OR(A34="",B34=""),"",IF(AND(F34&lt;&gt;"",G34&lt;&gt;"",G34&lt;=Paramètres!$B$7,H34="O",I34="O",J34="O",K34="O"),"O","N"))</f>
        <v/>
      </c>
      <c r="M34" s="7" t="str">
        <f aca="false">IF(L34="","",MAX(0,F34-Paramètres!$B$5))</f>
        <v/>
      </c>
      <c r="N34" s="9" t="str">
        <f aca="false">IF(L34="","",IF(L34="O",M34*Paramètres!$B$6,0))</f>
        <v/>
      </c>
      <c r="O34" s="7" t="str">
        <f aca="false">IF(L34="","",COUNTIFS(Présences!$A$5:$A$1204,A34,Présences!$B$5:$B$1204,B34,Présences!$D$5:$D$1204,"&lt;&gt;O"))</f>
        <v/>
      </c>
      <c r="P34" s="9" t="str">
        <f aca="false">IF(L34="","",IF(O34&gt;0,ROUND(N34/O34,0),0))</f>
        <v/>
      </c>
      <c r="Q34" s="20"/>
    </row>
    <row r="35" customFormat="false" ht="15" hidden="false" customHeight="false" outlineLevel="0" collapsed="false">
      <c r="A35" s="16"/>
      <c r="B35" s="20"/>
      <c r="C35" s="20"/>
      <c r="D35" s="20"/>
      <c r="E35" s="20"/>
      <c r="F35" s="17"/>
      <c r="G35" s="23"/>
      <c r="H35" s="24"/>
      <c r="I35" s="24"/>
      <c r="J35" s="24"/>
      <c r="K35" s="24"/>
      <c r="L35" s="25" t="str">
        <f aca="false">IF(OR(A35="",B35=""),"",IF(AND(F35&lt;&gt;"",G35&lt;&gt;"",G35&lt;=Paramètres!$B$7,H35="O",I35="O",J35="O",K35="O"),"O","N"))</f>
        <v/>
      </c>
      <c r="M35" s="7" t="str">
        <f aca="false">IF(L35="","",MAX(0,F35-Paramètres!$B$5))</f>
        <v/>
      </c>
      <c r="N35" s="9" t="str">
        <f aca="false">IF(L35="","",IF(L35="O",M35*Paramètres!$B$6,0))</f>
        <v/>
      </c>
      <c r="O35" s="7" t="str">
        <f aca="false">IF(L35="","",COUNTIFS(Présences!$A$5:$A$1204,A35,Présences!$B$5:$B$1204,B35,Présences!$D$5:$D$1204,"&lt;&gt;O"))</f>
        <v/>
      </c>
      <c r="P35" s="9" t="str">
        <f aca="false">IF(L35="","",IF(O35&gt;0,ROUND(N35/O35,0),0))</f>
        <v/>
      </c>
      <c r="Q35" s="20"/>
    </row>
    <row r="36" customFormat="false" ht="15" hidden="false" customHeight="false" outlineLevel="0" collapsed="false">
      <c r="A36" s="16"/>
      <c r="B36" s="20"/>
      <c r="C36" s="20"/>
      <c r="D36" s="20"/>
      <c r="E36" s="20"/>
      <c r="F36" s="17"/>
      <c r="G36" s="23"/>
      <c r="H36" s="24"/>
      <c r="I36" s="24"/>
      <c r="J36" s="24"/>
      <c r="K36" s="24"/>
      <c r="L36" s="25" t="str">
        <f aca="false">IF(OR(A36="",B36=""),"",IF(AND(F36&lt;&gt;"",G36&lt;&gt;"",G36&lt;=Paramètres!$B$7,H36="O",I36="O",J36="O",K36="O"),"O","N"))</f>
        <v/>
      </c>
      <c r="M36" s="7" t="str">
        <f aca="false">IF(L36="","",MAX(0,F36-Paramètres!$B$5))</f>
        <v/>
      </c>
      <c r="N36" s="9" t="str">
        <f aca="false">IF(L36="","",IF(L36="O",M36*Paramètres!$B$6,0))</f>
        <v/>
      </c>
      <c r="O36" s="7" t="str">
        <f aca="false">IF(L36="","",COUNTIFS(Présences!$A$5:$A$1204,A36,Présences!$B$5:$B$1204,B36,Présences!$D$5:$D$1204,"&lt;&gt;O"))</f>
        <v/>
      </c>
      <c r="P36" s="9" t="str">
        <f aca="false">IF(L36="","",IF(O36&gt;0,ROUND(N36/O36,0),0))</f>
        <v/>
      </c>
      <c r="Q36" s="20"/>
    </row>
    <row r="37" customFormat="false" ht="15" hidden="false" customHeight="false" outlineLevel="0" collapsed="false">
      <c r="A37" s="16"/>
      <c r="B37" s="20"/>
      <c r="C37" s="20"/>
      <c r="D37" s="20"/>
      <c r="E37" s="20"/>
      <c r="F37" s="17"/>
      <c r="G37" s="23"/>
      <c r="H37" s="24"/>
      <c r="I37" s="24"/>
      <c r="J37" s="24"/>
      <c r="K37" s="24"/>
      <c r="L37" s="25" t="str">
        <f aca="false">IF(OR(A37="",B37=""),"",IF(AND(F37&lt;&gt;"",G37&lt;&gt;"",G37&lt;=Paramètres!$B$7,H37="O",I37="O",J37="O",K37="O"),"O","N"))</f>
        <v/>
      </c>
      <c r="M37" s="7" t="str">
        <f aca="false">IF(L37="","",MAX(0,F37-Paramètres!$B$5))</f>
        <v/>
      </c>
      <c r="N37" s="9" t="str">
        <f aca="false">IF(L37="","",IF(L37="O",M37*Paramètres!$B$6,0))</f>
        <v/>
      </c>
      <c r="O37" s="7" t="str">
        <f aca="false">IF(L37="","",COUNTIFS(Présences!$A$5:$A$1204,A37,Présences!$B$5:$B$1204,B37,Présences!$D$5:$D$1204,"&lt;&gt;O"))</f>
        <v/>
      </c>
      <c r="P37" s="9" t="str">
        <f aca="false">IF(L37="","",IF(O37&gt;0,ROUND(N37/O37,0),0))</f>
        <v/>
      </c>
      <c r="Q37" s="20"/>
    </row>
    <row r="38" customFormat="false" ht="15" hidden="false" customHeight="false" outlineLevel="0" collapsed="false">
      <c r="A38" s="16"/>
      <c r="B38" s="20"/>
      <c r="C38" s="20"/>
      <c r="D38" s="20"/>
      <c r="E38" s="20"/>
      <c r="F38" s="17"/>
      <c r="G38" s="23"/>
      <c r="H38" s="24"/>
      <c r="I38" s="24"/>
      <c r="J38" s="24"/>
      <c r="K38" s="24"/>
      <c r="L38" s="25" t="str">
        <f aca="false">IF(OR(A38="",B38=""),"",IF(AND(F38&lt;&gt;"",G38&lt;&gt;"",G38&lt;=Paramètres!$B$7,H38="O",I38="O",J38="O",K38="O"),"O","N"))</f>
        <v/>
      </c>
      <c r="M38" s="7" t="str">
        <f aca="false">IF(L38="","",MAX(0,F38-Paramètres!$B$5))</f>
        <v/>
      </c>
      <c r="N38" s="9" t="str">
        <f aca="false">IF(L38="","",IF(L38="O",M38*Paramètres!$B$6,0))</f>
        <v/>
      </c>
      <c r="O38" s="7" t="str">
        <f aca="false">IF(L38="","",COUNTIFS(Présences!$A$5:$A$1204,A38,Présences!$B$5:$B$1204,B38,Présences!$D$5:$D$1204,"&lt;&gt;O"))</f>
        <v/>
      </c>
      <c r="P38" s="9" t="str">
        <f aca="false">IF(L38="","",IF(O38&gt;0,ROUND(N38/O38,0),0))</f>
        <v/>
      </c>
      <c r="Q38" s="20"/>
    </row>
    <row r="39" customFormat="false" ht="15" hidden="false" customHeight="false" outlineLevel="0" collapsed="false">
      <c r="A39" s="16"/>
      <c r="B39" s="20"/>
      <c r="C39" s="20"/>
      <c r="D39" s="20"/>
      <c r="E39" s="20"/>
      <c r="F39" s="17"/>
      <c r="G39" s="23"/>
      <c r="H39" s="24"/>
      <c r="I39" s="24"/>
      <c r="J39" s="24"/>
      <c r="K39" s="24"/>
      <c r="L39" s="25" t="str">
        <f aca="false">IF(OR(A39="",B39=""),"",IF(AND(F39&lt;&gt;"",G39&lt;&gt;"",G39&lt;=Paramètres!$B$7,H39="O",I39="O",J39="O",K39="O"),"O","N"))</f>
        <v/>
      </c>
      <c r="M39" s="7" t="str">
        <f aca="false">IF(L39="","",MAX(0,F39-Paramètres!$B$5))</f>
        <v/>
      </c>
      <c r="N39" s="9" t="str">
        <f aca="false">IF(L39="","",IF(L39="O",M39*Paramètres!$B$6,0))</f>
        <v/>
      </c>
      <c r="O39" s="7" t="str">
        <f aca="false">IF(L39="","",COUNTIFS(Présences!$A$5:$A$1204,A39,Présences!$B$5:$B$1204,B39,Présences!$D$5:$D$1204,"&lt;&gt;O"))</f>
        <v/>
      </c>
      <c r="P39" s="9" t="str">
        <f aca="false">IF(L39="","",IF(O39&gt;0,ROUND(N39/O39,0),0))</f>
        <v/>
      </c>
      <c r="Q39" s="20"/>
    </row>
    <row r="40" customFormat="false" ht="15" hidden="false" customHeight="false" outlineLevel="0" collapsed="false">
      <c r="A40" s="16"/>
      <c r="B40" s="20"/>
      <c r="C40" s="20"/>
      <c r="D40" s="20"/>
      <c r="E40" s="20"/>
      <c r="F40" s="17"/>
      <c r="G40" s="23"/>
      <c r="H40" s="24"/>
      <c r="I40" s="24"/>
      <c r="J40" s="24"/>
      <c r="K40" s="24"/>
      <c r="L40" s="25" t="str">
        <f aca="false">IF(OR(A40="",B40=""),"",IF(AND(F40&lt;&gt;"",G40&lt;&gt;"",G40&lt;=Paramètres!$B$7,H40="O",I40="O",J40="O",K40="O"),"O","N"))</f>
        <v/>
      </c>
      <c r="M40" s="7" t="str">
        <f aca="false">IF(L40="","",MAX(0,F40-Paramètres!$B$5))</f>
        <v/>
      </c>
      <c r="N40" s="9" t="str">
        <f aca="false">IF(L40="","",IF(L40="O",M40*Paramètres!$B$6,0))</f>
        <v/>
      </c>
      <c r="O40" s="7" t="str">
        <f aca="false">IF(L40="","",COUNTIFS(Présences!$A$5:$A$1204,A40,Présences!$B$5:$B$1204,B40,Présences!$D$5:$D$1204,"&lt;&gt;O"))</f>
        <v/>
      </c>
      <c r="P40" s="9" t="str">
        <f aca="false">IF(L40="","",IF(O40&gt;0,ROUND(N40/O40,0),0))</f>
        <v/>
      </c>
      <c r="Q40" s="20"/>
    </row>
    <row r="41" customFormat="false" ht="15" hidden="false" customHeight="false" outlineLevel="0" collapsed="false">
      <c r="A41" s="16"/>
      <c r="B41" s="20"/>
      <c r="C41" s="20"/>
      <c r="D41" s="20"/>
      <c r="E41" s="20"/>
      <c r="F41" s="17"/>
      <c r="G41" s="23"/>
      <c r="H41" s="24"/>
      <c r="I41" s="24"/>
      <c r="J41" s="24"/>
      <c r="K41" s="24"/>
      <c r="L41" s="25" t="str">
        <f aca="false">IF(OR(A41="",B41=""),"",IF(AND(F41&lt;&gt;"",G41&lt;&gt;"",G41&lt;=Paramètres!$B$7,H41="O",I41="O",J41="O",K41="O"),"O","N"))</f>
        <v/>
      </c>
      <c r="M41" s="7" t="str">
        <f aca="false">IF(L41="","",MAX(0,F41-Paramètres!$B$5))</f>
        <v/>
      </c>
      <c r="N41" s="9" t="str">
        <f aca="false">IF(L41="","",IF(L41="O",M41*Paramètres!$B$6,0))</f>
        <v/>
      </c>
      <c r="O41" s="7" t="str">
        <f aca="false">IF(L41="","",COUNTIFS(Présences!$A$5:$A$1204,A41,Présences!$B$5:$B$1204,B41,Présences!$D$5:$D$1204,"&lt;&gt;O"))</f>
        <v/>
      </c>
      <c r="P41" s="9" t="str">
        <f aca="false">IF(L41="","",IF(O41&gt;0,ROUND(N41/O41,0),0))</f>
        <v/>
      </c>
      <c r="Q41" s="20"/>
    </row>
    <row r="42" customFormat="false" ht="15" hidden="false" customHeight="false" outlineLevel="0" collapsed="false">
      <c r="A42" s="16"/>
      <c r="B42" s="20"/>
      <c r="C42" s="20"/>
      <c r="D42" s="20"/>
      <c r="E42" s="20"/>
      <c r="F42" s="17"/>
      <c r="G42" s="23"/>
      <c r="H42" s="24"/>
      <c r="I42" s="24"/>
      <c r="J42" s="24"/>
      <c r="K42" s="24"/>
      <c r="L42" s="25" t="str">
        <f aca="false">IF(OR(A42="",B42=""),"",IF(AND(F42&lt;&gt;"",G42&lt;&gt;"",G42&lt;=Paramètres!$B$7,H42="O",I42="O",J42="O",K42="O"),"O","N"))</f>
        <v/>
      </c>
      <c r="M42" s="7" t="str">
        <f aca="false">IF(L42="","",MAX(0,F42-Paramètres!$B$5))</f>
        <v/>
      </c>
      <c r="N42" s="9" t="str">
        <f aca="false">IF(L42="","",IF(L42="O",M42*Paramètres!$B$6,0))</f>
        <v/>
      </c>
      <c r="O42" s="7" t="str">
        <f aca="false">IF(L42="","",COUNTIFS(Présences!$A$5:$A$1204,A42,Présences!$B$5:$B$1204,B42,Présences!$D$5:$D$1204,"&lt;&gt;O"))</f>
        <v/>
      </c>
      <c r="P42" s="9" t="str">
        <f aca="false">IF(L42="","",IF(O42&gt;0,ROUND(N42/O42,0),0))</f>
        <v/>
      </c>
      <c r="Q42" s="20"/>
    </row>
    <row r="43" customFormat="false" ht="15" hidden="false" customHeight="false" outlineLevel="0" collapsed="false">
      <c r="A43" s="16"/>
      <c r="B43" s="20"/>
      <c r="C43" s="20"/>
      <c r="D43" s="20"/>
      <c r="E43" s="20"/>
      <c r="F43" s="17"/>
      <c r="G43" s="23"/>
      <c r="H43" s="24"/>
      <c r="I43" s="24"/>
      <c r="J43" s="24"/>
      <c r="K43" s="24"/>
      <c r="L43" s="25" t="str">
        <f aca="false">IF(OR(A43="",B43=""),"",IF(AND(F43&lt;&gt;"",G43&lt;&gt;"",G43&lt;=Paramètres!$B$7,H43="O",I43="O",J43="O",K43="O"),"O","N"))</f>
        <v/>
      </c>
      <c r="M43" s="7" t="str">
        <f aca="false">IF(L43="","",MAX(0,F43-Paramètres!$B$5))</f>
        <v/>
      </c>
      <c r="N43" s="9" t="str">
        <f aca="false">IF(L43="","",IF(L43="O",M43*Paramètres!$B$6,0))</f>
        <v/>
      </c>
      <c r="O43" s="7" t="str">
        <f aca="false">IF(L43="","",COUNTIFS(Présences!$A$5:$A$1204,A43,Présences!$B$5:$B$1204,B43,Présences!$D$5:$D$1204,"&lt;&gt;O"))</f>
        <v/>
      </c>
      <c r="P43" s="9" t="str">
        <f aca="false">IF(L43="","",IF(O43&gt;0,ROUND(N43/O43,0),0))</f>
        <v/>
      </c>
      <c r="Q43" s="20"/>
    </row>
    <row r="44" customFormat="false" ht="15" hidden="false" customHeight="false" outlineLevel="0" collapsed="false">
      <c r="A44" s="16"/>
      <c r="B44" s="20"/>
      <c r="C44" s="20"/>
      <c r="D44" s="20"/>
      <c r="E44" s="20"/>
      <c r="F44" s="17"/>
      <c r="G44" s="23"/>
      <c r="H44" s="24"/>
      <c r="I44" s="24"/>
      <c r="J44" s="24"/>
      <c r="K44" s="24"/>
      <c r="L44" s="25" t="str">
        <f aca="false">IF(OR(A44="",B44=""),"",IF(AND(F44&lt;&gt;"",G44&lt;&gt;"",G44&lt;=Paramètres!$B$7,H44="O",I44="O",J44="O",K44="O"),"O","N"))</f>
        <v/>
      </c>
      <c r="M44" s="7" t="str">
        <f aca="false">IF(L44="","",MAX(0,F44-Paramètres!$B$5))</f>
        <v/>
      </c>
      <c r="N44" s="9" t="str">
        <f aca="false">IF(L44="","",IF(L44="O",M44*Paramètres!$B$6,0))</f>
        <v/>
      </c>
      <c r="O44" s="7" t="str">
        <f aca="false">IF(L44="","",COUNTIFS(Présences!$A$5:$A$1204,A44,Présences!$B$5:$B$1204,B44,Présences!$D$5:$D$1204,"&lt;&gt;O"))</f>
        <v/>
      </c>
      <c r="P44" s="9" t="str">
        <f aca="false">IF(L44="","",IF(O44&gt;0,ROUND(N44/O44,0),0))</f>
        <v/>
      </c>
      <c r="Q44" s="20"/>
    </row>
    <row r="45" customFormat="false" ht="15" hidden="false" customHeight="false" outlineLevel="0" collapsed="false">
      <c r="A45" s="16"/>
      <c r="B45" s="20"/>
      <c r="C45" s="20"/>
      <c r="D45" s="20"/>
      <c r="E45" s="20"/>
      <c r="F45" s="17"/>
      <c r="G45" s="23"/>
      <c r="H45" s="24"/>
      <c r="I45" s="24"/>
      <c r="J45" s="24"/>
      <c r="K45" s="24"/>
      <c r="L45" s="25" t="str">
        <f aca="false">IF(OR(A45="",B45=""),"",IF(AND(F45&lt;&gt;"",G45&lt;&gt;"",G45&lt;=Paramètres!$B$7,H45="O",I45="O",J45="O",K45="O"),"O","N"))</f>
        <v/>
      </c>
      <c r="M45" s="7" t="str">
        <f aca="false">IF(L45="","",MAX(0,F45-Paramètres!$B$5))</f>
        <v/>
      </c>
      <c r="N45" s="9" t="str">
        <f aca="false">IF(L45="","",IF(L45="O",M45*Paramètres!$B$6,0))</f>
        <v/>
      </c>
      <c r="O45" s="7" t="str">
        <f aca="false">IF(L45="","",COUNTIFS(Présences!$A$5:$A$1204,A45,Présences!$B$5:$B$1204,B45,Présences!$D$5:$D$1204,"&lt;&gt;O"))</f>
        <v/>
      </c>
      <c r="P45" s="9" t="str">
        <f aca="false">IF(L45="","",IF(O45&gt;0,ROUND(N45/O45,0),0))</f>
        <v/>
      </c>
      <c r="Q45" s="20"/>
    </row>
    <row r="46" customFormat="false" ht="15" hidden="false" customHeight="false" outlineLevel="0" collapsed="false">
      <c r="A46" s="16"/>
      <c r="B46" s="20"/>
      <c r="C46" s="20"/>
      <c r="D46" s="20"/>
      <c r="E46" s="20"/>
      <c r="F46" s="17"/>
      <c r="G46" s="23"/>
      <c r="H46" s="24"/>
      <c r="I46" s="24"/>
      <c r="J46" s="24"/>
      <c r="K46" s="24"/>
      <c r="L46" s="25" t="str">
        <f aca="false">IF(OR(A46="",B46=""),"",IF(AND(F46&lt;&gt;"",G46&lt;&gt;"",G46&lt;=Paramètres!$B$7,H46="O",I46="O",J46="O",K46="O"),"O","N"))</f>
        <v/>
      </c>
      <c r="M46" s="7" t="str">
        <f aca="false">IF(L46="","",MAX(0,F46-Paramètres!$B$5))</f>
        <v/>
      </c>
      <c r="N46" s="9" t="str">
        <f aca="false">IF(L46="","",IF(L46="O",M46*Paramètres!$B$6,0))</f>
        <v/>
      </c>
      <c r="O46" s="7" t="str">
        <f aca="false">IF(L46="","",COUNTIFS(Présences!$A$5:$A$1204,A46,Présences!$B$5:$B$1204,B46,Présences!$D$5:$D$1204,"&lt;&gt;O"))</f>
        <v/>
      </c>
      <c r="P46" s="9" t="str">
        <f aca="false">IF(L46="","",IF(O46&gt;0,ROUND(N46/O46,0),0))</f>
        <v/>
      </c>
      <c r="Q46" s="20"/>
    </row>
    <row r="47" customFormat="false" ht="15" hidden="false" customHeight="false" outlineLevel="0" collapsed="false">
      <c r="A47" s="16"/>
      <c r="B47" s="20"/>
      <c r="C47" s="20"/>
      <c r="D47" s="20"/>
      <c r="E47" s="20"/>
      <c r="F47" s="17"/>
      <c r="G47" s="23"/>
      <c r="H47" s="24"/>
      <c r="I47" s="24"/>
      <c r="J47" s="24"/>
      <c r="K47" s="24"/>
      <c r="L47" s="25" t="str">
        <f aca="false">IF(OR(A47="",B47=""),"",IF(AND(F47&lt;&gt;"",G47&lt;&gt;"",G47&lt;=Paramètres!$B$7,H47="O",I47="O",J47="O",K47="O"),"O","N"))</f>
        <v/>
      </c>
      <c r="M47" s="7" t="str">
        <f aca="false">IF(L47="","",MAX(0,F47-Paramètres!$B$5))</f>
        <v/>
      </c>
      <c r="N47" s="9" t="str">
        <f aca="false">IF(L47="","",IF(L47="O",M47*Paramètres!$B$6,0))</f>
        <v/>
      </c>
      <c r="O47" s="7" t="str">
        <f aca="false">IF(L47="","",COUNTIFS(Présences!$A$5:$A$1204,A47,Présences!$B$5:$B$1204,B47,Présences!$D$5:$D$1204,"&lt;&gt;O"))</f>
        <v/>
      </c>
      <c r="P47" s="9" t="str">
        <f aca="false">IF(L47="","",IF(O47&gt;0,ROUND(N47/O47,0),0))</f>
        <v/>
      </c>
      <c r="Q47" s="20"/>
    </row>
    <row r="48" customFormat="false" ht="15" hidden="false" customHeight="false" outlineLevel="0" collapsed="false">
      <c r="A48" s="16"/>
      <c r="B48" s="20"/>
      <c r="C48" s="20"/>
      <c r="D48" s="20"/>
      <c r="E48" s="20"/>
      <c r="F48" s="17"/>
      <c r="G48" s="23"/>
      <c r="H48" s="24"/>
      <c r="I48" s="24"/>
      <c r="J48" s="24"/>
      <c r="K48" s="24"/>
      <c r="L48" s="25" t="str">
        <f aca="false">IF(OR(A48="",B48=""),"",IF(AND(F48&lt;&gt;"",G48&lt;&gt;"",G48&lt;=Paramètres!$B$7,H48="O",I48="O",J48="O",K48="O"),"O","N"))</f>
        <v/>
      </c>
      <c r="M48" s="7" t="str">
        <f aca="false">IF(L48="","",MAX(0,F48-Paramètres!$B$5))</f>
        <v/>
      </c>
      <c r="N48" s="9" t="str">
        <f aca="false">IF(L48="","",IF(L48="O",M48*Paramètres!$B$6,0))</f>
        <v/>
      </c>
      <c r="O48" s="7" t="str">
        <f aca="false">IF(L48="","",COUNTIFS(Présences!$A$5:$A$1204,A48,Présences!$B$5:$B$1204,B48,Présences!$D$5:$D$1204,"&lt;&gt;O"))</f>
        <v/>
      </c>
      <c r="P48" s="9" t="str">
        <f aca="false">IF(L48="","",IF(O48&gt;0,ROUND(N48/O48,0),0))</f>
        <v/>
      </c>
      <c r="Q48" s="20"/>
    </row>
    <row r="49" customFormat="false" ht="15" hidden="false" customHeight="false" outlineLevel="0" collapsed="false">
      <c r="A49" s="16"/>
      <c r="B49" s="20"/>
      <c r="C49" s="20"/>
      <c r="D49" s="20"/>
      <c r="E49" s="20"/>
      <c r="F49" s="17"/>
      <c r="G49" s="23"/>
      <c r="H49" s="24"/>
      <c r="I49" s="24"/>
      <c r="J49" s="24"/>
      <c r="K49" s="24"/>
      <c r="L49" s="25" t="str">
        <f aca="false">IF(OR(A49="",B49=""),"",IF(AND(F49&lt;&gt;"",G49&lt;&gt;"",G49&lt;=Paramètres!$B$7,H49="O",I49="O",J49="O",K49="O"),"O","N"))</f>
        <v/>
      </c>
      <c r="M49" s="7" t="str">
        <f aca="false">IF(L49="","",MAX(0,F49-Paramètres!$B$5))</f>
        <v/>
      </c>
      <c r="N49" s="9" t="str">
        <f aca="false">IF(L49="","",IF(L49="O",M49*Paramètres!$B$6,0))</f>
        <v/>
      </c>
      <c r="O49" s="7" t="str">
        <f aca="false">IF(L49="","",COUNTIFS(Présences!$A$5:$A$1204,A49,Présences!$B$5:$B$1204,B49,Présences!$D$5:$D$1204,"&lt;&gt;O"))</f>
        <v/>
      </c>
      <c r="P49" s="9" t="str">
        <f aca="false">IF(L49="","",IF(O49&gt;0,ROUND(N49/O49,0),0))</f>
        <v/>
      </c>
      <c r="Q49" s="20"/>
    </row>
    <row r="50" customFormat="false" ht="15" hidden="false" customHeight="false" outlineLevel="0" collapsed="false">
      <c r="A50" s="16"/>
      <c r="B50" s="20"/>
      <c r="C50" s="20"/>
      <c r="D50" s="20"/>
      <c r="E50" s="20"/>
      <c r="F50" s="17"/>
      <c r="G50" s="23"/>
      <c r="H50" s="24"/>
      <c r="I50" s="24"/>
      <c r="J50" s="24"/>
      <c r="K50" s="24"/>
      <c r="L50" s="25" t="str">
        <f aca="false">IF(OR(A50="",B50=""),"",IF(AND(F50&lt;&gt;"",G50&lt;&gt;"",G50&lt;=Paramètres!$B$7,H50="O",I50="O",J50="O",K50="O"),"O","N"))</f>
        <v/>
      </c>
      <c r="M50" s="7" t="str">
        <f aca="false">IF(L50="","",MAX(0,F50-Paramètres!$B$5))</f>
        <v/>
      </c>
      <c r="N50" s="9" t="str">
        <f aca="false">IF(L50="","",IF(L50="O",M50*Paramètres!$B$6,0))</f>
        <v/>
      </c>
      <c r="O50" s="7" t="str">
        <f aca="false">IF(L50="","",COUNTIFS(Présences!$A$5:$A$1204,A50,Présences!$B$5:$B$1204,B50,Présences!$D$5:$D$1204,"&lt;&gt;O"))</f>
        <v/>
      </c>
      <c r="P50" s="9" t="str">
        <f aca="false">IF(L50="","",IF(O50&gt;0,ROUND(N50/O50,0),0))</f>
        <v/>
      </c>
      <c r="Q50" s="20"/>
    </row>
    <row r="51" customFormat="false" ht="15" hidden="false" customHeight="false" outlineLevel="0" collapsed="false">
      <c r="A51" s="16"/>
      <c r="B51" s="20"/>
      <c r="C51" s="20"/>
      <c r="D51" s="20"/>
      <c r="E51" s="20"/>
      <c r="F51" s="17"/>
      <c r="G51" s="23"/>
      <c r="H51" s="24"/>
      <c r="I51" s="24"/>
      <c r="J51" s="24"/>
      <c r="K51" s="24"/>
      <c r="L51" s="25" t="str">
        <f aca="false">IF(OR(A51="",B51=""),"",IF(AND(F51&lt;&gt;"",G51&lt;&gt;"",G51&lt;=Paramètres!$B$7,H51="O",I51="O",J51="O",K51="O"),"O","N"))</f>
        <v/>
      </c>
      <c r="M51" s="7" t="str">
        <f aca="false">IF(L51="","",MAX(0,F51-Paramètres!$B$5))</f>
        <v/>
      </c>
      <c r="N51" s="9" t="str">
        <f aca="false">IF(L51="","",IF(L51="O",M51*Paramètres!$B$6,0))</f>
        <v/>
      </c>
      <c r="O51" s="7" t="str">
        <f aca="false">IF(L51="","",COUNTIFS(Présences!$A$5:$A$1204,A51,Présences!$B$5:$B$1204,B51,Présences!$D$5:$D$1204,"&lt;&gt;O"))</f>
        <v/>
      </c>
      <c r="P51" s="9" t="str">
        <f aca="false">IF(L51="","",IF(O51&gt;0,ROUND(N51/O51,0),0))</f>
        <v/>
      </c>
      <c r="Q51" s="20"/>
    </row>
    <row r="52" customFormat="false" ht="15" hidden="false" customHeight="false" outlineLevel="0" collapsed="false">
      <c r="A52" s="16"/>
      <c r="B52" s="20"/>
      <c r="C52" s="20"/>
      <c r="D52" s="20"/>
      <c r="E52" s="20"/>
      <c r="F52" s="17"/>
      <c r="G52" s="23"/>
      <c r="H52" s="24"/>
      <c r="I52" s="24"/>
      <c r="J52" s="24"/>
      <c r="K52" s="24"/>
      <c r="L52" s="25" t="str">
        <f aca="false">IF(OR(A52="",B52=""),"",IF(AND(F52&lt;&gt;"",G52&lt;&gt;"",G52&lt;=Paramètres!$B$7,H52="O",I52="O",J52="O",K52="O"),"O","N"))</f>
        <v/>
      </c>
      <c r="M52" s="7" t="str">
        <f aca="false">IF(L52="","",MAX(0,F52-Paramètres!$B$5))</f>
        <v/>
      </c>
      <c r="N52" s="9" t="str">
        <f aca="false">IF(L52="","",IF(L52="O",M52*Paramètres!$B$6,0))</f>
        <v/>
      </c>
      <c r="O52" s="7" t="str">
        <f aca="false">IF(L52="","",COUNTIFS(Présences!$A$5:$A$1204,A52,Présences!$B$5:$B$1204,B52,Présences!$D$5:$D$1204,"&lt;&gt;O"))</f>
        <v/>
      </c>
      <c r="P52" s="9" t="str">
        <f aca="false">IF(L52="","",IF(O52&gt;0,ROUND(N52/O52,0),0))</f>
        <v/>
      </c>
      <c r="Q52" s="20"/>
    </row>
    <row r="53" customFormat="false" ht="15" hidden="false" customHeight="false" outlineLevel="0" collapsed="false">
      <c r="A53" s="16"/>
      <c r="B53" s="20"/>
      <c r="C53" s="20"/>
      <c r="D53" s="20"/>
      <c r="E53" s="20"/>
      <c r="F53" s="17"/>
      <c r="G53" s="23"/>
      <c r="H53" s="24"/>
      <c r="I53" s="24"/>
      <c r="J53" s="24"/>
      <c r="K53" s="24"/>
      <c r="L53" s="25" t="str">
        <f aca="false">IF(OR(A53="",B53=""),"",IF(AND(F53&lt;&gt;"",G53&lt;&gt;"",G53&lt;=Paramètres!$B$7,H53="O",I53="O",J53="O",K53="O"),"O","N"))</f>
        <v/>
      </c>
      <c r="M53" s="7" t="str">
        <f aca="false">IF(L53="","",MAX(0,F53-Paramètres!$B$5))</f>
        <v/>
      </c>
      <c r="N53" s="9" t="str">
        <f aca="false">IF(L53="","",IF(L53="O",M53*Paramètres!$B$6,0))</f>
        <v/>
      </c>
      <c r="O53" s="7" t="str">
        <f aca="false">IF(L53="","",COUNTIFS(Présences!$A$5:$A$1204,A53,Présences!$B$5:$B$1204,B53,Présences!$D$5:$D$1204,"&lt;&gt;O"))</f>
        <v/>
      </c>
      <c r="P53" s="9" t="str">
        <f aca="false">IF(L53="","",IF(O53&gt;0,ROUND(N53/O53,0),0))</f>
        <v/>
      </c>
      <c r="Q53" s="20"/>
    </row>
    <row r="54" customFormat="false" ht="15" hidden="false" customHeight="false" outlineLevel="0" collapsed="false">
      <c r="A54" s="16"/>
      <c r="B54" s="20"/>
      <c r="C54" s="20"/>
      <c r="D54" s="20"/>
      <c r="E54" s="20"/>
      <c r="F54" s="17"/>
      <c r="G54" s="23"/>
      <c r="H54" s="24"/>
      <c r="I54" s="24"/>
      <c r="J54" s="24"/>
      <c r="K54" s="24"/>
      <c r="L54" s="25" t="str">
        <f aca="false">IF(OR(A54="",B54=""),"",IF(AND(F54&lt;&gt;"",G54&lt;&gt;"",G54&lt;=Paramètres!$B$7,H54="O",I54="O",J54="O",K54="O"),"O","N"))</f>
        <v/>
      </c>
      <c r="M54" s="7" t="str">
        <f aca="false">IF(L54="","",MAX(0,F54-Paramètres!$B$5))</f>
        <v/>
      </c>
      <c r="N54" s="9" t="str">
        <f aca="false">IF(L54="","",IF(L54="O",M54*Paramètres!$B$6,0))</f>
        <v/>
      </c>
      <c r="O54" s="7" t="str">
        <f aca="false">IF(L54="","",COUNTIFS(Présences!$A$5:$A$1204,A54,Présences!$B$5:$B$1204,B54,Présences!$D$5:$D$1204,"&lt;&gt;O"))</f>
        <v/>
      </c>
      <c r="P54" s="9" t="str">
        <f aca="false">IF(L54="","",IF(O54&gt;0,ROUND(N54/O54,0),0))</f>
        <v/>
      </c>
      <c r="Q54" s="20"/>
    </row>
    <row r="55" customFormat="false" ht="15" hidden="false" customHeight="false" outlineLevel="0" collapsed="false">
      <c r="A55" s="16"/>
      <c r="B55" s="20"/>
      <c r="C55" s="20"/>
      <c r="D55" s="20"/>
      <c r="E55" s="20"/>
      <c r="F55" s="17"/>
      <c r="G55" s="23"/>
      <c r="H55" s="24"/>
      <c r="I55" s="24"/>
      <c r="J55" s="24"/>
      <c r="K55" s="24"/>
      <c r="L55" s="25" t="str">
        <f aca="false">IF(OR(A55="",B55=""),"",IF(AND(F55&lt;&gt;"",G55&lt;&gt;"",G55&lt;=Paramètres!$B$7,H55="O",I55="O",J55="O",K55="O"),"O","N"))</f>
        <v/>
      </c>
      <c r="M55" s="7" t="str">
        <f aca="false">IF(L55="","",MAX(0,F55-Paramètres!$B$5))</f>
        <v/>
      </c>
      <c r="N55" s="9" t="str">
        <f aca="false">IF(L55="","",IF(L55="O",M55*Paramètres!$B$6,0))</f>
        <v/>
      </c>
      <c r="O55" s="7" t="str">
        <f aca="false">IF(L55="","",COUNTIFS(Présences!$A$5:$A$1204,A55,Présences!$B$5:$B$1204,B55,Présences!$D$5:$D$1204,"&lt;&gt;O"))</f>
        <v/>
      </c>
      <c r="P55" s="9" t="str">
        <f aca="false">IF(L55="","",IF(O55&gt;0,ROUND(N55/O55,0),0))</f>
        <v/>
      </c>
      <c r="Q55" s="20"/>
    </row>
    <row r="56" customFormat="false" ht="15" hidden="false" customHeight="false" outlineLevel="0" collapsed="false">
      <c r="A56" s="16"/>
      <c r="B56" s="20"/>
      <c r="C56" s="20"/>
      <c r="D56" s="20"/>
      <c r="E56" s="20"/>
      <c r="F56" s="17"/>
      <c r="G56" s="23"/>
      <c r="H56" s="24"/>
      <c r="I56" s="24"/>
      <c r="J56" s="24"/>
      <c r="K56" s="24"/>
      <c r="L56" s="25" t="str">
        <f aca="false">IF(OR(A56="",B56=""),"",IF(AND(F56&lt;&gt;"",G56&lt;&gt;"",G56&lt;=Paramètres!$B$7,H56="O",I56="O",J56="O",K56="O"),"O","N"))</f>
        <v/>
      </c>
      <c r="M56" s="7" t="str">
        <f aca="false">IF(L56="","",MAX(0,F56-Paramètres!$B$5))</f>
        <v/>
      </c>
      <c r="N56" s="9" t="str">
        <f aca="false">IF(L56="","",IF(L56="O",M56*Paramètres!$B$6,0))</f>
        <v/>
      </c>
      <c r="O56" s="7" t="str">
        <f aca="false">IF(L56="","",COUNTIFS(Présences!$A$5:$A$1204,A56,Présences!$B$5:$B$1204,B56,Présences!$D$5:$D$1204,"&lt;&gt;O"))</f>
        <v/>
      </c>
      <c r="P56" s="9" t="str">
        <f aca="false">IF(L56="","",IF(O56&gt;0,ROUND(N56/O56,0),0))</f>
        <v/>
      </c>
      <c r="Q56" s="20"/>
    </row>
    <row r="57" customFormat="false" ht="15" hidden="false" customHeight="false" outlineLevel="0" collapsed="false">
      <c r="A57" s="16"/>
      <c r="B57" s="20"/>
      <c r="C57" s="20"/>
      <c r="D57" s="20"/>
      <c r="E57" s="20"/>
      <c r="F57" s="17"/>
      <c r="G57" s="23"/>
      <c r="H57" s="24"/>
      <c r="I57" s="24"/>
      <c r="J57" s="24"/>
      <c r="K57" s="24"/>
      <c r="L57" s="25" t="str">
        <f aca="false">IF(OR(A57="",B57=""),"",IF(AND(F57&lt;&gt;"",G57&lt;&gt;"",G57&lt;=Paramètres!$B$7,H57="O",I57="O",J57="O",K57="O"),"O","N"))</f>
        <v/>
      </c>
      <c r="M57" s="7" t="str">
        <f aca="false">IF(L57="","",MAX(0,F57-Paramètres!$B$5))</f>
        <v/>
      </c>
      <c r="N57" s="9" t="str">
        <f aca="false">IF(L57="","",IF(L57="O",M57*Paramètres!$B$6,0))</f>
        <v/>
      </c>
      <c r="O57" s="7" t="str">
        <f aca="false">IF(L57="","",COUNTIFS(Présences!$A$5:$A$1204,A57,Présences!$B$5:$B$1204,B57,Présences!$D$5:$D$1204,"&lt;&gt;O"))</f>
        <v/>
      </c>
      <c r="P57" s="9" t="str">
        <f aca="false">IF(L57="","",IF(O57&gt;0,ROUND(N57/O57,0),0))</f>
        <v/>
      </c>
      <c r="Q57" s="20"/>
    </row>
    <row r="58" customFormat="false" ht="15" hidden="false" customHeight="false" outlineLevel="0" collapsed="false">
      <c r="A58" s="16"/>
      <c r="B58" s="20"/>
      <c r="C58" s="20"/>
      <c r="D58" s="20"/>
      <c r="E58" s="20"/>
      <c r="F58" s="17"/>
      <c r="G58" s="23"/>
      <c r="H58" s="24"/>
      <c r="I58" s="24"/>
      <c r="J58" s="24"/>
      <c r="K58" s="24"/>
      <c r="L58" s="25" t="str">
        <f aca="false">IF(OR(A58="",B58=""),"",IF(AND(F58&lt;&gt;"",G58&lt;&gt;"",G58&lt;=Paramètres!$B$7,H58="O",I58="O",J58="O",K58="O"),"O","N"))</f>
        <v/>
      </c>
      <c r="M58" s="7" t="str">
        <f aca="false">IF(L58="","",MAX(0,F58-Paramètres!$B$5))</f>
        <v/>
      </c>
      <c r="N58" s="9" t="str">
        <f aca="false">IF(L58="","",IF(L58="O",M58*Paramètres!$B$6,0))</f>
        <v/>
      </c>
      <c r="O58" s="7" t="str">
        <f aca="false">IF(L58="","",COUNTIFS(Présences!$A$5:$A$1204,A58,Présences!$B$5:$B$1204,B58,Présences!$D$5:$D$1204,"&lt;&gt;O"))</f>
        <v/>
      </c>
      <c r="P58" s="9" t="str">
        <f aca="false">IF(L58="","",IF(O58&gt;0,ROUND(N58/O58,0),0))</f>
        <v/>
      </c>
      <c r="Q58" s="20"/>
    </row>
    <row r="59" customFormat="false" ht="15" hidden="false" customHeight="false" outlineLevel="0" collapsed="false">
      <c r="A59" s="16"/>
      <c r="B59" s="20"/>
      <c r="C59" s="20"/>
      <c r="D59" s="20"/>
      <c r="E59" s="20"/>
      <c r="F59" s="17"/>
      <c r="G59" s="23"/>
      <c r="H59" s="24"/>
      <c r="I59" s="24"/>
      <c r="J59" s="24"/>
      <c r="K59" s="24"/>
      <c r="L59" s="25" t="str">
        <f aca="false">IF(OR(A59="",B59=""),"",IF(AND(F59&lt;&gt;"",G59&lt;&gt;"",G59&lt;=Paramètres!$B$7,H59="O",I59="O",J59="O",K59="O"),"O","N"))</f>
        <v/>
      </c>
      <c r="M59" s="7" t="str">
        <f aca="false">IF(L59="","",MAX(0,F59-Paramètres!$B$5))</f>
        <v/>
      </c>
      <c r="N59" s="9" t="str">
        <f aca="false">IF(L59="","",IF(L59="O",M59*Paramètres!$B$6,0))</f>
        <v/>
      </c>
      <c r="O59" s="7" t="str">
        <f aca="false">IF(L59="","",COUNTIFS(Présences!$A$5:$A$1204,A59,Présences!$B$5:$B$1204,B59,Présences!$D$5:$D$1204,"&lt;&gt;O"))</f>
        <v/>
      </c>
      <c r="P59" s="9" t="str">
        <f aca="false">IF(L59="","",IF(O59&gt;0,ROUND(N59/O59,0),0))</f>
        <v/>
      </c>
      <c r="Q59" s="20"/>
    </row>
    <row r="60" customFormat="false" ht="15" hidden="false" customHeight="false" outlineLevel="0" collapsed="false">
      <c r="A60" s="16"/>
      <c r="B60" s="20"/>
      <c r="C60" s="20"/>
      <c r="D60" s="20"/>
      <c r="E60" s="20"/>
      <c r="F60" s="17"/>
      <c r="G60" s="23"/>
      <c r="H60" s="24"/>
      <c r="I60" s="24"/>
      <c r="J60" s="24"/>
      <c r="K60" s="24"/>
      <c r="L60" s="25" t="str">
        <f aca="false">IF(OR(A60="",B60=""),"",IF(AND(F60&lt;&gt;"",G60&lt;&gt;"",G60&lt;=Paramètres!$B$7,H60="O",I60="O",J60="O",K60="O"),"O","N"))</f>
        <v/>
      </c>
      <c r="M60" s="7" t="str">
        <f aca="false">IF(L60="","",MAX(0,F60-Paramètres!$B$5))</f>
        <v/>
      </c>
      <c r="N60" s="9" t="str">
        <f aca="false">IF(L60="","",IF(L60="O",M60*Paramètres!$B$6,0))</f>
        <v/>
      </c>
      <c r="O60" s="7" t="str">
        <f aca="false">IF(L60="","",COUNTIFS(Présences!$A$5:$A$1204,A60,Présences!$B$5:$B$1204,B60,Présences!$D$5:$D$1204,"&lt;&gt;O"))</f>
        <v/>
      </c>
      <c r="P60" s="9" t="str">
        <f aca="false">IF(L60="","",IF(O60&gt;0,ROUND(N60/O60,0),0))</f>
        <v/>
      </c>
      <c r="Q60" s="20"/>
    </row>
    <row r="61" customFormat="false" ht="15" hidden="false" customHeight="false" outlineLevel="0" collapsed="false">
      <c r="A61" s="16"/>
      <c r="B61" s="20"/>
      <c r="C61" s="20"/>
      <c r="D61" s="20"/>
      <c r="E61" s="20"/>
      <c r="F61" s="17"/>
      <c r="G61" s="23"/>
      <c r="H61" s="24"/>
      <c r="I61" s="24"/>
      <c r="J61" s="24"/>
      <c r="K61" s="24"/>
      <c r="L61" s="25" t="str">
        <f aca="false">IF(OR(A61="",B61=""),"",IF(AND(F61&lt;&gt;"",G61&lt;&gt;"",G61&lt;=Paramètres!$B$7,H61="O",I61="O",J61="O",K61="O"),"O","N"))</f>
        <v/>
      </c>
      <c r="M61" s="7" t="str">
        <f aca="false">IF(L61="","",MAX(0,F61-Paramètres!$B$5))</f>
        <v/>
      </c>
      <c r="N61" s="9" t="str">
        <f aca="false">IF(L61="","",IF(L61="O",M61*Paramètres!$B$6,0))</f>
        <v/>
      </c>
      <c r="O61" s="7" t="str">
        <f aca="false">IF(L61="","",COUNTIFS(Présences!$A$5:$A$1204,A61,Présences!$B$5:$B$1204,B61,Présences!$D$5:$D$1204,"&lt;&gt;O"))</f>
        <v/>
      </c>
      <c r="P61" s="9" t="str">
        <f aca="false">IF(L61="","",IF(O61&gt;0,ROUND(N61/O61,0),0))</f>
        <v/>
      </c>
      <c r="Q61" s="20"/>
    </row>
    <row r="62" customFormat="false" ht="15" hidden="false" customHeight="false" outlineLevel="0" collapsed="false">
      <c r="A62" s="16"/>
      <c r="B62" s="20"/>
      <c r="C62" s="20"/>
      <c r="D62" s="20"/>
      <c r="E62" s="20"/>
      <c r="F62" s="17"/>
      <c r="G62" s="23"/>
      <c r="H62" s="24"/>
      <c r="I62" s="24"/>
      <c r="J62" s="24"/>
      <c r="K62" s="24"/>
      <c r="L62" s="25" t="str">
        <f aca="false">IF(OR(A62="",B62=""),"",IF(AND(F62&lt;&gt;"",G62&lt;&gt;"",G62&lt;=Paramètres!$B$7,H62="O",I62="O",J62="O",K62="O"),"O","N"))</f>
        <v/>
      </c>
      <c r="M62" s="7" t="str">
        <f aca="false">IF(L62="","",MAX(0,F62-Paramètres!$B$5))</f>
        <v/>
      </c>
      <c r="N62" s="9" t="str">
        <f aca="false">IF(L62="","",IF(L62="O",M62*Paramètres!$B$6,0))</f>
        <v/>
      </c>
      <c r="O62" s="7" t="str">
        <f aca="false">IF(L62="","",COUNTIFS(Présences!$A$5:$A$1204,A62,Présences!$B$5:$B$1204,B62,Présences!$D$5:$D$1204,"&lt;&gt;O"))</f>
        <v/>
      </c>
      <c r="P62" s="9" t="str">
        <f aca="false">IF(L62="","",IF(O62&gt;0,ROUND(N62/O62,0),0))</f>
        <v/>
      </c>
      <c r="Q62" s="20"/>
    </row>
    <row r="63" customFormat="false" ht="15" hidden="false" customHeight="false" outlineLevel="0" collapsed="false">
      <c r="A63" s="16"/>
      <c r="B63" s="20"/>
      <c r="C63" s="20"/>
      <c r="D63" s="20"/>
      <c r="E63" s="20"/>
      <c r="F63" s="17"/>
      <c r="G63" s="23"/>
      <c r="H63" s="24"/>
      <c r="I63" s="24"/>
      <c r="J63" s="24"/>
      <c r="K63" s="24"/>
      <c r="L63" s="25" t="str">
        <f aca="false">IF(OR(A63="",B63=""),"",IF(AND(F63&lt;&gt;"",G63&lt;&gt;"",G63&lt;=Paramètres!$B$7,H63="O",I63="O",J63="O",K63="O"),"O","N"))</f>
        <v/>
      </c>
      <c r="M63" s="7" t="str">
        <f aca="false">IF(L63="","",MAX(0,F63-Paramètres!$B$5))</f>
        <v/>
      </c>
      <c r="N63" s="9" t="str">
        <f aca="false">IF(L63="","",IF(L63="O",M63*Paramètres!$B$6,0))</f>
        <v/>
      </c>
      <c r="O63" s="7" t="str">
        <f aca="false">IF(L63="","",COUNTIFS(Présences!$A$5:$A$1204,A63,Présences!$B$5:$B$1204,B63,Présences!$D$5:$D$1204,"&lt;&gt;O"))</f>
        <v/>
      </c>
      <c r="P63" s="9" t="str">
        <f aca="false">IF(L63="","",IF(O63&gt;0,ROUND(N63/O63,0),0))</f>
        <v/>
      </c>
      <c r="Q63" s="20"/>
    </row>
    <row r="64" customFormat="false" ht="15" hidden="false" customHeight="false" outlineLevel="0" collapsed="false">
      <c r="A64" s="16"/>
      <c r="B64" s="20"/>
      <c r="C64" s="20"/>
      <c r="D64" s="20"/>
      <c r="E64" s="20"/>
      <c r="F64" s="17"/>
      <c r="G64" s="23"/>
      <c r="H64" s="24"/>
      <c r="I64" s="24"/>
      <c r="J64" s="24"/>
      <c r="K64" s="24"/>
      <c r="L64" s="25" t="str">
        <f aca="false">IF(OR(A64="",B64=""),"",IF(AND(F64&lt;&gt;"",G64&lt;&gt;"",G64&lt;=Paramètres!$B$7,H64="O",I64="O",J64="O",K64="O"),"O","N"))</f>
        <v/>
      </c>
      <c r="M64" s="7" t="str">
        <f aca="false">IF(L64="","",MAX(0,F64-Paramètres!$B$5))</f>
        <v/>
      </c>
      <c r="N64" s="9" t="str">
        <f aca="false">IF(L64="","",IF(L64="O",M64*Paramètres!$B$6,0))</f>
        <v/>
      </c>
      <c r="O64" s="7" t="str">
        <f aca="false">IF(L64="","",COUNTIFS(Présences!$A$5:$A$1204,A64,Présences!$B$5:$B$1204,B64,Présences!$D$5:$D$1204,"&lt;&gt;O"))</f>
        <v/>
      </c>
      <c r="P64" s="9" t="str">
        <f aca="false">IF(L64="","",IF(O64&gt;0,ROUND(N64/O64,0),0))</f>
        <v/>
      </c>
      <c r="Q64" s="20"/>
    </row>
    <row r="65" customFormat="false" ht="15" hidden="false" customHeight="false" outlineLevel="0" collapsed="false">
      <c r="A65" s="16"/>
      <c r="B65" s="20"/>
      <c r="C65" s="20"/>
      <c r="D65" s="20"/>
      <c r="E65" s="20"/>
      <c r="F65" s="17"/>
      <c r="G65" s="23"/>
      <c r="H65" s="24"/>
      <c r="I65" s="24"/>
      <c r="J65" s="24"/>
      <c r="K65" s="24"/>
      <c r="L65" s="25" t="str">
        <f aca="false">IF(OR(A65="",B65=""),"",IF(AND(F65&lt;&gt;"",G65&lt;&gt;"",G65&lt;=Paramètres!$B$7,H65="O",I65="O",J65="O",K65="O"),"O","N"))</f>
        <v/>
      </c>
      <c r="M65" s="7" t="str">
        <f aca="false">IF(L65="","",MAX(0,F65-Paramètres!$B$5))</f>
        <v/>
      </c>
      <c r="N65" s="9" t="str">
        <f aca="false">IF(L65="","",IF(L65="O",M65*Paramètres!$B$6,0))</f>
        <v/>
      </c>
      <c r="O65" s="7" t="str">
        <f aca="false">IF(L65="","",COUNTIFS(Présences!$A$5:$A$1204,A65,Présences!$B$5:$B$1204,B65,Présences!$D$5:$D$1204,"&lt;&gt;O"))</f>
        <v/>
      </c>
      <c r="P65" s="9" t="str">
        <f aca="false">IF(L65="","",IF(O65&gt;0,ROUND(N65/O65,0),0))</f>
        <v/>
      </c>
      <c r="Q65" s="20"/>
    </row>
    <row r="66" customFormat="false" ht="15" hidden="false" customHeight="false" outlineLevel="0" collapsed="false">
      <c r="A66" s="16"/>
      <c r="B66" s="20"/>
      <c r="C66" s="20"/>
      <c r="D66" s="20"/>
      <c r="E66" s="20"/>
      <c r="F66" s="17"/>
      <c r="G66" s="23"/>
      <c r="H66" s="24"/>
      <c r="I66" s="24"/>
      <c r="J66" s="24"/>
      <c r="K66" s="24"/>
      <c r="L66" s="25" t="str">
        <f aca="false">IF(OR(A66="",B66=""),"",IF(AND(F66&lt;&gt;"",G66&lt;&gt;"",G66&lt;=Paramètres!$B$7,H66="O",I66="O",J66="O",K66="O"),"O","N"))</f>
        <v/>
      </c>
      <c r="M66" s="7" t="str">
        <f aca="false">IF(L66="","",MAX(0,F66-Paramètres!$B$5))</f>
        <v/>
      </c>
      <c r="N66" s="9" t="str">
        <f aca="false">IF(L66="","",IF(L66="O",M66*Paramètres!$B$6,0))</f>
        <v/>
      </c>
      <c r="O66" s="7" t="str">
        <f aca="false">IF(L66="","",COUNTIFS(Présences!$A$5:$A$1204,A66,Présences!$B$5:$B$1204,B66,Présences!$D$5:$D$1204,"&lt;&gt;O"))</f>
        <v/>
      </c>
      <c r="P66" s="9" t="str">
        <f aca="false">IF(L66="","",IF(O66&gt;0,ROUND(N66/O66,0),0))</f>
        <v/>
      </c>
      <c r="Q66" s="20"/>
    </row>
    <row r="67" customFormat="false" ht="15" hidden="false" customHeight="false" outlineLevel="0" collapsed="false">
      <c r="A67" s="16"/>
      <c r="B67" s="20"/>
      <c r="C67" s="20"/>
      <c r="D67" s="20"/>
      <c r="E67" s="20"/>
      <c r="F67" s="17"/>
      <c r="G67" s="23"/>
      <c r="H67" s="24"/>
      <c r="I67" s="24"/>
      <c r="J67" s="24"/>
      <c r="K67" s="24"/>
      <c r="L67" s="25" t="str">
        <f aca="false">IF(OR(A67="",B67=""),"",IF(AND(F67&lt;&gt;"",G67&lt;&gt;"",G67&lt;=Paramètres!$B$7,H67="O",I67="O",J67="O",K67="O"),"O","N"))</f>
        <v/>
      </c>
      <c r="M67" s="7" t="str">
        <f aca="false">IF(L67="","",MAX(0,F67-Paramètres!$B$5))</f>
        <v/>
      </c>
      <c r="N67" s="9" t="str">
        <f aca="false">IF(L67="","",IF(L67="O",M67*Paramètres!$B$6,0))</f>
        <v/>
      </c>
      <c r="O67" s="7" t="str">
        <f aca="false">IF(L67="","",COUNTIFS(Présences!$A$5:$A$1204,A67,Présences!$B$5:$B$1204,B67,Présences!$D$5:$D$1204,"&lt;&gt;O"))</f>
        <v/>
      </c>
      <c r="P67" s="9" t="str">
        <f aca="false">IF(L67="","",IF(O67&gt;0,ROUND(N67/O67,0),0))</f>
        <v/>
      </c>
      <c r="Q67" s="20"/>
    </row>
    <row r="68" customFormat="false" ht="15" hidden="false" customHeight="false" outlineLevel="0" collapsed="false">
      <c r="A68" s="16"/>
      <c r="B68" s="20"/>
      <c r="C68" s="20"/>
      <c r="D68" s="20"/>
      <c r="E68" s="20"/>
      <c r="F68" s="17"/>
      <c r="G68" s="23"/>
      <c r="H68" s="24"/>
      <c r="I68" s="24"/>
      <c r="J68" s="24"/>
      <c r="K68" s="24"/>
      <c r="L68" s="25" t="str">
        <f aca="false">IF(OR(A68="",B68=""),"",IF(AND(F68&lt;&gt;"",G68&lt;&gt;"",G68&lt;=Paramètres!$B$7,H68="O",I68="O",J68="O",K68="O"),"O","N"))</f>
        <v/>
      </c>
      <c r="M68" s="7" t="str">
        <f aca="false">IF(L68="","",MAX(0,F68-Paramètres!$B$5))</f>
        <v/>
      </c>
      <c r="N68" s="9" t="str">
        <f aca="false">IF(L68="","",IF(L68="O",M68*Paramètres!$B$6,0))</f>
        <v/>
      </c>
      <c r="O68" s="7" t="str">
        <f aca="false">IF(L68="","",COUNTIFS(Présences!$A$5:$A$1204,A68,Présences!$B$5:$B$1204,B68,Présences!$D$5:$D$1204,"&lt;&gt;O"))</f>
        <v/>
      </c>
      <c r="P68" s="9" t="str">
        <f aca="false">IF(L68="","",IF(O68&gt;0,ROUND(N68/O68,0),0))</f>
        <v/>
      </c>
      <c r="Q68" s="20"/>
    </row>
    <row r="69" customFormat="false" ht="15" hidden="false" customHeight="false" outlineLevel="0" collapsed="false">
      <c r="A69" s="16"/>
      <c r="B69" s="20"/>
      <c r="C69" s="20"/>
      <c r="D69" s="20"/>
      <c r="E69" s="20"/>
      <c r="F69" s="17"/>
      <c r="G69" s="23"/>
      <c r="H69" s="24"/>
      <c r="I69" s="24"/>
      <c r="J69" s="24"/>
      <c r="K69" s="24"/>
      <c r="L69" s="25" t="str">
        <f aca="false">IF(OR(A69="",B69=""),"",IF(AND(F69&lt;&gt;"",G69&lt;&gt;"",G69&lt;=Paramètres!$B$7,H69="O",I69="O",J69="O",K69="O"),"O","N"))</f>
        <v/>
      </c>
      <c r="M69" s="7" t="str">
        <f aca="false">IF(L69="","",MAX(0,F69-Paramètres!$B$5))</f>
        <v/>
      </c>
      <c r="N69" s="9" t="str">
        <f aca="false">IF(L69="","",IF(L69="O",M69*Paramètres!$B$6,0))</f>
        <v/>
      </c>
      <c r="O69" s="7" t="str">
        <f aca="false">IF(L69="","",COUNTIFS(Présences!$A$5:$A$1204,A69,Présences!$B$5:$B$1204,B69,Présences!$D$5:$D$1204,"&lt;&gt;O"))</f>
        <v/>
      </c>
      <c r="P69" s="9" t="str">
        <f aca="false">IF(L69="","",IF(O69&gt;0,ROUND(N69/O69,0),0))</f>
        <v/>
      </c>
      <c r="Q69" s="20"/>
    </row>
    <row r="70" customFormat="false" ht="15" hidden="false" customHeight="false" outlineLevel="0" collapsed="false">
      <c r="A70" s="16"/>
      <c r="B70" s="20"/>
      <c r="C70" s="20"/>
      <c r="D70" s="20"/>
      <c r="E70" s="20"/>
      <c r="F70" s="17"/>
      <c r="G70" s="23"/>
      <c r="H70" s="24"/>
      <c r="I70" s="24"/>
      <c r="J70" s="24"/>
      <c r="K70" s="24"/>
      <c r="L70" s="25" t="str">
        <f aca="false">IF(OR(A70="",B70=""),"",IF(AND(F70&lt;&gt;"",G70&lt;&gt;"",G70&lt;=Paramètres!$B$7,H70="O",I70="O",J70="O",K70="O"),"O","N"))</f>
        <v/>
      </c>
      <c r="M70" s="7" t="str">
        <f aca="false">IF(L70="","",MAX(0,F70-Paramètres!$B$5))</f>
        <v/>
      </c>
      <c r="N70" s="9" t="str">
        <f aca="false">IF(L70="","",IF(L70="O",M70*Paramètres!$B$6,0))</f>
        <v/>
      </c>
      <c r="O70" s="7" t="str">
        <f aca="false">IF(L70="","",COUNTIFS(Présences!$A$5:$A$1204,A70,Présences!$B$5:$B$1204,B70,Présences!$D$5:$D$1204,"&lt;&gt;O"))</f>
        <v/>
      </c>
      <c r="P70" s="9" t="str">
        <f aca="false">IF(L70="","",IF(O70&gt;0,ROUND(N70/O70,0),0))</f>
        <v/>
      </c>
      <c r="Q70" s="20"/>
    </row>
    <row r="71" customFormat="false" ht="15" hidden="false" customHeight="false" outlineLevel="0" collapsed="false">
      <c r="A71" s="16"/>
      <c r="B71" s="20"/>
      <c r="C71" s="20"/>
      <c r="D71" s="20"/>
      <c r="E71" s="20"/>
      <c r="F71" s="17"/>
      <c r="G71" s="23"/>
      <c r="H71" s="24"/>
      <c r="I71" s="24"/>
      <c r="J71" s="24"/>
      <c r="K71" s="24"/>
      <c r="L71" s="25" t="str">
        <f aca="false">IF(OR(A71="",B71=""),"",IF(AND(F71&lt;&gt;"",G71&lt;&gt;"",G71&lt;=Paramètres!$B$7,H71="O",I71="O",J71="O",K71="O"),"O","N"))</f>
        <v/>
      </c>
      <c r="M71" s="7" t="str">
        <f aca="false">IF(L71="","",MAX(0,F71-Paramètres!$B$5))</f>
        <v/>
      </c>
      <c r="N71" s="9" t="str">
        <f aca="false">IF(L71="","",IF(L71="O",M71*Paramètres!$B$6,0))</f>
        <v/>
      </c>
      <c r="O71" s="7" t="str">
        <f aca="false">IF(L71="","",COUNTIFS(Présences!$A$5:$A$1204,A71,Présences!$B$5:$B$1204,B71,Présences!$D$5:$D$1204,"&lt;&gt;O"))</f>
        <v/>
      </c>
      <c r="P71" s="9" t="str">
        <f aca="false">IF(L71="","",IF(O71&gt;0,ROUND(N71/O71,0),0))</f>
        <v/>
      </c>
      <c r="Q71" s="20"/>
    </row>
    <row r="72" customFormat="false" ht="15" hidden="false" customHeight="false" outlineLevel="0" collapsed="false">
      <c r="A72" s="16"/>
      <c r="B72" s="20"/>
      <c r="C72" s="20"/>
      <c r="D72" s="20"/>
      <c r="E72" s="20"/>
      <c r="F72" s="17"/>
      <c r="G72" s="23"/>
      <c r="H72" s="24"/>
      <c r="I72" s="24"/>
      <c r="J72" s="24"/>
      <c r="K72" s="24"/>
      <c r="L72" s="25" t="str">
        <f aca="false">IF(OR(A72="",B72=""),"",IF(AND(F72&lt;&gt;"",G72&lt;&gt;"",G72&lt;=Paramètres!$B$7,H72="O",I72="O",J72="O",K72="O"),"O","N"))</f>
        <v/>
      </c>
      <c r="M72" s="7" t="str">
        <f aca="false">IF(L72="","",MAX(0,F72-Paramètres!$B$5))</f>
        <v/>
      </c>
      <c r="N72" s="9" t="str">
        <f aca="false">IF(L72="","",IF(L72="O",M72*Paramètres!$B$6,0))</f>
        <v/>
      </c>
      <c r="O72" s="7" t="str">
        <f aca="false">IF(L72="","",COUNTIFS(Présences!$A$5:$A$1204,A72,Présences!$B$5:$B$1204,B72,Présences!$D$5:$D$1204,"&lt;&gt;O"))</f>
        <v/>
      </c>
      <c r="P72" s="9" t="str">
        <f aca="false">IF(L72="","",IF(O72&gt;0,ROUND(N72/O72,0),0))</f>
        <v/>
      </c>
      <c r="Q72" s="20"/>
    </row>
    <row r="73" customFormat="false" ht="15" hidden="false" customHeight="false" outlineLevel="0" collapsed="false">
      <c r="A73" s="16"/>
      <c r="B73" s="20"/>
      <c r="C73" s="20"/>
      <c r="D73" s="20"/>
      <c r="E73" s="20"/>
      <c r="F73" s="17"/>
      <c r="G73" s="23"/>
      <c r="H73" s="24"/>
      <c r="I73" s="24"/>
      <c r="J73" s="24"/>
      <c r="K73" s="24"/>
      <c r="L73" s="25" t="str">
        <f aca="false">IF(OR(A73="",B73=""),"",IF(AND(F73&lt;&gt;"",G73&lt;&gt;"",G73&lt;=Paramètres!$B$7,H73="O",I73="O",J73="O",K73="O"),"O","N"))</f>
        <v/>
      </c>
      <c r="M73" s="7" t="str">
        <f aca="false">IF(L73="","",MAX(0,F73-Paramètres!$B$5))</f>
        <v/>
      </c>
      <c r="N73" s="9" t="str">
        <f aca="false">IF(L73="","",IF(L73="O",M73*Paramètres!$B$6,0))</f>
        <v/>
      </c>
      <c r="O73" s="7" t="str">
        <f aca="false">IF(L73="","",COUNTIFS(Présences!$A$5:$A$1204,A73,Présences!$B$5:$B$1204,B73,Présences!$D$5:$D$1204,"&lt;&gt;O"))</f>
        <v/>
      </c>
      <c r="P73" s="9" t="str">
        <f aca="false">IF(L73="","",IF(O73&gt;0,ROUND(N73/O73,0),0))</f>
        <v/>
      </c>
      <c r="Q73" s="20"/>
    </row>
    <row r="74" customFormat="false" ht="15" hidden="false" customHeight="false" outlineLevel="0" collapsed="false">
      <c r="A74" s="16"/>
      <c r="B74" s="20"/>
      <c r="C74" s="20"/>
      <c r="D74" s="20"/>
      <c r="E74" s="20"/>
      <c r="F74" s="17"/>
      <c r="G74" s="23"/>
      <c r="H74" s="24"/>
      <c r="I74" s="24"/>
      <c r="J74" s="24"/>
      <c r="K74" s="24"/>
      <c r="L74" s="25" t="str">
        <f aca="false">IF(OR(A74="",B74=""),"",IF(AND(F74&lt;&gt;"",G74&lt;&gt;"",G74&lt;=Paramètres!$B$7,H74="O",I74="O",J74="O",K74="O"),"O","N"))</f>
        <v/>
      </c>
      <c r="M74" s="7" t="str">
        <f aca="false">IF(L74="","",MAX(0,F74-Paramètres!$B$5))</f>
        <v/>
      </c>
      <c r="N74" s="9" t="str">
        <f aca="false">IF(L74="","",IF(L74="O",M74*Paramètres!$B$6,0))</f>
        <v/>
      </c>
      <c r="O74" s="7" t="str">
        <f aca="false">IF(L74="","",COUNTIFS(Présences!$A$5:$A$1204,A74,Présences!$B$5:$B$1204,B74,Présences!$D$5:$D$1204,"&lt;&gt;O"))</f>
        <v/>
      </c>
      <c r="P74" s="9" t="str">
        <f aca="false">IF(L74="","",IF(O74&gt;0,ROUND(N74/O74,0),0))</f>
        <v/>
      </c>
      <c r="Q74" s="20"/>
    </row>
    <row r="75" customFormat="false" ht="15" hidden="false" customHeight="false" outlineLevel="0" collapsed="false">
      <c r="A75" s="16"/>
      <c r="B75" s="20"/>
      <c r="C75" s="20"/>
      <c r="D75" s="20"/>
      <c r="E75" s="20"/>
      <c r="F75" s="17"/>
      <c r="G75" s="23"/>
      <c r="H75" s="24"/>
      <c r="I75" s="24"/>
      <c r="J75" s="24"/>
      <c r="K75" s="24"/>
      <c r="L75" s="25" t="str">
        <f aca="false">IF(OR(A75="",B75=""),"",IF(AND(F75&lt;&gt;"",G75&lt;&gt;"",G75&lt;=Paramètres!$B$7,H75="O",I75="O",J75="O",K75="O"),"O","N"))</f>
        <v/>
      </c>
      <c r="M75" s="7" t="str">
        <f aca="false">IF(L75="","",MAX(0,F75-Paramètres!$B$5))</f>
        <v/>
      </c>
      <c r="N75" s="9" t="str">
        <f aca="false">IF(L75="","",IF(L75="O",M75*Paramètres!$B$6,0))</f>
        <v/>
      </c>
      <c r="O75" s="7" t="str">
        <f aca="false">IF(L75="","",COUNTIFS(Présences!$A$5:$A$1204,A75,Présences!$B$5:$B$1204,B75,Présences!$D$5:$D$1204,"&lt;&gt;O"))</f>
        <v/>
      </c>
      <c r="P75" s="9" t="str">
        <f aca="false">IF(L75="","",IF(O75&gt;0,ROUND(N75/O75,0),0))</f>
        <v/>
      </c>
      <c r="Q75" s="20"/>
    </row>
    <row r="76" customFormat="false" ht="15" hidden="false" customHeight="false" outlineLevel="0" collapsed="false">
      <c r="A76" s="16"/>
      <c r="B76" s="20"/>
      <c r="C76" s="20"/>
      <c r="D76" s="20"/>
      <c r="E76" s="20"/>
      <c r="F76" s="17"/>
      <c r="G76" s="23"/>
      <c r="H76" s="24"/>
      <c r="I76" s="24"/>
      <c r="J76" s="24"/>
      <c r="K76" s="24"/>
      <c r="L76" s="25" t="str">
        <f aca="false">IF(OR(A76="",B76=""),"",IF(AND(F76&lt;&gt;"",G76&lt;&gt;"",G76&lt;=Paramètres!$B$7,H76="O",I76="O",J76="O",K76="O"),"O","N"))</f>
        <v/>
      </c>
      <c r="M76" s="7" t="str">
        <f aca="false">IF(L76="","",MAX(0,F76-Paramètres!$B$5))</f>
        <v/>
      </c>
      <c r="N76" s="9" t="str">
        <f aca="false">IF(L76="","",IF(L76="O",M76*Paramètres!$B$6,0))</f>
        <v/>
      </c>
      <c r="O76" s="7" t="str">
        <f aca="false">IF(L76="","",COUNTIFS(Présences!$A$5:$A$1204,A76,Présences!$B$5:$B$1204,B76,Présences!$D$5:$D$1204,"&lt;&gt;O"))</f>
        <v/>
      </c>
      <c r="P76" s="9" t="str">
        <f aca="false">IF(L76="","",IF(O76&gt;0,ROUND(N76/O76,0),0))</f>
        <v/>
      </c>
      <c r="Q76" s="20"/>
    </row>
    <row r="77" customFormat="false" ht="15" hidden="false" customHeight="false" outlineLevel="0" collapsed="false">
      <c r="A77" s="16"/>
      <c r="B77" s="20"/>
      <c r="C77" s="20"/>
      <c r="D77" s="20"/>
      <c r="E77" s="20"/>
      <c r="F77" s="17"/>
      <c r="G77" s="23"/>
      <c r="H77" s="24"/>
      <c r="I77" s="24"/>
      <c r="J77" s="24"/>
      <c r="K77" s="24"/>
      <c r="L77" s="25" t="str">
        <f aca="false">IF(OR(A77="",B77=""),"",IF(AND(F77&lt;&gt;"",G77&lt;&gt;"",G77&lt;=Paramètres!$B$7,H77="O",I77="O",J77="O",K77="O"),"O","N"))</f>
        <v/>
      </c>
      <c r="M77" s="7" t="str">
        <f aca="false">IF(L77="","",MAX(0,F77-Paramètres!$B$5))</f>
        <v/>
      </c>
      <c r="N77" s="9" t="str">
        <f aca="false">IF(L77="","",IF(L77="O",M77*Paramètres!$B$6,0))</f>
        <v/>
      </c>
      <c r="O77" s="7" t="str">
        <f aca="false">IF(L77="","",COUNTIFS(Présences!$A$5:$A$1204,A77,Présences!$B$5:$B$1204,B77,Présences!$D$5:$D$1204,"&lt;&gt;O"))</f>
        <v/>
      </c>
      <c r="P77" s="9" t="str">
        <f aca="false">IF(L77="","",IF(O77&gt;0,ROUND(N77/O77,0),0))</f>
        <v/>
      </c>
      <c r="Q77" s="20"/>
    </row>
    <row r="78" customFormat="false" ht="15" hidden="false" customHeight="false" outlineLevel="0" collapsed="false">
      <c r="A78" s="16"/>
      <c r="B78" s="20"/>
      <c r="C78" s="20"/>
      <c r="D78" s="20"/>
      <c r="E78" s="20"/>
      <c r="F78" s="17"/>
      <c r="G78" s="23"/>
      <c r="H78" s="24"/>
      <c r="I78" s="24"/>
      <c r="J78" s="24"/>
      <c r="K78" s="24"/>
      <c r="L78" s="25" t="str">
        <f aca="false">IF(OR(A78="",B78=""),"",IF(AND(F78&lt;&gt;"",G78&lt;&gt;"",G78&lt;=Paramètres!$B$7,H78="O",I78="O",J78="O",K78="O"),"O","N"))</f>
        <v/>
      </c>
      <c r="M78" s="7" t="str">
        <f aca="false">IF(L78="","",MAX(0,F78-Paramètres!$B$5))</f>
        <v/>
      </c>
      <c r="N78" s="9" t="str">
        <f aca="false">IF(L78="","",IF(L78="O",M78*Paramètres!$B$6,0))</f>
        <v/>
      </c>
      <c r="O78" s="7" t="str">
        <f aca="false">IF(L78="","",COUNTIFS(Présences!$A$5:$A$1204,A78,Présences!$B$5:$B$1204,B78,Présences!$D$5:$D$1204,"&lt;&gt;O"))</f>
        <v/>
      </c>
      <c r="P78" s="9" t="str">
        <f aca="false">IF(L78="","",IF(O78&gt;0,ROUND(N78/O78,0),0))</f>
        <v/>
      </c>
      <c r="Q78" s="20"/>
    </row>
    <row r="79" customFormat="false" ht="15" hidden="false" customHeight="false" outlineLevel="0" collapsed="false">
      <c r="A79" s="16"/>
      <c r="B79" s="20"/>
      <c r="C79" s="20"/>
      <c r="D79" s="20"/>
      <c r="E79" s="20"/>
      <c r="F79" s="17"/>
      <c r="G79" s="23"/>
      <c r="H79" s="24"/>
      <c r="I79" s="24"/>
      <c r="J79" s="24"/>
      <c r="K79" s="24"/>
      <c r="L79" s="25" t="str">
        <f aca="false">IF(OR(A79="",B79=""),"",IF(AND(F79&lt;&gt;"",G79&lt;&gt;"",G79&lt;=Paramètres!$B$7,H79="O",I79="O",J79="O",K79="O"),"O","N"))</f>
        <v/>
      </c>
      <c r="M79" s="7" t="str">
        <f aca="false">IF(L79="","",MAX(0,F79-Paramètres!$B$5))</f>
        <v/>
      </c>
      <c r="N79" s="9" t="str">
        <f aca="false">IF(L79="","",IF(L79="O",M79*Paramètres!$B$6,0))</f>
        <v/>
      </c>
      <c r="O79" s="7" t="str">
        <f aca="false">IF(L79="","",COUNTIFS(Présences!$A$5:$A$1204,A79,Présences!$B$5:$B$1204,B79,Présences!$D$5:$D$1204,"&lt;&gt;O"))</f>
        <v/>
      </c>
      <c r="P79" s="9" t="str">
        <f aca="false">IF(L79="","",IF(O79&gt;0,ROUND(N79/O79,0),0))</f>
        <v/>
      </c>
      <c r="Q79" s="20"/>
    </row>
    <row r="80" customFormat="false" ht="15" hidden="false" customHeight="false" outlineLevel="0" collapsed="false">
      <c r="A80" s="16"/>
      <c r="B80" s="20"/>
      <c r="C80" s="20"/>
      <c r="D80" s="20"/>
      <c r="E80" s="20"/>
      <c r="F80" s="17"/>
      <c r="G80" s="23"/>
      <c r="H80" s="24"/>
      <c r="I80" s="24"/>
      <c r="J80" s="24"/>
      <c r="K80" s="24"/>
      <c r="L80" s="25" t="str">
        <f aca="false">IF(OR(A80="",B80=""),"",IF(AND(F80&lt;&gt;"",G80&lt;&gt;"",G80&lt;=Paramètres!$B$7,H80="O",I80="O",J80="O",K80="O"),"O","N"))</f>
        <v/>
      </c>
      <c r="M80" s="7" t="str">
        <f aca="false">IF(L80="","",MAX(0,F80-Paramètres!$B$5))</f>
        <v/>
      </c>
      <c r="N80" s="9" t="str">
        <f aca="false">IF(L80="","",IF(L80="O",M80*Paramètres!$B$6,0))</f>
        <v/>
      </c>
      <c r="O80" s="7" t="str">
        <f aca="false">IF(L80="","",COUNTIFS(Présences!$A$5:$A$1204,A80,Présences!$B$5:$B$1204,B80,Présences!$D$5:$D$1204,"&lt;&gt;O"))</f>
        <v/>
      </c>
      <c r="P80" s="9" t="str">
        <f aca="false">IF(L80="","",IF(O80&gt;0,ROUND(N80/O80,0),0))</f>
        <v/>
      </c>
      <c r="Q80" s="20"/>
    </row>
    <row r="81" customFormat="false" ht="15" hidden="false" customHeight="false" outlineLevel="0" collapsed="false">
      <c r="A81" s="16"/>
      <c r="B81" s="20"/>
      <c r="C81" s="20"/>
      <c r="D81" s="20"/>
      <c r="E81" s="20"/>
      <c r="F81" s="17"/>
      <c r="G81" s="23"/>
      <c r="H81" s="24"/>
      <c r="I81" s="24"/>
      <c r="J81" s="24"/>
      <c r="K81" s="24"/>
      <c r="L81" s="25" t="str">
        <f aca="false">IF(OR(A81="",B81=""),"",IF(AND(F81&lt;&gt;"",G81&lt;&gt;"",G81&lt;=Paramètres!$B$7,H81="O",I81="O",J81="O",K81="O"),"O","N"))</f>
        <v/>
      </c>
      <c r="M81" s="7" t="str">
        <f aca="false">IF(L81="","",MAX(0,F81-Paramètres!$B$5))</f>
        <v/>
      </c>
      <c r="N81" s="9" t="str">
        <f aca="false">IF(L81="","",IF(L81="O",M81*Paramètres!$B$6,0))</f>
        <v/>
      </c>
      <c r="O81" s="7" t="str">
        <f aca="false">IF(L81="","",COUNTIFS(Présences!$A$5:$A$1204,A81,Présences!$B$5:$B$1204,B81,Présences!$D$5:$D$1204,"&lt;&gt;O"))</f>
        <v/>
      </c>
      <c r="P81" s="9" t="str">
        <f aca="false">IF(L81="","",IF(O81&gt;0,ROUND(N81/O81,0),0))</f>
        <v/>
      </c>
      <c r="Q81" s="20"/>
    </row>
    <row r="82" customFormat="false" ht="15" hidden="false" customHeight="false" outlineLevel="0" collapsed="false">
      <c r="A82" s="16"/>
      <c r="B82" s="20"/>
      <c r="C82" s="20"/>
      <c r="D82" s="20"/>
      <c r="E82" s="20"/>
      <c r="F82" s="17"/>
      <c r="G82" s="23"/>
      <c r="H82" s="24"/>
      <c r="I82" s="24"/>
      <c r="J82" s="24"/>
      <c r="K82" s="24"/>
      <c r="L82" s="25" t="str">
        <f aca="false">IF(OR(A82="",B82=""),"",IF(AND(F82&lt;&gt;"",G82&lt;&gt;"",G82&lt;=Paramètres!$B$7,H82="O",I82="O",J82="O",K82="O"),"O","N"))</f>
        <v/>
      </c>
      <c r="M82" s="7" t="str">
        <f aca="false">IF(L82="","",MAX(0,F82-Paramètres!$B$5))</f>
        <v/>
      </c>
      <c r="N82" s="9" t="str">
        <f aca="false">IF(L82="","",IF(L82="O",M82*Paramètres!$B$6,0))</f>
        <v/>
      </c>
      <c r="O82" s="7" t="str">
        <f aca="false">IF(L82="","",COUNTIFS(Présences!$A$5:$A$1204,A82,Présences!$B$5:$B$1204,B82,Présences!$D$5:$D$1204,"&lt;&gt;O"))</f>
        <v/>
      </c>
      <c r="P82" s="9" t="str">
        <f aca="false">IF(L82="","",IF(O82&gt;0,ROUND(N82/O82,0),0))</f>
        <v/>
      </c>
      <c r="Q82" s="20"/>
    </row>
    <row r="83" customFormat="false" ht="15" hidden="false" customHeight="false" outlineLevel="0" collapsed="false">
      <c r="A83" s="16"/>
      <c r="B83" s="20"/>
      <c r="C83" s="20"/>
      <c r="D83" s="20"/>
      <c r="E83" s="20"/>
      <c r="F83" s="17"/>
      <c r="G83" s="23"/>
      <c r="H83" s="24"/>
      <c r="I83" s="24"/>
      <c r="J83" s="24"/>
      <c r="K83" s="24"/>
      <c r="L83" s="25" t="str">
        <f aca="false">IF(OR(A83="",B83=""),"",IF(AND(F83&lt;&gt;"",G83&lt;&gt;"",G83&lt;=Paramètres!$B$7,H83="O",I83="O",J83="O",K83="O"),"O","N"))</f>
        <v/>
      </c>
      <c r="M83" s="7" t="str">
        <f aca="false">IF(L83="","",MAX(0,F83-Paramètres!$B$5))</f>
        <v/>
      </c>
      <c r="N83" s="9" t="str">
        <f aca="false">IF(L83="","",IF(L83="O",M83*Paramètres!$B$6,0))</f>
        <v/>
      </c>
      <c r="O83" s="7" t="str">
        <f aca="false">IF(L83="","",COUNTIFS(Présences!$A$5:$A$1204,A83,Présences!$B$5:$B$1204,B83,Présences!$D$5:$D$1204,"&lt;&gt;O"))</f>
        <v/>
      </c>
      <c r="P83" s="9" t="str">
        <f aca="false">IF(L83="","",IF(O83&gt;0,ROUND(N83/O83,0),0))</f>
        <v/>
      </c>
      <c r="Q83" s="20"/>
    </row>
    <row r="84" customFormat="false" ht="15" hidden="false" customHeight="false" outlineLevel="0" collapsed="false">
      <c r="A84" s="16"/>
      <c r="B84" s="20"/>
      <c r="C84" s="20"/>
      <c r="D84" s="20"/>
      <c r="E84" s="20"/>
      <c r="F84" s="17"/>
      <c r="G84" s="23"/>
      <c r="H84" s="24"/>
      <c r="I84" s="24"/>
      <c r="J84" s="24"/>
      <c r="K84" s="24"/>
      <c r="L84" s="25" t="str">
        <f aca="false">IF(OR(A84="",B84=""),"",IF(AND(F84&lt;&gt;"",G84&lt;&gt;"",G84&lt;=Paramètres!$B$7,H84="O",I84="O",J84="O",K84="O"),"O","N"))</f>
        <v/>
      </c>
      <c r="M84" s="7" t="str">
        <f aca="false">IF(L84="","",MAX(0,F84-Paramètres!$B$5))</f>
        <v/>
      </c>
      <c r="N84" s="9" t="str">
        <f aca="false">IF(L84="","",IF(L84="O",M84*Paramètres!$B$6,0))</f>
        <v/>
      </c>
      <c r="O84" s="7" t="str">
        <f aca="false">IF(L84="","",COUNTIFS(Présences!$A$5:$A$1204,A84,Présences!$B$5:$B$1204,B84,Présences!$D$5:$D$1204,"&lt;&gt;O"))</f>
        <v/>
      </c>
      <c r="P84" s="9" t="str">
        <f aca="false">IF(L84="","",IF(O84&gt;0,ROUND(N84/O84,0),0))</f>
        <v/>
      </c>
      <c r="Q84" s="20"/>
    </row>
    <row r="85" customFormat="false" ht="15" hidden="false" customHeight="false" outlineLevel="0" collapsed="false">
      <c r="A85" s="16"/>
      <c r="B85" s="20"/>
      <c r="C85" s="20"/>
      <c r="D85" s="20"/>
      <c r="E85" s="20"/>
      <c r="F85" s="17"/>
      <c r="G85" s="23"/>
      <c r="H85" s="24"/>
      <c r="I85" s="24"/>
      <c r="J85" s="24"/>
      <c r="K85" s="24"/>
      <c r="L85" s="25" t="str">
        <f aca="false">IF(OR(A85="",B85=""),"",IF(AND(F85&lt;&gt;"",G85&lt;&gt;"",G85&lt;=Paramètres!$B$7,H85="O",I85="O",J85="O",K85="O"),"O","N"))</f>
        <v/>
      </c>
      <c r="M85" s="7" t="str">
        <f aca="false">IF(L85="","",MAX(0,F85-Paramètres!$B$5))</f>
        <v/>
      </c>
      <c r="N85" s="9" t="str">
        <f aca="false">IF(L85="","",IF(L85="O",M85*Paramètres!$B$6,0))</f>
        <v/>
      </c>
      <c r="O85" s="7" t="str">
        <f aca="false">IF(L85="","",COUNTIFS(Présences!$A$5:$A$1204,A85,Présences!$B$5:$B$1204,B85,Présences!$D$5:$D$1204,"&lt;&gt;O"))</f>
        <v/>
      </c>
      <c r="P85" s="9" t="str">
        <f aca="false">IF(L85="","",IF(O85&gt;0,ROUND(N85/O85,0),0))</f>
        <v/>
      </c>
      <c r="Q85" s="20"/>
    </row>
    <row r="86" customFormat="false" ht="15" hidden="false" customHeight="false" outlineLevel="0" collapsed="false">
      <c r="A86" s="16"/>
      <c r="B86" s="20"/>
      <c r="C86" s="20"/>
      <c r="D86" s="20"/>
      <c r="E86" s="20"/>
      <c r="F86" s="17"/>
      <c r="G86" s="23"/>
      <c r="H86" s="24"/>
      <c r="I86" s="24"/>
      <c r="J86" s="24"/>
      <c r="K86" s="24"/>
      <c r="L86" s="25" t="str">
        <f aca="false">IF(OR(A86="",B86=""),"",IF(AND(F86&lt;&gt;"",G86&lt;&gt;"",G86&lt;=Paramètres!$B$7,H86="O",I86="O",J86="O",K86="O"),"O","N"))</f>
        <v/>
      </c>
      <c r="M86" s="7" t="str">
        <f aca="false">IF(L86="","",MAX(0,F86-Paramètres!$B$5))</f>
        <v/>
      </c>
      <c r="N86" s="9" t="str">
        <f aca="false">IF(L86="","",IF(L86="O",M86*Paramètres!$B$6,0))</f>
        <v/>
      </c>
      <c r="O86" s="7" t="str">
        <f aca="false">IF(L86="","",COUNTIFS(Présences!$A$5:$A$1204,A86,Présences!$B$5:$B$1204,B86,Présences!$D$5:$D$1204,"&lt;&gt;O"))</f>
        <v/>
      </c>
      <c r="P86" s="9" t="str">
        <f aca="false">IF(L86="","",IF(O86&gt;0,ROUND(N86/O86,0),0))</f>
        <v/>
      </c>
      <c r="Q86" s="20"/>
    </row>
    <row r="87" customFormat="false" ht="15" hidden="false" customHeight="false" outlineLevel="0" collapsed="false">
      <c r="A87" s="16"/>
      <c r="B87" s="20"/>
      <c r="C87" s="20"/>
      <c r="D87" s="20"/>
      <c r="E87" s="20"/>
      <c r="F87" s="17"/>
      <c r="G87" s="23"/>
      <c r="H87" s="24"/>
      <c r="I87" s="24"/>
      <c r="J87" s="24"/>
      <c r="K87" s="24"/>
      <c r="L87" s="25" t="str">
        <f aca="false">IF(OR(A87="",B87=""),"",IF(AND(F87&lt;&gt;"",G87&lt;&gt;"",G87&lt;=Paramètres!$B$7,H87="O",I87="O",J87="O",K87="O"),"O","N"))</f>
        <v/>
      </c>
      <c r="M87" s="7" t="str">
        <f aca="false">IF(L87="","",MAX(0,F87-Paramètres!$B$5))</f>
        <v/>
      </c>
      <c r="N87" s="9" t="str">
        <f aca="false">IF(L87="","",IF(L87="O",M87*Paramètres!$B$6,0))</f>
        <v/>
      </c>
      <c r="O87" s="7" t="str">
        <f aca="false">IF(L87="","",COUNTIFS(Présences!$A$5:$A$1204,A87,Présences!$B$5:$B$1204,B87,Présences!$D$5:$D$1204,"&lt;&gt;O"))</f>
        <v/>
      </c>
      <c r="P87" s="9" t="str">
        <f aca="false">IF(L87="","",IF(O87&gt;0,ROUND(N87/O87,0),0))</f>
        <v/>
      </c>
      <c r="Q87" s="20"/>
    </row>
    <row r="88" customFormat="false" ht="15" hidden="false" customHeight="false" outlineLevel="0" collapsed="false">
      <c r="A88" s="16"/>
      <c r="B88" s="20"/>
      <c r="C88" s="20"/>
      <c r="D88" s="20"/>
      <c r="E88" s="20"/>
      <c r="F88" s="17"/>
      <c r="G88" s="23"/>
      <c r="H88" s="24"/>
      <c r="I88" s="24"/>
      <c r="J88" s="24"/>
      <c r="K88" s="24"/>
      <c r="L88" s="25" t="str">
        <f aca="false">IF(OR(A88="",B88=""),"",IF(AND(F88&lt;&gt;"",G88&lt;&gt;"",G88&lt;=Paramètres!$B$7,H88="O",I88="O",J88="O",K88="O"),"O","N"))</f>
        <v/>
      </c>
      <c r="M88" s="7" t="str">
        <f aca="false">IF(L88="","",MAX(0,F88-Paramètres!$B$5))</f>
        <v/>
      </c>
      <c r="N88" s="9" t="str">
        <f aca="false">IF(L88="","",IF(L88="O",M88*Paramètres!$B$6,0))</f>
        <v/>
      </c>
      <c r="O88" s="7" t="str">
        <f aca="false">IF(L88="","",COUNTIFS(Présences!$A$5:$A$1204,A88,Présences!$B$5:$B$1204,B88,Présences!$D$5:$D$1204,"&lt;&gt;O"))</f>
        <v/>
      </c>
      <c r="P88" s="9" t="str">
        <f aca="false">IF(L88="","",IF(O88&gt;0,ROUND(N88/O88,0),0))</f>
        <v/>
      </c>
      <c r="Q88" s="20"/>
    </row>
    <row r="89" customFormat="false" ht="15" hidden="false" customHeight="false" outlineLevel="0" collapsed="false">
      <c r="A89" s="16"/>
      <c r="B89" s="20"/>
      <c r="C89" s="20"/>
      <c r="D89" s="20"/>
      <c r="E89" s="20"/>
      <c r="F89" s="17"/>
      <c r="G89" s="23"/>
      <c r="H89" s="24"/>
      <c r="I89" s="24"/>
      <c r="J89" s="24"/>
      <c r="K89" s="24"/>
      <c r="L89" s="25" t="str">
        <f aca="false">IF(OR(A89="",B89=""),"",IF(AND(F89&lt;&gt;"",G89&lt;&gt;"",G89&lt;=Paramètres!$B$7,H89="O",I89="O",J89="O",K89="O"),"O","N"))</f>
        <v/>
      </c>
      <c r="M89" s="7" t="str">
        <f aca="false">IF(L89="","",MAX(0,F89-Paramètres!$B$5))</f>
        <v/>
      </c>
      <c r="N89" s="9" t="str">
        <f aca="false">IF(L89="","",IF(L89="O",M89*Paramètres!$B$6,0))</f>
        <v/>
      </c>
      <c r="O89" s="7" t="str">
        <f aca="false">IF(L89="","",COUNTIFS(Présences!$A$5:$A$1204,A89,Présences!$B$5:$B$1204,B89,Présences!$D$5:$D$1204,"&lt;&gt;O"))</f>
        <v/>
      </c>
      <c r="P89" s="9" t="str">
        <f aca="false">IF(L89="","",IF(O89&gt;0,ROUND(N89/O89,0),0))</f>
        <v/>
      </c>
      <c r="Q89" s="20"/>
    </row>
    <row r="90" customFormat="false" ht="15" hidden="false" customHeight="false" outlineLevel="0" collapsed="false">
      <c r="A90" s="16"/>
      <c r="B90" s="20"/>
      <c r="C90" s="20"/>
      <c r="D90" s="20"/>
      <c r="E90" s="20"/>
      <c r="F90" s="17"/>
      <c r="G90" s="23"/>
      <c r="H90" s="24"/>
      <c r="I90" s="24"/>
      <c r="J90" s="24"/>
      <c r="K90" s="24"/>
      <c r="L90" s="25" t="str">
        <f aca="false">IF(OR(A90="",B90=""),"",IF(AND(F90&lt;&gt;"",G90&lt;&gt;"",G90&lt;=Paramètres!$B$7,H90="O",I90="O",J90="O",K90="O"),"O","N"))</f>
        <v/>
      </c>
      <c r="M90" s="7" t="str">
        <f aca="false">IF(L90="","",MAX(0,F90-Paramètres!$B$5))</f>
        <v/>
      </c>
      <c r="N90" s="9" t="str">
        <f aca="false">IF(L90="","",IF(L90="O",M90*Paramètres!$B$6,0))</f>
        <v/>
      </c>
      <c r="O90" s="7" t="str">
        <f aca="false">IF(L90="","",COUNTIFS(Présences!$A$5:$A$1204,A90,Présences!$B$5:$B$1204,B90,Présences!$D$5:$D$1204,"&lt;&gt;O"))</f>
        <v/>
      </c>
      <c r="P90" s="9" t="str">
        <f aca="false">IF(L90="","",IF(O90&gt;0,ROUND(N90/O90,0),0))</f>
        <v/>
      </c>
      <c r="Q90" s="20"/>
    </row>
    <row r="91" customFormat="false" ht="15" hidden="false" customHeight="false" outlineLevel="0" collapsed="false">
      <c r="A91" s="16"/>
      <c r="B91" s="20"/>
      <c r="C91" s="20"/>
      <c r="D91" s="20"/>
      <c r="E91" s="20"/>
      <c r="F91" s="17"/>
      <c r="G91" s="23"/>
      <c r="H91" s="24"/>
      <c r="I91" s="24"/>
      <c r="J91" s="24"/>
      <c r="K91" s="24"/>
      <c r="L91" s="25" t="str">
        <f aca="false">IF(OR(A91="",B91=""),"",IF(AND(F91&lt;&gt;"",G91&lt;&gt;"",G91&lt;=Paramètres!$B$7,H91="O",I91="O",J91="O",K91="O"),"O","N"))</f>
        <v/>
      </c>
      <c r="M91" s="7" t="str">
        <f aca="false">IF(L91="","",MAX(0,F91-Paramètres!$B$5))</f>
        <v/>
      </c>
      <c r="N91" s="9" t="str">
        <f aca="false">IF(L91="","",IF(L91="O",M91*Paramètres!$B$6,0))</f>
        <v/>
      </c>
      <c r="O91" s="7" t="str">
        <f aca="false">IF(L91="","",COUNTIFS(Présences!$A$5:$A$1204,A91,Présences!$B$5:$B$1204,B91,Présences!$D$5:$D$1204,"&lt;&gt;O"))</f>
        <v/>
      </c>
      <c r="P91" s="9" t="str">
        <f aca="false">IF(L91="","",IF(O91&gt;0,ROUND(N91/O91,0),0))</f>
        <v/>
      </c>
      <c r="Q91" s="20"/>
    </row>
    <row r="92" customFormat="false" ht="15" hidden="false" customHeight="false" outlineLevel="0" collapsed="false">
      <c r="A92" s="16"/>
      <c r="B92" s="20"/>
      <c r="C92" s="20"/>
      <c r="D92" s="20"/>
      <c r="E92" s="20"/>
      <c r="F92" s="17"/>
      <c r="G92" s="23"/>
      <c r="H92" s="24"/>
      <c r="I92" s="24"/>
      <c r="J92" s="24"/>
      <c r="K92" s="24"/>
      <c r="L92" s="25" t="str">
        <f aca="false">IF(OR(A92="",B92=""),"",IF(AND(F92&lt;&gt;"",G92&lt;&gt;"",G92&lt;=Paramètres!$B$7,H92="O",I92="O",J92="O",K92="O"),"O","N"))</f>
        <v/>
      </c>
      <c r="M92" s="7" t="str">
        <f aca="false">IF(L92="","",MAX(0,F92-Paramètres!$B$5))</f>
        <v/>
      </c>
      <c r="N92" s="9" t="str">
        <f aca="false">IF(L92="","",IF(L92="O",M92*Paramètres!$B$6,0))</f>
        <v/>
      </c>
      <c r="O92" s="7" t="str">
        <f aca="false">IF(L92="","",COUNTIFS(Présences!$A$5:$A$1204,A92,Présences!$B$5:$B$1204,B92,Présences!$D$5:$D$1204,"&lt;&gt;O"))</f>
        <v/>
      </c>
      <c r="P92" s="9" t="str">
        <f aca="false">IF(L92="","",IF(O92&gt;0,ROUND(N92/O92,0),0))</f>
        <v/>
      </c>
      <c r="Q92" s="20"/>
    </row>
    <row r="93" customFormat="false" ht="15" hidden="false" customHeight="false" outlineLevel="0" collapsed="false">
      <c r="A93" s="16"/>
      <c r="B93" s="20"/>
      <c r="C93" s="20"/>
      <c r="D93" s="20"/>
      <c r="E93" s="20"/>
      <c r="F93" s="17"/>
      <c r="G93" s="23"/>
      <c r="H93" s="24"/>
      <c r="I93" s="24"/>
      <c r="J93" s="24"/>
      <c r="K93" s="24"/>
      <c r="L93" s="25" t="str">
        <f aca="false">IF(OR(A93="",B93=""),"",IF(AND(F93&lt;&gt;"",G93&lt;&gt;"",G93&lt;=Paramètres!$B$7,H93="O",I93="O",J93="O",K93="O"),"O","N"))</f>
        <v/>
      </c>
      <c r="M93" s="7" t="str">
        <f aca="false">IF(L93="","",MAX(0,F93-Paramètres!$B$5))</f>
        <v/>
      </c>
      <c r="N93" s="9" t="str">
        <f aca="false">IF(L93="","",IF(L93="O",M93*Paramètres!$B$6,0))</f>
        <v/>
      </c>
      <c r="O93" s="7" t="str">
        <f aca="false">IF(L93="","",COUNTIFS(Présences!$A$5:$A$1204,A93,Présences!$B$5:$B$1204,B93,Présences!$D$5:$D$1204,"&lt;&gt;O"))</f>
        <v/>
      </c>
      <c r="P93" s="9" t="str">
        <f aca="false">IF(L93="","",IF(O93&gt;0,ROUND(N93/O93,0),0))</f>
        <v/>
      </c>
      <c r="Q93" s="20"/>
    </row>
    <row r="94" customFormat="false" ht="15" hidden="false" customHeight="false" outlineLevel="0" collapsed="false">
      <c r="A94" s="16"/>
      <c r="B94" s="20"/>
      <c r="C94" s="20"/>
      <c r="D94" s="20"/>
      <c r="E94" s="20"/>
      <c r="F94" s="17"/>
      <c r="G94" s="23"/>
      <c r="H94" s="24"/>
      <c r="I94" s="24"/>
      <c r="J94" s="24"/>
      <c r="K94" s="24"/>
      <c r="L94" s="25" t="str">
        <f aca="false">IF(OR(A94="",B94=""),"",IF(AND(F94&lt;&gt;"",G94&lt;&gt;"",G94&lt;=Paramètres!$B$7,H94="O",I94="O",J94="O",K94="O"),"O","N"))</f>
        <v/>
      </c>
      <c r="M94" s="7" t="str">
        <f aca="false">IF(L94="","",MAX(0,F94-Paramètres!$B$5))</f>
        <v/>
      </c>
      <c r="N94" s="9" t="str">
        <f aca="false">IF(L94="","",IF(L94="O",M94*Paramètres!$B$6,0))</f>
        <v/>
      </c>
      <c r="O94" s="7" t="str">
        <f aca="false">IF(L94="","",COUNTIFS(Présences!$A$5:$A$1204,A94,Présences!$B$5:$B$1204,B94,Présences!$D$5:$D$1204,"&lt;&gt;O"))</f>
        <v/>
      </c>
      <c r="P94" s="9" t="str">
        <f aca="false">IF(L94="","",IF(O94&gt;0,ROUND(N94/O94,0),0))</f>
        <v/>
      </c>
      <c r="Q94" s="20"/>
    </row>
    <row r="95" customFormat="false" ht="15" hidden="false" customHeight="false" outlineLevel="0" collapsed="false">
      <c r="A95" s="16"/>
      <c r="B95" s="20"/>
      <c r="C95" s="20"/>
      <c r="D95" s="20"/>
      <c r="E95" s="20"/>
      <c r="F95" s="17"/>
      <c r="G95" s="23"/>
      <c r="H95" s="24"/>
      <c r="I95" s="24"/>
      <c r="J95" s="24"/>
      <c r="K95" s="24"/>
      <c r="L95" s="25" t="str">
        <f aca="false">IF(OR(A95="",B95=""),"",IF(AND(F95&lt;&gt;"",G95&lt;&gt;"",G95&lt;=Paramètres!$B$7,H95="O",I95="O",J95="O",K95="O"),"O","N"))</f>
        <v/>
      </c>
      <c r="M95" s="7" t="str">
        <f aca="false">IF(L95="","",MAX(0,F95-Paramètres!$B$5))</f>
        <v/>
      </c>
      <c r="N95" s="9" t="str">
        <f aca="false">IF(L95="","",IF(L95="O",M95*Paramètres!$B$6,0))</f>
        <v/>
      </c>
      <c r="O95" s="7" t="str">
        <f aca="false">IF(L95="","",COUNTIFS(Présences!$A$5:$A$1204,A95,Présences!$B$5:$B$1204,B95,Présences!$D$5:$D$1204,"&lt;&gt;O"))</f>
        <v/>
      </c>
      <c r="P95" s="9" t="str">
        <f aca="false">IF(L95="","",IF(O95&gt;0,ROUND(N95/O95,0),0))</f>
        <v/>
      </c>
      <c r="Q95" s="20"/>
    </row>
    <row r="96" customFormat="false" ht="15" hidden="false" customHeight="false" outlineLevel="0" collapsed="false">
      <c r="A96" s="16"/>
      <c r="B96" s="20"/>
      <c r="C96" s="20"/>
      <c r="D96" s="20"/>
      <c r="E96" s="20"/>
      <c r="F96" s="17"/>
      <c r="G96" s="23"/>
      <c r="H96" s="24"/>
      <c r="I96" s="24"/>
      <c r="J96" s="24"/>
      <c r="K96" s="24"/>
      <c r="L96" s="25" t="str">
        <f aca="false">IF(OR(A96="",B96=""),"",IF(AND(F96&lt;&gt;"",G96&lt;&gt;"",G96&lt;=Paramètres!$B$7,H96="O",I96="O",J96="O",K96="O"),"O","N"))</f>
        <v/>
      </c>
      <c r="M96" s="7" t="str">
        <f aca="false">IF(L96="","",MAX(0,F96-Paramètres!$B$5))</f>
        <v/>
      </c>
      <c r="N96" s="9" t="str">
        <f aca="false">IF(L96="","",IF(L96="O",M96*Paramètres!$B$6,0))</f>
        <v/>
      </c>
      <c r="O96" s="7" t="str">
        <f aca="false">IF(L96="","",COUNTIFS(Présences!$A$5:$A$1204,A96,Présences!$B$5:$B$1204,B96,Présences!$D$5:$D$1204,"&lt;&gt;O"))</f>
        <v/>
      </c>
      <c r="P96" s="9" t="str">
        <f aca="false">IF(L96="","",IF(O96&gt;0,ROUND(N96/O96,0),0))</f>
        <v/>
      </c>
      <c r="Q96" s="20"/>
    </row>
    <row r="97" customFormat="false" ht="15" hidden="false" customHeight="false" outlineLevel="0" collapsed="false">
      <c r="A97" s="16"/>
      <c r="B97" s="20"/>
      <c r="C97" s="20"/>
      <c r="D97" s="20"/>
      <c r="E97" s="20"/>
      <c r="F97" s="17"/>
      <c r="G97" s="23"/>
      <c r="H97" s="24"/>
      <c r="I97" s="24"/>
      <c r="J97" s="24"/>
      <c r="K97" s="24"/>
      <c r="L97" s="25" t="str">
        <f aca="false">IF(OR(A97="",B97=""),"",IF(AND(F97&lt;&gt;"",G97&lt;&gt;"",G97&lt;=Paramètres!$B$7,H97="O",I97="O",J97="O",K97="O"),"O","N"))</f>
        <v/>
      </c>
      <c r="M97" s="7" t="str">
        <f aca="false">IF(L97="","",MAX(0,F97-Paramètres!$B$5))</f>
        <v/>
      </c>
      <c r="N97" s="9" t="str">
        <f aca="false">IF(L97="","",IF(L97="O",M97*Paramètres!$B$6,0))</f>
        <v/>
      </c>
      <c r="O97" s="7" t="str">
        <f aca="false">IF(L97="","",COUNTIFS(Présences!$A$5:$A$1204,A97,Présences!$B$5:$B$1204,B97,Présences!$D$5:$D$1204,"&lt;&gt;O"))</f>
        <v/>
      </c>
      <c r="P97" s="9" t="str">
        <f aca="false">IF(L97="","",IF(O97&gt;0,ROUND(N97/O97,0),0))</f>
        <v/>
      </c>
      <c r="Q97" s="20"/>
    </row>
    <row r="98" customFormat="false" ht="15" hidden="false" customHeight="false" outlineLevel="0" collapsed="false">
      <c r="A98" s="16"/>
      <c r="B98" s="20"/>
      <c r="C98" s="20"/>
      <c r="D98" s="20"/>
      <c r="E98" s="20"/>
      <c r="F98" s="17"/>
      <c r="G98" s="23"/>
      <c r="H98" s="24"/>
      <c r="I98" s="24"/>
      <c r="J98" s="24"/>
      <c r="K98" s="24"/>
      <c r="L98" s="25" t="str">
        <f aca="false">IF(OR(A98="",B98=""),"",IF(AND(F98&lt;&gt;"",G98&lt;&gt;"",G98&lt;=Paramètres!$B$7,H98="O",I98="O",J98="O",K98="O"),"O","N"))</f>
        <v/>
      </c>
      <c r="M98" s="7" t="str">
        <f aca="false">IF(L98="","",MAX(0,F98-Paramètres!$B$5))</f>
        <v/>
      </c>
      <c r="N98" s="9" t="str">
        <f aca="false">IF(L98="","",IF(L98="O",M98*Paramètres!$B$6,0))</f>
        <v/>
      </c>
      <c r="O98" s="7" t="str">
        <f aca="false">IF(L98="","",COUNTIFS(Présences!$A$5:$A$1204,A98,Présences!$B$5:$B$1204,B98,Présences!$D$5:$D$1204,"&lt;&gt;O"))</f>
        <v/>
      </c>
      <c r="P98" s="9" t="str">
        <f aca="false">IF(L98="","",IF(O98&gt;0,ROUND(N98/O98,0),0))</f>
        <v/>
      </c>
      <c r="Q98" s="20"/>
    </row>
    <row r="99" customFormat="false" ht="15" hidden="false" customHeight="false" outlineLevel="0" collapsed="false">
      <c r="A99" s="16"/>
      <c r="B99" s="20"/>
      <c r="C99" s="20"/>
      <c r="D99" s="20"/>
      <c r="E99" s="20"/>
      <c r="F99" s="17"/>
      <c r="G99" s="23"/>
      <c r="H99" s="24"/>
      <c r="I99" s="24"/>
      <c r="J99" s="24"/>
      <c r="K99" s="24"/>
      <c r="L99" s="25" t="str">
        <f aca="false">IF(OR(A99="",B99=""),"",IF(AND(F99&lt;&gt;"",G99&lt;&gt;"",G99&lt;=Paramètres!$B$7,H99="O",I99="O",J99="O",K99="O"),"O","N"))</f>
        <v/>
      </c>
      <c r="M99" s="7" t="str">
        <f aca="false">IF(L99="","",MAX(0,F99-Paramètres!$B$5))</f>
        <v/>
      </c>
      <c r="N99" s="9" t="str">
        <f aca="false">IF(L99="","",IF(L99="O",M99*Paramètres!$B$6,0))</f>
        <v/>
      </c>
      <c r="O99" s="7" t="str">
        <f aca="false">IF(L99="","",COUNTIFS(Présences!$A$5:$A$1204,A99,Présences!$B$5:$B$1204,B99,Présences!$D$5:$D$1204,"&lt;&gt;O"))</f>
        <v/>
      </c>
      <c r="P99" s="9" t="str">
        <f aca="false">IF(L99="","",IF(O99&gt;0,ROUND(N99/O99,0),0))</f>
        <v/>
      </c>
      <c r="Q99" s="20"/>
    </row>
    <row r="100" customFormat="false" ht="15" hidden="false" customHeight="false" outlineLevel="0" collapsed="false">
      <c r="A100" s="16"/>
      <c r="B100" s="20"/>
      <c r="C100" s="20"/>
      <c r="D100" s="20"/>
      <c r="E100" s="20"/>
      <c r="F100" s="17"/>
      <c r="G100" s="23"/>
      <c r="H100" s="24"/>
      <c r="I100" s="24"/>
      <c r="J100" s="24"/>
      <c r="K100" s="24"/>
      <c r="L100" s="25" t="str">
        <f aca="false">IF(OR(A100="",B100=""),"",IF(AND(F100&lt;&gt;"",G100&lt;&gt;"",G100&lt;=Paramètres!$B$7,H100="O",I100="O",J100="O",K100="O"),"O","N"))</f>
        <v/>
      </c>
      <c r="M100" s="7" t="str">
        <f aca="false">IF(L100="","",MAX(0,F100-Paramètres!$B$5))</f>
        <v/>
      </c>
      <c r="N100" s="9" t="str">
        <f aca="false">IF(L100="","",IF(L100="O",M100*Paramètres!$B$6,0))</f>
        <v/>
      </c>
      <c r="O100" s="7" t="str">
        <f aca="false">IF(L100="","",COUNTIFS(Présences!$A$5:$A$1204,A100,Présences!$B$5:$B$1204,B100,Présences!$D$5:$D$1204,"&lt;&gt;O"))</f>
        <v/>
      </c>
      <c r="P100" s="9" t="str">
        <f aca="false">IF(L100="","",IF(O100&gt;0,ROUND(N100/O100,0),0))</f>
        <v/>
      </c>
      <c r="Q100" s="20"/>
    </row>
    <row r="101" customFormat="false" ht="15" hidden="false" customHeight="false" outlineLevel="0" collapsed="false">
      <c r="A101" s="16"/>
      <c r="B101" s="20"/>
      <c r="C101" s="20"/>
      <c r="D101" s="20"/>
      <c r="E101" s="20"/>
      <c r="F101" s="17"/>
      <c r="G101" s="23"/>
      <c r="H101" s="24"/>
      <c r="I101" s="24"/>
      <c r="J101" s="24"/>
      <c r="K101" s="24"/>
      <c r="L101" s="25" t="str">
        <f aca="false">IF(OR(A101="",B101=""),"",IF(AND(F101&lt;&gt;"",G101&lt;&gt;"",G101&lt;=Paramètres!$B$7,H101="O",I101="O",J101="O",K101="O"),"O","N"))</f>
        <v/>
      </c>
      <c r="M101" s="7" t="str">
        <f aca="false">IF(L101="","",MAX(0,F101-Paramètres!$B$5))</f>
        <v/>
      </c>
      <c r="N101" s="9" t="str">
        <f aca="false">IF(L101="","",IF(L101="O",M101*Paramètres!$B$6,0))</f>
        <v/>
      </c>
      <c r="O101" s="7" t="str">
        <f aca="false">IF(L101="","",COUNTIFS(Présences!$A$5:$A$1204,A101,Présences!$B$5:$B$1204,B101,Présences!$D$5:$D$1204,"&lt;&gt;O"))</f>
        <v/>
      </c>
      <c r="P101" s="9" t="str">
        <f aca="false">IF(L101="","",IF(O101&gt;0,ROUND(N101/O101,0),0))</f>
        <v/>
      </c>
      <c r="Q101" s="20"/>
    </row>
    <row r="102" customFormat="false" ht="15" hidden="false" customHeight="false" outlineLevel="0" collapsed="false">
      <c r="A102" s="16"/>
      <c r="B102" s="20"/>
      <c r="C102" s="20"/>
      <c r="D102" s="20"/>
      <c r="E102" s="20"/>
      <c r="F102" s="17"/>
      <c r="G102" s="23"/>
      <c r="H102" s="24"/>
      <c r="I102" s="24"/>
      <c r="J102" s="24"/>
      <c r="K102" s="24"/>
      <c r="L102" s="25" t="str">
        <f aca="false">IF(OR(A102="",B102=""),"",IF(AND(F102&lt;&gt;"",G102&lt;&gt;"",G102&lt;=Paramètres!$B$7,H102="O",I102="O",J102="O",K102="O"),"O","N"))</f>
        <v/>
      </c>
      <c r="M102" s="7" t="str">
        <f aca="false">IF(L102="","",MAX(0,F102-Paramètres!$B$5))</f>
        <v/>
      </c>
      <c r="N102" s="9" t="str">
        <f aca="false">IF(L102="","",IF(L102="O",M102*Paramètres!$B$6,0))</f>
        <v/>
      </c>
      <c r="O102" s="7" t="str">
        <f aca="false">IF(L102="","",COUNTIFS(Présences!$A$5:$A$1204,A102,Présences!$B$5:$B$1204,B102,Présences!$D$5:$D$1204,"&lt;&gt;O"))</f>
        <v/>
      </c>
      <c r="P102" s="9" t="str">
        <f aca="false">IF(L102="","",IF(O102&gt;0,ROUND(N102/O102,0),0))</f>
        <v/>
      </c>
      <c r="Q102" s="20"/>
    </row>
    <row r="103" customFormat="false" ht="15" hidden="false" customHeight="false" outlineLevel="0" collapsed="false">
      <c r="A103" s="16"/>
      <c r="B103" s="20"/>
      <c r="C103" s="20"/>
      <c r="D103" s="20"/>
      <c r="E103" s="20"/>
      <c r="F103" s="17"/>
      <c r="G103" s="23"/>
      <c r="H103" s="24"/>
      <c r="I103" s="24"/>
      <c r="J103" s="24"/>
      <c r="K103" s="24"/>
      <c r="L103" s="25" t="str">
        <f aca="false">IF(OR(A103="",B103=""),"",IF(AND(F103&lt;&gt;"",G103&lt;&gt;"",G103&lt;=Paramètres!$B$7,H103="O",I103="O",J103="O",K103="O"),"O","N"))</f>
        <v/>
      </c>
      <c r="M103" s="7" t="str">
        <f aca="false">IF(L103="","",MAX(0,F103-Paramètres!$B$5))</f>
        <v/>
      </c>
      <c r="N103" s="9" t="str">
        <f aca="false">IF(L103="","",IF(L103="O",M103*Paramètres!$B$6,0))</f>
        <v/>
      </c>
      <c r="O103" s="7" t="str">
        <f aca="false">IF(L103="","",COUNTIFS(Présences!$A$5:$A$1204,A103,Présences!$B$5:$B$1204,B103,Présences!$D$5:$D$1204,"&lt;&gt;O"))</f>
        <v/>
      </c>
      <c r="P103" s="9" t="str">
        <f aca="false">IF(L103="","",IF(O103&gt;0,ROUND(N103/O103,0),0))</f>
        <v/>
      </c>
      <c r="Q103" s="20"/>
    </row>
    <row r="104" customFormat="false" ht="15" hidden="false" customHeight="false" outlineLevel="0" collapsed="false">
      <c r="A104" s="16"/>
      <c r="B104" s="20"/>
      <c r="C104" s="20"/>
      <c r="D104" s="20"/>
      <c r="E104" s="20"/>
      <c r="F104" s="17"/>
      <c r="G104" s="23"/>
      <c r="H104" s="24"/>
      <c r="I104" s="24"/>
      <c r="J104" s="24"/>
      <c r="K104" s="24"/>
      <c r="L104" s="25" t="str">
        <f aca="false">IF(OR(A104="",B104=""),"",IF(AND(F104&lt;&gt;"",G104&lt;&gt;"",G104&lt;=Paramètres!$B$7,H104="O",I104="O",J104="O",K104="O"),"O","N"))</f>
        <v/>
      </c>
      <c r="M104" s="7" t="str">
        <f aca="false">IF(L104="","",MAX(0,F104-Paramètres!$B$5))</f>
        <v/>
      </c>
      <c r="N104" s="9" t="str">
        <f aca="false">IF(L104="","",IF(L104="O",M104*Paramètres!$B$6,0))</f>
        <v/>
      </c>
      <c r="O104" s="7" t="str">
        <f aca="false">IF(L104="","",COUNTIFS(Présences!$A$5:$A$1204,A104,Présences!$B$5:$B$1204,B104,Présences!$D$5:$D$1204,"&lt;&gt;O"))</f>
        <v/>
      </c>
      <c r="P104" s="9" t="str">
        <f aca="false">IF(L104="","",IF(O104&gt;0,ROUND(N104/O104,0),0))</f>
        <v/>
      </c>
      <c r="Q104" s="20"/>
    </row>
    <row r="105" customFormat="false" ht="15" hidden="false" customHeight="false" outlineLevel="0" collapsed="false">
      <c r="A105" s="16"/>
      <c r="B105" s="20"/>
      <c r="C105" s="20"/>
      <c r="D105" s="20"/>
      <c r="E105" s="20"/>
      <c r="F105" s="17"/>
      <c r="G105" s="23"/>
      <c r="H105" s="24"/>
      <c r="I105" s="24"/>
      <c r="J105" s="24"/>
      <c r="K105" s="24"/>
      <c r="L105" s="25" t="str">
        <f aca="false">IF(OR(A105="",B105=""),"",IF(AND(F105&lt;&gt;"",G105&lt;&gt;"",G105&lt;=Paramètres!$B$7,H105="O",I105="O",J105="O",K105="O"),"O","N"))</f>
        <v/>
      </c>
      <c r="M105" s="7" t="str">
        <f aca="false">IF(L105="","",MAX(0,F105-Paramètres!$B$5))</f>
        <v/>
      </c>
      <c r="N105" s="9" t="str">
        <f aca="false">IF(L105="","",IF(L105="O",M105*Paramètres!$B$6,0))</f>
        <v/>
      </c>
      <c r="O105" s="7" t="str">
        <f aca="false">IF(L105="","",COUNTIFS(Présences!$A$5:$A$1204,A105,Présences!$B$5:$B$1204,B105,Présences!$D$5:$D$1204,"&lt;&gt;O"))</f>
        <v/>
      </c>
      <c r="P105" s="9" t="str">
        <f aca="false">IF(L105="","",IF(O105&gt;0,ROUND(N105/O105,0),0))</f>
        <v/>
      </c>
      <c r="Q105" s="20"/>
    </row>
    <row r="106" customFormat="false" ht="15" hidden="false" customHeight="false" outlineLevel="0" collapsed="false">
      <c r="A106" s="16"/>
      <c r="B106" s="20"/>
      <c r="C106" s="20"/>
      <c r="D106" s="20"/>
      <c r="E106" s="20"/>
      <c r="F106" s="17"/>
      <c r="G106" s="23"/>
      <c r="H106" s="24"/>
      <c r="I106" s="24"/>
      <c r="J106" s="24"/>
      <c r="K106" s="24"/>
      <c r="L106" s="25" t="str">
        <f aca="false">IF(OR(A106="",B106=""),"",IF(AND(F106&lt;&gt;"",G106&lt;&gt;"",G106&lt;=Paramètres!$B$7,H106="O",I106="O",J106="O",K106="O"),"O","N"))</f>
        <v/>
      </c>
      <c r="M106" s="7" t="str">
        <f aca="false">IF(L106="","",MAX(0,F106-Paramètres!$B$5))</f>
        <v/>
      </c>
      <c r="N106" s="9" t="str">
        <f aca="false">IF(L106="","",IF(L106="O",M106*Paramètres!$B$6,0))</f>
        <v/>
      </c>
      <c r="O106" s="7" t="str">
        <f aca="false">IF(L106="","",COUNTIFS(Présences!$A$5:$A$1204,A106,Présences!$B$5:$B$1204,B106,Présences!$D$5:$D$1204,"&lt;&gt;O"))</f>
        <v/>
      </c>
      <c r="P106" s="9" t="str">
        <f aca="false">IF(L106="","",IF(O106&gt;0,ROUND(N106/O106,0),0))</f>
        <v/>
      </c>
      <c r="Q106" s="20"/>
    </row>
    <row r="107" customFormat="false" ht="15" hidden="false" customHeight="false" outlineLevel="0" collapsed="false">
      <c r="A107" s="16"/>
      <c r="B107" s="20"/>
      <c r="C107" s="20"/>
      <c r="D107" s="20"/>
      <c r="E107" s="20"/>
      <c r="F107" s="17"/>
      <c r="G107" s="23"/>
      <c r="H107" s="24"/>
      <c r="I107" s="24"/>
      <c r="J107" s="24"/>
      <c r="K107" s="24"/>
      <c r="L107" s="25" t="str">
        <f aca="false">IF(OR(A107="",B107=""),"",IF(AND(F107&lt;&gt;"",G107&lt;&gt;"",G107&lt;=Paramètres!$B$7,H107="O",I107="O",J107="O",K107="O"),"O","N"))</f>
        <v/>
      </c>
      <c r="M107" s="7" t="str">
        <f aca="false">IF(L107="","",MAX(0,F107-Paramètres!$B$5))</f>
        <v/>
      </c>
      <c r="N107" s="9" t="str">
        <f aca="false">IF(L107="","",IF(L107="O",M107*Paramètres!$B$6,0))</f>
        <v/>
      </c>
      <c r="O107" s="7" t="str">
        <f aca="false">IF(L107="","",COUNTIFS(Présences!$A$5:$A$1204,A107,Présences!$B$5:$B$1204,B107,Présences!$D$5:$D$1204,"&lt;&gt;O"))</f>
        <v/>
      </c>
      <c r="P107" s="9" t="str">
        <f aca="false">IF(L107="","",IF(O107&gt;0,ROUND(N107/O107,0),0))</f>
        <v/>
      </c>
      <c r="Q107" s="20"/>
    </row>
    <row r="108" customFormat="false" ht="15" hidden="false" customHeight="false" outlineLevel="0" collapsed="false">
      <c r="A108" s="16"/>
      <c r="B108" s="20"/>
      <c r="C108" s="20"/>
      <c r="D108" s="20"/>
      <c r="E108" s="20"/>
      <c r="F108" s="17"/>
      <c r="G108" s="23"/>
      <c r="H108" s="24"/>
      <c r="I108" s="24"/>
      <c r="J108" s="24"/>
      <c r="K108" s="24"/>
      <c r="L108" s="25" t="str">
        <f aca="false">IF(OR(A108="",B108=""),"",IF(AND(F108&lt;&gt;"",G108&lt;&gt;"",G108&lt;=Paramètres!$B$7,H108="O",I108="O",J108="O",K108="O"),"O","N"))</f>
        <v/>
      </c>
      <c r="M108" s="7" t="str">
        <f aca="false">IF(L108="","",MAX(0,F108-Paramètres!$B$5))</f>
        <v/>
      </c>
      <c r="N108" s="9" t="str">
        <f aca="false">IF(L108="","",IF(L108="O",M108*Paramètres!$B$6,0))</f>
        <v/>
      </c>
      <c r="O108" s="7" t="str">
        <f aca="false">IF(L108="","",COUNTIFS(Présences!$A$5:$A$1204,A108,Présences!$B$5:$B$1204,B108,Présences!$D$5:$D$1204,"&lt;&gt;O"))</f>
        <v/>
      </c>
      <c r="P108" s="9" t="str">
        <f aca="false">IF(L108="","",IF(O108&gt;0,ROUND(N108/O108,0),0))</f>
        <v/>
      </c>
      <c r="Q108" s="20"/>
    </row>
    <row r="109" customFormat="false" ht="15" hidden="false" customHeight="false" outlineLevel="0" collapsed="false">
      <c r="A109" s="16"/>
      <c r="B109" s="20"/>
      <c r="C109" s="20"/>
      <c r="D109" s="20"/>
      <c r="E109" s="20"/>
      <c r="F109" s="17"/>
      <c r="G109" s="23"/>
      <c r="H109" s="24"/>
      <c r="I109" s="24"/>
      <c r="J109" s="24"/>
      <c r="K109" s="24"/>
      <c r="L109" s="25" t="str">
        <f aca="false">IF(OR(A109="",B109=""),"",IF(AND(F109&lt;&gt;"",G109&lt;&gt;"",G109&lt;=Paramètres!$B$7,H109="O",I109="O",J109="O",K109="O"),"O","N"))</f>
        <v/>
      </c>
      <c r="M109" s="7" t="str">
        <f aca="false">IF(L109="","",MAX(0,F109-Paramètres!$B$5))</f>
        <v/>
      </c>
      <c r="N109" s="9" t="str">
        <f aca="false">IF(L109="","",IF(L109="O",M109*Paramètres!$B$6,0))</f>
        <v/>
      </c>
      <c r="O109" s="7" t="str">
        <f aca="false">IF(L109="","",COUNTIFS(Présences!$A$5:$A$1204,A109,Présences!$B$5:$B$1204,B109,Présences!$D$5:$D$1204,"&lt;&gt;O"))</f>
        <v/>
      </c>
      <c r="P109" s="9" t="str">
        <f aca="false">IF(L109="","",IF(O109&gt;0,ROUND(N109/O109,0),0))</f>
        <v/>
      </c>
      <c r="Q109" s="20"/>
    </row>
    <row r="110" customFormat="false" ht="15" hidden="false" customHeight="false" outlineLevel="0" collapsed="false">
      <c r="A110" s="16"/>
      <c r="B110" s="20"/>
      <c r="C110" s="20"/>
      <c r="D110" s="20"/>
      <c r="E110" s="20"/>
      <c r="F110" s="17"/>
      <c r="G110" s="23"/>
      <c r="H110" s="24"/>
      <c r="I110" s="24"/>
      <c r="J110" s="24"/>
      <c r="K110" s="24"/>
      <c r="L110" s="25" t="str">
        <f aca="false">IF(OR(A110="",B110=""),"",IF(AND(F110&lt;&gt;"",G110&lt;&gt;"",G110&lt;=Paramètres!$B$7,H110="O",I110="O",J110="O",K110="O"),"O","N"))</f>
        <v/>
      </c>
      <c r="M110" s="7" t="str">
        <f aca="false">IF(L110="","",MAX(0,F110-Paramètres!$B$5))</f>
        <v/>
      </c>
      <c r="N110" s="9" t="str">
        <f aca="false">IF(L110="","",IF(L110="O",M110*Paramètres!$B$6,0))</f>
        <v/>
      </c>
      <c r="O110" s="7" t="str">
        <f aca="false">IF(L110="","",COUNTIFS(Présences!$A$5:$A$1204,A110,Présences!$B$5:$B$1204,B110,Présences!$D$5:$D$1204,"&lt;&gt;O"))</f>
        <v/>
      </c>
      <c r="P110" s="9" t="str">
        <f aca="false">IF(L110="","",IF(O110&gt;0,ROUND(N110/O110,0),0))</f>
        <v/>
      </c>
      <c r="Q110" s="20"/>
    </row>
    <row r="111" customFormat="false" ht="15" hidden="false" customHeight="false" outlineLevel="0" collapsed="false">
      <c r="A111" s="16"/>
      <c r="B111" s="20"/>
      <c r="C111" s="20"/>
      <c r="D111" s="20"/>
      <c r="E111" s="20"/>
      <c r="F111" s="17"/>
      <c r="G111" s="23"/>
      <c r="H111" s="24"/>
      <c r="I111" s="24"/>
      <c r="J111" s="24"/>
      <c r="K111" s="24"/>
      <c r="L111" s="25" t="str">
        <f aca="false">IF(OR(A111="",B111=""),"",IF(AND(F111&lt;&gt;"",G111&lt;&gt;"",G111&lt;=Paramètres!$B$7,H111="O",I111="O",J111="O",K111="O"),"O","N"))</f>
        <v/>
      </c>
      <c r="M111" s="7" t="str">
        <f aca="false">IF(L111="","",MAX(0,F111-Paramètres!$B$5))</f>
        <v/>
      </c>
      <c r="N111" s="9" t="str">
        <f aca="false">IF(L111="","",IF(L111="O",M111*Paramètres!$B$6,0))</f>
        <v/>
      </c>
      <c r="O111" s="7" t="str">
        <f aca="false">IF(L111="","",COUNTIFS(Présences!$A$5:$A$1204,A111,Présences!$B$5:$B$1204,B111,Présences!$D$5:$D$1204,"&lt;&gt;O"))</f>
        <v/>
      </c>
      <c r="P111" s="9" t="str">
        <f aca="false">IF(L111="","",IF(O111&gt;0,ROUND(N111/O111,0),0))</f>
        <v/>
      </c>
      <c r="Q111" s="20"/>
    </row>
    <row r="112" customFormat="false" ht="15" hidden="false" customHeight="false" outlineLevel="0" collapsed="false">
      <c r="A112" s="16"/>
      <c r="B112" s="20"/>
      <c r="C112" s="20"/>
      <c r="D112" s="20"/>
      <c r="E112" s="20"/>
      <c r="F112" s="17"/>
      <c r="G112" s="23"/>
      <c r="H112" s="24"/>
      <c r="I112" s="24"/>
      <c r="J112" s="24"/>
      <c r="K112" s="24"/>
      <c r="L112" s="25" t="str">
        <f aca="false">IF(OR(A112="",B112=""),"",IF(AND(F112&lt;&gt;"",G112&lt;&gt;"",G112&lt;=Paramètres!$B$7,H112="O",I112="O",J112="O",K112="O"),"O","N"))</f>
        <v/>
      </c>
      <c r="M112" s="7" t="str">
        <f aca="false">IF(L112="","",MAX(0,F112-Paramètres!$B$5))</f>
        <v/>
      </c>
      <c r="N112" s="9" t="str">
        <f aca="false">IF(L112="","",IF(L112="O",M112*Paramètres!$B$6,0))</f>
        <v/>
      </c>
      <c r="O112" s="7" t="str">
        <f aca="false">IF(L112="","",COUNTIFS(Présences!$A$5:$A$1204,A112,Présences!$B$5:$B$1204,B112,Présences!$D$5:$D$1204,"&lt;&gt;O"))</f>
        <v/>
      </c>
      <c r="P112" s="9" t="str">
        <f aca="false">IF(L112="","",IF(O112&gt;0,ROUND(N112/O112,0),0))</f>
        <v/>
      </c>
      <c r="Q112" s="20"/>
    </row>
    <row r="113" customFormat="false" ht="15" hidden="false" customHeight="false" outlineLevel="0" collapsed="false">
      <c r="A113" s="16"/>
      <c r="B113" s="20"/>
      <c r="C113" s="20"/>
      <c r="D113" s="20"/>
      <c r="E113" s="20"/>
      <c r="F113" s="17"/>
      <c r="G113" s="23"/>
      <c r="H113" s="24"/>
      <c r="I113" s="24"/>
      <c r="J113" s="24"/>
      <c r="K113" s="24"/>
      <c r="L113" s="25" t="str">
        <f aca="false">IF(OR(A113="",B113=""),"",IF(AND(F113&lt;&gt;"",G113&lt;&gt;"",G113&lt;=Paramètres!$B$7,H113="O",I113="O",J113="O",K113="O"),"O","N"))</f>
        <v/>
      </c>
      <c r="M113" s="7" t="str">
        <f aca="false">IF(L113="","",MAX(0,F113-Paramètres!$B$5))</f>
        <v/>
      </c>
      <c r="N113" s="9" t="str">
        <f aca="false">IF(L113="","",IF(L113="O",M113*Paramètres!$B$6,0))</f>
        <v/>
      </c>
      <c r="O113" s="7" t="str">
        <f aca="false">IF(L113="","",COUNTIFS(Présences!$A$5:$A$1204,A113,Présences!$B$5:$B$1204,B113,Présences!$D$5:$D$1204,"&lt;&gt;O"))</f>
        <v/>
      </c>
      <c r="P113" s="9" t="str">
        <f aca="false">IF(L113="","",IF(O113&gt;0,ROUND(N113/O113,0),0))</f>
        <v/>
      </c>
      <c r="Q113" s="20"/>
    </row>
    <row r="114" customFormat="false" ht="15" hidden="false" customHeight="false" outlineLevel="0" collapsed="false">
      <c r="A114" s="16"/>
      <c r="B114" s="20"/>
      <c r="C114" s="20"/>
      <c r="D114" s="20"/>
      <c r="E114" s="20"/>
      <c r="F114" s="17"/>
      <c r="G114" s="23"/>
      <c r="H114" s="24"/>
      <c r="I114" s="24"/>
      <c r="J114" s="24"/>
      <c r="K114" s="24"/>
      <c r="L114" s="25" t="str">
        <f aca="false">IF(OR(A114="",B114=""),"",IF(AND(F114&lt;&gt;"",G114&lt;&gt;"",G114&lt;=Paramètres!$B$7,H114="O",I114="O",J114="O",K114="O"),"O","N"))</f>
        <v/>
      </c>
      <c r="M114" s="7" t="str">
        <f aca="false">IF(L114="","",MAX(0,F114-Paramètres!$B$5))</f>
        <v/>
      </c>
      <c r="N114" s="9" t="str">
        <f aca="false">IF(L114="","",IF(L114="O",M114*Paramètres!$B$6,0))</f>
        <v/>
      </c>
      <c r="O114" s="7" t="str">
        <f aca="false">IF(L114="","",COUNTIFS(Présences!$A$5:$A$1204,A114,Présences!$B$5:$B$1204,B114,Présences!$D$5:$D$1204,"&lt;&gt;O"))</f>
        <v/>
      </c>
      <c r="P114" s="9" t="str">
        <f aca="false">IF(L114="","",IF(O114&gt;0,ROUND(N114/O114,0),0))</f>
        <v/>
      </c>
      <c r="Q114" s="20"/>
    </row>
    <row r="115" customFormat="false" ht="15" hidden="false" customHeight="false" outlineLevel="0" collapsed="false">
      <c r="A115" s="16"/>
      <c r="B115" s="20"/>
      <c r="C115" s="20"/>
      <c r="D115" s="20"/>
      <c r="E115" s="20"/>
      <c r="F115" s="17"/>
      <c r="G115" s="23"/>
      <c r="H115" s="24"/>
      <c r="I115" s="24"/>
      <c r="J115" s="24"/>
      <c r="K115" s="24"/>
      <c r="L115" s="25" t="str">
        <f aca="false">IF(OR(A115="",B115=""),"",IF(AND(F115&lt;&gt;"",G115&lt;&gt;"",G115&lt;=Paramètres!$B$7,H115="O",I115="O",J115="O",K115="O"),"O","N"))</f>
        <v/>
      </c>
      <c r="M115" s="7" t="str">
        <f aca="false">IF(L115="","",MAX(0,F115-Paramètres!$B$5))</f>
        <v/>
      </c>
      <c r="N115" s="9" t="str">
        <f aca="false">IF(L115="","",IF(L115="O",M115*Paramètres!$B$6,0))</f>
        <v/>
      </c>
      <c r="O115" s="7" t="str">
        <f aca="false">IF(L115="","",COUNTIFS(Présences!$A$5:$A$1204,A115,Présences!$B$5:$B$1204,B115,Présences!$D$5:$D$1204,"&lt;&gt;O"))</f>
        <v/>
      </c>
      <c r="P115" s="9" t="str">
        <f aca="false">IF(L115="","",IF(O115&gt;0,ROUND(N115/O115,0),0))</f>
        <v/>
      </c>
      <c r="Q115" s="20"/>
    </row>
    <row r="116" customFormat="false" ht="15" hidden="false" customHeight="false" outlineLevel="0" collapsed="false">
      <c r="A116" s="16"/>
      <c r="B116" s="20"/>
      <c r="C116" s="20"/>
      <c r="D116" s="20"/>
      <c r="E116" s="20"/>
      <c r="F116" s="17"/>
      <c r="G116" s="23"/>
      <c r="H116" s="24"/>
      <c r="I116" s="24"/>
      <c r="J116" s="24"/>
      <c r="K116" s="24"/>
      <c r="L116" s="25" t="str">
        <f aca="false">IF(OR(A116="",B116=""),"",IF(AND(F116&lt;&gt;"",G116&lt;&gt;"",G116&lt;=Paramètres!$B$7,H116="O",I116="O",J116="O",K116="O"),"O","N"))</f>
        <v/>
      </c>
      <c r="M116" s="7" t="str">
        <f aca="false">IF(L116="","",MAX(0,F116-Paramètres!$B$5))</f>
        <v/>
      </c>
      <c r="N116" s="9" t="str">
        <f aca="false">IF(L116="","",IF(L116="O",M116*Paramètres!$B$6,0))</f>
        <v/>
      </c>
      <c r="O116" s="7" t="str">
        <f aca="false">IF(L116="","",COUNTIFS(Présences!$A$5:$A$1204,A116,Présences!$B$5:$B$1204,B116,Présences!$D$5:$D$1204,"&lt;&gt;O"))</f>
        <v/>
      </c>
      <c r="P116" s="9" t="str">
        <f aca="false">IF(L116="","",IF(O116&gt;0,ROUND(N116/O116,0),0))</f>
        <v/>
      </c>
      <c r="Q116" s="20"/>
    </row>
    <row r="117" customFormat="false" ht="15" hidden="false" customHeight="false" outlineLevel="0" collapsed="false">
      <c r="A117" s="16"/>
      <c r="B117" s="20"/>
      <c r="C117" s="20"/>
      <c r="D117" s="20"/>
      <c r="E117" s="20"/>
      <c r="F117" s="17"/>
      <c r="G117" s="23"/>
      <c r="H117" s="24"/>
      <c r="I117" s="24"/>
      <c r="J117" s="24"/>
      <c r="K117" s="24"/>
      <c r="L117" s="25" t="str">
        <f aca="false">IF(OR(A117="",B117=""),"",IF(AND(F117&lt;&gt;"",G117&lt;&gt;"",G117&lt;=Paramètres!$B$7,H117="O",I117="O",J117="O",K117="O"),"O","N"))</f>
        <v/>
      </c>
      <c r="M117" s="7" t="str">
        <f aca="false">IF(L117="","",MAX(0,F117-Paramètres!$B$5))</f>
        <v/>
      </c>
      <c r="N117" s="9" t="str">
        <f aca="false">IF(L117="","",IF(L117="O",M117*Paramètres!$B$6,0))</f>
        <v/>
      </c>
      <c r="O117" s="7" t="str">
        <f aca="false">IF(L117="","",COUNTIFS(Présences!$A$5:$A$1204,A117,Présences!$B$5:$B$1204,B117,Présences!$D$5:$D$1204,"&lt;&gt;O"))</f>
        <v/>
      </c>
      <c r="P117" s="9" t="str">
        <f aca="false">IF(L117="","",IF(O117&gt;0,ROUND(N117/O117,0),0))</f>
        <v/>
      </c>
      <c r="Q117" s="20"/>
    </row>
    <row r="118" customFormat="false" ht="15" hidden="false" customHeight="false" outlineLevel="0" collapsed="false">
      <c r="A118" s="16"/>
      <c r="B118" s="20"/>
      <c r="C118" s="20"/>
      <c r="D118" s="20"/>
      <c r="E118" s="20"/>
      <c r="F118" s="17"/>
      <c r="G118" s="23"/>
      <c r="H118" s="24"/>
      <c r="I118" s="24"/>
      <c r="J118" s="24"/>
      <c r="K118" s="24"/>
      <c r="L118" s="25" t="str">
        <f aca="false">IF(OR(A118="",B118=""),"",IF(AND(F118&lt;&gt;"",G118&lt;&gt;"",G118&lt;=Paramètres!$B$7,H118="O",I118="O",J118="O",K118="O"),"O","N"))</f>
        <v/>
      </c>
      <c r="M118" s="7" t="str">
        <f aca="false">IF(L118="","",MAX(0,F118-Paramètres!$B$5))</f>
        <v/>
      </c>
      <c r="N118" s="9" t="str">
        <f aca="false">IF(L118="","",IF(L118="O",M118*Paramètres!$B$6,0))</f>
        <v/>
      </c>
      <c r="O118" s="7" t="str">
        <f aca="false">IF(L118="","",COUNTIFS(Présences!$A$5:$A$1204,A118,Présences!$B$5:$B$1204,B118,Présences!$D$5:$D$1204,"&lt;&gt;O"))</f>
        <v/>
      </c>
      <c r="P118" s="9" t="str">
        <f aca="false">IF(L118="","",IF(O118&gt;0,ROUND(N118/O118,0),0))</f>
        <v/>
      </c>
      <c r="Q118" s="20"/>
    </row>
    <row r="119" customFormat="false" ht="15" hidden="false" customHeight="false" outlineLevel="0" collapsed="false">
      <c r="A119" s="16"/>
      <c r="B119" s="20"/>
      <c r="C119" s="20"/>
      <c r="D119" s="20"/>
      <c r="E119" s="20"/>
      <c r="F119" s="17"/>
      <c r="G119" s="23"/>
      <c r="H119" s="24"/>
      <c r="I119" s="24"/>
      <c r="J119" s="24"/>
      <c r="K119" s="24"/>
      <c r="L119" s="25" t="str">
        <f aca="false">IF(OR(A119="",B119=""),"",IF(AND(F119&lt;&gt;"",G119&lt;&gt;"",G119&lt;=Paramètres!$B$7,H119="O",I119="O",J119="O",K119="O"),"O","N"))</f>
        <v/>
      </c>
      <c r="M119" s="7" t="str">
        <f aca="false">IF(L119="","",MAX(0,F119-Paramètres!$B$5))</f>
        <v/>
      </c>
      <c r="N119" s="9" t="str">
        <f aca="false">IF(L119="","",IF(L119="O",M119*Paramètres!$B$6,0))</f>
        <v/>
      </c>
      <c r="O119" s="7" t="str">
        <f aca="false">IF(L119="","",COUNTIFS(Présences!$A$5:$A$1204,A119,Présences!$B$5:$B$1204,B119,Présences!$D$5:$D$1204,"&lt;&gt;O"))</f>
        <v/>
      </c>
      <c r="P119" s="9" t="str">
        <f aca="false">IF(L119="","",IF(O119&gt;0,ROUND(N119/O119,0),0))</f>
        <v/>
      </c>
      <c r="Q119" s="20"/>
    </row>
    <row r="120" customFormat="false" ht="15" hidden="false" customHeight="false" outlineLevel="0" collapsed="false">
      <c r="A120" s="16"/>
      <c r="B120" s="20"/>
      <c r="C120" s="20"/>
      <c r="D120" s="20"/>
      <c r="E120" s="20"/>
      <c r="F120" s="17"/>
      <c r="G120" s="23"/>
      <c r="H120" s="24"/>
      <c r="I120" s="24"/>
      <c r="J120" s="24"/>
      <c r="K120" s="24"/>
      <c r="L120" s="25" t="str">
        <f aca="false">IF(OR(A120="",B120=""),"",IF(AND(F120&lt;&gt;"",G120&lt;&gt;"",G120&lt;=Paramètres!$B$7,H120="O",I120="O",J120="O",K120="O"),"O","N"))</f>
        <v/>
      </c>
      <c r="M120" s="7" t="str">
        <f aca="false">IF(L120="","",MAX(0,F120-Paramètres!$B$5))</f>
        <v/>
      </c>
      <c r="N120" s="9" t="str">
        <f aca="false">IF(L120="","",IF(L120="O",M120*Paramètres!$B$6,0))</f>
        <v/>
      </c>
      <c r="O120" s="7" t="str">
        <f aca="false">IF(L120="","",COUNTIFS(Présences!$A$5:$A$1204,A120,Présences!$B$5:$B$1204,B120,Présences!$D$5:$D$1204,"&lt;&gt;O"))</f>
        <v/>
      </c>
      <c r="P120" s="9" t="str">
        <f aca="false">IF(L120="","",IF(O120&gt;0,ROUND(N120/O120,0),0))</f>
        <v/>
      </c>
      <c r="Q120" s="20"/>
    </row>
    <row r="121" customFormat="false" ht="15" hidden="false" customHeight="false" outlineLevel="0" collapsed="false">
      <c r="A121" s="16"/>
      <c r="B121" s="20"/>
      <c r="C121" s="20"/>
      <c r="D121" s="20"/>
      <c r="E121" s="20"/>
      <c r="F121" s="17"/>
      <c r="G121" s="23"/>
      <c r="H121" s="24"/>
      <c r="I121" s="24"/>
      <c r="J121" s="24"/>
      <c r="K121" s="24"/>
      <c r="L121" s="25" t="str">
        <f aca="false">IF(OR(A121="",B121=""),"",IF(AND(F121&lt;&gt;"",G121&lt;&gt;"",G121&lt;=Paramètres!$B$7,H121="O",I121="O",J121="O",K121="O"),"O","N"))</f>
        <v/>
      </c>
      <c r="M121" s="7" t="str">
        <f aca="false">IF(L121="","",MAX(0,F121-Paramètres!$B$5))</f>
        <v/>
      </c>
      <c r="N121" s="9" t="str">
        <f aca="false">IF(L121="","",IF(L121="O",M121*Paramètres!$B$6,0))</f>
        <v/>
      </c>
      <c r="O121" s="7" t="str">
        <f aca="false">IF(L121="","",COUNTIFS(Présences!$A$5:$A$1204,A121,Présences!$B$5:$B$1204,B121,Présences!$D$5:$D$1204,"&lt;&gt;O"))</f>
        <v/>
      </c>
      <c r="P121" s="9" t="str">
        <f aca="false">IF(L121="","",IF(O121&gt;0,ROUND(N121/O121,0),0))</f>
        <v/>
      </c>
      <c r="Q121" s="20"/>
    </row>
    <row r="122" customFormat="false" ht="15" hidden="false" customHeight="false" outlineLevel="0" collapsed="false">
      <c r="A122" s="16"/>
      <c r="B122" s="20"/>
      <c r="C122" s="20"/>
      <c r="D122" s="20"/>
      <c r="E122" s="20"/>
      <c r="F122" s="17"/>
      <c r="G122" s="23"/>
      <c r="H122" s="24"/>
      <c r="I122" s="24"/>
      <c r="J122" s="24"/>
      <c r="K122" s="24"/>
      <c r="L122" s="25" t="str">
        <f aca="false">IF(OR(A122="",B122=""),"",IF(AND(F122&lt;&gt;"",G122&lt;&gt;"",G122&lt;=Paramètres!$B$7,H122="O",I122="O",J122="O",K122="O"),"O","N"))</f>
        <v/>
      </c>
      <c r="M122" s="7" t="str">
        <f aca="false">IF(L122="","",MAX(0,F122-Paramètres!$B$5))</f>
        <v/>
      </c>
      <c r="N122" s="9" t="str">
        <f aca="false">IF(L122="","",IF(L122="O",M122*Paramètres!$B$6,0))</f>
        <v/>
      </c>
      <c r="O122" s="7" t="str">
        <f aca="false">IF(L122="","",COUNTIFS(Présences!$A$5:$A$1204,A122,Présences!$B$5:$B$1204,B122,Présences!$D$5:$D$1204,"&lt;&gt;O"))</f>
        <v/>
      </c>
      <c r="P122" s="9" t="str">
        <f aca="false">IF(L122="","",IF(O122&gt;0,ROUND(N122/O122,0),0))</f>
        <v/>
      </c>
      <c r="Q122" s="20"/>
    </row>
    <row r="123" customFormat="false" ht="15" hidden="false" customHeight="false" outlineLevel="0" collapsed="false">
      <c r="A123" s="16"/>
      <c r="B123" s="20"/>
      <c r="C123" s="20"/>
      <c r="D123" s="20"/>
      <c r="E123" s="20"/>
      <c r="F123" s="17"/>
      <c r="G123" s="23"/>
      <c r="H123" s="24"/>
      <c r="I123" s="24"/>
      <c r="J123" s="24"/>
      <c r="K123" s="24"/>
      <c r="L123" s="25" t="str">
        <f aca="false">IF(OR(A123="",B123=""),"",IF(AND(F123&lt;&gt;"",G123&lt;&gt;"",G123&lt;=Paramètres!$B$7,H123="O",I123="O",J123="O",K123="O"),"O","N"))</f>
        <v/>
      </c>
      <c r="M123" s="7" t="str">
        <f aca="false">IF(L123="","",MAX(0,F123-Paramètres!$B$5))</f>
        <v/>
      </c>
      <c r="N123" s="9" t="str">
        <f aca="false">IF(L123="","",IF(L123="O",M123*Paramètres!$B$6,0))</f>
        <v/>
      </c>
      <c r="O123" s="7" t="str">
        <f aca="false">IF(L123="","",COUNTIFS(Présences!$A$5:$A$1204,A123,Présences!$B$5:$B$1204,B123,Présences!$D$5:$D$1204,"&lt;&gt;O"))</f>
        <v/>
      </c>
      <c r="P123" s="9" t="str">
        <f aca="false">IF(L123="","",IF(O123&gt;0,ROUND(N123/O123,0),0))</f>
        <v/>
      </c>
      <c r="Q123" s="20"/>
    </row>
    <row r="124" customFormat="false" ht="15" hidden="false" customHeight="false" outlineLevel="0" collapsed="false">
      <c r="A124" s="16"/>
      <c r="B124" s="20"/>
      <c r="C124" s="20"/>
      <c r="D124" s="20"/>
      <c r="E124" s="20"/>
      <c r="F124" s="17"/>
      <c r="G124" s="23"/>
      <c r="H124" s="24"/>
      <c r="I124" s="24"/>
      <c r="J124" s="24"/>
      <c r="K124" s="24"/>
      <c r="L124" s="25" t="str">
        <f aca="false">IF(OR(A124="",B124=""),"",IF(AND(F124&lt;&gt;"",G124&lt;&gt;"",G124&lt;=Paramètres!$B$7,H124="O",I124="O",J124="O",K124="O"),"O","N"))</f>
        <v/>
      </c>
      <c r="M124" s="7" t="str">
        <f aca="false">IF(L124="","",MAX(0,F124-Paramètres!$B$5))</f>
        <v/>
      </c>
      <c r="N124" s="9" t="str">
        <f aca="false">IF(L124="","",IF(L124="O",M124*Paramètres!$B$6,0))</f>
        <v/>
      </c>
      <c r="O124" s="7" t="str">
        <f aca="false">IF(L124="","",COUNTIFS(Présences!$A$5:$A$1204,A124,Présences!$B$5:$B$1204,B124,Présences!$D$5:$D$1204,"&lt;&gt;O"))</f>
        <v/>
      </c>
      <c r="P124" s="9" t="str">
        <f aca="false">IF(L124="","",IF(O124&gt;0,ROUND(N124/O124,0),0))</f>
        <v/>
      </c>
      <c r="Q124" s="20"/>
    </row>
  </sheetData>
  <conditionalFormatting sqref="L5:L124">
    <cfRule type="expression" priority="2" aboveAverage="0" equalAverage="0" bottom="0" percent="0" rank="0" text="" dxfId="0">
      <formula>L5="N"</formula>
    </cfRule>
    <cfRule type="expression" priority="3" aboveAverage="0" equalAverage="0" bottom="0" percent="0" rank="0" text="" dxfId="1">
      <formula>L5="O"</formula>
    </cfRule>
  </conditionalFormatting>
  <dataValidations count="5">
    <dataValidation allowBlank="true" errorStyle="stop" operator="between" showDropDown="false" showErrorMessage="false" showInputMessage="false" sqref="B5:B124" type="list">
      <formula1>Paramètres!$A$11:$A$15</formula1>
      <formula2>0</formula2>
    </dataValidation>
    <dataValidation allowBlank="true" errorStyle="stop" operator="between" showDropDown="false" showErrorMessage="false" showInputMessage="false" sqref="D5:D124" type="list">
      <formula1>"B8,B12"</formula1>
      <formula2>0</formula2>
    </dataValidation>
    <dataValidation allowBlank="true" errorStyle="stop" operator="between" showDropDown="false" showErrorMessage="false" showInputMessage="false" sqref="H5:K124" type="list">
      <formula1>"O,N"</formula1>
      <formula2>0</formula2>
    </dataValidation>
    <dataValidation allowBlank="true" error="Saisir un pourcentage, ex. 3 %" errorStyle="stop" operator="between" showDropDown="false" showErrorMessage="false" showInputMessage="false" sqref="G5:G124" type="decimal">
      <formula1>0</formula1>
      <formula2>1</formula2>
    </dataValidation>
    <dataValidation allowBlank="true" errorStyle="stop" operator="between" showDropDown="false" showErrorMessage="false" showInputMessage="false" sqref="F5:F124" type="whole">
      <formula1>0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1.5" hidden="false" customHeight="true" outlineLevel="0" collapsed="false">
      <c r="A4" s="5" t="s">
        <v>52</v>
      </c>
      <c r="B4" s="5" t="s">
        <v>3</v>
      </c>
      <c r="C4" s="5" t="s">
        <v>41</v>
      </c>
      <c r="D4" s="5" t="s">
        <v>76</v>
      </c>
      <c r="E4" s="5" t="s">
        <v>77</v>
      </c>
    </row>
    <row r="5" customFormat="false" ht="15" hidden="false" customHeight="false" outlineLevel="0" collapsed="false">
      <c r="A5" s="16" t="n">
        <v>46296</v>
      </c>
      <c r="B5" s="20" t="s">
        <v>25</v>
      </c>
      <c r="C5" s="20" t="s">
        <v>44</v>
      </c>
      <c r="D5" s="24"/>
      <c r="E5" s="9" t="n">
        <f aca="false">IF(OR(A5="",B5="",C5=""),"",IF(D5="O",0,SUMIFS(Postes!$P$5:$P$124,Postes!$A$5:$A$124,A5,Postes!$B$5:$B$124,B5)))</f>
        <v>2250</v>
      </c>
    </row>
    <row r="6" customFormat="false" ht="15" hidden="false" customHeight="false" outlineLevel="0" collapsed="false">
      <c r="A6" s="16" t="n">
        <v>46296</v>
      </c>
      <c r="B6" s="20" t="s">
        <v>25</v>
      </c>
      <c r="C6" s="20" t="s">
        <v>47</v>
      </c>
      <c r="D6" s="24"/>
      <c r="E6" s="9" t="n">
        <f aca="false">IF(OR(A6="",B6="",C6=""),"",IF(D6="O",0,SUMIFS(Postes!$P$5:$P$124,Postes!$A$5:$A$124,A6,Postes!$B$5:$B$124,B6)))</f>
        <v>2250</v>
      </c>
    </row>
    <row r="7" customFormat="false" ht="15" hidden="false" customHeight="false" outlineLevel="0" collapsed="false">
      <c r="A7" s="16" t="n">
        <v>46296</v>
      </c>
      <c r="B7" s="20" t="s">
        <v>25</v>
      </c>
      <c r="C7" s="20" t="s">
        <v>48</v>
      </c>
      <c r="D7" s="24" t="s">
        <v>71</v>
      </c>
      <c r="E7" s="9" t="n">
        <f aca="false">IF(OR(A7="",B7="",C7=""),"",IF(D7="O",0,SUMIFS(Postes!$P$5:$P$124,Postes!$A$5:$A$124,A7,Postes!$B$5:$B$124,B7)))</f>
        <v>0</v>
      </c>
    </row>
    <row r="8" customFormat="false" ht="15" hidden="false" customHeight="false" outlineLevel="0" collapsed="false">
      <c r="A8" s="16"/>
      <c r="B8" s="20"/>
      <c r="C8" s="20"/>
      <c r="D8" s="24"/>
      <c r="E8" s="9" t="str">
        <f aca="false">IF(OR(A8="",B8="",C8=""),"",IF(D8="O",0,SUMIFS(Postes!$P$5:$P$124,Postes!$A$5:$A$124,A8,Postes!$B$5:$B$124,B8)))</f>
        <v/>
      </c>
    </row>
    <row r="9" customFormat="false" ht="15" hidden="false" customHeight="false" outlineLevel="0" collapsed="false">
      <c r="A9" s="16"/>
      <c r="B9" s="20"/>
      <c r="C9" s="20"/>
      <c r="D9" s="24"/>
      <c r="E9" s="9" t="str">
        <f aca="false">IF(OR(A9="",B9="",C9=""),"",IF(D9="O",0,SUMIFS(Postes!$P$5:$P$124,Postes!$A$5:$A$124,A9,Postes!$B$5:$B$124,B9)))</f>
        <v/>
      </c>
    </row>
    <row r="10" customFormat="false" ht="15" hidden="false" customHeight="false" outlineLevel="0" collapsed="false">
      <c r="A10" s="16"/>
      <c r="B10" s="20"/>
      <c r="C10" s="20"/>
      <c r="D10" s="24"/>
      <c r="E10" s="9" t="str">
        <f aca="false">IF(OR(A10="",B10="",C10=""),"",IF(D10="O",0,SUMIFS(Postes!$P$5:$P$124,Postes!$A$5:$A$124,A10,Postes!$B$5:$B$124,B10)))</f>
        <v/>
      </c>
    </row>
    <row r="11" customFormat="false" ht="15" hidden="false" customHeight="false" outlineLevel="0" collapsed="false">
      <c r="A11" s="16"/>
      <c r="B11" s="20"/>
      <c r="C11" s="20"/>
      <c r="D11" s="24"/>
      <c r="E11" s="9" t="str">
        <f aca="false">IF(OR(A11="",B11="",C11=""),"",IF(D11="O",0,SUMIFS(Postes!$P$5:$P$124,Postes!$A$5:$A$124,A11,Postes!$B$5:$B$124,B11)))</f>
        <v/>
      </c>
    </row>
    <row r="12" customFormat="false" ht="15" hidden="false" customHeight="false" outlineLevel="0" collapsed="false">
      <c r="A12" s="16"/>
      <c r="B12" s="20"/>
      <c r="C12" s="20"/>
      <c r="D12" s="24"/>
      <c r="E12" s="9" t="str">
        <f aca="false">IF(OR(A12="",B12="",C12=""),"",IF(D12="O",0,SUMIFS(Postes!$P$5:$P$124,Postes!$A$5:$A$124,A12,Postes!$B$5:$B$124,B12)))</f>
        <v/>
      </c>
    </row>
    <row r="13" customFormat="false" ht="15" hidden="false" customHeight="false" outlineLevel="0" collapsed="false">
      <c r="A13" s="16"/>
      <c r="B13" s="20"/>
      <c r="C13" s="20"/>
      <c r="D13" s="24"/>
      <c r="E13" s="9" t="str">
        <f aca="false">IF(OR(A13="",B13="",C13=""),"",IF(D13="O",0,SUMIFS(Postes!$P$5:$P$124,Postes!$A$5:$A$124,A13,Postes!$B$5:$B$124,B13)))</f>
        <v/>
      </c>
    </row>
    <row r="14" customFormat="false" ht="15" hidden="false" customHeight="false" outlineLevel="0" collapsed="false">
      <c r="A14" s="16"/>
      <c r="B14" s="20"/>
      <c r="C14" s="20"/>
      <c r="D14" s="24"/>
      <c r="E14" s="9" t="str">
        <f aca="false">IF(OR(A14="",B14="",C14=""),"",IF(D14="O",0,SUMIFS(Postes!$P$5:$P$124,Postes!$A$5:$A$124,A14,Postes!$B$5:$B$124,B14)))</f>
        <v/>
      </c>
    </row>
    <row r="15" customFormat="false" ht="15" hidden="false" customHeight="false" outlineLevel="0" collapsed="false">
      <c r="A15" s="16"/>
      <c r="B15" s="20"/>
      <c r="C15" s="20"/>
      <c r="D15" s="24"/>
      <c r="E15" s="9" t="str">
        <f aca="false">IF(OR(A15="",B15="",C15=""),"",IF(D15="O",0,SUMIFS(Postes!$P$5:$P$124,Postes!$A$5:$A$124,A15,Postes!$B$5:$B$124,B15)))</f>
        <v/>
      </c>
    </row>
    <row r="16" customFormat="false" ht="15" hidden="false" customHeight="false" outlineLevel="0" collapsed="false">
      <c r="A16" s="16"/>
      <c r="B16" s="20"/>
      <c r="C16" s="20"/>
      <c r="D16" s="24"/>
      <c r="E16" s="9" t="str">
        <f aca="false">IF(OR(A16="",B16="",C16=""),"",IF(D16="O",0,SUMIFS(Postes!$P$5:$P$124,Postes!$A$5:$A$124,A16,Postes!$B$5:$B$124,B16)))</f>
        <v/>
      </c>
    </row>
    <row r="17" customFormat="false" ht="15" hidden="false" customHeight="false" outlineLevel="0" collapsed="false">
      <c r="A17" s="16"/>
      <c r="B17" s="20"/>
      <c r="C17" s="20"/>
      <c r="D17" s="24"/>
      <c r="E17" s="9" t="str">
        <f aca="false">IF(OR(A17="",B17="",C17=""),"",IF(D17="O",0,SUMIFS(Postes!$P$5:$P$124,Postes!$A$5:$A$124,A17,Postes!$B$5:$B$124,B17)))</f>
        <v/>
      </c>
    </row>
    <row r="18" customFormat="false" ht="15" hidden="false" customHeight="false" outlineLevel="0" collapsed="false">
      <c r="A18" s="16"/>
      <c r="B18" s="20"/>
      <c r="C18" s="20"/>
      <c r="D18" s="24"/>
      <c r="E18" s="9" t="str">
        <f aca="false">IF(OR(A18="",B18="",C18=""),"",IF(D18="O",0,SUMIFS(Postes!$P$5:$P$124,Postes!$A$5:$A$124,A18,Postes!$B$5:$B$124,B18)))</f>
        <v/>
      </c>
    </row>
    <row r="19" customFormat="false" ht="15" hidden="false" customHeight="false" outlineLevel="0" collapsed="false">
      <c r="A19" s="16"/>
      <c r="B19" s="20"/>
      <c r="C19" s="20"/>
      <c r="D19" s="24"/>
      <c r="E19" s="9" t="str">
        <f aca="false">IF(OR(A19="",B19="",C19=""),"",IF(D19="O",0,SUMIFS(Postes!$P$5:$P$124,Postes!$A$5:$A$124,A19,Postes!$B$5:$B$124,B19)))</f>
        <v/>
      </c>
    </row>
    <row r="20" customFormat="false" ht="15" hidden="false" customHeight="false" outlineLevel="0" collapsed="false">
      <c r="A20" s="16"/>
      <c r="B20" s="20"/>
      <c r="C20" s="20"/>
      <c r="D20" s="24"/>
      <c r="E20" s="9" t="str">
        <f aca="false">IF(OR(A20="",B20="",C20=""),"",IF(D20="O",0,SUMIFS(Postes!$P$5:$P$124,Postes!$A$5:$A$124,A20,Postes!$B$5:$B$124,B20)))</f>
        <v/>
      </c>
    </row>
    <row r="21" customFormat="false" ht="15" hidden="false" customHeight="false" outlineLevel="0" collapsed="false">
      <c r="A21" s="16"/>
      <c r="B21" s="20"/>
      <c r="C21" s="20"/>
      <c r="D21" s="24"/>
      <c r="E21" s="9" t="str">
        <f aca="false">IF(OR(A21="",B21="",C21=""),"",IF(D21="O",0,SUMIFS(Postes!$P$5:$P$124,Postes!$A$5:$A$124,A21,Postes!$B$5:$B$124,B21)))</f>
        <v/>
      </c>
    </row>
    <row r="22" customFormat="false" ht="15" hidden="false" customHeight="false" outlineLevel="0" collapsed="false">
      <c r="A22" s="16"/>
      <c r="B22" s="20"/>
      <c r="C22" s="20"/>
      <c r="D22" s="24"/>
      <c r="E22" s="9" t="str">
        <f aca="false">IF(OR(A22="",B22="",C22=""),"",IF(D22="O",0,SUMIFS(Postes!$P$5:$P$124,Postes!$A$5:$A$124,A22,Postes!$B$5:$B$124,B22)))</f>
        <v/>
      </c>
    </row>
    <row r="23" customFormat="false" ht="15" hidden="false" customHeight="false" outlineLevel="0" collapsed="false">
      <c r="A23" s="16"/>
      <c r="B23" s="20"/>
      <c r="C23" s="20"/>
      <c r="D23" s="24"/>
      <c r="E23" s="9" t="str">
        <f aca="false">IF(OR(A23="",B23="",C23=""),"",IF(D23="O",0,SUMIFS(Postes!$P$5:$P$124,Postes!$A$5:$A$124,A23,Postes!$B$5:$B$124,B23)))</f>
        <v/>
      </c>
    </row>
    <row r="24" customFormat="false" ht="15" hidden="false" customHeight="false" outlineLevel="0" collapsed="false">
      <c r="A24" s="16"/>
      <c r="B24" s="20"/>
      <c r="C24" s="20"/>
      <c r="D24" s="24"/>
      <c r="E24" s="9" t="str">
        <f aca="false">IF(OR(A24="",B24="",C24=""),"",IF(D24="O",0,SUMIFS(Postes!$P$5:$P$124,Postes!$A$5:$A$124,A24,Postes!$B$5:$B$124,B24)))</f>
        <v/>
      </c>
    </row>
    <row r="25" customFormat="false" ht="15" hidden="false" customHeight="false" outlineLevel="0" collapsed="false">
      <c r="A25" s="16"/>
      <c r="B25" s="20"/>
      <c r="C25" s="20"/>
      <c r="D25" s="24"/>
      <c r="E25" s="9" t="str">
        <f aca="false">IF(OR(A25="",B25="",C25=""),"",IF(D25="O",0,SUMIFS(Postes!$P$5:$P$124,Postes!$A$5:$A$124,A25,Postes!$B$5:$B$124,B25)))</f>
        <v/>
      </c>
    </row>
    <row r="26" customFormat="false" ht="15" hidden="false" customHeight="false" outlineLevel="0" collapsed="false">
      <c r="A26" s="16"/>
      <c r="B26" s="20"/>
      <c r="C26" s="20"/>
      <c r="D26" s="24"/>
      <c r="E26" s="9" t="str">
        <f aca="false">IF(OR(A26="",B26="",C26=""),"",IF(D26="O",0,SUMIFS(Postes!$P$5:$P$124,Postes!$A$5:$A$124,A26,Postes!$B$5:$B$124,B26)))</f>
        <v/>
      </c>
    </row>
    <row r="27" customFormat="false" ht="15" hidden="false" customHeight="false" outlineLevel="0" collapsed="false">
      <c r="A27" s="16"/>
      <c r="B27" s="20"/>
      <c r="C27" s="20"/>
      <c r="D27" s="24"/>
      <c r="E27" s="9" t="str">
        <f aca="false">IF(OR(A27="",B27="",C27=""),"",IF(D27="O",0,SUMIFS(Postes!$P$5:$P$124,Postes!$A$5:$A$124,A27,Postes!$B$5:$B$124,B27)))</f>
        <v/>
      </c>
    </row>
    <row r="28" customFormat="false" ht="15" hidden="false" customHeight="false" outlineLevel="0" collapsed="false">
      <c r="A28" s="16"/>
      <c r="B28" s="20"/>
      <c r="C28" s="20"/>
      <c r="D28" s="24"/>
      <c r="E28" s="9" t="str">
        <f aca="false">IF(OR(A28="",B28="",C28=""),"",IF(D28="O",0,SUMIFS(Postes!$P$5:$P$124,Postes!$A$5:$A$124,A28,Postes!$B$5:$B$124,B28)))</f>
        <v/>
      </c>
    </row>
    <row r="29" customFormat="false" ht="15" hidden="false" customHeight="false" outlineLevel="0" collapsed="false">
      <c r="A29" s="16"/>
      <c r="B29" s="20"/>
      <c r="C29" s="20"/>
      <c r="D29" s="24"/>
      <c r="E29" s="9" t="str">
        <f aca="false">IF(OR(A29="",B29="",C29=""),"",IF(D29="O",0,SUMIFS(Postes!$P$5:$P$124,Postes!$A$5:$A$124,A29,Postes!$B$5:$B$124,B29)))</f>
        <v/>
      </c>
    </row>
    <row r="30" customFormat="false" ht="15" hidden="false" customHeight="false" outlineLevel="0" collapsed="false">
      <c r="A30" s="16"/>
      <c r="B30" s="20"/>
      <c r="C30" s="20"/>
      <c r="D30" s="24"/>
      <c r="E30" s="9" t="str">
        <f aca="false">IF(OR(A30="",B30="",C30=""),"",IF(D30="O",0,SUMIFS(Postes!$P$5:$P$124,Postes!$A$5:$A$124,A30,Postes!$B$5:$B$124,B30)))</f>
        <v/>
      </c>
    </row>
    <row r="31" customFormat="false" ht="15" hidden="false" customHeight="false" outlineLevel="0" collapsed="false">
      <c r="A31" s="16"/>
      <c r="B31" s="20"/>
      <c r="C31" s="20"/>
      <c r="D31" s="24"/>
      <c r="E31" s="9" t="str">
        <f aca="false">IF(OR(A31="",B31="",C31=""),"",IF(D31="O",0,SUMIFS(Postes!$P$5:$P$124,Postes!$A$5:$A$124,A31,Postes!$B$5:$B$124,B31)))</f>
        <v/>
      </c>
    </row>
    <row r="32" customFormat="false" ht="15" hidden="false" customHeight="false" outlineLevel="0" collapsed="false">
      <c r="A32" s="16"/>
      <c r="B32" s="20"/>
      <c r="C32" s="20"/>
      <c r="D32" s="24"/>
      <c r="E32" s="9" t="str">
        <f aca="false">IF(OR(A32="",B32="",C32=""),"",IF(D32="O",0,SUMIFS(Postes!$P$5:$P$124,Postes!$A$5:$A$124,A32,Postes!$B$5:$B$124,B32)))</f>
        <v/>
      </c>
    </row>
    <row r="33" customFormat="false" ht="15" hidden="false" customHeight="false" outlineLevel="0" collapsed="false">
      <c r="A33" s="16"/>
      <c r="B33" s="20"/>
      <c r="C33" s="20"/>
      <c r="D33" s="24"/>
      <c r="E33" s="9" t="str">
        <f aca="false">IF(OR(A33="",B33="",C33=""),"",IF(D33="O",0,SUMIFS(Postes!$P$5:$P$124,Postes!$A$5:$A$124,A33,Postes!$B$5:$B$124,B33)))</f>
        <v/>
      </c>
    </row>
    <row r="34" customFormat="false" ht="15" hidden="false" customHeight="false" outlineLevel="0" collapsed="false">
      <c r="A34" s="16"/>
      <c r="B34" s="20"/>
      <c r="C34" s="20"/>
      <c r="D34" s="24"/>
      <c r="E34" s="9" t="str">
        <f aca="false">IF(OR(A34="",B34="",C34=""),"",IF(D34="O",0,SUMIFS(Postes!$P$5:$P$124,Postes!$A$5:$A$124,A34,Postes!$B$5:$B$124,B34)))</f>
        <v/>
      </c>
    </row>
    <row r="35" customFormat="false" ht="15" hidden="false" customHeight="false" outlineLevel="0" collapsed="false">
      <c r="A35" s="16"/>
      <c r="B35" s="20"/>
      <c r="C35" s="20"/>
      <c r="D35" s="24"/>
      <c r="E35" s="9" t="str">
        <f aca="false">IF(OR(A35="",B35="",C35=""),"",IF(D35="O",0,SUMIFS(Postes!$P$5:$P$124,Postes!$A$5:$A$124,A35,Postes!$B$5:$B$124,B35)))</f>
        <v/>
      </c>
    </row>
    <row r="36" customFormat="false" ht="15" hidden="false" customHeight="false" outlineLevel="0" collapsed="false">
      <c r="A36" s="16"/>
      <c r="B36" s="20"/>
      <c r="C36" s="20"/>
      <c r="D36" s="24"/>
      <c r="E36" s="9" t="str">
        <f aca="false">IF(OR(A36="",B36="",C36=""),"",IF(D36="O",0,SUMIFS(Postes!$P$5:$P$124,Postes!$A$5:$A$124,A36,Postes!$B$5:$B$124,B36)))</f>
        <v/>
      </c>
    </row>
    <row r="37" customFormat="false" ht="15" hidden="false" customHeight="false" outlineLevel="0" collapsed="false">
      <c r="A37" s="16"/>
      <c r="B37" s="20"/>
      <c r="C37" s="20"/>
      <c r="D37" s="24"/>
      <c r="E37" s="9" t="str">
        <f aca="false">IF(OR(A37="",B37="",C37=""),"",IF(D37="O",0,SUMIFS(Postes!$P$5:$P$124,Postes!$A$5:$A$124,A37,Postes!$B$5:$B$124,B37)))</f>
        <v/>
      </c>
    </row>
    <row r="38" customFormat="false" ht="15" hidden="false" customHeight="false" outlineLevel="0" collapsed="false">
      <c r="A38" s="16"/>
      <c r="B38" s="20"/>
      <c r="C38" s="20"/>
      <c r="D38" s="24"/>
      <c r="E38" s="9" t="str">
        <f aca="false">IF(OR(A38="",B38="",C38=""),"",IF(D38="O",0,SUMIFS(Postes!$P$5:$P$124,Postes!$A$5:$A$124,A38,Postes!$B$5:$B$124,B38)))</f>
        <v/>
      </c>
    </row>
    <row r="39" customFormat="false" ht="15" hidden="false" customHeight="false" outlineLevel="0" collapsed="false">
      <c r="A39" s="16"/>
      <c r="B39" s="20"/>
      <c r="C39" s="20"/>
      <c r="D39" s="24"/>
      <c r="E39" s="9" t="str">
        <f aca="false">IF(OR(A39="",B39="",C39=""),"",IF(D39="O",0,SUMIFS(Postes!$P$5:$P$124,Postes!$A$5:$A$124,A39,Postes!$B$5:$B$124,B39)))</f>
        <v/>
      </c>
    </row>
    <row r="40" customFormat="false" ht="15" hidden="false" customHeight="false" outlineLevel="0" collapsed="false">
      <c r="A40" s="16"/>
      <c r="B40" s="20"/>
      <c r="C40" s="20"/>
      <c r="D40" s="24"/>
      <c r="E40" s="9" t="str">
        <f aca="false">IF(OR(A40="",B40="",C40=""),"",IF(D40="O",0,SUMIFS(Postes!$P$5:$P$124,Postes!$A$5:$A$124,A40,Postes!$B$5:$B$124,B40)))</f>
        <v/>
      </c>
    </row>
    <row r="41" customFormat="false" ht="15" hidden="false" customHeight="false" outlineLevel="0" collapsed="false">
      <c r="A41" s="16"/>
      <c r="B41" s="20"/>
      <c r="C41" s="20"/>
      <c r="D41" s="24"/>
      <c r="E41" s="9" t="str">
        <f aca="false">IF(OR(A41="",B41="",C41=""),"",IF(D41="O",0,SUMIFS(Postes!$P$5:$P$124,Postes!$A$5:$A$124,A41,Postes!$B$5:$B$124,B41)))</f>
        <v/>
      </c>
    </row>
    <row r="42" customFormat="false" ht="15" hidden="false" customHeight="false" outlineLevel="0" collapsed="false">
      <c r="A42" s="16"/>
      <c r="B42" s="20"/>
      <c r="C42" s="20"/>
      <c r="D42" s="24"/>
      <c r="E42" s="9" t="str">
        <f aca="false">IF(OR(A42="",B42="",C42=""),"",IF(D42="O",0,SUMIFS(Postes!$P$5:$P$124,Postes!$A$5:$A$124,A42,Postes!$B$5:$B$124,B42)))</f>
        <v/>
      </c>
    </row>
    <row r="43" customFormat="false" ht="15" hidden="false" customHeight="false" outlineLevel="0" collapsed="false">
      <c r="A43" s="16"/>
      <c r="B43" s="20"/>
      <c r="C43" s="20"/>
      <c r="D43" s="24"/>
      <c r="E43" s="9" t="str">
        <f aca="false">IF(OR(A43="",B43="",C43=""),"",IF(D43="O",0,SUMIFS(Postes!$P$5:$P$124,Postes!$A$5:$A$124,A43,Postes!$B$5:$B$124,B43)))</f>
        <v/>
      </c>
    </row>
    <row r="44" customFormat="false" ht="15" hidden="false" customHeight="false" outlineLevel="0" collapsed="false">
      <c r="A44" s="16"/>
      <c r="B44" s="20"/>
      <c r="C44" s="20"/>
      <c r="D44" s="24"/>
      <c r="E44" s="9" t="str">
        <f aca="false">IF(OR(A44="",B44="",C44=""),"",IF(D44="O",0,SUMIFS(Postes!$P$5:$P$124,Postes!$A$5:$A$124,A44,Postes!$B$5:$B$124,B44)))</f>
        <v/>
      </c>
    </row>
    <row r="45" customFormat="false" ht="15" hidden="false" customHeight="false" outlineLevel="0" collapsed="false">
      <c r="A45" s="16"/>
      <c r="B45" s="20"/>
      <c r="C45" s="20"/>
      <c r="D45" s="24"/>
      <c r="E45" s="9" t="str">
        <f aca="false">IF(OR(A45="",B45="",C45=""),"",IF(D45="O",0,SUMIFS(Postes!$P$5:$P$124,Postes!$A$5:$A$124,A45,Postes!$B$5:$B$124,B45)))</f>
        <v/>
      </c>
    </row>
    <row r="46" customFormat="false" ht="15" hidden="false" customHeight="false" outlineLevel="0" collapsed="false">
      <c r="A46" s="16"/>
      <c r="B46" s="20"/>
      <c r="C46" s="20"/>
      <c r="D46" s="24"/>
      <c r="E46" s="9" t="str">
        <f aca="false">IF(OR(A46="",B46="",C46=""),"",IF(D46="O",0,SUMIFS(Postes!$P$5:$P$124,Postes!$A$5:$A$124,A46,Postes!$B$5:$B$124,B46)))</f>
        <v/>
      </c>
    </row>
    <row r="47" customFormat="false" ht="15" hidden="false" customHeight="false" outlineLevel="0" collapsed="false">
      <c r="A47" s="16"/>
      <c r="B47" s="20"/>
      <c r="C47" s="20"/>
      <c r="D47" s="24"/>
      <c r="E47" s="9" t="str">
        <f aca="false">IF(OR(A47="",B47="",C47=""),"",IF(D47="O",0,SUMIFS(Postes!$P$5:$P$124,Postes!$A$5:$A$124,A47,Postes!$B$5:$B$124,B47)))</f>
        <v/>
      </c>
    </row>
    <row r="48" customFormat="false" ht="15" hidden="false" customHeight="false" outlineLevel="0" collapsed="false">
      <c r="A48" s="16"/>
      <c r="B48" s="20"/>
      <c r="C48" s="20"/>
      <c r="D48" s="24"/>
      <c r="E48" s="9" t="str">
        <f aca="false">IF(OR(A48="",B48="",C48=""),"",IF(D48="O",0,SUMIFS(Postes!$P$5:$P$124,Postes!$A$5:$A$124,A48,Postes!$B$5:$B$124,B48)))</f>
        <v/>
      </c>
    </row>
    <row r="49" customFormat="false" ht="15" hidden="false" customHeight="false" outlineLevel="0" collapsed="false">
      <c r="A49" s="16"/>
      <c r="B49" s="20"/>
      <c r="C49" s="20"/>
      <c r="D49" s="24"/>
      <c r="E49" s="9" t="str">
        <f aca="false">IF(OR(A49="",B49="",C49=""),"",IF(D49="O",0,SUMIFS(Postes!$P$5:$P$124,Postes!$A$5:$A$124,A49,Postes!$B$5:$B$124,B49)))</f>
        <v/>
      </c>
    </row>
    <row r="50" customFormat="false" ht="15" hidden="false" customHeight="false" outlineLevel="0" collapsed="false">
      <c r="A50" s="16"/>
      <c r="B50" s="20"/>
      <c r="C50" s="20"/>
      <c r="D50" s="24"/>
      <c r="E50" s="9" t="str">
        <f aca="false">IF(OR(A50="",B50="",C50=""),"",IF(D50="O",0,SUMIFS(Postes!$P$5:$P$124,Postes!$A$5:$A$124,A50,Postes!$B$5:$B$124,B50)))</f>
        <v/>
      </c>
    </row>
    <row r="51" customFormat="false" ht="15" hidden="false" customHeight="false" outlineLevel="0" collapsed="false">
      <c r="A51" s="16"/>
      <c r="B51" s="20"/>
      <c r="C51" s="20"/>
      <c r="D51" s="24"/>
      <c r="E51" s="9" t="str">
        <f aca="false">IF(OR(A51="",B51="",C51=""),"",IF(D51="O",0,SUMIFS(Postes!$P$5:$P$124,Postes!$A$5:$A$124,A51,Postes!$B$5:$B$124,B51)))</f>
        <v/>
      </c>
    </row>
    <row r="52" customFormat="false" ht="15" hidden="false" customHeight="false" outlineLevel="0" collapsed="false">
      <c r="A52" s="16"/>
      <c r="B52" s="20"/>
      <c r="C52" s="20"/>
      <c r="D52" s="24"/>
      <c r="E52" s="9" t="str">
        <f aca="false">IF(OR(A52="",B52="",C52=""),"",IF(D52="O",0,SUMIFS(Postes!$P$5:$P$124,Postes!$A$5:$A$124,A52,Postes!$B$5:$B$124,B52)))</f>
        <v/>
      </c>
    </row>
    <row r="53" customFormat="false" ht="15" hidden="false" customHeight="false" outlineLevel="0" collapsed="false">
      <c r="A53" s="16"/>
      <c r="B53" s="20"/>
      <c r="C53" s="20"/>
      <c r="D53" s="24"/>
      <c r="E53" s="9" t="str">
        <f aca="false">IF(OR(A53="",B53="",C53=""),"",IF(D53="O",0,SUMIFS(Postes!$P$5:$P$124,Postes!$A$5:$A$124,A53,Postes!$B$5:$B$124,B53)))</f>
        <v/>
      </c>
    </row>
    <row r="54" customFormat="false" ht="15" hidden="false" customHeight="false" outlineLevel="0" collapsed="false">
      <c r="A54" s="16"/>
      <c r="B54" s="20"/>
      <c r="C54" s="20"/>
      <c r="D54" s="24"/>
      <c r="E54" s="9" t="str">
        <f aca="false">IF(OR(A54="",B54="",C54=""),"",IF(D54="O",0,SUMIFS(Postes!$P$5:$P$124,Postes!$A$5:$A$124,A54,Postes!$B$5:$B$124,B54)))</f>
        <v/>
      </c>
    </row>
    <row r="55" customFormat="false" ht="15" hidden="false" customHeight="false" outlineLevel="0" collapsed="false">
      <c r="A55" s="16"/>
      <c r="B55" s="20"/>
      <c r="C55" s="20"/>
      <c r="D55" s="24"/>
      <c r="E55" s="9" t="str">
        <f aca="false">IF(OR(A55="",B55="",C55=""),"",IF(D55="O",0,SUMIFS(Postes!$P$5:$P$124,Postes!$A$5:$A$124,A55,Postes!$B$5:$B$124,B55)))</f>
        <v/>
      </c>
    </row>
    <row r="56" customFormat="false" ht="15" hidden="false" customHeight="false" outlineLevel="0" collapsed="false">
      <c r="A56" s="16"/>
      <c r="B56" s="20"/>
      <c r="C56" s="20"/>
      <c r="D56" s="24"/>
      <c r="E56" s="9" t="str">
        <f aca="false">IF(OR(A56="",B56="",C56=""),"",IF(D56="O",0,SUMIFS(Postes!$P$5:$P$124,Postes!$A$5:$A$124,A56,Postes!$B$5:$B$124,B56)))</f>
        <v/>
      </c>
    </row>
    <row r="57" customFormat="false" ht="15" hidden="false" customHeight="false" outlineLevel="0" collapsed="false">
      <c r="A57" s="16"/>
      <c r="B57" s="20"/>
      <c r="C57" s="20"/>
      <c r="D57" s="24"/>
      <c r="E57" s="9" t="str">
        <f aca="false">IF(OR(A57="",B57="",C57=""),"",IF(D57="O",0,SUMIFS(Postes!$P$5:$P$124,Postes!$A$5:$A$124,A57,Postes!$B$5:$B$124,B57)))</f>
        <v/>
      </c>
    </row>
    <row r="58" customFormat="false" ht="15" hidden="false" customHeight="false" outlineLevel="0" collapsed="false">
      <c r="A58" s="16"/>
      <c r="B58" s="20"/>
      <c r="C58" s="20"/>
      <c r="D58" s="24"/>
      <c r="E58" s="9" t="str">
        <f aca="false">IF(OR(A58="",B58="",C58=""),"",IF(D58="O",0,SUMIFS(Postes!$P$5:$P$124,Postes!$A$5:$A$124,A58,Postes!$B$5:$B$124,B58)))</f>
        <v/>
      </c>
    </row>
    <row r="59" customFormat="false" ht="15" hidden="false" customHeight="false" outlineLevel="0" collapsed="false">
      <c r="A59" s="16"/>
      <c r="B59" s="20"/>
      <c r="C59" s="20"/>
      <c r="D59" s="24"/>
      <c r="E59" s="9" t="str">
        <f aca="false">IF(OR(A59="",B59="",C59=""),"",IF(D59="O",0,SUMIFS(Postes!$P$5:$P$124,Postes!$A$5:$A$124,A59,Postes!$B$5:$B$124,B59)))</f>
        <v/>
      </c>
    </row>
    <row r="60" customFormat="false" ht="15" hidden="false" customHeight="false" outlineLevel="0" collapsed="false">
      <c r="A60" s="16"/>
      <c r="B60" s="20"/>
      <c r="C60" s="20"/>
      <c r="D60" s="24"/>
      <c r="E60" s="9" t="str">
        <f aca="false">IF(OR(A60="",B60="",C60=""),"",IF(D60="O",0,SUMIFS(Postes!$P$5:$P$124,Postes!$A$5:$A$124,A60,Postes!$B$5:$B$124,B60)))</f>
        <v/>
      </c>
    </row>
    <row r="61" customFormat="false" ht="15" hidden="false" customHeight="false" outlineLevel="0" collapsed="false">
      <c r="A61" s="16"/>
      <c r="B61" s="20"/>
      <c r="C61" s="20"/>
      <c r="D61" s="24"/>
      <c r="E61" s="9" t="str">
        <f aca="false">IF(OR(A61="",B61="",C61=""),"",IF(D61="O",0,SUMIFS(Postes!$P$5:$P$124,Postes!$A$5:$A$124,A61,Postes!$B$5:$B$124,B61)))</f>
        <v/>
      </c>
    </row>
    <row r="62" customFormat="false" ht="15" hidden="false" customHeight="false" outlineLevel="0" collapsed="false">
      <c r="A62" s="16"/>
      <c r="B62" s="20"/>
      <c r="C62" s="20"/>
      <c r="D62" s="24"/>
      <c r="E62" s="9" t="str">
        <f aca="false">IF(OR(A62="",B62="",C62=""),"",IF(D62="O",0,SUMIFS(Postes!$P$5:$P$124,Postes!$A$5:$A$124,A62,Postes!$B$5:$B$124,B62)))</f>
        <v/>
      </c>
    </row>
    <row r="63" customFormat="false" ht="15" hidden="false" customHeight="false" outlineLevel="0" collapsed="false">
      <c r="A63" s="16"/>
      <c r="B63" s="20"/>
      <c r="C63" s="20"/>
      <c r="D63" s="24"/>
      <c r="E63" s="9" t="str">
        <f aca="false">IF(OR(A63="",B63="",C63=""),"",IF(D63="O",0,SUMIFS(Postes!$P$5:$P$124,Postes!$A$5:$A$124,A63,Postes!$B$5:$B$124,B63)))</f>
        <v/>
      </c>
    </row>
    <row r="64" customFormat="false" ht="15" hidden="false" customHeight="false" outlineLevel="0" collapsed="false">
      <c r="A64" s="16"/>
      <c r="B64" s="20"/>
      <c r="C64" s="20"/>
      <c r="D64" s="24"/>
      <c r="E64" s="9" t="str">
        <f aca="false">IF(OR(A64="",B64="",C64=""),"",IF(D64="O",0,SUMIFS(Postes!$P$5:$P$124,Postes!$A$5:$A$124,A64,Postes!$B$5:$B$124,B64)))</f>
        <v/>
      </c>
    </row>
    <row r="65" customFormat="false" ht="15" hidden="false" customHeight="false" outlineLevel="0" collapsed="false">
      <c r="A65" s="16"/>
      <c r="B65" s="20"/>
      <c r="C65" s="20"/>
      <c r="D65" s="24"/>
      <c r="E65" s="9" t="str">
        <f aca="false">IF(OR(A65="",B65="",C65=""),"",IF(D65="O",0,SUMIFS(Postes!$P$5:$P$124,Postes!$A$5:$A$124,A65,Postes!$B$5:$B$124,B65)))</f>
        <v/>
      </c>
    </row>
    <row r="66" customFormat="false" ht="15" hidden="false" customHeight="false" outlineLevel="0" collapsed="false">
      <c r="A66" s="16"/>
      <c r="B66" s="20"/>
      <c r="C66" s="20"/>
      <c r="D66" s="24"/>
      <c r="E66" s="9" t="str">
        <f aca="false">IF(OR(A66="",B66="",C66=""),"",IF(D66="O",0,SUMIFS(Postes!$P$5:$P$124,Postes!$A$5:$A$124,A66,Postes!$B$5:$B$124,B66)))</f>
        <v/>
      </c>
    </row>
    <row r="67" customFormat="false" ht="15" hidden="false" customHeight="false" outlineLevel="0" collapsed="false">
      <c r="A67" s="16"/>
      <c r="B67" s="20"/>
      <c r="C67" s="20"/>
      <c r="D67" s="24"/>
      <c r="E67" s="9" t="str">
        <f aca="false">IF(OR(A67="",B67="",C67=""),"",IF(D67="O",0,SUMIFS(Postes!$P$5:$P$124,Postes!$A$5:$A$124,A67,Postes!$B$5:$B$124,B67)))</f>
        <v/>
      </c>
    </row>
    <row r="68" customFormat="false" ht="15" hidden="false" customHeight="false" outlineLevel="0" collapsed="false">
      <c r="A68" s="16"/>
      <c r="B68" s="20"/>
      <c r="C68" s="20"/>
      <c r="D68" s="24"/>
      <c r="E68" s="9" t="str">
        <f aca="false">IF(OR(A68="",B68="",C68=""),"",IF(D68="O",0,SUMIFS(Postes!$P$5:$P$124,Postes!$A$5:$A$124,A68,Postes!$B$5:$B$124,B68)))</f>
        <v/>
      </c>
    </row>
    <row r="69" customFormat="false" ht="15" hidden="false" customHeight="false" outlineLevel="0" collapsed="false">
      <c r="A69" s="16"/>
      <c r="B69" s="20"/>
      <c r="C69" s="20"/>
      <c r="D69" s="24"/>
      <c r="E69" s="9" t="str">
        <f aca="false">IF(OR(A69="",B69="",C69=""),"",IF(D69="O",0,SUMIFS(Postes!$P$5:$P$124,Postes!$A$5:$A$124,A69,Postes!$B$5:$B$124,B69)))</f>
        <v/>
      </c>
    </row>
    <row r="70" customFormat="false" ht="15" hidden="false" customHeight="false" outlineLevel="0" collapsed="false">
      <c r="A70" s="16"/>
      <c r="B70" s="20"/>
      <c r="C70" s="20"/>
      <c r="D70" s="24"/>
      <c r="E70" s="9" t="str">
        <f aca="false">IF(OR(A70="",B70="",C70=""),"",IF(D70="O",0,SUMIFS(Postes!$P$5:$P$124,Postes!$A$5:$A$124,A70,Postes!$B$5:$B$124,B70)))</f>
        <v/>
      </c>
    </row>
    <row r="71" customFormat="false" ht="15" hidden="false" customHeight="false" outlineLevel="0" collapsed="false">
      <c r="A71" s="16"/>
      <c r="B71" s="20"/>
      <c r="C71" s="20"/>
      <c r="D71" s="24"/>
      <c r="E71" s="9" t="str">
        <f aca="false">IF(OR(A71="",B71="",C71=""),"",IF(D71="O",0,SUMIFS(Postes!$P$5:$P$124,Postes!$A$5:$A$124,A71,Postes!$B$5:$B$124,B71)))</f>
        <v/>
      </c>
    </row>
    <row r="72" customFormat="false" ht="15" hidden="false" customHeight="false" outlineLevel="0" collapsed="false">
      <c r="A72" s="16"/>
      <c r="B72" s="20"/>
      <c r="C72" s="20"/>
      <c r="D72" s="24"/>
      <c r="E72" s="9" t="str">
        <f aca="false">IF(OR(A72="",B72="",C72=""),"",IF(D72="O",0,SUMIFS(Postes!$P$5:$P$124,Postes!$A$5:$A$124,A72,Postes!$B$5:$B$124,B72)))</f>
        <v/>
      </c>
    </row>
    <row r="73" customFormat="false" ht="15" hidden="false" customHeight="false" outlineLevel="0" collapsed="false">
      <c r="A73" s="16"/>
      <c r="B73" s="20"/>
      <c r="C73" s="20"/>
      <c r="D73" s="24"/>
      <c r="E73" s="9" t="str">
        <f aca="false">IF(OR(A73="",B73="",C73=""),"",IF(D73="O",0,SUMIFS(Postes!$P$5:$P$124,Postes!$A$5:$A$124,A73,Postes!$B$5:$B$124,B73)))</f>
        <v/>
      </c>
    </row>
    <row r="74" customFormat="false" ht="15" hidden="false" customHeight="false" outlineLevel="0" collapsed="false">
      <c r="A74" s="16"/>
      <c r="B74" s="20"/>
      <c r="C74" s="20"/>
      <c r="D74" s="24"/>
      <c r="E74" s="9" t="str">
        <f aca="false">IF(OR(A74="",B74="",C74=""),"",IF(D74="O",0,SUMIFS(Postes!$P$5:$P$124,Postes!$A$5:$A$124,A74,Postes!$B$5:$B$124,B74)))</f>
        <v/>
      </c>
    </row>
    <row r="75" customFormat="false" ht="15" hidden="false" customHeight="false" outlineLevel="0" collapsed="false">
      <c r="A75" s="16"/>
      <c r="B75" s="20"/>
      <c r="C75" s="20"/>
      <c r="D75" s="24"/>
      <c r="E75" s="9" t="str">
        <f aca="false">IF(OR(A75="",B75="",C75=""),"",IF(D75="O",0,SUMIFS(Postes!$P$5:$P$124,Postes!$A$5:$A$124,A75,Postes!$B$5:$B$124,B75)))</f>
        <v/>
      </c>
    </row>
    <row r="76" customFormat="false" ht="15" hidden="false" customHeight="false" outlineLevel="0" collapsed="false">
      <c r="A76" s="16"/>
      <c r="B76" s="20"/>
      <c r="C76" s="20"/>
      <c r="D76" s="24"/>
      <c r="E76" s="9" t="str">
        <f aca="false">IF(OR(A76="",B76="",C76=""),"",IF(D76="O",0,SUMIFS(Postes!$P$5:$P$124,Postes!$A$5:$A$124,A76,Postes!$B$5:$B$124,B76)))</f>
        <v/>
      </c>
    </row>
    <row r="77" customFormat="false" ht="15" hidden="false" customHeight="false" outlineLevel="0" collapsed="false">
      <c r="A77" s="16"/>
      <c r="B77" s="20"/>
      <c r="C77" s="20"/>
      <c r="D77" s="24"/>
      <c r="E77" s="9" t="str">
        <f aca="false">IF(OR(A77="",B77="",C77=""),"",IF(D77="O",0,SUMIFS(Postes!$P$5:$P$124,Postes!$A$5:$A$124,A77,Postes!$B$5:$B$124,B77)))</f>
        <v/>
      </c>
    </row>
    <row r="78" customFormat="false" ht="15" hidden="false" customHeight="false" outlineLevel="0" collapsed="false">
      <c r="A78" s="16"/>
      <c r="B78" s="20"/>
      <c r="C78" s="20"/>
      <c r="D78" s="24"/>
      <c r="E78" s="9" t="str">
        <f aca="false">IF(OR(A78="",B78="",C78=""),"",IF(D78="O",0,SUMIFS(Postes!$P$5:$P$124,Postes!$A$5:$A$124,A78,Postes!$B$5:$B$124,B78)))</f>
        <v/>
      </c>
    </row>
    <row r="79" customFormat="false" ht="15" hidden="false" customHeight="false" outlineLevel="0" collapsed="false">
      <c r="A79" s="16"/>
      <c r="B79" s="20"/>
      <c r="C79" s="20"/>
      <c r="D79" s="24"/>
      <c r="E79" s="9" t="str">
        <f aca="false">IF(OR(A79="",B79="",C79=""),"",IF(D79="O",0,SUMIFS(Postes!$P$5:$P$124,Postes!$A$5:$A$124,A79,Postes!$B$5:$B$124,B79)))</f>
        <v/>
      </c>
    </row>
    <row r="80" customFormat="false" ht="15" hidden="false" customHeight="false" outlineLevel="0" collapsed="false">
      <c r="A80" s="16"/>
      <c r="B80" s="20"/>
      <c r="C80" s="20"/>
      <c r="D80" s="24"/>
      <c r="E80" s="9" t="str">
        <f aca="false">IF(OR(A80="",B80="",C80=""),"",IF(D80="O",0,SUMIFS(Postes!$P$5:$P$124,Postes!$A$5:$A$124,A80,Postes!$B$5:$B$124,B80)))</f>
        <v/>
      </c>
    </row>
    <row r="81" customFormat="false" ht="15" hidden="false" customHeight="false" outlineLevel="0" collapsed="false">
      <c r="A81" s="16"/>
      <c r="B81" s="20"/>
      <c r="C81" s="20"/>
      <c r="D81" s="24"/>
      <c r="E81" s="9" t="str">
        <f aca="false">IF(OR(A81="",B81="",C81=""),"",IF(D81="O",0,SUMIFS(Postes!$P$5:$P$124,Postes!$A$5:$A$124,A81,Postes!$B$5:$B$124,B81)))</f>
        <v/>
      </c>
    </row>
    <row r="82" customFormat="false" ht="15" hidden="false" customHeight="false" outlineLevel="0" collapsed="false">
      <c r="A82" s="16"/>
      <c r="B82" s="20"/>
      <c r="C82" s="20"/>
      <c r="D82" s="24"/>
      <c r="E82" s="9" t="str">
        <f aca="false">IF(OR(A82="",B82="",C82=""),"",IF(D82="O",0,SUMIFS(Postes!$P$5:$P$124,Postes!$A$5:$A$124,A82,Postes!$B$5:$B$124,B82)))</f>
        <v/>
      </c>
    </row>
    <row r="83" customFormat="false" ht="15" hidden="false" customHeight="false" outlineLevel="0" collapsed="false">
      <c r="A83" s="16"/>
      <c r="B83" s="20"/>
      <c r="C83" s="20"/>
      <c r="D83" s="24"/>
      <c r="E83" s="9" t="str">
        <f aca="false">IF(OR(A83="",B83="",C83=""),"",IF(D83="O",0,SUMIFS(Postes!$P$5:$P$124,Postes!$A$5:$A$124,A83,Postes!$B$5:$B$124,B83)))</f>
        <v/>
      </c>
    </row>
    <row r="84" customFormat="false" ht="15" hidden="false" customHeight="false" outlineLevel="0" collapsed="false">
      <c r="A84" s="16"/>
      <c r="B84" s="20"/>
      <c r="C84" s="20"/>
      <c r="D84" s="24"/>
      <c r="E84" s="9" t="str">
        <f aca="false">IF(OR(A84="",B84="",C84=""),"",IF(D84="O",0,SUMIFS(Postes!$P$5:$P$124,Postes!$A$5:$A$124,A84,Postes!$B$5:$B$124,B84)))</f>
        <v/>
      </c>
    </row>
    <row r="85" customFormat="false" ht="15" hidden="false" customHeight="false" outlineLevel="0" collapsed="false">
      <c r="A85" s="16"/>
      <c r="B85" s="20"/>
      <c r="C85" s="20"/>
      <c r="D85" s="24"/>
      <c r="E85" s="9" t="str">
        <f aca="false">IF(OR(A85="",B85="",C85=""),"",IF(D85="O",0,SUMIFS(Postes!$P$5:$P$124,Postes!$A$5:$A$124,A85,Postes!$B$5:$B$124,B85)))</f>
        <v/>
      </c>
    </row>
    <row r="86" customFormat="false" ht="15" hidden="false" customHeight="false" outlineLevel="0" collapsed="false">
      <c r="A86" s="16"/>
      <c r="B86" s="20"/>
      <c r="C86" s="20"/>
      <c r="D86" s="24"/>
      <c r="E86" s="9" t="str">
        <f aca="false">IF(OR(A86="",B86="",C86=""),"",IF(D86="O",0,SUMIFS(Postes!$P$5:$P$124,Postes!$A$5:$A$124,A86,Postes!$B$5:$B$124,B86)))</f>
        <v/>
      </c>
    </row>
    <row r="87" customFormat="false" ht="15" hidden="false" customHeight="false" outlineLevel="0" collapsed="false">
      <c r="A87" s="16"/>
      <c r="B87" s="20"/>
      <c r="C87" s="20"/>
      <c r="D87" s="24"/>
      <c r="E87" s="9" t="str">
        <f aca="false">IF(OR(A87="",B87="",C87=""),"",IF(D87="O",0,SUMIFS(Postes!$P$5:$P$124,Postes!$A$5:$A$124,A87,Postes!$B$5:$B$124,B87)))</f>
        <v/>
      </c>
    </row>
    <row r="88" customFormat="false" ht="15" hidden="false" customHeight="false" outlineLevel="0" collapsed="false">
      <c r="A88" s="16"/>
      <c r="B88" s="20"/>
      <c r="C88" s="20"/>
      <c r="D88" s="24"/>
      <c r="E88" s="9" t="str">
        <f aca="false">IF(OR(A88="",B88="",C88=""),"",IF(D88="O",0,SUMIFS(Postes!$P$5:$P$124,Postes!$A$5:$A$124,A88,Postes!$B$5:$B$124,B88)))</f>
        <v/>
      </c>
    </row>
    <row r="89" customFormat="false" ht="15" hidden="false" customHeight="false" outlineLevel="0" collapsed="false">
      <c r="A89" s="16"/>
      <c r="B89" s="20"/>
      <c r="C89" s="20"/>
      <c r="D89" s="24"/>
      <c r="E89" s="9" t="str">
        <f aca="false">IF(OR(A89="",B89="",C89=""),"",IF(D89="O",0,SUMIFS(Postes!$P$5:$P$124,Postes!$A$5:$A$124,A89,Postes!$B$5:$B$124,B89)))</f>
        <v/>
      </c>
    </row>
    <row r="90" customFormat="false" ht="15" hidden="false" customHeight="false" outlineLevel="0" collapsed="false">
      <c r="A90" s="16"/>
      <c r="B90" s="20"/>
      <c r="C90" s="20"/>
      <c r="D90" s="24"/>
      <c r="E90" s="9" t="str">
        <f aca="false">IF(OR(A90="",B90="",C90=""),"",IF(D90="O",0,SUMIFS(Postes!$P$5:$P$124,Postes!$A$5:$A$124,A90,Postes!$B$5:$B$124,B90)))</f>
        <v/>
      </c>
    </row>
    <row r="91" customFormat="false" ht="15" hidden="false" customHeight="false" outlineLevel="0" collapsed="false">
      <c r="A91" s="16"/>
      <c r="B91" s="20"/>
      <c r="C91" s="20"/>
      <c r="D91" s="24"/>
      <c r="E91" s="9" t="str">
        <f aca="false">IF(OR(A91="",B91="",C91=""),"",IF(D91="O",0,SUMIFS(Postes!$P$5:$P$124,Postes!$A$5:$A$124,A91,Postes!$B$5:$B$124,B91)))</f>
        <v/>
      </c>
    </row>
    <row r="92" customFormat="false" ht="15" hidden="false" customHeight="false" outlineLevel="0" collapsed="false">
      <c r="A92" s="16"/>
      <c r="B92" s="20"/>
      <c r="C92" s="20"/>
      <c r="D92" s="24"/>
      <c r="E92" s="9" t="str">
        <f aca="false">IF(OR(A92="",B92="",C92=""),"",IF(D92="O",0,SUMIFS(Postes!$P$5:$P$124,Postes!$A$5:$A$124,A92,Postes!$B$5:$B$124,B92)))</f>
        <v/>
      </c>
    </row>
    <row r="93" customFormat="false" ht="15" hidden="false" customHeight="false" outlineLevel="0" collapsed="false">
      <c r="A93" s="16"/>
      <c r="B93" s="20"/>
      <c r="C93" s="20"/>
      <c r="D93" s="24"/>
      <c r="E93" s="9" t="str">
        <f aca="false">IF(OR(A93="",B93="",C93=""),"",IF(D93="O",0,SUMIFS(Postes!$P$5:$P$124,Postes!$A$5:$A$124,A93,Postes!$B$5:$B$124,B93)))</f>
        <v/>
      </c>
    </row>
    <row r="94" customFormat="false" ht="15" hidden="false" customHeight="false" outlineLevel="0" collapsed="false">
      <c r="A94" s="16"/>
      <c r="B94" s="20"/>
      <c r="C94" s="20"/>
      <c r="D94" s="24"/>
      <c r="E94" s="9" t="str">
        <f aca="false">IF(OR(A94="",B94="",C94=""),"",IF(D94="O",0,SUMIFS(Postes!$P$5:$P$124,Postes!$A$5:$A$124,A94,Postes!$B$5:$B$124,B94)))</f>
        <v/>
      </c>
    </row>
    <row r="95" customFormat="false" ht="15" hidden="false" customHeight="false" outlineLevel="0" collapsed="false">
      <c r="A95" s="16"/>
      <c r="B95" s="20"/>
      <c r="C95" s="20"/>
      <c r="D95" s="24"/>
      <c r="E95" s="9" t="str">
        <f aca="false">IF(OR(A95="",B95="",C95=""),"",IF(D95="O",0,SUMIFS(Postes!$P$5:$P$124,Postes!$A$5:$A$124,A95,Postes!$B$5:$B$124,B95)))</f>
        <v/>
      </c>
    </row>
    <row r="96" customFormat="false" ht="15" hidden="false" customHeight="false" outlineLevel="0" collapsed="false">
      <c r="A96" s="16"/>
      <c r="B96" s="20"/>
      <c r="C96" s="20"/>
      <c r="D96" s="24"/>
      <c r="E96" s="9" t="str">
        <f aca="false">IF(OR(A96="",B96="",C96=""),"",IF(D96="O",0,SUMIFS(Postes!$P$5:$P$124,Postes!$A$5:$A$124,A96,Postes!$B$5:$B$124,B96)))</f>
        <v/>
      </c>
    </row>
    <row r="97" customFormat="false" ht="15" hidden="false" customHeight="false" outlineLevel="0" collapsed="false">
      <c r="A97" s="16"/>
      <c r="B97" s="20"/>
      <c r="C97" s="20"/>
      <c r="D97" s="24"/>
      <c r="E97" s="9" t="str">
        <f aca="false">IF(OR(A97="",B97="",C97=""),"",IF(D97="O",0,SUMIFS(Postes!$P$5:$P$124,Postes!$A$5:$A$124,A97,Postes!$B$5:$B$124,B97)))</f>
        <v/>
      </c>
    </row>
    <row r="98" customFormat="false" ht="15" hidden="false" customHeight="false" outlineLevel="0" collapsed="false">
      <c r="A98" s="16"/>
      <c r="B98" s="20"/>
      <c r="C98" s="20"/>
      <c r="D98" s="24"/>
      <c r="E98" s="9" t="str">
        <f aca="false">IF(OR(A98="",B98="",C98=""),"",IF(D98="O",0,SUMIFS(Postes!$P$5:$P$124,Postes!$A$5:$A$124,A98,Postes!$B$5:$B$124,B98)))</f>
        <v/>
      </c>
    </row>
    <row r="99" customFormat="false" ht="15" hidden="false" customHeight="false" outlineLevel="0" collapsed="false">
      <c r="A99" s="16"/>
      <c r="B99" s="20"/>
      <c r="C99" s="20"/>
      <c r="D99" s="24"/>
      <c r="E99" s="9" t="str">
        <f aca="false">IF(OR(A99="",B99="",C99=""),"",IF(D99="O",0,SUMIFS(Postes!$P$5:$P$124,Postes!$A$5:$A$124,A99,Postes!$B$5:$B$124,B99)))</f>
        <v/>
      </c>
    </row>
    <row r="100" customFormat="false" ht="15" hidden="false" customHeight="false" outlineLevel="0" collapsed="false">
      <c r="A100" s="16"/>
      <c r="B100" s="20"/>
      <c r="C100" s="20"/>
      <c r="D100" s="24"/>
      <c r="E100" s="9" t="str">
        <f aca="false">IF(OR(A100="",B100="",C100=""),"",IF(D100="O",0,SUMIFS(Postes!$P$5:$P$124,Postes!$A$5:$A$124,A100,Postes!$B$5:$B$124,B100)))</f>
        <v/>
      </c>
    </row>
    <row r="101" customFormat="false" ht="15" hidden="false" customHeight="false" outlineLevel="0" collapsed="false">
      <c r="A101" s="16"/>
      <c r="B101" s="20"/>
      <c r="C101" s="20"/>
      <c r="D101" s="24"/>
      <c r="E101" s="9" t="str">
        <f aca="false">IF(OR(A101="",B101="",C101=""),"",IF(D101="O",0,SUMIFS(Postes!$P$5:$P$124,Postes!$A$5:$A$124,A101,Postes!$B$5:$B$124,B101)))</f>
        <v/>
      </c>
    </row>
    <row r="102" customFormat="false" ht="15" hidden="false" customHeight="false" outlineLevel="0" collapsed="false">
      <c r="A102" s="16"/>
      <c r="B102" s="20"/>
      <c r="C102" s="20"/>
      <c r="D102" s="24"/>
      <c r="E102" s="9" t="str">
        <f aca="false">IF(OR(A102="",B102="",C102=""),"",IF(D102="O",0,SUMIFS(Postes!$P$5:$P$124,Postes!$A$5:$A$124,A102,Postes!$B$5:$B$124,B102)))</f>
        <v/>
      </c>
    </row>
    <row r="103" customFormat="false" ht="15" hidden="false" customHeight="false" outlineLevel="0" collapsed="false">
      <c r="A103" s="16"/>
      <c r="B103" s="20"/>
      <c r="C103" s="20"/>
      <c r="D103" s="24"/>
      <c r="E103" s="9" t="str">
        <f aca="false">IF(OR(A103="",B103="",C103=""),"",IF(D103="O",0,SUMIFS(Postes!$P$5:$P$124,Postes!$A$5:$A$124,A103,Postes!$B$5:$B$124,B103)))</f>
        <v/>
      </c>
    </row>
    <row r="104" customFormat="false" ht="15" hidden="false" customHeight="false" outlineLevel="0" collapsed="false">
      <c r="A104" s="16"/>
      <c r="B104" s="20"/>
      <c r="C104" s="20"/>
      <c r="D104" s="24"/>
      <c r="E104" s="9" t="str">
        <f aca="false">IF(OR(A104="",B104="",C104=""),"",IF(D104="O",0,SUMIFS(Postes!$P$5:$P$124,Postes!$A$5:$A$124,A104,Postes!$B$5:$B$124,B104)))</f>
        <v/>
      </c>
    </row>
    <row r="105" customFormat="false" ht="15" hidden="false" customHeight="false" outlineLevel="0" collapsed="false">
      <c r="A105" s="16"/>
      <c r="B105" s="20"/>
      <c r="C105" s="20"/>
      <c r="D105" s="24"/>
      <c r="E105" s="9" t="str">
        <f aca="false">IF(OR(A105="",B105="",C105=""),"",IF(D105="O",0,SUMIFS(Postes!$P$5:$P$124,Postes!$A$5:$A$124,A105,Postes!$B$5:$B$124,B105)))</f>
        <v/>
      </c>
    </row>
    <row r="106" customFormat="false" ht="15" hidden="false" customHeight="false" outlineLevel="0" collapsed="false">
      <c r="A106" s="16"/>
      <c r="B106" s="20"/>
      <c r="C106" s="20"/>
      <c r="D106" s="24"/>
      <c r="E106" s="9" t="str">
        <f aca="false">IF(OR(A106="",B106="",C106=""),"",IF(D106="O",0,SUMIFS(Postes!$P$5:$P$124,Postes!$A$5:$A$124,A106,Postes!$B$5:$B$124,B106)))</f>
        <v/>
      </c>
    </row>
    <row r="107" customFormat="false" ht="15" hidden="false" customHeight="false" outlineLevel="0" collapsed="false">
      <c r="A107" s="16"/>
      <c r="B107" s="20"/>
      <c r="C107" s="20"/>
      <c r="D107" s="24"/>
      <c r="E107" s="9" t="str">
        <f aca="false">IF(OR(A107="",B107="",C107=""),"",IF(D107="O",0,SUMIFS(Postes!$P$5:$P$124,Postes!$A$5:$A$124,A107,Postes!$B$5:$B$124,B107)))</f>
        <v/>
      </c>
    </row>
    <row r="108" customFormat="false" ht="15" hidden="false" customHeight="false" outlineLevel="0" collapsed="false">
      <c r="A108" s="16"/>
      <c r="B108" s="20"/>
      <c r="C108" s="20"/>
      <c r="D108" s="24"/>
      <c r="E108" s="9" t="str">
        <f aca="false">IF(OR(A108="",B108="",C108=""),"",IF(D108="O",0,SUMIFS(Postes!$P$5:$P$124,Postes!$A$5:$A$124,A108,Postes!$B$5:$B$124,B108)))</f>
        <v/>
      </c>
    </row>
    <row r="109" customFormat="false" ht="15" hidden="false" customHeight="false" outlineLevel="0" collapsed="false">
      <c r="A109" s="16"/>
      <c r="B109" s="20"/>
      <c r="C109" s="20"/>
      <c r="D109" s="24"/>
      <c r="E109" s="9" t="str">
        <f aca="false">IF(OR(A109="",B109="",C109=""),"",IF(D109="O",0,SUMIFS(Postes!$P$5:$P$124,Postes!$A$5:$A$124,A109,Postes!$B$5:$B$124,B109)))</f>
        <v/>
      </c>
    </row>
    <row r="110" customFormat="false" ht="15" hidden="false" customHeight="false" outlineLevel="0" collapsed="false">
      <c r="A110" s="16"/>
      <c r="B110" s="20"/>
      <c r="C110" s="20"/>
      <c r="D110" s="24"/>
      <c r="E110" s="9" t="str">
        <f aca="false">IF(OR(A110="",B110="",C110=""),"",IF(D110="O",0,SUMIFS(Postes!$P$5:$P$124,Postes!$A$5:$A$124,A110,Postes!$B$5:$B$124,B110)))</f>
        <v/>
      </c>
    </row>
    <row r="111" customFormat="false" ht="15" hidden="false" customHeight="false" outlineLevel="0" collapsed="false">
      <c r="A111" s="16"/>
      <c r="B111" s="20"/>
      <c r="C111" s="20"/>
      <c r="D111" s="24"/>
      <c r="E111" s="9" t="str">
        <f aca="false">IF(OR(A111="",B111="",C111=""),"",IF(D111="O",0,SUMIFS(Postes!$P$5:$P$124,Postes!$A$5:$A$124,A111,Postes!$B$5:$B$124,B111)))</f>
        <v/>
      </c>
    </row>
    <row r="112" customFormat="false" ht="15" hidden="false" customHeight="false" outlineLevel="0" collapsed="false">
      <c r="A112" s="16"/>
      <c r="B112" s="20"/>
      <c r="C112" s="20"/>
      <c r="D112" s="24"/>
      <c r="E112" s="9" t="str">
        <f aca="false">IF(OR(A112="",B112="",C112=""),"",IF(D112="O",0,SUMIFS(Postes!$P$5:$P$124,Postes!$A$5:$A$124,A112,Postes!$B$5:$B$124,B112)))</f>
        <v/>
      </c>
    </row>
    <row r="113" customFormat="false" ht="15" hidden="false" customHeight="false" outlineLevel="0" collapsed="false">
      <c r="A113" s="16"/>
      <c r="B113" s="20"/>
      <c r="C113" s="20"/>
      <c r="D113" s="24"/>
      <c r="E113" s="9" t="str">
        <f aca="false">IF(OR(A113="",B113="",C113=""),"",IF(D113="O",0,SUMIFS(Postes!$P$5:$P$124,Postes!$A$5:$A$124,A113,Postes!$B$5:$B$124,B113)))</f>
        <v/>
      </c>
    </row>
    <row r="114" customFormat="false" ht="15" hidden="false" customHeight="false" outlineLevel="0" collapsed="false">
      <c r="A114" s="16"/>
      <c r="B114" s="20"/>
      <c r="C114" s="20"/>
      <c r="D114" s="24"/>
      <c r="E114" s="9" t="str">
        <f aca="false">IF(OR(A114="",B114="",C114=""),"",IF(D114="O",0,SUMIFS(Postes!$P$5:$P$124,Postes!$A$5:$A$124,A114,Postes!$B$5:$B$124,B114)))</f>
        <v/>
      </c>
    </row>
    <row r="115" customFormat="false" ht="15" hidden="false" customHeight="false" outlineLevel="0" collapsed="false">
      <c r="A115" s="16"/>
      <c r="B115" s="20"/>
      <c r="C115" s="20"/>
      <c r="D115" s="24"/>
      <c r="E115" s="9" t="str">
        <f aca="false">IF(OR(A115="",B115="",C115=""),"",IF(D115="O",0,SUMIFS(Postes!$P$5:$P$124,Postes!$A$5:$A$124,A115,Postes!$B$5:$B$124,B115)))</f>
        <v/>
      </c>
    </row>
    <row r="116" customFormat="false" ht="15" hidden="false" customHeight="false" outlineLevel="0" collapsed="false">
      <c r="A116" s="16"/>
      <c r="B116" s="20"/>
      <c r="C116" s="20"/>
      <c r="D116" s="24"/>
      <c r="E116" s="9" t="str">
        <f aca="false">IF(OR(A116="",B116="",C116=""),"",IF(D116="O",0,SUMIFS(Postes!$P$5:$P$124,Postes!$A$5:$A$124,A116,Postes!$B$5:$B$124,B116)))</f>
        <v/>
      </c>
    </row>
    <row r="117" customFormat="false" ht="15" hidden="false" customHeight="false" outlineLevel="0" collapsed="false">
      <c r="A117" s="16"/>
      <c r="B117" s="20"/>
      <c r="C117" s="20"/>
      <c r="D117" s="24"/>
      <c r="E117" s="9" t="str">
        <f aca="false">IF(OR(A117="",B117="",C117=""),"",IF(D117="O",0,SUMIFS(Postes!$P$5:$P$124,Postes!$A$5:$A$124,A117,Postes!$B$5:$B$124,B117)))</f>
        <v/>
      </c>
    </row>
    <row r="118" customFormat="false" ht="15" hidden="false" customHeight="false" outlineLevel="0" collapsed="false">
      <c r="A118" s="16"/>
      <c r="B118" s="20"/>
      <c r="C118" s="20"/>
      <c r="D118" s="24"/>
      <c r="E118" s="9" t="str">
        <f aca="false">IF(OR(A118="",B118="",C118=""),"",IF(D118="O",0,SUMIFS(Postes!$P$5:$P$124,Postes!$A$5:$A$124,A118,Postes!$B$5:$B$124,B118)))</f>
        <v/>
      </c>
    </row>
    <row r="119" customFormat="false" ht="15" hidden="false" customHeight="false" outlineLevel="0" collapsed="false">
      <c r="A119" s="16"/>
      <c r="B119" s="20"/>
      <c r="C119" s="20"/>
      <c r="D119" s="24"/>
      <c r="E119" s="9" t="str">
        <f aca="false">IF(OR(A119="",B119="",C119=""),"",IF(D119="O",0,SUMIFS(Postes!$P$5:$P$124,Postes!$A$5:$A$124,A119,Postes!$B$5:$B$124,B119)))</f>
        <v/>
      </c>
    </row>
    <row r="120" customFormat="false" ht="15" hidden="false" customHeight="false" outlineLevel="0" collapsed="false">
      <c r="A120" s="16"/>
      <c r="B120" s="20"/>
      <c r="C120" s="20"/>
      <c r="D120" s="24"/>
      <c r="E120" s="9" t="str">
        <f aca="false">IF(OR(A120="",B120="",C120=""),"",IF(D120="O",0,SUMIFS(Postes!$P$5:$P$124,Postes!$A$5:$A$124,A120,Postes!$B$5:$B$124,B120)))</f>
        <v/>
      </c>
    </row>
    <row r="121" customFormat="false" ht="15" hidden="false" customHeight="false" outlineLevel="0" collapsed="false">
      <c r="A121" s="16"/>
      <c r="B121" s="20"/>
      <c r="C121" s="20"/>
      <c r="D121" s="24"/>
      <c r="E121" s="9" t="str">
        <f aca="false">IF(OR(A121="",B121="",C121=""),"",IF(D121="O",0,SUMIFS(Postes!$P$5:$P$124,Postes!$A$5:$A$124,A121,Postes!$B$5:$B$124,B121)))</f>
        <v/>
      </c>
    </row>
    <row r="122" customFormat="false" ht="15" hidden="false" customHeight="false" outlineLevel="0" collapsed="false">
      <c r="A122" s="16"/>
      <c r="B122" s="20"/>
      <c r="C122" s="20"/>
      <c r="D122" s="24"/>
      <c r="E122" s="9" t="str">
        <f aca="false">IF(OR(A122="",B122="",C122=""),"",IF(D122="O",0,SUMIFS(Postes!$P$5:$P$124,Postes!$A$5:$A$124,A122,Postes!$B$5:$B$124,B122)))</f>
        <v/>
      </c>
    </row>
    <row r="123" customFormat="false" ht="15" hidden="false" customHeight="false" outlineLevel="0" collapsed="false">
      <c r="A123" s="16"/>
      <c r="B123" s="20"/>
      <c r="C123" s="20"/>
      <c r="D123" s="24"/>
      <c r="E123" s="9" t="str">
        <f aca="false">IF(OR(A123="",B123="",C123=""),"",IF(D123="O",0,SUMIFS(Postes!$P$5:$P$124,Postes!$A$5:$A$124,A123,Postes!$B$5:$B$124,B123)))</f>
        <v/>
      </c>
    </row>
    <row r="124" customFormat="false" ht="15" hidden="false" customHeight="false" outlineLevel="0" collapsed="false">
      <c r="A124" s="16"/>
      <c r="B124" s="20"/>
      <c r="C124" s="20"/>
      <c r="D124" s="24"/>
      <c r="E124" s="9" t="str">
        <f aca="false">IF(OR(A124="",B124="",C124=""),"",IF(D124="O",0,SUMIFS(Postes!$P$5:$P$124,Postes!$A$5:$A$124,A124,Postes!$B$5:$B$124,B124)))</f>
        <v/>
      </c>
    </row>
    <row r="125" customFormat="false" ht="15" hidden="false" customHeight="false" outlineLevel="0" collapsed="false">
      <c r="A125" s="16"/>
      <c r="B125" s="20"/>
      <c r="C125" s="20"/>
      <c r="D125" s="24"/>
      <c r="E125" s="9" t="str">
        <f aca="false">IF(OR(A125="",B125="",C125=""),"",IF(D125="O",0,SUMIFS(Postes!$P$5:$P$124,Postes!$A$5:$A$124,A125,Postes!$B$5:$B$124,B125)))</f>
        <v/>
      </c>
    </row>
    <row r="126" customFormat="false" ht="15" hidden="false" customHeight="false" outlineLevel="0" collapsed="false">
      <c r="A126" s="16"/>
      <c r="B126" s="20"/>
      <c r="C126" s="20"/>
      <c r="D126" s="24"/>
      <c r="E126" s="9" t="str">
        <f aca="false">IF(OR(A126="",B126="",C126=""),"",IF(D126="O",0,SUMIFS(Postes!$P$5:$P$124,Postes!$A$5:$A$124,A126,Postes!$B$5:$B$124,B126)))</f>
        <v/>
      </c>
    </row>
    <row r="127" customFormat="false" ht="15" hidden="false" customHeight="false" outlineLevel="0" collapsed="false">
      <c r="A127" s="16"/>
      <c r="B127" s="20"/>
      <c r="C127" s="20"/>
      <c r="D127" s="24"/>
      <c r="E127" s="9" t="str">
        <f aca="false">IF(OR(A127="",B127="",C127=""),"",IF(D127="O",0,SUMIFS(Postes!$P$5:$P$124,Postes!$A$5:$A$124,A127,Postes!$B$5:$B$124,B127)))</f>
        <v/>
      </c>
    </row>
    <row r="128" customFormat="false" ht="15" hidden="false" customHeight="false" outlineLevel="0" collapsed="false">
      <c r="A128" s="16"/>
      <c r="B128" s="20"/>
      <c r="C128" s="20"/>
      <c r="D128" s="24"/>
      <c r="E128" s="9" t="str">
        <f aca="false">IF(OR(A128="",B128="",C128=""),"",IF(D128="O",0,SUMIFS(Postes!$P$5:$P$124,Postes!$A$5:$A$124,A128,Postes!$B$5:$B$124,B128)))</f>
        <v/>
      </c>
    </row>
    <row r="129" customFormat="false" ht="15" hidden="false" customHeight="false" outlineLevel="0" collapsed="false">
      <c r="A129" s="16"/>
      <c r="B129" s="20"/>
      <c r="C129" s="20"/>
      <c r="D129" s="24"/>
      <c r="E129" s="9" t="str">
        <f aca="false">IF(OR(A129="",B129="",C129=""),"",IF(D129="O",0,SUMIFS(Postes!$P$5:$P$124,Postes!$A$5:$A$124,A129,Postes!$B$5:$B$124,B129)))</f>
        <v/>
      </c>
    </row>
    <row r="130" customFormat="false" ht="15" hidden="false" customHeight="false" outlineLevel="0" collapsed="false">
      <c r="A130" s="16"/>
      <c r="B130" s="20"/>
      <c r="C130" s="20"/>
      <c r="D130" s="24"/>
      <c r="E130" s="9" t="str">
        <f aca="false">IF(OR(A130="",B130="",C130=""),"",IF(D130="O",0,SUMIFS(Postes!$P$5:$P$124,Postes!$A$5:$A$124,A130,Postes!$B$5:$B$124,B130)))</f>
        <v/>
      </c>
    </row>
    <row r="131" customFormat="false" ht="15" hidden="false" customHeight="false" outlineLevel="0" collapsed="false">
      <c r="A131" s="16"/>
      <c r="B131" s="20"/>
      <c r="C131" s="20"/>
      <c r="D131" s="24"/>
      <c r="E131" s="9" t="str">
        <f aca="false">IF(OR(A131="",B131="",C131=""),"",IF(D131="O",0,SUMIFS(Postes!$P$5:$P$124,Postes!$A$5:$A$124,A131,Postes!$B$5:$B$124,B131)))</f>
        <v/>
      </c>
    </row>
    <row r="132" customFormat="false" ht="15" hidden="false" customHeight="false" outlineLevel="0" collapsed="false">
      <c r="A132" s="16"/>
      <c r="B132" s="20"/>
      <c r="C132" s="20"/>
      <c r="D132" s="24"/>
      <c r="E132" s="9" t="str">
        <f aca="false">IF(OR(A132="",B132="",C132=""),"",IF(D132="O",0,SUMIFS(Postes!$P$5:$P$124,Postes!$A$5:$A$124,A132,Postes!$B$5:$B$124,B132)))</f>
        <v/>
      </c>
    </row>
    <row r="133" customFormat="false" ht="15" hidden="false" customHeight="false" outlineLevel="0" collapsed="false">
      <c r="A133" s="16"/>
      <c r="B133" s="20"/>
      <c r="C133" s="20"/>
      <c r="D133" s="24"/>
      <c r="E133" s="9" t="str">
        <f aca="false">IF(OR(A133="",B133="",C133=""),"",IF(D133="O",0,SUMIFS(Postes!$P$5:$P$124,Postes!$A$5:$A$124,A133,Postes!$B$5:$B$124,B133)))</f>
        <v/>
      </c>
    </row>
    <row r="134" customFormat="false" ht="15" hidden="false" customHeight="false" outlineLevel="0" collapsed="false">
      <c r="A134" s="16"/>
      <c r="B134" s="20"/>
      <c r="C134" s="20"/>
      <c r="D134" s="24"/>
      <c r="E134" s="9" t="str">
        <f aca="false">IF(OR(A134="",B134="",C134=""),"",IF(D134="O",0,SUMIFS(Postes!$P$5:$P$124,Postes!$A$5:$A$124,A134,Postes!$B$5:$B$124,B134)))</f>
        <v/>
      </c>
    </row>
    <row r="135" customFormat="false" ht="15" hidden="false" customHeight="false" outlineLevel="0" collapsed="false">
      <c r="A135" s="16"/>
      <c r="B135" s="20"/>
      <c r="C135" s="20"/>
      <c r="D135" s="24"/>
      <c r="E135" s="9" t="str">
        <f aca="false">IF(OR(A135="",B135="",C135=""),"",IF(D135="O",0,SUMIFS(Postes!$P$5:$P$124,Postes!$A$5:$A$124,A135,Postes!$B$5:$B$124,B135)))</f>
        <v/>
      </c>
    </row>
    <row r="136" customFormat="false" ht="15" hidden="false" customHeight="false" outlineLevel="0" collapsed="false">
      <c r="A136" s="16"/>
      <c r="B136" s="20"/>
      <c r="C136" s="20"/>
      <c r="D136" s="24"/>
      <c r="E136" s="9" t="str">
        <f aca="false">IF(OR(A136="",B136="",C136=""),"",IF(D136="O",0,SUMIFS(Postes!$P$5:$P$124,Postes!$A$5:$A$124,A136,Postes!$B$5:$B$124,B136)))</f>
        <v/>
      </c>
    </row>
    <row r="137" customFormat="false" ht="15" hidden="false" customHeight="false" outlineLevel="0" collapsed="false">
      <c r="A137" s="16"/>
      <c r="B137" s="20"/>
      <c r="C137" s="20"/>
      <c r="D137" s="24"/>
      <c r="E137" s="9" t="str">
        <f aca="false">IF(OR(A137="",B137="",C137=""),"",IF(D137="O",0,SUMIFS(Postes!$P$5:$P$124,Postes!$A$5:$A$124,A137,Postes!$B$5:$B$124,B137)))</f>
        <v/>
      </c>
    </row>
    <row r="138" customFormat="false" ht="15" hidden="false" customHeight="false" outlineLevel="0" collapsed="false">
      <c r="A138" s="16"/>
      <c r="B138" s="20"/>
      <c r="C138" s="20"/>
      <c r="D138" s="24"/>
      <c r="E138" s="9" t="str">
        <f aca="false">IF(OR(A138="",B138="",C138=""),"",IF(D138="O",0,SUMIFS(Postes!$P$5:$P$124,Postes!$A$5:$A$124,A138,Postes!$B$5:$B$124,B138)))</f>
        <v/>
      </c>
    </row>
    <row r="139" customFormat="false" ht="15" hidden="false" customHeight="false" outlineLevel="0" collapsed="false">
      <c r="A139" s="16"/>
      <c r="B139" s="20"/>
      <c r="C139" s="20"/>
      <c r="D139" s="24"/>
      <c r="E139" s="9" t="str">
        <f aca="false">IF(OR(A139="",B139="",C139=""),"",IF(D139="O",0,SUMIFS(Postes!$P$5:$P$124,Postes!$A$5:$A$124,A139,Postes!$B$5:$B$124,B139)))</f>
        <v/>
      </c>
    </row>
    <row r="140" customFormat="false" ht="15" hidden="false" customHeight="false" outlineLevel="0" collapsed="false">
      <c r="A140" s="16"/>
      <c r="B140" s="20"/>
      <c r="C140" s="20"/>
      <c r="D140" s="24"/>
      <c r="E140" s="9" t="str">
        <f aca="false">IF(OR(A140="",B140="",C140=""),"",IF(D140="O",0,SUMIFS(Postes!$P$5:$P$124,Postes!$A$5:$A$124,A140,Postes!$B$5:$B$124,B140)))</f>
        <v/>
      </c>
    </row>
    <row r="141" customFormat="false" ht="15" hidden="false" customHeight="false" outlineLevel="0" collapsed="false">
      <c r="A141" s="16"/>
      <c r="B141" s="20"/>
      <c r="C141" s="20"/>
      <c r="D141" s="24"/>
      <c r="E141" s="9" t="str">
        <f aca="false">IF(OR(A141="",B141="",C141=""),"",IF(D141="O",0,SUMIFS(Postes!$P$5:$P$124,Postes!$A$5:$A$124,A141,Postes!$B$5:$B$124,B141)))</f>
        <v/>
      </c>
    </row>
    <row r="142" customFormat="false" ht="15" hidden="false" customHeight="false" outlineLevel="0" collapsed="false">
      <c r="A142" s="16"/>
      <c r="B142" s="20"/>
      <c r="C142" s="20"/>
      <c r="D142" s="24"/>
      <c r="E142" s="9" t="str">
        <f aca="false">IF(OR(A142="",B142="",C142=""),"",IF(D142="O",0,SUMIFS(Postes!$P$5:$P$124,Postes!$A$5:$A$124,A142,Postes!$B$5:$B$124,B142)))</f>
        <v/>
      </c>
    </row>
    <row r="143" customFormat="false" ht="15" hidden="false" customHeight="false" outlineLevel="0" collapsed="false">
      <c r="A143" s="16"/>
      <c r="B143" s="20"/>
      <c r="C143" s="20"/>
      <c r="D143" s="24"/>
      <c r="E143" s="9" t="str">
        <f aca="false">IF(OR(A143="",B143="",C143=""),"",IF(D143="O",0,SUMIFS(Postes!$P$5:$P$124,Postes!$A$5:$A$124,A143,Postes!$B$5:$B$124,B143)))</f>
        <v/>
      </c>
    </row>
    <row r="144" customFormat="false" ht="15" hidden="false" customHeight="false" outlineLevel="0" collapsed="false">
      <c r="A144" s="16"/>
      <c r="B144" s="20"/>
      <c r="C144" s="20"/>
      <c r="D144" s="24"/>
      <c r="E144" s="9" t="str">
        <f aca="false">IF(OR(A144="",B144="",C144=""),"",IF(D144="O",0,SUMIFS(Postes!$P$5:$P$124,Postes!$A$5:$A$124,A144,Postes!$B$5:$B$124,B144)))</f>
        <v/>
      </c>
    </row>
    <row r="145" customFormat="false" ht="15" hidden="false" customHeight="false" outlineLevel="0" collapsed="false">
      <c r="A145" s="16"/>
      <c r="B145" s="20"/>
      <c r="C145" s="20"/>
      <c r="D145" s="24"/>
      <c r="E145" s="9" t="str">
        <f aca="false">IF(OR(A145="",B145="",C145=""),"",IF(D145="O",0,SUMIFS(Postes!$P$5:$P$124,Postes!$A$5:$A$124,A145,Postes!$B$5:$B$124,B145)))</f>
        <v/>
      </c>
    </row>
    <row r="146" customFormat="false" ht="15" hidden="false" customHeight="false" outlineLevel="0" collapsed="false">
      <c r="A146" s="16"/>
      <c r="B146" s="20"/>
      <c r="C146" s="20"/>
      <c r="D146" s="24"/>
      <c r="E146" s="9" t="str">
        <f aca="false">IF(OR(A146="",B146="",C146=""),"",IF(D146="O",0,SUMIFS(Postes!$P$5:$P$124,Postes!$A$5:$A$124,A146,Postes!$B$5:$B$124,B146)))</f>
        <v/>
      </c>
    </row>
    <row r="147" customFormat="false" ht="15" hidden="false" customHeight="false" outlineLevel="0" collapsed="false">
      <c r="A147" s="16"/>
      <c r="B147" s="20"/>
      <c r="C147" s="20"/>
      <c r="D147" s="24"/>
      <c r="E147" s="9" t="str">
        <f aca="false">IF(OR(A147="",B147="",C147=""),"",IF(D147="O",0,SUMIFS(Postes!$P$5:$P$124,Postes!$A$5:$A$124,A147,Postes!$B$5:$B$124,B147)))</f>
        <v/>
      </c>
    </row>
    <row r="148" customFormat="false" ht="15" hidden="false" customHeight="false" outlineLevel="0" collapsed="false">
      <c r="A148" s="16"/>
      <c r="B148" s="20"/>
      <c r="C148" s="20"/>
      <c r="D148" s="24"/>
      <c r="E148" s="9" t="str">
        <f aca="false">IF(OR(A148="",B148="",C148=""),"",IF(D148="O",0,SUMIFS(Postes!$P$5:$P$124,Postes!$A$5:$A$124,A148,Postes!$B$5:$B$124,B148)))</f>
        <v/>
      </c>
    </row>
    <row r="149" customFormat="false" ht="15" hidden="false" customHeight="false" outlineLevel="0" collapsed="false">
      <c r="A149" s="16"/>
      <c r="B149" s="20"/>
      <c r="C149" s="20"/>
      <c r="D149" s="24"/>
      <c r="E149" s="9" t="str">
        <f aca="false">IF(OR(A149="",B149="",C149=""),"",IF(D149="O",0,SUMIFS(Postes!$P$5:$P$124,Postes!$A$5:$A$124,A149,Postes!$B$5:$B$124,B149)))</f>
        <v/>
      </c>
    </row>
    <row r="150" customFormat="false" ht="15" hidden="false" customHeight="false" outlineLevel="0" collapsed="false">
      <c r="A150" s="16"/>
      <c r="B150" s="20"/>
      <c r="C150" s="20"/>
      <c r="D150" s="24"/>
      <c r="E150" s="9" t="str">
        <f aca="false">IF(OR(A150="",B150="",C150=""),"",IF(D150="O",0,SUMIFS(Postes!$P$5:$P$124,Postes!$A$5:$A$124,A150,Postes!$B$5:$B$124,B150)))</f>
        <v/>
      </c>
    </row>
    <row r="151" customFormat="false" ht="15" hidden="false" customHeight="false" outlineLevel="0" collapsed="false">
      <c r="A151" s="16"/>
      <c r="B151" s="20"/>
      <c r="C151" s="20"/>
      <c r="D151" s="24"/>
      <c r="E151" s="9" t="str">
        <f aca="false">IF(OR(A151="",B151="",C151=""),"",IF(D151="O",0,SUMIFS(Postes!$P$5:$P$124,Postes!$A$5:$A$124,A151,Postes!$B$5:$B$124,B151)))</f>
        <v/>
      </c>
    </row>
    <row r="152" customFormat="false" ht="15" hidden="false" customHeight="false" outlineLevel="0" collapsed="false">
      <c r="A152" s="16"/>
      <c r="B152" s="20"/>
      <c r="C152" s="20"/>
      <c r="D152" s="24"/>
      <c r="E152" s="9" t="str">
        <f aca="false">IF(OR(A152="",B152="",C152=""),"",IF(D152="O",0,SUMIFS(Postes!$P$5:$P$124,Postes!$A$5:$A$124,A152,Postes!$B$5:$B$124,B152)))</f>
        <v/>
      </c>
    </row>
    <row r="153" customFormat="false" ht="15" hidden="false" customHeight="false" outlineLevel="0" collapsed="false">
      <c r="A153" s="16"/>
      <c r="B153" s="20"/>
      <c r="C153" s="20"/>
      <c r="D153" s="24"/>
      <c r="E153" s="9" t="str">
        <f aca="false">IF(OR(A153="",B153="",C153=""),"",IF(D153="O",0,SUMIFS(Postes!$P$5:$P$124,Postes!$A$5:$A$124,A153,Postes!$B$5:$B$124,B153)))</f>
        <v/>
      </c>
    </row>
    <row r="154" customFormat="false" ht="15" hidden="false" customHeight="false" outlineLevel="0" collapsed="false">
      <c r="A154" s="16"/>
      <c r="B154" s="20"/>
      <c r="C154" s="20"/>
      <c r="D154" s="24"/>
      <c r="E154" s="9" t="str">
        <f aca="false">IF(OR(A154="",B154="",C154=""),"",IF(D154="O",0,SUMIFS(Postes!$P$5:$P$124,Postes!$A$5:$A$124,A154,Postes!$B$5:$B$124,B154)))</f>
        <v/>
      </c>
    </row>
    <row r="155" customFormat="false" ht="15" hidden="false" customHeight="false" outlineLevel="0" collapsed="false">
      <c r="A155" s="16"/>
      <c r="B155" s="20"/>
      <c r="C155" s="20"/>
      <c r="D155" s="24"/>
      <c r="E155" s="9" t="str">
        <f aca="false">IF(OR(A155="",B155="",C155=""),"",IF(D155="O",0,SUMIFS(Postes!$P$5:$P$124,Postes!$A$5:$A$124,A155,Postes!$B$5:$B$124,B155)))</f>
        <v/>
      </c>
    </row>
    <row r="156" customFormat="false" ht="15" hidden="false" customHeight="false" outlineLevel="0" collapsed="false">
      <c r="A156" s="16"/>
      <c r="B156" s="20"/>
      <c r="C156" s="20"/>
      <c r="D156" s="24"/>
      <c r="E156" s="9" t="str">
        <f aca="false">IF(OR(A156="",B156="",C156=""),"",IF(D156="O",0,SUMIFS(Postes!$P$5:$P$124,Postes!$A$5:$A$124,A156,Postes!$B$5:$B$124,B156)))</f>
        <v/>
      </c>
    </row>
    <row r="157" customFormat="false" ht="15" hidden="false" customHeight="false" outlineLevel="0" collapsed="false">
      <c r="A157" s="16"/>
      <c r="B157" s="20"/>
      <c r="C157" s="20"/>
      <c r="D157" s="24"/>
      <c r="E157" s="9" t="str">
        <f aca="false">IF(OR(A157="",B157="",C157=""),"",IF(D157="O",0,SUMIFS(Postes!$P$5:$P$124,Postes!$A$5:$A$124,A157,Postes!$B$5:$B$124,B157)))</f>
        <v/>
      </c>
    </row>
    <row r="158" customFormat="false" ht="15" hidden="false" customHeight="false" outlineLevel="0" collapsed="false">
      <c r="A158" s="16"/>
      <c r="B158" s="20"/>
      <c r="C158" s="20"/>
      <c r="D158" s="24"/>
      <c r="E158" s="9" t="str">
        <f aca="false">IF(OR(A158="",B158="",C158=""),"",IF(D158="O",0,SUMIFS(Postes!$P$5:$P$124,Postes!$A$5:$A$124,A158,Postes!$B$5:$B$124,B158)))</f>
        <v/>
      </c>
    </row>
    <row r="159" customFormat="false" ht="15" hidden="false" customHeight="false" outlineLevel="0" collapsed="false">
      <c r="A159" s="16"/>
      <c r="B159" s="20"/>
      <c r="C159" s="20"/>
      <c r="D159" s="24"/>
      <c r="E159" s="9" t="str">
        <f aca="false">IF(OR(A159="",B159="",C159=""),"",IF(D159="O",0,SUMIFS(Postes!$P$5:$P$124,Postes!$A$5:$A$124,A159,Postes!$B$5:$B$124,B159)))</f>
        <v/>
      </c>
    </row>
    <row r="160" customFormat="false" ht="15" hidden="false" customHeight="false" outlineLevel="0" collapsed="false">
      <c r="A160" s="16"/>
      <c r="B160" s="20"/>
      <c r="C160" s="20"/>
      <c r="D160" s="24"/>
      <c r="E160" s="9" t="str">
        <f aca="false">IF(OR(A160="",B160="",C160=""),"",IF(D160="O",0,SUMIFS(Postes!$P$5:$P$124,Postes!$A$5:$A$124,A160,Postes!$B$5:$B$124,B160)))</f>
        <v/>
      </c>
    </row>
    <row r="161" customFormat="false" ht="15" hidden="false" customHeight="false" outlineLevel="0" collapsed="false">
      <c r="A161" s="16"/>
      <c r="B161" s="20"/>
      <c r="C161" s="20"/>
      <c r="D161" s="24"/>
      <c r="E161" s="9" t="str">
        <f aca="false">IF(OR(A161="",B161="",C161=""),"",IF(D161="O",0,SUMIFS(Postes!$P$5:$P$124,Postes!$A$5:$A$124,A161,Postes!$B$5:$B$124,B161)))</f>
        <v/>
      </c>
    </row>
    <row r="162" customFormat="false" ht="15" hidden="false" customHeight="false" outlineLevel="0" collapsed="false">
      <c r="A162" s="16"/>
      <c r="B162" s="20"/>
      <c r="C162" s="20"/>
      <c r="D162" s="24"/>
      <c r="E162" s="9" t="str">
        <f aca="false">IF(OR(A162="",B162="",C162=""),"",IF(D162="O",0,SUMIFS(Postes!$P$5:$P$124,Postes!$A$5:$A$124,A162,Postes!$B$5:$B$124,B162)))</f>
        <v/>
      </c>
    </row>
    <row r="163" customFormat="false" ht="15" hidden="false" customHeight="false" outlineLevel="0" collapsed="false">
      <c r="A163" s="16"/>
      <c r="B163" s="20"/>
      <c r="C163" s="20"/>
      <c r="D163" s="24"/>
      <c r="E163" s="9" t="str">
        <f aca="false">IF(OR(A163="",B163="",C163=""),"",IF(D163="O",0,SUMIFS(Postes!$P$5:$P$124,Postes!$A$5:$A$124,A163,Postes!$B$5:$B$124,B163)))</f>
        <v/>
      </c>
    </row>
    <row r="164" customFormat="false" ht="15" hidden="false" customHeight="false" outlineLevel="0" collapsed="false">
      <c r="A164" s="16"/>
      <c r="B164" s="20"/>
      <c r="C164" s="20"/>
      <c r="D164" s="24"/>
      <c r="E164" s="9" t="str">
        <f aca="false">IF(OR(A164="",B164="",C164=""),"",IF(D164="O",0,SUMIFS(Postes!$P$5:$P$124,Postes!$A$5:$A$124,A164,Postes!$B$5:$B$124,B164)))</f>
        <v/>
      </c>
    </row>
    <row r="165" customFormat="false" ht="15" hidden="false" customHeight="false" outlineLevel="0" collapsed="false">
      <c r="A165" s="16"/>
      <c r="B165" s="20"/>
      <c r="C165" s="20"/>
      <c r="D165" s="24"/>
      <c r="E165" s="9" t="str">
        <f aca="false">IF(OR(A165="",B165="",C165=""),"",IF(D165="O",0,SUMIFS(Postes!$P$5:$P$124,Postes!$A$5:$A$124,A165,Postes!$B$5:$B$124,B165)))</f>
        <v/>
      </c>
    </row>
    <row r="166" customFormat="false" ht="15" hidden="false" customHeight="false" outlineLevel="0" collapsed="false">
      <c r="A166" s="16"/>
      <c r="B166" s="20"/>
      <c r="C166" s="20"/>
      <c r="D166" s="24"/>
      <c r="E166" s="9" t="str">
        <f aca="false">IF(OR(A166="",B166="",C166=""),"",IF(D166="O",0,SUMIFS(Postes!$P$5:$P$124,Postes!$A$5:$A$124,A166,Postes!$B$5:$B$124,B166)))</f>
        <v/>
      </c>
    </row>
    <row r="167" customFormat="false" ht="15" hidden="false" customHeight="false" outlineLevel="0" collapsed="false">
      <c r="A167" s="16"/>
      <c r="B167" s="20"/>
      <c r="C167" s="20"/>
      <c r="D167" s="24"/>
      <c r="E167" s="9" t="str">
        <f aca="false">IF(OR(A167="",B167="",C167=""),"",IF(D167="O",0,SUMIFS(Postes!$P$5:$P$124,Postes!$A$5:$A$124,A167,Postes!$B$5:$B$124,B167)))</f>
        <v/>
      </c>
    </row>
    <row r="168" customFormat="false" ht="15" hidden="false" customHeight="false" outlineLevel="0" collapsed="false">
      <c r="A168" s="16"/>
      <c r="B168" s="20"/>
      <c r="C168" s="20"/>
      <c r="D168" s="24"/>
      <c r="E168" s="9" t="str">
        <f aca="false">IF(OR(A168="",B168="",C168=""),"",IF(D168="O",0,SUMIFS(Postes!$P$5:$P$124,Postes!$A$5:$A$124,A168,Postes!$B$5:$B$124,B168)))</f>
        <v/>
      </c>
    </row>
    <row r="169" customFormat="false" ht="15" hidden="false" customHeight="false" outlineLevel="0" collapsed="false">
      <c r="A169" s="16"/>
      <c r="B169" s="20"/>
      <c r="C169" s="20"/>
      <c r="D169" s="24"/>
      <c r="E169" s="9" t="str">
        <f aca="false">IF(OR(A169="",B169="",C169=""),"",IF(D169="O",0,SUMIFS(Postes!$P$5:$P$124,Postes!$A$5:$A$124,A169,Postes!$B$5:$B$124,B169)))</f>
        <v/>
      </c>
    </row>
    <row r="170" customFormat="false" ht="15" hidden="false" customHeight="false" outlineLevel="0" collapsed="false">
      <c r="A170" s="16"/>
      <c r="B170" s="20"/>
      <c r="C170" s="20"/>
      <c r="D170" s="24"/>
      <c r="E170" s="9" t="str">
        <f aca="false">IF(OR(A170="",B170="",C170=""),"",IF(D170="O",0,SUMIFS(Postes!$P$5:$P$124,Postes!$A$5:$A$124,A170,Postes!$B$5:$B$124,B170)))</f>
        <v/>
      </c>
    </row>
    <row r="171" customFormat="false" ht="15" hidden="false" customHeight="false" outlineLevel="0" collapsed="false">
      <c r="A171" s="16"/>
      <c r="B171" s="20"/>
      <c r="C171" s="20"/>
      <c r="D171" s="24"/>
      <c r="E171" s="9" t="str">
        <f aca="false">IF(OR(A171="",B171="",C171=""),"",IF(D171="O",0,SUMIFS(Postes!$P$5:$P$124,Postes!$A$5:$A$124,A171,Postes!$B$5:$B$124,B171)))</f>
        <v/>
      </c>
    </row>
    <row r="172" customFormat="false" ht="15" hidden="false" customHeight="false" outlineLevel="0" collapsed="false">
      <c r="A172" s="16"/>
      <c r="B172" s="20"/>
      <c r="C172" s="20"/>
      <c r="D172" s="24"/>
      <c r="E172" s="9" t="str">
        <f aca="false">IF(OR(A172="",B172="",C172=""),"",IF(D172="O",0,SUMIFS(Postes!$P$5:$P$124,Postes!$A$5:$A$124,A172,Postes!$B$5:$B$124,B172)))</f>
        <v/>
      </c>
    </row>
    <row r="173" customFormat="false" ht="15" hidden="false" customHeight="false" outlineLevel="0" collapsed="false">
      <c r="A173" s="16"/>
      <c r="B173" s="20"/>
      <c r="C173" s="20"/>
      <c r="D173" s="24"/>
      <c r="E173" s="9" t="str">
        <f aca="false">IF(OR(A173="",B173="",C173=""),"",IF(D173="O",0,SUMIFS(Postes!$P$5:$P$124,Postes!$A$5:$A$124,A173,Postes!$B$5:$B$124,B173)))</f>
        <v/>
      </c>
    </row>
    <row r="174" customFormat="false" ht="15" hidden="false" customHeight="false" outlineLevel="0" collapsed="false">
      <c r="A174" s="16"/>
      <c r="B174" s="20"/>
      <c r="C174" s="20"/>
      <c r="D174" s="24"/>
      <c r="E174" s="9" t="str">
        <f aca="false">IF(OR(A174="",B174="",C174=""),"",IF(D174="O",0,SUMIFS(Postes!$P$5:$P$124,Postes!$A$5:$A$124,A174,Postes!$B$5:$B$124,B174)))</f>
        <v/>
      </c>
    </row>
    <row r="175" customFormat="false" ht="15" hidden="false" customHeight="false" outlineLevel="0" collapsed="false">
      <c r="A175" s="16"/>
      <c r="B175" s="20"/>
      <c r="C175" s="20"/>
      <c r="D175" s="24"/>
      <c r="E175" s="9" t="str">
        <f aca="false">IF(OR(A175="",B175="",C175=""),"",IF(D175="O",0,SUMIFS(Postes!$P$5:$P$124,Postes!$A$5:$A$124,A175,Postes!$B$5:$B$124,B175)))</f>
        <v/>
      </c>
    </row>
    <row r="176" customFormat="false" ht="15" hidden="false" customHeight="false" outlineLevel="0" collapsed="false">
      <c r="A176" s="16"/>
      <c r="B176" s="20"/>
      <c r="C176" s="20"/>
      <c r="D176" s="24"/>
      <c r="E176" s="9" t="str">
        <f aca="false">IF(OR(A176="",B176="",C176=""),"",IF(D176="O",0,SUMIFS(Postes!$P$5:$P$124,Postes!$A$5:$A$124,A176,Postes!$B$5:$B$124,B176)))</f>
        <v/>
      </c>
    </row>
    <row r="177" customFormat="false" ht="15" hidden="false" customHeight="false" outlineLevel="0" collapsed="false">
      <c r="A177" s="16"/>
      <c r="B177" s="20"/>
      <c r="C177" s="20"/>
      <c r="D177" s="24"/>
      <c r="E177" s="9" t="str">
        <f aca="false">IF(OR(A177="",B177="",C177=""),"",IF(D177="O",0,SUMIFS(Postes!$P$5:$P$124,Postes!$A$5:$A$124,A177,Postes!$B$5:$B$124,B177)))</f>
        <v/>
      </c>
    </row>
    <row r="178" customFormat="false" ht="15" hidden="false" customHeight="false" outlineLevel="0" collapsed="false">
      <c r="A178" s="16"/>
      <c r="B178" s="20"/>
      <c r="C178" s="20"/>
      <c r="D178" s="24"/>
      <c r="E178" s="9" t="str">
        <f aca="false">IF(OR(A178="",B178="",C178=""),"",IF(D178="O",0,SUMIFS(Postes!$P$5:$P$124,Postes!$A$5:$A$124,A178,Postes!$B$5:$B$124,B178)))</f>
        <v/>
      </c>
    </row>
    <row r="179" customFormat="false" ht="15" hidden="false" customHeight="false" outlineLevel="0" collapsed="false">
      <c r="A179" s="16"/>
      <c r="B179" s="20"/>
      <c r="C179" s="20"/>
      <c r="D179" s="24"/>
      <c r="E179" s="9" t="str">
        <f aca="false">IF(OR(A179="",B179="",C179=""),"",IF(D179="O",0,SUMIFS(Postes!$P$5:$P$124,Postes!$A$5:$A$124,A179,Postes!$B$5:$B$124,B179)))</f>
        <v/>
      </c>
    </row>
    <row r="180" customFormat="false" ht="15" hidden="false" customHeight="false" outlineLevel="0" collapsed="false">
      <c r="A180" s="16"/>
      <c r="B180" s="20"/>
      <c r="C180" s="20"/>
      <c r="D180" s="24"/>
      <c r="E180" s="9" t="str">
        <f aca="false">IF(OR(A180="",B180="",C180=""),"",IF(D180="O",0,SUMIFS(Postes!$P$5:$P$124,Postes!$A$5:$A$124,A180,Postes!$B$5:$B$124,B180)))</f>
        <v/>
      </c>
    </row>
    <row r="181" customFormat="false" ht="15" hidden="false" customHeight="false" outlineLevel="0" collapsed="false">
      <c r="A181" s="16"/>
      <c r="B181" s="20"/>
      <c r="C181" s="20"/>
      <c r="D181" s="24"/>
      <c r="E181" s="9" t="str">
        <f aca="false">IF(OR(A181="",B181="",C181=""),"",IF(D181="O",0,SUMIFS(Postes!$P$5:$P$124,Postes!$A$5:$A$124,A181,Postes!$B$5:$B$124,B181)))</f>
        <v/>
      </c>
    </row>
    <row r="182" customFormat="false" ht="15" hidden="false" customHeight="false" outlineLevel="0" collapsed="false">
      <c r="A182" s="16"/>
      <c r="B182" s="20"/>
      <c r="C182" s="20"/>
      <c r="D182" s="24"/>
      <c r="E182" s="9" t="str">
        <f aca="false">IF(OR(A182="",B182="",C182=""),"",IF(D182="O",0,SUMIFS(Postes!$P$5:$P$124,Postes!$A$5:$A$124,A182,Postes!$B$5:$B$124,B182)))</f>
        <v/>
      </c>
    </row>
    <row r="183" customFormat="false" ht="15" hidden="false" customHeight="false" outlineLevel="0" collapsed="false">
      <c r="A183" s="16"/>
      <c r="B183" s="20"/>
      <c r="C183" s="20"/>
      <c r="D183" s="24"/>
      <c r="E183" s="9" t="str">
        <f aca="false">IF(OR(A183="",B183="",C183=""),"",IF(D183="O",0,SUMIFS(Postes!$P$5:$P$124,Postes!$A$5:$A$124,A183,Postes!$B$5:$B$124,B183)))</f>
        <v/>
      </c>
    </row>
    <row r="184" customFormat="false" ht="15" hidden="false" customHeight="false" outlineLevel="0" collapsed="false">
      <c r="A184" s="16"/>
      <c r="B184" s="20"/>
      <c r="C184" s="20"/>
      <c r="D184" s="24"/>
      <c r="E184" s="9" t="str">
        <f aca="false">IF(OR(A184="",B184="",C184=""),"",IF(D184="O",0,SUMIFS(Postes!$P$5:$P$124,Postes!$A$5:$A$124,A184,Postes!$B$5:$B$124,B184)))</f>
        <v/>
      </c>
    </row>
    <row r="185" customFormat="false" ht="15" hidden="false" customHeight="false" outlineLevel="0" collapsed="false">
      <c r="A185" s="16"/>
      <c r="B185" s="20"/>
      <c r="C185" s="20"/>
      <c r="D185" s="24"/>
      <c r="E185" s="9" t="str">
        <f aca="false">IF(OR(A185="",B185="",C185=""),"",IF(D185="O",0,SUMIFS(Postes!$P$5:$P$124,Postes!$A$5:$A$124,A185,Postes!$B$5:$B$124,B185)))</f>
        <v/>
      </c>
    </row>
    <row r="186" customFormat="false" ht="15" hidden="false" customHeight="false" outlineLevel="0" collapsed="false">
      <c r="A186" s="16"/>
      <c r="B186" s="20"/>
      <c r="C186" s="20"/>
      <c r="D186" s="24"/>
      <c r="E186" s="9" t="str">
        <f aca="false">IF(OR(A186="",B186="",C186=""),"",IF(D186="O",0,SUMIFS(Postes!$P$5:$P$124,Postes!$A$5:$A$124,A186,Postes!$B$5:$B$124,B186)))</f>
        <v/>
      </c>
    </row>
    <row r="187" customFormat="false" ht="15" hidden="false" customHeight="false" outlineLevel="0" collapsed="false">
      <c r="A187" s="16"/>
      <c r="B187" s="20"/>
      <c r="C187" s="20"/>
      <c r="D187" s="24"/>
      <c r="E187" s="9" t="str">
        <f aca="false">IF(OR(A187="",B187="",C187=""),"",IF(D187="O",0,SUMIFS(Postes!$P$5:$P$124,Postes!$A$5:$A$124,A187,Postes!$B$5:$B$124,B187)))</f>
        <v/>
      </c>
    </row>
    <row r="188" customFormat="false" ht="15" hidden="false" customHeight="false" outlineLevel="0" collapsed="false">
      <c r="A188" s="16"/>
      <c r="B188" s="20"/>
      <c r="C188" s="20"/>
      <c r="D188" s="24"/>
      <c r="E188" s="9" t="str">
        <f aca="false">IF(OR(A188="",B188="",C188=""),"",IF(D188="O",0,SUMIFS(Postes!$P$5:$P$124,Postes!$A$5:$A$124,A188,Postes!$B$5:$B$124,B188)))</f>
        <v/>
      </c>
    </row>
    <row r="189" customFormat="false" ht="15" hidden="false" customHeight="false" outlineLevel="0" collapsed="false">
      <c r="A189" s="16"/>
      <c r="B189" s="20"/>
      <c r="C189" s="20"/>
      <c r="D189" s="24"/>
      <c r="E189" s="9" t="str">
        <f aca="false">IF(OR(A189="",B189="",C189=""),"",IF(D189="O",0,SUMIFS(Postes!$P$5:$P$124,Postes!$A$5:$A$124,A189,Postes!$B$5:$B$124,B189)))</f>
        <v/>
      </c>
    </row>
    <row r="190" customFormat="false" ht="15" hidden="false" customHeight="false" outlineLevel="0" collapsed="false">
      <c r="A190" s="16"/>
      <c r="B190" s="20"/>
      <c r="C190" s="20"/>
      <c r="D190" s="24"/>
      <c r="E190" s="9" t="str">
        <f aca="false">IF(OR(A190="",B190="",C190=""),"",IF(D190="O",0,SUMIFS(Postes!$P$5:$P$124,Postes!$A$5:$A$124,A190,Postes!$B$5:$B$124,B190)))</f>
        <v/>
      </c>
    </row>
    <row r="191" customFormat="false" ht="15" hidden="false" customHeight="false" outlineLevel="0" collapsed="false">
      <c r="A191" s="16"/>
      <c r="B191" s="20"/>
      <c r="C191" s="20"/>
      <c r="D191" s="24"/>
      <c r="E191" s="9" t="str">
        <f aca="false">IF(OR(A191="",B191="",C191=""),"",IF(D191="O",0,SUMIFS(Postes!$P$5:$P$124,Postes!$A$5:$A$124,A191,Postes!$B$5:$B$124,B191)))</f>
        <v/>
      </c>
    </row>
    <row r="192" customFormat="false" ht="15" hidden="false" customHeight="false" outlineLevel="0" collapsed="false">
      <c r="A192" s="16"/>
      <c r="B192" s="20"/>
      <c r="C192" s="20"/>
      <c r="D192" s="24"/>
      <c r="E192" s="9" t="str">
        <f aca="false">IF(OR(A192="",B192="",C192=""),"",IF(D192="O",0,SUMIFS(Postes!$P$5:$P$124,Postes!$A$5:$A$124,A192,Postes!$B$5:$B$124,B192)))</f>
        <v/>
      </c>
    </row>
    <row r="193" customFormat="false" ht="15" hidden="false" customHeight="false" outlineLevel="0" collapsed="false">
      <c r="A193" s="16"/>
      <c r="B193" s="20"/>
      <c r="C193" s="20"/>
      <c r="D193" s="24"/>
      <c r="E193" s="9" t="str">
        <f aca="false">IF(OR(A193="",B193="",C193=""),"",IF(D193="O",0,SUMIFS(Postes!$P$5:$P$124,Postes!$A$5:$A$124,A193,Postes!$B$5:$B$124,B193)))</f>
        <v/>
      </c>
    </row>
    <row r="194" customFormat="false" ht="15" hidden="false" customHeight="false" outlineLevel="0" collapsed="false">
      <c r="A194" s="16"/>
      <c r="B194" s="20"/>
      <c r="C194" s="20"/>
      <c r="D194" s="24"/>
      <c r="E194" s="9" t="str">
        <f aca="false">IF(OR(A194="",B194="",C194=""),"",IF(D194="O",0,SUMIFS(Postes!$P$5:$P$124,Postes!$A$5:$A$124,A194,Postes!$B$5:$B$124,B194)))</f>
        <v/>
      </c>
    </row>
    <row r="195" customFormat="false" ht="15" hidden="false" customHeight="false" outlineLevel="0" collapsed="false">
      <c r="A195" s="16"/>
      <c r="B195" s="20"/>
      <c r="C195" s="20"/>
      <c r="D195" s="24"/>
      <c r="E195" s="9" t="str">
        <f aca="false">IF(OR(A195="",B195="",C195=""),"",IF(D195="O",0,SUMIFS(Postes!$P$5:$P$124,Postes!$A$5:$A$124,A195,Postes!$B$5:$B$124,B195)))</f>
        <v/>
      </c>
    </row>
    <row r="196" customFormat="false" ht="15" hidden="false" customHeight="false" outlineLevel="0" collapsed="false">
      <c r="A196" s="16"/>
      <c r="B196" s="20"/>
      <c r="C196" s="20"/>
      <c r="D196" s="24"/>
      <c r="E196" s="9" t="str">
        <f aca="false">IF(OR(A196="",B196="",C196=""),"",IF(D196="O",0,SUMIFS(Postes!$P$5:$P$124,Postes!$A$5:$A$124,A196,Postes!$B$5:$B$124,B196)))</f>
        <v/>
      </c>
    </row>
    <row r="197" customFormat="false" ht="15" hidden="false" customHeight="false" outlineLevel="0" collapsed="false">
      <c r="A197" s="16"/>
      <c r="B197" s="20"/>
      <c r="C197" s="20"/>
      <c r="D197" s="24"/>
      <c r="E197" s="9" t="str">
        <f aca="false">IF(OR(A197="",B197="",C197=""),"",IF(D197="O",0,SUMIFS(Postes!$P$5:$P$124,Postes!$A$5:$A$124,A197,Postes!$B$5:$B$124,B197)))</f>
        <v/>
      </c>
    </row>
    <row r="198" customFormat="false" ht="15" hidden="false" customHeight="false" outlineLevel="0" collapsed="false">
      <c r="A198" s="16"/>
      <c r="B198" s="20"/>
      <c r="C198" s="20"/>
      <c r="D198" s="24"/>
      <c r="E198" s="9" t="str">
        <f aca="false">IF(OR(A198="",B198="",C198=""),"",IF(D198="O",0,SUMIFS(Postes!$P$5:$P$124,Postes!$A$5:$A$124,A198,Postes!$B$5:$B$124,B198)))</f>
        <v/>
      </c>
    </row>
    <row r="199" customFormat="false" ht="15" hidden="false" customHeight="false" outlineLevel="0" collapsed="false">
      <c r="A199" s="16"/>
      <c r="B199" s="20"/>
      <c r="C199" s="20"/>
      <c r="D199" s="24"/>
      <c r="E199" s="9" t="str">
        <f aca="false">IF(OR(A199="",B199="",C199=""),"",IF(D199="O",0,SUMIFS(Postes!$P$5:$P$124,Postes!$A$5:$A$124,A199,Postes!$B$5:$B$124,B199)))</f>
        <v/>
      </c>
    </row>
    <row r="200" customFormat="false" ht="15" hidden="false" customHeight="false" outlineLevel="0" collapsed="false">
      <c r="A200" s="16"/>
      <c r="B200" s="20"/>
      <c r="C200" s="20"/>
      <c r="D200" s="24"/>
      <c r="E200" s="9" t="str">
        <f aca="false">IF(OR(A200="",B200="",C200=""),"",IF(D200="O",0,SUMIFS(Postes!$P$5:$P$124,Postes!$A$5:$A$124,A200,Postes!$B$5:$B$124,B200)))</f>
        <v/>
      </c>
    </row>
    <row r="201" customFormat="false" ht="15" hidden="false" customHeight="false" outlineLevel="0" collapsed="false">
      <c r="A201" s="16"/>
      <c r="B201" s="20"/>
      <c r="C201" s="20"/>
      <c r="D201" s="24"/>
      <c r="E201" s="9" t="str">
        <f aca="false">IF(OR(A201="",B201="",C201=""),"",IF(D201="O",0,SUMIFS(Postes!$P$5:$P$124,Postes!$A$5:$A$124,A201,Postes!$B$5:$B$124,B201)))</f>
        <v/>
      </c>
    </row>
    <row r="202" customFormat="false" ht="15" hidden="false" customHeight="false" outlineLevel="0" collapsed="false">
      <c r="A202" s="16"/>
      <c r="B202" s="20"/>
      <c r="C202" s="20"/>
      <c r="D202" s="24"/>
      <c r="E202" s="9" t="str">
        <f aca="false">IF(OR(A202="",B202="",C202=""),"",IF(D202="O",0,SUMIFS(Postes!$P$5:$P$124,Postes!$A$5:$A$124,A202,Postes!$B$5:$B$124,B202)))</f>
        <v/>
      </c>
    </row>
    <row r="203" customFormat="false" ht="15" hidden="false" customHeight="false" outlineLevel="0" collapsed="false">
      <c r="A203" s="16"/>
      <c r="B203" s="20"/>
      <c r="C203" s="20"/>
      <c r="D203" s="24"/>
      <c r="E203" s="9" t="str">
        <f aca="false">IF(OR(A203="",B203="",C203=""),"",IF(D203="O",0,SUMIFS(Postes!$P$5:$P$124,Postes!$A$5:$A$124,A203,Postes!$B$5:$B$124,B203)))</f>
        <v/>
      </c>
    </row>
    <row r="204" customFormat="false" ht="15" hidden="false" customHeight="false" outlineLevel="0" collapsed="false">
      <c r="A204" s="16"/>
      <c r="B204" s="20"/>
      <c r="C204" s="20"/>
      <c r="D204" s="24"/>
      <c r="E204" s="9" t="str">
        <f aca="false">IF(OR(A204="",B204="",C204=""),"",IF(D204="O",0,SUMIFS(Postes!$P$5:$P$124,Postes!$A$5:$A$124,A204,Postes!$B$5:$B$124,B204)))</f>
        <v/>
      </c>
    </row>
    <row r="205" customFormat="false" ht="15" hidden="false" customHeight="false" outlineLevel="0" collapsed="false">
      <c r="A205" s="16"/>
      <c r="B205" s="20"/>
      <c r="C205" s="20"/>
      <c r="D205" s="24"/>
      <c r="E205" s="9" t="str">
        <f aca="false">IF(OR(A205="",B205="",C205=""),"",IF(D205="O",0,SUMIFS(Postes!$P$5:$P$124,Postes!$A$5:$A$124,A205,Postes!$B$5:$B$124,B205)))</f>
        <v/>
      </c>
    </row>
    <row r="206" customFormat="false" ht="15" hidden="false" customHeight="false" outlineLevel="0" collapsed="false">
      <c r="A206" s="16"/>
      <c r="B206" s="20"/>
      <c r="C206" s="20"/>
      <c r="D206" s="24"/>
      <c r="E206" s="9" t="str">
        <f aca="false">IF(OR(A206="",B206="",C206=""),"",IF(D206="O",0,SUMIFS(Postes!$P$5:$P$124,Postes!$A$5:$A$124,A206,Postes!$B$5:$B$124,B206)))</f>
        <v/>
      </c>
    </row>
    <row r="207" customFormat="false" ht="15" hidden="false" customHeight="false" outlineLevel="0" collapsed="false">
      <c r="A207" s="16"/>
      <c r="B207" s="20"/>
      <c r="C207" s="20"/>
      <c r="D207" s="24"/>
      <c r="E207" s="9" t="str">
        <f aca="false">IF(OR(A207="",B207="",C207=""),"",IF(D207="O",0,SUMIFS(Postes!$P$5:$P$124,Postes!$A$5:$A$124,A207,Postes!$B$5:$B$124,B207)))</f>
        <v/>
      </c>
    </row>
    <row r="208" customFormat="false" ht="15" hidden="false" customHeight="false" outlineLevel="0" collapsed="false">
      <c r="A208" s="16"/>
      <c r="B208" s="20"/>
      <c r="C208" s="20"/>
      <c r="D208" s="24"/>
      <c r="E208" s="9" t="str">
        <f aca="false">IF(OR(A208="",B208="",C208=""),"",IF(D208="O",0,SUMIFS(Postes!$P$5:$P$124,Postes!$A$5:$A$124,A208,Postes!$B$5:$B$124,B208)))</f>
        <v/>
      </c>
    </row>
    <row r="209" customFormat="false" ht="15" hidden="false" customHeight="false" outlineLevel="0" collapsed="false">
      <c r="A209" s="16"/>
      <c r="B209" s="20"/>
      <c r="C209" s="20"/>
      <c r="D209" s="24"/>
      <c r="E209" s="9" t="str">
        <f aca="false">IF(OR(A209="",B209="",C209=""),"",IF(D209="O",0,SUMIFS(Postes!$P$5:$P$124,Postes!$A$5:$A$124,A209,Postes!$B$5:$B$124,B209)))</f>
        <v/>
      </c>
    </row>
    <row r="210" customFormat="false" ht="15" hidden="false" customHeight="false" outlineLevel="0" collapsed="false">
      <c r="A210" s="16"/>
      <c r="B210" s="20"/>
      <c r="C210" s="20"/>
      <c r="D210" s="24"/>
      <c r="E210" s="9" t="str">
        <f aca="false">IF(OR(A210="",B210="",C210=""),"",IF(D210="O",0,SUMIFS(Postes!$P$5:$P$124,Postes!$A$5:$A$124,A210,Postes!$B$5:$B$124,B210)))</f>
        <v/>
      </c>
    </row>
    <row r="211" customFormat="false" ht="15" hidden="false" customHeight="false" outlineLevel="0" collapsed="false">
      <c r="A211" s="16"/>
      <c r="B211" s="20"/>
      <c r="C211" s="20"/>
      <c r="D211" s="24"/>
      <c r="E211" s="9" t="str">
        <f aca="false">IF(OR(A211="",B211="",C211=""),"",IF(D211="O",0,SUMIFS(Postes!$P$5:$P$124,Postes!$A$5:$A$124,A211,Postes!$B$5:$B$124,B211)))</f>
        <v/>
      </c>
    </row>
    <row r="212" customFormat="false" ht="15" hidden="false" customHeight="false" outlineLevel="0" collapsed="false">
      <c r="A212" s="16"/>
      <c r="B212" s="20"/>
      <c r="C212" s="20"/>
      <c r="D212" s="24"/>
      <c r="E212" s="9" t="str">
        <f aca="false">IF(OR(A212="",B212="",C212=""),"",IF(D212="O",0,SUMIFS(Postes!$P$5:$P$124,Postes!$A$5:$A$124,A212,Postes!$B$5:$B$124,B212)))</f>
        <v/>
      </c>
    </row>
    <row r="213" customFormat="false" ht="15" hidden="false" customHeight="false" outlineLevel="0" collapsed="false">
      <c r="A213" s="16"/>
      <c r="B213" s="20"/>
      <c r="C213" s="20"/>
      <c r="D213" s="24"/>
      <c r="E213" s="9" t="str">
        <f aca="false">IF(OR(A213="",B213="",C213=""),"",IF(D213="O",0,SUMIFS(Postes!$P$5:$P$124,Postes!$A$5:$A$124,A213,Postes!$B$5:$B$124,B213)))</f>
        <v/>
      </c>
    </row>
    <row r="214" customFormat="false" ht="15" hidden="false" customHeight="false" outlineLevel="0" collapsed="false">
      <c r="A214" s="16"/>
      <c r="B214" s="20"/>
      <c r="C214" s="20"/>
      <c r="D214" s="24"/>
      <c r="E214" s="9" t="str">
        <f aca="false">IF(OR(A214="",B214="",C214=""),"",IF(D214="O",0,SUMIFS(Postes!$P$5:$P$124,Postes!$A$5:$A$124,A214,Postes!$B$5:$B$124,B214)))</f>
        <v/>
      </c>
    </row>
    <row r="215" customFormat="false" ht="15" hidden="false" customHeight="false" outlineLevel="0" collapsed="false">
      <c r="A215" s="16"/>
      <c r="B215" s="20"/>
      <c r="C215" s="20"/>
      <c r="D215" s="24"/>
      <c r="E215" s="9" t="str">
        <f aca="false">IF(OR(A215="",B215="",C215=""),"",IF(D215="O",0,SUMIFS(Postes!$P$5:$P$124,Postes!$A$5:$A$124,A215,Postes!$B$5:$B$124,B215)))</f>
        <v/>
      </c>
    </row>
    <row r="216" customFormat="false" ht="15" hidden="false" customHeight="false" outlineLevel="0" collapsed="false">
      <c r="A216" s="16"/>
      <c r="B216" s="20"/>
      <c r="C216" s="20"/>
      <c r="D216" s="24"/>
      <c r="E216" s="9" t="str">
        <f aca="false">IF(OR(A216="",B216="",C216=""),"",IF(D216="O",0,SUMIFS(Postes!$P$5:$P$124,Postes!$A$5:$A$124,A216,Postes!$B$5:$B$124,B216)))</f>
        <v/>
      </c>
    </row>
    <row r="217" customFormat="false" ht="15" hidden="false" customHeight="false" outlineLevel="0" collapsed="false">
      <c r="A217" s="16"/>
      <c r="B217" s="20"/>
      <c r="C217" s="20"/>
      <c r="D217" s="24"/>
      <c r="E217" s="9" t="str">
        <f aca="false">IF(OR(A217="",B217="",C217=""),"",IF(D217="O",0,SUMIFS(Postes!$P$5:$P$124,Postes!$A$5:$A$124,A217,Postes!$B$5:$B$124,B217)))</f>
        <v/>
      </c>
    </row>
    <row r="218" customFormat="false" ht="15" hidden="false" customHeight="false" outlineLevel="0" collapsed="false">
      <c r="A218" s="16"/>
      <c r="B218" s="20"/>
      <c r="C218" s="20"/>
      <c r="D218" s="24"/>
      <c r="E218" s="9" t="str">
        <f aca="false">IF(OR(A218="",B218="",C218=""),"",IF(D218="O",0,SUMIFS(Postes!$P$5:$P$124,Postes!$A$5:$A$124,A218,Postes!$B$5:$B$124,B218)))</f>
        <v/>
      </c>
    </row>
    <row r="219" customFormat="false" ht="15" hidden="false" customHeight="false" outlineLevel="0" collapsed="false">
      <c r="A219" s="16"/>
      <c r="B219" s="20"/>
      <c r="C219" s="20"/>
      <c r="D219" s="24"/>
      <c r="E219" s="9" t="str">
        <f aca="false">IF(OR(A219="",B219="",C219=""),"",IF(D219="O",0,SUMIFS(Postes!$P$5:$P$124,Postes!$A$5:$A$124,A219,Postes!$B$5:$B$124,B219)))</f>
        <v/>
      </c>
    </row>
    <row r="220" customFormat="false" ht="15" hidden="false" customHeight="false" outlineLevel="0" collapsed="false">
      <c r="A220" s="16"/>
      <c r="B220" s="20"/>
      <c r="C220" s="20"/>
      <c r="D220" s="24"/>
      <c r="E220" s="9" t="str">
        <f aca="false">IF(OR(A220="",B220="",C220=""),"",IF(D220="O",0,SUMIFS(Postes!$P$5:$P$124,Postes!$A$5:$A$124,A220,Postes!$B$5:$B$124,B220)))</f>
        <v/>
      </c>
    </row>
    <row r="221" customFormat="false" ht="15" hidden="false" customHeight="false" outlineLevel="0" collapsed="false">
      <c r="A221" s="16"/>
      <c r="B221" s="20"/>
      <c r="C221" s="20"/>
      <c r="D221" s="24"/>
      <c r="E221" s="9" t="str">
        <f aca="false">IF(OR(A221="",B221="",C221=""),"",IF(D221="O",0,SUMIFS(Postes!$P$5:$P$124,Postes!$A$5:$A$124,A221,Postes!$B$5:$B$124,B221)))</f>
        <v/>
      </c>
    </row>
    <row r="222" customFormat="false" ht="15" hidden="false" customHeight="false" outlineLevel="0" collapsed="false">
      <c r="A222" s="16"/>
      <c r="B222" s="20"/>
      <c r="C222" s="20"/>
      <c r="D222" s="24"/>
      <c r="E222" s="9" t="str">
        <f aca="false">IF(OR(A222="",B222="",C222=""),"",IF(D222="O",0,SUMIFS(Postes!$P$5:$P$124,Postes!$A$5:$A$124,A222,Postes!$B$5:$B$124,B222)))</f>
        <v/>
      </c>
    </row>
    <row r="223" customFormat="false" ht="15" hidden="false" customHeight="false" outlineLevel="0" collapsed="false">
      <c r="A223" s="16"/>
      <c r="B223" s="20"/>
      <c r="C223" s="20"/>
      <c r="D223" s="24"/>
      <c r="E223" s="9" t="str">
        <f aca="false">IF(OR(A223="",B223="",C223=""),"",IF(D223="O",0,SUMIFS(Postes!$P$5:$P$124,Postes!$A$5:$A$124,A223,Postes!$B$5:$B$124,B223)))</f>
        <v/>
      </c>
    </row>
    <row r="224" customFormat="false" ht="15" hidden="false" customHeight="false" outlineLevel="0" collapsed="false">
      <c r="A224" s="16"/>
      <c r="B224" s="20"/>
      <c r="C224" s="20"/>
      <c r="D224" s="24"/>
      <c r="E224" s="9" t="str">
        <f aca="false">IF(OR(A224="",B224="",C224=""),"",IF(D224="O",0,SUMIFS(Postes!$P$5:$P$124,Postes!$A$5:$A$124,A224,Postes!$B$5:$B$124,B224)))</f>
        <v/>
      </c>
    </row>
    <row r="225" customFormat="false" ht="15" hidden="false" customHeight="false" outlineLevel="0" collapsed="false">
      <c r="A225" s="16"/>
      <c r="B225" s="20"/>
      <c r="C225" s="20"/>
      <c r="D225" s="24"/>
      <c r="E225" s="9" t="str">
        <f aca="false">IF(OR(A225="",B225="",C225=""),"",IF(D225="O",0,SUMIFS(Postes!$P$5:$P$124,Postes!$A$5:$A$124,A225,Postes!$B$5:$B$124,B225)))</f>
        <v/>
      </c>
    </row>
    <row r="226" customFormat="false" ht="15" hidden="false" customHeight="false" outlineLevel="0" collapsed="false">
      <c r="A226" s="16"/>
      <c r="B226" s="20"/>
      <c r="C226" s="20"/>
      <c r="D226" s="24"/>
      <c r="E226" s="9" t="str">
        <f aca="false">IF(OR(A226="",B226="",C226=""),"",IF(D226="O",0,SUMIFS(Postes!$P$5:$P$124,Postes!$A$5:$A$124,A226,Postes!$B$5:$B$124,B226)))</f>
        <v/>
      </c>
    </row>
    <row r="227" customFormat="false" ht="15" hidden="false" customHeight="false" outlineLevel="0" collapsed="false">
      <c r="A227" s="16"/>
      <c r="B227" s="20"/>
      <c r="C227" s="20"/>
      <c r="D227" s="24"/>
      <c r="E227" s="9" t="str">
        <f aca="false">IF(OR(A227="",B227="",C227=""),"",IF(D227="O",0,SUMIFS(Postes!$P$5:$P$124,Postes!$A$5:$A$124,A227,Postes!$B$5:$B$124,B227)))</f>
        <v/>
      </c>
    </row>
    <row r="228" customFormat="false" ht="15" hidden="false" customHeight="false" outlineLevel="0" collapsed="false">
      <c r="A228" s="16"/>
      <c r="B228" s="20"/>
      <c r="C228" s="20"/>
      <c r="D228" s="24"/>
      <c r="E228" s="9" t="str">
        <f aca="false">IF(OR(A228="",B228="",C228=""),"",IF(D228="O",0,SUMIFS(Postes!$P$5:$P$124,Postes!$A$5:$A$124,A228,Postes!$B$5:$B$124,B228)))</f>
        <v/>
      </c>
    </row>
    <row r="229" customFormat="false" ht="15" hidden="false" customHeight="false" outlineLevel="0" collapsed="false">
      <c r="A229" s="16"/>
      <c r="B229" s="20"/>
      <c r="C229" s="20"/>
      <c r="D229" s="24"/>
      <c r="E229" s="9" t="str">
        <f aca="false">IF(OR(A229="",B229="",C229=""),"",IF(D229="O",0,SUMIFS(Postes!$P$5:$P$124,Postes!$A$5:$A$124,A229,Postes!$B$5:$B$124,B229)))</f>
        <v/>
      </c>
    </row>
    <row r="230" customFormat="false" ht="15" hidden="false" customHeight="false" outlineLevel="0" collapsed="false">
      <c r="A230" s="16"/>
      <c r="B230" s="20"/>
      <c r="C230" s="20"/>
      <c r="D230" s="24"/>
      <c r="E230" s="9" t="str">
        <f aca="false">IF(OR(A230="",B230="",C230=""),"",IF(D230="O",0,SUMIFS(Postes!$P$5:$P$124,Postes!$A$5:$A$124,A230,Postes!$B$5:$B$124,B230)))</f>
        <v/>
      </c>
    </row>
    <row r="231" customFormat="false" ht="15" hidden="false" customHeight="false" outlineLevel="0" collapsed="false">
      <c r="A231" s="16"/>
      <c r="B231" s="20"/>
      <c r="C231" s="20"/>
      <c r="D231" s="24"/>
      <c r="E231" s="9" t="str">
        <f aca="false">IF(OR(A231="",B231="",C231=""),"",IF(D231="O",0,SUMIFS(Postes!$P$5:$P$124,Postes!$A$5:$A$124,A231,Postes!$B$5:$B$124,B231)))</f>
        <v/>
      </c>
    </row>
    <row r="232" customFormat="false" ht="15" hidden="false" customHeight="false" outlineLevel="0" collapsed="false">
      <c r="A232" s="16"/>
      <c r="B232" s="20"/>
      <c r="C232" s="20"/>
      <c r="D232" s="24"/>
      <c r="E232" s="9" t="str">
        <f aca="false">IF(OR(A232="",B232="",C232=""),"",IF(D232="O",0,SUMIFS(Postes!$P$5:$P$124,Postes!$A$5:$A$124,A232,Postes!$B$5:$B$124,B232)))</f>
        <v/>
      </c>
    </row>
    <row r="233" customFormat="false" ht="15" hidden="false" customHeight="false" outlineLevel="0" collapsed="false">
      <c r="A233" s="16"/>
      <c r="B233" s="20"/>
      <c r="C233" s="20"/>
      <c r="D233" s="24"/>
      <c r="E233" s="9" t="str">
        <f aca="false">IF(OR(A233="",B233="",C233=""),"",IF(D233="O",0,SUMIFS(Postes!$P$5:$P$124,Postes!$A$5:$A$124,A233,Postes!$B$5:$B$124,B233)))</f>
        <v/>
      </c>
    </row>
    <row r="234" customFormat="false" ht="15" hidden="false" customHeight="false" outlineLevel="0" collapsed="false">
      <c r="A234" s="16"/>
      <c r="B234" s="20"/>
      <c r="C234" s="20"/>
      <c r="D234" s="24"/>
      <c r="E234" s="9" t="str">
        <f aca="false">IF(OR(A234="",B234="",C234=""),"",IF(D234="O",0,SUMIFS(Postes!$P$5:$P$124,Postes!$A$5:$A$124,A234,Postes!$B$5:$B$124,B234)))</f>
        <v/>
      </c>
    </row>
    <row r="235" customFormat="false" ht="15" hidden="false" customHeight="false" outlineLevel="0" collapsed="false">
      <c r="A235" s="16"/>
      <c r="B235" s="20"/>
      <c r="C235" s="20"/>
      <c r="D235" s="24"/>
      <c r="E235" s="9" t="str">
        <f aca="false">IF(OR(A235="",B235="",C235=""),"",IF(D235="O",0,SUMIFS(Postes!$P$5:$P$124,Postes!$A$5:$A$124,A235,Postes!$B$5:$B$124,B235)))</f>
        <v/>
      </c>
    </row>
    <row r="236" customFormat="false" ht="15" hidden="false" customHeight="false" outlineLevel="0" collapsed="false">
      <c r="A236" s="16"/>
      <c r="B236" s="20"/>
      <c r="C236" s="20"/>
      <c r="D236" s="24"/>
      <c r="E236" s="9" t="str">
        <f aca="false">IF(OR(A236="",B236="",C236=""),"",IF(D236="O",0,SUMIFS(Postes!$P$5:$P$124,Postes!$A$5:$A$124,A236,Postes!$B$5:$B$124,B236)))</f>
        <v/>
      </c>
    </row>
    <row r="237" customFormat="false" ht="15" hidden="false" customHeight="false" outlineLevel="0" collapsed="false">
      <c r="A237" s="16"/>
      <c r="B237" s="20"/>
      <c r="C237" s="20"/>
      <c r="D237" s="24"/>
      <c r="E237" s="9" t="str">
        <f aca="false">IF(OR(A237="",B237="",C237=""),"",IF(D237="O",0,SUMIFS(Postes!$P$5:$P$124,Postes!$A$5:$A$124,A237,Postes!$B$5:$B$124,B237)))</f>
        <v/>
      </c>
    </row>
    <row r="238" customFormat="false" ht="15" hidden="false" customHeight="false" outlineLevel="0" collapsed="false">
      <c r="A238" s="16"/>
      <c r="B238" s="20"/>
      <c r="C238" s="20"/>
      <c r="D238" s="24"/>
      <c r="E238" s="9" t="str">
        <f aca="false">IF(OR(A238="",B238="",C238=""),"",IF(D238="O",0,SUMIFS(Postes!$P$5:$P$124,Postes!$A$5:$A$124,A238,Postes!$B$5:$B$124,B238)))</f>
        <v/>
      </c>
    </row>
    <row r="239" customFormat="false" ht="15" hidden="false" customHeight="false" outlineLevel="0" collapsed="false">
      <c r="A239" s="16"/>
      <c r="B239" s="20"/>
      <c r="C239" s="20"/>
      <c r="D239" s="24"/>
      <c r="E239" s="9" t="str">
        <f aca="false">IF(OR(A239="",B239="",C239=""),"",IF(D239="O",0,SUMIFS(Postes!$P$5:$P$124,Postes!$A$5:$A$124,A239,Postes!$B$5:$B$124,B239)))</f>
        <v/>
      </c>
    </row>
    <row r="240" customFormat="false" ht="15" hidden="false" customHeight="false" outlineLevel="0" collapsed="false">
      <c r="A240" s="16"/>
      <c r="B240" s="20"/>
      <c r="C240" s="20"/>
      <c r="D240" s="24"/>
      <c r="E240" s="9" t="str">
        <f aca="false">IF(OR(A240="",B240="",C240=""),"",IF(D240="O",0,SUMIFS(Postes!$P$5:$P$124,Postes!$A$5:$A$124,A240,Postes!$B$5:$B$124,B240)))</f>
        <v/>
      </c>
    </row>
    <row r="241" customFormat="false" ht="15" hidden="false" customHeight="false" outlineLevel="0" collapsed="false">
      <c r="A241" s="16"/>
      <c r="B241" s="20"/>
      <c r="C241" s="20"/>
      <c r="D241" s="24"/>
      <c r="E241" s="9" t="str">
        <f aca="false">IF(OR(A241="",B241="",C241=""),"",IF(D241="O",0,SUMIFS(Postes!$P$5:$P$124,Postes!$A$5:$A$124,A241,Postes!$B$5:$B$124,B241)))</f>
        <v/>
      </c>
    </row>
    <row r="242" customFormat="false" ht="15" hidden="false" customHeight="false" outlineLevel="0" collapsed="false">
      <c r="A242" s="16"/>
      <c r="B242" s="20"/>
      <c r="C242" s="20"/>
      <c r="D242" s="24"/>
      <c r="E242" s="9" t="str">
        <f aca="false">IF(OR(A242="",B242="",C242=""),"",IF(D242="O",0,SUMIFS(Postes!$P$5:$P$124,Postes!$A$5:$A$124,A242,Postes!$B$5:$B$124,B242)))</f>
        <v/>
      </c>
    </row>
    <row r="243" customFormat="false" ht="15" hidden="false" customHeight="false" outlineLevel="0" collapsed="false">
      <c r="A243" s="16"/>
      <c r="B243" s="20"/>
      <c r="C243" s="20"/>
      <c r="D243" s="24"/>
      <c r="E243" s="9" t="str">
        <f aca="false">IF(OR(A243="",B243="",C243=""),"",IF(D243="O",0,SUMIFS(Postes!$P$5:$P$124,Postes!$A$5:$A$124,A243,Postes!$B$5:$B$124,B243)))</f>
        <v/>
      </c>
    </row>
    <row r="244" customFormat="false" ht="15" hidden="false" customHeight="false" outlineLevel="0" collapsed="false">
      <c r="A244" s="16"/>
      <c r="B244" s="20"/>
      <c r="C244" s="20"/>
      <c r="D244" s="24"/>
      <c r="E244" s="9" t="str">
        <f aca="false">IF(OR(A244="",B244="",C244=""),"",IF(D244="O",0,SUMIFS(Postes!$P$5:$P$124,Postes!$A$5:$A$124,A244,Postes!$B$5:$B$124,B244)))</f>
        <v/>
      </c>
    </row>
    <row r="245" customFormat="false" ht="15" hidden="false" customHeight="false" outlineLevel="0" collapsed="false">
      <c r="A245" s="16"/>
      <c r="B245" s="20"/>
      <c r="C245" s="20"/>
      <c r="D245" s="24"/>
      <c r="E245" s="9" t="str">
        <f aca="false">IF(OR(A245="",B245="",C245=""),"",IF(D245="O",0,SUMIFS(Postes!$P$5:$P$124,Postes!$A$5:$A$124,A245,Postes!$B$5:$B$124,B245)))</f>
        <v/>
      </c>
    </row>
    <row r="246" customFormat="false" ht="15" hidden="false" customHeight="false" outlineLevel="0" collapsed="false">
      <c r="A246" s="16"/>
      <c r="B246" s="20"/>
      <c r="C246" s="20"/>
      <c r="D246" s="24"/>
      <c r="E246" s="9" t="str">
        <f aca="false">IF(OR(A246="",B246="",C246=""),"",IF(D246="O",0,SUMIFS(Postes!$P$5:$P$124,Postes!$A$5:$A$124,A246,Postes!$B$5:$B$124,B246)))</f>
        <v/>
      </c>
    </row>
    <row r="247" customFormat="false" ht="15" hidden="false" customHeight="false" outlineLevel="0" collapsed="false">
      <c r="A247" s="16"/>
      <c r="B247" s="20"/>
      <c r="C247" s="20"/>
      <c r="D247" s="24"/>
      <c r="E247" s="9" t="str">
        <f aca="false">IF(OR(A247="",B247="",C247=""),"",IF(D247="O",0,SUMIFS(Postes!$P$5:$P$124,Postes!$A$5:$A$124,A247,Postes!$B$5:$B$124,B247)))</f>
        <v/>
      </c>
    </row>
    <row r="248" customFormat="false" ht="15" hidden="false" customHeight="false" outlineLevel="0" collapsed="false">
      <c r="A248" s="16"/>
      <c r="B248" s="20"/>
      <c r="C248" s="20"/>
      <c r="D248" s="24"/>
      <c r="E248" s="9" t="str">
        <f aca="false">IF(OR(A248="",B248="",C248=""),"",IF(D248="O",0,SUMIFS(Postes!$P$5:$P$124,Postes!$A$5:$A$124,A248,Postes!$B$5:$B$124,B248)))</f>
        <v/>
      </c>
    </row>
    <row r="249" customFormat="false" ht="15" hidden="false" customHeight="false" outlineLevel="0" collapsed="false">
      <c r="A249" s="16"/>
      <c r="B249" s="20"/>
      <c r="C249" s="20"/>
      <c r="D249" s="24"/>
      <c r="E249" s="9" t="str">
        <f aca="false">IF(OR(A249="",B249="",C249=""),"",IF(D249="O",0,SUMIFS(Postes!$P$5:$P$124,Postes!$A$5:$A$124,A249,Postes!$B$5:$B$124,B249)))</f>
        <v/>
      </c>
    </row>
    <row r="250" customFormat="false" ht="15" hidden="false" customHeight="false" outlineLevel="0" collapsed="false">
      <c r="A250" s="16"/>
      <c r="B250" s="20"/>
      <c r="C250" s="20"/>
      <c r="D250" s="24"/>
      <c r="E250" s="9" t="str">
        <f aca="false">IF(OR(A250="",B250="",C250=""),"",IF(D250="O",0,SUMIFS(Postes!$P$5:$P$124,Postes!$A$5:$A$124,A250,Postes!$B$5:$B$124,B250)))</f>
        <v/>
      </c>
    </row>
    <row r="251" customFormat="false" ht="15" hidden="false" customHeight="false" outlineLevel="0" collapsed="false">
      <c r="A251" s="16"/>
      <c r="B251" s="20"/>
      <c r="C251" s="20"/>
      <c r="D251" s="24"/>
      <c r="E251" s="9" t="str">
        <f aca="false">IF(OR(A251="",B251="",C251=""),"",IF(D251="O",0,SUMIFS(Postes!$P$5:$P$124,Postes!$A$5:$A$124,A251,Postes!$B$5:$B$124,B251)))</f>
        <v/>
      </c>
    </row>
    <row r="252" customFormat="false" ht="15" hidden="false" customHeight="false" outlineLevel="0" collapsed="false">
      <c r="A252" s="16"/>
      <c r="B252" s="20"/>
      <c r="C252" s="20"/>
      <c r="D252" s="24"/>
      <c r="E252" s="9" t="str">
        <f aca="false">IF(OR(A252="",B252="",C252=""),"",IF(D252="O",0,SUMIFS(Postes!$P$5:$P$124,Postes!$A$5:$A$124,A252,Postes!$B$5:$B$124,B252)))</f>
        <v/>
      </c>
    </row>
    <row r="253" customFormat="false" ht="15" hidden="false" customHeight="false" outlineLevel="0" collapsed="false">
      <c r="A253" s="16"/>
      <c r="B253" s="20"/>
      <c r="C253" s="20"/>
      <c r="D253" s="24"/>
      <c r="E253" s="9" t="str">
        <f aca="false">IF(OR(A253="",B253="",C253=""),"",IF(D253="O",0,SUMIFS(Postes!$P$5:$P$124,Postes!$A$5:$A$124,A253,Postes!$B$5:$B$124,B253)))</f>
        <v/>
      </c>
    </row>
    <row r="254" customFormat="false" ht="15" hidden="false" customHeight="false" outlineLevel="0" collapsed="false">
      <c r="A254" s="16"/>
      <c r="B254" s="20"/>
      <c r="C254" s="20"/>
      <c r="D254" s="24"/>
      <c r="E254" s="9" t="str">
        <f aca="false">IF(OR(A254="",B254="",C254=""),"",IF(D254="O",0,SUMIFS(Postes!$P$5:$P$124,Postes!$A$5:$A$124,A254,Postes!$B$5:$B$124,B254)))</f>
        <v/>
      </c>
    </row>
    <row r="255" customFormat="false" ht="15" hidden="false" customHeight="false" outlineLevel="0" collapsed="false">
      <c r="A255" s="16"/>
      <c r="B255" s="20"/>
      <c r="C255" s="20"/>
      <c r="D255" s="24"/>
      <c r="E255" s="9" t="str">
        <f aca="false">IF(OR(A255="",B255="",C255=""),"",IF(D255="O",0,SUMIFS(Postes!$P$5:$P$124,Postes!$A$5:$A$124,A255,Postes!$B$5:$B$124,B255)))</f>
        <v/>
      </c>
    </row>
    <row r="256" customFormat="false" ht="15" hidden="false" customHeight="false" outlineLevel="0" collapsed="false">
      <c r="A256" s="16"/>
      <c r="B256" s="20"/>
      <c r="C256" s="20"/>
      <c r="D256" s="24"/>
      <c r="E256" s="9" t="str">
        <f aca="false">IF(OR(A256="",B256="",C256=""),"",IF(D256="O",0,SUMIFS(Postes!$P$5:$P$124,Postes!$A$5:$A$124,A256,Postes!$B$5:$B$124,B256)))</f>
        <v/>
      </c>
    </row>
    <row r="257" customFormat="false" ht="15" hidden="false" customHeight="false" outlineLevel="0" collapsed="false">
      <c r="A257" s="16"/>
      <c r="B257" s="20"/>
      <c r="C257" s="20"/>
      <c r="D257" s="24"/>
      <c r="E257" s="9" t="str">
        <f aca="false">IF(OR(A257="",B257="",C257=""),"",IF(D257="O",0,SUMIFS(Postes!$P$5:$P$124,Postes!$A$5:$A$124,A257,Postes!$B$5:$B$124,B257)))</f>
        <v/>
      </c>
    </row>
    <row r="258" customFormat="false" ht="15" hidden="false" customHeight="false" outlineLevel="0" collapsed="false">
      <c r="A258" s="16"/>
      <c r="B258" s="20"/>
      <c r="C258" s="20"/>
      <c r="D258" s="24"/>
      <c r="E258" s="9" t="str">
        <f aca="false">IF(OR(A258="",B258="",C258=""),"",IF(D258="O",0,SUMIFS(Postes!$P$5:$P$124,Postes!$A$5:$A$124,A258,Postes!$B$5:$B$124,B258)))</f>
        <v/>
      </c>
    </row>
    <row r="259" customFormat="false" ht="15" hidden="false" customHeight="false" outlineLevel="0" collapsed="false">
      <c r="A259" s="16"/>
      <c r="B259" s="20"/>
      <c r="C259" s="20"/>
      <c r="D259" s="24"/>
      <c r="E259" s="9" t="str">
        <f aca="false">IF(OR(A259="",B259="",C259=""),"",IF(D259="O",0,SUMIFS(Postes!$P$5:$P$124,Postes!$A$5:$A$124,A259,Postes!$B$5:$B$124,B259)))</f>
        <v/>
      </c>
    </row>
    <row r="260" customFormat="false" ht="15" hidden="false" customHeight="false" outlineLevel="0" collapsed="false">
      <c r="A260" s="16"/>
      <c r="B260" s="20"/>
      <c r="C260" s="20"/>
      <c r="D260" s="24"/>
      <c r="E260" s="9" t="str">
        <f aca="false">IF(OR(A260="",B260="",C260=""),"",IF(D260="O",0,SUMIFS(Postes!$P$5:$P$124,Postes!$A$5:$A$124,A260,Postes!$B$5:$B$124,B260)))</f>
        <v/>
      </c>
    </row>
    <row r="261" customFormat="false" ht="15" hidden="false" customHeight="false" outlineLevel="0" collapsed="false">
      <c r="A261" s="16"/>
      <c r="B261" s="20"/>
      <c r="C261" s="20"/>
      <c r="D261" s="24"/>
      <c r="E261" s="9" t="str">
        <f aca="false">IF(OR(A261="",B261="",C261=""),"",IF(D261="O",0,SUMIFS(Postes!$P$5:$P$124,Postes!$A$5:$A$124,A261,Postes!$B$5:$B$124,B261)))</f>
        <v/>
      </c>
    </row>
    <row r="262" customFormat="false" ht="15" hidden="false" customHeight="false" outlineLevel="0" collapsed="false">
      <c r="A262" s="16"/>
      <c r="B262" s="20"/>
      <c r="C262" s="20"/>
      <c r="D262" s="24"/>
      <c r="E262" s="9" t="str">
        <f aca="false">IF(OR(A262="",B262="",C262=""),"",IF(D262="O",0,SUMIFS(Postes!$P$5:$P$124,Postes!$A$5:$A$124,A262,Postes!$B$5:$B$124,B262)))</f>
        <v/>
      </c>
    </row>
    <row r="263" customFormat="false" ht="15" hidden="false" customHeight="false" outlineLevel="0" collapsed="false">
      <c r="A263" s="16"/>
      <c r="B263" s="20"/>
      <c r="C263" s="20"/>
      <c r="D263" s="24"/>
      <c r="E263" s="9" t="str">
        <f aca="false">IF(OR(A263="",B263="",C263=""),"",IF(D263="O",0,SUMIFS(Postes!$P$5:$P$124,Postes!$A$5:$A$124,A263,Postes!$B$5:$B$124,B263)))</f>
        <v/>
      </c>
    </row>
    <row r="264" customFormat="false" ht="15" hidden="false" customHeight="false" outlineLevel="0" collapsed="false">
      <c r="A264" s="16"/>
      <c r="B264" s="20"/>
      <c r="C264" s="20"/>
      <c r="D264" s="24"/>
      <c r="E264" s="9" t="str">
        <f aca="false">IF(OR(A264="",B264="",C264=""),"",IF(D264="O",0,SUMIFS(Postes!$P$5:$P$124,Postes!$A$5:$A$124,A264,Postes!$B$5:$B$124,B264)))</f>
        <v/>
      </c>
    </row>
    <row r="265" customFormat="false" ht="15" hidden="false" customHeight="false" outlineLevel="0" collapsed="false">
      <c r="A265" s="16"/>
      <c r="B265" s="20"/>
      <c r="C265" s="20"/>
      <c r="D265" s="24"/>
      <c r="E265" s="9" t="str">
        <f aca="false">IF(OR(A265="",B265="",C265=""),"",IF(D265="O",0,SUMIFS(Postes!$P$5:$P$124,Postes!$A$5:$A$124,A265,Postes!$B$5:$B$124,B265)))</f>
        <v/>
      </c>
    </row>
    <row r="266" customFormat="false" ht="15" hidden="false" customHeight="false" outlineLevel="0" collapsed="false">
      <c r="A266" s="16"/>
      <c r="B266" s="20"/>
      <c r="C266" s="20"/>
      <c r="D266" s="24"/>
      <c r="E266" s="9" t="str">
        <f aca="false">IF(OR(A266="",B266="",C266=""),"",IF(D266="O",0,SUMIFS(Postes!$P$5:$P$124,Postes!$A$5:$A$124,A266,Postes!$B$5:$B$124,B266)))</f>
        <v/>
      </c>
    </row>
    <row r="267" customFormat="false" ht="15" hidden="false" customHeight="false" outlineLevel="0" collapsed="false">
      <c r="A267" s="16"/>
      <c r="B267" s="20"/>
      <c r="C267" s="20"/>
      <c r="D267" s="24"/>
      <c r="E267" s="9" t="str">
        <f aca="false">IF(OR(A267="",B267="",C267=""),"",IF(D267="O",0,SUMIFS(Postes!$P$5:$P$124,Postes!$A$5:$A$124,A267,Postes!$B$5:$B$124,B267)))</f>
        <v/>
      </c>
    </row>
    <row r="268" customFormat="false" ht="15" hidden="false" customHeight="false" outlineLevel="0" collapsed="false">
      <c r="A268" s="16"/>
      <c r="B268" s="20"/>
      <c r="C268" s="20"/>
      <c r="D268" s="24"/>
      <c r="E268" s="9" t="str">
        <f aca="false">IF(OR(A268="",B268="",C268=""),"",IF(D268="O",0,SUMIFS(Postes!$P$5:$P$124,Postes!$A$5:$A$124,A268,Postes!$B$5:$B$124,B268)))</f>
        <v/>
      </c>
    </row>
    <row r="269" customFormat="false" ht="15" hidden="false" customHeight="false" outlineLevel="0" collapsed="false">
      <c r="A269" s="16"/>
      <c r="B269" s="20"/>
      <c r="C269" s="20"/>
      <c r="D269" s="24"/>
      <c r="E269" s="9" t="str">
        <f aca="false">IF(OR(A269="",B269="",C269=""),"",IF(D269="O",0,SUMIFS(Postes!$P$5:$P$124,Postes!$A$5:$A$124,A269,Postes!$B$5:$B$124,B269)))</f>
        <v/>
      </c>
    </row>
    <row r="270" customFormat="false" ht="15" hidden="false" customHeight="false" outlineLevel="0" collapsed="false">
      <c r="A270" s="16"/>
      <c r="B270" s="20"/>
      <c r="C270" s="20"/>
      <c r="D270" s="24"/>
      <c r="E270" s="9" t="str">
        <f aca="false">IF(OR(A270="",B270="",C270=""),"",IF(D270="O",0,SUMIFS(Postes!$P$5:$P$124,Postes!$A$5:$A$124,A270,Postes!$B$5:$B$124,B270)))</f>
        <v/>
      </c>
    </row>
    <row r="271" customFormat="false" ht="15" hidden="false" customHeight="false" outlineLevel="0" collapsed="false">
      <c r="A271" s="16"/>
      <c r="B271" s="20"/>
      <c r="C271" s="20"/>
      <c r="D271" s="24"/>
      <c r="E271" s="9" t="str">
        <f aca="false">IF(OR(A271="",B271="",C271=""),"",IF(D271="O",0,SUMIFS(Postes!$P$5:$P$124,Postes!$A$5:$A$124,A271,Postes!$B$5:$B$124,B271)))</f>
        <v/>
      </c>
    </row>
    <row r="272" customFormat="false" ht="15" hidden="false" customHeight="false" outlineLevel="0" collapsed="false">
      <c r="A272" s="16"/>
      <c r="B272" s="20"/>
      <c r="C272" s="20"/>
      <c r="D272" s="24"/>
      <c r="E272" s="9" t="str">
        <f aca="false">IF(OR(A272="",B272="",C272=""),"",IF(D272="O",0,SUMIFS(Postes!$P$5:$P$124,Postes!$A$5:$A$124,A272,Postes!$B$5:$B$124,B272)))</f>
        <v/>
      </c>
    </row>
    <row r="273" customFormat="false" ht="15" hidden="false" customHeight="false" outlineLevel="0" collapsed="false">
      <c r="A273" s="16"/>
      <c r="B273" s="20"/>
      <c r="C273" s="20"/>
      <c r="D273" s="24"/>
      <c r="E273" s="9" t="str">
        <f aca="false">IF(OR(A273="",B273="",C273=""),"",IF(D273="O",0,SUMIFS(Postes!$P$5:$P$124,Postes!$A$5:$A$124,A273,Postes!$B$5:$B$124,B273)))</f>
        <v/>
      </c>
    </row>
    <row r="274" customFormat="false" ht="15" hidden="false" customHeight="false" outlineLevel="0" collapsed="false">
      <c r="A274" s="16"/>
      <c r="B274" s="20"/>
      <c r="C274" s="20"/>
      <c r="D274" s="24"/>
      <c r="E274" s="9" t="str">
        <f aca="false">IF(OR(A274="",B274="",C274=""),"",IF(D274="O",0,SUMIFS(Postes!$P$5:$P$124,Postes!$A$5:$A$124,A274,Postes!$B$5:$B$124,B274)))</f>
        <v/>
      </c>
    </row>
    <row r="275" customFormat="false" ht="15" hidden="false" customHeight="false" outlineLevel="0" collapsed="false">
      <c r="A275" s="16"/>
      <c r="B275" s="20"/>
      <c r="C275" s="20"/>
      <c r="D275" s="24"/>
      <c r="E275" s="9" t="str">
        <f aca="false">IF(OR(A275="",B275="",C275=""),"",IF(D275="O",0,SUMIFS(Postes!$P$5:$P$124,Postes!$A$5:$A$124,A275,Postes!$B$5:$B$124,B275)))</f>
        <v/>
      </c>
    </row>
    <row r="276" customFormat="false" ht="15" hidden="false" customHeight="false" outlineLevel="0" collapsed="false">
      <c r="A276" s="16"/>
      <c r="B276" s="20"/>
      <c r="C276" s="20"/>
      <c r="D276" s="24"/>
      <c r="E276" s="9" t="str">
        <f aca="false">IF(OR(A276="",B276="",C276=""),"",IF(D276="O",0,SUMIFS(Postes!$P$5:$P$124,Postes!$A$5:$A$124,A276,Postes!$B$5:$B$124,B276)))</f>
        <v/>
      </c>
    </row>
    <row r="277" customFormat="false" ht="15" hidden="false" customHeight="false" outlineLevel="0" collapsed="false">
      <c r="A277" s="16"/>
      <c r="B277" s="20"/>
      <c r="C277" s="20"/>
      <c r="D277" s="24"/>
      <c r="E277" s="9" t="str">
        <f aca="false">IF(OR(A277="",B277="",C277=""),"",IF(D277="O",0,SUMIFS(Postes!$P$5:$P$124,Postes!$A$5:$A$124,A277,Postes!$B$5:$B$124,B277)))</f>
        <v/>
      </c>
    </row>
    <row r="278" customFormat="false" ht="15" hidden="false" customHeight="false" outlineLevel="0" collapsed="false">
      <c r="A278" s="16"/>
      <c r="B278" s="20"/>
      <c r="C278" s="20"/>
      <c r="D278" s="24"/>
      <c r="E278" s="9" t="str">
        <f aca="false">IF(OR(A278="",B278="",C278=""),"",IF(D278="O",0,SUMIFS(Postes!$P$5:$P$124,Postes!$A$5:$A$124,A278,Postes!$B$5:$B$124,B278)))</f>
        <v/>
      </c>
    </row>
    <row r="279" customFormat="false" ht="15" hidden="false" customHeight="false" outlineLevel="0" collapsed="false">
      <c r="A279" s="16"/>
      <c r="B279" s="20"/>
      <c r="C279" s="20"/>
      <c r="D279" s="24"/>
      <c r="E279" s="9" t="str">
        <f aca="false">IF(OR(A279="",B279="",C279=""),"",IF(D279="O",0,SUMIFS(Postes!$P$5:$P$124,Postes!$A$5:$A$124,A279,Postes!$B$5:$B$124,B279)))</f>
        <v/>
      </c>
    </row>
    <row r="280" customFormat="false" ht="15" hidden="false" customHeight="false" outlineLevel="0" collapsed="false">
      <c r="A280" s="16"/>
      <c r="B280" s="20"/>
      <c r="C280" s="20"/>
      <c r="D280" s="24"/>
      <c r="E280" s="9" t="str">
        <f aca="false">IF(OR(A280="",B280="",C280=""),"",IF(D280="O",0,SUMIFS(Postes!$P$5:$P$124,Postes!$A$5:$A$124,A280,Postes!$B$5:$B$124,B280)))</f>
        <v/>
      </c>
    </row>
    <row r="281" customFormat="false" ht="15" hidden="false" customHeight="false" outlineLevel="0" collapsed="false">
      <c r="A281" s="16"/>
      <c r="B281" s="20"/>
      <c r="C281" s="20"/>
      <c r="D281" s="24"/>
      <c r="E281" s="9" t="str">
        <f aca="false">IF(OR(A281="",B281="",C281=""),"",IF(D281="O",0,SUMIFS(Postes!$P$5:$P$124,Postes!$A$5:$A$124,A281,Postes!$B$5:$B$124,B281)))</f>
        <v/>
      </c>
    </row>
    <row r="282" customFormat="false" ht="15" hidden="false" customHeight="false" outlineLevel="0" collapsed="false">
      <c r="A282" s="16"/>
      <c r="B282" s="20"/>
      <c r="C282" s="20"/>
      <c r="D282" s="24"/>
      <c r="E282" s="9" t="str">
        <f aca="false">IF(OR(A282="",B282="",C282=""),"",IF(D282="O",0,SUMIFS(Postes!$P$5:$P$124,Postes!$A$5:$A$124,A282,Postes!$B$5:$B$124,B282)))</f>
        <v/>
      </c>
    </row>
    <row r="283" customFormat="false" ht="15" hidden="false" customHeight="false" outlineLevel="0" collapsed="false">
      <c r="A283" s="16"/>
      <c r="B283" s="20"/>
      <c r="C283" s="20"/>
      <c r="D283" s="24"/>
      <c r="E283" s="9" t="str">
        <f aca="false">IF(OR(A283="",B283="",C283=""),"",IF(D283="O",0,SUMIFS(Postes!$P$5:$P$124,Postes!$A$5:$A$124,A283,Postes!$B$5:$B$124,B283)))</f>
        <v/>
      </c>
    </row>
    <row r="284" customFormat="false" ht="15" hidden="false" customHeight="false" outlineLevel="0" collapsed="false">
      <c r="A284" s="16"/>
      <c r="B284" s="20"/>
      <c r="C284" s="20"/>
      <c r="D284" s="24"/>
      <c r="E284" s="9" t="str">
        <f aca="false">IF(OR(A284="",B284="",C284=""),"",IF(D284="O",0,SUMIFS(Postes!$P$5:$P$124,Postes!$A$5:$A$124,A284,Postes!$B$5:$B$124,B284)))</f>
        <v/>
      </c>
    </row>
    <row r="285" customFormat="false" ht="15" hidden="false" customHeight="false" outlineLevel="0" collapsed="false">
      <c r="A285" s="16"/>
      <c r="B285" s="20"/>
      <c r="C285" s="20"/>
      <c r="D285" s="24"/>
      <c r="E285" s="9" t="str">
        <f aca="false">IF(OR(A285="",B285="",C285=""),"",IF(D285="O",0,SUMIFS(Postes!$P$5:$P$124,Postes!$A$5:$A$124,A285,Postes!$B$5:$B$124,B285)))</f>
        <v/>
      </c>
    </row>
    <row r="286" customFormat="false" ht="15" hidden="false" customHeight="false" outlineLevel="0" collapsed="false">
      <c r="A286" s="16"/>
      <c r="B286" s="20"/>
      <c r="C286" s="20"/>
      <c r="D286" s="24"/>
      <c r="E286" s="9" t="str">
        <f aca="false">IF(OR(A286="",B286="",C286=""),"",IF(D286="O",0,SUMIFS(Postes!$P$5:$P$124,Postes!$A$5:$A$124,A286,Postes!$B$5:$B$124,B286)))</f>
        <v/>
      </c>
    </row>
    <row r="287" customFormat="false" ht="15" hidden="false" customHeight="false" outlineLevel="0" collapsed="false">
      <c r="A287" s="16"/>
      <c r="B287" s="20"/>
      <c r="C287" s="20"/>
      <c r="D287" s="24"/>
      <c r="E287" s="9" t="str">
        <f aca="false">IF(OR(A287="",B287="",C287=""),"",IF(D287="O",0,SUMIFS(Postes!$P$5:$P$124,Postes!$A$5:$A$124,A287,Postes!$B$5:$B$124,B287)))</f>
        <v/>
      </c>
    </row>
    <row r="288" customFormat="false" ht="15" hidden="false" customHeight="false" outlineLevel="0" collapsed="false">
      <c r="A288" s="16"/>
      <c r="B288" s="20"/>
      <c r="C288" s="20"/>
      <c r="D288" s="24"/>
      <c r="E288" s="9" t="str">
        <f aca="false">IF(OR(A288="",B288="",C288=""),"",IF(D288="O",0,SUMIFS(Postes!$P$5:$P$124,Postes!$A$5:$A$124,A288,Postes!$B$5:$B$124,B288)))</f>
        <v/>
      </c>
    </row>
    <row r="289" customFormat="false" ht="15" hidden="false" customHeight="false" outlineLevel="0" collapsed="false">
      <c r="A289" s="16"/>
      <c r="B289" s="20"/>
      <c r="C289" s="20"/>
      <c r="D289" s="24"/>
      <c r="E289" s="9" t="str">
        <f aca="false">IF(OR(A289="",B289="",C289=""),"",IF(D289="O",0,SUMIFS(Postes!$P$5:$P$124,Postes!$A$5:$A$124,A289,Postes!$B$5:$B$124,B289)))</f>
        <v/>
      </c>
    </row>
    <row r="290" customFormat="false" ht="15" hidden="false" customHeight="false" outlineLevel="0" collapsed="false">
      <c r="A290" s="16"/>
      <c r="B290" s="20"/>
      <c r="C290" s="20"/>
      <c r="D290" s="24"/>
      <c r="E290" s="9" t="str">
        <f aca="false">IF(OR(A290="",B290="",C290=""),"",IF(D290="O",0,SUMIFS(Postes!$P$5:$P$124,Postes!$A$5:$A$124,A290,Postes!$B$5:$B$124,B290)))</f>
        <v/>
      </c>
    </row>
    <row r="291" customFormat="false" ht="15" hidden="false" customHeight="false" outlineLevel="0" collapsed="false">
      <c r="A291" s="16"/>
      <c r="B291" s="20"/>
      <c r="C291" s="20"/>
      <c r="D291" s="24"/>
      <c r="E291" s="9" t="str">
        <f aca="false">IF(OR(A291="",B291="",C291=""),"",IF(D291="O",0,SUMIFS(Postes!$P$5:$P$124,Postes!$A$5:$A$124,A291,Postes!$B$5:$B$124,B291)))</f>
        <v/>
      </c>
    </row>
    <row r="292" customFormat="false" ht="15" hidden="false" customHeight="false" outlineLevel="0" collapsed="false">
      <c r="A292" s="16"/>
      <c r="B292" s="20"/>
      <c r="C292" s="20"/>
      <c r="D292" s="24"/>
      <c r="E292" s="9" t="str">
        <f aca="false">IF(OR(A292="",B292="",C292=""),"",IF(D292="O",0,SUMIFS(Postes!$P$5:$P$124,Postes!$A$5:$A$124,A292,Postes!$B$5:$B$124,B292)))</f>
        <v/>
      </c>
    </row>
    <row r="293" customFormat="false" ht="15" hidden="false" customHeight="false" outlineLevel="0" collapsed="false">
      <c r="A293" s="16"/>
      <c r="B293" s="20"/>
      <c r="C293" s="20"/>
      <c r="D293" s="24"/>
      <c r="E293" s="9" t="str">
        <f aca="false">IF(OR(A293="",B293="",C293=""),"",IF(D293="O",0,SUMIFS(Postes!$P$5:$P$124,Postes!$A$5:$A$124,A293,Postes!$B$5:$B$124,B293)))</f>
        <v/>
      </c>
    </row>
    <row r="294" customFormat="false" ht="15" hidden="false" customHeight="false" outlineLevel="0" collapsed="false">
      <c r="A294" s="16"/>
      <c r="B294" s="20"/>
      <c r="C294" s="20"/>
      <c r="D294" s="24"/>
      <c r="E294" s="9" t="str">
        <f aca="false">IF(OR(A294="",B294="",C294=""),"",IF(D294="O",0,SUMIFS(Postes!$P$5:$P$124,Postes!$A$5:$A$124,A294,Postes!$B$5:$B$124,B294)))</f>
        <v/>
      </c>
    </row>
    <row r="295" customFormat="false" ht="15" hidden="false" customHeight="false" outlineLevel="0" collapsed="false">
      <c r="A295" s="16"/>
      <c r="B295" s="20"/>
      <c r="C295" s="20"/>
      <c r="D295" s="24"/>
      <c r="E295" s="9" t="str">
        <f aca="false">IF(OR(A295="",B295="",C295=""),"",IF(D295="O",0,SUMIFS(Postes!$P$5:$P$124,Postes!$A$5:$A$124,A295,Postes!$B$5:$B$124,B295)))</f>
        <v/>
      </c>
    </row>
    <row r="296" customFormat="false" ht="15" hidden="false" customHeight="false" outlineLevel="0" collapsed="false">
      <c r="A296" s="16"/>
      <c r="B296" s="20"/>
      <c r="C296" s="20"/>
      <c r="D296" s="24"/>
      <c r="E296" s="9" t="str">
        <f aca="false">IF(OR(A296="",B296="",C296=""),"",IF(D296="O",0,SUMIFS(Postes!$P$5:$P$124,Postes!$A$5:$A$124,A296,Postes!$B$5:$B$124,B296)))</f>
        <v/>
      </c>
    </row>
    <row r="297" customFormat="false" ht="15" hidden="false" customHeight="false" outlineLevel="0" collapsed="false">
      <c r="A297" s="16"/>
      <c r="B297" s="20"/>
      <c r="C297" s="20"/>
      <c r="D297" s="24"/>
      <c r="E297" s="9" t="str">
        <f aca="false">IF(OR(A297="",B297="",C297=""),"",IF(D297="O",0,SUMIFS(Postes!$P$5:$P$124,Postes!$A$5:$A$124,A297,Postes!$B$5:$B$124,B297)))</f>
        <v/>
      </c>
    </row>
    <row r="298" customFormat="false" ht="15" hidden="false" customHeight="false" outlineLevel="0" collapsed="false">
      <c r="A298" s="16"/>
      <c r="B298" s="20"/>
      <c r="C298" s="20"/>
      <c r="D298" s="24"/>
      <c r="E298" s="9" t="str">
        <f aca="false">IF(OR(A298="",B298="",C298=""),"",IF(D298="O",0,SUMIFS(Postes!$P$5:$P$124,Postes!$A$5:$A$124,A298,Postes!$B$5:$B$124,B298)))</f>
        <v/>
      </c>
    </row>
    <row r="299" customFormat="false" ht="15" hidden="false" customHeight="false" outlineLevel="0" collapsed="false">
      <c r="A299" s="16"/>
      <c r="B299" s="20"/>
      <c r="C299" s="20"/>
      <c r="D299" s="24"/>
      <c r="E299" s="9" t="str">
        <f aca="false">IF(OR(A299="",B299="",C299=""),"",IF(D299="O",0,SUMIFS(Postes!$P$5:$P$124,Postes!$A$5:$A$124,A299,Postes!$B$5:$B$124,B299)))</f>
        <v/>
      </c>
    </row>
    <row r="300" customFormat="false" ht="15" hidden="false" customHeight="false" outlineLevel="0" collapsed="false">
      <c r="A300" s="16"/>
      <c r="B300" s="20"/>
      <c r="C300" s="20"/>
      <c r="D300" s="24"/>
      <c r="E300" s="9" t="str">
        <f aca="false">IF(OR(A300="",B300="",C300=""),"",IF(D300="O",0,SUMIFS(Postes!$P$5:$P$124,Postes!$A$5:$A$124,A300,Postes!$B$5:$B$124,B300)))</f>
        <v/>
      </c>
    </row>
    <row r="301" customFormat="false" ht="15" hidden="false" customHeight="false" outlineLevel="0" collapsed="false">
      <c r="A301" s="16"/>
      <c r="B301" s="20"/>
      <c r="C301" s="20"/>
      <c r="D301" s="24"/>
      <c r="E301" s="9" t="str">
        <f aca="false">IF(OR(A301="",B301="",C301=""),"",IF(D301="O",0,SUMIFS(Postes!$P$5:$P$124,Postes!$A$5:$A$124,A301,Postes!$B$5:$B$124,B301)))</f>
        <v/>
      </c>
    </row>
    <row r="302" customFormat="false" ht="15" hidden="false" customHeight="false" outlineLevel="0" collapsed="false">
      <c r="A302" s="16"/>
      <c r="B302" s="20"/>
      <c r="C302" s="20"/>
      <c r="D302" s="24"/>
      <c r="E302" s="9" t="str">
        <f aca="false">IF(OR(A302="",B302="",C302=""),"",IF(D302="O",0,SUMIFS(Postes!$P$5:$P$124,Postes!$A$5:$A$124,A302,Postes!$B$5:$B$124,B302)))</f>
        <v/>
      </c>
    </row>
    <row r="303" customFormat="false" ht="15" hidden="false" customHeight="false" outlineLevel="0" collapsed="false">
      <c r="A303" s="16"/>
      <c r="B303" s="20"/>
      <c r="C303" s="20"/>
      <c r="D303" s="24"/>
      <c r="E303" s="9" t="str">
        <f aca="false">IF(OR(A303="",B303="",C303=""),"",IF(D303="O",0,SUMIFS(Postes!$P$5:$P$124,Postes!$A$5:$A$124,A303,Postes!$B$5:$B$124,B303)))</f>
        <v/>
      </c>
    </row>
    <row r="304" customFormat="false" ht="15" hidden="false" customHeight="false" outlineLevel="0" collapsed="false">
      <c r="A304" s="16"/>
      <c r="B304" s="20"/>
      <c r="C304" s="20"/>
      <c r="D304" s="24"/>
      <c r="E304" s="9" t="str">
        <f aca="false">IF(OR(A304="",B304="",C304=""),"",IF(D304="O",0,SUMIFS(Postes!$P$5:$P$124,Postes!$A$5:$A$124,A304,Postes!$B$5:$B$124,B304)))</f>
        <v/>
      </c>
    </row>
    <row r="305" customFormat="false" ht="15" hidden="false" customHeight="false" outlineLevel="0" collapsed="false">
      <c r="A305" s="16"/>
      <c r="B305" s="20"/>
      <c r="C305" s="20"/>
      <c r="D305" s="24"/>
      <c r="E305" s="9" t="str">
        <f aca="false">IF(OR(A305="",B305="",C305=""),"",IF(D305="O",0,SUMIFS(Postes!$P$5:$P$124,Postes!$A$5:$A$124,A305,Postes!$B$5:$B$124,B305)))</f>
        <v/>
      </c>
    </row>
    <row r="306" customFormat="false" ht="15" hidden="false" customHeight="false" outlineLevel="0" collapsed="false">
      <c r="A306" s="16"/>
      <c r="B306" s="20"/>
      <c r="C306" s="20"/>
      <c r="D306" s="24"/>
      <c r="E306" s="9" t="str">
        <f aca="false">IF(OR(A306="",B306="",C306=""),"",IF(D306="O",0,SUMIFS(Postes!$P$5:$P$124,Postes!$A$5:$A$124,A306,Postes!$B$5:$B$124,B306)))</f>
        <v/>
      </c>
    </row>
    <row r="307" customFormat="false" ht="15" hidden="false" customHeight="false" outlineLevel="0" collapsed="false">
      <c r="A307" s="16"/>
      <c r="B307" s="20"/>
      <c r="C307" s="20"/>
      <c r="D307" s="24"/>
      <c r="E307" s="9" t="str">
        <f aca="false">IF(OR(A307="",B307="",C307=""),"",IF(D307="O",0,SUMIFS(Postes!$P$5:$P$124,Postes!$A$5:$A$124,A307,Postes!$B$5:$B$124,B307)))</f>
        <v/>
      </c>
    </row>
    <row r="308" customFormat="false" ht="15" hidden="false" customHeight="false" outlineLevel="0" collapsed="false">
      <c r="A308" s="16"/>
      <c r="B308" s="20"/>
      <c r="C308" s="20"/>
      <c r="D308" s="24"/>
      <c r="E308" s="9" t="str">
        <f aca="false">IF(OR(A308="",B308="",C308=""),"",IF(D308="O",0,SUMIFS(Postes!$P$5:$P$124,Postes!$A$5:$A$124,A308,Postes!$B$5:$B$124,B308)))</f>
        <v/>
      </c>
    </row>
    <row r="309" customFormat="false" ht="15" hidden="false" customHeight="false" outlineLevel="0" collapsed="false">
      <c r="A309" s="16"/>
      <c r="B309" s="20"/>
      <c r="C309" s="20"/>
      <c r="D309" s="24"/>
      <c r="E309" s="9" t="str">
        <f aca="false">IF(OR(A309="",B309="",C309=""),"",IF(D309="O",0,SUMIFS(Postes!$P$5:$P$124,Postes!$A$5:$A$124,A309,Postes!$B$5:$B$124,B309)))</f>
        <v/>
      </c>
    </row>
    <row r="310" customFormat="false" ht="15" hidden="false" customHeight="false" outlineLevel="0" collapsed="false">
      <c r="A310" s="16"/>
      <c r="B310" s="20"/>
      <c r="C310" s="20"/>
      <c r="D310" s="24"/>
      <c r="E310" s="9" t="str">
        <f aca="false">IF(OR(A310="",B310="",C310=""),"",IF(D310="O",0,SUMIFS(Postes!$P$5:$P$124,Postes!$A$5:$A$124,A310,Postes!$B$5:$B$124,B310)))</f>
        <v/>
      </c>
    </row>
    <row r="311" customFormat="false" ht="15" hidden="false" customHeight="false" outlineLevel="0" collapsed="false">
      <c r="A311" s="16"/>
      <c r="B311" s="20"/>
      <c r="C311" s="20"/>
      <c r="D311" s="24"/>
      <c r="E311" s="9" t="str">
        <f aca="false">IF(OR(A311="",B311="",C311=""),"",IF(D311="O",0,SUMIFS(Postes!$P$5:$P$124,Postes!$A$5:$A$124,A311,Postes!$B$5:$B$124,B311)))</f>
        <v/>
      </c>
    </row>
    <row r="312" customFormat="false" ht="15" hidden="false" customHeight="false" outlineLevel="0" collapsed="false">
      <c r="A312" s="16"/>
      <c r="B312" s="20"/>
      <c r="C312" s="20"/>
      <c r="D312" s="24"/>
      <c r="E312" s="9" t="str">
        <f aca="false">IF(OR(A312="",B312="",C312=""),"",IF(D312="O",0,SUMIFS(Postes!$P$5:$P$124,Postes!$A$5:$A$124,A312,Postes!$B$5:$B$124,B312)))</f>
        <v/>
      </c>
    </row>
    <row r="313" customFormat="false" ht="15" hidden="false" customHeight="false" outlineLevel="0" collapsed="false">
      <c r="A313" s="16"/>
      <c r="B313" s="20"/>
      <c r="C313" s="20"/>
      <c r="D313" s="24"/>
      <c r="E313" s="9" t="str">
        <f aca="false">IF(OR(A313="",B313="",C313=""),"",IF(D313="O",0,SUMIFS(Postes!$P$5:$P$124,Postes!$A$5:$A$124,A313,Postes!$B$5:$B$124,B313)))</f>
        <v/>
      </c>
    </row>
    <row r="314" customFormat="false" ht="15" hidden="false" customHeight="false" outlineLevel="0" collapsed="false">
      <c r="A314" s="16"/>
      <c r="B314" s="20"/>
      <c r="C314" s="20"/>
      <c r="D314" s="24"/>
      <c r="E314" s="9" t="str">
        <f aca="false">IF(OR(A314="",B314="",C314=""),"",IF(D314="O",0,SUMIFS(Postes!$P$5:$P$124,Postes!$A$5:$A$124,A314,Postes!$B$5:$B$124,B314)))</f>
        <v/>
      </c>
    </row>
    <row r="315" customFormat="false" ht="15" hidden="false" customHeight="false" outlineLevel="0" collapsed="false">
      <c r="A315" s="16"/>
      <c r="B315" s="20"/>
      <c r="C315" s="20"/>
      <c r="D315" s="24"/>
      <c r="E315" s="9" t="str">
        <f aca="false">IF(OR(A315="",B315="",C315=""),"",IF(D315="O",0,SUMIFS(Postes!$P$5:$P$124,Postes!$A$5:$A$124,A315,Postes!$B$5:$B$124,B315)))</f>
        <v/>
      </c>
    </row>
    <row r="316" customFormat="false" ht="15" hidden="false" customHeight="false" outlineLevel="0" collapsed="false">
      <c r="A316" s="16"/>
      <c r="B316" s="20"/>
      <c r="C316" s="20"/>
      <c r="D316" s="24"/>
      <c r="E316" s="9" t="str">
        <f aca="false">IF(OR(A316="",B316="",C316=""),"",IF(D316="O",0,SUMIFS(Postes!$P$5:$P$124,Postes!$A$5:$A$124,A316,Postes!$B$5:$B$124,B316)))</f>
        <v/>
      </c>
    </row>
    <row r="317" customFormat="false" ht="15" hidden="false" customHeight="false" outlineLevel="0" collapsed="false">
      <c r="A317" s="16"/>
      <c r="B317" s="20"/>
      <c r="C317" s="20"/>
      <c r="D317" s="24"/>
      <c r="E317" s="9" t="str">
        <f aca="false">IF(OR(A317="",B317="",C317=""),"",IF(D317="O",0,SUMIFS(Postes!$P$5:$P$124,Postes!$A$5:$A$124,A317,Postes!$B$5:$B$124,B317)))</f>
        <v/>
      </c>
    </row>
    <row r="318" customFormat="false" ht="15" hidden="false" customHeight="false" outlineLevel="0" collapsed="false">
      <c r="A318" s="16"/>
      <c r="B318" s="20"/>
      <c r="C318" s="20"/>
      <c r="D318" s="24"/>
      <c r="E318" s="9" t="str">
        <f aca="false">IF(OR(A318="",B318="",C318=""),"",IF(D318="O",0,SUMIFS(Postes!$P$5:$P$124,Postes!$A$5:$A$124,A318,Postes!$B$5:$B$124,B318)))</f>
        <v/>
      </c>
    </row>
    <row r="319" customFormat="false" ht="15" hidden="false" customHeight="false" outlineLevel="0" collapsed="false">
      <c r="A319" s="16"/>
      <c r="B319" s="20"/>
      <c r="C319" s="20"/>
      <c r="D319" s="24"/>
      <c r="E319" s="9" t="str">
        <f aca="false">IF(OR(A319="",B319="",C319=""),"",IF(D319="O",0,SUMIFS(Postes!$P$5:$P$124,Postes!$A$5:$A$124,A319,Postes!$B$5:$B$124,B319)))</f>
        <v/>
      </c>
    </row>
    <row r="320" customFormat="false" ht="15" hidden="false" customHeight="false" outlineLevel="0" collapsed="false">
      <c r="A320" s="16"/>
      <c r="B320" s="20"/>
      <c r="C320" s="20"/>
      <c r="D320" s="24"/>
      <c r="E320" s="9" t="str">
        <f aca="false">IF(OR(A320="",B320="",C320=""),"",IF(D320="O",0,SUMIFS(Postes!$P$5:$P$124,Postes!$A$5:$A$124,A320,Postes!$B$5:$B$124,B320)))</f>
        <v/>
      </c>
    </row>
    <row r="321" customFormat="false" ht="15" hidden="false" customHeight="false" outlineLevel="0" collapsed="false">
      <c r="A321" s="16"/>
      <c r="B321" s="20"/>
      <c r="C321" s="20"/>
      <c r="D321" s="24"/>
      <c r="E321" s="9" t="str">
        <f aca="false">IF(OR(A321="",B321="",C321=""),"",IF(D321="O",0,SUMIFS(Postes!$P$5:$P$124,Postes!$A$5:$A$124,A321,Postes!$B$5:$B$124,B321)))</f>
        <v/>
      </c>
    </row>
    <row r="322" customFormat="false" ht="15" hidden="false" customHeight="false" outlineLevel="0" collapsed="false">
      <c r="A322" s="16"/>
      <c r="B322" s="20"/>
      <c r="C322" s="20"/>
      <c r="D322" s="24"/>
      <c r="E322" s="9" t="str">
        <f aca="false">IF(OR(A322="",B322="",C322=""),"",IF(D322="O",0,SUMIFS(Postes!$P$5:$P$124,Postes!$A$5:$A$124,A322,Postes!$B$5:$B$124,B322)))</f>
        <v/>
      </c>
    </row>
    <row r="323" customFormat="false" ht="15" hidden="false" customHeight="false" outlineLevel="0" collapsed="false">
      <c r="A323" s="16"/>
      <c r="B323" s="20"/>
      <c r="C323" s="20"/>
      <c r="D323" s="24"/>
      <c r="E323" s="9" t="str">
        <f aca="false">IF(OR(A323="",B323="",C323=""),"",IF(D323="O",0,SUMIFS(Postes!$P$5:$P$124,Postes!$A$5:$A$124,A323,Postes!$B$5:$B$124,B323)))</f>
        <v/>
      </c>
    </row>
    <row r="324" customFormat="false" ht="15" hidden="false" customHeight="false" outlineLevel="0" collapsed="false">
      <c r="A324" s="16"/>
      <c r="B324" s="20"/>
      <c r="C324" s="20"/>
      <c r="D324" s="24"/>
      <c r="E324" s="9" t="str">
        <f aca="false">IF(OR(A324="",B324="",C324=""),"",IF(D324="O",0,SUMIFS(Postes!$P$5:$P$124,Postes!$A$5:$A$124,A324,Postes!$B$5:$B$124,B324)))</f>
        <v/>
      </c>
    </row>
    <row r="325" customFormat="false" ht="15" hidden="false" customHeight="false" outlineLevel="0" collapsed="false">
      <c r="A325" s="16"/>
      <c r="B325" s="20"/>
      <c r="C325" s="20"/>
      <c r="D325" s="24"/>
      <c r="E325" s="9" t="str">
        <f aca="false">IF(OR(A325="",B325="",C325=""),"",IF(D325="O",0,SUMIFS(Postes!$P$5:$P$124,Postes!$A$5:$A$124,A325,Postes!$B$5:$B$124,B325)))</f>
        <v/>
      </c>
    </row>
    <row r="326" customFormat="false" ht="15" hidden="false" customHeight="false" outlineLevel="0" collapsed="false">
      <c r="A326" s="16"/>
      <c r="B326" s="20"/>
      <c r="C326" s="20"/>
      <c r="D326" s="24"/>
      <c r="E326" s="9" t="str">
        <f aca="false">IF(OR(A326="",B326="",C326=""),"",IF(D326="O",0,SUMIFS(Postes!$P$5:$P$124,Postes!$A$5:$A$124,A326,Postes!$B$5:$B$124,B326)))</f>
        <v/>
      </c>
    </row>
    <row r="327" customFormat="false" ht="15" hidden="false" customHeight="false" outlineLevel="0" collapsed="false">
      <c r="A327" s="16"/>
      <c r="B327" s="20"/>
      <c r="C327" s="20"/>
      <c r="D327" s="24"/>
      <c r="E327" s="9" t="str">
        <f aca="false">IF(OR(A327="",B327="",C327=""),"",IF(D327="O",0,SUMIFS(Postes!$P$5:$P$124,Postes!$A$5:$A$124,A327,Postes!$B$5:$B$124,B327)))</f>
        <v/>
      </c>
    </row>
    <row r="328" customFormat="false" ht="15" hidden="false" customHeight="false" outlineLevel="0" collapsed="false">
      <c r="A328" s="16"/>
      <c r="B328" s="20"/>
      <c r="C328" s="20"/>
      <c r="D328" s="24"/>
      <c r="E328" s="9" t="str">
        <f aca="false">IF(OR(A328="",B328="",C328=""),"",IF(D328="O",0,SUMIFS(Postes!$P$5:$P$124,Postes!$A$5:$A$124,A328,Postes!$B$5:$B$124,B328)))</f>
        <v/>
      </c>
    </row>
    <row r="329" customFormat="false" ht="15" hidden="false" customHeight="false" outlineLevel="0" collapsed="false">
      <c r="A329" s="16"/>
      <c r="B329" s="20"/>
      <c r="C329" s="20"/>
      <c r="D329" s="24"/>
      <c r="E329" s="9" t="str">
        <f aca="false">IF(OR(A329="",B329="",C329=""),"",IF(D329="O",0,SUMIFS(Postes!$P$5:$P$124,Postes!$A$5:$A$124,A329,Postes!$B$5:$B$124,B329)))</f>
        <v/>
      </c>
    </row>
    <row r="330" customFormat="false" ht="15" hidden="false" customHeight="false" outlineLevel="0" collapsed="false">
      <c r="A330" s="16"/>
      <c r="B330" s="20"/>
      <c r="C330" s="20"/>
      <c r="D330" s="24"/>
      <c r="E330" s="9" t="str">
        <f aca="false">IF(OR(A330="",B330="",C330=""),"",IF(D330="O",0,SUMIFS(Postes!$P$5:$P$124,Postes!$A$5:$A$124,A330,Postes!$B$5:$B$124,B330)))</f>
        <v/>
      </c>
    </row>
    <row r="331" customFormat="false" ht="15" hidden="false" customHeight="false" outlineLevel="0" collapsed="false">
      <c r="A331" s="16"/>
      <c r="B331" s="20"/>
      <c r="C331" s="20"/>
      <c r="D331" s="24"/>
      <c r="E331" s="9" t="str">
        <f aca="false">IF(OR(A331="",B331="",C331=""),"",IF(D331="O",0,SUMIFS(Postes!$P$5:$P$124,Postes!$A$5:$A$124,A331,Postes!$B$5:$B$124,B331)))</f>
        <v/>
      </c>
    </row>
    <row r="332" customFormat="false" ht="15" hidden="false" customHeight="false" outlineLevel="0" collapsed="false">
      <c r="A332" s="16"/>
      <c r="B332" s="20"/>
      <c r="C332" s="20"/>
      <c r="D332" s="24"/>
      <c r="E332" s="9" t="str">
        <f aca="false">IF(OR(A332="",B332="",C332=""),"",IF(D332="O",0,SUMIFS(Postes!$P$5:$P$124,Postes!$A$5:$A$124,A332,Postes!$B$5:$B$124,B332)))</f>
        <v/>
      </c>
    </row>
    <row r="333" customFormat="false" ht="15" hidden="false" customHeight="false" outlineLevel="0" collapsed="false">
      <c r="A333" s="16"/>
      <c r="B333" s="20"/>
      <c r="C333" s="20"/>
      <c r="D333" s="24"/>
      <c r="E333" s="9" t="str">
        <f aca="false">IF(OR(A333="",B333="",C333=""),"",IF(D333="O",0,SUMIFS(Postes!$P$5:$P$124,Postes!$A$5:$A$124,A333,Postes!$B$5:$B$124,B333)))</f>
        <v/>
      </c>
    </row>
    <row r="334" customFormat="false" ht="15" hidden="false" customHeight="false" outlineLevel="0" collapsed="false">
      <c r="A334" s="16"/>
      <c r="B334" s="20"/>
      <c r="C334" s="20"/>
      <c r="D334" s="24"/>
      <c r="E334" s="9" t="str">
        <f aca="false">IF(OR(A334="",B334="",C334=""),"",IF(D334="O",0,SUMIFS(Postes!$P$5:$P$124,Postes!$A$5:$A$124,A334,Postes!$B$5:$B$124,B334)))</f>
        <v/>
      </c>
    </row>
    <row r="335" customFormat="false" ht="15" hidden="false" customHeight="false" outlineLevel="0" collapsed="false">
      <c r="A335" s="16"/>
      <c r="B335" s="20"/>
      <c r="C335" s="20"/>
      <c r="D335" s="24"/>
      <c r="E335" s="9" t="str">
        <f aca="false">IF(OR(A335="",B335="",C335=""),"",IF(D335="O",0,SUMIFS(Postes!$P$5:$P$124,Postes!$A$5:$A$124,A335,Postes!$B$5:$B$124,B335)))</f>
        <v/>
      </c>
    </row>
    <row r="336" customFormat="false" ht="15" hidden="false" customHeight="false" outlineLevel="0" collapsed="false">
      <c r="A336" s="16"/>
      <c r="B336" s="20"/>
      <c r="C336" s="20"/>
      <c r="D336" s="24"/>
      <c r="E336" s="9" t="str">
        <f aca="false">IF(OR(A336="",B336="",C336=""),"",IF(D336="O",0,SUMIFS(Postes!$P$5:$P$124,Postes!$A$5:$A$124,A336,Postes!$B$5:$B$124,B336)))</f>
        <v/>
      </c>
    </row>
    <row r="337" customFormat="false" ht="15" hidden="false" customHeight="false" outlineLevel="0" collapsed="false">
      <c r="A337" s="16"/>
      <c r="B337" s="20"/>
      <c r="C337" s="20"/>
      <c r="D337" s="24"/>
      <c r="E337" s="9" t="str">
        <f aca="false">IF(OR(A337="",B337="",C337=""),"",IF(D337="O",0,SUMIFS(Postes!$P$5:$P$124,Postes!$A$5:$A$124,A337,Postes!$B$5:$B$124,B337)))</f>
        <v/>
      </c>
    </row>
    <row r="338" customFormat="false" ht="15" hidden="false" customHeight="false" outlineLevel="0" collapsed="false">
      <c r="A338" s="16"/>
      <c r="B338" s="20"/>
      <c r="C338" s="20"/>
      <c r="D338" s="24"/>
      <c r="E338" s="9" t="str">
        <f aca="false">IF(OR(A338="",B338="",C338=""),"",IF(D338="O",0,SUMIFS(Postes!$P$5:$P$124,Postes!$A$5:$A$124,A338,Postes!$B$5:$B$124,B338)))</f>
        <v/>
      </c>
    </row>
    <row r="339" customFormat="false" ht="15" hidden="false" customHeight="false" outlineLevel="0" collapsed="false">
      <c r="A339" s="16"/>
      <c r="B339" s="20"/>
      <c r="C339" s="20"/>
      <c r="D339" s="24"/>
      <c r="E339" s="9" t="str">
        <f aca="false">IF(OR(A339="",B339="",C339=""),"",IF(D339="O",0,SUMIFS(Postes!$P$5:$P$124,Postes!$A$5:$A$124,A339,Postes!$B$5:$B$124,B339)))</f>
        <v/>
      </c>
    </row>
    <row r="340" customFormat="false" ht="15" hidden="false" customHeight="false" outlineLevel="0" collapsed="false">
      <c r="A340" s="16"/>
      <c r="B340" s="20"/>
      <c r="C340" s="20"/>
      <c r="D340" s="24"/>
      <c r="E340" s="9" t="str">
        <f aca="false">IF(OR(A340="",B340="",C340=""),"",IF(D340="O",0,SUMIFS(Postes!$P$5:$P$124,Postes!$A$5:$A$124,A340,Postes!$B$5:$B$124,B340)))</f>
        <v/>
      </c>
    </row>
    <row r="341" customFormat="false" ht="15" hidden="false" customHeight="false" outlineLevel="0" collapsed="false">
      <c r="A341" s="16"/>
      <c r="B341" s="20"/>
      <c r="C341" s="20"/>
      <c r="D341" s="24"/>
      <c r="E341" s="9" t="str">
        <f aca="false">IF(OR(A341="",B341="",C341=""),"",IF(D341="O",0,SUMIFS(Postes!$P$5:$P$124,Postes!$A$5:$A$124,A341,Postes!$B$5:$B$124,B341)))</f>
        <v/>
      </c>
    </row>
    <row r="342" customFormat="false" ht="15" hidden="false" customHeight="false" outlineLevel="0" collapsed="false">
      <c r="A342" s="16"/>
      <c r="B342" s="20"/>
      <c r="C342" s="20"/>
      <c r="D342" s="24"/>
      <c r="E342" s="9" t="str">
        <f aca="false">IF(OR(A342="",B342="",C342=""),"",IF(D342="O",0,SUMIFS(Postes!$P$5:$P$124,Postes!$A$5:$A$124,A342,Postes!$B$5:$B$124,B342)))</f>
        <v/>
      </c>
    </row>
    <row r="343" customFormat="false" ht="15" hidden="false" customHeight="false" outlineLevel="0" collapsed="false">
      <c r="A343" s="16"/>
      <c r="B343" s="20"/>
      <c r="C343" s="20"/>
      <c r="D343" s="24"/>
      <c r="E343" s="9" t="str">
        <f aca="false">IF(OR(A343="",B343="",C343=""),"",IF(D343="O",0,SUMIFS(Postes!$P$5:$P$124,Postes!$A$5:$A$124,A343,Postes!$B$5:$B$124,B343)))</f>
        <v/>
      </c>
    </row>
    <row r="344" customFormat="false" ht="15" hidden="false" customHeight="false" outlineLevel="0" collapsed="false">
      <c r="A344" s="16"/>
      <c r="B344" s="20"/>
      <c r="C344" s="20"/>
      <c r="D344" s="24"/>
      <c r="E344" s="9" t="str">
        <f aca="false">IF(OR(A344="",B344="",C344=""),"",IF(D344="O",0,SUMIFS(Postes!$P$5:$P$124,Postes!$A$5:$A$124,A344,Postes!$B$5:$B$124,B344)))</f>
        <v/>
      </c>
    </row>
    <row r="345" customFormat="false" ht="15" hidden="false" customHeight="false" outlineLevel="0" collapsed="false">
      <c r="A345" s="16"/>
      <c r="B345" s="20"/>
      <c r="C345" s="20"/>
      <c r="D345" s="24"/>
      <c r="E345" s="9" t="str">
        <f aca="false">IF(OR(A345="",B345="",C345=""),"",IF(D345="O",0,SUMIFS(Postes!$P$5:$P$124,Postes!$A$5:$A$124,A345,Postes!$B$5:$B$124,B345)))</f>
        <v/>
      </c>
    </row>
    <row r="346" customFormat="false" ht="15" hidden="false" customHeight="false" outlineLevel="0" collapsed="false">
      <c r="A346" s="16"/>
      <c r="B346" s="20"/>
      <c r="C346" s="20"/>
      <c r="D346" s="24"/>
      <c r="E346" s="9" t="str">
        <f aca="false">IF(OR(A346="",B346="",C346=""),"",IF(D346="O",0,SUMIFS(Postes!$P$5:$P$124,Postes!$A$5:$A$124,A346,Postes!$B$5:$B$124,B346)))</f>
        <v/>
      </c>
    </row>
    <row r="347" customFormat="false" ht="15" hidden="false" customHeight="false" outlineLevel="0" collapsed="false">
      <c r="A347" s="16"/>
      <c r="B347" s="20"/>
      <c r="C347" s="20"/>
      <c r="D347" s="24"/>
      <c r="E347" s="9" t="str">
        <f aca="false">IF(OR(A347="",B347="",C347=""),"",IF(D347="O",0,SUMIFS(Postes!$P$5:$P$124,Postes!$A$5:$A$124,A347,Postes!$B$5:$B$124,B347)))</f>
        <v/>
      </c>
    </row>
    <row r="348" customFormat="false" ht="15" hidden="false" customHeight="false" outlineLevel="0" collapsed="false">
      <c r="A348" s="16"/>
      <c r="B348" s="20"/>
      <c r="C348" s="20"/>
      <c r="D348" s="24"/>
      <c r="E348" s="9" t="str">
        <f aca="false">IF(OR(A348="",B348="",C348=""),"",IF(D348="O",0,SUMIFS(Postes!$P$5:$P$124,Postes!$A$5:$A$124,A348,Postes!$B$5:$B$124,B348)))</f>
        <v/>
      </c>
    </row>
    <row r="349" customFormat="false" ht="15" hidden="false" customHeight="false" outlineLevel="0" collapsed="false">
      <c r="A349" s="16"/>
      <c r="B349" s="20"/>
      <c r="C349" s="20"/>
      <c r="D349" s="24"/>
      <c r="E349" s="9" t="str">
        <f aca="false">IF(OR(A349="",B349="",C349=""),"",IF(D349="O",0,SUMIFS(Postes!$P$5:$P$124,Postes!$A$5:$A$124,A349,Postes!$B$5:$B$124,B349)))</f>
        <v/>
      </c>
    </row>
    <row r="350" customFormat="false" ht="15" hidden="false" customHeight="false" outlineLevel="0" collapsed="false">
      <c r="A350" s="16"/>
      <c r="B350" s="20"/>
      <c r="C350" s="20"/>
      <c r="D350" s="24"/>
      <c r="E350" s="9" t="str">
        <f aca="false">IF(OR(A350="",B350="",C350=""),"",IF(D350="O",0,SUMIFS(Postes!$P$5:$P$124,Postes!$A$5:$A$124,A350,Postes!$B$5:$B$124,B350)))</f>
        <v/>
      </c>
    </row>
    <row r="351" customFormat="false" ht="15" hidden="false" customHeight="false" outlineLevel="0" collapsed="false">
      <c r="A351" s="16"/>
      <c r="B351" s="20"/>
      <c r="C351" s="20"/>
      <c r="D351" s="24"/>
      <c r="E351" s="9" t="str">
        <f aca="false">IF(OR(A351="",B351="",C351=""),"",IF(D351="O",0,SUMIFS(Postes!$P$5:$P$124,Postes!$A$5:$A$124,A351,Postes!$B$5:$B$124,B351)))</f>
        <v/>
      </c>
    </row>
    <row r="352" customFormat="false" ht="15" hidden="false" customHeight="false" outlineLevel="0" collapsed="false">
      <c r="A352" s="16"/>
      <c r="B352" s="20"/>
      <c r="C352" s="20"/>
      <c r="D352" s="24"/>
      <c r="E352" s="9" t="str">
        <f aca="false">IF(OR(A352="",B352="",C352=""),"",IF(D352="O",0,SUMIFS(Postes!$P$5:$P$124,Postes!$A$5:$A$124,A352,Postes!$B$5:$B$124,B352)))</f>
        <v/>
      </c>
    </row>
    <row r="353" customFormat="false" ht="15" hidden="false" customHeight="false" outlineLevel="0" collapsed="false">
      <c r="A353" s="16"/>
      <c r="B353" s="20"/>
      <c r="C353" s="20"/>
      <c r="D353" s="24"/>
      <c r="E353" s="9" t="str">
        <f aca="false">IF(OR(A353="",B353="",C353=""),"",IF(D353="O",0,SUMIFS(Postes!$P$5:$P$124,Postes!$A$5:$A$124,A353,Postes!$B$5:$B$124,B353)))</f>
        <v/>
      </c>
    </row>
    <row r="354" customFormat="false" ht="15" hidden="false" customHeight="false" outlineLevel="0" collapsed="false">
      <c r="A354" s="16"/>
      <c r="B354" s="20"/>
      <c r="C354" s="20"/>
      <c r="D354" s="24"/>
      <c r="E354" s="9" t="str">
        <f aca="false">IF(OR(A354="",B354="",C354=""),"",IF(D354="O",0,SUMIFS(Postes!$P$5:$P$124,Postes!$A$5:$A$124,A354,Postes!$B$5:$B$124,B354)))</f>
        <v/>
      </c>
    </row>
    <row r="355" customFormat="false" ht="15" hidden="false" customHeight="false" outlineLevel="0" collapsed="false">
      <c r="A355" s="16"/>
      <c r="B355" s="20"/>
      <c r="C355" s="20"/>
      <c r="D355" s="24"/>
      <c r="E355" s="9" t="str">
        <f aca="false">IF(OR(A355="",B355="",C355=""),"",IF(D355="O",0,SUMIFS(Postes!$P$5:$P$124,Postes!$A$5:$A$124,A355,Postes!$B$5:$B$124,B355)))</f>
        <v/>
      </c>
    </row>
    <row r="356" customFormat="false" ht="15" hidden="false" customHeight="false" outlineLevel="0" collapsed="false">
      <c r="A356" s="16"/>
      <c r="B356" s="20"/>
      <c r="C356" s="20"/>
      <c r="D356" s="24"/>
      <c r="E356" s="9" t="str">
        <f aca="false">IF(OR(A356="",B356="",C356=""),"",IF(D356="O",0,SUMIFS(Postes!$P$5:$P$124,Postes!$A$5:$A$124,A356,Postes!$B$5:$B$124,B356)))</f>
        <v/>
      </c>
    </row>
    <row r="357" customFormat="false" ht="15" hidden="false" customHeight="false" outlineLevel="0" collapsed="false">
      <c r="A357" s="16"/>
      <c r="B357" s="20"/>
      <c r="C357" s="20"/>
      <c r="D357" s="24"/>
      <c r="E357" s="9" t="str">
        <f aca="false">IF(OR(A357="",B357="",C357=""),"",IF(D357="O",0,SUMIFS(Postes!$P$5:$P$124,Postes!$A$5:$A$124,A357,Postes!$B$5:$B$124,B357)))</f>
        <v/>
      </c>
    </row>
    <row r="358" customFormat="false" ht="15" hidden="false" customHeight="false" outlineLevel="0" collapsed="false">
      <c r="A358" s="16"/>
      <c r="B358" s="20"/>
      <c r="C358" s="20"/>
      <c r="D358" s="24"/>
      <c r="E358" s="9" t="str">
        <f aca="false">IF(OR(A358="",B358="",C358=""),"",IF(D358="O",0,SUMIFS(Postes!$P$5:$P$124,Postes!$A$5:$A$124,A358,Postes!$B$5:$B$124,B358)))</f>
        <v/>
      </c>
    </row>
    <row r="359" customFormat="false" ht="15" hidden="false" customHeight="false" outlineLevel="0" collapsed="false">
      <c r="A359" s="16"/>
      <c r="B359" s="20"/>
      <c r="C359" s="20"/>
      <c r="D359" s="24"/>
      <c r="E359" s="9" t="str">
        <f aca="false">IF(OR(A359="",B359="",C359=""),"",IF(D359="O",0,SUMIFS(Postes!$P$5:$P$124,Postes!$A$5:$A$124,A359,Postes!$B$5:$B$124,B359)))</f>
        <v/>
      </c>
    </row>
    <row r="360" customFormat="false" ht="15" hidden="false" customHeight="false" outlineLevel="0" collapsed="false">
      <c r="A360" s="16"/>
      <c r="B360" s="20"/>
      <c r="C360" s="20"/>
      <c r="D360" s="24"/>
      <c r="E360" s="9" t="str">
        <f aca="false">IF(OR(A360="",B360="",C360=""),"",IF(D360="O",0,SUMIFS(Postes!$P$5:$P$124,Postes!$A$5:$A$124,A360,Postes!$B$5:$B$124,B360)))</f>
        <v/>
      </c>
    </row>
    <row r="361" customFormat="false" ht="15" hidden="false" customHeight="false" outlineLevel="0" collapsed="false">
      <c r="A361" s="16"/>
      <c r="B361" s="20"/>
      <c r="C361" s="20"/>
      <c r="D361" s="24"/>
      <c r="E361" s="9" t="str">
        <f aca="false">IF(OR(A361="",B361="",C361=""),"",IF(D361="O",0,SUMIFS(Postes!$P$5:$P$124,Postes!$A$5:$A$124,A361,Postes!$B$5:$B$124,B361)))</f>
        <v/>
      </c>
    </row>
    <row r="362" customFormat="false" ht="15" hidden="false" customHeight="false" outlineLevel="0" collapsed="false">
      <c r="A362" s="16"/>
      <c r="B362" s="20"/>
      <c r="C362" s="20"/>
      <c r="D362" s="24"/>
      <c r="E362" s="9" t="str">
        <f aca="false">IF(OR(A362="",B362="",C362=""),"",IF(D362="O",0,SUMIFS(Postes!$P$5:$P$124,Postes!$A$5:$A$124,A362,Postes!$B$5:$B$124,B362)))</f>
        <v/>
      </c>
    </row>
    <row r="363" customFormat="false" ht="15" hidden="false" customHeight="false" outlineLevel="0" collapsed="false">
      <c r="A363" s="16"/>
      <c r="B363" s="20"/>
      <c r="C363" s="20"/>
      <c r="D363" s="24"/>
      <c r="E363" s="9" t="str">
        <f aca="false">IF(OR(A363="",B363="",C363=""),"",IF(D363="O",0,SUMIFS(Postes!$P$5:$P$124,Postes!$A$5:$A$124,A363,Postes!$B$5:$B$124,B363)))</f>
        <v/>
      </c>
    </row>
    <row r="364" customFormat="false" ht="15" hidden="false" customHeight="false" outlineLevel="0" collapsed="false">
      <c r="A364" s="16"/>
      <c r="B364" s="20"/>
      <c r="C364" s="20"/>
      <c r="D364" s="24"/>
      <c r="E364" s="9" t="str">
        <f aca="false">IF(OR(A364="",B364="",C364=""),"",IF(D364="O",0,SUMIFS(Postes!$P$5:$P$124,Postes!$A$5:$A$124,A364,Postes!$B$5:$B$124,B364)))</f>
        <v/>
      </c>
    </row>
    <row r="365" customFormat="false" ht="15" hidden="false" customHeight="false" outlineLevel="0" collapsed="false">
      <c r="A365" s="16"/>
      <c r="B365" s="20"/>
      <c r="C365" s="20"/>
      <c r="D365" s="24"/>
      <c r="E365" s="9" t="str">
        <f aca="false">IF(OR(A365="",B365="",C365=""),"",IF(D365="O",0,SUMIFS(Postes!$P$5:$P$124,Postes!$A$5:$A$124,A365,Postes!$B$5:$B$124,B365)))</f>
        <v/>
      </c>
    </row>
    <row r="366" customFormat="false" ht="15" hidden="false" customHeight="false" outlineLevel="0" collapsed="false">
      <c r="A366" s="16"/>
      <c r="B366" s="20"/>
      <c r="C366" s="20"/>
      <c r="D366" s="24"/>
      <c r="E366" s="9" t="str">
        <f aca="false">IF(OR(A366="",B366="",C366=""),"",IF(D366="O",0,SUMIFS(Postes!$P$5:$P$124,Postes!$A$5:$A$124,A366,Postes!$B$5:$B$124,B366)))</f>
        <v/>
      </c>
    </row>
    <row r="367" customFormat="false" ht="15" hidden="false" customHeight="false" outlineLevel="0" collapsed="false">
      <c r="A367" s="16"/>
      <c r="B367" s="20"/>
      <c r="C367" s="20"/>
      <c r="D367" s="24"/>
      <c r="E367" s="9" t="str">
        <f aca="false">IF(OR(A367="",B367="",C367=""),"",IF(D367="O",0,SUMIFS(Postes!$P$5:$P$124,Postes!$A$5:$A$124,A367,Postes!$B$5:$B$124,B367)))</f>
        <v/>
      </c>
    </row>
    <row r="368" customFormat="false" ht="15" hidden="false" customHeight="false" outlineLevel="0" collapsed="false">
      <c r="A368" s="16"/>
      <c r="B368" s="20"/>
      <c r="C368" s="20"/>
      <c r="D368" s="24"/>
      <c r="E368" s="9" t="str">
        <f aca="false">IF(OR(A368="",B368="",C368=""),"",IF(D368="O",0,SUMIFS(Postes!$P$5:$P$124,Postes!$A$5:$A$124,A368,Postes!$B$5:$B$124,B368)))</f>
        <v/>
      </c>
    </row>
    <row r="369" customFormat="false" ht="15" hidden="false" customHeight="false" outlineLevel="0" collapsed="false">
      <c r="A369" s="16"/>
      <c r="B369" s="20"/>
      <c r="C369" s="20"/>
      <c r="D369" s="24"/>
      <c r="E369" s="9" t="str">
        <f aca="false">IF(OR(A369="",B369="",C369=""),"",IF(D369="O",0,SUMIFS(Postes!$P$5:$P$124,Postes!$A$5:$A$124,A369,Postes!$B$5:$B$124,B369)))</f>
        <v/>
      </c>
    </row>
    <row r="370" customFormat="false" ht="15" hidden="false" customHeight="false" outlineLevel="0" collapsed="false">
      <c r="A370" s="16"/>
      <c r="B370" s="20"/>
      <c r="C370" s="20"/>
      <c r="D370" s="24"/>
      <c r="E370" s="9" t="str">
        <f aca="false">IF(OR(A370="",B370="",C370=""),"",IF(D370="O",0,SUMIFS(Postes!$P$5:$P$124,Postes!$A$5:$A$124,A370,Postes!$B$5:$B$124,B370)))</f>
        <v/>
      </c>
    </row>
    <row r="371" customFormat="false" ht="15" hidden="false" customHeight="false" outlineLevel="0" collapsed="false">
      <c r="A371" s="16"/>
      <c r="B371" s="20"/>
      <c r="C371" s="20"/>
      <c r="D371" s="24"/>
      <c r="E371" s="9" t="str">
        <f aca="false">IF(OR(A371="",B371="",C371=""),"",IF(D371="O",0,SUMIFS(Postes!$P$5:$P$124,Postes!$A$5:$A$124,A371,Postes!$B$5:$B$124,B371)))</f>
        <v/>
      </c>
    </row>
    <row r="372" customFormat="false" ht="15" hidden="false" customHeight="false" outlineLevel="0" collapsed="false">
      <c r="A372" s="16"/>
      <c r="B372" s="20"/>
      <c r="C372" s="20"/>
      <c r="D372" s="24"/>
      <c r="E372" s="9" t="str">
        <f aca="false">IF(OR(A372="",B372="",C372=""),"",IF(D372="O",0,SUMIFS(Postes!$P$5:$P$124,Postes!$A$5:$A$124,A372,Postes!$B$5:$B$124,B372)))</f>
        <v/>
      </c>
    </row>
    <row r="373" customFormat="false" ht="15" hidden="false" customHeight="false" outlineLevel="0" collapsed="false">
      <c r="A373" s="16"/>
      <c r="B373" s="20"/>
      <c r="C373" s="20"/>
      <c r="D373" s="24"/>
      <c r="E373" s="9" t="str">
        <f aca="false">IF(OR(A373="",B373="",C373=""),"",IF(D373="O",0,SUMIFS(Postes!$P$5:$P$124,Postes!$A$5:$A$124,A373,Postes!$B$5:$B$124,B373)))</f>
        <v/>
      </c>
    </row>
    <row r="374" customFormat="false" ht="15" hidden="false" customHeight="false" outlineLevel="0" collapsed="false">
      <c r="A374" s="16"/>
      <c r="B374" s="20"/>
      <c r="C374" s="20"/>
      <c r="D374" s="24"/>
      <c r="E374" s="9" t="str">
        <f aca="false">IF(OR(A374="",B374="",C374=""),"",IF(D374="O",0,SUMIFS(Postes!$P$5:$P$124,Postes!$A$5:$A$124,A374,Postes!$B$5:$B$124,B374)))</f>
        <v/>
      </c>
    </row>
    <row r="375" customFormat="false" ht="15" hidden="false" customHeight="false" outlineLevel="0" collapsed="false">
      <c r="A375" s="16"/>
      <c r="B375" s="20"/>
      <c r="C375" s="20"/>
      <c r="D375" s="24"/>
      <c r="E375" s="9" t="str">
        <f aca="false">IF(OR(A375="",B375="",C375=""),"",IF(D375="O",0,SUMIFS(Postes!$P$5:$P$124,Postes!$A$5:$A$124,A375,Postes!$B$5:$B$124,B375)))</f>
        <v/>
      </c>
    </row>
    <row r="376" customFormat="false" ht="15" hidden="false" customHeight="false" outlineLevel="0" collapsed="false">
      <c r="A376" s="16"/>
      <c r="B376" s="20"/>
      <c r="C376" s="20"/>
      <c r="D376" s="24"/>
      <c r="E376" s="9" t="str">
        <f aca="false">IF(OR(A376="",B376="",C376=""),"",IF(D376="O",0,SUMIFS(Postes!$P$5:$P$124,Postes!$A$5:$A$124,A376,Postes!$B$5:$B$124,B376)))</f>
        <v/>
      </c>
    </row>
    <row r="377" customFormat="false" ht="15" hidden="false" customHeight="false" outlineLevel="0" collapsed="false">
      <c r="A377" s="16"/>
      <c r="B377" s="20"/>
      <c r="C377" s="20"/>
      <c r="D377" s="24"/>
      <c r="E377" s="9" t="str">
        <f aca="false">IF(OR(A377="",B377="",C377=""),"",IF(D377="O",0,SUMIFS(Postes!$P$5:$P$124,Postes!$A$5:$A$124,A377,Postes!$B$5:$B$124,B377)))</f>
        <v/>
      </c>
    </row>
    <row r="378" customFormat="false" ht="15" hidden="false" customHeight="false" outlineLevel="0" collapsed="false">
      <c r="A378" s="16"/>
      <c r="B378" s="20"/>
      <c r="C378" s="20"/>
      <c r="D378" s="24"/>
      <c r="E378" s="9" t="str">
        <f aca="false">IF(OR(A378="",B378="",C378=""),"",IF(D378="O",0,SUMIFS(Postes!$P$5:$P$124,Postes!$A$5:$A$124,A378,Postes!$B$5:$B$124,B378)))</f>
        <v/>
      </c>
    </row>
    <row r="379" customFormat="false" ht="15" hidden="false" customHeight="false" outlineLevel="0" collapsed="false">
      <c r="A379" s="16"/>
      <c r="B379" s="20"/>
      <c r="C379" s="20"/>
      <c r="D379" s="24"/>
      <c r="E379" s="9" t="str">
        <f aca="false">IF(OR(A379="",B379="",C379=""),"",IF(D379="O",0,SUMIFS(Postes!$P$5:$P$124,Postes!$A$5:$A$124,A379,Postes!$B$5:$B$124,B379)))</f>
        <v/>
      </c>
    </row>
    <row r="380" customFormat="false" ht="15" hidden="false" customHeight="false" outlineLevel="0" collapsed="false">
      <c r="A380" s="16"/>
      <c r="B380" s="20"/>
      <c r="C380" s="20"/>
      <c r="D380" s="24"/>
      <c r="E380" s="9" t="str">
        <f aca="false">IF(OR(A380="",B380="",C380=""),"",IF(D380="O",0,SUMIFS(Postes!$P$5:$P$124,Postes!$A$5:$A$124,A380,Postes!$B$5:$B$124,B380)))</f>
        <v/>
      </c>
    </row>
    <row r="381" customFormat="false" ht="15" hidden="false" customHeight="false" outlineLevel="0" collapsed="false">
      <c r="A381" s="16"/>
      <c r="B381" s="20"/>
      <c r="C381" s="20"/>
      <c r="D381" s="24"/>
      <c r="E381" s="9" t="str">
        <f aca="false">IF(OR(A381="",B381="",C381=""),"",IF(D381="O",0,SUMIFS(Postes!$P$5:$P$124,Postes!$A$5:$A$124,A381,Postes!$B$5:$B$124,B381)))</f>
        <v/>
      </c>
    </row>
    <row r="382" customFormat="false" ht="15" hidden="false" customHeight="false" outlineLevel="0" collapsed="false">
      <c r="A382" s="16"/>
      <c r="B382" s="20"/>
      <c r="C382" s="20"/>
      <c r="D382" s="24"/>
      <c r="E382" s="9" t="str">
        <f aca="false">IF(OR(A382="",B382="",C382=""),"",IF(D382="O",0,SUMIFS(Postes!$P$5:$P$124,Postes!$A$5:$A$124,A382,Postes!$B$5:$B$124,B382)))</f>
        <v/>
      </c>
    </row>
    <row r="383" customFormat="false" ht="15" hidden="false" customHeight="false" outlineLevel="0" collapsed="false">
      <c r="A383" s="16"/>
      <c r="B383" s="20"/>
      <c r="C383" s="20"/>
      <c r="D383" s="24"/>
      <c r="E383" s="9" t="str">
        <f aca="false">IF(OR(A383="",B383="",C383=""),"",IF(D383="O",0,SUMIFS(Postes!$P$5:$P$124,Postes!$A$5:$A$124,A383,Postes!$B$5:$B$124,B383)))</f>
        <v/>
      </c>
    </row>
    <row r="384" customFormat="false" ht="15" hidden="false" customHeight="false" outlineLevel="0" collapsed="false">
      <c r="A384" s="16"/>
      <c r="B384" s="20"/>
      <c r="C384" s="20"/>
      <c r="D384" s="24"/>
      <c r="E384" s="9" t="str">
        <f aca="false">IF(OR(A384="",B384="",C384=""),"",IF(D384="O",0,SUMIFS(Postes!$P$5:$P$124,Postes!$A$5:$A$124,A384,Postes!$B$5:$B$124,B384)))</f>
        <v/>
      </c>
    </row>
    <row r="385" customFormat="false" ht="15" hidden="false" customHeight="false" outlineLevel="0" collapsed="false">
      <c r="A385" s="16"/>
      <c r="B385" s="20"/>
      <c r="C385" s="20"/>
      <c r="D385" s="24"/>
      <c r="E385" s="9" t="str">
        <f aca="false">IF(OR(A385="",B385="",C385=""),"",IF(D385="O",0,SUMIFS(Postes!$P$5:$P$124,Postes!$A$5:$A$124,A385,Postes!$B$5:$B$124,B385)))</f>
        <v/>
      </c>
    </row>
    <row r="386" customFormat="false" ht="15" hidden="false" customHeight="false" outlineLevel="0" collapsed="false">
      <c r="A386" s="16"/>
      <c r="B386" s="20"/>
      <c r="C386" s="20"/>
      <c r="D386" s="24"/>
      <c r="E386" s="9" t="str">
        <f aca="false">IF(OR(A386="",B386="",C386=""),"",IF(D386="O",0,SUMIFS(Postes!$P$5:$P$124,Postes!$A$5:$A$124,A386,Postes!$B$5:$B$124,B386)))</f>
        <v/>
      </c>
    </row>
    <row r="387" customFormat="false" ht="15" hidden="false" customHeight="false" outlineLevel="0" collapsed="false">
      <c r="A387" s="16"/>
      <c r="B387" s="20"/>
      <c r="C387" s="20"/>
      <c r="D387" s="24"/>
      <c r="E387" s="9" t="str">
        <f aca="false">IF(OR(A387="",B387="",C387=""),"",IF(D387="O",0,SUMIFS(Postes!$P$5:$P$124,Postes!$A$5:$A$124,A387,Postes!$B$5:$B$124,B387)))</f>
        <v/>
      </c>
    </row>
    <row r="388" customFormat="false" ht="15" hidden="false" customHeight="false" outlineLevel="0" collapsed="false">
      <c r="A388" s="16"/>
      <c r="B388" s="20"/>
      <c r="C388" s="20"/>
      <c r="D388" s="24"/>
      <c r="E388" s="9" t="str">
        <f aca="false">IF(OR(A388="",B388="",C388=""),"",IF(D388="O",0,SUMIFS(Postes!$P$5:$P$124,Postes!$A$5:$A$124,A388,Postes!$B$5:$B$124,B388)))</f>
        <v/>
      </c>
    </row>
    <row r="389" customFormat="false" ht="15" hidden="false" customHeight="false" outlineLevel="0" collapsed="false">
      <c r="A389" s="16"/>
      <c r="B389" s="20"/>
      <c r="C389" s="20"/>
      <c r="D389" s="24"/>
      <c r="E389" s="9" t="str">
        <f aca="false">IF(OR(A389="",B389="",C389=""),"",IF(D389="O",0,SUMIFS(Postes!$P$5:$P$124,Postes!$A$5:$A$124,A389,Postes!$B$5:$B$124,B389)))</f>
        <v/>
      </c>
    </row>
    <row r="390" customFormat="false" ht="15" hidden="false" customHeight="false" outlineLevel="0" collapsed="false">
      <c r="A390" s="16"/>
      <c r="B390" s="20"/>
      <c r="C390" s="20"/>
      <c r="D390" s="24"/>
      <c r="E390" s="9" t="str">
        <f aca="false">IF(OR(A390="",B390="",C390=""),"",IF(D390="O",0,SUMIFS(Postes!$P$5:$P$124,Postes!$A$5:$A$124,A390,Postes!$B$5:$B$124,B390)))</f>
        <v/>
      </c>
    </row>
    <row r="391" customFormat="false" ht="15" hidden="false" customHeight="false" outlineLevel="0" collapsed="false">
      <c r="A391" s="16"/>
      <c r="B391" s="20"/>
      <c r="C391" s="20"/>
      <c r="D391" s="24"/>
      <c r="E391" s="9" t="str">
        <f aca="false">IF(OR(A391="",B391="",C391=""),"",IF(D391="O",0,SUMIFS(Postes!$P$5:$P$124,Postes!$A$5:$A$124,A391,Postes!$B$5:$B$124,B391)))</f>
        <v/>
      </c>
    </row>
    <row r="392" customFormat="false" ht="15" hidden="false" customHeight="false" outlineLevel="0" collapsed="false">
      <c r="A392" s="16"/>
      <c r="B392" s="20"/>
      <c r="C392" s="20"/>
      <c r="D392" s="24"/>
      <c r="E392" s="9" t="str">
        <f aca="false">IF(OR(A392="",B392="",C392=""),"",IF(D392="O",0,SUMIFS(Postes!$P$5:$P$124,Postes!$A$5:$A$124,A392,Postes!$B$5:$B$124,B392)))</f>
        <v/>
      </c>
    </row>
    <row r="393" customFormat="false" ht="15" hidden="false" customHeight="false" outlineLevel="0" collapsed="false">
      <c r="A393" s="16"/>
      <c r="B393" s="20"/>
      <c r="C393" s="20"/>
      <c r="D393" s="24"/>
      <c r="E393" s="9" t="str">
        <f aca="false">IF(OR(A393="",B393="",C393=""),"",IF(D393="O",0,SUMIFS(Postes!$P$5:$P$124,Postes!$A$5:$A$124,A393,Postes!$B$5:$B$124,B393)))</f>
        <v/>
      </c>
    </row>
    <row r="394" customFormat="false" ht="15" hidden="false" customHeight="false" outlineLevel="0" collapsed="false">
      <c r="A394" s="16"/>
      <c r="B394" s="20"/>
      <c r="C394" s="20"/>
      <c r="D394" s="24"/>
      <c r="E394" s="9" t="str">
        <f aca="false">IF(OR(A394="",B394="",C394=""),"",IF(D394="O",0,SUMIFS(Postes!$P$5:$P$124,Postes!$A$5:$A$124,A394,Postes!$B$5:$B$124,B394)))</f>
        <v/>
      </c>
    </row>
    <row r="395" customFormat="false" ht="15" hidden="false" customHeight="false" outlineLevel="0" collapsed="false">
      <c r="A395" s="16"/>
      <c r="B395" s="20"/>
      <c r="C395" s="20"/>
      <c r="D395" s="24"/>
      <c r="E395" s="9" t="str">
        <f aca="false">IF(OR(A395="",B395="",C395=""),"",IF(D395="O",0,SUMIFS(Postes!$P$5:$P$124,Postes!$A$5:$A$124,A395,Postes!$B$5:$B$124,B395)))</f>
        <v/>
      </c>
    </row>
    <row r="396" customFormat="false" ht="15" hidden="false" customHeight="false" outlineLevel="0" collapsed="false">
      <c r="A396" s="16"/>
      <c r="B396" s="20"/>
      <c r="C396" s="20"/>
      <c r="D396" s="24"/>
      <c r="E396" s="9" t="str">
        <f aca="false">IF(OR(A396="",B396="",C396=""),"",IF(D396="O",0,SUMIFS(Postes!$P$5:$P$124,Postes!$A$5:$A$124,A396,Postes!$B$5:$B$124,B396)))</f>
        <v/>
      </c>
    </row>
    <row r="397" customFormat="false" ht="15" hidden="false" customHeight="false" outlineLevel="0" collapsed="false">
      <c r="A397" s="16"/>
      <c r="B397" s="20"/>
      <c r="C397" s="20"/>
      <c r="D397" s="24"/>
      <c r="E397" s="9" t="str">
        <f aca="false">IF(OR(A397="",B397="",C397=""),"",IF(D397="O",0,SUMIFS(Postes!$P$5:$P$124,Postes!$A$5:$A$124,A397,Postes!$B$5:$B$124,B397)))</f>
        <v/>
      </c>
    </row>
    <row r="398" customFormat="false" ht="15" hidden="false" customHeight="false" outlineLevel="0" collapsed="false">
      <c r="A398" s="16"/>
      <c r="B398" s="20"/>
      <c r="C398" s="20"/>
      <c r="D398" s="24"/>
      <c r="E398" s="9" t="str">
        <f aca="false">IF(OR(A398="",B398="",C398=""),"",IF(D398="O",0,SUMIFS(Postes!$P$5:$P$124,Postes!$A$5:$A$124,A398,Postes!$B$5:$B$124,B398)))</f>
        <v/>
      </c>
    </row>
    <row r="399" customFormat="false" ht="15" hidden="false" customHeight="false" outlineLevel="0" collapsed="false">
      <c r="A399" s="16"/>
      <c r="B399" s="20"/>
      <c r="C399" s="20"/>
      <c r="D399" s="24"/>
      <c r="E399" s="9" t="str">
        <f aca="false">IF(OR(A399="",B399="",C399=""),"",IF(D399="O",0,SUMIFS(Postes!$P$5:$P$124,Postes!$A$5:$A$124,A399,Postes!$B$5:$B$124,B399)))</f>
        <v/>
      </c>
    </row>
    <row r="400" customFormat="false" ht="15" hidden="false" customHeight="false" outlineLevel="0" collapsed="false">
      <c r="A400" s="16"/>
      <c r="B400" s="20"/>
      <c r="C400" s="20"/>
      <c r="D400" s="24"/>
      <c r="E400" s="9" t="str">
        <f aca="false">IF(OR(A400="",B400="",C400=""),"",IF(D400="O",0,SUMIFS(Postes!$P$5:$P$124,Postes!$A$5:$A$124,A400,Postes!$B$5:$B$124,B400)))</f>
        <v/>
      </c>
    </row>
    <row r="401" customFormat="false" ht="15" hidden="false" customHeight="false" outlineLevel="0" collapsed="false">
      <c r="A401" s="16"/>
      <c r="B401" s="20"/>
      <c r="C401" s="20"/>
      <c r="D401" s="24"/>
      <c r="E401" s="9" t="str">
        <f aca="false">IF(OR(A401="",B401="",C401=""),"",IF(D401="O",0,SUMIFS(Postes!$P$5:$P$124,Postes!$A$5:$A$124,A401,Postes!$B$5:$B$124,B401)))</f>
        <v/>
      </c>
    </row>
    <row r="402" customFormat="false" ht="15" hidden="false" customHeight="false" outlineLevel="0" collapsed="false">
      <c r="A402" s="16"/>
      <c r="B402" s="20"/>
      <c r="C402" s="20"/>
      <c r="D402" s="24"/>
      <c r="E402" s="9" t="str">
        <f aca="false">IF(OR(A402="",B402="",C402=""),"",IF(D402="O",0,SUMIFS(Postes!$P$5:$P$124,Postes!$A$5:$A$124,A402,Postes!$B$5:$B$124,B402)))</f>
        <v/>
      </c>
    </row>
    <row r="403" customFormat="false" ht="15" hidden="false" customHeight="false" outlineLevel="0" collapsed="false">
      <c r="A403" s="16"/>
      <c r="B403" s="20"/>
      <c r="C403" s="20"/>
      <c r="D403" s="24"/>
      <c r="E403" s="9" t="str">
        <f aca="false">IF(OR(A403="",B403="",C403=""),"",IF(D403="O",0,SUMIFS(Postes!$P$5:$P$124,Postes!$A$5:$A$124,A403,Postes!$B$5:$B$124,B403)))</f>
        <v/>
      </c>
    </row>
    <row r="404" customFormat="false" ht="15" hidden="false" customHeight="false" outlineLevel="0" collapsed="false">
      <c r="A404" s="16"/>
      <c r="B404" s="20"/>
      <c r="C404" s="20"/>
      <c r="D404" s="24"/>
      <c r="E404" s="9" t="str">
        <f aca="false">IF(OR(A404="",B404="",C404=""),"",IF(D404="O",0,SUMIFS(Postes!$P$5:$P$124,Postes!$A$5:$A$124,A404,Postes!$B$5:$B$124,B404)))</f>
        <v/>
      </c>
    </row>
    <row r="405" customFormat="false" ht="15" hidden="false" customHeight="false" outlineLevel="0" collapsed="false">
      <c r="A405" s="16"/>
      <c r="B405" s="20"/>
      <c r="C405" s="20"/>
      <c r="D405" s="24"/>
      <c r="E405" s="9" t="str">
        <f aca="false">IF(OR(A405="",B405="",C405=""),"",IF(D405="O",0,SUMIFS(Postes!$P$5:$P$124,Postes!$A$5:$A$124,A405,Postes!$B$5:$B$124,B405)))</f>
        <v/>
      </c>
    </row>
    <row r="406" customFormat="false" ht="15" hidden="false" customHeight="false" outlineLevel="0" collapsed="false">
      <c r="A406" s="16"/>
      <c r="B406" s="20"/>
      <c r="C406" s="20"/>
      <c r="D406" s="24"/>
      <c r="E406" s="9" t="str">
        <f aca="false">IF(OR(A406="",B406="",C406=""),"",IF(D406="O",0,SUMIFS(Postes!$P$5:$P$124,Postes!$A$5:$A$124,A406,Postes!$B$5:$B$124,B406)))</f>
        <v/>
      </c>
    </row>
    <row r="407" customFormat="false" ht="15" hidden="false" customHeight="false" outlineLevel="0" collapsed="false">
      <c r="A407" s="16"/>
      <c r="B407" s="20"/>
      <c r="C407" s="20"/>
      <c r="D407" s="24"/>
      <c r="E407" s="9" t="str">
        <f aca="false">IF(OR(A407="",B407="",C407=""),"",IF(D407="O",0,SUMIFS(Postes!$P$5:$P$124,Postes!$A$5:$A$124,A407,Postes!$B$5:$B$124,B407)))</f>
        <v/>
      </c>
    </row>
    <row r="408" customFormat="false" ht="15" hidden="false" customHeight="false" outlineLevel="0" collapsed="false">
      <c r="A408" s="16"/>
      <c r="B408" s="20"/>
      <c r="C408" s="20"/>
      <c r="D408" s="24"/>
      <c r="E408" s="9" t="str">
        <f aca="false">IF(OR(A408="",B408="",C408=""),"",IF(D408="O",0,SUMIFS(Postes!$P$5:$P$124,Postes!$A$5:$A$124,A408,Postes!$B$5:$B$124,B408)))</f>
        <v/>
      </c>
    </row>
    <row r="409" customFormat="false" ht="15" hidden="false" customHeight="false" outlineLevel="0" collapsed="false">
      <c r="A409" s="16"/>
      <c r="B409" s="20"/>
      <c r="C409" s="20"/>
      <c r="D409" s="24"/>
      <c r="E409" s="9" t="str">
        <f aca="false">IF(OR(A409="",B409="",C409=""),"",IF(D409="O",0,SUMIFS(Postes!$P$5:$P$124,Postes!$A$5:$A$124,A409,Postes!$B$5:$B$124,B409)))</f>
        <v/>
      </c>
    </row>
    <row r="410" customFormat="false" ht="15" hidden="false" customHeight="false" outlineLevel="0" collapsed="false">
      <c r="A410" s="16"/>
      <c r="B410" s="20"/>
      <c r="C410" s="20"/>
      <c r="D410" s="24"/>
      <c r="E410" s="9" t="str">
        <f aca="false">IF(OR(A410="",B410="",C410=""),"",IF(D410="O",0,SUMIFS(Postes!$P$5:$P$124,Postes!$A$5:$A$124,A410,Postes!$B$5:$B$124,B410)))</f>
        <v/>
      </c>
    </row>
    <row r="411" customFormat="false" ht="15" hidden="false" customHeight="false" outlineLevel="0" collapsed="false">
      <c r="A411" s="16"/>
      <c r="B411" s="20"/>
      <c r="C411" s="20"/>
      <c r="D411" s="24"/>
      <c r="E411" s="9" t="str">
        <f aca="false">IF(OR(A411="",B411="",C411=""),"",IF(D411="O",0,SUMIFS(Postes!$P$5:$P$124,Postes!$A$5:$A$124,A411,Postes!$B$5:$B$124,B411)))</f>
        <v/>
      </c>
    </row>
    <row r="412" customFormat="false" ht="15" hidden="false" customHeight="false" outlineLevel="0" collapsed="false">
      <c r="A412" s="16"/>
      <c r="B412" s="20"/>
      <c r="C412" s="20"/>
      <c r="D412" s="24"/>
      <c r="E412" s="9" t="str">
        <f aca="false">IF(OR(A412="",B412="",C412=""),"",IF(D412="O",0,SUMIFS(Postes!$P$5:$P$124,Postes!$A$5:$A$124,A412,Postes!$B$5:$B$124,B412)))</f>
        <v/>
      </c>
    </row>
    <row r="413" customFormat="false" ht="15" hidden="false" customHeight="false" outlineLevel="0" collapsed="false">
      <c r="A413" s="16"/>
      <c r="B413" s="20"/>
      <c r="C413" s="20"/>
      <c r="D413" s="24"/>
      <c r="E413" s="9" t="str">
        <f aca="false">IF(OR(A413="",B413="",C413=""),"",IF(D413="O",0,SUMIFS(Postes!$P$5:$P$124,Postes!$A$5:$A$124,A413,Postes!$B$5:$B$124,B413)))</f>
        <v/>
      </c>
    </row>
    <row r="414" customFormat="false" ht="15" hidden="false" customHeight="false" outlineLevel="0" collapsed="false">
      <c r="A414" s="16"/>
      <c r="B414" s="20"/>
      <c r="C414" s="20"/>
      <c r="D414" s="24"/>
      <c r="E414" s="9" t="str">
        <f aca="false">IF(OR(A414="",B414="",C414=""),"",IF(D414="O",0,SUMIFS(Postes!$P$5:$P$124,Postes!$A$5:$A$124,A414,Postes!$B$5:$B$124,B414)))</f>
        <v/>
      </c>
    </row>
    <row r="415" customFormat="false" ht="15" hidden="false" customHeight="false" outlineLevel="0" collapsed="false">
      <c r="A415" s="16"/>
      <c r="B415" s="20"/>
      <c r="C415" s="20"/>
      <c r="D415" s="24"/>
      <c r="E415" s="9" t="str">
        <f aca="false">IF(OR(A415="",B415="",C415=""),"",IF(D415="O",0,SUMIFS(Postes!$P$5:$P$124,Postes!$A$5:$A$124,A415,Postes!$B$5:$B$124,B415)))</f>
        <v/>
      </c>
    </row>
    <row r="416" customFormat="false" ht="15" hidden="false" customHeight="false" outlineLevel="0" collapsed="false">
      <c r="A416" s="16"/>
      <c r="B416" s="20"/>
      <c r="C416" s="20"/>
      <c r="D416" s="24"/>
      <c r="E416" s="9" t="str">
        <f aca="false">IF(OR(A416="",B416="",C416=""),"",IF(D416="O",0,SUMIFS(Postes!$P$5:$P$124,Postes!$A$5:$A$124,A416,Postes!$B$5:$B$124,B416)))</f>
        <v/>
      </c>
    </row>
    <row r="417" customFormat="false" ht="15" hidden="false" customHeight="false" outlineLevel="0" collapsed="false">
      <c r="A417" s="16"/>
      <c r="B417" s="20"/>
      <c r="C417" s="20"/>
      <c r="D417" s="24"/>
      <c r="E417" s="9" t="str">
        <f aca="false">IF(OR(A417="",B417="",C417=""),"",IF(D417="O",0,SUMIFS(Postes!$P$5:$P$124,Postes!$A$5:$A$124,A417,Postes!$B$5:$B$124,B417)))</f>
        <v/>
      </c>
    </row>
    <row r="418" customFormat="false" ht="15" hidden="false" customHeight="false" outlineLevel="0" collapsed="false">
      <c r="A418" s="16"/>
      <c r="B418" s="20"/>
      <c r="C418" s="20"/>
      <c r="D418" s="24"/>
      <c r="E418" s="9" t="str">
        <f aca="false">IF(OR(A418="",B418="",C418=""),"",IF(D418="O",0,SUMIFS(Postes!$P$5:$P$124,Postes!$A$5:$A$124,A418,Postes!$B$5:$B$124,B418)))</f>
        <v/>
      </c>
    </row>
    <row r="419" customFormat="false" ht="15" hidden="false" customHeight="false" outlineLevel="0" collapsed="false">
      <c r="A419" s="16"/>
      <c r="B419" s="20"/>
      <c r="C419" s="20"/>
      <c r="D419" s="24"/>
      <c r="E419" s="9" t="str">
        <f aca="false">IF(OR(A419="",B419="",C419=""),"",IF(D419="O",0,SUMIFS(Postes!$P$5:$P$124,Postes!$A$5:$A$124,A419,Postes!$B$5:$B$124,B419)))</f>
        <v/>
      </c>
    </row>
    <row r="420" customFormat="false" ht="15" hidden="false" customHeight="false" outlineLevel="0" collapsed="false">
      <c r="A420" s="16"/>
      <c r="B420" s="20"/>
      <c r="C420" s="20"/>
      <c r="D420" s="24"/>
      <c r="E420" s="9" t="str">
        <f aca="false">IF(OR(A420="",B420="",C420=""),"",IF(D420="O",0,SUMIFS(Postes!$P$5:$P$124,Postes!$A$5:$A$124,A420,Postes!$B$5:$B$124,B420)))</f>
        <v/>
      </c>
    </row>
    <row r="421" customFormat="false" ht="15" hidden="false" customHeight="false" outlineLevel="0" collapsed="false">
      <c r="A421" s="16"/>
      <c r="B421" s="20"/>
      <c r="C421" s="20"/>
      <c r="D421" s="24"/>
      <c r="E421" s="9" t="str">
        <f aca="false">IF(OR(A421="",B421="",C421=""),"",IF(D421="O",0,SUMIFS(Postes!$P$5:$P$124,Postes!$A$5:$A$124,A421,Postes!$B$5:$B$124,B421)))</f>
        <v/>
      </c>
    </row>
    <row r="422" customFormat="false" ht="15" hidden="false" customHeight="false" outlineLevel="0" collapsed="false">
      <c r="A422" s="16"/>
      <c r="B422" s="20"/>
      <c r="C422" s="20"/>
      <c r="D422" s="24"/>
      <c r="E422" s="9" t="str">
        <f aca="false">IF(OR(A422="",B422="",C422=""),"",IF(D422="O",0,SUMIFS(Postes!$P$5:$P$124,Postes!$A$5:$A$124,A422,Postes!$B$5:$B$124,B422)))</f>
        <v/>
      </c>
    </row>
    <row r="423" customFormat="false" ht="15" hidden="false" customHeight="false" outlineLevel="0" collapsed="false">
      <c r="A423" s="16"/>
      <c r="B423" s="20"/>
      <c r="C423" s="20"/>
      <c r="D423" s="24"/>
      <c r="E423" s="9" t="str">
        <f aca="false">IF(OR(A423="",B423="",C423=""),"",IF(D423="O",0,SUMIFS(Postes!$P$5:$P$124,Postes!$A$5:$A$124,A423,Postes!$B$5:$B$124,B423)))</f>
        <v/>
      </c>
    </row>
    <row r="424" customFormat="false" ht="15" hidden="false" customHeight="false" outlineLevel="0" collapsed="false">
      <c r="A424" s="16"/>
      <c r="B424" s="20"/>
      <c r="C424" s="20"/>
      <c r="D424" s="24"/>
      <c r="E424" s="9" t="str">
        <f aca="false">IF(OR(A424="",B424="",C424=""),"",IF(D424="O",0,SUMIFS(Postes!$P$5:$P$124,Postes!$A$5:$A$124,A424,Postes!$B$5:$B$124,B424)))</f>
        <v/>
      </c>
    </row>
    <row r="425" customFormat="false" ht="15" hidden="false" customHeight="false" outlineLevel="0" collapsed="false">
      <c r="A425" s="16"/>
      <c r="B425" s="20"/>
      <c r="C425" s="20"/>
      <c r="D425" s="24"/>
      <c r="E425" s="9" t="str">
        <f aca="false">IF(OR(A425="",B425="",C425=""),"",IF(D425="O",0,SUMIFS(Postes!$P$5:$P$124,Postes!$A$5:$A$124,A425,Postes!$B$5:$B$124,B425)))</f>
        <v/>
      </c>
    </row>
    <row r="426" customFormat="false" ht="15" hidden="false" customHeight="false" outlineLevel="0" collapsed="false">
      <c r="A426" s="16"/>
      <c r="B426" s="20"/>
      <c r="C426" s="20"/>
      <c r="D426" s="24"/>
      <c r="E426" s="9" t="str">
        <f aca="false">IF(OR(A426="",B426="",C426=""),"",IF(D426="O",0,SUMIFS(Postes!$P$5:$P$124,Postes!$A$5:$A$124,A426,Postes!$B$5:$B$124,B426)))</f>
        <v/>
      </c>
    </row>
    <row r="427" customFormat="false" ht="15" hidden="false" customHeight="false" outlineLevel="0" collapsed="false">
      <c r="A427" s="16"/>
      <c r="B427" s="20"/>
      <c r="C427" s="20"/>
      <c r="D427" s="24"/>
      <c r="E427" s="9" t="str">
        <f aca="false">IF(OR(A427="",B427="",C427=""),"",IF(D427="O",0,SUMIFS(Postes!$P$5:$P$124,Postes!$A$5:$A$124,A427,Postes!$B$5:$B$124,B427)))</f>
        <v/>
      </c>
    </row>
    <row r="428" customFormat="false" ht="15" hidden="false" customHeight="false" outlineLevel="0" collapsed="false">
      <c r="A428" s="16"/>
      <c r="B428" s="20"/>
      <c r="C428" s="20"/>
      <c r="D428" s="24"/>
      <c r="E428" s="9" t="str">
        <f aca="false">IF(OR(A428="",B428="",C428=""),"",IF(D428="O",0,SUMIFS(Postes!$P$5:$P$124,Postes!$A$5:$A$124,A428,Postes!$B$5:$B$124,B428)))</f>
        <v/>
      </c>
    </row>
    <row r="429" customFormat="false" ht="15" hidden="false" customHeight="false" outlineLevel="0" collapsed="false">
      <c r="A429" s="16"/>
      <c r="B429" s="20"/>
      <c r="C429" s="20"/>
      <c r="D429" s="24"/>
      <c r="E429" s="9" t="str">
        <f aca="false">IF(OR(A429="",B429="",C429=""),"",IF(D429="O",0,SUMIFS(Postes!$P$5:$P$124,Postes!$A$5:$A$124,A429,Postes!$B$5:$B$124,B429)))</f>
        <v/>
      </c>
    </row>
    <row r="430" customFormat="false" ht="15" hidden="false" customHeight="false" outlineLevel="0" collapsed="false">
      <c r="A430" s="16"/>
      <c r="B430" s="20"/>
      <c r="C430" s="20"/>
      <c r="D430" s="24"/>
      <c r="E430" s="9" t="str">
        <f aca="false">IF(OR(A430="",B430="",C430=""),"",IF(D430="O",0,SUMIFS(Postes!$P$5:$P$124,Postes!$A$5:$A$124,A430,Postes!$B$5:$B$124,B430)))</f>
        <v/>
      </c>
    </row>
    <row r="431" customFormat="false" ht="15" hidden="false" customHeight="false" outlineLevel="0" collapsed="false">
      <c r="A431" s="16"/>
      <c r="B431" s="20"/>
      <c r="C431" s="20"/>
      <c r="D431" s="24"/>
      <c r="E431" s="9" t="str">
        <f aca="false">IF(OR(A431="",B431="",C431=""),"",IF(D431="O",0,SUMIFS(Postes!$P$5:$P$124,Postes!$A$5:$A$124,A431,Postes!$B$5:$B$124,B431)))</f>
        <v/>
      </c>
    </row>
    <row r="432" customFormat="false" ht="15" hidden="false" customHeight="false" outlineLevel="0" collapsed="false">
      <c r="A432" s="16"/>
      <c r="B432" s="20"/>
      <c r="C432" s="20"/>
      <c r="D432" s="24"/>
      <c r="E432" s="9" t="str">
        <f aca="false">IF(OR(A432="",B432="",C432=""),"",IF(D432="O",0,SUMIFS(Postes!$P$5:$P$124,Postes!$A$5:$A$124,A432,Postes!$B$5:$B$124,B432)))</f>
        <v/>
      </c>
    </row>
    <row r="433" customFormat="false" ht="15" hidden="false" customHeight="false" outlineLevel="0" collapsed="false">
      <c r="A433" s="16"/>
      <c r="B433" s="20"/>
      <c r="C433" s="20"/>
      <c r="D433" s="24"/>
      <c r="E433" s="9" t="str">
        <f aca="false">IF(OR(A433="",B433="",C433=""),"",IF(D433="O",0,SUMIFS(Postes!$P$5:$P$124,Postes!$A$5:$A$124,A433,Postes!$B$5:$B$124,B433)))</f>
        <v/>
      </c>
    </row>
    <row r="434" customFormat="false" ht="15" hidden="false" customHeight="false" outlineLevel="0" collapsed="false">
      <c r="A434" s="16"/>
      <c r="B434" s="20"/>
      <c r="C434" s="20"/>
      <c r="D434" s="24"/>
      <c r="E434" s="9" t="str">
        <f aca="false">IF(OR(A434="",B434="",C434=""),"",IF(D434="O",0,SUMIFS(Postes!$P$5:$P$124,Postes!$A$5:$A$124,A434,Postes!$B$5:$B$124,B434)))</f>
        <v/>
      </c>
    </row>
    <row r="435" customFormat="false" ht="15" hidden="false" customHeight="false" outlineLevel="0" collapsed="false">
      <c r="A435" s="16"/>
      <c r="B435" s="20"/>
      <c r="C435" s="20"/>
      <c r="D435" s="24"/>
      <c r="E435" s="9" t="str">
        <f aca="false">IF(OR(A435="",B435="",C435=""),"",IF(D435="O",0,SUMIFS(Postes!$P$5:$P$124,Postes!$A$5:$A$124,A435,Postes!$B$5:$B$124,B435)))</f>
        <v/>
      </c>
    </row>
    <row r="436" customFormat="false" ht="15" hidden="false" customHeight="false" outlineLevel="0" collapsed="false">
      <c r="A436" s="16"/>
      <c r="B436" s="20"/>
      <c r="C436" s="20"/>
      <c r="D436" s="24"/>
      <c r="E436" s="9" t="str">
        <f aca="false">IF(OR(A436="",B436="",C436=""),"",IF(D436="O",0,SUMIFS(Postes!$P$5:$P$124,Postes!$A$5:$A$124,A436,Postes!$B$5:$B$124,B436)))</f>
        <v/>
      </c>
    </row>
    <row r="437" customFormat="false" ht="15" hidden="false" customHeight="false" outlineLevel="0" collapsed="false">
      <c r="A437" s="16"/>
      <c r="B437" s="20"/>
      <c r="C437" s="20"/>
      <c r="D437" s="24"/>
      <c r="E437" s="9" t="str">
        <f aca="false">IF(OR(A437="",B437="",C437=""),"",IF(D437="O",0,SUMIFS(Postes!$P$5:$P$124,Postes!$A$5:$A$124,A437,Postes!$B$5:$B$124,B437)))</f>
        <v/>
      </c>
    </row>
    <row r="438" customFormat="false" ht="15" hidden="false" customHeight="false" outlineLevel="0" collapsed="false">
      <c r="A438" s="16"/>
      <c r="B438" s="20"/>
      <c r="C438" s="20"/>
      <c r="D438" s="24"/>
      <c r="E438" s="9" t="str">
        <f aca="false">IF(OR(A438="",B438="",C438=""),"",IF(D438="O",0,SUMIFS(Postes!$P$5:$P$124,Postes!$A$5:$A$124,A438,Postes!$B$5:$B$124,B438)))</f>
        <v/>
      </c>
    </row>
    <row r="439" customFormat="false" ht="15" hidden="false" customHeight="false" outlineLevel="0" collapsed="false">
      <c r="A439" s="16"/>
      <c r="B439" s="20"/>
      <c r="C439" s="20"/>
      <c r="D439" s="24"/>
      <c r="E439" s="9" t="str">
        <f aca="false">IF(OR(A439="",B439="",C439=""),"",IF(D439="O",0,SUMIFS(Postes!$P$5:$P$124,Postes!$A$5:$A$124,A439,Postes!$B$5:$B$124,B439)))</f>
        <v/>
      </c>
    </row>
    <row r="440" customFormat="false" ht="15" hidden="false" customHeight="false" outlineLevel="0" collapsed="false">
      <c r="A440" s="16"/>
      <c r="B440" s="20"/>
      <c r="C440" s="20"/>
      <c r="D440" s="24"/>
      <c r="E440" s="9" t="str">
        <f aca="false">IF(OR(A440="",B440="",C440=""),"",IF(D440="O",0,SUMIFS(Postes!$P$5:$P$124,Postes!$A$5:$A$124,A440,Postes!$B$5:$B$124,B440)))</f>
        <v/>
      </c>
    </row>
    <row r="441" customFormat="false" ht="15" hidden="false" customHeight="false" outlineLevel="0" collapsed="false">
      <c r="A441" s="16"/>
      <c r="B441" s="20"/>
      <c r="C441" s="20"/>
      <c r="D441" s="24"/>
      <c r="E441" s="9" t="str">
        <f aca="false">IF(OR(A441="",B441="",C441=""),"",IF(D441="O",0,SUMIFS(Postes!$P$5:$P$124,Postes!$A$5:$A$124,A441,Postes!$B$5:$B$124,B441)))</f>
        <v/>
      </c>
    </row>
    <row r="442" customFormat="false" ht="15" hidden="false" customHeight="false" outlineLevel="0" collapsed="false">
      <c r="A442" s="16"/>
      <c r="B442" s="20"/>
      <c r="C442" s="20"/>
      <c r="D442" s="24"/>
      <c r="E442" s="9" t="str">
        <f aca="false">IF(OR(A442="",B442="",C442=""),"",IF(D442="O",0,SUMIFS(Postes!$P$5:$P$124,Postes!$A$5:$A$124,A442,Postes!$B$5:$B$124,B442)))</f>
        <v/>
      </c>
    </row>
    <row r="443" customFormat="false" ht="15" hidden="false" customHeight="false" outlineLevel="0" collapsed="false">
      <c r="A443" s="16"/>
      <c r="B443" s="20"/>
      <c r="C443" s="20"/>
      <c r="D443" s="24"/>
      <c r="E443" s="9" t="str">
        <f aca="false">IF(OR(A443="",B443="",C443=""),"",IF(D443="O",0,SUMIFS(Postes!$P$5:$P$124,Postes!$A$5:$A$124,A443,Postes!$B$5:$B$124,B443)))</f>
        <v/>
      </c>
    </row>
    <row r="444" customFormat="false" ht="15" hidden="false" customHeight="false" outlineLevel="0" collapsed="false">
      <c r="A444" s="16"/>
      <c r="B444" s="20"/>
      <c r="C444" s="20"/>
      <c r="D444" s="24"/>
      <c r="E444" s="9" t="str">
        <f aca="false">IF(OR(A444="",B444="",C444=""),"",IF(D444="O",0,SUMIFS(Postes!$P$5:$P$124,Postes!$A$5:$A$124,A444,Postes!$B$5:$B$124,B444)))</f>
        <v/>
      </c>
    </row>
    <row r="445" customFormat="false" ht="15" hidden="false" customHeight="false" outlineLevel="0" collapsed="false">
      <c r="A445" s="16"/>
      <c r="B445" s="20"/>
      <c r="C445" s="20"/>
      <c r="D445" s="24"/>
      <c r="E445" s="9" t="str">
        <f aca="false">IF(OR(A445="",B445="",C445=""),"",IF(D445="O",0,SUMIFS(Postes!$P$5:$P$124,Postes!$A$5:$A$124,A445,Postes!$B$5:$B$124,B445)))</f>
        <v/>
      </c>
    </row>
    <row r="446" customFormat="false" ht="15" hidden="false" customHeight="false" outlineLevel="0" collapsed="false">
      <c r="A446" s="16"/>
      <c r="B446" s="20"/>
      <c r="C446" s="20"/>
      <c r="D446" s="24"/>
      <c r="E446" s="9" t="str">
        <f aca="false">IF(OR(A446="",B446="",C446=""),"",IF(D446="O",0,SUMIFS(Postes!$P$5:$P$124,Postes!$A$5:$A$124,A446,Postes!$B$5:$B$124,B446)))</f>
        <v/>
      </c>
    </row>
    <row r="447" customFormat="false" ht="15" hidden="false" customHeight="false" outlineLevel="0" collapsed="false">
      <c r="A447" s="16"/>
      <c r="B447" s="20"/>
      <c r="C447" s="20"/>
      <c r="D447" s="24"/>
      <c r="E447" s="9" t="str">
        <f aca="false">IF(OR(A447="",B447="",C447=""),"",IF(D447="O",0,SUMIFS(Postes!$P$5:$P$124,Postes!$A$5:$A$124,A447,Postes!$B$5:$B$124,B447)))</f>
        <v/>
      </c>
    </row>
    <row r="448" customFormat="false" ht="15" hidden="false" customHeight="false" outlineLevel="0" collapsed="false">
      <c r="A448" s="16"/>
      <c r="B448" s="20"/>
      <c r="C448" s="20"/>
      <c r="D448" s="24"/>
      <c r="E448" s="9" t="str">
        <f aca="false">IF(OR(A448="",B448="",C448=""),"",IF(D448="O",0,SUMIFS(Postes!$P$5:$P$124,Postes!$A$5:$A$124,A448,Postes!$B$5:$B$124,B448)))</f>
        <v/>
      </c>
    </row>
    <row r="449" customFormat="false" ht="15" hidden="false" customHeight="false" outlineLevel="0" collapsed="false">
      <c r="A449" s="16"/>
      <c r="B449" s="20"/>
      <c r="C449" s="20"/>
      <c r="D449" s="24"/>
      <c r="E449" s="9" t="str">
        <f aca="false">IF(OR(A449="",B449="",C449=""),"",IF(D449="O",0,SUMIFS(Postes!$P$5:$P$124,Postes!$A$5:$A$124,A449,Postes!$B$5:$B$124,B449)))</f>
        <v/>
      </c>
    </row>
    <row r="450" customFormat="false" ht="15" hidden="false" customHeight="false" outlineLevel="0" collapsed="false">
      <c r="A450" s="16"/>
      <c r="B450" s="20"/>
      <c r="C450" s="20"/>
      <c r="D450" s="24"/>
      <c r="E450" s="9" t="str">
        <f aca="false">IF(OR(A450="",B450="",C450=""),"",IF(D450="O",0,SUMIFS(Postes!$P$5:$P$124,Postes!$A$5:$A$124,A450,Postes!$B$5:$B$124,B450)))</f>
        <v/>
      </c>
    </row>
    <row r="451" customFormat="false" ht="15" hidden="false" customHeight="false" outlineLevel="0" collapsed="false">
      <c r="A451" s="16"/>
      <c r="B451" s="20"/>
      <c r="C451" s="20"/>
      <c r="D451" s="24"/>
      <c r="E451" s="9" t="str">
        <f aca="false">IF(OR(A451="",B451="",C451=""),"",IF(D451="O",0,SUMIFS(Postes!$P$5:$P$124,Postes!$A$5:$A$124,A451,Postes!$B$5:$B$124,B451)))</f>
        <v/>
      </c>
    </row>
    <row r="452" customFormat="false" ht="15" hidden="false" customHeight="false" outlineLevel="0" collapsed="false">
      <c r="A452" s="16"/>
      <c r="B452" s="20"/>
      <c r="C452" s="20"/>
      <c r="D452" s="24"/>
      <c r="E452" s="9" t="str">
        <f aca="false">IF(OR(A452="",B452="",C452=""),"",IF(D452="O",0,SUMIFS(Postes!$P$5:$P$124,Postes!$A$5:$A$124,A452,Postes!$B$5:$B$124,B452)))</f>
        <v/>
      </c>
    </row>
    <row r="453" customFormat="false" ht="15" hidden="false" customHeight="false" outlineLevel="0" collapsed="false">
      <c r="A453" s="16"/>
      <c r="B453" s="20"/>
      <c r="C453" s="20"/>
      <c r="D453" s="24"/>
      <c r="E453" s="9" t="str">
        <f aca="false">IF(OR(A453="",B453="",C453=""),"",IF(D453="O",0,SUMIFS(Postes!$P$5:$P$124,Postes!$A$5:$A$124,A453,Postes!$B$5:$B$124,B453)))</f>
        <v/>
      </c>
    </row>
    <row r="454" customFormat="false" ht="15" hidden="false" customHeight="false" outlineLevel="0" collapsed="false">
      <c r="A454" s="16"/>
      <c r="B454" s="20"/>
      <c r="C454" s="20"/>
      <c r="D454" s="24"/>
      <c r="E454" s="9" t="str">
        <f aca="false">IF(OR(A454="",B454="",C454=""),"",IF(D454="O",0,SUMIFS(Postes!$P$5:$P$124,Postes!$A$5:$A$124,A454,Postes!$B$5:$B$124,B454)))</f>
        <v/>
      </c>
    </row>
    <row r="455" customFormat="false" ht="15" hidden="false" customHeight="false" outlineLevel="0" collapsed="false">
      <c r="A455" s="16"/>
      <c r="B455" s="20"/>
      <c r="C455" s="20"/>
      <c r="D455" s="24"/>
      <c r="E455" s="9" t="str">
        <f aca="false">IF(OR(A455="",B455="",C455=""),"",IF(D455="O",0,SUMIFS(Postes!$P$5:$P$124,Postes!$A$5:$A$124,A455,Postes!$B$5:$B$124,B455)))</f>
        <v/>
      </c>
    </row>
    <row r="456" customFormat="false" ht="15" hidden="false" customHeight="false" outlineLevel="0" collapsed="false">
      <c r="A456" s="16"/>
      <c r="B456" s="20"/>
      <c r="C456" s="20"/>
      <c r="D456" s="24"/>
      <c r="E456" s="9" t="str">
        <f aca="false">IF(OR(A456="",B456="",C456=""),"",IF(D456="O",0,SUMIFS(Postes!$P$5:$P$124,Postes!$A$5:$A$124,A456,Postes!$B$5:$B$124,B456)))</f>
        <v/>
      </c>
    </row>
    <row r="457" customFormat="false" ht="15" hidden="false" customHeight="false" outlineLevel="0" collapsed="false">
      <c r="A457" s="16"/>
      <c r="B457" s="20"/>
      <c r="C457" s="20"/>
      <c r="D457" s="24"/>
      <c r="E457" s="9" t="str">
        <f aca="false">IF(OR(A457="",B457="",C457=""),"",IF(D457="O",0,SUMIFS(Postes!$P$5:$P$124,Postes!$A$5:$A$124,A457,Postes!$B$5:$B$124,B457)))</f>
        <v/>
      </c>
    </row>
    <row r="458" customFormat="false" ht="15" hidden="false" customHeight="false" outlineLevel="0" collapsed="false">
      <c r="A458" s="16"/>
      <c r="B458" s="20"/>
      <c r="C458" s="20"/>
      <c r="D458" s="24"/>
      <c r="E458" s="9" t="str">
        <f aca="false">IF(OR(A458="",B458="",C458=""),"",IF(D458="O",0,SUMIFS(Postes!$P$5:$P$124,Postes!$A$5:$A$124,A458,Postes!$B$5:$B$124,B458)))</f>
        <v/>
      </c>
    </row>
    <row r="459" customFormat="false" ht="15" hidden="false" customHeight="false" outlineLevel="0" collapsed="false">
      <c r="A459" s="16"/>
      <c r="B459" s="20"/>
      <c r="C459" s="20"/>
      <c r="D459" s="24"/>
      <c r="E459" s="9" t="str">
        <f aca="false">IF(OR(A459="",B459="",C459=""),"",IF(D459="O",0,SUMIFS(Postes!$P$5:$P$124,Postes!$A$5:$A$124,A459,Postes!$B$5:$B$124,B459)))</f>
        <v/>
      </c>
    </row>
    <row r="460" customFormat="false" ht="15" hidden="false" customHeight="false" outlineLevel="0" collapsed="false">
      <c r="A460" s="16"/>
      <c r="B460" s="20"/>
      <c r="C460" s="20"/>
      <c r="D460" s="24"/>
      <c r="E460" s="9" t="str">
        <f aca="false">IF(OR(A460="",B460="",C460=""),"",IF(D460="O",0,SUMIFS(Postes!$P$5:$P$124,Postes!$A$5:$A$124,A460,Postes!$B$5:$B$124,B460)))</f>
        <v/>
      </c>
    </row>
    <row r="461" customFormat="false" ht="15" hidden="false" customHeight="false" outlineLevel="0" collapsed="false">
      <c r="A461" s="16"/>
      <c r="B461" s="20"/>
      <c r="C461" s="20"/>
      <c r="D461" s="24"/>
      <c r="E461" s="9" t="str">
        <f aca="false">IF(OR(A461="",B461="",C461=""),"",IF(D461="O",0,SUMIFS(Postes!$P$5:$P$124,Postes!$A$5:$A$124,A461,Postes!$B$5:$B$124,B461)))</f>
        <v/>
      </c>
    </row>
    <row r="462" customFormat="false" ht="15" hidden="false" customHeight="false" outlineLevel="0" collapsed="false">
      <c r="A462" s="16"/>
      <c r="B462" s="20"/>
      <c r="C462" s="20"/>
      <c r="D462" s="24"/>
      <c r="E462" s="9" t="str">
        <f aca="false">IF(OR(A462="",B462="",C462=""),"",IF(D462="O",0,SUMIFS(Postes!$P$5:$P$124,Postes!$A$5:$A$124,A462,Postes!$B$5:$B$124,B462)))</f>
        <v/>
      </c>
    </row>
    <row r="463" customFormat="false" ht="15" hidden="false" customHeight="false" outlineLevel="0" collapsed="false">
      <c r="A463" s="16"/>
      <c r="B463" s="20"/>
      <c r="C463" s="20"/>
      <c r="D463" s="24"/>
      <c r="E463" s="9" t="str">
        <f aca="false">IF(OR(A463="",B463="",C463=""),"",IF(D463="O",0,SUMIFS(Postes!$P$5:$P$124,Postes!$A$5:$A$124,A463,Postes!$B$5:$B$124,B463)))</f>
        <v/>
      </c>
    </row>
    <row r="464" customFormat="false" ht="15" hidden="false" customHeight="false" outlineLevel="0" collapsed="false">
      <c r="A464" s="16"/>
      <c r="B464" s="20"/>
      <c r="C464" s="20"/>
      <c r="D464" s="24"/>
      <c r="E464" s="9" t="str">
        <f aca="false">IF(OR(A464="",B464="",C464=""),"",IF(D464="O",0,SUMIFS(Postes!$P$5:$P$124,Postes!$A$5:$A$124,A464,Postes!$B$5:$B$124,B464)))</f>
        <v/>
      </c>
    </row>
    <row r="465" customFormat="false" ht="15" hidden="false" customHeight="false" outlineLevel="0" collapsed="false">
      <c r="A465" s="16"/>
      <c r="B465" s="20"/>
      <c r="C465" s="20"/>
      <c r="D465" s="24"/>
      <c r="E465" s="9" t="str">
        <f aca="false">IF(OR(A465="",B465="",C465=""),"",IF(D465="O",0,SUMIFS(Postes!$P$5:$P$124,Postes!$A$5:$A$124,A465,Postes!$B$5:$B$124,B465)))</f>
        <v/>
      </c>
    </row>
    <row r="466" customFormat="false" ht="15" hidden="false" customHeight="false" outlineLevel="0" collapsed="false">
      <c r="A466" s="16"/>
      <c r="B466" s="20"/>
      <c r="C466" s="20"/>
      <c r="D466" s="24"/>
      <c r="E466" s="9" t="str">
        <f aca="false">IF(OR(A466="",B466="",C466=""),"",IF(D466="O",0,SUMIFS(Postes!$P$5:$P$124,Postes!$A$5:$A$124,A466,Postes!$B$5:$B$124,B466)))</f>
        <v/>
      </c>
    </row>
    <row r="467" customFormat="false" ht="15" hidden="false" customHeight="false" outlineLevel="0" collapsed="false">
      <c r="A467" s="16"/>
      <c r="B467" s="20"/>
      <c r="C467" s="20"/>
      <c r="D467" s="24"/>
      <c r="E467" s="9" t="str">
        <f aca="false">IF(OR(A467="",B467="",C467=""),"",IF(D467="O",0,SUMIFS(Postes!$P$5:$P$124,Postes!$A$5:$A$124,A467,Postes!$B$5:$B$124,B467)))</f>
        <v/>
      </c>
    </row>
    <row r="468" customFormat="false" ht="15" hidden="false" customHeight="false" outlineLevel="0" collapsed="false">
      <c r="A468" s="16"/>
      <c r="B468" s="20"/>
      <c r="C468" s="20"/>
      <c r="D468" s="24"/>
      <c r="E468" s="9" t="str">
        <f aca="false">IF(OR(A468="",B468="",C468=""),"",IF(D468="O",0,SUMIFS(Postes!$P$5:$P$124,Postes!$A$5:$A$124,A468,Postes!$B$5:$B$124,B468)))</f>
        <v/>
      </c>
    </row>
    <row r="469" customFormat="false" ht="15" hidden="false" customHeight="false" outlineLevel="0" collapsed="false">
      <c r="A469" s="16"/>
      <c r="B469" s="20"/>
      <c r="C469" s="20"/>
      <c r="D469" s="24"/>
      <c r="E469" s="9" t="str">
        <f aca="false">IF(OR(A469="",B469="",C469=""),"",IF(D469="O",0,SUMIFS(Postes!$P$5:$P$124,Postes!$A$5:$A$124,A469,Postes!$B$5:$B$124,B469)))</f>
        <v/>
      </c>
    </row>
    <row r="470" customFormat="false" ht="15" hidden="false" customHeight="false" outlineLevel="0" collapsed="false">
      <c r="A470" s="16"/>
      <c r="B470" s="20"/>
      <c r="C470" s="20"/>
      <c r="D470" s="24"/>
      <c r="E470" s="9" t="str">
        <f aca="false">IF(OR(A470="",B470="",C470=""),"",IF(D470="O",0,SUMIFS(Postes!$P$5:$P$124,Postes!$A$5:$A$124,A470,Postes!$B$5:$B$124,B470)))</f>
        <v/>
      </c>
    </row>
    <row r="471" customFormat="false" ht="15" hidden="false" customHeight="false" outlineLevel="0" collapsed="false">
      <c r="A471" s="16"/>
      <c r="B471" s="20"/>
      <c r="C471" s="20"/>
      <c r="D471" s="24"/>
      <c r="E471" s="9" t="str">
        <f aca="false">IF(OR(A471="",B471="",C471=""),"",IF(D471="O",0,SUMIFS(Postes!$P$5:$P$124,Postes!$A$5:$A$124,A471,Postes!$B$5:$B$124,B471)))</f>
        <v/>
      </c>
    </row>
    <row r="472" customFormat="false" ht="15" hidden="false" customHeight="false" outlineLevel="0" collapsed="false">
      <c r="A472" s="16"/>
      <c r="B472" s="20"/>
      <c r="C472" s="20"/>
      <c r="D472" s="24"/>
      <c r="E472" s="9" t="str">
        <f aca="false">IF(OR(A472="",B472="",C472=""),"",IF(D472="O",0,SUMIFS(Postes!$P$5:$P$124,Postes!$A$5:$A$124,A472,Postes!$B$5:$B$124,B472)))</f>
        <v/>
      </c>
    </row>
    <row r="473" customFormat="false" ht="15" hidden="false" customHeight="false" outlineLevel="0" collapsed="false">
      <c r="A473" s="16"/>
      <c r="B473" s="20"/>
      <c r="C473" s="20"/>
      <c r="D473" s="24"/>
      <c r="E473" s="9" t="str">
        <f aca="false">IF(OR(A473="",B473="",C473=""),"",IF(D473="O",0,SUMIFS(Postes!$P$5:$P$124,Postes!$A$5:$A$124,A473,Postes!$B$5:$B$124,B473)))</f>
        <v/>
      </c>
    </row>
    <row r="474" customFormat="false" ht="15" hidden="false" customHeight="false" outlineLevel="0" collapsed="false">
      <c r="A474" s="16"/>
      <c r="B474" s="20"/>
      <c r="C474" s="20"/>
      <c r="D474" s="24"/>
      <c r="E474" s="9" t="str">
        <f aca="false">IF(OR(A474="",B474="",C474=""),"",IF(D474="O",0,SUMIFS(Postes!$P$5:$P$124,Postes!$A$5:$A$124,A474,Postes!$B$5:$B$124,B474)))</f>
        <v/>
      </c>
    </row>
    <row r="475" customFormat="false" ht="15" hidden="false" customHeight="false" outlineLevel="0" collapsed="false">
      <c r="A475" s="16"/>
      <c r="B475" s="20"/>
      <c r="C475" s="20"/>
      <c r="D475" s="24"/>
      <c r="E475" s="9" t="str">
        <f aca="false">IF(OR(A475="",B475="",C475=""),"",IF(D475="O",0,SUMIFS(Postes!$P$5:$P$124,Postes!$A$5:$A$124,A475,Postes!$B$5:$B$124,B475)))</f>
        <v/>
      </c>
    </row>
    <row r="476" customFormat="false" ht="15" hidden="false" customHeight="false" outlineLevel="0" collapsed="false">
      <c r="A476" s="16"/>
      <c r="B476" s="20"/>
      <c r="C476" s="20"/>
      <c r="D476" s="24"/>
      <c r="E476" s="9" t="str">
        <f aca="false">IF(OR(A476="",B476="",C476=""),"",IF(D476="O",0,SUMIFS(Postes!$P$5:$P$124,Postes!$A$5:$A$124,A476,Postes!$B$5:$B$124,B476)))</f>
        <v/>
      </c>
    </row>
    <row r="477" customFormat="false" ht="15" hidden="false" customHeight="false" outlineLevel="0" collapsed="false">
      <c r="A477" s="16"/>
      <c r="B477" s="20"/>
      <c r="C477" s="20"/>
      <c r="D477" s="24"/>
      <c r="E477" s="9" t="str">
        <f aca="false">IF(OR(A477="",B477="",C477=""),"",IF(D477="O",0,SUMIFS(Postes!$P$5:$P$124,Postes!$A$5:$A$124,A477,Postes!$B$5:$B$124,B477)))</f>
        <v/>
      </c>
    </row>
    <row r="478" customFormat="false" ht="15" hidden="false" customHeight="false" outlineLevel="0" collapsed="false">
      <c r="A478" s="16"/>
      <c r="B478" s="20"/>
      <c r="C478" s="20"/>
      <c r="D478" s="24"/>
      <c r="E478" s="9" t="str">
        <f aca="false">IF(OR(A478="",B478="",C478=""),"",IF(D478="O",0,SUMIFS(Postes!$P$5:$P$124,Postes!$A$5:$A$124,A478,Postes!$B$5:$B$124,B478)))</f>
        <v/>
      </c>
    </row>
    <row r="479" customFormat="false" ht="15" hidden="false" customHeight="false" outlineLevel="0" collapsed="false">
      <c r="A479" s="16"/>
      <c r="B479" s="20"/>
      <c r="C479" s="20"/>
      <c r="D479" s="24"/>
      <c r="E479" s="9" t="str">
        <f aca="false">IF(OR(A479="",B479="",C479=""),"",IF(D479="O",0,SUMIFS(Postes!$P$5:$P$124,Postes!$A$5:$A$124,A479,Postes!$B$5:$B$124,B479)))</f>
        <v/>
      </c>
    </row>
    <row r="480" customFormat="false" ht="15" hidden="false" customHeight="false" outlineLevel="0" collapsed="false">
      <c r="A480" s="16"/>
      <c r="B480" s="20"/>
      <c r="C480" s="20"/>
      <c r="D480" s="24"/>
      <c r="E480" s="9" t="str">
        <f aca="false">IF(OR(A480="",B480="",C480=""),"",IF(D480="O",0,SUMIFS(Postes!$P$5:$P$124,Postes!$A$5:$A$124,A480,Postes!$B$5:$B$124,B480)))</f>
        <v/>
      </c>
    </row>
    <row r="481" customFormat="false" ht="15" hidden="false" customHeight="false" outlineLevel="0" collapsed="false">
      <c r="A481" s="16"/>
      <c r="B481" s="20"/>
      <c r="C481" s="20"/>
      <c r="D481" s="24"/>
      <c r="E481" s="9" t="str">
        <f aca="false">IF(OR(A481="",B481="",C481=""),"",IF(D481="O",0,SUMIFS(Postes!$P$5:$P$124,Postes!$A$5:$A$124,A481,Postes!$B$5:$B$124,B481)))</f>
        <v/>
      </c>
    </row>
    <row r="482" customFormat="false" ht="15" hidden="false" customHeight="false" outlineLevel="0" collapsed="false">
      <c r="A482" s="16"/>
      <c r="B482" s="20"/>
      <c r="C482" s="20"/>
      <c r="D482" s="24"/>
      <c r="E482" s="9" t="str">
        <f aca="false">IF(OR(A482="",B482="",C482=""),"",IF(D482="O",0,SUMIFS(Postes!$P$5:$P$124,Postes!$A$5:$A$124,A482,Postes!$B$5:$B$124,B482)))</f>
        <v/>
      </c>
    </row>
    <row r="483" customFormat="false" ht="15" hidden="false" customHeight="false" outlineLevel="0" collapsed="false">
      <c r="A483" s="16"/>
      <c r="B483" s="20"/>
      <c r="C483" s="20"/>
      <c r="D483" s="24"/>
      <c r="E483" s="9" t="str">
        <f aca="false">IF(OR(A483="",B483="",C483=""),"",IF(D483="O",0,SUMIFS(Postes!$P$5:$P$124,Postes!$A$5:$A$124,A483,Postes!$B$5:$B$124,B483)))</f>
        <v/>
      </c>
    </row>
    <row r="484" customFormat="false" ht="15" hidden="false" customHeight="false" outlineLevel="0" collapsed="false">
      <c r="A484" s="16"/>
      <c r="B484" s="20"/>
      <c r="C484" s="20"/>
      <c r="D484" s="24"/>
      <c r="E484" s="9" t="str">
        <f aca="false">IF(OR(A484="",B484="",C484=""),"",IF(D484="O",0,SUMIFS(Postes!$P$5:$P$124,Postes!$A$5:$A$124,A484,Postes!$B$5:$B$124,B484)))</f>
        <v/>
      </c>
    </row>
    <row r="485" customFormat="false" ht="15" hidden="false" customHeight="false" outlineLevel="0" collapsed="false">
      <c r="A485" s="16"/>
      <c r="B485" s="20"/>
      <c r="C485" s="20"/>
      <c r="D485" s="24"/>
      <c r="E485" s="9" t="str">
        <f aca="false">IF(OR(A485="",B485="",C485=""),"",IF(D485="O",0,SUMIFS(Postes!$P$5:$P$124,Postes!$A$5:$A$124,A485,Postes!$B$5:$B$124,B485)))</f>
        <v/>
      </c>
    </row>
    <row r="486" customFormat="false" ht="15" hidden="false" customHeight="false" outlineLevel="0" collapsed="false">
      <c r="A486" s="16"/>
      <c r="B486" s="20"/>
      <c r="C486" s="20"/>
      <c r="D486" s="24"/>
      <c r="E486" s="9" t="str">
        <f aca="false">IF(OR(A486="",B486="",C486=""),"",IF(D486="O",0,SUMIFS(Postes!$P$5:$P$124,Postes!$A$5:$A$124,A486,Postes!$B$5:$B$124,B486)))</f>
        <v/>
      </c>
    </row>
    <row r="487" customFormat="false" ht="15" hidden="false" customHeight="false" outlineLevel="0" collapsed="false">
      <c r="A487" s="16"/>
      <c r="B487" s="20"/>
      <c r="C487" s="20"/>
      <c r="D487" s="24"/>
      <c r="E487" s="9" t="str">
        <f aca="false">IF(OR(A487="",B487="",C487=""),"",IF(D487="O",0,SUMIFS(Postes!$P$5:$P$124,Postes!$A$5:$A$124,A487,Postes!$B$5:$B$124,B487)))</f>
        <v/>
      </c>
    </row>
    <row r="488" customFormat="false" ht="15" hidden="false" customHeight="false" outlineLevel="0" collapsed="false">
      <c r="A488" s="16"/>
      <c r="B488" s="20"/>
      <c r="C488" s="20"/>
      <c r="D488" s="24"/>
      <c r="E488" s="9" t="str">
        <f aca="false">IF(OR(A488="",B488="",C488=""),"",IF(D488="O",0,SUMIFS(Postes!$P$5:$P$124,Postes!$A$5:$A$124,A488,Postes!$B$5:$B$124,B488)))</f>
        <v/>
      </c>
    </row>
    <row r="489" customFormat="false" ht="15" hidden="false" customHeight="false" outlineLevel="0" collapsed="false">
      <c r="A489" s="16"/>
      <c r="B489" s="20"/>
      <c r="C489" s="20"/>
      <c r="D489" s="24"/>
      <c r="E489" s="9" t="str">
        <f aca="false">IF(OR(A489="",B489="",C489=""),"",IF(D489="O",0,SUMIFS(Postes!$P$5:$P$124,Postes!$A$5:$A$124,A489,Postes!$B$5:$B$124,B489)))</f>
        <v/>
      </c>
    </row>
    <row r="490" customFormat="false" ht="15" hidden="false" customHeight="false" outlineLevel="0" collapsed="false">
      <c r="A490" s="16"/>
      <c r="B490" s="20"/>
      <c r="C490" s="20"/>
      <c r="D490" s="24"/>
      <c r="E490" s="9" t="str">
        <f aca="false">IF(OR(A490="",B490="",C490=""),"",IF(D490="O",0,SUMIFS(Postes!$P$5:$P$124,Postes!$A$5:$A$124,A490,Postes!$B$5:$B$124,B490)))</f>
        <v/>
      </c>
    </row>
    <row r="491" customFormat="false" ht="15" hidden="false" customHeight="false" outlineLevel="0" collapsed="false">
      <c r="A491" s="16"/>
      <c r="B491" s="20"/>
      <c r="C491" s="20"/>
      <c r="D491" s="24"/>
      <c r="E491" s="9" t="str">
        <f aca="false">IF(OR(A491="",B491="",C491=""),"",IF(D491="O",0,SUMIFS(Postes!$P$5:$P$124,Postes!$A$5:$A$124,A491,Postes!$B$5:$B$124,B491)))</f>
        <v/>
      </c>
    </row>
    <row r="492" customFormat="false" ht="15" hidden="false" customHeight="false" outlineLevel="0" collapsed="false">
      <c r="A492" s="16"/>
      <c r="B492" s="20"/>
      <c r="C492" s="20"/>
      <c r="D492" s="24"/>
      <c r="E492" s="9" t="str">
        <f aca="false">IF(OR(A492="",B492="",C492=""),"",IF(D492="O",0,SUMIFS(Postes!$P$5:$P$124,Postes!$A$5:$A$124,A492,Postes!$B$5:$B$124,B492)))</f>
        <v/>
      </c>
    </row>
    <row r="493" customFormat="false" ht="15" hidden="false" customHeight="false" outlineLevel="0" collapsed="false">
      <c r="A493" s="16"/>
      <c r="B493" s="20"/>
      <c r="C493" s="20"/>
      <c r="D493" s="24"/>
      <c r="E493" s="9" t="str">
        <f aca="false">IF(OR(A493="",B493="",C493=""),"",IF(D493="O",0,SUMIFS(Postes!$P$5:$P$124,Postes!$A$5:$A$124,A493,Postes!$B$5:$B$124,B493)))</f>
        <v/>
      </c>
    </row>
    <row r="494" customFormat="false" ht="15" hidden="false" customHeight="false" outlineLevel="0" collapsed="false">
      <c r="A494" s="16"/>
      <c r="B494" s="20"/>
      <c r="C494" s="20"/>
      <c r="D494" s="24"/>
      <c r="E494" s="9" t="str">
        <f aca="false">IF(OR(A494="",B494="",C494=""),"",IF(D494="O",0,SUMIFS(Postes!$P$5:$P$124,Postes!$A$5:$A$124,A494,Postes!$B$5:$B$124,B494)))</f>
        <v/>
      </c>
    </row>
    <row r="495" customFormat="false" ht="15" hidden="false" customHeight="false" outlineLevel="0" collapsed="false">
      <c r="A495" s="16"/>
      <c r="B495" s="20"/>
      <c r="C495" s="20"/>
      <c r="D495" s="24"/>
      <c r="E495" s="9" t="str">
        <f aca="false">IF(OR(A495="",B495="",C495=""),"",IF(D495="O",0,SUMIFS(Postes!$P$5:$P$124,Postes!$A$5:$A$124,A495,Postes!$B$5:$B$124,B495)))</f>
        <v/>
      </c>
    </row>
    <row r="496" customFormat="false" ht="15" hidden="false" customHeight="false" outlineLevel="0" collapsed="false">
      <c r="A496" s="16"/>
      <c r="B496" s="20"/>
      <c r="C496" s="20"/>
      <c r="D496" s="24"/>
      <c r="E496" s="9" t="str">
        <f aca="false">IF(OR(A496="",B496="",C496=""),"",IF(D496="O",0,SUMIFS(Postes!$P$5:$P$124,Postes!$A$5:$A$124,A496,Postes!$B$5:$B$124,B496)))</f>
        <v/>
      </c>
    </row>
    <row r="497" customFormat="false" ht="15" hidden="false" customHeight="false" outlineLevel="0" collapsed="false">
      <c r="A497" s="16"/>
      <c r="B497" s="20"/>
      <c r="C497" s="20"/>
      <c r="D497" s="24"/>
      <c r="E497" s="9" t="str">
        <f aca="false">IF(OR(A497="",B497="",C497=""),"",IF(D497="O",0,SUMIFS(Postes!$P$5:$P$124,Postes!$A$5:$A$124,A497,Postes!$B$5:$B$124,B497)))</f>
        <v/>
      </c>
    </row>
    <row r="498" customFormat="false" ht="15" hidden="false" customHeight="false" outlineLevel="0" collapsed="false">
      <c r="A498" s="16"/>
      <c r="B498" s="20"/>
      <c r="C498" s="20"/>
      <c r="D498" s="24"/>
      <c r="E498" s="9" t="str">
        <f aca="false">IF(OR(A498="",B498="",C498=""),"",IF(D498="O",0,SUMIFS(Postes!$P$5:$P$124,Postes!$A$5:$A$124,A498,Postes!$B$5:$B$124,B498)))</f>
        <v/>
      </c>
    </row>
    <row r="499" customFormat="false" ht="15" hidden="false" customHeight="false" outlineLevel="0" collapsed="false">
      <c r="A499" s="16"/>
      <c r="B499" s="20"/>
      <c r="C499" s="20"/>
      <c r="D499" s="24"/>
      <c r="E499" s="9" t="str">
        <f aca="false">IF(OR(A499="",B499="",C499=""),"",IF(D499="O",0,SUMIFS(Postes!$P$5:$P$124,Postes!$A$5:$A$124,A499,Postes!$B$5:$B$124,B499)))</f>
        <v/>
      </c>
    </row>
    <row r="500" customFormat="false" ht="15" hidden="false" customHeight="false" outlineLevel="0" collapsed="false">
      <c r="A500" s="16"/>
      <c r="B500" s="20"/>
      <c r="C500" s="20"/>
      <c r="D500" s="24"/>
      <c r="E500" s="9" t="str">
        <f aca="false">IF(OR(A500="",B500="",C500=""),"",IF(D500="O",0,SUMIFS(Postes!$P$5:$P$124,Postes!$A$5:$A$124,A500,Postes!$B$5:$B$124,B500)))</f>
        <v/>
      </c>
    </row>
    <row r="501" customFormat="false" ht="15" hidden="false" customHeight="false" outlineLevel="0" collapsed="false">
      <c r="A501" s="16"/>
      <c r="B501" s="20"/>
      <c r="C501" s="20"/>
      <c r="D501" s="24"/>
      <c r="E501" s="9" t="str">
        <f aca="false">IF(OR(A501="",B501="",C501=""),"",IF(D501="O",0,SUMIFS(Postes!$P$5:$P$124,Postes!$A$5:$A$124,A501,Postes!$B$5:$B$124,B501)))</f>
        <v/>
      </c>
    </row>
    <row r="502" customFormat="false" ht="15" hidden="false" customHeight="false" outlineLevel="0" collapsed="false">
      <c r="A502" s="16"/>
      <c r="B502" s="20"/>
      <c r="C502" s="20"/>
      <c r="D502" s="24"/>
      <c r="E502" s="9" t="str">
        <f aca="false">IF(OR(A502="",B502="",C502=""),"",IF(D502="O",0,SUMIFS(Postes!$P$5:$P$124,Postes!$A$5:$A$124,A502,Postes!$B$5:$B$124,B502)))</f>
        <v/>
      </c>
    </row>
    <row r="503" customFormat="false" ht="15" hidden="false" customHeight="false" outlineLevel="0" collapsed="false">
      <c r="A503" s="16"/>
      <c r="B503" s="20"/>
      <c r="C503" s="20"/>
      <c r="D503" s="24"/>
      <c r="E503" s="9" t="str">
        <f aca="false">IF(OR(A503="",B503="",C503=""),"",IF(D503="O",0,SUMIFS(Postes!$P$5:$P$124,Postes!$A$5:$A$124,A503,Postes!$B$5:$B$124,B503)))</f>
        <v/>
      </c>
    </row>
    <row r="504" customFormat="false" ht="15" hidden="false" customHeight="false" outlineLevel="0" collapsed="false">
      <c r="A504" s="16"/>
      <c r="B504" s="20"/>
      <c r="C504" s="20"/>
      <c r="D504" s="24"/>
      <c r="E504" s="9" t="str">
        <f aca="false">IF(OR(A504="",B504="",C504=""),"",IF(D504="O",0,SUMIFS(Postes!$P$5:$P$124,Postes!$A$5:$A$124,A504,Postes!$B$5:$B$124,B504)))</f>
        <v/>
      </c>
    </row>
    <row r="505" customFormat="false" ht="15" hidden="false" customHeight="false" outlineLevel="0" collapsed="false">
      <c r="A505" s="16"/>
      <c r="B505" s="20"/>
      <c r="C505" s="20"/>
      <c r="D505" s="24"/>
      <c r="E505" s="9" t="str">
        <f aca="false">IF(OR(A505="",B505="",C505=""),"",IF(D505="O",0,SUMIFS(Postes!$P$5:$P$124,Postes!$A$5:$A$124,A505,Postes!$B$5:$B$124,B505)))</f>
        <v/>
      </c>
    </row>
    <row r="506" customFormat="false" ht="15" hidden="false" customHeight="false" outlineLevel="0" collapsed="false">
      <c r="A506" s="16"/>
      <c r="B506" s="20"/>
      <c r="C506" s="20"/>
      <c r="D506" s="24"/>
      <c r="E506" s="9" t="str">
        <f aca="false">IF(OR(A506="",B506="",C506=""),"",IF(D506="O",0,SUMIFS(Postes!$P$5:$P$124,Postes!$A$5:$A$124,A506,Postes!$B$5:$B$124,B506)))</f>
        <v/>
      </c>
    </row>
    <row r="507" customFormat="false" ht="15" hidden="false" customHeight="false" outlineLevel="0" collapsed="false">
      <c r="A507" s="16"/>
      <c r="B507" s="20"/>
      <c r="C507" s="20"/>
      <c r="D507" s="24"/>
      <c r="E507" s="9" t="str">
        <f aca="false">IF(OR(A507="",B507="",C507=""),"",IF(D507="O",0,SUMIFS(Postes!$P$5:$P$124,Postes!$A$5:$A$124,A507,Postes!$B$5:$B$124,B507)))</f>
        <v/>
      </c>
    </row>
    <row r="508" customFormat="false" ht="15" hidden="false" customHeight="false" outlineLevel="0" collapsed="false">
      <c r="A508" s="16"/>
      <c r="B508" s="20"/>
      <c r="C508" s="20"/>
      <c r="D508" s="24"/>
      <c r="E508" s="9" t="str">
        <f aca="false">IF(OR(A508="",B508="",C508=""),"",IF(D508="O",0,SUMIFS(Postes!$P$5:$P$124,Postes!$A$5:$A$124,A508,Postes!$B$5:$B$124,B508)))</f>
        <v/>
      </c>
    </row>
    <row r="509" customFormat="false" ht="15" hidden="false" customHeight="false" outlineLevel="0" collapsed="false">
      <c r="A509" s="16"/>
      <c r="B509" s="20"/>
      <c r="C509" s="20"/>
      <c r="D509" s="24"/>
      <c r="E509" s="9" t="str">
        <f aca="false">IF(OR(A509="",B509="",C509=""),"",IF(D509="O",0,SUMIFS(Postes!$P$5:$P$124,Postes!$A$5:$A$124,A509,Postes!$B$5:$B$124,B509)))</f>
        <v/>
      </c>
    </row>
    <row r="510" customFormat="false" ht="15" hidden="false" customHeight="false" outlineLevel="0" collapsed="false">
      <c r="A510" s="16"/>
      <c r="B510" s="20"/>
      <c r="C510" s="20"/>
      <c r="D510" s="24"/>
      <c r="E510" s="9" t="str">
        <f aca="false">IF(OR(A510="",B510="",C510=""),"",IF(D510="O",0,SUMIFS(Postes!$P$5:$P$124,Postes!$A$5:$A$124,A510,Postes!$B$5:$B$124,B510)))</f>
        <v/>
      </c>
    </row>
    <row r="511" customFormat="false" ht="15" hidden="false" customHeight="false" outlineLevel="0" collapsed="false">
      <c r="A511" s="16"/>
      <c r="B511" s="20"/>
      <c r="C511" s="20"/>
      <c r="D511" s="24"/>
      <c r="E511" s="9" t="str">
        <f aca="false">IF(OR(A511="",B511="",C511=""),"",IF(D511="O",0,SUMIFS(Postes!$P$5:$P$124,Postes!$A$5:$A$124,A511,Postes!$B$5:$B$124,B511)))</f>
        <v/>
      </c>
    </row>
    <row r="512" customFormat="false" ht="15" hidden="false" customHeight="false" outlineLevel="0" collapsed="false">
      <c r="A512" s="16"/>
      <c r="B512" s="20"/>
      <c r="C512" s="20"/>
      <c r="D512" s="24"/>
      <c r="E512" s="9" t="str">
        <f aca="false">IF(OR(A512="",B512="",C512=""),"",IF(D512="O",0,SUMIFS(Postes!$P$5:$P$124,Postes!$A$5:$A$124,A512,Postes!$B$5:$B$124,B512)))</f>
        <v/>
      </c>
    </row>
    <row r="513" customFormat="false" ht="15" hidden="false" customHeight="false" outlineLevel="0" collapsed="false">
      <c r="A513" s="16"/>
      <c r="B513" s="20"/>
      <c r="C513" s="20"/>
      <c r="D513" s="24"/>
      <c r="E513" s="9" t="str">
        <f aca="false">IF(OR(A513="",B513="",C513=""),"",IF(D513="O",0,SUMIFS(Postes!$P$5:$P$124,Postes!$A$5:$A$124,A513,Postes!$B$5:$B$124,B513)))</f>
        <v/>
      </c>
    </row>
    <row r="514" customFormat="false" ht="15" hidden="false" customHeight="false" outlineLevel="0" collapsed="false">
      <c r="A514" s="16"/>
      <c r="B514" s="20"/>
      <c r="C514" s="20"/>
      <c r="D514" s="24"/>
      <c r="E514" s="9" t="str">
        <f aca="false">IF(OR(A514="",B514="",C514=""),"",IF(D514="O",0,SUMIFS(Postes!$P$5:$P$124,Postes!$A$5:$A$124,A514,Postes!$B$5:$B$124,B514)))</f>
        <v/>
      </c>
    </row>
    <row r="515" customFormat="false" ht="15" hidden="false" customHeight="false" outlineLevel="0" collapsed="false">
      <c r="A515" s="16"/>
      <c r="B515" s="20"/>
      <c r="C515" s="20"/>
      <c r="D515" s="24"/>
      <c r="E515" s="9" t="str">
        <f aca="false">IF(OR(A515="",B515="",C515=""),"",IF(D515="O",0,SUMIFS(Postes!$P$5:$P$124,Postes!$A$5:$A$124,A515,Postes!$B$5:$B$124,B515)))</f>
        <v/>
      </c>
    </row>
    <row r="516" customFormat="false" ht="15" hidden="false" customHeight="false" outlineLevel="0" collapsed="false">
      <c r="A516" s="16"/>
      <c r="B516" s="20"/>
      <c r="C516" s="20"/>
      <c r="D516" s="24"/>
      <c r="E516" s="9" t="str">
        <f aca="false">IF(OR(A516="",B516="",C516=""),"",IF(D516="O",0,SUMIFS(Postes!$P$5:$P$124,Postes!$A$5:$A$124,A516,Postes!$B$5:$B$124,B516)))</f>
        <v/>
      </c>
    </row>
    <row r="517" customFormat="false" ht="15" hidden="false" customHeight="false" outlineLevel="0" collapsed="false">
      <c r="A517" s="16"/>
      <c r="B517" s="20"/>
      <c r="C517" s="20"/>
      <c r="D517" s="24"/>
      <c r="E517" s="9" t="str">
        <f aca="false">IF(OR(A517="",B517="",C517=""),"",IF(D517="O",0,SUMIFS(Postes!$P$5:$P$124,Postes!$A$5:$A$124,A517,Postes!$B$5:$B$124,B517)))</f>
        <v/>
      </c>
    </row>
    <row r="518" customFormat="false" ht="15" hidden="false" customHeight="false" outlineLevel="0" collapsed="false">
      <c r="A518" s="16"/>
      <c r="B518" s="20"/>
      <c r="C518" s="20"/>
      <c r="D518" s="24"/>
      <c r="E518" s="9" t="str">
        <f aca="false">IF(OR(A518="",B518="",C518=""),"",IF(D518="O",0,SUMIFS(Postes!$P$5:$P$124,Postes!$A$5:$A$124,A518,Postes!$B$5:$B$124,B518)))</f>
        <v/>
      </c>
    </row>
    <row r="519" customFormat="false" ht="15" hidden="false" customHeight="false" outlineLevel="0" collapsed="false">
      <c r="A519" s="16"/>
      <c r="B519" s="20"/>
      <c r="C519" s="20"/>
      <c r="D519" s="24"/>
      <c r="E519" s="9" t="str">
        <f aca="false">IF(OR(A519="",B519="",C519=""),"",IF(D519="O",0,SUMIFS(Postes!$P$5:$P$124,Postes!$A$5:$A$124,A519,Postes!$B$5:$B$124,B519)))</f>
        <v/>
      </c>
    </row>
    <row r="520" customFormat="false" ht="15" hidden="false" customHeight="false" outlineLevel="0" collapsed="false">
      <c r="A520" s="16"/>
      <c r="B520" s="20"/>
      <c r="C520" s="20"/>
      <c r="D520" s="24"/>
      <c r="E520" s="9" t="str">
        <f aca="false">IF(OR(A520="",B520="",C520=""),"",IF(D520="O",0,SUMIFS(Postes!$P$5:$P$124,Postes!$A$5:$A$124,A520,Postes!$B$5:$B$124,B520)))</f>
        <v/>
      </c>
    </row>
    <row r="521" customFormat="false" ht="15" hidden="false" customHeight="false" outlineLevel="0" collapsed="false">
      <c r="A521" s="16"/>
      <c r="B521" s="20"/>
      <c r="C521" s="20"/>
      <c r="D521" s="24"/>
      <c r="E521" s="9" t="str">
        <f aca="false">IF(OR(A521="",B521="",C521=""),"",IF(D521="O",0,SUMIFS(Postes!$P$5:$P$124,Postes!$A$5:$A$124,A521,Postes!$B$5:$B$124,B521)))</f>
        <v/>
      </c>
    </row>
    <row r="522" customFormat="false" ht="15" hidden="false" customHeight="false" outlineLevel="0" collapsed="false">
      <c r="A522" s="16"/>
      <c r="B522" s="20"/>
      <c r="C522" s="20"/>
      <c r="D522" s="24"/>
      <c r="E522" s="9" t="str">
        <f aca="false">IF(OR(A522="",B522="",C522=""),"",IF(D522="O",0,SUMIFS(Postes!$P$5:$P$124,Postes!$A$5:$A$124,A522,Postes!$B$5:$B$124,B522)))</f>
        <v/>
      </c>
    </row>
    <row r="523" customFormat="false" ht="15" hidden="false" customHeight="false" outlineLevel="0" collapsed="false">
      <c r="A523" s="16"/>
      <c r="B523" s="20"/>
      <c r="C523" s="20"/>
      <c r="D523" s="24"/>
      <c r="E523" s="9" t="str">
        <f aca="false">IF(OR(A523="",B523="",C523=""),"",IF(D523="O",0,SUMIFS(Postes!$P$5:$P$124,Postes!$A$5:$A$124,A523,Postes!$B$5:$B$124,B523)))</f>
        <v/>
      </c>
    </row>
    <row r="524" customFormat="false" ht="15" hidden="false" customHeight="false" outlineLevel="0" collapsed="false">
      <c r="A524" s="16"/>
      <c r="B524" s="20"/>
      <c r="C524" s="20"/>
      <c r="D524" s="24"/>
      <c r="E524" s="9" t="str">
        <f aca="false">IF(OR(A524="",B524="",C524=""),"",IF(D524="O",0,SUMIFS(Postes!$P$5:$P$124,Postes!$A$5:$A$124,A524,Postes!$B$5:$B$124,B524)))</f>
        <v/>
      </c>
    </row>
    <row r="525" customFormat="false" ht="15" hidden="false" customHeight="false" outlineLevel="0" collapsed="false">
      <c r="A525" s="16"/>
      <c r="B525" s="20"/>
      <c r="C525" s="20"/>
      <c r="D525" s="24"/>
      <c r="E525" s="9" t="str">
        <f aca="false">IF(OR(A525="",B525="",C525=""),"",IF(D525="O",0,SUMIFS(Postes!$P$5:$P$124,Postes!$A$5:$A$124,A525,Postes!$B$5:$B$124,B525)))</f>
        <v/>
      </c>
    </row>
    <row r="526" customFormat="false" ht="15" hidden="false" customHeight="false" outlineLevel="0" collapsed="false">
      <c r="A526" s="16"/>
      <c r="B526" s="20"/>
      <c r="C526" s="20"/>
      <c r="D526" s="24"/>
      <c r="E526" s="9" t="str">
        <f aca="false">IF(OR(A526="",B526="",C526=""),"",IF(D526="O",0,SUMIFS(Postes!$P$5:$P$124,Postes!$A$5:$A$124,A526,Postes!$B$5:$B$124,B526)))</f>
        <v/>
      </c>
    </row>
    <row r="527" customFormat="false" ht="15" hidden="false" customHeight="false" outlineLevel="0" collapsed="false">
      <c r="A527" s="16"/>
      <c r="B527" s="20"/>
      <c r="C527" s="20"/>
      <c r="D527" s="24"/>
      <c r="E527" s="9" t="str">
        <f aca="false">IF(OR(A527="",B527="",C527=""),"",IF(D527="O",0,SUMIFS(Postes!$P$5:$P$124,Postes!$A$5:$A$124,A527,Postes!$B$5:$B$124,B527)))</f>
        <v/>
      </c>
    </row>
    <row r="528" customFormat="false" ht="15" hidden="false" customHeight="false" outlineLevel="0" collapsed="false">
      <c r="A528" s="16"/>
      <c r="B528" s="20"/>
      <c r="C528" s="20"/>
      <c r="D528" s="24"/>
      <c r="E528" s="9" t="str">
        <f aca="false">IF(OR(A528="",B528="",C528=""),"",IF(D528="O",0,SUMIFS(Postes!$P$5:$P$124,Postes!$A$5:$A$124,A528,Postes!$B$5:$B$124,B528)))</f>
        <v/>
      </c>
    </row>
    <row r="529" customFormat="false" ht="15" hidden="false" customHeight="false" outlineLevel="0" collapsed="false">
      <c r="A529" s="16"/>
      <c r="B529" s="20"/>
      <c r="C529" s="20"/>
      <c r="D529" s="24"/>
      <c r="E529" s="9" t="str">
        <f aca="false">IF(OR(A529="",B529="",C529=""),"",IF(D529="O",0,SUMIFS(Postes!$P$5:$P$124,Postes!$A$5:$A$124,A529,Postes!$B$5:$B$124,B529)))</f>
        <v/>
      </c>
    </row>
    <row r="530" customFormat="false" ht="15" hidden="false" customHeight="false" outlineLevel="0" collapsed="false">
      <c r="A530" s="16"/>
      <c r="B530" s="20"/>
      <c r="C530" s="20"/>
      <c r="D530" s="24"/>
      <c r="E530" s="9" t="str">
        <f aca="false">IF(OR(A530="",B530="",C530=""),"",IF(D530="O",0,SUMIFS(Postes!$P$5:$P$124,Postes!$A$5:$A$124,A530,Postes!$B$5:$B$124,B530)))</f>
        <v/>
      </c>
    </row>
    <row r="531" customFormat="false" ht="15" hidden="false" customHeight="false" outlineLevel="0" collapsed="false">
      <c r="A531" s="16"/>
      <c r="B531" s="20"/>
      <c r="C531" s="20"/>
      <c r="D531" s="24"/>
      <c r="E531" s="9" t="str">
        <f aca="false">IF(OR(A531="",B531="",C531=""),"",IF(D531="O",0,SUMIFS(Postes!$P$5:$P$124,Postes!$A$5:$A$124,A531,Postes!$B$5:$B$124,B531)))</f>
        <v/>
      </c>
    </row>
    <row r="532" customFormat="false" ht="15" hidden="false" customHeight="false" outlineLevel="0" collapsed="false">
      <c r="A532" s="16"/>
      <c r="B532" s="20"/>
      <c r="C532" s="20"/>
      <c r="D532" s="24"/>
      <c r="E532" s="9" t="str">
        <f aca="false">IF(OR(A532="",B532="",C532=""),"",IF(D532="O",0,SUMIFS(Postes!$P$5:$P$124,Postes!$A$5:$A$124,A532,Postes!$B$5:$B$124,B532)))</f>
        <v/>
      </c>
    </row>
    <row r="533" customFormat="false" ht="15" hidden="false" customHeight="false" outlineLevel="0" collapsed="false">
      <c r="A533" s="16"/>
      <c r="B533" s="20"/>
      <c r="C533" s="20"/>
      <c r="D533" s="24"/>
      <c r="E533" s="9" t="str">
        <f aca="false">IF(OR(A533="",B533="",C533=""),"",IF(D533="O",0,SUMIFS(Postes!$P$5:$P$124,Postes!$A$5:$A$124,A533,Postes!$B$5:$B$124,B533)))</f>
        <v/>
      </c>
    </row>
    <row r="534" customFormat="false" ht="15" hidden="false" customHeight="false" outlineLevel="0" collapsed="false">
      <c r="A534" s="16"/>
      <c r="B534" s="20"/>
      <c r="C534" s="20"/>
      <c r="D534" s="24"/>
      <c r="E534" s="9" t="str">
        <f aca="false">IF(OR(A534="",B534="",C534=""),"",IF(D534="O",0,SUMIFS(Postes!$P$5:$P$124,Postes!$A$5:$A$124,A534,Postes!$B$5:$B$124,B534)))</f>
        <v/>
      </c>
    </row>
    <row r="535" customFormat="false" ht="15" hidden="false" customHeight="false" outlineLevel="0" collapsed="false">
      <c r="A535" s="16"/>
      <c r="B535" s="20"/>
      <c r="C535" s="20"/>
      <c r="D535" s="24"/>
      <c r="E535" s="9" t="str">
        <f aca="false">IF(OR(A535="",B535="",C535=""),"",IF(D535="O",0,SUMIFS(Postes!$P$5:$P$124,Postes!$A$5:$A$124,A535,Postes!$B$5:$B$124,B535)))</f>
        <v/>
      </c>
    </row>
    <row r="536" customFormat="false" ht="15" hidden="false" customHeight="false" outlineLevel="0" collapsed="false">
      <c r="A536" s="16"/>
      <c r="B536" s="20"/>
      <c r="C536" s="20"/>
      <c r="D536" s="24"/>
      <c r="E536" s="9" t="str">
        <f aca="false">IF(OR(A536="",B536="",C536=""),"",IF(D536="O",0,SUMIFS(Postes!$P$5:$P$124,Postes!$A$5:$A$124,A536,Postes!$B$5:$B$124,B536)))</f>
        <v/>
      </c>
    </row>
    <row r="537" customFormat="false" ht="15" hidden="false" customHeight="false" outlineLevel="0" collapsed="false">
      <c r="A537" s="16"/>
      <c r="B537" s="20"/>
      <c r="C537" s="20"/>
      <c r="D537" s="24"/>
      <c r="E537" s="9" t="str">
        <f aca="false">IF(OR(A537="",B537="",C537=""),"",IF(D537="O",0,SUMIFS(Postes!$P$5:$P$124,Postes!$A$5:$A$124,A537,Postes!$B$5:$B$124,B537)))</f>
        <v/>
      </c>
    </row>
    <row r="538" customFormat="false" ht="15" hidden="false" customHeight="false" outlineLevel="0" collapsed="false">
      <c r="A538" s="16"/>
      <c r="B538" s="20"/>
      <c r="C538" s="20"/>
      <c r="D538" s="24"/>
      <c r="E538" s="9" t="str">
        <f aca="false">IF(OR(A538="",B538="",C538=""),"",IF(D538="O",0,SUMIFS(Postes!$P$5:$P$124,Postes!$A$5:$A$124,A538,Postes!$B$5:$B$124,B538)))</f>
        <v/>
      </c>
    </row>
    <row r="539" customFormat="false" ht="15" hidden="false" customHeight="false" outlineLevel="0" collapsed="false">
      <c r="A539" s="16"/>
      <c r="B539" s="20"/>
      <c r="C539" s="20"/>
      <c r="D539" s="24"/>
      <c r="E539" s="9" t="str">
        <f aca="false">IF(OR(A539="",B539="",C539=""),"",IF(D539="O",0,SUMIFS(Postes!$P$5:$P$124,Postes!$A$5:$A$124,A539,Postes!$B$5:$B$124,B539)))</f>
        <v/>
      </c>
    </row>
    <row r="540" customFormat="false" ht="15" hidden="false" customHeight="false" outlineLevel="0" collapsed="false">
      <c r="A540" s="16"/>
      <c r="B540" s="20"/>
      <c r="C540" s="20"/>
      <c r="D540" s="24"/>
      <c r="E540" s="9" t="str">
        <f aca="false">IF(OR(A540="",B540="",C540=""),"",IF(D540="O",0,SUMIFS(Postes!$P$5:$P$124,Postes!$A$5:$A$124,A540,Postes!$B$5:$B$124,B540)))</f>
        <v/>
      </c>
    </row>
    <row r="541" customFormat="false" ht="15" hidden="false" customHeight="false" outlineLevel="0" collapsed="false">
      <c r="A541" s="16"/>
      <c r="B541" s="20"/>
      <c r="C541" s="20"/>
      <c r="D541" s="24"/>
      <c r="E541" s="9" t="str">
        <f aca="false">IF(OR(A541="",B541="",C541=""),"",IF(D541="O",0,SUMIFS(Postes!$P$5:$P$124,Postes!$A$5:$A$124,A541,Postes!$B$5:$B$124,B541)))</f>
        <v/>
      </c>
    </row>
    <row r="542" customFormat="false" ht="15" hidden="false" customHeight="false" outlineLevel="0" collapsed="false">
      <c r="A542" s="16"/>
      <c r="B542" s="20"/>
      <c r="C542" s="20"/>
      <c r="D542" s="24"/>
      <c r="E542" s="9" t="str">
        <f aca="false">IF(OR(A542="",B542="",C542=""),"",IF(D542="O",0,SUMIFS(Postes!$P$5:$P$124,Postes!$A$5:$A$124,A542,Postes!$B$5:$B$124,B542)))</f>
        <v/>
      </c>
    </row>
    <row r="543" customFormat="false" ht="15" hidden="false" customHeight="false" outlineLevel="0" collapsed="false">
      <c r="A543" s="16"/>
      <c r="B543" s="20"/>
      <c r="C543" s="20"/>
      <c r="D543" s="24"/>
      <c r="E543" s="9" t="str">
        <f aca="false">IF(OR(A543="",B543="",C543=""),"",IF(D543="O",0,SUMIFS(Postes!$P$5:$P$124,Postes!$A$5:$A$124,A543,Postes!$B$5:$B$124,B543)))</f>
        <v/>
      </c>
    </row>
    <row r="544" customFormat="false" ht="15" hidden="false" customHeight="false" outlineLevel="0" collapsed="false">
      <c r="A544" s="16"/>
      <c r="B544" s="20"/>
      <c r="C544" s="20"/>
      <c r="D544" s="24"/>
      <c r="E544" s="9" t="str">
        <f aca="false">IF(OR(A544="",B544="",C544=""),"",IF(D544="O",0,SUMIFS(Postes!$P$5:$P$124,Postes!$A$5:$A$124,A544,Postes!$B$5:$B$124,B544)))</f>
        <v/>
      </c>
    </row>
    <row r="545" customFormat="false" ht="15" hidden="false" customHeight="false" outlineLevel="0" collapsed="false">
      <c r="A545" s="16"/>
      <c r="B545" s="20"/>
      <c r="C545" s="20"/>
      <c r="D545" s="24"/>
      <c r="E545" s="9" t="str">
        <f aca="false">IF(OR(A545="",B545="",C545=""),"",IF(D545="O",0,SUMIFS(Postes!$P$5:$P$124,Postes!$A$5:$A$124,A545,Postes!$B$5:$B$124,B545)))</f>
        <v/>
      </c>
    </row>
    <row r="546" customFormat="false" ht="15" hidden="false" customHeight="false" outlineLevel="0" collapsed="false">
      <c r="A546" s="16"/>
      <c r="B546" s="20"/>
      <c r="C546" s="20"/>
      <c r="D546" s="24"/>
      <c r="E546" s="9" t="str">
        <f aca="false">IF(OR(A546="",B546="",C546=""),"",IF(D546="O",0,SUMIFS(Postes!$P$5:$P$124,Postes!$A$5:$A$124,A546,Postes!$B$5:$B$124,B546)))</f>
        <v/>
      </c>
    </row>
    <row r="547" customFormat="false" ht="15" hidden="false" customHeight="false" outlineLevel="0" collapsed="false">
      <c r="A547" s="16"/>
      <c r="B547" s="20"/>
      <c r="C547" s="20"/>
      <c r="D547" s="24"/>
      <c r="E547" s="9" t="str">
        <f aca="false">IF(OR(A547="",B547="",C547=""),"",IF(D547="O",0,SUMIFS(Postes!$P$5:$P$124,Postes!$A$5:$A$124,A547,Postes!$B$5:$B$124,B547)))</f>
        <v/>
      </c>
    </row>
    <row r="548" customFormat="false" ht="15" hidden="false" customHeight="false" outlineLevel="0" collapsed="false">
      <c r="A548" s="16"/>
      <c r="B548" s="20"/>
      <c r="C548" s="20"/>
      <c r="D548" s="24"/>
      <c r="E548" s="9" t="str">
        <f aca="false">IF(OR(A548="",B548="",C548=""),"",IF(D548="O",0,SUMIFS(Postes!$P$5:$P$124,Postes!$A$5:$A$124,A548,Postes!$B$5:$B$124,B548)))</f>
        <v/>
      </c>
    </row>
    <row r="549" customFormat="false" ht="15" hidden="false" customHeight="false" outlineLevel="0" collapsed="false">
      <c r="A549" s="16"/>
      <c r="B549" s="20"/>
      <c r="C549" s="20"/>
      <c r="D549" s="24"/>
      <c r="E549" s="9" t="str">
        <f aca="false">IF(OR(A549="",B549="",C549=""),"",IF(D549="O",0,SUMIFS(Postes!$P$5:$P$124,Postes!$A$5:$A$124,A549,Postes!$B$5:$B$124,B549)))</f>
        <v/>
      </c>
    </row>
    <row r="550" customFormat="false" ht="15" hidden="false" customHeight="false" outlineLevel="0" collapsed="false">
      <c r="A550" s="16"/>
      <c r="B550" s="20"/>
      <c r="C550" s="20"/>
      <c r="D550" s="24"/>
      <c r="E550" s="9" t="str">
        <f aca="false">IF(OR(A550="",B550="",C550=""),"",IF(D550="O",0,SUMIFS(Postes!$P$5:$P$124,Postes!$A$5:$A$124,A550,Postes!$B$5:$B$124,B550)))</f>
        <v/>
      </c>
    </row>
    <row r="551" customFormat="false" ht="15" hidden="false" customHeight="false" outlineLevel="0" collapsed="false">
      <c r="A551" s="16"/>
      <c r="B551" s="20"/>
      <c r="C551" s="20"/>
      <c r="D551" s="24"/>
      <c r="E551" s="9" t="str">
        <f aca="false">IF(OR(A551="",B551="",C551=""),"",IF(D551="O",0,SUMIFS(Postes!$P$5:$P$124,Postes!$A$5:$A$124,A551,Postes!$B$5:$B$124,B551)))</f>
        <v/>
      </c>
    </row>
    <row r="552" customFormat="false" ht="15" hidden="false" customHeight="false" outlineLevel="0" collapsed="false">
      <c r="A552" s="16"/>
      <c r="B552" s="20"/>
      <c r="C552" s="20"/>
      <c r="D552" s="24"/>
      <c r="E552" s="9" t="str">
        <f aca="false">IF(OR(A552="",B552="",C552=""),"",IF(D552="O",0,SUMIFS(Postes!$P$5:$P$124,Postes!$A$5:$A$124,A552,Postes!$B$5:$B$124,B552)))</f>
        <v/>
      </c>
    </row>
    <row r="553" customFormat="false" ht="15" hidden="false" customHeight="false" outlineLevel="0" collapsed="false">
      <c r="A553" s="16"/>
      <c r="B553" s="20"/>
      <c r="C553" s="20"/>
      <c r="D553" s="24"/>
      <c r="E553" s="9" t="str">
        <f aca="false">IF(OR(A553="",B553="",C553=""),"",IF(D553="O",0,SUMIFS(Postes!$P$5:$P$124,Postes!$A$5:$A$124,A553,Postes!$B$5:$B$124,B553)))</f>
        <v/>
      </c>
    </row>
    <row r="554" customFormat="false" ht="15" hidden="false" customHeight="false" outlineLevel="0" collapsed="false">
      <c r="A554" s="16"/>
      <c r="B554" s="20"/>
      <c r="C554" s="20"/>
      <c r="D554" s="24"/>
      <c r="E554" s="9" t="str">
        <f aca="false">IF(OR(A554="",B554="",C554=""),"",IF(D554="O",0,SUMIFS(Postes!$P$5:$P$124,Postes!$A$5:$A$124,A554,Postes!$B$5:$B$124,B554)))</f>
        <v/>
      </c>
    </row>
    <row r="555" customFormat="false" ht="15" hidden="false" customHeight="false" outlineLevel="0" collapsed="false">
      <c r="A555" s="16"/>
      <c r="B555" s="20"/>
      <c r="C555" s="20"/>
      <c r="D555" s="24"/>
      <c r="E555" s="9" t="str">
        <f aca="false">IF(OR(A555="",B555="",C555=""),"",IF(D555="O",0,SUMIFS(Postes!$P$5:$P$124,Postes!$A$5:$A$124,A555,Postes!$B$5:$B$124,B555)))</f>
        <v/>
      </c>
    </row>
    <row r="556" customFormat="false" ht="15" hidden="false" customHeight="false" outlineLevel="0" collapsed="false">
      <c r="A556" s="16"/>
      <c r="B556" s="20"/>
      <c r="C556" s="20"/>
      <c r="D556" s="24"/>
      <c r="E556" s="9" t="str">
        <f aca="false">IF(OR(A556="",B556="",C556=""),"",IF(D556="O",0,SUMIFS(Postes!$P$5:$P$124,Postes!$A$5:$A$124,A556,Postes!$B$5:$B$124,B556)))</f>
        <v/>
      </c>
    </row>
    <row r="557" customFormat="false" ht="15" hidden="false" customHeight="false" outlineLevel="0" collapsed="false">
      <c r="A557" s="16"/>
      <c r="B557" s="20"/>
      <c r="C557" s="20"/>
      <c r="D557" s="24"/>
      <c r="E557" s="9" t="str">
        <f aca="false">IF(OR(A557="",B557="",C557=""),"",IF(D557="O",0,SUMIFS(Postes!$P$5:$P$124,Postes!$A$5:$A$124,A557,Postes!$B$5:$B$124,B557)))</f>
        <v/>
      </c>
    </row>
    <row r="558" customFormat="false" ht="15" hidden="false" customHeight="false" outlineLevel="0" collapsed="false">
      <c r="A558" s="16"/>
      <c r="B558" s="20"/>
      <c r="C558" s="20"/>
      <c r="D558" s="24"/>
      <c r="E558" s="9" t="str">
        <f aca="false">IF(OR(A558="",B558="",C558=""),"",IF(D558="O",0,SUMIFS(Postes!$P$5:$P$124,Postes!$A$5:$A$124,A558,Postes!$B$5:$B$124,B558)))</f>
        <v/>
      </c>
    </row>
    <row r="559" customFormat="false" ht="15" hidden="false" customHeight="false" outlineLevel="0" collapsed="false">
      <c r="A559" s="16"/>
      <c r="B559" s="20"/>
      <c r="C559" s="20"/>
      <c r="D559" s="24"/>
      <c r="E559" s="9" t="str">
        <f aca="false">IF(OR(A559="",B559="",C559=""),"",IF(D559="O",0,SUMIFS(Postes!$P$5:$P$124,Postes!$A$5:$A$124,A559,Postes!$B$5:$B$124,B559)))</f>
        <v/>
      </c>
    </row>
    <row r="560" customFormat="false" ht="15" hidden="false" customHeight="false" outlineLevel="0" collapsed="false">
      <c r="A560" s="16"/>
      <c r="B560" s="20"/>
      <c r="C560" s="20"/>
      <c r="D560" s="24"/>
      <c r="E560" s="9" t="str">
        <f aca="false">IF(OR(A560="",B560="",C560=""),"",IF(D560="O",0,SUMIFS(Postes!$P$5:$P$124,Postes!$A$5:$A$124,A560,Postes!$B$5:$B$124,B560)))</f>
        <v/>
      </c>
    </row>
    <row r="561" customFormat="false" ht="15" hidden="false" customHeight="false" outlineLevel="0" collapsed="false">
      <c r="A561" s="16"/>
      <c r="B561" s="20"/>
      <c r="C561" s="20"/>
      <c r="D561" s="24"/>
      <c r="E561" s="9" t="str">
        <f aca="false">IF(OR(A561="",B561="",C561=""),"",IF(D561="O",0,SUMIFS(Postes!$P$5:$P$124,Postes!$A$5:$A$124,A561,Postes!$B$5:$B$124,B561)))</f>
        <v/>
      </c>
    </row>
    <row r="562" customFormat="false" ht="15" hidden="false" customHeight="false" outlineLevel="0" collapsed="false">
      <c r="A562" s="16"/>
      <c r="B562" s="20"/>
      <c r="C562" s="20"/>
      <c r="D562" s="24"/>
      <c r="E562" s="9" t="str">
        <f aca="false">IF(OR(A562="",B562="",C562=""),"",IF(D562="O",0,SUMIFS(Postes!$P$5:$P$124,Postes!$A$5:$A$124,A562,Postes!$B$5:$B$124,B562)))</f>
        <v/>
      </c>
    </row>
    <row r="563" customFormat="false" ht="15" hidden="false" customHeight="false" outlineLevel="0" collapsed="false">
      <c r="A563" s="16"/>
      <c r="B563" s="20"/>
      <c r="C563" s="20"/>
      <c r="D563" s="24"/>
      <c r="E563" s="9" t="str">
        <f aca="false">IF(OR(A563="",B563="",C563=""),"",IF(D563="O",0,SUMIFS(Postes!$P$5:$P$124,Postes!$A$5:$A$124,A563,Postes!$B$5:$B$124,B563)))</f>
        <v/>
      </c>
    </row>
    <row r="564" customFormat="false" ht="15" hidden="false" customHeight="false" outlineLevel="0" collapsed="false">
      <c r="A564" s="16"/>
      <c r="B564" s="20"/>
      <c r="C564" s="20"/>
      <c r="D564" s="24"/>
      <c r="E564" s="9" t="str">
        <f aca="false">IF(OR(A564="",B564="",C564=""),"",IF(D564="O",0,SUMIFS(Postes!$P$5:$P$124,Postes!$A$5:$A$124,A564,Postes!$B$5:$B$124,B564)))</f>
        <v/>
      </c>
    </row>
    <row r="565" customFormat="false" ht="15" hidden="false" customHeight="false" outlineLevel="0" collapsed="false">
      <c r="A565" s="16"/>
      <c r="B565" s="20"/>
      <c r="C565" s="20"/>
      <c r="D565" s="24"/>
      <c r="E565" s="9" t="str">
        <f aca="false">IF(OR(A565="",B565="",C565=""),"",IF(D565="O",0,SUMIFS(Postes!$P$5:$P$124,Postes!$A$5:$A$124,A565,Postes!$B$5:$B$124,B565)))</f>
        <v/>
      </c>
    </row>
    <row r="566" customFormat="false" ht="15" hidden="false" customHeight="false" outlineLevel="0" collapsed="false">
      <c r="A566" s="16"/>
      <c r="B566" s="20"/>
      <c r="C566" s="20"/>
      <c r="D566" s="24"/>
      <c r="E566" s="9" t="str">
        <f aca="false">IF(OR(A566="",B566="",C566=""),"",IF(D566="O",0,SUMIFS(Postes!$P$5:$P$124,Postes!$A$5:$A$124,A566,Postes!$B$5:$B$124,B566)))</f>
        <v/>
      </c>
    </row>
    <row r="567" customFormat="false" ht="15" hidden="false" customHeight="false" outlineLevel="0" collapsed="false">
      <c r="A567" s="16"/>
      <c r="B567" s="20"/>
      <c r="C567" s="20"/>
      <c r="D567" s="24"/>
      <c r="E567" s="9" t="str">
        <f aca="false">IF(OR(A567="",B567="",C567=""),"",IF(D567="O",0,SUMIFS(Postes!$P$5:$P$124,Postes!$A$5:$A$124,A567,Postes!$B$5:$B$124,B567)))</f>
        <v/>
      </c>
    </row>
    <row r="568" customFormat="false" ht="15" hidden="false" customHeight="false" outlineLevel="0" collapsed="false">
      <c r="A568" s="16"/>
      <c r="B568" s="20"/>
      <c r="C568" s="20"/>
      <c r="D568" s="24"/>
      <c r="E568" s="9" t="str">
        <f aca="false">IF(OR(A568="",B568="",C568=""),"",IF(D568="O",0,SUMIFS(Postes!$P$5:$P$124,Postes!$A$5:$A$124,A568,Postes!$B$5:$B$124,B568)))</f>
        <v/>
      </c>
    </row>
    <row r="569" customFormat="false" ht="15" hidden="false" customHeight="false" outlineLevel="0" collapsed="false">
      <c r="A569" s="16"/>
      <c r="B569" s="20"/>
      <c r="C569" s="20"/>
      <c r="D569" s="24"/>
      <c r="E569" s="9" t="str">
        <f aca="false">IF(OR(A569="",B569="",C569=""),"",IF(D569="O",0,SUMIFS(Postes!$P$5:$P$124,Postes!$A$5:$A$124,A569,Postes!$B$5:$B$124,B569)))</f>
        <v/>
      </c>
    </row>
    <row r="570" customFormat="false" ht="15" hidden="false" customHeight="false" outlineLevel="0" collapsed="false">
      <c r="A570" s="16"/>
      <c r="B570" s="20"/>
      <c r="C570" s="20"/>
      <c r="D570" s="24"/>
      <c r="E570" s="9" t="str">
        <f aca="false">IF(OR(A570="",B570="",C570=""),"",IF(D570="O",0,SUMIFS(Postes!$P$5:$P$124,Postes!$A$5:$A$124,A570,Postes!$B$5:$B$124,B570)))</f>
        <v/>
      </c>
    </row>
    <row r="571" customFormat="false" ht="15" hidden="false" customHeight="false" outlineLevel="0" collapsed="false">
      <c r="A571" s="16"/>
      <c r="B571" s="20"/>
      <c r="C571" s="20"/>
      <c r="D571" s="24"/>
      <c r="E571" s="9" t="str">
        <f aca="false">IF(OR(A571="",B571="",C571=""),"",IF(D571="O",0,SUMIFS(Postes!$P$5:$P$124,Postes!$A$5:$A$124,A571,Postes!$B$5:$B$124,B571)))</f>
        <v/>
      </c>
    </row>
    <row r="572" customFormat="false" ht="15" hidden="false" customHeight="false" outlineLevel="0" collapsed="false">
      <c r="A572" s="16"/>
      <c r="B572" s="20"/>
      <c r="C572" s="20"/>
      <c r="D572" s="24"/>
      <c r="E572" s="9" t="str">
        <f aca="false">IF(OR(A572="",B572="",C572=""),"",IF(D572="O",0,SUMIFS(Postes!$P$5:$P$124,Postes!$A$5:$A$124,A572,Postes!$B$5:$B$124,B572)))</f>
        <v/>
      </c>
    </row>
    <row r="573" customFormat="false" ht="15" hidden="false" customHeight="false" outlineLevel="0" collapsed="false">
      <c r="A573" s="16"/>
      <c r="B573" s="20"/>
      <c r="C573" s="20"/>
      <c r="D573" s="24"/>
      <c r="E573" s="9" t="str">
        <f aca="false">IF(OR(A573="",B573="",C573=""),"",IF(D573="O",0,SUMIFS(Postes!$P$5:$P$124,Postes!$A$5:$A$124,A573,Postes!$B$5:$B$124,B573)))</f>
        <v/>
      </c>
    </row>
    <row r="574" customFormat="false" ht="15" hidden="false" customHeight="false" outlineLevel="0" collapsed="false">
      <c r="A574" s="16"/>
      <c r="B574" s="20"/>
      <c r="C574" s="20"/>
      <c r="D574" s="24"/>
      <c r="E574" s="9" t="str">
        <f aca="false">IF(OR(A574="",B574="",C574=""),"",IF(D574="O",0,SUMIFS(Postes!$P$5:$P$124,Postes!$A$5:$A$124,A574,Postes!$B$5:$B$124,B574)))</f>
        <v/>
      </c>
    </row>
    <row r="575" customFormat="false" ht="15" hidden="false" customHeight="false" outlineLevel="0" collapsed="false">
      <c r="A575" s="16"/>
      <c r="B575" s="20"/>
      <c r="C575" s="20"/>
      <c r="D575" s="24"/>
      <c r="E575" s="9" t="str">
        <f aca="false">IF(OR(A575="",B575="",C575=""),"",IF(D575="O",0,SUMIFS(Postes!$P$5:$P$124,Postes!$A$5:$A$124,A575,Postes!$B$5:$B$124,B575)))</f>
        <v/>
      </c>
    </row>
    <row r="576" customFormat="false" ht="15" hidden="false" customHeight="false" outlineLevel="0" collapsed="false">
      <c r="A576" s="16"/>
      <c r="B576" s="20"/>
      <c r="C576" s="20"/>
      <c r="D576" s="24"/>
      <c r="E576" s="9" t="str">
        <f aca="false">IF(OR(A576="",B576="",C576=""),"",IF(D576="O",0,SUMIFS(Postes!$P$5:$P$124,Postes!$A$5:$A$124,A576,Postes!$B$5:$B$124,B576)))</f>
        <v/>
      </c>
    </row>
    <row r="577" customFormat="false" ht="15" hidden="false" customHeight="false" outlineLevel="0" collapsed="false">
      <c r="A577" s="16"/>
      <c r="B577" s="20"/>
      <c r="C577" s="20"/>
      <c r="D577" s="24"/>
      <c r="E577" s="9" t="str">
        <f aca="false">IF(OR(A577="",B577="",C577=""),"",IF(D577="O",0,SUMIFS(Postes!$P$5:$P$124,Postes!$A$5:$A$124,A577,Postes!$B$5:$B$124,B577)))</f>
        <v/>
      </c>
    </row>
    <row r="578" customFormat="false" ht="15" hidden="false" customHeight="false" outlineLevel="0" collapsed="false">
      <c r="A578" s="16"/>
      <c r="B578" s="20"/>
      <c r="C578" s="20"/>
      <c r="D578" s="24"/>
      <c r="E578" s="9" t="str">
        <f aca="false">IF(OR(A578="",B578="",C578=""),"",IF(D578="O",0,SUMIFS(Postes!$P$5:$P$124,Postes!$A$5:$A$124,A578,Postes!$B$5:$B$124,B578)))</f>
        <v/>
      </c>
    </row>
    <row r="579" customFormat="false" ht="15" hidden="false" customHeight="false" outlineLevel="0" collapsed="false">
      <c r="A579" s="16"/>
      <c r="B579" s="20"/>
      <c r="C579" s="20"/>
      <c r="D579" s="24"/>
      <c r="E579" s="9" t="str">
        <f aca="false">IF(OR(A579="",B579="",C579=""),"",IF(D579="O",0,SUMIFS(Postes!$P$5:$P$124,Postes!$A$5:$A$124,A579,Postes!$B$5:$B$124,B579)))</f>
        <v/>
      </c>
    </row>
    <row r="580" customFormat="false" ht="15" hidden="false" customHeight="false" outlineLevel="0" collapsed="false">
      <c r="A580" s="16"/>
      <c r="B580" s="20"/>
      <c r="C580" s="20"/>
      <c r="D580" s="24"/>
      <c r="E580" s="9" t="str">
        <f aca="false">IF(OR(A580="",B580="",C580=""),"",IF(D580="O",0,SUMIFS(Postes!$P$5:$P$124,Postes!$A$5:$A$124,A580,Postes!$B$5:$B$124,B580)))</f>
        <v/>
      </c>
    </row>
    <row r="581" customFormat="false" ht="15" hidden="false" customHeight="false" outlineLevel="0" collapsed="false">
      <c r="A581" s="16"/>
      <c r="B581" s="20"/>
      <c r="C581" s="20"/>
      <c r="D581" s="24"/>
      <c r="E581" s="9" t="str">
        <f aca="false">IF(OR(A581="",B581="",C581=""),"",IF(D581="O",0,SUMIFS(Postes!$P$5:$P$124,Postes!$A$5:$A$124,A581,Postes!$B$5:$B$124,B581)))</f>
        <v/>
      </c>
    </row>
    <row r="582" customFormat="false" ht="15" hidden="false" customHeight="false" outlineLevel="0" collapsed="false">
      <c r="A582" s="16"/>
      <c r="B582" s="20"/>
      <c r="C582" s="20"/>
      <c r="D582" s="24"/>
      <c r="E582" s="9" t="str">
        <f aca="false">IF(OR(A582="",B582="",C582=""),"",IF(D582="O",0,SUMIFS(Postes!$P$5:$P$124,Postes!$A$5:$A$124,A582,Postes!$B$5:$B$124,B582)))</f>
        <v/>
      </c>
    </row>
    <row r="583" customFormat="false" ht="15" hidden="false" customHeight="false" outlineLevel="0" collapsed="false">
      <c r="A583" s="16"/>
      <c r="B583" s="20"/>
      <c r="C583" s="20"/>
      <c r="D583" s="24"/>
      <c r="E583" s="9" t="str">
        <f aca="false">IF(OR(A583="",B583="",C583=""),"",IF(D583="O",0,SUMIFS(Postes!$P$5:$P$124,Postes!$A$5:$A$124,A583,Postes!$B$5:$B$124,B583)))</f>
        <v/>
      </c>
    </row>
    <row r="584" customFormat="false" ht="15" hidden="false" customHeight="false" outlineLevel="0" collapsed="false">
      <c r="A584" s="16"/>
      <c r="B584" s="20"/>
      <c r="C584" s="20"/>
      <c r="D584" s="24"/>
      <c r="E584" s="9" t="str">
        <f aca="false">IF(OR(A584="",B584="",C584=""),"",IF(D584="O",0,SUMIFS(Postes!$P$5:$P$124,Postes!$A$5:$A$124,A584,Postes!$B$5:$B$124,B584)))</f>
        <v/>
      </c>
    </row>
    <row r="585" customFormat="false" ht="15" hidden="false" customHeight="false" outlineLevel="0" collapsed="false">
      <c r="A585" s="16"/>
      <c r="B585" s="20"/>
      <c r="C585" s="20"/>
      <c r="D585" s="24"/>
      <c r="E585" s="9" t="str">
        <f aca="false">IF(OR(A585="",B585="",C585=""),"",IF(D585="O",0,SUMIFS(Postes!$P$5:$P$124,Postes!$A$5:$A$124,A585,Postes!$B$5:$B$124,B585)))</f>
        <v/>
      </c>
    </row>
    <row r="586" customFormat="false" ht="15" hidden="false" customHeight="false" outlineLevel="0" collapsed="false">
      <c r="A586" s="16"/>
      <c r="B586" s="20"/>
      <c r="C586" s="20"/>
      <c r="D586" s="24"/>
      <c r="E586" s="9" t="str">
        <f aca="false">IF(OR(A586="",B586="",C586=""),"",IF(D586="O",0,SUMIFS(Postes!$P$5:$P$124,Postes!$A$5:$A$124,A586,Postes!$B$5:$B$124,B586)))</f>
        <v/>
      </c>
    </row>
    <row r="587" customFormat="false" ht="15" hidden="false" customHeight="false" outlineLevel="0" collapsed="false">
      <c r="A587" s="16"/>
      <c r="B587" s="20"/>
      <c r="C587" s="20"/>
      <c r="D587" s="24"/>
      <c r="E587" s="9" t="str">
        <f aca="false">IF(OR(A587="",B587="",C587=""),"",IF(D587="O",0,SUMIFS(Postes!$P$5:$P$124,Postes!$A$5:$A$124,A587,Postes!$B$5:$B$124,B587)))</f>
        <v/>
      </c>
    </row>
    <row r="588" customFormat="false" ht="15" hidden="false" customHeight="false" outlineLevel="0" collapsed="false">
      <c r="A588" s="16"/>
      <c r="B588" s="20"/>
      <c r="C588" s="20"/>
      <c r="D588" s="24"/>
      <c r="E588" s="9" t="str">
        <f aca="false">IF(OR(A588="",B588="",C588=""),"",IF(D588="O",0,SUMIFS(Postes!$P$5:$P$124,Postes!$A$5:$A$124,A588,Postes!$B$5:$B$124,B588)))</f>
        <v/>
      </c>
    </row>
    <row r="589" customFormat="false" ht="15" hidden="false" customHeight="false" outlineLevel="0" collapsed="false">
      <c r="A589" s="16"/>
      <c r="B589" s="20"/>
      <c r="C589" s="20"/>
      <c r="D589" s="24"/>
      <c r="E589" s="9" t="str">
        <f aca="false">IF(OR(A589="",B589="",C589=""),"",IF(D589="O",0,SUMIFS(Postes!$P$5:$P$124,Postes!$A$5:$A$124,A589,Postes!$B$5:$B$124,B589)))</f>
        <v/>
      </c>
    </row>
    <row r="590" customFormat="false" ht="15" hidden="false" customHeight="false" outlineLevel="0" collapsed="false">
      <c r="A590" s="16"/>
      <c r="B590" s="20"/>
      <c r="C590" s="20"/>
      <c r="D590" s="24"/>
      <c r="E590" s="9" t="str">
        <f aca="false">IF(OR(A590="",B590="",C590=""),"",IF(D590="O",0,SUMIFS(Postes!$P$5:$P$124,Postes!$A$5:$A$124,A590,Postes!$B$5:$B$124,B590)))</f>
        <v/>
      </c>
    </row>
    <row r="591" customFormat="false" ht="15" hidden="false" customHeight="false" outlineLevel="0" collapsed="false">
      <c r="A591" s="16"/>
      <c r="B591" s="20"/>
      <c r="C591" s="20"/>
      <c r="D591" s="24"/>
      <c r="E591" s="9" t="str">
        <f aca="false">IF(OR(A591="",B591="",C591=""),"",IF(D591="O",0,SUMIFS(Postes!$P$5:$P$124,Postes!$A$5:$A$124,A591,Postes!$B$5:$B$124,B591)))</f>
        <v/>
      </c>
    </row>
    <row r="592" customFormat="false" ht="15" hidden="false" customHeight="false" outlineLevel="0" collapsed="false">
      <c r="A592" s="16"/>
      <c r="B592" s="20"/>
      <c r="C592" s="20"/>
      <c r="D592" s="24"/>
      <c r="E592" s="9" t="str">
        <f aca="false">IF(OR(A592="",B592="",C592=""),"",IF(D592="O",0,SUMIFS(Postes!$P$5:$P$124,Postes!$A$5:$A$124,A592,Postes!$B$5:$B$124,B592)))</f>
        <v/>
      </c>
    </row>
    <row r="593" customFormat="false" ht="15" hidden="false" customHeight="false" outlineLevel="0" collapsed="false">
      <c r="A593" s="16"/>
      <c r="B593" s="20"/>
      <c r="C593" s="20"/>
      <c r="D593" s="24"/>
      <c r="E593" s="9" t="str">
        <f aca="false">IF(OR(A593="",B593="",C593=""),"",IF(D593="O",0,SUMIFS(Postes!$P$5:$P$124,Postes!$A$5:$A$124,A593,Postes!$B$5:$B$124,B593)))</f>
        <v/>
      </c>
    </row>
    <row r="594" customFormat="false" ht="15" hidden="false" customHeight="false" outlineLevel="0" collapsed="false">
      <c r="A594" s="16"/>
      <c r="B594" s="20"/>
      <c r="C594" s="20"/>
      <c r="D594" s="24"/>
      <c r="E594" s="9" t="str">
        <f aca="false">IF(OR(A594="",B594="",C594=""),"",IF(D594="O",0,SUMIFS(Postes!$P$5:$P$124,Postes!$A$5:$A$124,A594,Postes!$B$5:$B$124,B594)))</f>
        <v/>
      </c>
    </row>
    <row r="595" customFormat="false" ht="15" hidden="false" customHeight="false" outlineLevel="0" collapsed="false">
      <c r="A595" s="16"/>
      <c r="B595" s="20"/>
      <c r="C595" s="20"/>
      <c r="D595" s="24"/>
      <c r="E595" s="9" t="str">
        <f aca="false">IF(OR(A595="",B595="",C595=""),"",IF(D595="O",0,SUMIFS(Postes!$P$5:$P$124,Postes!$A$5:$A$124,A595,Postes!$B$5:$B$124,B595)))</f>
        <v/>
      </c>
    </row>
    <row r="596" customFormat="false" ht="15" hidden="false" customHeight="false" outlineLevel="0" collapsed="false">
      <c r="A596" s="16"/>
      <c r="B596" s="20"/>
      <c r="C596" s="20"/>
      <c r="D596" s="24"/>
      <c r="E596" s="9" t="str">
        <f aca="false">IF(OR(A596="",B596="",C596=""),"",IF(D596="O",0,SUMIFS(Postes!$P$5:$P$124,Postes!$A$5:$A$124,A596,Postes!$B$5:$B$124,B596)))</f>
        <v/>
      </c>
    </row>
    <row r="597" customFormat="false" ht="15" hidden="false" customHeight="false" outlineLevel="0" collapsed="false">
      <c r="A597" s="16"/>
      <c r="B597" s="20"/>
      <c r="C597" s="20"/>
      <c r="D597" s="24"/>
      <c r="E597" s="9" t="str">
        <f aca="false">IF(OR(A597="",B597="",C597=""),"",IF(D597="O",0,SUMIFS(Postes!$P$5:$P$124,Postes!$A$5:$A$124,A597,Postes!$B$5:$B$124,B597)))</f>
        <v/>
      </c>
    </row>
    <row r="598" customFormat="false" ht="15" hidden="false" customHeight="false" outlineLevel="0" collapsed="false">
      <c r="A598" s="16"/>
      <c r="B598" s="20"/>
      <c r="C598" s="20"/>
      <c r="D598" s="24"/>
      <c r="E598" s="9" t="str">
        <f aca="false">IF(OR(A598="",B598="",C598=""),"",IF(D598="O",0,SUMIFS(Postes!$P$5:$P$124,Postes!$A$5:$A$124,A598,Postes!$B$5:$B$124,B598)))</f>
        <v/>
      </c>
    </row>
    <row r="599" customFormat="false" ht="15" hidden="false" customHeight="false" outlineLevel="0" collapsed="false">
      <c r="A599" s="16"/>
      <c r="B599" s="20"/>
      <c r="C599" s="20"/>
      <c r="D599" s="24"/>
      <c r="E599" s="9" t="str">
        <f aca="false">IF(OR(A599="",B599="",C599=""),"",IF(D599="O",0,SUMIFS(Postes!$P$5:$P$124,Postes!$A$5:$A$124,A599,Postes!$B$5:$B$124,B599)))</f>
        <v/>
      </c>
    </row>
    <row r="600" customFormat="false" ht="15" hidden="false" customHeight="false" outlineLevel="0" collapsed="false">
      <c r="A600" s="16"/>
      <c r="B600" s="20"/>
      <c r="C600" s="20"/>
      <c r="D600" s="24"/>
      <c r="E600" s="9" t="str">
        <f aca="false">IF(OR(A600="",B600="",C600=""),"",IF(D600="O",0,SUMIFS(Postes!$P$5:$P$124,Postes!$A$5:$A$124,A600,Postes!$B$5:$B$124,B600)))</f>
        <v/>
      </c>
    </row>
    <row r="601" customFormat="false" ht="15" hidden="false" customHeight="false" outlineLevel="0" collapsed="false">
      <c r="A601" s="16"/>
      <c r="B601" s="20"/>
      <c r="C601" s="20"/>
      <c r="D601" s="24"/>
      <c r="E601" s="9" t="str">
        <f aca="false">IF(OR(A601="",B601="",C601=""),"",IF(D601="O",0,SUMIFS(Postes!$P$5:$P$124,Postes!$A$5:$A$124,A601,Postes!$B$5:$B$124,B601)))</f>
        <v/>
      </c>
    </row>
    <row r="602" customFormat="false" ht="15" hidden="false" customHeight="false" outlineLevel="0" collapsed="false">
      <c r="A602" s="16"/>
      <c r="B602" s="20"/>
      <c r="C602" s="20"/>
      <c r="D602" s="24"/>
      <c r="E602" s="9" t="str">
        <f aca="false">IF(OR(A602="",B602="",C602=""),"",IF(D602="O",0,SUMIFS(Postes!$P$5:$P$124,Postes!$A$5:$A$124,A602,Postes!$B$5:$B$124,B602)))</f>
        <v/>
      </c>
    </row>
    <row r="603" customFormat="false" ht="15" hidden="false" customHeight="false" outlineLevel="0" collapsed="false">
      <c r="A603" s="16"/>
      <c r="B603" s="20"/>
      <c r="C603" s="20"/>
      <c r="D603" s="24"/>
      <c r="E603" s="9" t="str">
        <f aca="false">IF(OR(A603="",B603="",C603=""),"",IF(D603="O",0,SUMIFS(Postes!$P$5:$P$124,Postes!$A$5:$A$124,A603,Postes!$B$5:$B$124,B603)))</f>
        <v/>
      </c>
    </row>
    <row r="604" customFormat="false" ht="15" hidden="false" customHeight="false" outlineLevel="0" collapsed="false">
      <c r="A604" s="16"/>
      <c r="B604" s="20"/>
      <c r="C604" s="20"/>
      <c r="D604" s="24"/>
      <c r="E604" s="9" t="str">
        <f aca="false">IF(OR(A604="",B604="",C604=""),"",IF(D604="O",0,SUMIFS(Postes!$P$5:$P$124,Postes!$A$5:$A$124,A604,Postes!$B$5:$B$124,B604)))</f>
        <v/>
      </c>
    </row>
    <row r="605" customFormat="false" ht="15" hidden="false" customHeight="false" outlineLevel="0" collapsed="false">
      <c r="A605" s="16"/>
      <c r="B605" s="20"/>
      <c r="C605" s="20"/>
      <c r="D605" s="24"/>
      <c r="E605" s="9" t="str">
        <f aca="false">IF(OR(A605="",B605="",C605=""),"",IF(D605="O",0,SUMIFS(Postes!$P$5:$P$124,Postes!$A$5:$A$124,A605,Postes!$B$5:$B$124,B605)))</f>
        <v/>
      </c>
    </row>
    <row r="606" customFormat="false" ht="15" hidden="false" customHeight="false" outlineLevel="0" collapsed="false">
      <c r="A606" s="16"/>
      <c r="B606" s="20"/>
      <c r="C606" s="20"/>
      <c r="D606" s="24"/>
      <c r="E606" s="9" t="str">
        <f aca="false">IF(OR(A606="",B606="",C606=""),"",IF(D606="O",0,SUMIFS(Postes!$P$5:$P$124,Postes!$A$5:$A$124,A606,Postes!$B$5:$B$124,B606)))</f>
        <v/>
      </c>
    </row>
    <row r="607" customFormat="false" ht="15" hidden="false" customHeight="false" outlineLevel="0" collapsed="false">
      <c r="A607" s="16"/>
      <c r="B607" s="20"/>
      <c r="C607" s="20"/>
      <c r="D607" s="24"/>
      <c r="E607" s="9" t="str">
        <f aca="false">IF(OR(A607="",B607="",C607=""),"",IF(D607="O",0,SUMIFS(Postes!$P$5:$P$124,Postes!$A$5:$A$124,A607,Postes!$B$5:$B$124,B607)))</f>
        <v/>
      </c>
    </row>
    <row r="608" customFormat="false" ht="15" hidden="false" customHeight="false" outlineLevel="0" collapsed="false">
      <c r="A608" s="16"/>
      <c r="B608" s="20"/>
      <c r="C608" s="20"/>
      <c r="D608" s="24"/>
      <c r="E608" s="9" t="str">
        <f aca="false">IF(OR(A608="",B608="",C608=""),"",IF(D608="O",0,SUMIFS(Postes!$P$5:$P$124,Postes!$A$5:$A$124,A608,Postes!$B$5:$B$124,B608)))</f>
        <v/>
      </c>
    </row>
    <row r="609" customFormat="false" ht="15" hidden="false" customHeight="false" outlineLevel="0" collapsed="false">
      <c r="A609" s="16"/>
      <c r="B609" s="20"/>
      <c r="C609" s="20"/>
      <c r="D609" s="24"/>
      <c r="E609" s="9" t="str">
        <f aca="false">IF(OR(A609="",B609="",C609=""),"",IF(D609="O",0,SUMIFS(Postes!$P$5:$P$124,Postes!$A$5:$A$124,A609,Postes!$B$5:$B$124,B609)))</f>
        <v/>
      </c>
    </row>
    <row r="610" customFormat="false" ht="15" hidden="false" customHeight="false" outlineLevel="0" collapsed="false">
      <c r="A610" s="16"/>
      <c r="B610" s="20"/>
      <c r="C610" s="20"/>
      <c r="D610" s="24"/>
      <c r="E610" s="9" t="str">
        <f aca="false">IF(OR(A610="",B610="",C610=""),"",IF(D610="O",0,SUMIFS(Postes!$P$5:$P$124,Postes!$A$5:$A$124,A610,Postes!$B$5:$B$124,B610)))</f>
        <v/>
      </c>
    </row>
    <row r="611" customFormat="false" ht="15" hidden="false" customHeight="false" outlineLevel="0" collapsed="false">
      <c r="A611" s="16"/>
      <c r="B611" s="20"/>
      <c r="C611" s="20"/>
      <c r="D611" s="24"/>
      <c r="E611" s="9" t="str">
        <f aca="false">IF(OR(A611="",B611="",C611=""),"",IF(D611="O",0,SUMIFS(Postes!$P$5:$P$124,Postes!$A$5:$A$124,A611,Postes!$B$5:$B$124,B611)))</f>
        <v/>
      </c>
    </row>
    <row r="612" customFormat="false" ht="15" hidden="false" customHeight="false" outlineLevel="0" collapsed="false">
      <c r="A612" s="16"/>
      <c r="B612" s="20"/>
      <c r="C612" s="20"/>
      <c r="D612" s="24"/>
      <c r="E612" s="9" t="str">
        <f aca="false">IF(OR(A612="",B612="",C612=""),"",IF(D612="O",0,SUMIFS(Postes!$P$5:$P$124,Postes!$A$5:$A$124,A612,Postes!$B$5:$B$124,B612)))</f>
        <v/>
      </c>
    </row>
    <row r="613" customFormat="false" ht="15" hidden="false" customHeight="false" outlineLevel="0" collapsed="false">
      <c r="A613" s="16"/>
      <c r="B613" s="20"/>
      <c r="C613" s="20"/>
      <c r="D613" s="24"/>
      <c r="E613" s="9" t="str">
        <f aca="false">IF(OR(A613="",B613="",C613=""),"",IF(D613="O",0,SUMIFS(Postes!$P$5:$P$124,Postes!$A$5:$A$124,A613,Postes!$B$5:$B$124,B613)))</f>
        <v/>
      </c>
    </row>
    <row r="614" customFormat="false" ht="15" hidden="false" customHeight="false" outlineLevel="0" collapsed="false">
      <c r="A614" s="16"/>
      <c r="B614" s="20"/>
      <c r="C614" s="20"/>
      <c r="D614" s="24"/>
      <c r="E614" s="9" t="str">
        <f aca="false">IF(OR(A614="",B614="",C614=""),"",IF(D614="O",0,SUMIFS(Postes!$P$5:$P$124,Postes!$A$5:$A$124,A614,Postes!$B$5:$B$124,B614)))</f>
        <v/>
      </c>
    </row>
    <row r="615" customFormat="false" ht="15" hidden="false" customHeight="false" outlineLevel="0" collapsed="false">
      <c r="A615" s="16"/>
      <c r="B615" s="20"/>
      <c r="C615" s="20"/>
      <c r="D615" s="24"/>
      <c r="E615" s="9" t="str">
        <f aca="false">IF(OR(A615="",B615="",C615=""),"",IF(D615="O",0,SUMIFS(Postes!$P$5:$P$124,Postes!$A$5:$A$124,A615,Postes!$B$5:$B$124,B615)))</f>
        <v/>
      </c>
    </row>
    <row r="616" customFormat="false" ht="15" hidden="false" customHeight="false" outlineLevel="0" collapsed="false">
      <c r="A616" s="16"/>
      <c r="B616" s="20"/>
      <c r="C616" s="20"/>
      <c r="D616" s="24"/>
      <c r="E616" s="9" t="str">
        <f aca="false">IF(OR(A616="",B616="",C616=""),"",IF(D616="O",0,SUMIFS(Postes!$P$5:$P$124,Postes!$A$5:$A$124,A616,Postes!$B$5:$B$124,B616)))</f>
        <v/>
      </c>
    </row>
    <row r="617" customFormat="false" ht="15" hidden="false" customHeight="false" outlineLevel="0" collapsed="false">
      <c r="A617" s="16"/>
      <c r="B617" s="20"/>
      <c r="C617" s="20"/>
      <c r="D617" s="24"/>
      <c r="E617" s="9" t="str">
        <f aca="false">IF(OR(A617="",B617="",C617=""),"",IF(D617="O",0,SUMIFS(Postes!$P$5:$P$124,Postes!$A$5:$A$124,A617,Postes!$B$5:$B$124,B617)))</f>
        <v/>
      </c>
    </row>
    <row r="618" customFormat="false" ht="15" hidden="false" customHeight="false" outlineLevel="0" collapsed="false">
      <c r="A618" s="16"/>
      <c r="B618" s="20"/>
      <c r="C618" s="20"/>
      <c r="D618" s="24"/>
      <c r="E618" s="9" t="str">
        <f aca="false">IF(OR(A618="",B618="",C618=""),"",IF(D618="O",0,SUMIFS(Postes!$P$5:$P$124,Postes!$A$5:$A$124,A618,Postes!$B$5:$B$124,B618)))</f>
        <v/>
      </c>
    </row>
    <row r="619" customFormat="false" ht="15" hidden="false" customHeight="false" outlineLevel="0" collapsed="false">
      <c r="A619" s="16"/>
      <c r="B619" s="20"/>
      <c r="C619" s="20"/>
      <c r="D619" s="24"/>
      <c r="E619" s="9" t="str">
        <f aca="false">IF(OR(A619="",B619="",C619=""),"",IF(D619="O",0,SUMIFS(Postes!$P$5:$P$124,Postes!$A$5:$A$124,A619,Postes!$B$5:$B$124,B619)))</f>
        <v/>
      </c>
    </row>
    <row r="620" customFormat="false" ht="15" hidden="false" customHeight="false" outlineLevel="0" collapsed="false">
      <c r="A620" s="16"/>
      <c r="B620" s="20"/>
      <c r="C620" s="20"/>
      <c r="D620" s="24"/>
      <c r="E620" s="9" t="str">
        <f aca="false">IF(OR(A620="",B620="",C620=""),"",IF(D620="O",0,SUMIFS(Postes!$P$5:$P$124,Postes!$A$5:$A$124,A620,Postes!$B$5:$B$124,B620)))</f>
        <v/>
      </c>
    </row>
    <row r="621" customFormat="false" ht="15" hidden="false" customHeight="false" outlineLevel="0" collapsed="false">
      <c r="A621" s="16"/>
      <c r="B621" s="20"/>
      <c r="C621" s="20"/>
      <c r="D621" s="24"/>
      <c r="E621" s="9" t="str">
        <f aca="false">IF(OR(A621="",B621="",C621=""),"",IF(D621="O",0,SUMIFS(Postes!$P$5:$P$124,Postes!$A$5:$A$124,A621,Postes!$B$5:$B$124,B621)))</f>
        <v/>
      </c>
    </row>
    <row r="622" customFormat="false" ht="15" hidden="false" customHeight="false" outlineLevel="0" collapsed="false">
      <c r="A622" s="16"/>
      <c r="B622" s="20"/>
      <c r="C622" s="20"/>
      <c r="D622" s="24"/>
      <c r="E622" s="9" t="str">
        <f aca="false">IF(OR(A622="",B622="",C622=""),"",IF(D622="O",0,SUMIFS(Postes!$P$5:$P$124,Postes!$A$5:$A$124,A622,Postes!$B$5:$B$124,B622)))</f>
        <v/>
      </c>
    </row>
    <row r="623" customFormat="false" ht="15" hidden="false" customHeight="false" outlineLevel="0" collapsed="false">
      <c r="A623" s="16"/>
      <c r="B623" s="20"/>
      <c r="C623" s="20"/>
      <c r="D623" s="24"/>
      <c r="E623" s="9" t="str">
        <f aca="false">IF(OR(A623="",B623="",C623=""),"",IF(D623="O",0,SUMIFS(Postes!$P$5:$P$124,Postes!$A$5:$A$124,A623,Postes!$B$5:$B$124,B623)))</f>
        <v/>
      </c>
    </row>
    <row r="624" customFormat="false" ht="15" hidden="false" customHeight="false" outlineLevel="0" collapsed="false">
      <c r="A624" s="16"/>
      <c r="B624" s="20"/>
      <c r="C624" s="20"/>
      <c r="D624" s="24"/>
      <c r="E624" s="9" t="str">
        <f aca="false">IF(OR(A624="",B624="",C624=""),"",IF(D624="O",0,SUMIFS(Postes!$P$5:$P$124,Postes!$A$5:$A$124,A624,Postes!$B$5:$B$124,B624)))</f>
        <v/>
      </c>
    </row>
    <row r="625" customFormat="false" ht="15" hidden="false" customHeight="false" outlineLevel="0" collapsed="false">
      <c r="A625" s="16"/>
      <c r="B625" s="20"/>
      <c r="C625" s="20"/>
      <c r="D625" s="24"/>
      <c r="E625" s="9" t="str">
        <f aca="false">IF(OR(A625="",B625="",C625=""),"",IF(D625="O",0,SUMIFS(Postes!$P$5:$P$124,Postes!$A$5:$A$124,A625,Postes!$B$5:$B$124,B625)))</f>
        <v/>
      </c>
    </row>
    <row r="626" customFormat="false" ht="15" hidden="false" customHeight="false" outlineLevel="0" collapsed="false">
      <c r="A626" s="16"/>
      <c r="B626" s="20"/>
      <c r="C626" s="20"/>
      <c r="D626" s="24"/>
      <c r="E626" s="9" t="str">
        <f aca="false">IF(OR(A626="",B626="",C626=""),"",IF(D626="O",0,SUMIFS(Postes!$P$5:$P$124,Postes!$A$5:$A$124,A626,Postes!$B$5:$B$124,B626)))</f>
        <v/>
      </c>
    </row>
    <row r="627" customFormat="false" ht="15" hidden="false" customHeight="false" outlineLevel="0" collapsed="false">
      <c r="A627" s="16"/>
      <c r="B627" s="20"/>
      <c r="C627" s="20"/>
      <c r="D627" s="24"/>
      <c r="E627" s="9" t="str">
        <f aca="false">IF(OR(A627="",B627="",C627=""),"",IF(D627="O",0,SUMIFS(Postes!$P$5:$P$124,Postes!$A$5:$A$124,A627,Postes!$B$5:$B$124,B627)))</f>
        <v/>
      </c>
    </row>
    <row r="628" customFormat="false" ht="15" hidden="false" customHeight="false" outlineLevel="0" collapsed="false">
      <c r="A628" s="16"/>
      <c r="B628" s="20"/>
      <c r="C628" s="20"/>
      <c r="D628" s="24"/>
      <c r="E628" s="9" t="str">
        <f aca="false">IF(OR(A628="",B628="",C628=""),"",IF(D628="O",0,SUMIFS(Postes!$P$5:$P$124,Postes!$A$5:$A$124,A628,Postes!$B$5:$B$124,B628)))</f>
        <v/>
      </c>
    </row>
    <row r="629" customFormat="false" ht="15" hidden="false" customHeight="false" outlineLevel="0" collapsed="false">
      <c r="A629" s="16"/>
      <c r="B629" s="20"/>
      <c r="C629" s="20"/>
      <c r="D629" s="24"/>
      <c r="E629" s="9" t="str">
        <f aca="false">IF(OR(A629="",B629="",C629=""),"",IF(D629="O",0,SUMIFS(Postes!$P$5:$P$124,Postes!$A$5:$A$124,A629,Postes!$B$5:$B$124,B629)))</f>
        <v/>
      </c>
    </row>
    <row r="630" customFormat="false" ht="15" hidden="false" customHeight="false" outlineLevel="0" collapsed="false">
      <c r="A630" s="16"/>
      <c r="B630" s="20"/>
      <c r="C630" s="20"/>
      <c r="D630" s="24"/>
      <c r="E630" s="9" t="str">
        <f aca="false">IF(OR(A630="",B630="",C630=""),"",IF(D630="O",0,SUMIFS(Postes!$P$5:$P$124,Postes!$A$5:$A$124,A630,Postes!$B$5:$B$124,B630)))</f>
        <v/>
      </c>
    </row>
    <row r="631" customFormat="false" ht="15" hidden="false" customHeight="false" outlineLevel="0" collapsed="false">
      <c r="A631" s="16"/>
      <c r="B631" s="20"/>
      <c r="C631" s="20"/>
      <c r="D631" s="24"/>
      <c r="E631" s="9" t="str">
        <f aca="false">IF(OR(A631="",B631="",C631=""),"",IF(D631="O",0,SUMIFS(Postes!$P$5:$P$124,Postes!$A$5:$A$124,A631,Postes!$B$5:$B$124,B631)))</f>
        <v/>
      </c>
    </row>
    <row r="632" customFormat="false" ht="15" hidden="false" customHeight="false" outlineLevel="0" collapsed="false">
      <c r="A632" s="16"/>
      <c r="B632" s="20"/>
      <c r="C632" s="20"/>
      <c r="D632" s="24"/>
      <c r="E632" s="9" t="str">
        <f aca="false">IF(OR(A632="",B632="",C632=""),"",IF(D632="O",0,SUMIFS(Postes!$P$5:$P$124,Postes!$A$5:$A$124,A632,Postes!$B$5:$B$124,B632)))</f>
        <v/>
      </c>
    </row>
    <row r="633" customFormat="false" ht="15" hidden="false" customHeight="false" outlineLevel="0" collapsed="false">
      <c r="A633" s="16"/>
      <c r="B633" s="20"/>
      <c r="C633" s="20"/>
      <c r="D633" s="24"/>
      <c r="E633" s="9" t="str">
        <f aca="false">IF(OR(A633="",B633="",C633=""),"",IF(D633="O",0,SUMIFS(Postes!$P$5:$P$124,Postes!$A$5:$A$124,A633,Postes!$B$5:$B$124,B633)))</f>
        <v/>
      </c>
    </row>
    <row r="634" customFormat="false" ht="15" hidden="false" customHeight="false" outlineLevel="0" collapsed="false">
      <c r="A634" s="16"/>
      <c r="B634" s="20"/>
      <c r="C634" s="20"/>
      <c r="D634" s="24"/>
      <c r="E634" s="9" t="str">
        <f aca="false">IF(OR(A634="",B634="",C634=""),"",IF(D634="O",0,SUMIFS(Postes!$P$5:$P$124,Postes!$A$5:$A$124,A634,Postes!$B$5:$B$124,B634)))</f>
        <v/>
      </c>
    </row>
    <row r="635" customFormat="false" ht="15" hidden="false" customHeight="false" outlineLevel="0" collapsed="false">
      <c r="A635" s="16"/>
      <c r="B635" s="20"/>
      <c r="C635" s="20"/>
      <c r="D635" s="24"/>
      <c r="E635" s="9" t="str">
        <f aca="false">IF(OR(A635="",B635="",C635=""),"",IF(D635="O",0,SUMIFS(Postes!$P$5:$P$124,Postes!$A$5:$A$124,A635,Postes!$B$5:$B$124,B635)))</f>
        <v/>
      </c>
    </row>
    <row r="636" customFormat="false" ht="15" hidden="false" customHeight="false" outlineLevel="0" collapsed="false">
      <c r="A636" s="16"/>
      <c r="B636" s="20"/>
      <c r="C636" s="20"/>
      <c r="D636" s="24"/>
      <c r="E636" s="9" t="str">
        <f aca="false">IF(OR(A636="",B636="",C636=""),"",IF(D636="O",0,SUMIFS(Postes!$P$5:$P$124,Postes!$A$5:$A$124,A636,Postes!$B$5:$B$124,B636)))</f>
        <v/>
      </c>
    </row>
    <row r="637" customFormat="false" ht="15" hidden="false" customHeight="false" outlineLevel="0" collapsed="false">
      <c r="A637" s="16"/>
      <c r="B637" s="20"/>
      <c r="C637" s="20"/>
      <c r="D637" s="24"/>
      <c r="E637" s="9" t="str">
        <f aca="false">IF(OR(A637="",B637="",C637=""),"",IF(D637="O",0,SUMIFS(Postes!$P$5:$P$124,Postes!$A$5:$A$124,A637,Postes!$B$5:$B$124,B637)))</f>
        <v/>
      </c>
    </row>
    <row r="638" customFormat="false" ht="15" hidden="false" customHeight="false" outlineLevel="0" collapsed="false">
      <c r="A638" s="16"/>
      <c r="B638" s="20"/>
      <c r="C638" s="20"/>
      <c r="D638" s="24"/>
      <c r="E638" s="9" t="str">
        <f aca="false">IF(OR(A638="",B638="",C638=""),"",IF(D638="O",0,SUMIFS(Postes!$P$5:$P$124,Postes!$A$5:$A$124,A638,Postes!$B$5:$B$124,B638)))</f>
        <v/>
      </c>
    </row>
    <row r="639" customFormat="false" ht="15" hidden="false" customHeight="false" outlineLevel="0" collapsed="false">
      <c r="A639" s="16"/>
      <c r="B639" s="20"/>
      <c r="C639" s="20"/>
      <c r="D639" s="24"/>
      <c r="E639" s="9" t="str">
        <f aca="false">IF(OR(A639="",B639="",C639=""),"",IF(D639="O",0,SUMIFS(Postes!$P$5:$P$124,Postes!$A$5:$A$124,A639,Postes!$B$5:$B$124,B639)))</f>
        <v/>
      </c>
    </row>
    <row r="640" customFormat="false" ht="15" hidden="false" customHeight="false" outlineLevel="0" collapsed="false">
      <c r="A640" s="16"/>
      <c r="B640" s="20"/>
      <c r="C640" s="20"/>
      <c r="D640" s="24"/>
      <c r="E640" s="9" t="str">
        <f aca="false">IF(OR(A640="",B640="",C640=""),"",IF(D640="O",0,SUMIFS(Postes!$P$5:$P$124,Postes!$A$5:$A$124,A640,Postes!$B$5:$B$124,B640)))</f>
        <v/>
      </c>
    </row>
    <row r="641" customFormat="false" ht="15" hidden="false" customHeight="false" outlineLevel="0" collapsed="false">
      <c r="A641" s="16"/>
      <c r="B641" s="20"/>
      <c r="C641" s="20"/>
      <c r="D641" s="24"/>
      <c r="E641" s="9" t="str">
        <f aca="false">IF(OR(A641="",B641="",C641=""),"",IF(D641="O",0,SUMIFS(Postes!$P$5:$P$124,Postes!$A$5:$A$124,A641,Postes!$B$5:$B$124,B641)))</f>
        <v/>
      </c>
    </row>
    <row r="642" customFormat="false" ht="15" hidden="false" customHeight="false" outlineLevel="0" collapsed="false">
      <c r="A642" s="16"/>
      <c r="B642" s="20"/>
      <c r="C642" s="20"/>
      <c r="D642" s="24"/>
      <c r="E642" s="9" t="str">
        <f aca="false">IF(OR(A642="",B642="",C642=""),"",IF(D642="O",0,SUMIFS(Postes!$P$5:$P$124,Postes!$A$5:$A$124,A642,Postes!$B$5:$B$124,B642)))</f>
        <v/>
      </c>
    </row>
    <row r="643" customFormat="false" ht="15" hidden="false" customHeight="false" outlineLevel="0" collapsed="false">
      <c r="A643" s="16"/>
      <c r="B643" s="20"/>
      <c r="C643" s="20"/>
      <c r="D643" s="24"/>
      <c r="E643" s="9" t="str">
        <f aca="false">IF(OR(A643="",B643="",C643=""),"",IF(D643="O",0,SUMIFS(Postes!$P$5:$P$124,Postes!$A$5:$A$124,A643,Postes!$B$5:$B$124,B643)))</f>
        <v/>
      </c>
    </row>
    <row r="644" customFormat="false" ht="15" hidden="false" customHeight="false" outlineLevel="0" collapsed="false">
      <c r="A644" s="16"/>
      <c r="B644" s="20"/>
      <c r="C644" s="20"/>
      <c r="D644" s="24"/>
      <c r="E644" s="9" t="str">
        <f aca="false">IF(OR(A644="",B644="",C644=""),"",IF(D644="O",0,SUMIFS(Postes!$P$5:$P$124,Postes!$A$5:$A$124,A644,Postes!$B$5:$B$124,B644)))</f>
        <v/>
      </c>
    </row>
    <row r="645" customFormat="false" ht="15" hidden="false" customHeight="false" outlineLevel="0" collapsed="false">
      <c r="A645" s="16"/>
      <c r="B645" s="20"/>
      <c r="C645" s="20"/>
      <c r="D645" s="24"/>
      <c r="E645" s="9" t="str">
        <f aca="false">IF(OR(A645="",B645="",C645=""),"",IF(D645="O",0,SUMIFS(Postes!$P$5:$P$124,Postes!$A$5:$A$124,A645,Postes!$B$5:$B$124,B645)))</f>
        <v/>
      </c>
    </row>
    <row r="646" customFormat="false" ht="15" hidden="false" customHeight="false" outlineLevel="0" collapsed="false">
      <c r="A646" s="16"/>
      <c r="B646" s="20"/>
      <c r="C646" s="20"/>
      <c r="D646" s="24"/>
      <c r="E646" s="9" t="str">
        <f aca="false">IF(OR(A646="",B646="",C646=""),"",IF(D646="O",0,SUMIFS(Postes!$P$5:$P$124,Postes!$A$5:$A$124,A646,Postes!$B$5:$B$124,B646)))</f>
        <v/>
      </c>
    </row>
    <row r="647" customFormat="false" ht="15" hidden="false" customHeight="false" outlineLevel="0" collapsed="false">
      <c r="A647" s="16"/>
      <c r="B647" s="20"/>
      <c r="C647" s="20"/>
      <c r="D647" s="24"/>
      <c r="E647" s="9" t="str">
        <f aca="false">IF(OR(A647="",B647="",C647=""),"",IF(D647="O",0,SUMIFS(Postes!$P$5:$P$124,Postes!$A$5:$A$124,A647,Postes!$B$5:$B$124,B647)))</f>
        <v/>
      </c>
    </row>
    <row r="648" customFormat="false" ht="15" hidden="false" customHeight="false" outlineLevel="0" collapsed="false">
      <c r="A648" s="16"/>
      <c r="B648" s="20"/>
      <c r="C648" s="20"/>
      <c r="D648" s="24"/>
      <c r="E648" s="9" t="str">
        <f aca="false">IF(OR(A648="",B648="",C648=""),"",IF(D648="O",0,SUMIFS(Postes!$P$5:$P$124,Postes!$A$5:$A$124,A648,Postes!$B$5:$B$124,B648)))</f>
        <v/>
      </c>
    </row>
    <row r="649" customFormat="false" ht="15" hidden="false" customHeight="false" outlineLevel="0" collapsed="false">
      <c r="A649" s="16"/>
      <c r="B649" s="20"/>
      <c r="C649" s="20"/>
      <c r="D649" s="24"/>
      <c r="E649" s="9" t="str">
        <f aca="false">IF(OR(A649="",B649="",C649=""),"",IF(D649="O",0,SUMIFS(Postes!$P$5:$P$124,Postes!$A$5:$A$124,A649,Postes!$B$5:$B$124,B649)))</f>
        <v/>
      </c>
    </row>
    <row r="650" customFormat="false" ht="15" hidden="false" customHeight="false" outlineLevel="0" collapsed="false">
      <c r="A650" s="16"/>
      <c r="B650" s="20"/>
      <c r="C650" s="20"/>
      <c r="D650" s="24"/>
      <c r="E650" s="9" t="str">
        <f aca="false">IF(OR(A650="",B650="",C650=""),"",IF(D650="O",0,SUMIFS(Postes!$P$5:$P$124,Postes!$A$5:$A$124,A650,Postes!$B$5:$B$124,B650)))</f>
        <v/>
      </c>
    </row>
    <row r="651" customFormat="false" ht="15" hidden="false" customHeight="false" outlineLevel="0" collapsed="false">
      <c r="A651" s="16"/>
      <c r="B651" s="20"/>
      <c r="C651" s="20"/>
      <c r="D651" s="24"/>
      <c r="E651" s="9" t="str">
        <f aca="false">IF(OR(A651="",B651="",C651=""),"",IF(D651="O",0,SUMIFS(Postes!$P$5:$P$124,Postes!$A$5:$A$124,A651,Postes!$B$5:$B$124,B651)))</f>
        <v/>
      </c>
    </row>
    <row r="652" customFormat="false" ht="15" hidden="false" customHeight="false" outlineLevel="0" collapsed="false">
      <c r="A652" s="16"/>
      <c r="B652" s="20"/>
      <c r="C652" s="20"/>
      <c r="D652" s="24"/>
      <c r="E652" s="9" t="str">
        <f aca="false">IF(OR(A652="",B652="",C652=""),"",IF(D652="O",0,SUMIFS(Postes!$P$5:$P$124,Postes!$A$5:$A$124,A652,Postes!$B$5:$B$124,B652)))</f>
        <v/>
      </c>
    </row>
    <row r="653" customFormat="false" ht="15" hidden="false" customHeight="false" outlineLevel="0" collapsed="false">
      <c r="A653" s="16"/>
      <c r="B653" s="20"/>
      <c r="C653" s="20"/>
      <c r="D653" s="24"/>
      <c r="E653" s="9" t="str">
        <f aca="false">IF(OR(A653="",B653="",C653=""),"",IF(D653="O",0,SUMIFS(Postes!$P$5:$P$124,Postes!$A$5:$A$124,A653,Postes!$B$5:$B$124,B653)))</f>
        <v/>
      </c>
    </row>
    <row r="654" customFormat="false" ht="15" hidden="false" customHeight="false" outlineLevel="0" collapsed="false">
      <c r="A654" s="16"/>
      <c r="B654" s="20"/>
      <c r="C654" s="20"/>
      <c r="D654" s="24"/>
      <c r="E654" s="9" t="str">
        <f aca="false">IF(OR(A654="",B654="",C654=""),"",IF(D654="O",0,SUMIFS(Postes!$P$5:$P$124,Postes!$A$5:$A$124,A654,Postes!$B$5:$B$124,B654)))</f>
        <v/>
      </c>
    </row>
    <row r="655" customFormat="false" ht="15" hidden="false" customHeight="false" outlineLevel="0" collapsed="false">
      <c r="A655" s="16"/>
      <c r="B655" s="20"/>
      <c r="C655" s="20"/>
      <c r="D655" s="24"/>
      <c r="E655" s="9" t="str">
        <f aca="false">IF(OR(A655="",B655="",C655=""),"",IF(D655="O",0,SUMIFS(Postes!$P$5:$P$124,Postes!$A$5:$A$124,A655,Postes!$B$5:$B$124,B655)))</f>
        <v/>
      </c>
    </row>
    <row r="656" customFormat="false" ht="15" hidden="false" customHeight="false" outlineLevel="0" collapsed="false">
      <c r="A656" s="16"/>
      <c r="B656" s="20"/>
      <c r="C656" s="20"/>
      <c r="D656" s="24"/>
      <c r="E656" s="9" t="str">
        <f aca="false">IF(OR(A656="",B656="",C656=""),"",IF(D656="O",0,SUMIFS(Postes!$P$5:$P$124,Postes!$A$5:$A$124,A656,Postes!$B$5:$B$124,B656)))</f>
        <v/>
      </c>
    </row>
    <row r="657" customFormat="false" ht="15" hidden="false" customHeight="false" outlineLevel="0" collapsed="false">
      <c r="A657" s="16"/>
      <c r="B657" s="20"/>
      <c r="C657" s="20"/>
      <c r="D657" s="24"/>
      <c r="E657" s="9" t="str">
        <f aca="false">IF(OR(A657="",B657="",C657=""),"",IF(D657="O",0,SUMIFS(Postes!$P$5:$P$124,Postes!$A$5:$A$124,A657,Postes!$B$5:$B$124,B657)))</f>
        <v/>
      </c>
    </row>
    <row r="658" customFormat="false" ht="15" hidden="false" customHeight="false" outlineLevel="0" collapsed="false">
      <c r="A658" s="16"/>
      <c r="B658" s="20"/>
      <c r="C658" s="20"/>
      <c r="D658" s="24"/>
      <c r="E658" s="9" t="str">
        <f aca="false">IF(OR(A658="",B658="",C658=""),"",IF(D658="O",0,SUMIFS(Postes!$P$5:$P$124,Postes!$A$5:$A$124,A658,Postes!$B$5:$B$124,B658)))</f>
        <v/>
      </c>
    </row>
    <row r="659" customFormat="false" ht="15" hidden="false" customHeight="false" outlineLevel="0" collapsed="false">
      <c r="A659" s="16"/>
      <c r="B659" s="20"/>
      <c r="C659" s="20"/>
      <c r="D659" s="24"/>
      <c r="E659" s="9" t="str">
        <f aca="false">IF(OR(A659="",B659="",C659=""),"",IF(D659="O",0,SUMIFS(Postes!$P$5:$P$124,Postes!$A$5:$A$124,A659,Postes!$B$5:$B$124,B659)))</f>
        <v/>
      </c>
    </row>
    <row r="660" customFormat="false" ht="15" hidden="false" customHeight="false" outlineLevel="0" collapsed="false">
      <c r="A660" s="16"/>
      <c r="B660" s="20"/>
      <c r="C660" s="20"/>
      <c r="D660" s="24"/>
      <c r="E660" s="9" t="str">
        <f aca="false">IF(OR(A660="",B660="",C660=""),"",IF(D660="O",0,SUMIFS(Postes!$P$5:$P$124,Postes!$A$5:$A$124,A660,Postes!$B$5:$B$124,B660)))</f>
        <v/>
      </c>
    </row>
    <row r="661" customFormat="false" ht="15" hidden="false" customHeight="false" outlineLevel="0" collapsed="false">
      <c r="A661" s="16"/>
      <c r="B661" s="20"/>
      <c r="C661" s="20"/>
      <c r="D661" s="24"/>
      <c r="E661" s="9" t="str">
        <f aca="false">IF(OR(A661="",B661="",C661=""),"",IF(D661="O",0,SUMIFS(Postes!$P$5:$P$124,Postes!$A$5:$A$124,A661,Postes!$B$5:$B$124,B661)))</f>
        <v/>
      </c>
    </row>
    <row r="662" customFormat="false" ht="15" hidden="false" customHeight="false" outlineLevel="0" collapsed="false">
      <c r="A662" s="16"/>
      <c r="B662" s="20"/>
      <c r="C662" s="20"/>
      <c r="D662" s="24"/>
      <c r="E662" s="9" t="str">
        <f aca="false">IF(OR(A662="",B662="",C662=""),"",IF(D662="O",0,SUMIFS(Postes!$P$5:$P$124,Postes!$A$5:$A$124,A662,Postes!$B$5:$B$124,B662)))</f>
        <v/>
      </c>
    </row>
    <row r="663" customFormat="false" ht="15" hidden="false" customHeight="false" outlineLevel="0" collapsed="false">
      <c r="A663" s="16"/>
      <c r="B663" s="20"/>
      <c r="C663" s="20"/>
      <c r="D663" s="24"/>
      <c r="E663" s="9" t="str">
        <f aca="false">IF(OR(A663="",B663="",C663=""),"",IF(D663="O",0,SUMIFS(Postes!$P$5:$P$124,Postes!$A$5:$A$124,A663,Postes!$B$5:$B$124,B663)))</f>
        <v/>
      </c>
    </row>
    <row r="664" customFormat="false" ht="15" hidden="false" customHeight="false" outlineLevel="0" collapsed="false">
      <c r="A664" s="16"/>
      <c r="B664" s="20"/>
      <c r="C664" s="20"/>
      <c r="D664" s="24"/>
      <c r="E664" s="9" t="str">
        <f aca="false">IF(OR(A664="",B664="",C664=""),"",IF(D664="O",0,SUMIFS(Postes!$P$5:$P$124,Postes!$A$5:$A$124,A664,Postes!$B$5:$B$124,B664)))</f>
        <v/>
      </c>
    </row>
    <row r="665" customFormat="false" ht="15" hidden="false" customHeight="false" outlineLevel="0" collapsed="false">
      <c r="A665" s="16"/>
      <c r="B665" s="20"/>
      <c r="C665" s="20"/>
      <c r="D665" s="24"/>
      <c r="E665" s="9" t="str">
        <f aca="false">IF(OR(A665="",B665="",C665=""),"",IF(D665="O",0,SUMIFS(Postes!$P$5:$P$124,Postes!$A$5:$A$124,A665,Postes!$B$5:$B$124,B665)))</f>
        <v/>
      </c>
    </row>
    <row r="666" customFormat="false" ht="15" hidden="false" customHeight="false" outlineLevel="0" collapsed="false">
      <c r="A666" s="16"/>
      <c r="B666" s="20"/>
      <c r="C666" s="20"/>
      <c r="D666" s="24"/>
      <c r="E666" s="9" t="str">
        <f aca="false">IF(OR(A666="",B666="",C666=""),"",IF(D666="O",0,SUMIFS(Postes!$P$5:$P$124,Postes!$A$5:$A$124,A666,Postes!$B$5:$B$124,B666)))</f>
        <v/>
      </c>
    </row>
    <row r="667" customFormat="false" ht="15" hidden="false" customHeight="false" outlineLevel="0" collapsed="false">
      <c r="A667" s="16"/>
      <c r="B667" s="20"/>
      <c r="C667" s="20"/>
      <c r="D667" s="24"/>
      <c r="E667" s="9" t="str">
        <f aca="false">IF(OR(A667="",B667="",C667=""),"",IF(D667="O",0,SUMIFS(Postes!$P$5:$P$124,Postes!$A$5:$A$124,A667,Postes!$B$5:$B$124,B667)))</f>
        <v/>
      </c>
    </row>
    <row r="668" customFormat="false" ht="15" hidden="false" customHeight="false" outlineLevel="0" collapsed="false">
      <c r="A668" s="16"/>
      <c r="B668" s="20"/>
      <c r="C668" s="20"/>
      <c r="D668" s="24"/>
      <c r="E668" s="9" t="str">
        <f aca="false">IF(OR(A668="",B668="",C668=""),"",IF(D668="O",0,SUMIFS(Postes!$P$5:$P$124,Postes!$A$5:$A$124,A668,Postes!$B$5:$B$124,B668)))</f>
        <v/>
      </c>
    </row>
    <row r="669" customFormat="false" ht="15" hidden="false" customHeight="false" outlineLevel="0" collapsed="false">
      <c r="A669" s="16"/>
      <c r="B669" s="20"/>
      <c r="C669" s="20"/>
      <c r="D669" s="24"/>
      <c r="E669" s="9" t="str">
        <f aca="false">IF(OR(A669="",B669="",C669=""),"",IF(D669="O",0,SUMIFS(Postes!$P$5:$P$124,Postes!$A$5:$A$124,A669,Postes!$B$5:$B$124,B669)))</f>
        <v/>
      </c>
    </row>
    <row r="670" customFormat="false" ht="15" hidden="false" customHeight="false" outlineLevel="0" collapsed="false">
      <c r="A670" s="16"/>
      <c r="B670" s="20"/>
      <c r="C670" s="20"/>
      <c r="D670" s="24"/>
      <c r="E670" s="9" t="str">
        <f aca="false">IF(OR(A670="",B670="",C670=""),"",IF(D670="O",0,SUMIFS(Postes!$P$5:$P$124,Postes!$A$5:$A$124,A670,Postes!$B$5:$B$124,B670)))</f>
        <v/>
      </c>
    </row>
    <row r="671" customFormat="false" ht="15" hidden="false" customHeight="false" outlineLevel="0" collapsed="false">
      <c r="A671" s="16"/>
      <c r="B671" s="20"/>
      <c r="C671" s="20"/>
      <c r="D671" s="24"/>
      <c r="E671" s="9" t="str">
        <f aca="false">IF(OR(A671="",B671="",C671=""),"",IF(D671="O",0,SUMIFS(Postes!$P$5:$P$124,Postes!$A$5:$A$124,A671,Postes!$B$5:$B$124,B671)))</f>
        <v/>
      </c>
    </row>
    <row r="672" customFormat="false" ht="15" hidden="false" customHeight="false" outlineLevel="0" collapsed="false">
      <c r="A672" s="16"/>
      <c r="B672" s="20"/>
      <c r="C672" s="20"/>
      <c r="D672" s="24"/>
      <c r="E672" s="9" t="str">
        <f aca="false">IF(OR(A672="",B672="",C672=""),"",IF(D672="O",0,SUMIFS(Postes!$P$5:$P$124,Postes!$A$5:$A$124,A672,Postes!$B$5:$B$124,B672)))</f>
        <v/>
      </c>
    </row>
    <row r="673" customFormat="false" ht="15" hidden="false" customHeight="false" outlineLevel="0" collapsed="false">
      <c r="A673" s="16"/>
      <c r="B673" s="20"/>
      <c r="C673" s="20"/>
      <c r="D673" s="24"/>
      <c r="E673" s="9" t="str">
        <f aca="false">IF(OR(A673="",B673="",C673=""),"",IF(D673="O",0,SUMIFS(Postes!$P$5:$P$124,Postes!$A$5:$A$124,A673,Postes!$B$5:$B$124,B673)))</f>
        <v/>
      </c>
    </row>
    <row r="674" customFormat="false" ht="15" hidden="false" customHeight="false" outlineLevel="0" collapsed="false">
      <c r="A674" s="16"/>
      <c r="B674" s="20"/>
      <c r="C674" s="20"/>
      <c r="D674" s="24"/>
      <c r="E674" s="9" t="str">
        <f aca="false">IF(OR(A674="",B674="",C674=""),"",IF(D674="O",0,SUMIFS(Postes!$P$5:$P$124,Postes!$A$5:$A$124,A674,Postes!$B$5:$B$124,B674)))</f>
        <v/>
      </c>
    </row>
    <row r="675" customFormat="false" ht="15" hidden="false" customHeight="false" outlineLevel="0" collapsed="false">
      <c r="A675" s="16"/>
      <c r="B675" s="20"/>
      <c r="C675" s="20"/>
      <c r="D675" s="24"/>
      <c r="E675" s="9" t="str">
        <f aca="false">IF(OR(A675="",B675="",C675=""),"",IF(D675="O",0,SUMIFS(Postes!$P$5:$P$124,Postes!$A$5:$A$124,A675,Postes!$B$5:$B$124,B675)))</f>
        <v/>
      </c>
    </row>
    <row r="676" customFormat="false" ht="15" hidden="false" customHeight="false" outlineLevel="0" collapsed="false">
      <c r="A676" s="16"/>
      <c r="B676" s="20"/>
      <c r="C676" s="20"/>
      <c r="D676" s="24"/>
      <c r="E676" s="9" t="str">
        <f aca="false">IF(OR(A676="",B676="",C676=""),"",IF(D676="O",0,SUMIFS(Postes!$P$5:$P$124,Postes!$A$5:$A$124,A676,Postes!$B$5:$B$124,B676)))</f>
        <v/>
      </c>
    </row>
    <row r="677" customFormat="false" ht="15" hidden="false" customHeight="false" outlineLevel="0" collapsed="false">
      <c r="A677" s="16"/>
      <c r="B677" s="20"/>
      <c r="C677" s="20"/>
      <c r="D677" s="24"/>
      <c r="E677" s="9" t="str">
        <f aca="false">IF(OR(A677="",B677="",C677=""),"",IF(D677="O",0,SUMIFS(Postes!$P$5:$P$124,Postes!$A$5:$A$124,A677,Postes!$B$5:$B$124,B677)))</f>
        <v/>
      </c>
    </row>
    <row r="678" customFormat="false" ht="15" hidden="false" customHeight="false" outlineLevel="0" collapsed="false">
      <c r="A678" s="16"/>
      <c r="B678" s="20"/>
      <c r="C678" s="20"/>
      <c r="D678" s="24"/>
      <c r="E678" s="9" t="str">
        <f aca="false">IF(OR(A678="",B678="",C678=""),"",IF(D678="O",0,SUMIFS(Postes!$P$5:$P$124,Postes!$A$5:$A$124,A678,Postes!$B$5:$B$124,B678)))</f>
        <v/>
      </c>
    </row>
    <row r="679" customFormat="false" ht="15" hidden="false" customHeight="false" outlineLevel="0" collapsed="false">
      <c r="A679" s="16"/>
      <c r="B679" s="20"/>
      <c r="C679" s="20"/>
      <c r="D679" s="24"/>
      <c r="E679" s="9" t="str">
        <f aca="false">IF(OR(A679="",B679="",C679=""),"",IF(D679="O",0,SUMIFS(Postes!$P$5:$P$124,Postes!$A$5:$A$124,A679,Postes!$B$5:$B$124,B679)))</f>
        <v/>
      </c>
    </row>
    <row r="680" customFormat="false" ht="15" hidden="false" customHeight="false" outlineLevel="0" collapsed="false">
      <c r="A680" s="16"/>
      <c r="B680" s="20"/>
      <c r="C680" s="20"/>
      <c r="D680" s="24"/>
      <c r="E680" s="9" t="str">
        <f aca="false">IF(OR(A680="",B680="",C680=""),"",IF(D680="O",0,SUMIFS(Postes!$P$5:$P$124,Postes!$A$5:$A$124,A680,Postes!$B$5:$B$124,B680)))</f>
        <v/>
      </c>
    </row>
    <row r="681" customFormat="false" ht="15" hidden="false" customHeight="false" outlineLevel="0" collapsed="false">
      <c r="A681" s="16"/>
      <c r="B681" s="20"/>
      <c r="C681" s="20"/>
      <c r="D681" s="24"/>
      <c r="E681" s="9" t="str">
        <f aca="false">IF(OR(A681="",B681="",C681=""),"",IF(D681="O",0,SUMIFS(Postes!$P$5:$P$124,Postes!$A$5:$A$124,A681,Postes!$B$5:$B$124,B681)))</f>
        <v/>
      </c>
    </row>
    <row r="682" customFormat="false" ht="15" hidden="false" customHeight="false" outlineLevel="0" collapsed="false">
      <c r="A682" s="16"/>
      <c r="B682" s="20"/>
      <c r="C682" s="20"/>
      <c r="D682" s="24"/>
      <c r="E682" s="9" t="str">
        <f aca="false">IF(OR(A682="",B682="",C682=""),"",IF(D682="O",0,SUMIFS(Postes!$P$5:$P$124,Postes!$A$5:$A$124,A682,Postes!$B$5:$B$124,B682)))</f>
        <v/>
      </c>
    </row>
    <row r="683" customFormat="false" ht="15" hidden="false" customHeight="false" outlineLevel="0" collapsed="false">
      <c r="A683" s="16"/>
      <c r="B683" s="20"/>
      <c r="C683" s="20"/>
      <c r="D683" s="24"/>
      <c r="E683" s="9" t="str">
        <f aca="false">IF(OR(A683="",B683="",C683=""),"",IF(D683="O",0,SUMIFS(Postes!$P$5:$P$124,Postes!$A$5:$A$124,A683,Postes!$B$5:$B$124,B683)))</f>
        <v/>
      </c>
    </row>
    <row r="684" customFormat="false" ht="15" hidden="false" customHeight="false" outlineLevel="0" collapsed="false">
      <c r="A684" s="16"/>
      <c r="B684" s="20"/>
      <c r="C684" s="20"/>
      <c r="D684" s="24"/>
      <c r="E684" s="9" t="str">
        <f aca="false">IF(OR(A684="",B684="",C684=""),"",IF(D684="O",0,SUMIFS(Postes!$P$5:$P$124,Postes!$A$5:$A$124,A684,Postes!$B$5:$B$124,B684)))</f>
        <v/>
      </c>
    </row>
    <row r="685" customFormat="false" ht="15" hidden="false" customHeight="false" outlineLevel="0" collapsed="false">
      <c r="A685" s="16"/>
      <c r="B685" s="20"/>
      <c r="C685" s="20"/>
      <c r="D685" s="24"/>
      <c r="E685" s="9" t="str">
        <f aca="false">IF(OR(A685="",B685="",C685=""),"",IF(D685="O",0,SUMIFS(Postes!$P$5:$P$124,Postes!$A$5:$A$124,A685,Postes!$B$5:$B$124,B685)))</f>
        <v/>
      </c>
    </row>
    <row r="686" customFormat="false" ht="15" hidden="false" customHeight="false" outlineLevel="0" collapsed="false">
      <c r="A686" s="16"/>
      <c r="B686" s="20"/>
      <c r="C686" s="20"/>
      <c r="D686" s="24"/>
      <c r="E686" s="9" t="str">
        <f aca="false">IF(OR(A686="",B686="",C686=""),"",IF(D686="O",0,SUMIFS(Postes!$P$5:$P$124,Postes!$A$5:$A$124,A686,Postes!$B$5:$B$124,B686)))</f>
        <v/>
      </c>
    </row>
    <row r="687" customFormat="false" ht="15" hidden="false" customHeight="false" outlineLevel="0" collapsed="false">
      <c r="A687" s="16"/>
      <c r="B687" s="20"/>
      <c r="C687" s="20"/>
      <c r="D687" s="24"/>
      <c r="E687" s="9" t="str">
        <f aca="false">IF(OR(A687="",B687="",C687=""),"",IF(D687="O",0,SUMIFS(Postes!$P$5:$P$124,Postes!$A$5:$A$124,A687,Postes!$B$5:$B$124,B687)))</f>
        <v/>
      </c>
    </row>
    <row r="688" customFormat="false" ht="15" hidden="false" customHeight="false" outlineLevel="0" collapsed="false">
      <c r="A688" s="16"/>
      <c r="B688" s="20"/>
      <c r="C688" s="20"/>
      <c r="D688" s="24"/>
      <c r="E688" s="9" t="str">
        <f aca="false">IF(OR(A688="",B688="",C688=""),"",IF(D688="O",0,SUMIFS(Postes!$P$5:$P$124,Postes!$A$5:$A$124,A688,Postes!$B$5:$B$124,B688)))</f>
        <v/>
      </c>
    </row>
    <row r="689" customFormat="false" ht="15" hidden="false" customHeight="false" outlineLevel="0" collapsed="false">
      <c r="A689" s="16"/>
      <c r="B689" s="20"/>
      <c r="C689" s="20"/>
      <c r="D689" s="24"/>
      <c r="E689" s="9" t="str">
        <f aca="false">IF(OR(A689="",B689="",C689=""),"",IF(D689="O",0,SUMIFS(Postes!$P$5:$P$124,Postes!$A$5:$A$124,A689,Postes!$B$5:$B$124,B689)))</f>
        <v/>
      </c>
    </row>
    <row r="690" customFormat="false" ht="15" hidden="false" customHeight="false" outlineLevel="0" collapsed="false">
      <c r="A690" s="16"/>
      <c r="B690" s="20"/>
      <c r="C690" s="20"/>
      <c r="D690" s="24"/>
      <c r="E690" s="9" t="str">
        <f aca="false">IF(OR(A690="",B690="",C690=""),"",IF(D690="O",0,SUMIFS(Postes!$P$5:$P$124,Postes!$A$5:$A$124,A690,Postes!$B$5:$B$124,B690)))</f>
        <v/>
      </c>
    </row>
    <row r="691" customFormat="false" ht="15" hidden="false" customHeight="false" outlineLevel="0" collapsed="false">
      <c r="A691" s="16"/>
      <c r="B691" s="20"/>
      <c r="C691" s="20"/>
      <c r="D691" s="24"/>
      <c r="E691" s="9" t="str">
        <f aca="false">IF(OR(A691="",B691="",C691=""),"",IF(D691="O",0,SUMIFS(Postes!$P$5:$P$124,Postes!$A$5:$A$124,A691,Postes!$B$5:$B$124,B691)))</f>
        <v/>
      </c>
    </row>
    <row r="692" customFormat="false" ht="15" hidden="false" customHeight="false" outlineLevel="0" collapsed="false">
      <c r="A692" s="16"/>
      <c r="B692" s="20"/>
      <c r="C692" s="20"/>
      <c r="D692" s="24"/>
      <c r="E692" s="9" t="str">
        <f aca="false">IF(OR(A692="",B692="",C692=""),"",IF(D692="O",0,SUMIFS(Postes!$P$5:$P$124,Postes!$A$5:$A$124,A692,Postes!$B$5:$B$124,B692)))</f>
        <v/>
      </c>
    </row>
    <row r="693" customFormat="false" ht="15" hidden="false" customHeight="false" outlineLevel="0" collapsed="false">
      <c r="A693" s="16"/>
      <c r="B693" s="20"/>
      <c r="C693" s="20"/>
      <c r="D693" s="24"/>
      <c r="E693" s="9" t="str">
        <f aca="false">IF(OR(A693="",B693="",C693=""),"",IF(D693="O",0,SUMIFS(Postes!$P$5:$P$124,Postes!$A$5:$A$124,A693,Postes!$B$5:$B$124,B693)))</f>
        <v/>
      </c>
    </row>
    <row r="694" customFormat="false" ht="15" hidden="false" customHeight="false" outlineLevel="0" collapsed="false">
      <c r="A694" s="16"/>
      <c r="B694" s="20"/>
      <c r="C694" s="20"/>
      <c r="D694" s="24"/>
      <c r="E694" s="9" t="str">
        <f aca="false">IF(OR(A694="",B694="",C694=""),"",IF(D694="O",0,SUMIFS(Postes!$P$5:$P$124,Postes!$A$5:$A$124,A694,Postes!$B$5:$B$124,B694)))</f>
        <v/>
      </c>
    </row>
    <row r="695" customFormat="false" ht="15" hidden="false" customHeight="false" outlineLevel="0" collapsed="false">
      <c r="A695" s="16"/>
      <c r="B695" s="20"/>
      <c r="C695" s="20"/>
      <c r="D695" s="24"/>
      <c r="E695" s="9" t="str">
        <f aca="false">IF(OR(A695="",B695="",C695=""),"",IF(D695="O",0,SUMIFS(Postes!$P$5:$P$124,Postes!$A$5:$A$124,A695,Postes!$B$5:$B$124,B695)))</f>
        <v/>
      </c>
    </row>
    <row r="696" customFormat="false" ht="15" hidden="false" customHeight="false" outlineLevel="0" collapsed="false">
      <c r="A696" s="16"/>
      <c r="B696" s="20"/>
      <c r="C696" s="20"/>
      <c r="D696" s="24"/>
      <c r="E696" s="9" t="str">
        <f aca="false">IF(OR(A696="",B696="",C696=""),"",IF(D696="O",0,SUMIFS(Postes!$P$5:$P$124,Postes!$A$5:$A$124,A696,Postes!$B$5:$B$124,B696)))</f>
        <v/>
      </c>
    </row>
    <row r="697" customFormat="false" ht="15" hidden="false" customHeight="false" outlineLevel="0" collapsed="false">
      <c r="A697" s="16"/>
      <c r="B697" s="20"/>
      <c r="C697" s="20"/>
      <c r="D697" s="24"/>
      <c r="E697" s="9" t="str">
        <f aca="false">IF(OR(A697="",B697="",C697=""),"",IF(D697="O",0,SUMIFS(Postes!$P$5:$P$124,Postes!$A$5:$A$124,A697,Postes!$B$5:$B$124,B697)))</f>
        <v/>
      </c>
    </row>
    <row r="698" customFormat="false" ht="15" hidden="false" customHeight="false" outlineLevel="0" collapsed="false">
      <c r="A698" s="16"/>
      <c r="B698" s="20"/>
      <c r="C698" s="20"/>
      <c r="D698" s="24"/>
      <c r="E698" s="9" t="str">
        <f aca="false">IF(OR(A698="",B698="",C698=""),"",IF(D698="O",0,SUMIFS(Postes!$P$5:$P$124,Postes!$A$5:$A$124,A698,Postes!$B$5:$B$124,B698)))</f>
        <v/>
      </c>
    </row>
    <row r="699" customFormat="false" ht="15" hidden="false" customHeight="false" outlineLevel="0" collapsed="false">
      <c r="A699" s="16"/>
      <c r="B699" s="20"/>
      <c r="C699" s="20"/>
      <c r="D699" s="24"/>
      <c r="E699" s="9" t="str">
        <f aca="false">IF(OR(A699="",B699="",C699=""),"",IF(D699="O",0,SUMIFS(Postes!$P$5:$P$124,Postes!$A$5:$A$124,A699,Postes!$B$5:$B$124,B699)))</f>
        <v/>
      </c>
    </row>
    <row r="700" customFormat="false" ht="15" hidden="false" customHeight="false" outlineLevel="0" collapsed="false">
      <c r="A700" s="16"/>
      <c r="B700" s="20"/>
      <c r="C700" s="20"/>
      <c r="D700" s="24"/>
      <c r="E700" s="9" t="str">
        <f aca="false">IF(OR(A700="",B700="",C700=""),"",IF(D700="O",0,SUMIFS(Postes!$P$5:$P$124,Postes!$A$5:$A$124,A700,Postes!$B$5:$B$124,B700)))</f>
        <v/>
      </c>
    </row>
    <row r="701" customFormat="false" ht="15" hidden="false" customHeight="false" outlineLevel="0" collapsed="false">
      <c r="A701" s="16"/>
      <c r="B701" s="20"/>
      <c r="C701" s="20"/>
      <c r="D701" s="24"/>
      <c r="E701" s="9" t="str">
        <f aca="false">IF(OR(A701="",B701="",C701=""),"",IF(D701="O",0,SUMIFS(Postes!$P$5:$P$124,Postes!$A$5:$A$124,A701,Postes!$B$5:$B$124,B701)))</f>
        <v/>
      </c>
    </row>
    <row r="702" customFormat="false" ht="15" hidden="false" customHeight="false" outlineLevel="0" collapsed="false">
      <c r="A702" s="16"/>
      <c r="B702" s="20"/>
      <c r="C702" s="20"/>
      <c r="D702" s="24"/>
      <c r="E702" s="9" t="str">
        <f aca="false">IF(OR(A702="",B702="",C702=""),"",IF(D702="O",0,SUMIFS(Postes!$P$5:$P$124,Postes!$A$5:$A$124,A702,Postes!$B$5:$B$124,B702)))</f>
        <v/>
      </c>
    </row>
    <row r="703" customFormat="false" ht="15" hidden="false" customHeight="false" outlineLevel="0" collapsed="false">
      <c r="A703" s="16"/>
      <c r="B703" s="20"/>
      <c r="C703" s="20"/>
      <c r="D703" s="24"/>
      <c r="E703" s="9" t="str">
        <f aca="false">IF(OR(A703="",B703="",C703=""),"",IF(D703="O",0,SUMIFS(Postes!$P$5:$P$124,Postes!$A$5:$A$124,A703,Postes!$B$5:$B$124,B703)))</f>
        <v/>
      </c>
    </row>
    <row r="704" customFormat="false" ht="15" hidden="false" customHeight="false" outlineLevel="0" collapsed="false">
      <c r="A704" s="16"/>
      <c r="B704" s="20"/>
      <c r="C704" s="20"/>
      <c r="D704" s="24"/>
      <c r="E704" s="9" t="str">
        <f aca="false">IF(OR(A704="",B704="",C704=""),"",IF(D704="O",0,SUMIFS(Postes!$P$5:$P$124,Postes!$A$5:$A$124,A704,Postes!$B$5:$B$124,B704)))</f>
        <v/>
      </c>
    </row>
    <row r="705" customFormat="false" ht="15" hidden="false" customHeight="false" outlineLevel="0" collapsed="false">
      <c r="A705" s="16"/>
      <c r="B705" s="20"/>
      <c r="C705" s="20"/>
      <c r="D705" s="24"/>
      <c r="E705" s="9" t="str">
        <f aca="false">IF(OR(A705="",B705="",C705=""),"",IF(D705="O",0,SUMIFS(Postes!$P$5:$P$124,Postes!$A$5:$A$124,A705,Postes!$B$5:$B$124,B705)))</f>
        <v/>
      </c>
    </row>
    <row r="706" customFormat="false" ht="15" hidden="false" customHeight="false" outlineLevel="0" collapsed="false">
      <c r="A706" s="16"/>
      <c r="B706" s="20"/>
      <c r="C706" s="20"/>
      <c r="D706" s="24"/>
      <c r="E706" s="9" t="str">
        <f aca="false">IF(OR(A706="",B706="",C706=""),"",IF(D706="O",0,SUMIFS(Postes!$P$5:$P$124,Postes!$A$5:$A$124,A706,Postes!$B$5:$B$124,B706)))</f>
        <v/>
      </c>
    </row>
    <row r="707" customFormat="false" ht="15" hidden="false" customHeight="false" outlineLevel="0" collapsed="false">
      <c r="A707" s="16"/>
      <c r="B707" s="20"/>
      <c r="C707" s="20"/>
      <c r="D707" s="24"/>
      <c r="E707" s="9" t="str">
        <f aca="false">IF(OR(A707="",B707="",C707=""),"",IF(D707="O",0,SUMIFS(Postes!$P$5:$P$124,Postes!$A$5:$A$124,A707,Postes!$B$5:$B$124,B707)))</f>
        <v/>
      </c>
    </row>
    <row r="708" customFormat="false" ht="15" hidden="false" customHeight="false" outlineLevel="0" collapsed="false">
      <c r="A708" s="16"/>
      <c r="B708" s="20"/>
      <c r="C708" s="20"/>
      <c r="D708" s="24"/>
      <c r="E708" s="9" t="str">
        <f aca="false">IF(OR(A708="",B708="",C708=""),"",IF(D708="O",0,SUMIFS(Postes!$P$5:$P$124,Postes!$A$5:$A$124,A708,Postes!$B$5:$B$124,B708)))</f>
        <v/>
      </c>
    </row>
    <row r="709" customFormat="false" ht="15" hidden="false" customHeight="false" outlineLevel="0" collapsed="false">
      <c r="A709" s="16"/>
      <c r="B709" s="20"/>
      <c r="C709" s="20"/>
      <c r="D709" s="24"/>
      <c r="E709" s="9" t="str">
        <f aca="false">IF(OR(A709="",B709="",C709=""),"",IF(D709="O",0,SUMIFS(Postes!$P$5:$P$124,Postes!$A$5:$A$124,A709,Postes!$B$5:$B$124,B709)))</f>
        <v/>
      </c>
    </row>
    <row r="710" customFormat="false" ht="15" hidden="false" customHeight="false" outlineLevel="0" collapsed="false">
      <c r="A710" s="16"/>
      <c r="B710" s="20"/>
      <c r="C710" s="20"/>
      <c r="D710" s="24"/>
      <c r="E710" s="9" t="str">
        <f aca="false">IF(OR(A710="",B710="",C710=""),"",IF(D710="O",0,SUMIFS(Postes!$P$5:$P$124,Postes!$A$5:$A$124,A710,Postes!$B$5:$B$124,B710)))</f>
        <v/>
      </c>
    </row>
    <row r="711" customFormat="false" ht="15" hidden="false" customHeight="false" outlineLevel="0" collapsed="false">
      <c r="A711" s="16"/>
      <c r="B711" s="20"/>
      <c r="C711" s="20"/>
      <c r="D711" s="24"/>
      <c r="E711" s="9" t="str">
        <f aca="false">IF(OR(A711="",B711="",C711=""),"",IF(D711="O",0,SUMIFS(Postes!$P$5:$P$124,Postes!$A$5:$A$124,A711,Postes!$B$5:$B$124,B711)))</f>
        <v/>
      </c>
    </row>
    <row r="712" customFormat="false" ht="15" hidden="false" customHeight="false" outlineLevel="0" collapsed="false">
      <c r="A712" s="16"/>
      <c r="B712" s="20"/>
      <c r="C712" s="20"/>
      <c r="D712" s="24"/>
      <c r="E712" s="9" t="str">
        <f aca="false">IF(OR(A712="",B712="",C712=""),"",IF(D712="O",0,SUMIFS(Postes!$P$5:$P$124,Postes!$A$5:$A$124,A712,Postes!$B$5:$B$124,B712)))</f>
        <v/>
      </c>
    </row>
    <row r="713" customFormat="false" ht="15" hidden="false" customHeight="false" outlineLevel="0" collapsed="false">
      <c r="A713" s="16"/>
      <c r="B713" s="20"/>
      <c r="C713" s="20"/>
      <c r="D713" s="24"/>
      <c r="E713" s="9" t="str">
        <f aca="false">IF(OR(A713="",B713="",C713=""),"",IF(D713="O",0,SUMIFS(Postes!$P$5:$P$124,Postes!$A$5:$A$124,A713,Postes!$B$5:$B$124,B713)))</f>
        <v/>
      </c>
    </row>
    <row r="714" customFormat="false" ht="15" hidden="false" customHeight="false" outlineLevel="0" collapsed="false">
      <c r="A714" s="16"/>
      <c r="B714" s="20"/>
      <c r="C714" s="20"/>
      <c r="D714" s="24"/>
      <c r="E714" s="9" t="str">
        <f aca="false">IF(OR(A714="",B714="",C714=""),"",IF(D714="O",0,SUMIFS(Postes!$P$5:$P$124,Postes!$A$5:$A$124,A714,Postes!$B$5:$B$124,B714)))</f>
        <v/>
      </c>
    </row>
    <row r="715" customFormat="false" ht="15" hidden="false" customHeight="false" outlineLevel="0" collapsed="false">
      <c r="A715" s="16"/>
      <c r="B715" s="20"/>
      <c r="C715" s="20"/>
      <c r="D715" s="24"/>
      <c r="E715" s="9" t="str">
        <f aca="false">IF(OR(A715="",B715="",C715=""),"",IF(D715="O",0,SUMIFS(Postes!$P$5:$P$124,Postes!$A$5:$A$124,A715,Postes!$B$5:$B$124,B715)))</f>
        <v/>
      </c>
    </row>
    <row r="716" customFormat="false" ht="15" hidden="false" customHeight="false" outlineLevel="0" collapsed="false">
      <c r="A716" s="16"/>
      <c r="B716" s="20"/>
      <c r="C716" s="20"/>
      <c r="D716" s="24"/>
      <c r="E716" s="9" t="str">
        <f aca="false">IF(OR(A716="",B716="",C716=""),"",IF(D716="O",0,SUMIFS(Postes!$P$5:$P$124,Postes!$A$5:$A$124,A716,Postes!$B$5:$B$124,B716)))</f>
        <v/>
      </c>
    </row>
    <row r="717" customFormat="false" ht="15" hidden="false" customHeight="false" outlineLevel="0" collapsed="false">
      <c r="A717" s="16"/>
      <c r="B717" s="20"/>
      <c r="C717" s="20"/>
      <c r="D717" s="24"/>
      <c r="E717" s="9" t="str">
        <f aca="false">IF(OR(A717="",B717="",C717=""),"",IF(D717="O",0,SUMIFS(Postes!$P$5:$P$124,Postes!$A$5:$A$124,A717,Postes!$B$5:$B$124,B717)))</f>
        <v/>
      </c>
    </row>
    <row r="718" customFormat="false" ht="15" hidden="false" customHeight="false" outlineLevel="0" collapsed="false">
      <c r="A718" s="16"/>
      <c r="B718" s="20"/>
      <c r="C718" s="20"/>
      <c r="D718" s="24"/>
      <c r="E718" s="9" t="str">
        <f aca="false">IF(OR(A718="",B718="",C718=""),"",IF(D718="O",0,SUMIFS(Postes!$P$5:$P$124,Postes!$A$5:$A$124,A718,Postes!$B$5:$B$124,B718)))</f>
        <v/>
      </c>
    </row>
    <row r="719" customFormat="false" ht="15" hidden="false" customHeight="false" outlineLevel="0" collapsed="false">
      <c r="A719" s="16"/>
      <c r="B719" s="20"/>
      <c r="C719" s="20"/>
      <c r="D719" s="24"/>
      <c r="E719" s="9" t="str">
        <f aca="false">IF(OR(A719="",B719="",C719=""),"",IF(D719="O",0,SUMIFS(Postes!$P$5:$P$124,Postes!$A$5:$A$124,A719,Postes!$B$5:$B$124,B719)))</f>
        <v/>
      </c>
    </row>
    <row r="720" customFormat="false" ht="15" hidden="false" customHeight="false" outlineLevel="0" collapsed="false">
      <c r="A720" s="16"/>
      <c r="B720" s="20"/>
      <c r="C720" s="20"/>
      <c r="D720" s="24"/>
      <c r="E720" s="9" t="str">
        <f aca="false">IF(OR(A720="",B720="",C720=""),"",IF(D720="O",0,SUMIFS(Postes!$P$5:$P$124,Postes!$A$5:$A$124,A720,Postes!$B$5:$B$124,B720)))</f>
        <v/>
      </c>
    </row>
    <row r="721" customFormat="false" ht="15" hidden="false" customHeight="false" outlineLevel="0" collapsed="false">
      <c r="A721" s="16"/>
      <c r="B721" s="20"/>
      <c r="C721" s="20"/>
      <c r="D721" s="24"/>
      <c r="E721" s="9" t="str">
        <f aca="false">IF(OR(A721="",B721="",C721=""),"",IF(D721="O",0,SUMIFS(Postes!$P$5:$P$124,Postes!$A$5:$A$124,A721,Postes!$B$5:$B$124,B721)))</f>
        <v/>
      </c>
    </row>
    <row r="722" customFormat="false" ht="15" hidden="false" customHeight="false" outlineLevel="0" collapsed="false">
      <c r="A722" s="16"/>
      <c r="B722" s="20"/>
      <c r="C722" s="20"/>
      <c r="D722" s="24"/>
      <c r="E722" s="9" t="str">
        <f aca="false">IF(OR(A722="",B722="",C722=""),"",IF(D722="O",0,SUMIFS(Postes!$P$5:$P$124,Postes!$A$5:$A$124,A722,Postes!$B$5:$B$124,B722)))</f>
        <v/>
      </c>
    </row>
    <row r="723" customFormat="false" ht="15" hidden="false" customHeight="false" outlineLevel="0" collapsed="false">
      <c r="A723" s="16"/>
      <c r="B723" s="20"/>
      <c r="C723" s="20"/>
      <c r="D723" s="24"/>
      <c r="E723" s="9" t="str">
        <f aca="false">IF(OR(A723="",B723="",C723=""),"",IF(D723="O",0,SUMIFS(Postes!$P$5:$P$124,Postes!$A$5:$A$124,A723,Postes!$B$5:$B$124,B723)))</f>
        <v/>
      </c>
    </row>
    <row r="724" customFormat="false" ht="15" hidden="false" customHeight="false" outlineLevel="0" collapsed="false">
      <c r="A724" s="16"/>
      <c r="B724" s="20"/>
      <c r="C724" s="20"/>
      <c r="D724" s="24"/>
      <c r="E724" s="9" t="str">
        <f aca="false">IF(OR(A724="",B724="",C724=""),"",IF(D724="O",0,SUMIFS(Postes!$P$5:$P$124,Postes!$A$5:$A$124,A724,Postes!$B$5:$B$124,B724)))</f>
        <v/>
      </c>
    </row>
    <row r="725" customFormat="false" ht="15" hidden="false" customHeight="false" outlineLevel="0" collapsed="false">
      <c r="A725" s="16"/>
      <c r="B725" s="20"/>
      <c r="C725" s="20"/>
      <c r="D725" s="24"/>
      <c r="E725" s="9" t="str">
        <f aca="false">IF(OR(A725="",B725="",C725=""),"",IF(D725="O",0,SUMIFS(Postes!$P$5:$P$124,Postes!$A$5:$A$124,A725,Postes!$B$5:$B$124,B725)))</f>
        <v/>
      </c>
    </row>
    <row r="726" customFormat="false" ht="15" hidden="false" customHeight="false" outlineLevel="0" collapsed="false">
      <c r="A726" s="16"/>
      <c r="B726" s="20"/>
      <c r="C726" s="20"/>
      <c r="D726" s="24"/>
      <c r="E726" s="9" t="str">
        <f aca="false">IF(OR(A726="",B726="",C726=""),"",IF(D726="O",0,SUMIFS(Postes!$P$5:$P$124,Postes!$A$5:$A$124,A726,Postes!$B$5:$B$124,B726)))</f>
        <v/>
      </c>
    </row>
    <row r="727" customFormat="false" ht="15" hidden="false" customHeight="false" outlineLevel="0" collapsed="false">
      <c r="A727" s="16"/>
      <c r="B727" s="20"/>
      <c r="C727" s="20"/>
      <c r="D727" s="24"/>
      <c r="E727" s="9" t="str">
        <f aca="false">IF(OR(A727="",B727="",C727=""),"",IF(D727="O",0,SUMIFS(Postes!$P$5:$P$124,Postes!$A$5:$A$124,A727,Postes!$B$5:$B$124,B727)))</f>
        <v/>
      </c>
    </row>
    <row r="728" customFormat="false" ht="15" hidden="false" customHeight="false" outlineLevel="0" collapsed="false">
      <c r="A728" s="16"/>
      <c r="B728" s="20"/>
      <c r="C728" s="20"/>
      <c r="D728" s="24"/>
      <c r="E728" s="9" t="str">
        <f aca="false">IF(OR(A728="",B728="",C728=""),"",IF(D728="O",0,SUMIFS(Postes!$P$5:$P$124,Postes!$A$5:$A$124,A728,Postes!$B$5:$B$124,B728)))</f>
        <v/>
      </c>
    </row>
    <row r="729" customFormat="false" ht="15" hidden="false" customHeight="false" outlineLevel="0" collapsed="false">
      <c r="A729" s="16"/>
      <c r="B729" s="20"/>
      <c r="C729" s="20"/>
      <c r="D729" s="24"/>
      <c r="E729" s="9" t="str">
        <f aca="false">IF(OR(A729="",B729="",C729=""),"",IF(D729="O",0,SUMIFS(Postes!$P$5:$P$124,Postes!$A$5:$A$124,A729,Postes!$B$5:$B$124,B729)))</f>
        <v/>
      </c>
    </row>
    <row r="730" customFormat="false" ht="15" hidden="false" customHeight="false" outlineLevel="0" collapsed="false">
      <c r="A730" s="16"/>
      <c r="B730" s="20"/>
      <c r="C730" s="20"/>
      <c r="D730" s="24"/>
      <c r="E730" s="9" t="str">
        <f aca="false">IF(OR(A730="",B730="",C730=""),"",IF(D730="O",0,SUMIFS(Postes!$P$5:$P$124,Postes!$A$5:$A$124,A730,Postes!$B$5:$B$124,B730)))</f>
        <v/>
      </c>
    </row>
    <row r="731" customFormat="false" ht="15" hidden="false" customHeight="false" outlineLevel="0" collapsed="false">
      <c r="A731" s="16"/>
      <c r="B731" s="20"/>
      <c r="C731" s="20"/>
      <c r="D731" s="24"/>
      <c r="E731" s="9" t="str">
        <f aca="false">IF(OR(A731="",B731="",C731=""),"",IF(D731="O",0,SUMIFS(Postes!$P$5:$P$124,Postes!$A$5:$A$124,A731,Postes!$B$5:$B$124,B731)))</f>
        <v/>
      </c>
    </row>
    <row r="732" customFormat="false" ht="15" hidden="false" customHeight="false" outlineLevel="0" collapsed="false">
      <c r="A732" s="16"/>
      <c r="B732" s="20"/>
      <c r="C732" s="20"/>
      <c r="D732" s="24"/>
      <c r="E732" s="9" t="str">
        <f aca="false">IF(OR(A732="",B732="",C732=""),"",IF(D732="O",0,SUMIFS(Postes!$P$5:$P$124,Postes!$A$5:$A$124,A732,Postes!$B$5:$B$124,B732)))</f>
        <v/>
      </c>
    </row>
    <row r="733" customFormat="false" ht="15" hidden="false" customHeight="false" outlineLevel="0" collapsed="false">
      <c r="A733" s="16"/>
      <c r="B733" s="20"/>
      <c r="C733" s="20"/>
      <c r="D733" s="24"/>
      <c r="E733" s="9" t="str">
        <f aca="false">IF(OR(A733="",B733="",C733=""),"",IF(D733="O",0,SUMIFS(Postes!$P$5:$P$124,Postes!$A$5:$A$124,A733,Postes!$B$5:$B$124,B733)))</f>
        <v/>
      </c>
    </row>
    <row r="734" customFormat="false" ht="15" hidden="false" customHeight="false" outlineLevel="0" collapsed="false">
      <c r="A734" s="16"/>
      <c r="B734" s="20"/>
      <c r="C734" s="20"/>
      <c r="D734" s="24"/>
      <c r="E734" s="9" t="str">
        <f aca="false">IF(OR(A734="",B734="",C734=""),"",IF(D734="O",0,SUMIFS(Postes!$P$5:$P$124,Postes!$A$5:$A$124,A734,Postes!$B$5:$B$124,B734)))</f>
        <v/>
      </c>
    </row>
    <row r="735" customFormat="false" ht="15" hidden="false" customHeight="false" outlineLevel="0" collapsed="false">
      <c r="A735" s="16"/>
      <c r="B735" s="20"/>
      <c r="C735" s="20"/>
      <c r="D735" s="24"/>
      <c r="E735" s="9" t="str">
        <f aca="false">IF(OR(A735="",B735="",C735=""),"",IF(D735="O",0,SUMIFS(Postes!$P$5:$P$124,Postes!$A$5:$A$124,A735,Postes!$B$5:$B$124,B735)))</f>
        <v/>
      </c>
    </row>
    <row r="736" customFormat="false" ht="15" hidden="false" customHeight="false" outlineLevel="0" collapsed="false">
      <c r="A736" s="16"/>
      <c r="B736" s="20"/>
      <c r="C736" s="20"/>
      <c r="D736" s="24"/>
      <c r="E736" s="9" t="str">
        <f aca="false">IF(OR(A736="",B736="",C736=""),"",IF(D736="O",0,SUMIFS(Postes!$P$5:$P$124,Postes!$A$5:$A$124,A736,Postes!$B$5:$B$124,B736)))</f>
        <v/>
      </c>
    </row>
    <row r="737" customFormat="false" ht="15" hidden="false" customHeight="false" outlineLevel="0" collapsed="false">
      <c r="A737" s="16"/>
      <c r="B737" s="20"/>
      <c r="C737" s="20"/>
      <c r="D737" s="24"/>
      <c r="E737" s="9" t="str">
        <f aca="false">IF(OR(A737="",B737="",C737=""),"",IF(D737="O",0,SUMIFS(Postes!$P$5:$P$124,Postes!$A$5:$A$124,A737,Postes!$B$5:$B$124,B737)))</f>
        <v/>
      </c>
    </row>
    <row r="738" customFormat="false" ht="15" hidden="false" customHeight="false" outlineLevel="0" collapsed="false">
      <c r="A738" s="16"/>
      <c r="B738" s="20"/>
      <c r="C738" s="20"/>
      <c r="D738" s="24"/>
      <c r="E738" s="9" t="str">
        <f aca="false">IF(OR(A738="",B738="",C738=""),"",IF(D738="O",0,SUMIFS(Postes!$P$5:$P$124,Postes!$A$5:$A$124,A738,Postes!$B$5:$B$124,B738)))</f>
        <v/>
      </c>
    </row>
    <row r="739" customFormat="false" ht="15" hidden="false" customHeight="false" outlineLevel="0" collapsed="false">
      <c r="A739" s="16"/>
      <c r="B739" s="20"/>
      <c r="C739" s="20"/>
      <c r="D739" s="24"/>
      <c r="E739" s="9" t="str">
        <f aca="false">IF(OR(A739="",B739="",C739=""),"",IF(D739="O",0,SUMIFS(Postes!$P$5:$P$124,Postes!$A$5:$A$124,A739,Postes!$B$5:$B$124,B739)))</f>
        <v/>
      </c>
    </row>
    <row r="740" customFormat="false" ht="15" hidden="false" customHeight="false" outlineLevel="0" collapsed="false">
      <c r="A740" s="16"/>
      <c r="B740" s="20"/>
      <c r="C740" s="20"/>
      <c r="D740" s="24"/>
      <c r="E740" s="9" t="str">
        <f aca="false">IF(OR(A740="",B740="",C740=""),"",IF(D740="O",0,SUMIFS(Postes!$P$5:$P$124,Postes!$A$5:$A$124,A740,Postes!$B$5:$B$124,B740)))</f>
        <v/>
      </c>
    </row>
    <row r="741" customFormat="false" ht="15" hidden="false" customHeight="false" outlineLevel="0" collapsed="false">
      <c r="A741" s="16"/>
      <c r="B741" s="20"/>
      <c r="C741" s="20"/>
      <c r="D741" s="24"/>
      <c r="E741" s="9" t="str">
        <f aca="false">IF(OR(A741="",B741="",C741=""),"",IF(D741="O",0,SUMIFS(Postes!$P$5:$P$124,Postes!$A$5:$A$124,A741,Postes!$B$5:$B$124,B741)))</f>
        <v/>
      </c>
    </row>
    <row r="742" customFormat="false" ht="15" hidden="false" customHeight="false" outlineLevel="0" collapsed="false">
      <c r="A742" s="16"/>
      <c r="B742" s="20"/>
      <c r="C742" s="20"/>
      <c r="D742" s="24"/>
      <c r="E742" s="9" t="str">
        <f aca="false">IF(OR(A742="",B742="",C742=""),"",IF(D742="O",0,SUMIFS(Postes!$P$5:$P$124,Postes!$A$5:$A$124,A742,Postes!$B$5:$B$124,B742)))</f>
        <v/>
      </c>
    </row>
    <row r="743" customFormat="false" ht="15" hidden="false" customHeight="false" outlineLevel="0" collapsed="false">
      <c r="A743" s="16"/>
      <c r="B743" s="20"/>
      <c r="C743" s="20"/>
      <c r="D743" s="24"/>
      <c r="E743" s="9" t="str">
        <f aca="false">IF(OR(A743="",B743="",C743=""),"",IF(D743="O",0,SUMIFS(Postes!$P$5:$P$124,Postes!$A$5:$A$124,A743,Postes!$B$5:$B$124,B743)))</f>
        <v/>
      </c>
    </row>
    <row r="744" customFormat="false" ht="15" hidden="false" customHeight="false" outlineLevel="0" collapsed="false">
      <c r="A744" s="16"/>
      <c r="B744" s="20"/>
      <c r="C744" s="20"/>
      <c r="D744" s="24"/>
      <c r="E744" s="9" t="str">
        <f aca="false">IF(OR(A744="",B744="",C744=""),"",IF(D744="O",0,SUMIFS(Postes!$P$5:$P$124,Postes!$A$5:$A$124,A744,Postes!$B$5:$B$124,B744)))</f>
        <v/>
      </c>
    </row>
    <row r="745" customFormat="false" ht="15" hidden="false" customHeight="false" outlineLevel="0" collapsed="false">
      <c r="A745" s="16"/>
      <c r="B745" s="20"/>
      <c r="C745" s="20"/>
      <c r="D745" s="24"/>
      <c r="E745" s="9" t="str">
        <f aca="false">IF(OR(A745="",B745="",C745=""),"",IF(D745="O",0,SUMIFS(Postes!$P$5:$P$124,Postes!$A$5:$A$124,A745,Postes!$B$5:$B$124,B745)))</f>
        <v/>
      </c>
    </row>
    <row r="746" customFormat="false" ht="15" hidden="false" customHeight="false" outlineLevel="0" collapsed="false">
      <c r="A746" s="16"/>
      <c r="B746" s="20"/>
      <c r="C746" s="20"/>
      <c r="D746" s="24"/>
      <c r="E746" s="9" t="str">
        <f aca="false">IF(OR(A746="",B746="",C746=""),"",IF(D746="O",0,SUMIFS(Postes!$P$5:$P$124,Postes!$A$5:$A$124,A746,Postes!$B$5:$B$124,B746)))</f>
        <v/>
      </c>
    </row>
    <row r="747" customFormat="false" ht="15" hidden="false" customHeight="false" outlineLevel="0" collapsed="false">
      <c r="A747" s="16"/>
      <c r="B747" s="20"/>
      <c r="C747" s="20"/>
      <c r="D747" s="24"/>
      <c r="E747" s="9" t="str">
        <f aca="false">IF(OR(A747="",B747="",C747=""),"",IF(D747="O",0,SUMIFS(Postes!$P$5:$P$124,Postes!$A$5:$A$124,A747,Postes!$B$5:$B$124,B747)))</f>
        <v/>
      </c>
    </row>
    <row r="748" customFormat="false" ht="15" hidden="false" customHeight="false" outlineLevel="0" collapsed="false">
      <c r="A748" s="16"/>
      <c r="B748" s="20"/>
      <c r="C748" s="20"/>
      <c r="D748" s="24"/>
      <c r="E748" s="9" t="str">
        <f aca="false">IF(OR(A748="",B748="",C748=""),"",IF(D748="O",0,SUMIFS(Postes!$P$5:$P$124,Postes!$A$5:$A$124,A748,Postes!$B$5:$B$124,B748)))</f>
        <v/>
      </c>
    </row>
    <row r="749" customFormat="false" ht="15" hidden="false" customHeight="false" outlineLevel="0" collapsed="false">
      <c r="A749" s="16"/>
      <c r="B749" s="20"/>
      <c r="C749" s="20"/>
      <c r="D749" s="24"/>
      <c r="E749" s="9" t="str">
        <f aca="false">IF(OR(A749="",B749="",C749=""),"",IF(D749="O",0,SUMIFS(Postes!$P$5:$P$124,Postes!$A$5:$A$124,A749,Postes!$B$5:$B$124,B749)))</f>
        <v/>
      </c>
    </row>
    <row r="750" customFormat="false" ht="15" hidden="false" customHeight="false" outlineLevel="0" collapsed="false">
      <c r="A750" s="16"/>
      <c r="B750" s="20"/>
      <c r="C750" s="20"/>
      <c r="D750" s="24"/>
      <c r="E750" s="9" t="str">
        <f aca="false">IF(OR(A750="",B750="",C750=""),"",IF(D750="O",0,SUMIFS(Postes!$P$5:$P$124,Postes!$A$5:$A$124,A750,Postes!$B$5:$B$124,B750)))</f>
        <v/>
      </c>
    </row>
    <row r="751" customFormat="false" ht="15" hidden="false" customHeight="false" outlineLevel="0" collapsed="false">
      <c r="A751" s="16"/>
      <c r="B751" s="20"/>
      <c r="C751" s="20"/>
      <c r="D751" s="24"/>
      <c r="E751" s="9" t="str">
        <f aca="false">IF(OR(A751="",B751="",C751=""),"",IF(D751="O",0,SUMIFS(Postes!$P$5:$P$124,Postes!$A$5:$A$124,A751,Postes!$B$5:$B$124,B751)))</f>
        <v/>
      </c>
    </row>
    <row r="752" customFormat="false" ht="15" hidden="false" customHeight="false" outlineLevel="0" collapsed="false">
      <c r="A752" s="16"/>
      <c r="B752" s="20"/>
      <c r="C752" s="20"/>
      <c r="D752" s="24"/>
      <c r="E752" s="9" t="str">
        <f aca="false">IF(OR(A752="",B752="",C752=""),"",IF(D752="O",0,SUMIFS(Postes!$P$5:$P$124,Postes!$A$5:$A$124,A752,Postes!$B$5:$B$124,B752)))</f>
        <v/>
      </c>
    </row>
    <row r="753" customFormat="false" ht="15" hidden="false" customHeight="false" outlineLevel="0" collapsed="false">
      <c r="A753" s="16"/>
      <c r="B753" s="20"/>
      <c r="C753" s="20"/>
      <c r="D753" s="24"/>
      <c r="E753" s="9" t="str">
        <f aca="false">IF(OR(A753="",B753="",C753=""),"",IF(D753="O",0,SUMIFS(Postes!$P$5:$P$124,Postes!$A$5:$A$124,A753,Postes!$B$5:$B$124,B753)))</f>
        <v/>
      </c>
    </row>
    <row r="754" customFormat="false" ht="15" hidden="false" customHeight="false" outlineLevel="0" collapsed="false">
      <c r="A754" s="16"/>
      <c r="B754" s="20"/>
      <c r="C754" s="20"/>
      <c r="D754" s="24"/>
      <c r="E754" s="9" t="str">
        <f aca="false">IF(OR(A754="",B754="",C754=""),"",IF(D754="O",0,SUMIFS(Postes!$P$5:$P$124,Postes!$A$5:$A$124,A754,Postes!$B$5:$B$124,B754)))</f>
        <v/>
      </c>
    </row>
    <row r="755" customFormat="false" ht="15" hidden="false" customHeight="false" outlineLevel="0" collapsed="false">
      <c r="A755" s="16"/>
      <c r="B755" s="20"/>
      <c r="C755" s="20"/>
      <c r="D755" s="24"/>
      <c r="E755" s="9" t="str">
        <f aca="false">IF(OR(A755="",B755="",C755=""),"",IF(D755="O",0,SUMIFS(Postes!$P$5:$P$124,Postes!$A$5:$A$124,A755,Postes!$B$5:$B$124,B755)))</f>
        <v/>
      </c>
    </row>
    <row r="756" customFormat="false" ht="15" hidden="false" customHeight="false" outlineLevel="0" collapsed="false">
      <c r="A756" s="16"/>
      <c r="B756" s="20"/>
      <c r="C756" s="20"/>
      <c r="D756" s="24"/>
      <c r="E756" s="9" t="str">
        <f aca="false">IF(OR(A756="",B756="",C756=""),"",IF(D756="O",0,SUMIFS(Postes!$P$5:$P$124,Postes!$A$5:$A$124,A756,Postes!$B$5:$B$124,B756)))</f>
        <v/>
      </c>
    </row>
    <row r="757" customFormat="false" ht="15" hidden="false" customHeight="false" outlineLevel="0" collapsed="false">
      <c r="A757" s="16"/>
      <c r="B757" s="20"/>
      <c r="C757" s="20"/>
      <c r="D757" s="24"/>
      <c r="E757" s="9" t="str">
        <f aca="false">IF(OR(A757="",B757="",C757=""),"",IF(D757="O",0,SUMIFS(Postes!$P$5:$P$124,Postes!$A$5:$A$124,A757,Postes!$B$5:$B$124,B757)))</f>
        <v/>
      </c>
    </row>
    <row r="758" customFormat="false" ht="15" hidden="false" customHeight="false" outlineLevel="0" collapsed="false">
      <c r="A758" s="16"/>
      <c r="B758" s="20"/>
      <c r="C758" s="20"/>
      <c r="D758" s="24"/>
      <c r="E758" s="9" t="str">
        <f aca="false">IF(OR(A758="",B758="",C758=""),"",IF(D758="O",0,SUMIFS(Postes!$P$5:$P$124,Postes!$A$5:$A$124,A758,Postes!$B$5:$B$124,B758)))</f>
        <v/>
      </c>
    </row>
    <row r="759" customFormat="false" ht="15" hidden="false" customHeight="false" outlineLevel="0" collapsed="false">
      <c r="A759" s="16"/>
      <c r="B759" s="20"/>
      <c r="C759" s="20"/>
      <c r="D759" s="24"/>
      <c r="E759" s="9" t="str">
        <f aca="false">IF(OR(A759="",B759="",C759=""),"",IF(D759="O",0,SUMIFS(Postes!$P$5:$P$124,Postes!$A$5:$A$124,A759,Postes!$B$5:$B$124,B759)))</f>
        <v/>
      </c>
    </row>
    <row r="760" customFormat="false" ht="15" hidden="false" customHeight="false" outlineLevel="0" collapsed="false">
      <c r="A760" s="16"/>
      <c r="B760" s="20"/>
      <c r="C760" s="20"/>
      <c r="D760" s="24"/>
      <c r="E760" s="9" t="str">
        <f aca="false">IF(OR(A760="",B760="",C760=""),"",IF(D760="O",0,SUMIFS(Postes!$P$5:$P$124,Postes!$A$5:$A$124,A760,Postes!$B$5:$B$124,B760)))</f>
        <v/>
      </c>
    </row>
    <row r="761" customFormat="false" ht="15" hidden="false" customHeight="false" outlineLevel="0" collapsed="false">
      <c r="A761" s="16"/>
      <c r="B761" s="20"/>
      <c r="C761" s="20"/>
      <c r="D761" s="24"/>
      <c r="E761" s="9" t="str">
        <f aca="false">IF(OR(A761="",B761="",C761=""),"",IF(D761="O",0,SUMIFS(Postes!$P$5:$P$124,Postes!$A$5:$A$124,A761,Postes!$B$5:$B$124,B761)))</f>
        <v/>
      </c>
    </row>
    <row r="762" customFormat="false" ht="15" hidden="false" customHeight="false" outlineLevel="0" collapsed="false">
      <c r="A762" s="16"/>
      <c r="B762" s="20"/>
      <c r="C762" s="20"/>
      <c r="D762" s="24"/>
      <c r="E762" s="9" t="str">
        <f aca="false">IF(OR(A762="",B762="",C762=""),"",IF(D762="O",0,SUMIFS(Postes!$P$5:$P$124,Postes!$A$5:$A$124,A762,Postes!$B$5:$B$124,B762)))</f>
        <v/>
      </c>
    </row>
    <row r="763" customFormat="false" ht="15" hidden="false" customHeight="false" outlineLevel="0" collapsed="false">
      <c r="A763" s="16"/>
      <c r="B763" s="20"/>
      <c r="C763" s="20"/>
      <c r="D763" s="24"/>
      <c r="E763" s="9" t="str">
        <f aca="false">IF(OR(A763="",B763="",C763=""),"",IF(D763="O",0,SUMIFS(Postes!$P$5:$P$124,Postes!$A$5:$A$124,A763,Postes!$B$5:$B$124,B763)))</f>
        <v/>
      </c>
    </row>
    <row r="764" customFormat="false" ht="15" hidden="false" customHeight="false" outlineLevel="0" collapsed="false">
      <c r="A764" s="16"/>
      <c r="B764" s="20"/>
      <c r="C764" s="20"/>
      <c r="D764" s="24"/>
      <c r="E764" s="9" t="str">
        <f aca="false">IF(OR(A764="",B764="",C764=""),"",IF(D764="O",0,SUMIFS(Postes!$P$5:$P$124,Postes!$A$5:$A$124,A764,Postes!$B$5:$B$124,B764)))</f>
        <v/>
      </c>
    </row>
    <row r="765" customFormat="false" ht="15" hidden="false" customHeight="false" outlineLevel="0" collapsed="false">
      <c r="A765" s="16"/>
      <c r="B765" s="20"/>
      <c r="C765" s="20"/>
      <c r="D765" s="24"/>
      <c r="E765" s="9" t="str">
        <f aca="false">IF(OR(A765="",B765="",C765=""),"",IF(D765="O",0,SUMIFS(Postes!$P$5:$P$124,Postes!$A$5:$A$124,A765,Postes!$B$5:$B$124,B765)))</f>
        <v/>
      </c>
    </row>
    <row r="766" customFormat="false" ht="15" hidden="false" customHeight="false" outlineLevel="0" collapsed="false">
      <c r="A766" s="16"/>
      <c r="B766" s="20"/>
      <c r="C766" s="20"/>
      <c r="D766" s="24"/>
      <c r="E766" s="9" t="str">
        <f aca="false">IF(OR(A766="",B766="",C766=""),"",IF(D766="O",0,SUMIFS(Postes!$P$5:$P$124,Postes!$A$5:$A$124,A766,Postes!$B$5:$B$124,B766)))</f>
        <v/>
      </c>
    </row>
    <row r="767" customFormat="false" ht="15" hidden="false" customHeight="false" outlineLevel="0" collapsed="false">
      <c r="A767" s="16"/>
      <c r="B767" s="20"/>
      <c r="C767" s="20"/>
      <c r="D767" s="24"/>
      <c r="E767" s="9" t="str">
        <f aca="false">IF(OR(A767="",B767="",C767=""),"",IF(D767="O",0,SUMIFS(Postes!$P$5:$P$124,Postes!$A$5:$A$124,A767,Postes!$B$5:$B$124,B767)))</f>
        <v/>
      </c>
    </row>
    <row r="768" customFormat="false" ht="15" hidden="false" customHeight="false" outlineLevel="0" collapsed="false">
      <c r="A768" s="16"/>
      <c r="B768" s="20"/>
      <c r="C768" s="20"/>
      <c r="D768" s="24"/>
      <c r="E768" s="9" t="str">
        <f aca="false">IF(OR(A768="",B768="",C768=""),"",IF(D768="O",0,SUMIFS(Postes!$P$5:$P$124,Postes!$A$5:$A$124,A768,Postes!$B$5:$B$124,B768)))</f>
        <v/>
      </c>
    </row>
    <row r="769" customFormat="false" ht="15" hidden="false" customHeight="false" outlineLevel="0" collapsed="false">
      <c r="A769" s="16"/>
      <c r="B769" s="20"/>
      <c r="C769" s="20"/>
      <c r="D769" s="24"/>
      <c r="E769" s="9" t="str">
        <f aca="false">IF(OR(A769="",B769="",C769=""),"",IF(D769="O",0,SUMIFS(Postes!$P$5:$P$124,Postes!$A$5:$A$124,A769,Postes!$B$5:$B$124,B769)))</f>
        <v/>
      </c>
    </row>
    <row r="770" customFormat="false" ht="15" hidden="false" customHeight="false" outlineLevel="0" collapsed="false">
      <c r="A770" s="16"/>
      <c r="B770" s="20"/>
      <c r="C770" s="20"/>
      <c r="D770" s="24"/>
      <c r="E770" s="9" t="str">
        <f aca="false">IF(OR(A770="",B770="",C770=""),"",IF(D770="O",0,SUMIFS(Postes!$P$5:$P$124,Postes!$A$5:$A$124,A770,Postes!$B$5:$B$124,B770)))</f>
        <v/>
      </c>
    </row>
    <row r="771" customFormat="false" ht="15" hidden="false" customHeight="false" outlineLevel="0" collapsed="false">
      <c r="A771" s="16"/>
      <c r="B771" s="20"/>
      <c r="C771" s="20"/>
      <c r="D771" s="24"/>
      <c r="E771" s="9" t="str">
        <f aca="false">IF(OR(A771="",B771="",C771=""),"",IF(D771="O",0,SUMIFS(Postes!$P$5:$P$124,Postes!$A$5:$A$124,A771,Postes!$B$5:$B$124,B771)))</f>
        <v/>
      </c>
    </row>
    <row r="772" customFormat="false" ht="15" hidden="false" customHeight="false" outlineLevel="0" collapsed="false">
      <c r="A772" s="16"/>
      <c r="B772" s="20"/>
      <c r="C772" s="20"/>
      <c r="D772" s="24"/>
      <c r="E772" s="9" t="str">
        <f aca="false">IF(OR(A772="",B772="",C772=""),"",IF(D772="O",0,SUMIFS(Postes!$P$5:$P$124,Postes!$A$5:$A$124,A772,Postes!$B$5:$B$124,B772)))</f>
        <v/>
      </c>
    </row>
    <row r="773" customFormat="false" ht="15" hidden="false" customHeight="false" outlineLevel="0" collapsed="false">
      <c r="A773" s="16"/>
      <c r="B773" s="20"/>
      <c r="C773" s="20"/>
      <c r="D773" s="24"/>
      <c r="E773" s="9" t="str">
        <f aca="false">IF(OR(A773="",B773="",C773=""),"",IF(D773="O",0,SUMIFS(Postes!$P$5:$P$124,Postes!$A$5:$A$124,A773,Postes!$B$5:$B$124,B773)))</f>
        <v/>
      </c>
    </row>
    <row r="774" customFormat="false" ht="15" hidden="false" customHeight="false" outlineLevel="0" collapsed="false">
      <c r="A774" s="16"/>
      <c r="B774" s="20"/>
      <c r="C774" s="20"/>
      <c r="D774" s="24"/>
      <c r="E774" s="9" t="str">
        <f aca="false">IF(OR(A774="",B774="",C774=""),"",IF(D774="O",0,SUMIFS(Postes!$P$5:$P$124,Postes!$A$5:$A$124,A774,Postes!$B$5:$B$124,B774)))</f>
        <v/>
      </c>
    </row>
    <row r="775" customFormat="false" ht="15" hidden="false" customHeight="false" outlineLevel="0" collapsed="false">
      <c r="A775" s="16"/>
      <c r="B775" s="20"/>
      <c r="C775" s="20"/>
      <c r="D775" s="24"/>
      <c r="E775" s="9" t="str">
        <f aca="false">IF(OR(A775="",B775="",C775=""),"",IF(D775="O",0,SUMIFS(Postes!$P$5:$P$124,Postes!$A$5:$A$124,A775,Postes!$B$5:$B$124,B775)))</f>
        <v/>
      </c>
    </row>
    <row r="776" customFormat="false" ht="15" hidden="false" customHeight="false" outlineLevel="0" collapsed="false">
      <c r="A776" s="16"/>
      <c r="B776" s="20"/>
      <c r="C776" s="20"/>
      <c r="D776" s="24"/>
      <c r="E776" s="9" t="str">
        <f aca="false">IF(OR(A776="",B776="",C776=""),"",IF(D776="O",0,SUMIFS(Postes!$P$5:$P$124,Postes!$A$5:$A$124,A776,Postes!$B$5:$B$124,B776)))</f>
        <v/>
      </c>
    </row>
    <row r="777" customFormat="false" ht="15" hidden="false" customHeight="false" outlineLevel="0" collapsed="false">
      <c r="A777" s="16"/>
      <c r="B777" s="20"/>
      <c r="C777" s="20"/>
      <c r="D777" s="24"/>
      <c r="E777" s="9" t="str">
        <f aca="false">IF(OR(A777="",B777="",C777=""),"",IF(D777="O",0,SUMIFS(Postes!$P$5:$P$124,Postes!$A$5:$A$124,A777,Postes!$B$5:$B$124,B777)))</f>
        <v/>
      </c>
    </row>
    <row r="778" customFormat="false" ht="15" hidden="false" customHeight="false" outlineLevel="0" collapsed="false">
      <c r="A778" s="16"/>
      <c r="B778" s="20"/>
      <c r="C778" s="20"/>
      <c r="D778" s="24"/>
      <c r="E778" s="9" t="str">
        <f aca="false">IF(OR(A778="",B778="",C778=""),"",IF(D778="O",0,SUMIFS(Postes!$P$5:$P$124,Postes!$A$5:$A$124,A778,Postes!$B$5:$B$124,B778)))</f>
        <v/>
      </c>
    </row>
    <row r="779" customFormat="false" ht="15" hidden="false" customHeight="false" outlineLevel="0" collapsed="false">
      <c r="A779" s="16"/>
      <c r="B779" s="20"/>
      <c r="C779" s="20"/>
      <c r="D779" s="24"/>
      <c r="E779" s="9" t="str">
        <f aca="false">IF(OR(A779="",B779="",C779=""),"",IF(D779="O",0,SUMIFS(Postes!$P$5:$P$124,Postes!$A$5:$A$124,A779,Postes!$B$5:$B$124,B779)))</f>
        <v/>
      </c>
    </row>
    <row r="780" customFormat="false" ht="15" hidden="false" customHeight="false" outlineLevel="0" collapsed="false">
      <c r="A780" s="16"/>
      <c r="B780" s="20"/>
      <c r="C780" s="20"/>
      <c r="D780" s="24"/>
      <c r="E780" s="9" t="str">
        <f aca="false">IF(OR(A780="",B780="",C780=""),"",IF(D780="O",0,SUMIFS(Postes!$P$5:$P$124,Postes!$A$5:$A$124,A780,Postes!$B$5:$B$124,B780)))</f>
        <v/>
      </c>
    </row>
    <row r="781" customFormat="false" ht="15" hidden="false" customHeight="false" outlineLevel="0" collapsed="false">
      <c r="A781" s="16"/>
      <c r="B781" s="20"/>
      <c r="C781" s="20"/>
      <c r="D781" s="24"/>
      <c r="E781" s="9" t="str">
        <f aca="false">IF(OR(A781="",B781="",C781=""),"",IF(D781="O",0,SUMIFS(Postes!$P$5:$P$124,Postes!$A$5:$A$124,A781,Postes!$B$5:$B$124,B781)))</f>
        <v/>
      </c>
    </row>
    <row r="782" customFormat="false" ht="15" hidden="false" customHeight="false" outlineLevel="0" collapsed="false">
      <c r="A782" s="16"/>
      <c r="B782" s="20"/>
      <c r="C782" s="20"/>
      <c r="D782" s="24"/>
      <c r="E782" s="9" t="str">
        <f aca="false">IF(OR(A782="",B782="",C782=""),"",IF(D782="O",0,SUMIFS(Postes!$P$5:$P$124,Postes!$A$5:$A$124,A782,Postes!$B$5:$B$124,B782)))</f>
        <v/>
      </c>
    </row>
    <row r="783" customFormat="false" ht="15" hidden="false" customHeight="false" outlineLevel="0" collapsed="false">
      <c r="A783" s="16"/>
      <c r="B783" s="20"/>
      <c r="C783" s="20"/>
      <c r="D783" s="24"/>
      <c r="E783" s="9" t="str">
        <f aca="false">IF(OR(A783="",B783="",C783=""),"",IF(D783="O",0,SUMIFS(Postes!$P$5:$P$124,Postes!$A$5:$A$124,A783,Postes!$B$5:$B$124,B783)))</f>
        <v/>
      </c>
    </row>
    <row r="784" customFormat="false" ht="15" hidden="false" customHeight="false" outlineLevel="0" collapsed="false">
      <c r="A784" s="16"/>
      <c r="B784" s="20"/>
      <c r="C784" s="20"/>
      <c r="D784" s="24"/>
      <c r="E784" s="9" t="str">
        <f aca="false">IF(OR(A784="",B784="",C784=""),"",IF(D784="O",0,SUMIFS(Postes!$P$5:$P$124,Postes!$A$5:$A$124,A784,Postes!$B$5:$B$124,B784)))</f>
        <v/>
      </c>
    </row>
    <row r="785" customFormat="false" ht="15" hidden="false" customHeight="false" outlineLevel="0" collapsed="false">
      <c r="A785" s="16"/>
      <c r="B785" s="20"/>
      <c r="C785" s="20"/>
      <c r="D785" s="24"/>
      <c r="E785" s="9" t="str">
        <f aca="false">IF(OR(A785="",B785="",C785=""),"",IF(D785="O",0,SUMIFS(Postes!$P$5:$P$124,Postes!$A$5:$A$124,A785,Postes!$B$5:$B$124,B785)))</f>
        <v/>
      </c>
    </row>
    <row r="786" customFormat="false" ht="15" hidden="false" customHeight="false" outlineLevel="0" collapsed="false">
      <c r="A786" s="16"/>
      <c r="B786" s="20"/>
      <c r="C786" s="20"/>
      <c r="D786" s="24"/>
      <c r="E786" s="9" t="str">
        <f aca="false">IF(OR(A786="",B786="",C786=""),"",IF(D786="O",0,SUMIFS(Postes!$P$5:$P$124,Postes!$A$5:$A$124,A786,Postes!$B$5:$B$124,B786)))</f>
        <v/>
      </c>
    </row>
    <row r="787" customFormat="false" ht="15" hidden="false" customHeight="false" outlineLevel="0" collapsed="false">
      <c r="A787" s="16"/>
      <c r="B787" s="20"/>
      <c r="C787" s="20"/>
      <c r="D787" s="24"/>
      <c r="E787" s="9" t="str">
        <f aca="false">IF(OR(A787="",B787="",C787=""),"",IF(D787="O",0,SUMIFS(Postes!$P$5:$P$124,Postes!$A$5:$A$124,A787,Postes!$B$5:$B$124,B787)))</f>
        <v/>
      </c>
    </row>
    <row r="788" customFormat="false" ht="15" hidden="false" customHeight="false" outlineLevel="0" collapsed="false">
      <c r="A788" s="16"/>
      <c r="B788" s="20"/>
      <c r="C788" s="20"/>
      <c r="D788" s="24"/>
      <c r="E788" s="9" t="str">
        <f aca="false">IF(OR(A788="",B788="",C788=""),"",IF(D788="O",0,SUMIFS(Postes!$P$5:$P$124,Postes!$A$5:$A$124,A788,Postes!$B$5:$B$124,B788)))</f>
        <v/>
      </c>
    </row>
    <row r="789" customFormat="false" ht="15" hidden="false" customHeight="false" outlineLevel="0" collapsed="false">
      <c r="A789" s="16"/>
      <c r="B789" s="20"/>
      <c r="C789" s="20"/>
      <c r="D789" s="24"/>
      <c r="E789" s="9" t="str">
        <f aca="false">IF(OR(A789="",B789="",C789=""),"",IF(D789="O",0,SUMIFS(Postes!$P$5:$P$124,Postes!$A$5:$A$124,A789,Postes!$B$5:$B$124,B789)))</f>
        <v/>
      </c>
    </row>
    <row r="790" customFormat="false" ht="15" hidden="false" customHeight="false" outlineLevel="0" collapsed="false">
      <c r="A790" s="16"/>
      <c r="B790" s="20"/>
      <c r="C790" s="20"/>
      <c r="D790" s="24"/>
      <c r="E790" s="9" t="str">
        <f aca="false">IF(OR(A790="",B790="",C790=""),"",IF(D790="O",0,SUMIFS(Postes!$P$5:$P$124,Postes!$A$5:$A$124,A790,Postes!$B$5:$B$124,B790)))</f>
        <v/>
      </c>
    </row>
    <row r="791" customFormat="false" ht="15" hidden="false" customHeight="false" outlineLevel="0" collapsed="false">
      <c r="A791" s="16"/>
      <c r="B791" s="20"/>
      <c r="C791" s="20"/>
      <c r="D791" s="24"/>
      <c r="E791" s="9" t="str">
        <f aca="false">IF(OR(A791="",B791="",C791=""),"",IF(D791="O",0,SUMIFS(Postes!$P$5:$P$124,Postes!$A$5:$A$124,A791,Postes!$B$5:$B$124,B791)))</f>
        <v/>
      </c>
    </row>
    <row r="792" customFormat="false" ht="15" hidden="false" customHeight="false" outlineLevel="0" collapsed="false">
      <c r="A792" s="16"/>
      <c r="B792" s="20"/>
      <c r="C792" s="20"/>
      <c r="D792" s="24"/>
      <c r="E792" s="9" t="str">
        <f aca="false">IF(OR(A792="",B792="",C792=""),"",IF(D792="O",0,SUMIFS(Postes!$P$5:$P$124,Postes!$A$5:$A$124,A792,Postes!$B$5:$B$124,B792)))</f>
        <v/>
      </c>
    </row>
    <row r="793" customFormat="false" ht="15" hidden="false" customHeight="false" outlineLevel="0" collapsed="false">
      <c r="A793" s="16"/>
      <c r="B793" s="20"/>
      <c r="C793" s="20"/>
      <c r="D793" s="24"/>
      <c r="E793" s="9" t="str">
        <f aca="false">IF(OR(A793="",B793="",C793=""),"",IF(D793="O",0,SUMIFS(Postes!$P$5:$P$124,Postes!$A$5:$A$124,A793,Postes!$B$5:$B$124,B793)))</f>
        <v/>
      </c>
    </row>
    <row r="794" customFormat="false" ht="15" hidden="false" customHeight="false" outlineLevel="0" collapsed="false">
      <c r="A794" s="16"/>
      <c r="B794" s="20"/>
      <c r="C794" s="20"/>
      <c r="D794" s="24"/>
      <c r="E794" s="9" t="str">
        <f aca="false">IF(OR(A794="",B794="",C794=""),"",IF(D794="O",0,SUMIFS(Postes!$P$5:$P$124,Postes!$A$5:$A$124,A794,Postes!$B$5:$B$124,B794)))</f>
        <v/>
      </c>
    </row>
    <row r="795" customFormat="false" ht="15" hidden="false" customHeight="false" outlineLevel="0" collapsed="false">
      <c r="A795" s="16"/>
      <c r="B795" s="20"/>
      <c r="C795" s="20"/>
      <c r="D795" s="24"/>
      <c r="E795" s="9" t="str">
        <f aca="false">IF(OR(A795="",B795="",C795=""),"",IF(D795="O",0,SUMIFS(Postes!$P$5:$P$124,Postes!$A$5:$A$124,A795,Postes!$B$5:$B$124,B795)))</f>
        <v/>
      </c>
    </row>
    <row r="796" customFormat="false" ht="15" hidden="false" customHeight="false" outlineLevel="0" collapsed="false">
      <c r="A796" s="16"/>
      <c r="B796" s="20"/>
      <c r="C796" s="20"/>
      <c r="D796" s="24"/>
      <c r="E796" s="9" t="str">
        <f aca="false">IF(OR(A796="",B796="",C796=""),"",IF(D796="O",0,SUMIFS(Postes!$P$5:$P$124,Postes!$A$5:$A$124,A796,Postes!$B$5:$B$124,B796)))</f>
        <v/>
      </c>
    </row>
    <row r="797" customFormat="false" ht="15" hidden="false" customHeight="false" outlineLevel="0" collapsed="false">
      <c r="A797" s="16"/>
      <c r="B797" s="20"/>
      <c r="C797" s="20"/>
      <c r="D797" s="24"/>
      <c r="E797" s="9" t="str">
        <f aca="false">IF(OR(A797="",B797="",C797=""),"",IF(D797="O",0,SUMIFS(Postes!$P$5:$P$124,Postes!$A$5:$A$124,A797,Postes!$B$5:$B$124,B797)))</f>
        <v/>
      </c>
    </row>
    <row r="798" customFormat="false" ht="15" hidden="false" customHeight="false" outlineLevel="0" collapsed="false">
      <c r="A798" s="16"/>
      <c r="B798" s="20"/>
      <c r="C798" s="20"/>
      <c r="D798" s="24"/>
      <c r="E798" s="9" t="str">
        <f aca="false">IF(OR(A798="",B798="",C798=""),"",IF(D798="O",0,SUMIFS(Postes!$P$5:$P$124,Postes!$A$5:$A$124,A798,Postes!$B$5:$B$124,B798)))</f>
        <v/>
      </c>
    </row>
    <row r="799" customFormat="false" ht="15" hidden="false" customHeight="false" outlineLevel="0" collapsed="false">
      <c r="A799" s="16"/>
      <c r="B799" s="20"/>
      <c r="C799" s="20"/>
      <c r="D799" s="24"/>
      <c r="E799" s="9" t="str">
        <f aca="false">IF(OR(A799="",B799="",C799=""),"",IF(D799="O",0,SUMIFS(Postes!$P$5:$P$124,Postes!$A$5:$A$124,A799,Postes!$B$5:$B$124,B799)))</f>
        <v/>
      </c>
    </row>
    <row r="800" customFormat="false" ht="15" hidden="false" customHeight="false" outlineLevel="0" collapsed="false">
      <c r="A800" s="16"/>
      <c r="B800" s="20"/>
      <c r="C800" s="20"/>
      <c r="D800" s="24"/>
      <c r="E800" s="9" t="str">
        <f aca="false">IF(OR(A800="",B800="",C800=""),"",IF(D800="O",0,SUMIFS(Postes!$P$5:$P$124,Postes!$A$5:$A$124,A800,Postes!$B$5:$B$124,B800)))</f>
        <v/>
      </c>
    </row>
    <row r="801" customFormat="false" ht="15" hidden="false" customHeight="false" outlineLevel="0" collapsed="false">
      <c r="A801" s="16"/>
      <c r="B801" s="20"/>
      <c r="C801" s="20"/>
      <c r="D801" s="24"/>
      <c r="E801" s="9" t="str">
        <f aca="false">IF(OR(A801="",B801="",C801=""),"",IF(D801="O",0,SUMIFS(Postes!$P$5:$P$124,Postes!$A$5:$A$124,A801,Postes!$B$5:$B$124,B801)))</f>
        <v/>
      </c>
    </row>
    <row r="802" customFormat="false" ht="15" hidden="false" customHeight="false" outlineLevel="0" collapsed="false">
      <c r="A802" s="16"/>
      <c r="B802" s="20"/>
      <c r="C802" s="20"/>
      <c r="D802" s="24"/>
      <c r="E802" s="9" t="str">
        <f aca="false">IF(OR(A802="",B802="",C802=""),"",IF(D802="O",0,SUMIFS(Postes!$P$5:$P$124,Postes!$A$5:$A$124,A802,Postes!$B$5:$B$124,B802)))</f>
        <v/>
      </c>
    </row>
    <row r="803" customFormat="false" ht="15" hidden="false" customHeight="false" outlineLevel="0" collapsed="false">
      <c r="A803" s="16"/>
      <c r="B803" s="20"/>
      <c r="C803" s="20"/>
      <c r="D803" s="24"/>
      <c r="E803" s="9" t="str">
        <f aca="false">IF(OR(A803="",B803="",C803=""),"",IF(D803="O",0,SUMIFS(Postes!$P$5:$P$124,Postes!$A$5:$A$124,A803,Postes!$B$5:$B$124,B803)))</f>
        <v/>
      </c>
    </row>
    <row r="804" customFormat="false" ht="15" hidden="false" customHeight="false" outlineLevel="0" collapsed="false">
      <c r="A804" s="16"/>
      <c r="B804" s="20"/>
      <c r="C804" s="20"/>
      <c r="D804" s="24"/>
      <c r="E804" s="9" t="str">
        <f aca="false">IF(OR(A804="",B804="",C804=""),"",IF(D804="O",0,SUMIFS(Postes!$P$5:$P$124,Postes!$A$5:$A$124,A804,Postes!$B$5:$B$124,B804)))</f>
        <v/>
      </c>
    </row>
    <row r="805" customFormat="false" ht="15" hidden="false" customHeight="false" outlineLevel="0" collapsed="false">
      <c r="A805" s="16"/>
      <c r="B805" s="20"/>
      <c r="C805" s="20"/>
      <c r="D805" s="24"/>
      <c r="E805" s="9" t="str">
        <f aca="false">IF(OR(A805="",B805="",C805=""),"",IF(D805="O",0,SUMIFS(Postes!$P$5:$P$124,Postes!$A$5:$A$124,A805,Postes!$B$5:$B$124,B805)))</f>
        <v/>
      </c>
    </row>
    <row r="806" customFormat="false" ht="15" hidden="false" customHeight="false" outlineLevel="0" collapsed="false">
      <c r="A806" s="16"/>
      <c r="B806" s="20"/>
      <c r="C806" s="20"/>
      <c r="D806" s="24"/>
      <c r="E806" s="9" t="str">
        <f aca="false">IF(OR(A806="",B806="",C806=""),"",IF(D806="O",0,SUMIFS(Postes!$P$5:$P$124,Postes!$A$5:$A$124,A806,Postes!$B$5:$B$124,B806)))</f>
        <v/>
      </c>
    </row>
    <row r="807" customFormat="false" ht="15" hidden="false" customHeight="false" outlineLevel="0" collapsed="false">
      <c r="A807" s="16"/>
      <c r="B807" s="20"/>
      <c r="C807" s="20"/>
      <c r="D807" s="24"/>
      <c r="E807" s="9" t="str">
        <f aca="false">IF(OR(A807="",B807="",C807=""),"",IF(D807="O",0,SUMIFS(Postes!$P$5:$P$124,Postes!$A$5:$A$124,A807,Postes!$B$5:$B$124,B807)))</f>
        <v/>
      </c>
    </row>
    <row r="808" customFormat="false" ht="15" hidden="false" customHeight="false" outlineLevel="0" collapsed="false">
      <c r="A808" s="16"/>
      <c r="B808" s="20"/>
      <c r="C808" s="20"/>
      <c r="D808" s="24"/>
      <c r="E808" s="9" t="str">
        <f aca="false">IF(OR(A808="",B808="",C808=""),"",IF(D808="O",0,SUMIFS(Postes!$P$5:$P$124,Postes!$A$5:$A$124,A808,Postes!$B$5:$B$124,B808)))</f>
        <v/>
      </c>
    </row>
    <row r="809" customFormat="false" ht="15" hidden="false" customHeight="false" outlineLevel="0" collapsed="false">
      <c r="A809" s="16"/>
      <c r="B809" s="20"/>
      <c r="C809" s="20"/>
      <c r="D809" s="24"/>
      <c r="E809" s="9" t="str">
        <f aca="false">IF(OR(A809="",B809="",C809=""),"",IF(D809="O",0,SUMIFS(Postes!$P$5:$P$124,Postes!$A$5:$A$124,A809,Postes!$B$5:$B$124,B809)))</f>
        <v/>
      </c>
    </row>
    <row r="810" customFormat="false" ht="15" hidden="false" customHeight="false" outlineLevel="0" collapsed="false">
      <c r="A810" s="16"/>
      <c r="B810" s="20"/>
      <c r="C810" s="20"/>
      <c r="D810" s="24"/>
      <c r="E810" s="9" t="str">
        <f aca="false">IF(OR(A810="",B810="",C810=""),"",IF(D810="O",0,SUMIFS(Postes!$P$5:$P$124,Postes!$A$5:$A$124,A810,Postes!$B$5:$B$124,B810)))</f>
        <v/>
      </c>
    </row>
    <row r="811" customFormat="false" ht="15" hidden="false" customHeight="false" outlineLevel="0" collapsed="false">
      <c r="A811" s="16"/>
      <c r="B811" s="20"/>
      <c r="C811" s="20"/>
      <c r="D811" s="24"/>
      <c r="E811" s="9" t="str">
        <f aca="false">IF(OR(A811="",B811="",C811=""),"",IF(D811="O",0,SUMIFS(Postes!$P$5:$P$124,Postes!$A$5:$A$124,A811,Postes!$B$5:$B$124,B811)))</f>
        <v/>
      </c>
    </row>
    <row r="812" customFormat="false" ht="15" hidden="false" customHeight="false" outlineLevel="0" collapsed="false">
      <c r="A812" s="16"/>
      <c r="B812" s="20"/>
      <c r="C812" s="20"/>
      <c r="D812" s="24"/>
      <c r="E812" s="9" t="str">
        <f aca="false">IF(OR(A812="",B812="",C812=""),"",IF(D812="O",0,SUMIFS(Postes!$P$5:$P$124,Postes!$A$5:$A$124,A812,Postes!$B$5:$B$124,B812)))</f>
        <v/>
      </c>
    </row>
    <row r="813" customFormat="false" ht="15" hidden="false" customHeight="false" outlineLevel="0" collapsed="false">
      <c r="A813" s="16"/>
      <c r="B813" s="20"/>
      <c r="C813" s="20"/>
      <c r="D813" s="24"/>
      <c r="E813" s="9" t="str">
        <f aca="false">IF(OR(A813="",B813="",C813=""),"",IF(D813="O",0,SUMIFS(Postes!$P$5:$P$124,Postes!$A$5:$A$124,A813,Postes!$B$5:$B$124,B813)))</f>
        <v/>
      </c>
    </row>
    <row r="814" customFormat="false" ht="15" hidden="false" customHeight="false" outlineLevel="0" collapsed="false">
      <c r="A814" s="16"/>
      <c r="B814" s="20"/>
      <c r="C814" s="20"/>
      <c r="D814" s="24"/>
      <c r="E814" s="9" t="str">
        <f aca="false">IF(OR(A814="",B814="",C814=""),"",IF(D814="O",0,SUMIFS(Postes!$P$5:$P$124,Postes!$A$5:$A$124,A814,Postes!$B$5:$B$124,B814)))</f>
        <v/>
      </c>
    </row>
    <row r="815" customFormat="false" ht="15" hidden="false" customHeight="false" outlineLevel="0" collapsed="false">
      <c r="A815" s="16"/>
      <c r="B815" s="20"/>
      <c r="C815" s="20"/>
      <c r="D815" s="24"/>
      <c r="E815" s="9" t="str">
        <f aca="false">IF(OR(A815="",B815="",C815=""),"",IF(D815="O",0,SUMIFS(Postes!$P$5:$P$124,Postes!$A$5:$A$124,A815,Postes!$B$5:$B$124,B815)))</f>
        <v/>
      </c>
    </row>
    <row r="816" customFormat="false" ht="15" hidden="false" customHeight="false" outlineLevel="0" collapsed="false">
      <c r="A816" s="16"/>
      <c r="B816" s="20"/>
      <c r="C816" s="20"/>
      <c r="D816" s="24"/>
      <c r="E816" s="9" t="str">
        <f aca="false">IF(OR(A816="",B816="",C816=""),"",IF(D816="O",0,SUMIFS(Postes!$P$5:$P$124,Postes!$A$5:$A$124,A816,Postes!$B$5:$B$124,B816)))</f>
        <v/>
      </c>
    </row>
    <row r="817" customFormat="false" ht="15" hidden="false" customHeight="false" outlineLevel="0" collapsed="false">
      <c r="A817" s="16"/>
      <c r="B817" s="20"/>
      <c r="C817" s="20"/>
      <c r="D817" s="24"/>
      <c r="E817" s="9" t="str">
        <f aca="false">IF(OR(A817="",B817="",C817=""),"",IF(D817="O",0,SUMIFS(Postes!$P$5:$P$124,Postes!$A$5:$A$124,A817,Postes!$B$5:$B$124,B817)))</f>
        <v/>
      </c>
    </row>
    <row r="818" customFormat="false" ht="15" hidden="false" customHeight="false" outlineLevel="0" collapsed="false">
      <c r="A818" s="16"/>
      <c r="B818" s="20"/>
      <c r="C818" s="20"/>
      <c r="D818" s="24"/>
      <c r="E818" s="9" t="str">
        <f aca="false">IF(OR(A818="",B818="",C818=""),"",IF(D818="O",0,SUMIFS(Postes!$P$5:$P$124,Postes!$A$5:$A$124,A818,Postes!$B$5:$B$124,B818)))</f>
        <v/>
      </c>
    </row>
    <row r="819" customFormat="false" ht="15" hidden="false" customHeight="false" outlineLevel="0" collapsed="false">
      <c r="A819" s="16"/>
      <c r="B819" s="20"/>
      <c r="C819" s="20"/>
      <c r="D819" s="24"/>
      <c r="E819" s="9" t="str">
        <f aca="false">IF(OR(A819="",B819="",C819=""),"",IF(D819="O",0,SUMIFS(Postes!$P$5:$P$124,Postes!$A$5:$A$124,A819,Postes!$B$5:$B$124,B819)))</f>
        <v/>
      </c>
    </row>
    <row r="820" customFormat="false" ht="15" hidden="false" customHeight="false" outlineLevel="0" collapsed="false">
      <c r="A820" s="16"/>
      <c r="B820" s="20"/>
      <c r="C820" s="20"/>
      <c r="D820" s="24"/>
      <c r="E820" s="9" t="str">
        <f aca="false">IF(OR(A820="",B820="",C820=""),"",IF(D820="O",0,SUMIFS(Postes!$P$5:$P$124,Postes!$A$5:$A$124,A820,Postes!$B$5:$B$124,B820)))</f>
        <v/>
      </c>
    </row>
    <row r="821" customFormat="false" ht="15" hidden="false" customHeight="false" outlineLevel="0" collapsed="false">
      <c r="A821" s="16"/>
      <c r="B821" s="20"/>
      <c r="C821" s="20"/>
      <c r="D821" s="24"/>
      <c r="E821" s="9" t="str">
        <f aca="false">IF(OR(A821="",B821="",C821=""),"",IF(D821="O",0,SUMIFS(Postes!$P$5:$P$124,Postes!$A$5:$A$124,A821,Postes!$B$5:$B$124,B821)))</f>
        <v/>
      </c>
    </row>
    <row r="822" customFormat="false" ht="15" hidden="false" customHeight="false" outlineLevel="0" collapsed="false">
      <c r="A822" s="16"/>
      <c r="B822" s="20"/>
      <c r="C822" s="20"/>
      <c r="D822" s="24"/>
      <c r="E822" s="9" t="str">
        <f aca="false">IF(OR(A822="",B822="",C822=""),"",IF(D822="O",0,SUMIFS(Postes!$P$5:$P$124,Postes!$A$5:$A$124,A822,Postes!$B$5:$B$124,B822)))</f>
        <v/>
      </c>
    </row>
    <row r="823" customFormat="false" ht="15" hidden="false" customHeight="false" outlineLevel="0" collapsed="false">
      <c r="A823" s="16"/>
      <c r="B823" s="20"/>
      <c r="C823" s="20"/>
      <c r="D823" s="24"/>
      <c r="E823" s="9" t="str">
        <f aca="false">IF(OR(A823="",B823="",C823=""),"",IF(D823="O",0,SUMIFS(Postes!$P$5:$P$124,Postes!$A$5:$A$124,A823,Postes!$B$5:$B$124,B823)))</f>
        <v/>
      </c>
    </row>
    <row r="824" customFormat="false" ht="15" hidden="false" customHeight="false" outlineLevel="0" collapsed="false">
      <c r="A824" s="16"/>
      <c r="B824" s="20"/>
      <c r="C824" s="20"/>
      <c r="D824" s="24"/>
      <c r="E824" s="9" t="str">
        <f aca="false">IF(OR(A824="",B824="",C824=""),"",IF(D824="O",0,SUMIFS(Postes!$P$5:$P$124,Postes!$A$5:$A$124,A824,Postes!$B$5:$B$124,B824)))</f>
        <v/>
      </c>
    </row>
    <row r="825" customFormat="false" ht="15" hidden="false" customHeight="false" outlineLevel="0" collapsed="false">
      <c r="A825" s="16"/>
      <c r="B825" s="20"/>
      <c r="C825" s="20"/>
      <c r="D825" s="24"/>
      <c r="E825" s="9" t="str">
        <f aca="false">IF(OR(A825="",B825="",C825=""),"",IF(D825="O",0,SUMIFS(Postes!$P$5:$P$124,Postes!$A$5:$A$124,A825,Postes!$B$5:$B$124,B825)))</f>
        <v/>
      </c>
    </row>
    <row r="826" customFormat="false" ht="15" hidden="false" customHeight="false" outlineLevel="0" collapsed="false">
      <c r="A826" s="16"/>
      <c r="B826" s="20"/>
      <c r="C826" s="20"/>
      <c r="D826" s="24"/>
      <c r="E826" s="9" t="str">
        <f aca="false">IF(OR(A826="",B826="",C826=""),"",IF(D826="O",0,SUMIFS(Postes!$P$5:$P$124,Postes!$A$5:$A$124,A826,Postes!$B$5:$B$124,B826)))</f>
        <v/>
      </c>
    </row>
    <row r="827" customFormat="false" ht="15" hidden="false" customHeight="false" outlineLevel="0" collapsed="false">
      <c r="A827" s="16"/>
      <c r="B827" s="20"/>
      <c r="C827" s="20"/>
      <c r="D827" s="24"/>
      <c r="E827" s="9" t="str">
        <f aca="false">IF(OR(A827="",B827="",C827=""),"",IF(D827="O",0,SUMIFS(Postes!$P$5:$P$124,Postes!$A$5:$A$124,A827,Postes!$B$5:$B$124,B827)))</f>
        <v/>
      </c>
    </row>
    <row r="828" customFormat="false" ht="15" hidden="false" customHeight="false" outlineLevel="0" collapsed="false">
      <c r="A828" s="16"/>
      <c r="B828" s="20"/>
      <c r="C828" s="20"/>
      <c r="D828" s="24"/>
      <c r="E828" s="9" t="str">
        <f aca="false">IF(OR(A828="",B828="",C828=""),"",IF(D828="O",0,SUMIFS(Postes!$P$5:$P$124,Postes!$A$5:$A$124,A828,Postes!$B$5:$B$124,B828)))</f>
        <v/>
      </c>
    </row>
    <row r="829" customFormat="false" ht="15" hidden="false" customHeight="false" outlineLevel="0" collapsed="false">
      <c r="A829" s="16"/>
      <c r="B829" s="20"/>
      <c r="C829" s="20"/>
      <c r="D829" s="24"/>
      <c r="E829" s="9" t="str">
        <f aca="false">IF(OR(A829="",B829="",C829=""),"",IF(D829="O",0,SUMIFS(Postes!$P$5:$P$124,Postes!$A$5:$A$124,A829,Postes!$B$5:$B$124,B829)))</f>
        <v/>
      </c>
    </row>
    <row r="830" customFormat="false" ht="15" hidden="false" customHeight="false" outlineLevel="0" collapsed="false">
      <c r="A830" s="16"/>
      <c r="B830" s="20"/>
      <c r="C830" s="20"/>
      <c r="D830" s="24"/>
      <c r="E830" s="9" t="str">
        <f aca="false">IF(OR(A830="",B830="",C830=""),"",IF(D830="O",0,SUMIFS(Postes!$P$5:$P$124,Postes!$A$5:$A$124,A830,Postes!$B$5:$B$124,B830)))</f>
        <v/>
      </c>
    </row>
    <row r="831" customFormat="false" ht="15" hidden="false" customHeight="false" outlineLevel="0" collapsed="false">
      <c r="A831" s="16"/>
      <c r="B831" s="20"/>
      <c r="C831" s="20"/>
      <c r="D831" s="24"/>
      <c r="E831" s="9" t="str">
        <f aca="false">IF(OR(A831="",B831="",C831=""),"",IF(D831="O",0,SUMIFS(Postes!$P$5:$P$124,Postes!$A$5:$A$124,A831,Postes!$B$5:$B$124,B831)))</f>
        <v/>
      </c>
    </row>
    <row r="832" customFormat="false" ht="15" hidden="false" customHeight="false" outlineLevel="0" collapsed="false">
      <c r="A832" s="16"/>
      <c r="B832" s="20"/>
      <c r="C832" s="20"/>
      <c r="D832" s="24"/>
      <c r="E832" s="9" t="str">
        <f aca="false">IF(OR(A832="",B832="",C832=""),"",IF(D832="O",0,SUMIFS(Postes!$P$5:$P$124,Postes!$A$5:$A$124,A832,Postes!$B$5:$B$124,B832)))</f>
        <v/>
      </c>
    </row>
    <row r="833" customFormat="false" ht="15" hidden="false" customHeight="false" outlineLevel="0" collapsed="false">
      <c r="A833" s="16"/>
      <c r="B833" s="20"/>
      <c r="C833" s="20"/>
      <c r="D833" s="24"/>
      <c r="E833" s="9" t="str">
        <f aca="false">IF(OR(A833="",B833="",C833=""),"",IF(D833="O",0,SUMIFS(Postes!$P$5:$P$124,Postes!$A$5:$A$124,A833,Postes!$B$5:$B$124,B833)))</f>
        <v/>
      </c>
    </row>
    <row r="834" customFormat="false" ht="15" hidden="false" customHeight="false" outlineLevel="0" collapsed="false">
      <c r="A834" s="16"/>
      <c r="B834" s="20"/>
      <c r="C834" s="20"/>
      <c r="D834" s="24"/>
      <c r="E834" s="9" t="str">
        <f aca="false">IF(OR(A834="",B834="",C834=""),"",IF(D834="O",0,SUMIFS(Postes!$P$5:$P$124,Postes!$A$5:$A$124,A834,Postes!$B$5:$B$124,B834)))</f>
        <v/>
      </c>
    </row>
    <row r="835" customFormat="false" ht="15" hidden="false" customHeight="false" outlineLevel="0" collapsed="false">
      <c r="A835" s="16"/>
      <c r="B835" s="20"/>
      <c r="C835" s="20"/>
      <c r="D835" s="24"/>
      <c r="E835" s="9" t="str">
        <f aca="false">IF(OR(A835="",B835="",C835=""),"",IF(D835="O",0,SUMIFS(Postes!$P$5:$P$124,Postes!$A$5:$A$124,A835,Postes!$B$5:$B$124,B835)))</f>
        <v/>
      </c>
    </row>
    <row r="836" customFormat="false" ht="15" hidden="false" customHeight="false" outlineLevel="0" collapsed="false">
      <c r="A836" s="16"/>
      <c r="B836" s="20"/>
      <c r="C836" s="20"/>
      <c r="D836" s="24"/>
      <c r="E836" s="9" t="str">
        <f aca="false">IF(OR(A836="",B836="",C836=""),"",IF(D836="O",0,SUMIFS(Postes!$P$5:$P$124,Postes!$A$5:$A$124,A836,Postes!$B$5:$B$124,B836)))</f>
        <v/>
      </c>
    </row>
    <row r="837" customFormat="false" ht="15" hidden="false" customHeight="false" outlineLevel="0" collapsed="false">
      <c r="A837" s="16"/>
      <c r="B837" s="20"/>
      <c r="C837" s="20"/>
      <c r="D837" s="24"/>
      <c r="E837" s="9" t="str">
        <f aca="false">IF(OR(A837="",B837="",C837=""),"",IF(D837="O",0,SUMIFS(Postes!$P$5:$P$124,Postes!$A$5:$A$124,A837,Postes!$B$5:$B$124,B837)))</f>
        <v/>
      </c>
    </row>
    <row r="838" customFormat="false" ht="15" hidden="false" customHeight="false" outlineLevel="0" collapsed="false">
      <c r="A838" s="16"/>
      <c r="B838" s="20"/>
      <c r="C838" s="20"/>
      <c r="D838" s="24"/>
      <c r="E838" s="9" t="str">
        <f aca="false">IF(OR(A838="",B838="",C838=""),"",IF(D838="O",0,SUMIFS(Postes!$P$5:$P$124,Postes!$A$5:$A$124,A838,Postes!$B$5:$B$124,B838)))</f>
        <v/>
      </c>
    </row>
    <row r="839" customFormat="false" ht="15" hidden="false" customHeight="false" outlineLevel="0" collapsed="false">
      <c r="A839" s="16"/>
      <c r="B839" s="20"/>
      <c r="C839" s="20"/>
      <c r="D839" s="24"/>
      <c r="E839" s="9" t="str">
        <f aca="false">IF(OR(A839="",B839="",C839=""),"",IF(D839="O",0,SUMIFS(Postes!$P$5:$P$124,Postes!$A$5:$A$124,A839,Postes!$B$5:$B$124,B839)))</f>
        <v/>
      </c>
    </row>
    <row r="840" customFormat="false" ht="15" hidden="false" customHeight="false" outlineLevel="0" collapsed="false">
      <c r="A840" s="16"/>
      <c r="B840" s="20"/>
      <c r="C840" s="20"/>
      <c r="D840" s="24"/>
      <c r="E840" s="9" t="str">
        <f aca="false">IF(OR(A840="",B840="",C840=""),"",IF(D840="O",0,SUMIFS(Postes!$P$5:$P$124,Postes!$A$5:$A$124,A840,Postes!$B$5:$B$124,B840)))</f>
        <v/>
      </c>
    </row>
    <row r="841" customFormat="false" ht="15" hidden="false" customHeight="false" outlineLevel="0" collapsed="false">
      <c r="A841" s="16"/>
      <c r="B841" s="20"/>
      <c r="C841" s="20"/>
      <c r="D841" s="24"/>
      <c r="E841" s="9" t="str">
        <f aca="false">IF(OR(A841="",B841="",C841=""),"",IF(D841="O",0,SUMIFS(Postes!$P$5:$P$124,Postes!$A$5:$A$124,A841,Postes!$B$5:$B$124,B841)))</f>
        <v/>
      </c>
    </row>
    <row r="842" customFormat="false" ht="15" hidden="false" customHeight="false" outlineLevel="0" collapsed="false">
      <c r="A842" s="16"/>
      <c r="B842" s="20"/>
      <c r="C842" s="20"/>
      <c r="D842" s="24"/>
      <c r="E842" s="9" t="str">
        <f aca="false">IF(OR(A842="",B842="",C842=""),"",IF(D842="O",0,SUMIFS(Postes!$P$5:$P$124,Postes!$A$5:$A$124,A842,Postes!$B$5:$B$124,B842)))</f>
        <v/>
      </c>
    </row>
    <row r="843" customFormat="false" ht="15" hidden="false" customHeight="false" outlineLevel="0" collapsed="false">
      <c r="A843" s="16"/>
      <c r="B843" s="20"/>
      <c r="C843" s="20"/>
      <c r="D843" s="24"/>
      <c r="E843" s="9" t="str">
        <f aca="false">IF(OR(A843="",B843="",C843=""),"",IF(D843="O",0,SUMIFS(Postes!$P$5:$P$124,Postes!$A$5:$A$124,A843,Postes!$B$5:$B$124,B843)))</f>
        <v/>
      </c>
    </row>
    <row r="844" customFormat="false" ht="15" hidden="false" customHeight="false" outlineLevel="0" collapsed="false">
      <c r="A844" s="16"/>
      <c r="B844" s="20"/>
      <c r="C844" s="20"/>
      <c r="D844" s="24"/>
      <c r="E844" s="9" t="str">
        <f aca="false">IF(OR(A844="",B844="",C844=""),"",IF(D844="O",0,SUMIFS(Postes!$P$5:$P$124,Postes!$A$5:$A$124,A844,Postes!$B$5:$B$124,B844)))</f>
        <v/>
      </c>
    </row>
    <row r="845" customFormat="false" ht="15" hidden="false" customHeight="false" outlineLevel="0" collapsed="false">
      <c r="A845" s="16"/>
      <c r="B845" s="20"/>
      <c r="C845" s="20"/>
      <c r="D845" s="24"/>
      <c r="E845" s="9" t="str">
        <f aca="false">IF(OR(A845="",B845="",C845=""),"",IF(D845="O",0,SUMIFS(Postes!$P$5:$P$124,Postes!$A$5:$A$124,A845,Postes!$B$5:$B$124,B845)))</f>
        <v/>
      </c>
    </row>
    <row r="846" customFormat="false" ht="15" hidden="false" customHeight="false" outlineLevel="0" collapsed="false">
      <c r="A846" s="16"/>
      <c r="B846" s="20"/>
      <c r="C846" s="20"/>
      <c r="D846" s="24"/>
      <c r="E846" s="9" t="str">
        <f aca="false">IF(OR(A846="",B846="",C846=""),"",IF(D846="O",0,SUMIFS(Postes!$P$5:$P$124,Postes!$A$5:$A$124,A846,Postes!$B$5:$B$124,B846)))</f>
        <v/>
      </c>
    </row>
    <row r="847" customFormat="false" ht="15" hidden="false" customHeight="false" outlineLevel="0" collapsed="false">
      <c r="A847" s="16"/>
      <c r="B847" s="20"/>
      <c r="C847" s="20"/>
      <c r="D847" s="24"/>
      <c r="E847" s="9" t="str">
        <f aca="false">IF(OR(A847="",B847="",C847=""),"",IF(D847="O",0,SUMIFS(Postes!$P$5:$P$124,Postes!$A$5:$A$124,A847,Postes!$B$5:$B$124,B847)))</f>
        <v/>
      </c>
    </row>
    <row r="848" customFormat="false" ht="15" hidden="false" customHeight="false" outlineLevel="0" collapsed="false">
      <c r="A848" s="16"/>
      <c r="B848" s="20"/>
      <c r="C848" s="20"/>
      <c r="D848" s="24"/>
      <c r="E848" s="9" t="str">
        <f aca="false">IF(OR(A848="",B848="",C848=""),"",IF(D848="O",0,SUMIFS(Postes!$P$5:$P$124,Postes!$A$5:$A$124,A848,Postes!$B$5:$B$124,B848)))</f>
        <v/>
      </c>
    </row>
    <row r="849" customFormat="false" ht="15" hidden="false" customHeight="false" outlineLevel="0" collapsed="false">
      <c r="A849" s="16"/>
      <c r="B849" s="20"/>
      <c r="C849" s="20"/>
      <c r="D849" s="24"/>
      <c r="E849" s="9" t="str">
        <f aca="false">IF(OR(A849="",B849="",C849=""),"",IF(D849="O",0,SUMIFS(Postes!$P$5:$P$124,Postes!$A$5:$A$124,A849,Postes!$B$5:$B$124,B849)))</f>
        <v/>
      </c>
    </row>
    <row r="850" customFormat="false" ht="15" hidden="false" customHeight="false" outlineLevel="0" collapsed="false">
      <c r="A850" s="16"/>
      <c r="B850" s="20"/>
      <c r="C850" s="20"/>
      <c r="D850" s="24"/>
      <c r="E850" s="9" t="str">
        <f aca="false">IF(OR(A850="",B850="",C850=""),"",IF(D850="O",0,SUMIFS(Postes!$P$5:$P$124,Postes!$A$5:$A$124,A850,Postes!$B$5:$B$124,B850)))</f>
        <v/>
      </c>
    </row>
    <row r="851" customFormat="false" ht="15" hidden="false" customHeight="false" outlineLevel="0" collapsed="false">
      <c r="A851" s="16"/>
      <c r="B851" s="20"/>
      <c r="C851" s="20"/>
      <c r="D851" s="24"/>
      <c r="E851" s="9" t="str">
        <f aca="false">IF(OR(A851="",B851="",C851=""),"",IF(D851="O",0,SUMIFS(Postes!$P$5:$P$124,Postes!$A$5:$A$124,A851,Postes!$B$5:$B$124,B851)))</f>
        <v/>
      </c>
    </row>
    <row r="852" customFormat="false" ht="15" hidden="false" customHeight="false" outlineLevel="0" collapsed="false">
      <c r="A852" s="16"/>
      <c r="B852" s="20"/>
      <c r="C852" s="20"/>
      <c r="D852" s="24"/>
      <c r="E852" s="9" t="str">
        <f aca="false">IF(OR(A852="",B852="",C852=""),"",IF(D852="O",0,SUMIFS(Postes!$P$5:$P$124,Postes!$A$5:$A$124,A852,Postes!$B$5:$B$124,B852)))</f>
        <v/>
      </c>
    </row>
    <row r="853" customFormat="false" ht="15" hidden="false" customHeight="false" outlineLevel="0" collapsed="false">
      <c r="A853" s="16"/>
      <c r="B853" s="20"/>
      <c r="C853" s="20"/>
      <c r="D853" s="24"/>
      <c r="E853" s="9" t="str">
        <f aca="false">IF(OR(A853="",B853="",C853=""),"",IF(D853="O",0,SUMIFS(Postes!$P$5:$P$124,Postes!$A$5:$A$124,A853,Postes!$B$5:$B$124,B853)))</f>
        <v/>
      </c>
    </row>
    <row r="854" customFormat="false" ht="15" hidden="false" customHeight="false" outlineLevel="0" collapsed="false">
      <c r="A854" s="16"/>
      <c r="B854" s="20"/>
      <c r="C854" s="20"/>
      <c r="D854" s="24"/>
      <c r="E854" s="9" t="str">
        <f aca="false">IF(OR(A854="",B854="",C854=""),"",IF(D854="O",0,SUMIFS(Postes!$P$5:$P$124,Postes!$A$5:$A$124,A854,Postes!$B$5:$B$124,B854)))</f>
        <v/>
      </c>
    </row>
    <row r="855" customFormat="false" ht="15" hidden="false" customHeight="false" outlineLevel="0" collapsed="false">
      <c r="A855" s="16"/>
      <c r="B855" s="20"/>
      <c r="C855" s="20"/>
      <c r="D855" s="24"/>
      <c r="E855" s="9" t="str">
        <f aca="false">IF(OR(A855="",B855="",C855=""),"",IF(D855="O",0,SUMIFS(Postes!$P$5:$P$124,Postes!$A$5:$A$124,A855,Postes!$B$5:$B$124,B855)))</f>
        <v/>
      </c>
    </row>
    <row r="856" customFormat="false" ht="15" hidden="false" customHeight="false" outlineLevel="0" collapsed="false">
      <c r="A856" s="16"/>
      <c r="B856" s="20"/>
      <c r="C856" s="20"/>
      <c r="D856" s="24"/>
      <c r="E856" s="9" t="str">
        <f aca="false">IF(OR(A856="",B856="",C856=""),"",IF(D856="O",0,SUMIFS(Postes!$P$5:$P$124,Postes!$A$5:$A$124,A856,Postes!$B$5:$B$124,B856)))</f>
        <v/>
      </c>
    </row>
    <row r="857" customFormat="false" ht="15" hidden="false" customHeight="false" outlineLevel="0" collapsed="false">
      <c r="A857" s="16"/>
      <c r="B857" s="20"/>
      <c r="C857" s="20"/>
      <c r="D857" s="24"/>
      <c r="E857" s="9" t="str">
        <f aca="false">IF(OR(A857="",B857="",C857=""),"",IF(D857="O",0,SUMIFS(Postes!$P$5:$P$124,Postes!$A$5:$A$124,A857,Postes!$B$5:$B$124,B857)))</f>
        <v/>
      </c>
    </row>
    <row r="858" customFormat="false" ht="15" hidden="false" customHeight="false" outlineLevel="0" collapsed="false">
      <c r="A858" s="16"/>
      <c r="B858" s="20"/>
      <c r="C858" s="20"/>
      <c r="D858" s="24"/>
      <c r="E858" s="9" t="str">
        <f aca="false">IF(OR(A858="",B858="",C858=""),"",IF(D858="O",0,SUMIFS(Postes!$P$5:$P$124,Postes!$A$5:$A$124,A858,Postes!$B$5:$B$124,B858)))</f>
        <v/>
      </c>
    </row>
    <row r="859" customFormat="false" ht="15" hidden="false" customHeight="false" outlineLevel="0" collapsed="false">
      <c r="A859" s="16"/>
      <c r="B859" s="20"/>
      <c r="C859" s="20"/>
      <c r="D859" s="24"/>
      <c r="E859" s="9" t="str">
        <f aca="false">IF(OR(A859="",B859="",C859=""),"",IF(D859="O",0,SUMIFS(Postes!$P$5:$P$124,Postes!$A$5:$A$124,A859,Postes!$B$5:$B$124,B859)))</f>
        <v/>
      </c>
    </row>
    <row r="860" customFormat="false" ht="15" hidden="false" customHeight="false" outlineLevel="0" collapsed="false">
      <c r="A860" s="16"/>
      <c r="B860" s="20"/>
      <c r="C860" s="20"/>
      <c r="D860" s="24"/>
      <c r="E860" s="9" t="str">
        <f aca="false">IF(OR(A860="",B860="",C860=""),"",IF(D860="O",0,SUMIFS(Postes!$P$5:$P$124,Postes!$A$5:$A$124,A860,Postes!$B$5:$B$124,B860)))</f>
        <v/>
      </c>
    </row>
    <row r="861" customFormat="false" ht="15" hidden="false" customHeight="false" outlineLevel="0" collapsed="false">
      <c r="A861" s="16"/>
      <c r="B861" s="20"/>
      <c r="C861" s="20"/>
      <c r="D861" s="24"/>
      <c r="E861" s="9" t="str">
        <f aca="false">IF(OR(A861="",B861="",C861=""),"",IF(D861="O",0,SUMIFS(Postes!$P$5:$P$124,Postes!$A$5:$A$124,A861,Postes!$B$5:$B$124,B861)))</f>
        <v/>
      </c>
    </row>
    <row r="862" customFormat="false" ht="15" hidden="false" customHeight="false" outlineLevel="0" collapsed="false">
      <c r="A862" s="16"/>
      <c r="B862" s="20"/>
      <c r="C862" s="20"/>
      <c r="D862" s="24"/>
      <c r="E862" s="9" t="str">
        <f aca="false">IF(OR(A862="",B862="",C862=""),"",IF(D862="O",0,SUMIFS(Postes!$P$5:$P$124,Postes!$A$5:$A$124,A862,Postes!$B$5:$B$124,B862)))</f>
        <v/>
      </c>
    </row>
    <row r="863" customFormat="false" ht="15" hidden="false" customHeight="false" outlineLevel="0" collapsed="false">
      <c r="A863" s="16"/>
      <c r="B863" s="20"/>
      <c r="C863" s="20"/>
      <c r="D863" s="24"/>
      <c r="E863" s="9" t="str">
        <f aca="false">IF(OR(A863="",B863="",C863=""),"",IF(D863="O",0,SUMIFS(Postes!$P$5:$P$124,Postes!$A$5:$A$124,A863,Postes!$B$5:$B$124,B863)))</f>
        <v/>
      </c>
    </row>
    <row r="864" customFormat="false" ht="15" hidden="false" customHeight="false" outlineLevel="0" collapsed="false">
      <c r="A864" s="16"/>
      <c r="B864" s="20"/>
      <c r="C864" s="20"/>
      <c r="D864" s="24"/>
      <c r="E864" s="9" t="str">
        <f aca="false">IF(OR(A864="",B864="",C864=""),"",IF(D864="O",0,SUMIFS(Postes!$P$5:$P$124,Postes!$A$5:$A$124,A864,Postes!$B$5:$B$124,B864)))</f>
        <v/>
      </c>
    </row>
    <row r="865" customFormat="false" ht="15" hidden="false" customHeight="false" outlineLevel="0" collapsed="false">
      <c r="A865" s="16"/>
      <c r="B865" s="20"/>
      <c r="C865" s="20"/>
      <c r="D865" s="24"/>
      <c r="E865" s="9" t="str">
        <f aca="false">IF(OR(A865="",B865="",C865=""),"",IF(D865="O",0,SUMIFS(Postes!$P$5:$P$124,Postes!$A$5:$A$124,A865,Postes!$B$5:$B$124,B865)))</f>
        <v/>
      </c>
    </row>
    <row r="866" customFormat="false" ht="15" hidden="false" customHeight="false" outlineLevel="0" collapsed="false">
      <c r="A866" s="16"/>
      <c r="B866" s="20"/>
      <c r="C866" s="20"/>
      <c r="D866" s="24"/>
      <c r="E866" s="9" t="str">
        <f aca="false">IF(OR(A866="",B866="",C866=""),"",IF(D866="O",0,SUMIFS(Postes!$P$5:$P$124,Postes!$A$5:$A$124,A866,Postes!$B$5:$B$124,B866)))</f>
        <v/>
      </c>
    </row>
    <row r="867" customFormat="false" ht="15" hidden="false" customHeight="false" outlineLevel="0" collapsed="false">
      <c r="A867" s="16"/>
      <c r="B867" s="20"/>
      <c r="C867" s="20"/>
      <c r="D867" s="24"/>
      <c r="E867" s="9" t="str">
        <f aca="false">IF(OR(A867="",B867="",C867=""),"",IF(D867="O",0,SUMIFS(Postes!$P$5:$P$124,Postes!$A$5:$A$124,A867,Postes!$B$5:$B$124,B867)))</f>
        <v/>
      </c>
    </row>
    <row r="868" customFormat="false" ht="15" hidden="false" customHeight="false" outlineLevel="0" collapsed="false">
      <c r="A868" s="16"/>
      <c r="B868" s="20"/>
      <c r="C868" s="20"/>
      <c r="D868" s="24"/>
      <c r="E868" s="9" t="str">
        <f aca="false">IF(OR(A868="",B868="",C868=""),"",IF(D868="O",0,SUMIFS(Postes!$P$5:$P$124,Postes!$A$5:$A$124,A868,Postes!$B$5:$B$124,B868)))</f>
        <v/>
      </c>
    </row>
    <row r="869" customFormat="false" ht="15" hidden="false" customHeight="false" outlineLevel="0" collapsed="false">
      <c r="A869" s="16"/>
      <c r="B869" s="20"/>
      <c r="C869" s="20"/>
      <c r="D869" s="24"/>
      <c r="E869" s="9" t="str">
        <f aca="false">IF(OR(A869="",B869="",C869=""),"",IF(D869="O",0,SUMIFS(Postes!$P$5:$P$124,Postes!$A$5:$A$124,A869,Postes!$B$5:$B$124,B869)))</f>
        <v/>
      </c>
    </row>
    <row r="870" customFormat="false" ht="15" hidden="false" customHeight="false" outlineLevel="0" collapsed="false">
      <c r="A870" s="16"/>
      <c r="B870" s="20"/>
      <c r="C870" s="20"/>
      <c r="D870" s="24"/>
      <c r="E870" s="9" t="str">
        <f aca="false">IF(OR(A870="",B870="",C870=""),"",IF(D870="O",0,SUMIFS(Postes!$P$5:$P$124,Postes!$A$5:$A$124,A870,Postes!$B$5:$B$124,B870)))</f>
        <v/>
      </c>
    </row>
    <row r="871" customFormat="false" ht="15" hidden="false" customHeight="false" outlineLevel="0" collapsed="false">
      <c r="A871" s="16"/>
      <c r="B871" s="20"/>
      <c r="C871" s="20"/>
      <c r="D871" s="24"/>
      <c r="E871" s="9" t="str">
        <f aca="false">IF(OR(A871="",B871="",C871=""),"",IF(D871="O",0,SUMIFS(Postes!$P$5:$P$124,Postes!$A$5:$A$124,A871,Postes!$B$5:$B$124,B871)))</f>
        <v/>
      </c>
    </row>
    <row r="872" customFormat="false" ht="15" hidden="false" customHeight="false" outlineLevel="0" collapsed="false">
      <c r="A872" s="16"/>
      <c r="B872" s="20"/>
      <c r="C872" s="20"/>
      <c r="D872" s="24"/>
      <c r="E872" s="9" t="str">
        <f aca="false">IF(OR(A872="",B872="",C872=""),"",IF(D872="O",0,SUMIFS(Postes!$P$5:$P$124,Postes!$A$5:$A$124,A872,Postes!$B$5:$B$124,B872)))</f>
        <v/>
      </c>
    </row>
    <row r="873" customFormat="false" ht="15" hidden="false" customHeight="false" outlineLevel="0" collapsed="false">
      <c r="A873" s="16"/>
      <c r="B873" s="20"/>
      <c r="C873" s="20"/>
      <c r="D873" s="24"/>
      <c r="E873" s="9" t="str">
        <f aca="false">IF(OR(A873="",B873="",C873=""),"",IF(D873="O",0,SUMIFS(Postes!$P$5:$P$124,Postes!$A$5:$A$124,A873,Postes!$B$5:$B$124,B873)))</f>
        <v/>
      </c>
    </row>
    <row r="874" customFormat="false" ht="15" hidden="false" customHeight="false" outlineLevel="0" collapsed="false">
      <c r="A874" s="16"/>
      <c r="B874" s="20"/>
      <c r="C874" s="20"/>
      <c r="D874" s="24"/>
      <c r="E874" s="9" t="str">
        <f aca="false">IF(OR(A874="",B874="",C874=""),"",IF(D874="O",0,SUMIFS(Postes!$P$5:$P$124,Postes!$A$5:$A$124,A874,Postes!$B$5:$B$124,B874)))</f>
        <v/>
      </c>
    </row>
    <row r="875" customFormat="false" ht="15" hidden="false" customHeight="false" outlineLevel="0" collapsed="false">
      <c r="A875" s="16"/>
      <c r="B875" s="20"/>
      <c r="C875" s="20"/>
      <c r="D875" s="24"/>
      <c r="E875" s="9" t="str">
        <f aca="false">IF(OR(A875="",B875="",C875=""),"",IF(D875="O",0,SUMIFS(Postes!$P$5:$P$124,Postes!$A$5:$A$124,A875,Postes!$B$5:$B$124,B875)))</f>
        <v/>
      </c>
    </row>
    <row r="876" customFormat="false" ht="15" hidden="false" customHeight="false" outlineLevel="0" collapsed="false">
      <c r="A876" s="16"/>
      <c r="B876" s="20"/>
      <c r="C876" s="20"/>
      <c r="D876" s="24"/>
      <c r="E876" s="9" t="str">
        <f aca="false">IF(OR(A876="",B876="",C876=""),"",IF(D876="O",0,SUMIFS(Postes!$P$5:$P$124,Postes!$A$5:$A$124,A876,Postes!$B$5:$B$124,B876)))</f>
        <v/>
      </c>
    </row>
    <row r="877" customFormat="false" ht="15" hidden="false" customHeight="false" outlineLevel="0" collapsed="false">
      <c r="A877" s="16"/>
      <c r="B877" s="20"/>
      <c r="C877" s="20"/>
      <c r="D877" s="24"/>
      <c r="E877" s="9" t="str">
        <f aca="false">IF(OR(A877="",B877="",C877=""),"",IF(D877="O",0,SUMIFS(Postes!$P$5:$P$124,Postes!$A$5:$A$124,A877,Postes!$B$5:$B$124,B877)))</f>
        <v/>
      </c>
    </row>
    <row r="878" customFormat="false" ht="15" hidden="false" customHeight="false" outlineLevel="0" collapsed="false">
      <c r="A878" s="16"/>
      <c r="B878" s="20"/>
      <c r="C878" s="20"/>
      <c r="D878" s="24"/>
      <c r="E878" s="9" t="str">
        <f aca="false">IF(OR(A878="",B878="",C878=""),"",IF(D878="O",0,SUMIFS(Postes!$P$5:$P$124,Postes!$A$5:$A$124,A878,Postes!$B$5:$B$124,B878)))</f>
        <v/>
      </c>
    </row>
    <row r="879" customFormat="false" ht="15" hidden="false" customHeight="false" outlineLevel="0" collapsed="false">
      <c r="A879" s="16"/>
      <c r="B879" s="20"/>
      <c r="C879" s="20"/>
      <c r="D879" s="24"/>
      <c r="E879" s="9" t="str">
        <f aca="false">IF(OR(A879="",B879="",C879=""),"",IF(D879="O",0,SUMIFS(Postes!$P$5:$P$124,Postes!$A$5:$A$124,A879,Postes!$B$5:$B$124,B879)))</f>
        <v/>
      </c>
    </row>
    <row r="880" customFormat="false" ht="15" hidden="false" customHeight="false" outlineLevel="0" collapsed="false">
      <c r="A880" s="16"/>
      <c r="B880" s="20"/>
      <c r="C880" s="20"/>
      <c r="D880" s="24"/>
      <c r="E880" s="9" t="str">
        <f aca="false">IF(OR(A880="",B880="",C880=""),"",IF(D880="O",0,SUMIFS(Postes!$P$5:$P$124,Postes!$A$5:$A$124,A880,Postes!$B$5:$B$124,B880)))</f>
        <v/>
      </c>
    </row>
    <row r="881" customFormat="false" ht="15" hidden="false" customHeight="false" outlineLevel="0" collapsed="false">
      <c r="A881" s="16"/>
      <c r="B881" s="20"/>
      <c r="C881" s="20"/>
      <c r="D881" s="24"/>
      <c r="E881" s="9" t="str">
        <f aca="false">IF(OR(A881="",B881="",C881=""),"",IF(D881="O",0,SUMIFS(Postes!$P$5:$P$124,Postes!$A$5:$A$124,A881,Postes!$B$5:$B$124,B881)))</f>
        <v/>
      </c>
    </row>
    <row r="882" customFormat="false" ht="15" hidden="false" customHeight="false" outlineLevel="0" collapsed="false">
      <c r="A882" s="16"/>
      <c r="B882" s="20"/>
      <c r="C882" s="20"/>
      <c r="D882" s="24"/>
      <c r="E882" s="9" t="str">
        <f aca="false">IF(OR(A882="",B882="",C882=""),"",IF(D882="O",0,SUMIFS(Postes!$P$5:$P$124,Postes!$A$5:$A$124,A882,Postes!$B$5:$B$124,B882)))</f>
        <v/>
      </c>
    </row>
    <row r="883" customFormat="false" ht="15" hidden="false" customHeight="false" outlineLevel="0" collapsed="false">
      <c r="A883" s="16"/>
      <c r="B883" s="20"/>
      <c r="C883" s="20"/>
      <c r="D883" s="24"/>
      <c r="E883" s="9" t="str">
        <f aca="false">IF(OR(A883="",B883="",C883=""),"",IF(D883="O",0,SUMIFS(Postes!$P$5:$P$124,Postes!$A$5:$A$124,A883,Postes!$B$5:$B$124,B883)))</f>
        <v/>
      </c>
    </row>
    <row r="884" customFormat="false" ht="15" hidden="false" customHeight="false" outlineLevel="0" collapsed="false">
      <c r="A884" s="16"/>
      <c r="B884" s="20"/>
      <c r="C884" s="20"/>
      <c r="D884" s="24"/>
      <c r="E884" s="9" t="str">
        <f aca="false">IF(OR(A884="",B884="",C884=""),"",IF(D884="O",0,SUMIFS(Postes!$P$5:$P$124,Postes!$A$5:$A$124,A884,Postes!$B$5:$B$124,B884)))</f>
        <v/>
      </c>
    </row>
    <row r="885" customFormat="false" ht="15" hidden="false" customHeight="false" outlineLevel="0" collapsed="false">
      <c r="A885" s="16"/>
      <c r="B885" s="20"/>
      <c r="C885" s="20"/>
      <c r="D885" s="24"/>
      <c r="E885" s="9" t="str">
        <f aca="false">IF(OR(A885="",B885="",C885=""),"",IF(D885="O",0,SUMIFS(Postes!$P$5:$P$124,Postes!$A$5:$A$124,A885,Postes!$B$5:$B$124,B885)))</f>
        <v/>
      </c>
    </row>
    <row r="886" customFormat="false" ht="15" hidden="false" customHeight="false" outlineLevel="0" collapsed="false">
      <c r="A886" s="16"/>
      <c r="B886" s="20"/>
      <c r="C886" s="20"/>
      <c r="D886" s="24"/>
      <c r="E886" s="9" t="str">
        <f aca="false">IF(OR(A886="",B886="",C886=""),"",IF(D886="O",0,SUMIFS(Postes!$P$5:$P$124,Postes!$A$5:$A$124,A886,Postes!$B$5:$B$124,B886)))</f>
        <v/>
      </c>
    </row>
    <row r="887" customFormat="false" ht="15" hidden="false" customHeight="false" outlineLevel="0" collapsed="false">
      <c r="A887" s="16"/>
      <c r="B887" s="20"/>
      <c r="C887" s="20"/>
      <c r="D887" s="24"/>
      <c r="E887" s="9" t="str">
        <f aca="false">IF(OR(A887="",B887="",C887=""),"",IF(D887="O",0,SUMIFS(Postes!$P$5:$P$124,Postes!$A$5:$A$124,A887,Postes!$B$5:$B$124,B887)))</f>
        <v/>
      </c>
    </row>
    <row r="888" customFormat="false" ht="15" hidden="false" customHeight="false" outlineLevel="0" collapsed="false">
      <c r="A888" s="16"/>
      <c r="B888" s="20"/>
      <c r="C888" s="20"/>
      <c r="D888" s="24"/>
      <c r="E888" s="9" t="str">
        <f aca="false">IF(OR(A888="",B888="",C888=""),"",IF(D888="O",0,SUMIFS(Postes!$P$5:$P$124,Postes!$A$5:$A$124,A888,Postes!$B$5:$B$124,B888)))</f>
        <v/>
      </c>
    </row>
    <row r="889" customFormat="false" ht="15" hidden="false" customHeight="false" outlineLevel="0" collapsed="false">
      <c r="A889" s="16"/>
      <c r="B889" s="20"/>
      <c r="C889" s="20"/>
      <c r="D889" s="24"/>
      <c r="E889" s="9" t="str">
        <f aca="false">IF(OR(A889="",B889="",C889=""),"",IF(D889="O",0,SUMIFS(Postes!$P$5:$P$124,Postes!$A$5:$A$124,A889,Postes!$B$5:$B$124,B889)))</f>
        <v/>
      </c>
    </row>
    <row r="890" customFormat="false" ht="15" hidden="false" customHeight="false" outlineLevel="0" collapsed="false">
      <c r="A890" s="16"/>
      <c r="B890" s="20"/>
      <c r="C890" s="20"/>
      <c r="D890" s="24"/>
      <c r="E890" s="9" t="str">
        <f aca="false">IF(OR(A890="",B890="",C890=""),"",IF(D890="O",0,SUMIFS(Postes!$P$5:$P$124,Postes!$A$5:$A$124,A890,Postes!$B$5:$B$124,B890)))</f>
        <v/>
      </c>
    </row>
    <row r="891" customFormat="false" ht="15" hidden="false" customHeight="false" outlineLevel="0" collapsed="false">
      <c r="A891" s="16"/>
      <c r="B891" s="20"/>
      <c r="C891" s="20"/>
      <c r="D891" s="24"/>
      <c r="E891" s="9" t="str">
        <f aca="false">IF(OR(A891="",B891="",C891=""),"",IF(D891="O",0,SUMIFS(Postes!$P$5:$P$124,Postes!$A$5:$A$124,A891,Postes!$B$5:$B$124,B891)))</f>
        <v/>
      </c>
    </row>
    <row r="892" customFormat="false" ht="15" hidden="false" customHeight="false" outlineLevel="0" collapsed="false">
      <c r="A892" s="16"/>
      <c r="B892" s="20"/>
      <c r="C892" s="20"/>
      <c r="D892" s="24"/>
      <c r="E892" s="9" t="str">
        <f aca="false">IF(OR(A892="",B892="",C892=""),"",IF(D892="O",0,SUMIFS(Postes!$P$5:$P$124,Postes!$A$5:$A$124,A892,Postes!$B$5:$B$124,B892)))</f>
        <v/>
      </c>
    </row>
    <row r="893" customFormat="false" ht="15" hidden="false" customHeight="false" outlineLevel="0" collapsed="false">
      <c r="A893" s="16"/>
      <c r="B893" s="20"/>
      <c r="C893" s="20"/>
      <c r="D893" s="24"/>
      <c r="E893" s="9" t="str">
        <f aca="false">IF(OR(A893="",B893="",C893=""),"",IF(D893="O",0,SUMIFS(Postes!$P$5:$P$124,Postes!$A$5:$A$124,A893,Postes!$B$5:$B$124,B893)))</f>
        <v/>
      </c>
    </row>
    <row r="894" customFormat="false" ht="15" hidden="false" customHeight="false" outlineLevel="0" collapsed="false">
      <c r="A894" s="16"/>
      <c r="B894" s="20"/>
      <c r="C894" s="20"/>
      <c r="D894" s="24"/>
      <c r="E894" s="9" t="str">
        <f aca="false">IF(OR(A894="",B894="",C894=""),"",IF(D894="O",0,SUMIFS(Postes!$P$5:$P$124,Postes!$A$5:$A$124,A894,Postes!$B$5:$B$124,B894)))</f>
        <v/>
      </c>
    </row>
    <row r="895" customFormat="false" ht="15" hidden="false" customHeight="false" outlineLevel="0" collapsed="false">
      <c r="A895" s="16"/>
      <c r="B895" s="20"/>
      <c r="C895" s="20"/>
      <c r="D895" s="24"/>
      <c r="E895" s="9" t="str">
        <f aca="false">IF(OR(A895="",B895="",C895=""),"",IF(D895="O",0,SUMIFS(Postes!$P$5:$P$124,Postes!$A$5:$A$124,A895,Postes!$B$5:$B$124,B895)))</f>
        <v/>
      </c>
    </row>
    <row r="896" customFormat="false" ht="15" hidden="false" customHeight="false" outlineLevel="0" collapsed="false">
      <c r="A896" s="16"/>
      <c r="B896" s="20"/>
      <c r="C896" s="20"/>
      <c r="D896" s="24"/>
      <c r="E896" s="9" t="str">
        <f aca="false">IF(OR(A896="",B896="",C896=""),"",IF(D896="O",0,SUMIFS(Postes!$P$5:$P$124,Postes!$A$5:$A$124,A896,Postes!$B$5:$B$124,B896)))</f>
        <v/>
      </c>
    </row>
    <row r="897" customFormat="false" ht="15" hidden="false" customHeight="false" outlineLevel="0" collapsed="false">
      <c r="A897" s="16"/>
      <c r="B897" s="20"/>
      <c r="C897" s="20"/>
      <c r="D897" s="24"/>
      <c r="E897" s="9" t="str">
        <f aca="false">IF(OR(A897="",B897="",C897=""),"",IF(D897="O",0,SUMIFS(Postes!$P$5:$P$124,Postes!$A$5:$A$124,A897,Postes!$B$5:$B$124,B897)))</f>
        <v/>
      </c>
    </row>
    <row r="898" customFormat="false" ht="15" hidden="false" customHeight="false" outlineLevel="0" collapsed="false">
      <c r="A898" s="16"/>
      <c r="B898" s="20"/>
      <c r="C898" s="20"/>
      <c r="D898" s="24"/>
      <c r="E898" s="9" t="str">
        <f aca="false">IF(OR(A898="",B898="",C898=""),"",IF(D898="O",0,SUMIFS(Postes!$P$5:$P$124,Postes!$A$5:$A$124,A898,Postes!$B$5:$B$124,B898)))</f>
        <v/>
      </c>
    </row>
    <row r="899" customFormat="false" ht="15" hidden="false" customHeight="false" outlineLevel="0" collapsed="false">
      <c r="A899" s="16"/>
      <c r="B899" s="20"/>
      <c r="C899" s="20"/>
      <c r="D899" s="24"/>
      <c r="E899" s="9" t="str">
        <f aca="false">IF(OR(A899="",B899="",C899=""),"",IF(D899="O",0,SUMIFS(Postes!$P$5:$P$124,Postes!$A$5:$A$124,A899,Postes!$B$5:$B$124,B899)))</f>
        <v/>
      </c>
    </row>
    <row r="900" customFormat="false" ht="15" hidden="false" customHeight="false" outlineLevel="0" collapsed="false">
      <c r="A900" s="16"/>
      <c r="B900" s="20"/>
      <c r="C900" s="20"/>
      <c r="D900" s="24"/>
      <c r="E900" s="9" t="str">
        <f aca="false">IF(OR(A900="",B900="",C900=""),"",IF(D900="O",0,SUMIFS(Postes!$P$5:$P$124,Postes!$A$5:$A$124,A900,Postes!$B$5:$B$124,B900)))</f>
        <v/>
      </c>
    </row>
    <row r="901" customFormat="false" ht="15" hidden="false" customHeight="false" outlineLevel="0" collapsed="false">
      <c r="A901" s="16"/>
      <c r="B901" s="20"/>
      <c r="C901" s="20"/>
      <c r="D901" s="24"/>
      <c r="E901" s="9" t="str">
        <f aca="false">IF(OR(A901="",B901="",C901=""),"",IF(D901="O",0,SUMIFS(Postes!$P$5:$P$124,Postes!$A$5:$A$124,A901,Postes!$B$5:$B$124,B901)))</f>
        <v/>
      </c>
    </row>
    <row r="902" customFormat="false" ht="15" hidden="false" customHeight="false" outlineLevel="0" collapsed="false">
      <c r="A902" s="16"/>
      <c r="B902" s="20"/>
      <c r="C902" s="20"/>
      <c r="D902" s="24"/>
      <c r="E902" s="9" t="str">
        <f aca="false">IF(OR(A902="",B902="",C902=""),"",IF(D902="O",0,SUMIFS(Postes!$P$5:$P$124,Postes!$A$5:$A$124,A902,Postes!$B$5:$B$124,B902)))</f>
        <v/>
      </c>
    </row>
    <row r="903" customFormat="false" ht="15" hidden="false" customHeight="false" outlineLevel="0" collapsed="false">
      <c r="A903" s="16"/>
      <c r="B903" s="20"/>
      <c r="C903" s="20"/>
      <c r="D903" s="24"/>
      <c r="E903" s="9" t="str">
        <f aca="false">IF(OR(A903="",B903="",C903=""),"",IF(D903="O",0,SUMIFS(Postes!$P$5:$P$124,Postes!$A$5:$A$124,A903,Postes!$B$5:$B$124,B903)))</f>
        <v/>
      </c>
    </row>
    <row r="904" customFormat="false" ht="15" hidden="false" customHeight="false" outlineLevel="0" collapsed="false">
      <c r="A904" s="16"/>
      <c r="B904" s="20"/>
      <c r="C904" s="20"/>
      <c r="D904" s="24"/>
      <c r="E904" s="9" t="str">
        <f aca="false">IF(OR(A904="",B904="",C904=""),"",IF(D904="O",0,SUMIFS(Postes!$P$5:$P$124,Postes!$A$5:$A$124,A904,Postes!$B$5:$B$124,B904)))</f>
        <v/>
      </c>
    </row>
    <row r="905" customFormat="false" ht="15" hidden="false" customHeight="false" outlineLevel="0" collapsed="false">
      <c r="A905" s="16"/>
      <c r="B905" s="20"/>
      <c r="C905" s="20"/>
      <c r="D905" s="24"/>
      <c r="E905" s="9" t="str">
        <f aca="false">IF(OR(A905="",B905="",C905=""),"",IF(D905="O",0,SUMIFS(Postes!$P$5:$P$124,Postes!$A$5:$A$124,A905,Postes!$B$5:$B$124,B905)))</f>
        <v/>
      </c>
    </row>
    <row r="906" customFormat="false" ht="15" hidden="false" customHeight="false" outlineLevel="0" collapsed="false">
      <c r="A906" s="16"/>
      <c r="B906" s="20"/>
      <c r="C906" s="20"/>
      <c r="D906" s="24"/>
      <c r="E906" s="9" t="str">
        <f aca="false">IF(OR(A906="",B906="",C906=""),"",IF(D906="O",0,SUMIFS(Postes!$P$5:$P$124,Postes!$A$5:$A$124,A906,Postes!$B$5:$B$124,B906)))</f>
        <v/>
      </c>
    </row>
    <row r="907" customFormat="false" ht="15" hidden="false" customHeight="false" outlineLevel="0" collapsed="false">
      <c r="A907" s="16"/>
      <c r="B907" s="20"/>
      <c r="C907" s="20"/>
      <c r="D907" s="24"/>
      <c r="E907" s="9" t="str">
        <f aca="false">IF(OR(A907="",B907="",C907=""),"",IF(D907="O",0,SUMIFS(Postes!$P$5:$P$124,Postes!$A$5:$A$124,A907,Postes!$B$5:$B$124,B907)))</f>
        <v/>
      </c>
    </row>
    <row r="908" customFormat="false" ht="15" hidden="false" customHeight="false" outlineLevel="0" collapsed="false">
      <c r="A908" s="16"/>
      <c r="B908" s="20"/>
      <c r="C908" s="20"/>
      <c r="D908" s="24"/>
      <c r="E908" s="9" t="str">
        <f aca="false">IF(OR(A908="",B908="",C908=""),"",IF(D908="O",0,SUMIFS(Postes!$P$5:$P$124,Postes!$A$5:$A$124,A908,Postes!$B$5:$B$124,B908)))</f>
        <v/>
      </c>
    </row>
    <row r="909" customFormat="false" ht="15" hidden="false" customHeight="false" outlineLevel="0" collapsed="false">
      <c r="A909" s="16"/>
      <c r="B909" s="20"/>
      <c r="C909" s="20"/>
      <c r="D909" s="24"/>
      <c r="E909" s="9" t="str">
        <f aca="false">IF(OR(A909="",B909="",C909=""),"",IF(D909="O",0,SUMIFS(Postes!$P$5:$P$124,Postes!$A$5:$A$124,A909,Postes!$B$5:$B$124,B909)))</f>
        <v/>
      </c>
    </row>
    <row r="910" customFormat="false" ht="15" hidden="false" customHeight="false" outlineLevel="0" collapsed="false">
      <c r="A910" s="16"/>
      <c r="B910" s="20"/>
      <c r="C910" s="20"/>
      <c r="D910" s="24"/>
      <c r="E910" s="9" t="str">
        <f aca="false">IF(OR(A910="",B910="",C910=""),"",IF(D910="O",0,SUMIFS(Postes!$P$5:$P$124,Postes!$A$5:$A$124,A910,Postes!$B$5:$B$124,B910)))</f>
        <v/>
      </c>
    </row>
    <row r="911" customFormat="false" ht="15" hidden="false" customHeight="false" outlineLevel="0" collapsed="false">
      <c r="A911" s="16"/>
      <c r="B911" s="20"/>
      <c r="C911" s="20"/>
      <c r="D911" s="24"/>
      <c r="E911" s="9" t="str">
        <f aca="false">IF(OR(A911="",B911="",C911=""),"",IF(D911="O",0,SUMIFS(Postes!$P$5:$P$124,Postes!$A$5:$A$124,A911,Postes!$B$5:$B$124,B911)))</f>
        <v/>
      </c>
    </row>
    <row r="912" customFormat="false" ht="15" hidden="false" customHeight="false" outlineLevel="0" collapsed="false">
      <c r="A912" s="16"/>
      <c r="B912" s="20"/>
      <c r="C912" s="20"/>
      <c r="D912" s="24"/>
      <c r="E912" s="9" t="str">
        <f aca="false">IF(OR(A912="",B912="",C912=""),"",IF(D912="O",0,SUMIFS(Postes!$P$5:$P$124,Postes!$A$5:$A$124,A912,Postes!$B$5:$B$124,B912)))</f>
        <v/>
      </c>
    </row>
    <row r="913" customFormat="false" ht="15" hidden="false" customHeight="false" outlineLevel="0" collapsed="false">
      <c r="A913" s="16"/>
      <c r="B913" s="20"/>
      <c r="C913" s="20"/>
      <c r="D913" s="24"/>
      <c r="E913" s="9" t="str">
        <f aca="false">IF(OR(A913="",B913="",C913=""),"",IF(D913="O",0,SUMIFS(Postes!$P$5:$P$124,Postes!$A$5:$A$124,A913,Postes!$B$5:$B$124,B913)))</f>
        <v/>
      </c>
    </row>
    <row r="914" customFormat="false" ht="15" hidden="false" customHeight="false" outlineLevel="0" collapsed="false">
      <c r="A914" s="16"/>
      <c r="B914" s="20"/>
      <c r="C914" s="20"/>
      <c r="D914" s="24"/>
      <c r="E914" s="9" t="str">
        <f aca="false">IF(OR(A914="",B914="",C914=""),"",IF(D914="O",0,SUMIFS(Postes!$P$5:$P$124,Postes!$A$5:$A$124,A914,Postes!$B$5:$B$124,B914)))</f>
        <v/>
      </c>
    </row>
    <row r="915" customFormat="false" ht="15" hidden="false" customHeight="false" outlineLevel="0" collapsed="false">
      <c r="A915" s="16"/>
      <c r="B915" s="20"/>
      <c r="C915" s="20"/>
      <c r="D915" s="24"/>
      <c r="E915" s="9" t="str">
        <f aca="false">IF(OR(A915="",B915="",C915=""),"",IF(D915="O",0,SUMIFS(Postes!$P$5:$P$124,Postes!$A$5:$A$124,A915,Postes!$B$5:$B$124,B915)))</f>
        <v/>
      </c>
    </row>
    <row r="916" customFormat="false" ht="15" hidden="false" customHeight="false" outlineLevel="0" collapsed="false">
      <c r="A916" s="16"/>
      <c r="B916" s="20"/>
      <c r="C916" s="20"/>
      <c r="D916" s="24"/>
      <c r="E916" s="9" t="str">
        <f aca="false">IF(OR(A916="",B916="",C916=""),"",IF(D916="O",0,SUMIFS(Postes!$P$5:$P$124,Postes!$A$5:$A$124,A916,Postes!$B$5:$B$124,B916)))</f>
        <v/>
      </c>
    </row>
    <row r="917" customFormat="false" ht="15" hidden="false" customHeight="false" outlineLevel="0" collapsed="false">
      <c r="A917" s="16"/>
      <c r="B917" s="20"/>
      <c r="C917" s="20"/>
      <c r="D917" s="24"/>
      <c r="E917" s="9" t="str">
        <f aca="false">IF(OR(A917="",B917="",C917=""),"",IF(D917="O",0,SUMIFS(Postes!$P$5:$P$124,Postes!$A$5:$A$124,A917,Postes!$B$5:$B$124,B917)))</f>
        <v/>
      </c>
    </row>
    <row r="918" customFormat="false" ht="15" hidden="false" customHeight="false" outlineLevel="0" collapsed="false">
      <c r="A918" s="16"/>
      <c r="B918" s="20"/>
      <c r="C918" s="20"/>
      <c r="D918" s="24"/>
      <c r="E918" s="9" t="str">
        <f aca="false">IF(OR(A918="",B918="",C918=""),"",IF(D918="O",0,SUMIFS(Postes!$P$5:$P$124,Postes!$A$5:$A$124,A918,Postes!$B$5:$B$124,B918)))</f>
        <v/>
      </c>
    </row>
    <row r="919" customFormat="false" ht="15" hidden="false" customHeight="false" outlineLevel="0" collapsed="false">
      <c r="A919" s="16"/>
      <c r="B919" s="20"/>
      <c r="C919" s="20"/>
      <c r="D919" s="24"/>
      <c r="E919" s="9" t="str">
        <f aca="false">IF(OR(A919="",B919="",C919=""),"",IF(D919="O",0,SUMIFS(Postes!$P$5:$P$124,Postes!$A$5:$A$124,A919,Postes!$B$5:$B$124,B919)))</f>
        <v/>
      </c>
    </row>
    <row r="920" customFormat="false" ht="15" hidden="false" customHeight="false" outlineLevel="0" collapsed="false">
      <c r="A920" s="16"/>
      <c r="B920" s="20"/>
      <c r="C920" s="20"/>
      <c r="D920" s="24"/>
      <c r="E920" s="9" t="str">
        <f aca="false">IF(OR(A920="",B920="",C920=""),"",IF(D920="O",0,SUMIFS(Postes!$P$5:$P$124,Postes!$A$5:$A$124,A920,Postes!$B$5:$B$124,B920)))</f>
        <v/>
      </c>
    </row>
    <row r="921" customFormat="false" ht="15" hidden="false" customHeight="false" outlineLevel="0" collapsed="false">
      <c r="A921" s="16"/>
      <c r="B921" s="20"/>
      <c r="C921" s="20"/>
      <c r="D921" s="24"/>
      <c r="E921" s="9" t="str">
        <f aca="false">IF(OR(A921="",B921="",C921=""),"",IF(D921="O",0,SUMIFS(Postes!$P$5:$P$124,Postes!$A$5:$A$124,A921,Postes!$B$5:$B$124,B921)))</f>
        <v/>
      </c>
    </row>
    <row r="922" customFormat="false" ht="15" hidden="false" customHeight="false" outlineLevel="0" collapsed="false">
      <c r="A922" s="16"/>
      <c r="B922" s="20"/>
      <c r="C922" s="20"/>
      <c r="D922" s="24"/>
      <c r="E922" s="9" t="str">
        <f aca="false">IF(OR(A922="",B922="",C922=""),"",IF(D922="O",0,SUMIFS(Postes!$P$5:$P$124,Postes!$A$5:$A$124,A922,Postes!$B$5:$B$124,B922)))</f>
        <v/>
      </c>
    </row>
    <row r="923" customFormat="false" ht="15" hidden="false" customHeight="false" outlineLevel="0" collapsed="false">
      <c r="A923" s="16"/>
      <c r="B923" s="20"/>
      <c r="C923" s="20"/>
      <c r="D923" s="24"/>
      <c r="E923" s="9" t="str">
        <f aca="false">IF(OR(A923="",B923="",C923=""),"",IF(D923="O",0,SUMIFS(Postes!$P$5:$P$124,Postes!$A$5:$A$124,A923,Postes!$B$5:$B$124,B923)))</f>
        <v/>
      </c>
    </row>
    <row r="924" customFormat="false" ht="15" hidden="false" customHeight="false" outlineLevel="0" collapsed="false">
      <c r="A924" s="16"/>
      <c r="B924" s="20"/>
      <c r="C924" s="20"/>
      <c r="D924" s="24"/>
      <c r="E924" s="9" t="str">
        <f aca="false">IF(OR(A924="",B924="",C924=""),"",IF(D924="O",0,SUMIFS(Postes!$P$5:$P$124,Postes!$A$5:$A$124,A924,Postes!$B$5:$B$124,B924)))</f>
        <v/>
      </c>
    </row>
    <row r="925" customFormat="false" ht="15" hidden="false" customHeight="false" outlineLevel="0" collapsed="false">
      <c r="A925" s="16"/>
      <c r="B925" s="20"/>
      <c r="C925" s="20"/>
      <c r="D925" s="24"/>
      <c r="E925" s="9" t="str">
        <f aca="false">IF(OR(A925="",B925="",C925=""),"",IF(D925="O",0,SUMIFS(Postes!$P$5:$P$124,Postes!$A$5:$A$124,A925,Postes!$B$5:$B$124,B925)))</f>
        <v/>
      </c>
    </row>
    <row r="926" customFormat="false" ht="15" hidden="false" customHeight="false" outlineLevel="0" collapsed="false">
      <c r="A926" s="16"/>
      <c r="B926" s="20"/>
      <c r="C926" s="20"/>
      <c r="D926" s="24"/>
      <c r="E926" s="9" t="str">
        <f aca="false">IF(OR(A926="",B926="",C926=""),"",IF(D926="O",0,SUMIFS(Postes!$P$5:$P$124,Postes!$A$5:$A$124,A926,Postes!$B$5:$B$124,B926)))</f>
        <v/>
      </c>
    </row>
    <row r="927" customFormat="false" ht="15" hidden="false" customHeight="false" outlineLevel="0" collapsed="false">
      <c r="A927" s="16"/>
      <c r="B927" s="20"/>
      <c r="C927" s="20"/>
      <c r="D927" s="24"/>
      <c r="E927" s="9" t="str">
        <f aca="false">IF(OR(A927="",B927="",C927=""),"",IF(D927="O",0,SUMIFS(Postes!$P$5:$P$124,Postes!$A$5:$A$124,A927,Postes!$B$5:$B$124,B927)))</f>
        <v/>
      </c>
    </row>
    <row r="928" customFormat="false" ht="15" hidden="false" customHeight="false" outlineLevel="0" collapsed="false">
      <c r="A928" s="16"/>
      <c r="B928" s="20"/>
      <c r="C928" s="20"/>
      <c r="D928" s="24"/>
      <c r="E928" s="9" t="str">
        <f aca="false">IF(OR(A928="",B928="",C928=""),"",IF(D928="O",0,SUMIFS(Postes!$P$5:$P$124,Postes!$A$5:$A$124,A928,Postes!$B$5:$B$124,B928)))</f>
        <v/>
      </c>
    </row>
    <row r="929" customFormat="false" ht="15" hidden="false" customHeight="false" outlineLevel="0" collapsed="false">
      <c r="A929" s="16"/>
      <c r="B929" s="20"/>
      <c r="C929" s="20"/>
      <c r="D929" s="24"/>
      <c r="E929" s="9" t="str">
        <f aca="false">IF(OR(A929="",B929="",C929=""),"",IF(D929="O",0,SUMIFS(Postes!$P$5:$P$124,Postes!$A$5:$A$124,A929,Postes!$B$5:$B$124,B929)))</f>
        <v/>
      </c>
    </row>
    <row r="930" customFormat="false" ht="15" hidden="false" customHeight="false" outlineLevel="0" collapsed="false">
      <c r="A930" s="16"/>
      <c r="B930" s="20"/>
      <c r="C930" s="20"/>
      <c r="D930" s="24"/>
      <c r="E930" s="9" t="str">
        <f aca="false">IF(OR(A930="",B930="",C930=""),"",IF(D930="O",0,SUMIFS(Postes!$P$5:$P$124,Postes!$A$5:$A$124,A930,Postes!$B$5:$B$124,B930)))</f>
        <v/>
      </c>
    </row>
    <row r="931" customFormat="false" ht="15" hidden="false" customHeight="false" outlineLevel="0" collapsed="false">
      <c r="A931" s="16"/>
      <c r="B931" s="20"/>
      <c r="C931" s="20"/>
      <c r="D931" s="24"/>
      <c r="E931" s="9" t="str">
        <f aca="false">IF(OR(A931="",B931="",C931=""),"",IF(D931="O",0,SUMIFS(Postes!$P$5:$P$124,Postes!$A$5:$A$124,A931,Postes!$B$5:$B$124,B931)))</f>
        <v/>
      </c>
    </row>
    <row r="932" customFormat="false" ht="15" hidden="false" customHeight="false" outlineLevel="0" collapsed="false">
      <c r="A932" s="16"/>
      <c r="B932" s="20"/>
      <c r="C932" s="20"/>
      <c r="D932" s="24"/>
      <c r="E932" s="9" t="str">
        <f aca="false">IF(OR(A932="",B932="",C932=""),"",IF(D932="O",0,SUMIFS(Postes!$P$5:$P$124,Postes!$A$5:$A$124,A932,Postes!$B$5:$B$124,B932)))</f>
        <v/>
      </c>
    </row>
    <row r="933" customFormat="false" ht="15" hidden="false" customHeight="false" outlineLevel="0" collapsed="false">
      <c r="A933" s="16"/>
      <c r="B933" s="20"/>
      <c r="C933" s="20"/>
      <c r="D933" s="24"/>
      <c r="E933" s="9" t="str">
        <f aca="false">IF(OR(A933="",B933="",C933=""),"",IF(D933="O",0,SUMIFS(Postes!$P$5:$P$124,Postes!$A$5:$A$124,A933,Postes!$B$5:$B$124,B933)))</f>
        <v/>
      </c>
    </row>
    <row r="934" customFormat="false" ht="15" hidden="false" customHeight="false" outlineLevel="0" collapsed="false">
      <c r="A934" s="16"/>
      <c r="B934" s="20"/>
      <c r="C934" s="20"/>
      <c r="D934" s="24"/>
      <c r="E934" s="9" t="str">
        <f aca="false">IF(OR(A934="",B934="",C934=""),"",IF(D934="O",0,SUMIFS(Postes!$P$5:$P$124,Postes!$A$5:$A$124,A934,Postes!$B$5:$B$124,B934)))</f>
        <v/>
      </c>
    </row>
    <row r="935" customFormat="false" ht="15" hidden="false" customHeight="false" outlineLevel="0" collapsed="false">
      <c r="A935" s="16"/>
      <c r="B935" s="20"/>
      <c r="C935" s="20"/>
      <c r="D935" s="24"/>
      <c r="E935" s="9" t="str">
        <f aca="false">IF(OR(A935="",B935="",C935=""),"",IF(D935="O",0,SUMIFS(Postes!$P$5:$P$124,Postes!$A$5:$A$124,A935,Postes!$B$5:$B$124,B935)))</f>
        <v/>
      </c>
    </row>
    <row r="936" customFormat="false" ht="15" hidden="false" customHeight="false" outlineLevel="0" collapsed="false">
      <c r="A936" s="16"/>
      <c r="B936" s="20"/>
      <c r="C936" s="20"/>
      <c r="D936" s="24"/>
      <c r="E936" s="9" t="str">
        <f aca="false">IF(OR(A936="",B936="",C936=""),"",IF(D936="O",0,SUMIFS(Postes!$P$5:$P$124,Postes!$A$5:$A$124,A936,Postes!$B$5:$B$124,B936)))</f>
        <v/>
      </c>
    </row>
    <row r="937" customFormat="false" ht="15" hidden="false" customHeight="false" outlineLevel="0" collapsed="false">
      <c r="A937" s="16"/>
      <c r="B937" s="20"/>
      <c r="C937" s="20"/>
      <c r="D937" s="24"/>
      <c r="E937" s="9" t="str">
        <f aca="false">IF(OR(A937="",B937="",C937=""),"",IF(D937="O",0,SUMIFS(Postes!$P$5:$P$124,Postes!$A$5:$A$124,A937,Postes!$B$5:$B$124,B937)))</f>
        <v/>
      </c>
    </row>
    <row r="938" customFormat="false" ht="15" hidden="false" customHeight="false" outlineLevel="0" collapsed="false">
      <c r="A938" s="16"/>
      <c r="B938" s="20"/>
      <c r="C938" s="20"/>
      <c r="D938" s="24"/>
      <c r="E938" s="9" t="str">
        <f aca="false">IF(OR(A938="",B938="",C938=""),"",IF(D938="O",0,SUMIFS(Postes!$P$5:$P$124,Postes!$A$5:$A$124,A938,Postes!$B$5:$B$124,B938)))</f>
        <v/>
      </c>
    </row>
    <row r="939" customFormat="false" ht="15" hidden="false" customHeight="false" outlineLevel="0" collapsed="false">
      <c r="A939" s="16"/>
      <c r="B939" s="20"/>
      <c r="C939" s="20"/>
      <c r="D939" s="24"/>
      <c r="E939" s="9" t="str">
        <f aca="false">IF(OR(A939="",B939="",C939=""),"",IF(D939="O",0,SUMIFS(Postes!$P$5:$P$124,Postes!$A$5:$A$124,A939,Postes!$B$5:$B$124,B939)))</f>
        <v/>
      </c>
    </row>
    <row r="940" customFormat="false" ht="15" hidden="false" customHeight="false" outlineLevel="0" collapsed="false">
      <c r="A940" s="16"/>
      <c r="B940" s="20"/>
      <c r="C940" s="20"/>
      <c r="D940" s="24"/>
      <c r="E940" s="9" t="str">
        <f aca="false">IF(OR(A940="",B940="",C940=""),"",IF(D940="O",0,SUMIFS(Postes!$P$5:$P$124,Postes!$A$5:$A$124,A940,Postes!$B$5:$B$124,B940)))</f>
        <v/>
      </c>
    </row>
    <row r="941" customFormat="false" ht="15" hidden="false" customHeight="false" outlineLevel="0" collapsed="false">
      <c r="A941" s="16"/>
      <c r="B941" s="20"/>
      <c r="C941" s="20"/>
      <c r="D941" s="24"/>
      <c r="E941" s="9" t="str">
        <f aca="false">IF(OR(A941="",B941="",C941=""),"",IF(D941="O",0,SUMIFS(Postes!$P$5:$P$124,Postes!$A$5:$A$124,A941,Postes!$B$5:$B$124,B941)))</f>
        <v/>
      </c>
    </row>
    <row r="942" customFormat="false" ht="15" hidden="false" customHeight="false" outlineLevel="0" collapsed="false">
      <c r="A942" s="16"/>
      <c r="B942" s="20"/>
      <c r="C942" s="20"/>
      <c r="D942" s="24"/>
      <c r="E942" s="9" t="str">
        <f aca="false">IF(OR(A942="",B942="",C942=""),"",IF(D942="O",0,SUMIFS(Postes!$P$5:$P$124,Postes!$A$5:$A$124,A942,Postes!$B$5:$B$124,B942)))</f>
        <v/>
      </c>
    </row>
    <row r="943" customFormat="false" ht="15" hidden="false" customHeight="false" outlineLevel="0" collapsed="false">
      <c r="A943" s="16"/>
      <c r="B943" s="20"/>
      <c r="C943" s="20"/>
      <c r="D943" s="24"/>
      <c r="E943" s="9" t="str">
        <f aca="false">IF(OR(A943="",B943="",C943=""),"",IF(D943="O",0,SUMIFS(Postes!$P$5:$P$124,Postes!$A$5:$A$124,A943,Postes!$B$5:$B$124,B943)))</f>
        <v/>
      </c>
    </row>
    <row r="944" customFormat="false" ht="15" hidden="false" customHeight="false" outlineLevel="0" collapsed="false">
      <c r="A944" s="16"/>
      <c r="B944" s="20"/>
      <c r="C944" s="20"/>
      <c r="D944" s="24"/>
      <c r="E944" s="9" t="str">
        <f aca="false">IF(OR(A944="",B944="",C944=""),"",IF(D944="O",0,SUMIFS(Postes!$P$5:$P$124,Postes!$A$5:$A$124,A944,Postes!$B$5:$B$124,B944)))</f>
        <v/>
      </c>
    </row>
    <row r="945" customFormat="false" ht="15" hidden="false" customHeight="false" outlineLevel="0" collapsed="false">
      <c r="A945" s="16"/>
      <c r="B945" s="20"/>
      <c r="C945" s="20"/>
      <c r="D945" s="24"/>
      <c r="E945" s="9" t="str">
        <f aca="false">IF(OR(A945="",B945="",C945=""),"",IF(D945="O",0,SUMIFS(Postes!$P$5:$P$124,Postes!$A$5:$A$124,A945,Postes!$B$5:$B$124,B945)))</f>
        <v/>
      </c>
    </row>
    <row r="946" customFormat="false" ht="15" hidden="false" customHeight="false" outlineLevel="0" collapsed="false">
      <c r="A946" s="16"/>
      <c r="B946" s="20"/>
      <c r="C946" s="20"/>
      <c r="D946" s="24"/>
      <c r="E946" s="9" t="str">
        <f aca="false">IF(OR(A946="",B946="",C946=""),"",IF(D946="O",0,SUMIFS(Postes!$P$5:$P$124,Postes!$A$5:$A$124,A946,Postes!$B$5:$B$124,B946)))</f>
        <v/>
      </c>
    </row>
    <row r="947" customFormat="false" ht="15" hidden="false" customHeight="false" outlineLevel="0" collapsed="false">
      <c r="A947" s="16"/>
      <c r="B947" s="20"/>
      <c r="C947" s="20"/>
      <c r="D947" s="24"/>
      <c r="E947" s="9" t="str">
        <f aca="false">IF(OR(A947="",B947="",C947=""),"",IF(D947="O",0,SUMIFS(Postes!$P$5:$P$124,Postes!$A$5:$A$124,A947,Postes!$B$5:$B$124,B947)))</f>
        <v/>
      </c>
    </row>
    <row r="948" customFormat="false" ht="15" hidden="false" customHeight="false" outlineLevel="0" collapsed="false">
      <c r="A948" s="16"/>
      <c r="B948" s="20"/>
      <c r="C948" s="20"/>
      <c r="D948" s="24"/>
      <c r="E948" s="9" t="str">
        <f aca="false">IF(OR(A948="",B948="",C948=""),"",IF(D948="O",0,SUMIFS(Postes!$P$5:$P$124,Postes!$A$5:$A$124,A948,Postes!$B$5:$B$124,B948)))</f>
        <v/>
      </c>
    </row>
    <row r="949" customFormat="false" ht="15" hidden="false" customHeight="false" outlineLevel="0" collapsed="false">
      <c r="A949" s="16"/>
      <c r="B949" s="20"/>
      <c r="C949" s="20"/>
      <c r="D949" s="24"/>
      <c r="E949" s="9" t="str">
        <f aca="false">IF(OR(A949="",B949="",C949=""),"",IF(D949="O",0,SUMIFS(Postes!$P$5:$P$124,Postes!$A$5:$A$124,A949,Postes!$B$5:$B$124,B949)))</f>
        <v/>
      </c>
    </row>
    <row r="950" customFormat="false" ht="15" hidden="false" customHeight="false" outlineLevel="0" collapsed="false">
      <c r="A950" s="16"/>
      <c r="B950" s="20"/>
      <c r="C950" s="20"/>
      <c r="D950" s="24"/>
      <c r="E950" s="9" t="str">
        <f aca="false">IF(OR(A950="",B950="",C950=""),"",IF(D950="O",0,SUMIFS(Postes!$P$5:$P$124,Postes!$A$5:$A$124,A950,Postes!$B$5:$B$124,B950)))</f>
        <v/>
      </c>
    </row>
    <row r="951" customFormat="false" ht="15" hidden="false" customHeight="false" outlineLevel="0" collapsed="false">
      <c r="A951" s="16"/>
      <c r="B951" s="20"/>
      <c r="C951" s="20"/>
      <c r="D951" s="24"/>
      <c r="E951" s="9" t="str">
        <f aca="false">IF(OR(A951="",B951="",C951=""),"",IF(D951="O",0,SUMIFS(Postes!$P$5:$P$124,Postes!$A$5:$A$124,A951,Postes!$B$5:$B$124,B951)))</f>
        <v/>
      </c>
    </row>
    <row r="952" customFormat="false" ht="15" hidden="false" customHeight="false" outlineLevel="0" collapsed="false">
      <c r="A952" s="16"/>
      <c r="B952" s="20"/>
      <c r="C952" s="20"/>
      <c r="D952" s="24"/>
      <c r="E952" s="9" t="str">
        <f aca="false">IF(OR(A952="",B952="",C952=""),"",IF(D952="O",0,SUMIFS(Postes!$P$5:$P$124,Postes!$A$5:$A$124,A952,Postes!$B$5:$B$124,B952)))</f>
        <v/>
      </c>
    </row>
    <row r="953" customFormat="false" ht="15" hidden="false" customHeight="false" outlineLevel="0" collapsed="false">
      <c r="A953" s="16"/>
      <c r="B953" s="20"/>
      <c r="C953" s="20"/>
      <c r="D953" s="24"/>
      <c r="E953" s="9" t="str">
        <f aca="false">IF(OR(A953="",B953="",C953=""),"",IF(D953="O",0,SUMIFS(Postes!$P$5:$P$124,Postes!$A$5:$A$124,A953,Postes!$B$5:$B$124,B953)))</f>
        <v/>
      </c>
    </row>
    <row r="954" customFormat="false" ht="15" hidden="false" customHeight="false" outlineLevel="0" collapsed="false">
      <c r="A954" s="16"/>
      <c r="B954" s="20"/>
      <c r="C954" s="20"/>
      <c r="D954" s="24"/>
      <c r="E954" s="9" t="str">
        <f aca="false">IF(OR(A954="",B954="",C954=""),"",IF(D954="O",0,SUMIFS(Postes!$P$5:$P$124,Postes!$A$5:$A$124,A954,Postes!$B$5:$B$124,B954)))</f>
        <v/>
      </c>
    </row>
    <row r="955" customFormat="false" ht="15" hidden="false" customHeight="false" outlineLevel="0" collapsed="false">
      <c r="A955" s="16"/>
      <c r="B955" s="20"/>
      <c r="C955" s="20"/>
      <c r="D955" s="24"/>
      <c r="E955" s="9" t="str">
        <f aca="false">IF(OR(A955="",B955="",C955=""),"",IF(D955="O",0,SUMIFS(Postes!$P$5:$P$124,Postes!$A$5:$A$124,A955,Postes!$B$5:$B$124,B955)))</f>
        <v/>
      </c>
    </row>
    <row r="956" customFormat="false" ht="15" hidden="false" customHeight="false" outlineLevel="0" collapsed="false">
      <c r="A956" s="16"/>
      <c r="B956" s="20"/>
      <c r="C956" s="20"/>
      <c r="D956" s="24"/>
      <c r="E956" s="9" t="str">
        <f aca="false">IF(OR(A956="",B956="",C956=""),"",IF(D956="O",0,SUMIFS(Postes!$P$5:$P$124,Postes!$A$5:$A$124,A956,Postes!$B$5:$B$124,B956)))</f>
        <v/>
      </c>
    </row>
    <row r="957" customFormat="false" ht="15" hidden="false" customHeight="false" outlineLevel="0" collapsed="false">
      <c r="A957" s="16"/>
      <c r="B957" s="20"/>
      <c r="C957" s="20"/>
      <c r="D957" s="24"/>
      <c r="E957" s="9" t="str">
        <f aca="false">IF(OR(A957="",B957="",C957=""),"",IF(D957="O",0,SUMIFS(Postes!$P$5:$P$124,Postes!$A$5:$A$124,A957,Postes!$B$5:$B$124,B957)))</f>
        <v/>
      </c>
    </row>
    <row r="958" customFormat="false" ht="15" hidden="false" customHeight="false" outlineLevel="0" collapsed="false">
      <c r="A958" s="16"/>
      <c r="B958" s="20"/>
      <c r="C958" s="20"/>
      <c r="D958" s="24"/>
      <c r="E958" s="9" t="str">
        <f aca="false">IF(OR(A958="",B958="",C958=""),"",IF(D958="O",0,SUMIFS(Postes!$P$5:$P$124,Postes!$A$5:$A$124,A958,Postes!$B$5:$B$124,B958)))</f>
        <v/>
      </c>
    </row>
    <row r="959" customFormat="false" ht="15" hidden="false" customHeight="false" outlineLevel="0" collapsed="false">
      <c r="A959" s="16"/>
      <c r="B959" s="20"/>
      <c r="C959" s="20"/>
      <c r="D959" s="24"/>
      <c r="E959" s="9" t="str">
        <f aca="false">IF(OR(A959="",B959="",C959=""),"",IF(D959="O",0,SUMIFS(Postes!$P$5:$P$124,Postes!$A$5:$A$124,A959,Postes!$B$5:$B$124,B959)))</f>
        <v/>
      </c>
    </row>
    <row r="960" customFormat="false" ht="15" hidden="false" customHeight="false" outlineLevel="0" collapsed="false">
      <c r="A960" s="16"/>
      <c r="B960" s="20"/>
      <c r="C960" s="20"/>
      <c r="D960" s="24"/>
      <c r="E960" s="9" t="str">
        <f aca="false">IF(OR(A960="",B960="",C960=""),"",IF(D960="O",0,SUMIFS(Postes!$P$5:$P$124,Postes!$A$5:$A$124,A960,Postes!$B$5:$B$124,B960)))</f>
        <v/>
      </c>
    </row>
    <row r="961" customFormat="false" ht="15" hidden="false" customHeight="false" outlineLevel="0" collapsed="false">
      <c r="A961" s="16"/>
      <c r="B961" s="20"/>
      <c r="C961" s="20"/>
      <c r="D961" s="24"/>
      <c r="E961" s="9" t="str">
        <f aca="false">IF(OR(A961="",B961="",C961=""),"",IF(D961="O",0,SUMIFS(Postes!$P$5:$P$124,Postes!$A$5:$A$124,A961,Postes!$B$5:$B$124,B961)))</f>
        <v/>
      </c>
    </row>
    <row r="962" customFormat="false" ht="15" hidden="false" customHeight="false" outlineLevel="0" collapsed="false">
      <c r="A962" s="16"/>
      <c r="B962" s="20"/>
      <c r="C962" s="20"/>
      <c r="D962" s="24"/>
      <c r="E962" s="9" t="str">
        <f aca="false">IF(OR(A962="",B962="",C962=""),"",IF(D962="O",0,SUMIFS(Postes!$P$5:$P$124,Postes!$A$5:$A$124,A962,Postes!$B$5:$B$124,B962)))</f>
        <v/>
      </c>
    </row>
    <row r="963" customFormat="false" ht="15" hidden="false" customHeight="false" outlineLevel="0" collapsed="false">
      <c r="A963" s="16"/>
      <c r="B963" s="20"/>
      <c r="C963" s="20"/>
      <c r="D963" s="24"/>
      <c r="E963" s="9" t="str">
        <f aca="false">IF(OR(A963="",B963="",C963=""),"",IF(D963="O",0,SUMIFS(Postes!$P$5:$P$124,Postes!$A$5:$A$124,A963,Postes!$B$5:$B$124,B963)))</f>
        <v/>
      </c>
    </row>
    <row r="964" customFormat="false" ht="15" hidden="false" customHeight="false" outlineLevel="0" collapsed="false">
      <c r="A964" s="16"/>
      <c r="B964" s="20"/>
      <c r="C964" s="20"/>
      <c r="D964" s="24"/>
      <c r="E964" s="9" t="str">
        <f aca="false">IF(OR(A964="",B964="",C964=""),"",IF(D964="O",0,SUMIFS(Postes!$P$5:$P$124,Postes!$A$5:$A$124,A964,Postes!$B$5:$B$124,B964)))</f>
        <v/>
      </c>
    </row>
    <row r="965" customFormat="false" ht="15" hidden="false" customHeight="false" outlineLevel="0" collapsed="false">
      <c r="A965" s="16"/>
      <c r="B965" s="20"/>
      <c r="C965" s="20"/>
      <c r="D965" s="24"/>
      <c r="E965" s="9" t="str">
        <f aca="false">IF(OR(A965="",B965="",C965=""),"",IF(D965="O",0,SUMIFS(Postes!$P$5:$P$124,Postes!$A$5:$A$124,A965,Postes!$B$5:$B$124,B965)))</f>
        <v/>
      </c>
    </row>
    <row r="966" customFormat="false" ht="15" hidden="false" customHeight="false" outlineLevel="0" collapsed="false">
      <c r="A966" s="16"/>
      <c r="B966" s="20"/>
      <c r="C966" s="20"/>
      <c r="D966" s="24"/>
      <c r="E966" s="9" t="str">
        <f aca="false">IF(OR(A966="",B966="",C966=""),"",IF(D966="O",0,SUMIFS(Postes!$P$5:$P$124,Postes!$A$5:$A$124,A966,Postes!$B$5:$B$124,B966)))</f>
        <v/>
      </c>
    </row>
    <row r="967" customFormat="false" ht="15" hidden="false" customHeight="false" outlineLevel="0" collapsed="false">
      <c r="A967" s="16"/>
      <c r="B967" s="20"/>
      <c r="C967" s="20"/>
      <c r="D967" s="24"/>
      <c r="E967" s="9" t="str">
        <f aca="false">IF(OR(A967="",B967="",C967=""),"",IF(D967="O",0,SUMIFS(Postes!$P$5:$P$124,Postes!$A$5:$A$124,A967,Postes!$B$5:$B$124,B967)))</f>
        <v/>
      </c>
    </row>
    <row r="968" customFormat="false" ht="15" hidden="false" customHeight="false" outlineLevel="0" collapsed="false">
      <c r="A968" s="16"/>
      <c r="B968" s="20"/>
      <c r="C968" s="20"/>
      <c r="D968" s="24"/>
      <c r="E968" s="9" t="str">
        <f aca="false">IF(OR(A968="",B968="",C968=""),"",IF(D968="O",0,SUMIFS(Postes!$P$5:$P$124,Postes!$A$5:$A$124,A968,Postes!$B$5:$B$124,B968)))</f>
        <v/>
      </c>
    </row>
    <row r="969" customFormat="false" ht="15" hidden="false" customHeight="false" outlineLevel="0" collapsed="false">
      <c r="A969" s="16"/>
      <c r="B969" s="20"/>
      <c r="C969" s="20"/>
      <c r="D969" s="24"/>
      <c r="E969" s="9" t="str">
        <f aca="false">IF(OR(A969="",B969="",C969=""),"",IF(D969="O",0,SUMIFS(Postes!$P$5:$P$124,Postes!$A$5:$A$124,A969,Postes!$B$5:$B$124,B969)))</f>
        <v/>
      </c>
    </row>
    <row r="970" customFormat="false" ht="15" hidden="false" customHeight="false" outlineLevel="0" collapsed="false">
      <c r="A970" s="16"/>
      <c r="B970" s="20"/>
      <c r="C970" s="20"/>
      <c r="D970" s="24"/>
      <c r="E970" s="9" t="str">
        <f aca="false">IF(OR(A970="",B970="",C970=""),"",IF(D970="O",0,SUMIFS(Postes!$P$5:$P$124,Postes!$A$5:$A$124,A970,Postes!$B$5:$B$124,B970)))</f>
        <v/>
      </c>
    </row>
    <row r="971" customFormat="false" ht="15" hidden="false" customHeight="false" outlineLevel="0" collapsed="false">
      <c r="A971" s="16"/>
      <c r="B971" s="20"/>
      <c r="C971" s="20"/>
      <c r="D971" s="24"/>
      <c r="E971" s="9" t="str">
        <f aca="false">IF(OR(A971="",B971="",C971=""),"",IF(D971="O",0,SUMIFS(Postes!$P$5:$P$124,Postes!$A$5:$A$124,A971,Postes!$B$5:$B$124,B971)))</f>
        <v/>
      </c>
    </row>
    <row r="972" customFormat="false" ht="15" hidden="false" customHeight="false" outlineLevel="0" collapsed="false">
      <c r="A972" s="16"/>
      <c r="B972" s="20"/>
      <c r="C972" s="20"/>
      <c r="D972" s="24"/>
      <c r="E972" s="9" t="str">
        <f aca="false">IF(OR(A972="",B972="",C972=""),"",IF(D972="O",0,SUMIFS(Postes!$P$5:$P$124,Postes!$A$5:$A$124,A972,Postes!$B$5:$B$124,B972)))</f>
        <v/>
      </c>
    </row>
    <row r="973" customFormat="false" ht="15" hidden="false" customHeight="false" outlineLevel="0" collapsed="false">
      <c r="A973" s="16"/>
      <c r="B973" s="20"/>
      <c r="C973" s="20"/>
      <c r="D973" s="24"/>
      <c r="E973" s="9" t="str">
        <f aca="false">IF(OR(A973="",B973="",C973=""),"",IF(D973="O",0,SUMIFS(Postes!$P$5:$P$124,Postes!$A$5:$A$124,A973,Postes!$B$5:$B$124,B973)))</f>
        <v/>
      </c>
    </row>
    <row r="974" customFormat="false" ht="15" hidden="false" customHeight="false" outlineLevel="0" collapsed="false">
      <c r="A974" s="16"/>
      <c r="B974" s="20"/>
      <c r="C974" s="20"/>
      <c r="D974" s="24"/>
      <c r="E974" s="9" t="str">
        <f aca="false">IF(OR(A974="",B974="",C974=""),"",IF(D974="O",0,SUMIFS(Postes!$P$5:$P$124,Postes!$A$5:$A$124,A974,Postes!$B$5:$B$124,B974)))</f>
        <v/>
      </c>
    </row>
    <row r="975" customFormat="false" ht="15" hidden="false" customHeight="false" outlineLevel="0" collapsed="false">
      <c r="A975" s="16"/>
      <c r="B975" s="20"/>
      <c r="C975" s="20"/>
      <c r="D975" s="24"/>
      <c r="E975" s="9" t="str">
        <f aca="false">IF(OR(A975="",B975="",C975=""),"",IF(D975="O",0,SUMIFS(Postes!$P$5:$P$124,Postes!$A$5:$A$124,A975,Postes!$B$5:$B$124,B975)))</f>
        <v/>
      </c>
    </row>
    <row r="976" customFormat="false" ht="15" hidden="false" customHeight="false" outlineLevel="0" collapsed="false">
      <c r="A976" s="16"/>
      <c r="B976" s="20"/>
      <c r="C976" s="20"/>
      <c r="D976" s="24"/>
      <c r="E976" s="9" t="str">
        <f aca="false">IF(OR(A976="",B976="",C976=""),"",IF(D976="O",0,SUMIFS(Postes!$P$5:$P$124,Postes!$A$5:$A$124,A976,Postes!$B$5:$B$124,B976)))</f>
        <v/>
      </c>
    </row>
    <row r="977" customFormat="false" ht="15" hidden="false" customHeight="false" outlineLevel="0" collapsed="false">
      <c r="A977" s="16"/>
      <c r="B977" s="20"/>
      <c r="C977" s="20"/>
      <c r="D977" s="24"/>
      <c r="E977" s="9" t="str">
        <f aca="false">IF(OR(A977="",B977="",C977=""),"",IF(D977="O",0,SUMIFS(Postes!$P$5:$P$124,Postes!$A$5:$A$124,A977,Postes!$B$5:$B$124,B977)))</f>
        <v/>
      </c>
    </row>
    <row r="978" customFormat="false" ht="15" hidden="false" customHeight="false" outlineLevel="0" collapsed="false">
      <c r="A978" s="16"/>
      <c r="B978" s="20"/>
      <c r="C978" s="20"/>
      <c r="D978" s="24"/>
      <c r="E978" s="9" t="str">
        <f aca="false">IF(OR(A978="",B978="",C978=""),"",IF(D978="O",0,SUMIFS(Postes!$P$5:$P$124,Postes!$A$5:$A$124,A978,Postes!$B$5:$B$124,B978)))</f>
        <v/>
      </c>
    </row>
    <row r="979" customFormat="false" ht="15" hidden="false" customHeight="false" outlineLevel="0" collapsed="false">
      <c r="A979" s="16"/>
      <c r="B979" s="20"/>
      <c r="C979" s="20"/>
      <c r="D979" s="24"/>
      <c r="E979" s="9" t="str">
        <f aca="false">IF(OR(A979="",B979="",C979=""),"",IF(D979="O",0,SUMIFS(Postes!$P$5:$P$124,Postes!$A$5:$A$124,A979,Postes!$B$5:$B$124,B979)))</f>
        <v/>
      </c>
    </row>
    <row r="980" customFormat="false" ht="15" hidden="false" customHeight="false" outlineLevel="0" collapsed="false">
      <c r="A980" s="16"/>
      <c r="B980" s="20"/>
      <c r="C980" s="20"/>
      <c r="D980" s="24"/>
      <c r="E980" s="9" t="str">
        <f aca="false">IF(OR(A980="",B980="",C980=""),"",IF(D980="O",0,SUMIFS(Postes!$P$5:$P$124,Postes!$A$5:$A$124,A980,Postes!$B$5:$B$124,B980)))</f>
        <v/>
      </c>
    </row>
    <row r="981" customFormat="false" ht="15" hidden="false" customHeight="false" outlineLevel="0" collapsed="false">
      <c r="A981" s="16"/>
      <c r="B981" s="20"/>
      <c r="C981" s="20"/>
      <c r="D981" s="24"/>
      <c r="E981" s="9" t="str">
        <f aca="false">IF(OR(A981="",B981="",C981=""),"",IF(D981="O",0,SUMIFS(Postes!$P$5:$P$124,Postes!$A$5:$A$124,A981,Postes!$B$5:$B$124,B981)))</f>
        <v/>
      </c>
    </row>
    <row r="982" customFormat="false" ht="15" hidden="false" customHeight="false" outlineLevel="0" collapsed="false">
      <c r="A982" s="16"/>
      <c r="B982" s="20"/>
      <c r="C982" s="20"/>
      <c r="D982" s="24"/>
      <c r="E982" s="9" t="str">
        <f aca="false">IF(OR(A982="",B982="",C982=""),"",IF(D982="O",0,SUMIFS(Postes!$P$5:$P$124,Postes!$A$5:$A$124,A982,Postes!$B$5:$B$124,B982)))</f>
        <v/>
      </c>
    </row>
    <row r="983" customFormat="false" ht="15" hidden="false" customHeight="false" outlineLevel="0" collapsed="false">
      <c r="A983" s="16"/>
      <c r="B983" s="20"/>
      <c r="C983" s="20"/>
      <c r="D983" s="24"/>
      <c r="E983" s="9" t="str">
        <f aca="false">IF(OR(A983="",B983="",C983=""),"",IF(D983="O",0,SUMIFS(Postes!$P$5:$P$124,Postes!$A$5:$A$124,A983,Postes!$B$5:$B$124,B983)))</f>
        <v/>
      </c>
    </row>
    <row r="984" customFormat="false" ht="15" hidden="false" customHeight="false" outlineLevel="0" collapsed="false">
      <c r="A984" s="16"/>
      <c r="B984" s="20"/>
      <c r="C984" s="20"/>
      <c r="D984" s="24"/>
      <c r="E984" s="9" t="str">
        <f aca="false">IF(OR(A984="",B984="",C984=""),"",IF(D984="O",0,SUMIFS(Postes!$P$5:$P$124,Postes!$A$5:$A$124,A984,Postes!$B$5:$B$124,B984)))</f>
        <v/>
      </c>
    </row>
    <row r="985" customFormat="false" ht="15" hidden="false" customHeight="false" outlineLevel="0" collapsed="false">
      <c r="A985" s="16"/>
      <c r="B985" s="20"/>
      <c r="C985" s="20"/>
      <c r="D985" s="24"/>
      <c r="E985" s="9" t="str">
        <f aca="false">IF(OR(A985="",B985="",C985=""),"",IF(D985="O",0,SUMIFS(Postes!$P$5:$P$124,Postes!$A$5:$A$124,A985,Postes!$B$5:$B$124,B985)))</f>
        <v/>
      </c>
    </row>
    <row r="986" customFormat="false" ht="15" hidden="false" customHeight="false" outlineLevel="0" collapsed="false">
      <c r="A986" s="16"/>
      <c r="B986" s="20"/>
      <c r="C986" s="20"/>
      <c r="D986" s="24"/>
      <c r="E986" s="9" t="str">
        <f aca="false">IF(OR(A986="",B986="",C986=""),"",IF(D986="O",0,SUMIFS(Postes!$P$5:$P$124,Postes!$A$5:$A$124,A986,Postes!$B$5:$B$124,B986)))</f>
        <v/>
      </c>
    </row>
    <row r="987" customFormat="false" ht="15" hidden="false" customHeight="false" outlineLevel="0" collapsed="false">
      <c r="A987" s="16"/>
      <c r="B987" s="20"/>
      <c r="C987" s="20"/>
      <c r="D987" s="24"/>
      <c r="E987" s="9" t="str">
        <f aca="false">IF(OR(A987="",B987="",C987=""),"",IF(D987="O",0,SUMIFS(Postes!$P$5:$P$124,Postes!$A$5:$A$124,A987,Postes!$B$5:$B$124,B987)))</f>
        <v/>
      </c>
    </row>
    <row r="988" customFormat="false" ht="15" hidden="false" customHeight="false" outlineLevel="0" collapsed="false">
      <c r="A988" s="16"/>
      <c r="B988" s="20"/>
      <c r="C988" s="20"/>
      <c r="D988" s="24"/>
      <c r="E988" s="9" t="str">
        <f aca="false">IF(OR(A988="",B988="",C988=""),"",IF(D988="O",0,SUMIFS(Postes!$P$5:$P$124,Postes!$A$5:$A$124,A988,Postes!$B$5:$B$124,B988)))</f>
        <v/>
      </c>
    </row>
    <row r="989" customFormat="false" ht="15" hidden="false" customHeight="false" outlineLevel="0" collapsed="false">
      <c r="A989" s="16"/>
      <c r="B989" s="20"/>
      <c r="C989" s="20"/>
      <c r="D989" s="24"/>
      <c r="E989" s="9" t="str">
        <f aca="false">IF(OR(A989="",B989="",C989=""),"",IF(D989="O",0,SUMIFS(Postes!$P$5:$P$124,Postes!$A$5:$A$124,A989,Postes!$B$5:$B$124,B989)))</f>
        <v/>
      </c>
    </row>
    <row r="990" customFormat="false" ht="15" hidden="false" customHeight="false" outlineLevel="0" collapsed="false">
      <c r="A990" s="16"/>
      <c r="B990" s="20"/>
      <c r="C990" s="20"/>
      <c r="D990" s="24"/>
      <c r="E990" s="9" t="str">
        <f aca="false">IF(OR(A990="",B990="",C990=""),"",IF(D990="O",0,SUMIFS(Postes!$P$5:$P$124,Postes!$A$5:$A$124,A990,Postes!$B$5:$B$124,B990)))</f>
        <v/>
      </c>
    </row>
    <row r="991" customFormat="false" ht="15" hidden="false" customHeight="false" outlineLevel="0" collapsed="false">
      <c r="A991" s="16"/>
      <c r="B991" s="20"/>
      <c r="C991" s="20"/>
      <c r="D991" s="24"/>
      <c r="E991" s="9" t="str">
        <f aca="false">IF(OR(A991="",B991="",C991=""),"",IF(D991="O",0,SUMIFS(Postes!$P$5:$P$124,Postes!$A$5:$A$124,A991,Postes!$B$5:$B$124,B991)))</f>
        <v/>
      </c>
    </row>
    <row r="992" customFormat="false" ht="15" hidden="false" customHeight="false" outlineLevel="0" collapsed="false">
      <c r="A992" s="16"/>
      <c r="B992" s="20"/>
      <c r="C992" s="20"/>
      <c r="D992" s="24"/>
      <c r="E992" s="9" t="str">
        <f aca="false">IF(OR(A992="",B992="",C992=""),"",IF(D992="O",0,SUMIFS(Postes!$P$5:$P$124,Postes!$A$5:$A$124,A992,Postes!$B$5:$B$124,B992)))</f>
        <v/>
      </c>
    </row>
    <row r="993" customFormat="false" ht="15" hidden="false" customHeight="false" outlineLevel="0" collapsed="false">
      <c r="A993" s="16"/>
      <c r="B993" s="20"/>
      <c r="C993" s="20"/>
      <c r="D993" s="24"/>
      <c r="E993" s="9" t="str">
        <f aca="false">IF(OR(A993="",B993="",C993=""),"",IF(D993="O",0,SUMIFS(Postes!$P$5:$P$124,Postes!$A$5:$A$124,A993,Postes!$B$5:$B$124,B993)))</f>
        <v/>
      </c>
    </row>
    <row r="994" customFormat="false" ht="15" hidden="false" customHeight="false" outlineLevel="0" collapsed="false">
      <c r="A994" s="16"/>
      <c r="B994" s="20"/>
      <c r="C994" s="20"/>
      <c r="D994" s="24"/>
      <c r="E994" s="9" t="str">
        <f aca="false">IF(OR(A994="",B994="",C994=""),"",IF(D994="O",0,SUMIFS(Postes!$P$5:$P$124,Postes!$A$5:$A$124,A994,Postes!$B$5:$B$124,B994)))</f>
        <v/>
      </c>
    </row>
    <row r="995" customFormat="false" ht="15" hidden="false" customHeight="false" outlineLevel="0" collapsed="false">
      <c r="A995" s="16"/>
      <c r="B995" s="20"/>
      <c r="C995" s="20"/>
      <c r="D995" s="24"/>
      <c r="E995" s="9" t="str">
        <f aca="false">IF(OR(A995="",B995="",C995=""),"",IF(D995="O",0,SUMIFS(Postes!$P$5:$P$124,Postes!$A$5:$A$124,A995,Postes!$B$5:$B$124,B995)))</f>
        <v/>
      </c>
    </row>
    <row r="996" customFormat="false" ht="15" hidden="false" customHeight="false" outlineLevel="0" collapsed="false">
      <c r="A996" s="16"/>
      <c r="B996" s="20"/>
      <c r="C996" s="20"/>
      <c r="D996" s="24"/>
      <c r="E996" s="9" t="str">
        <f aca="false">IF(OR(A996="",B996="",C996=""),"",IF(D996="O",0,SUMIFS(Postes!$P$5:$P$124,Postes!$A$5:$A$124,A996,Postes!$B$5:$B$124,B996)))</f>
        <v/>
      </c>
    </row>
    <row r="997" customFormat="false" ht="15" hidden="false" customHeight="false" outlineLevel="0" collapsed="false">
      <c r="A997" s="16"/>
      <c r="B997" s="20"/>
      <c r="C997" s="20"/>
      <c r="D997" s="24"/>
      <c r="E997" s="9" t="str">
        <f aca="false">IF(OR(A997="",B997="",C997=""),"",IF(D997="O",0,SUMIFS(Postes!$P$5:$P$124,Postes!$A$5:$A$124,A997,Postes!$B$5:$B$124,B997)))</f>
        <v/>
      </c>
    </row>
    <row r="998" customFormat="false" ht="15" hidden="false" customHeight="false" outlineLevel="0" collapsed="false">
      <c r="A998" s="16"/>
      <c r="B998" s="20"/>
      <c r="C998" s="20"/>
      <c r="D998" s="24"/>
      <c r="E998" s="9" t="str">
        <f aca="false">IF(OR(A998="",B998="",C998=""),"",IF(D998="O",0,SUMIFS(Postes!$P$5:$P$124,Postes!$A$5:$A$124,A998,Postes!$B$5:$B$124,B998)))</f>
        <v/>
      </c>
    </row>
    <row r="999" customFormat="false" ht="15" hidden="false" customHeight="false" outlineLevel="0" collapsed="false">
      <c r="A999" s="16"/>
      <c r="B999" s="20"/>
      <c r="C999" s="20"/>
      <c r="D999" s="24"/>
      <c r="E999" s="9" t="str">
        <f aca="false">IF(OR(A999="",B999="",C999=""),"",IF(D999="O",0,SUMIFS(Postes!$P$5:$P$124,Postes!$A$5:$A$124,A999,Postes!$B$5:$B$124,B999)))</f>
        <v/>
      </c>
    </row>
    <row r="1000" customFormat="false" ht="15" hidden="false" customHeight="false" outlineLevel="0" collapsed="false">
      <c r="A1000" s="16"/>
      <c r="B1000" s="20"/>
      <c r="C1000" s="20"/>
      <c r="D1000" s="24"/>
      <c r="E1000" s="9" t="str">
        <f aca="false">IF(OR(A1000="",B1000="",C1000=""),"",IF(D1000="O",0,SUMIFS(Postes!$P$5:$P$124,Postes!$A$5:$A$124,A1000,Postes!$B$5:$B$124,B1000)))</f>
        <v/>
      </c>
    </row>
    <row r="1001" customFormat="false" ht="15" hidden="false" customHeight="false" outlineLevel="0" collapsed="false">
      <c r="A1001" s="16"/>
      <c r="B1001" s="20"/>
      <c r="C1001" s="20"/>
      <c r="D1001" s="24"/>
      <c r="E1001" s="9" t="str">
        <f aca="false">IF(OR(A1001="",B1001="",C1001=""),"",IF(D1001="O",0,SUMIFS(Postes!$P$5:$P$124,Postes!$A$5:$A$124,A1001,Postes!$B$5:$B$124,B1001)))</f>
        <v/>
      </c>
    </row>
    <row r="1002" customFormat="false" ht="15" hidden="false" customHeight="false" outlineLevel="0" collapsed="false">
      <c r="A1002" s="16"/>
      <c r="B1002" s="20"/>
      <c r="C1002" s="20"/>
      <c r="D1002" s="24"/>
      <c r="E1002" s="9" t="str">
        <f aca="false">IF(OR(A1002="",B1002="",C1002=""),"",IF(D1002="O",0,SUMIFS(Postes!$P$5:$P$124,Postes!$A$5:$A$124,A1002,Postes!$B$5:$B$124,B1002)))</f>
        <v/>
      </c>
    </row>
    <row r="1003" customFormat="false" ht="15" hidden="false" customHeight="false" outlineLevel="0" collapsed="false">
      <c r="A1003" s="16"/>
      <c r="B1003" s="20"/>
      <c r="C1003" s="20"/>
      <c r="D1003" s="24"/>
      <c r="E1003" s="9" t="str">
        <f aca="false">IF(OR(A1003="",B1003="",C1003=""),"",IF(D1003="O",0,SUMIFS(Postes!$P$5:$P$124,Postes!$A$5:$A$124,A1003,Postes!$B$5:$B$124,B1003)))</f>
        <v/>
      </c>
    </row>
    <row r="1004" customFormat="false" ht="15" hidden="false" customHeight="false" outlineLevel="0" collapsed="false">
      <c r="A1004" s="16"/>
      <c r="B1004" s="20"/>
      <c r="C1004" s="20"/>
      <c r="D1004" s="24"/>
      <c r="E1004" s="9" t="str">
        <f aca="false">IF(OR(A1004="",B1004="",C1004=""),"",IF(D1004="O",0,SUMIFS(Postes!$P$5:$P$124,Postes!$A$5:$A$124,A1004,Postes!$B$5:$B$124,B1004)))</f>
        <v/>
      </c>
    </row>
    <row r="1005" customFormat="false" ht="15" hidden="false" customHeight="false" outlineLevel="0" collapsed="false">
      <c r="A1005" s="16"/>
      <c r="B1005" s="20"/>
      <c r="C1005" s="20"/>
      <c r="D1005" s="24"/>
      <c r="E1005" s="9" t="str">
        <f aca="false">IF(OR(A1005="",B1005="",C1005=""),"",IF(D1005="O",0,SUMIFS(Postes!$P$5:$P$124,Postes!$A$5:$A$124,A1005,Postes!$B$5:$B$124,B1005)))</f>
        <v/>
      </c>
    </row>
    <row r="1006" customFormat="false" ht="15" hidden="false" customHeight="false" outlineLevel="0" collapsed="false">
      <c r="A1006" s="16"/>
      <c r="B1006" s="20"/>
      <c r="C1006" s="20"/>
      <c r="D1006" s="24"/>
      <c r="E1006" s="9" t="str">
        <f aca="false">IF(OR(A1006="",B1006="",C1006=""),"",IF(D1006="O",0,SUMIFS(Postes!$P$5:$P$124,Postes!$A$5:$A$124,A1006,Postes!$B$5:$B$124,B1006)))</f>
        <v/>
      </c>
    </row>
    <row r="1007" customFormat="false" ht="15" hidden="false" customHeight="false" outlineLevel="0" collapsed="false">
      <c r="A1007" s="16"/>
      <c r="B1007" s="20"/>
      <c r="C1007" s="20"/>
      <c r="D1007" s="24"/>
      <c r="E1007" s="9" t="str">
        <f aca="false">IF(OR(A1007="",B1007="",C1007=""),"",IF(D1007="O",0,SUMIFS(Postes!$P$5:$P$124,Postes!$A$5:$A$124,A1007,Postes!$B$5:$B$124,B1007)))</f>
        <v/>
      </c>
    </row>
    <row r="1008" customFormat="false" ht="15" hidden="false" customHeight="false" outlineLevel="0" collapsed="false">
      <c r="A1008" s="16"/>
      <c r="B1008" s="20"/>
      <c r="C1008" s="20"/>
      <c r="D1008" s="24"/>
      <c r="E1008" s="9" t="str">
        <f aca="false">IF(OR(A1008="",B1008="",C1008=""),"",IF(D1008="O",0,SUMIFS(Postes!$P$5:$P$124,Postes!$A$5:$A$124,A1008,Postes!$B$5:$B$124,B1008)))</f>
        <v/>
      </c>
    </row>
    <row r="1009" customFormat="false" ht="15" hidden="false" customHeight="false" outlineLevel="0" collapsed="false">
      <c r="A1009" s="16"/>
      <c r="B1009" s="20"/>
      <c r="C1009" s="20"/>
      <c r="D1009" s="24"/>
      <c r="E1009" s="9" t="str">
        <f aca="false">IF(OR(A1009="",B1009="",C1009=""),"",IF(D1009="O",0,SUMIFS(Postes!$P$5:$P$124,Postes!$A$5:$A$124,A1009,Postes!$B$5:$B$124,B1009)))</f>
        <v/>
      </c>
    </row>
    <row r="1010" customFormat="false" ht="15" hidden="false" customHeight="false" outlineLevel="0" collapsed="false">
      <c r="A1010" s="16"/>
      <c r="B1010" s="20"/>
      <c r="C1010" s="20"/>
      <c r="D1010" s="24"/>
      <c r="E1010" s="9" t="str">
        <f aca="false">IF(OR(A1010="",B1010="",C1010=""),"",IF(D1010="O",0,SUMIFS(Postes!$P$5:$P$124,Postes!$A$5:$A$124,A1010,Postes!$B$5:$B$124,B1010)))</f>
        <v/>
      </c>
    </row>
    <row r="1011" customFormat="false" ht="15" hidden="false" customHeight="false" outlineLevel="0" collapsed="false">
      <c r="A1011" s="16"/>
      <c r="B1011" s="20"/>
      <c r="C1011" s="20"/>
      <c r="D1011" s="24"/>
      <c r="E1011" s="9" t="str">
        <f aca="false">IF(OR(A1011="",B1011="",C1011=""),"",IF(D1011="O",0,SUMIFS(Postes!$P$5:$P$124,Postes!$A$5:$A$124,A1011,Postes!$B$5:$B$124,B1011)))</f>
        <v/>
      </c>
    </row>
    <row r="1012" customFormat="false" ht="15" hidden="false" customHeight="false" outlineLevel="0" collapsed="false">
      <c r="A1012" s="16"/>
      <c r="B1012" s="20"/>
      <c r="C1012" s="20"/>
      <c r="D1012" s="24"/>
      <c r="E1012" s="9" t="str">
        <f aca="false">IF(OR(A1012="",B1012="",C1012=""),"",IF(D1012="O",0,SUMIFS(Postes!$P$5:$P$124,Postes!$A$5:$A$124,A1012,Postes!$B$5:$B$124,B1012)))</f>
        <v/>
      </c>
    </row>
    <row r="1013" customFormat="false" ht="15" hidden="false" customHeight="false" outlineLevel="0" collapsed="false">
      <c r="A1013" s="16"/>
      <c r="B1013" s="20"/>
      <c r="C1013" s="20"/>
      <c r="D1013" s="24"/>
      <c r="E1013" s="9" t="str">
        <f aca="false">IF(OR(A1013="",B1013="",C1013=""),"",IF(D1013="O",0,SUMIFS(Postes!$P$5:$P$124,Postes!$A$5:$A$124,A1013,Postes!$B$5:$B$124,B1013)))</f>
        <v/>
      </c>
    </row>
    <row r="1014" customFormat="false" ht="15" hidden="false" customHeight="false" outlineLevel="0" collapsed="false">
      <c r="A1014" s="16"/>
      <c r="B1014" s="20"/>
      <c r="C1014" s="20"/>
      <c r="D1014" s="24"/>
      <c r="E1014" s="9" t="str">
        <f aca="false">IF(OR(A1014="",B1014="",C1014=""),"",IF(D1014="O",0,SUMIFS(Postes!$P$5:$P$124,Postes!$A$5:$A$124,A1014,Postes!$B$5:$B$124,B1014)))</f>
        <v/>
      </c>
    </row>
    <row r="1015" customFormat="false" ht="15" hidden="false" customHeight="false" outlineLevel="0" collapsed="false">
      <c r="A1015" s="16"/>
      <c r="B1015" s="20"/>
      <c r="C1015" s="20"/>
      <c r="D1015" s="24"/>
      <c r="E1015" s="9" t="str">
        <f aca="false">IF(OR(A1015="",B1015="",C1015=""),"",IF(D1015="O",0,SUMIFS(Postes!$P$5:$P$124,Postes!$A$5:$A$124,A1015,Postes!$B$5:$B$124,B1015)))</f>
        <v/>
      </c>
    </row>
    <row r="1016" customFormat="false" ht="15" hidden="false" customHeight="false" outlineLevel="0" collapsed="false">
      <c r="A1016" s="16"/>
      <c r="B1016" s="20"/>
      <c r="C1016" s="20"/>
      <c r="D1016" s="24"/>
      <c r="E1016" s="9" t="str">
        <f aca="false">IF(OR(A1016="",B1016="",C1016=""),"",IF(D1016="O",0,SUMIFS(Postes!$P$5:$P$124,Postes!$A$5:$A$124,A1016,Postes!$B$5:$B$124,B1016)))</f>
        <v/>
      </c>
    </row>
    <row r="1017" customFormat="false" ht="15" hidden="false" customHeight="false" outlineLevel="0" collapsed="false">
      <c r="A1017" s="16"/>
      <c r="B1017" s="20"/>
      <c r="C1017" s="20"/>
      <c r="D1017" s="24"/>
      <c r="E1017" s="9" t="str">
        <f aca="false">IF(OR(A1017="",B1017="",C1017=""),"",IF(D1017="O",0,SUMIFS(Postes!$P$5:$P$124,Postes!$A$5:$A$124,A1017,Postes!$B$5:$B$124,B1017)))</f>
        <v/>
      </c>
    </row>
    <row r="1018" customFormat="false" ht="15" hidden="false" customHeight="false" outlineLevel="0" collapsed="false">
      <c r="A1018" s="16"/>
      <c r="B1018" s="20"/>
      <c r="C1018" s="20"/>
      <c r="D1018" s="24"/>
      <c r="E1018" s="9" t="str">
        <f aca="false">IF(OR(A1018="",B1018="",C1018=""),"",IF(D1018="O",0,SUMIFS(Postes!$P$5:$P$124,Postes!$A$5:$A$124,A1018,Postes!$B$5:$B$124,B1018)))</f>
        <v/>
      </c>
    </row>
    <row r="1019" customFormat="false" ht="15" hidden="false" customHeight="false" outlineLevel="0" collapsed="false">
      <c r="A1019" s="16"/>
      <c r="B1019" s="20"/>
      <c r="C1019" s="20"/>
      <c r="D1019" s="24"/>
      <c r="E1019" s="9" t="str">
        <f aca="false">IF(OR(A1019="",B1019="",C1019=""),"",IF(D1019="O",0,SUMIFS(Postes!$P$5:$P$124,Postes!$A$5:$A$124,A1019,Postes!$B$5:$B$124,B1019)))</f>
        <v/>
      </c>
    </row>
    <row r="1020" customFormat="false" ht="15" hidden="false" customHeight="false" outlineLevel="0" collapsed="false">
      <c r="A1020" s="16"/>
      <c r="B1020" s="20"/>
      <c r="C1020" s="20"/>
      <c r="D1020" s="24"/>
      <c r="E1020" s="9" t="str">
        <f aca="false">IF(OR(A1020="",B1020="",C1020=""),"",IF(D1020="O",0,SUMIFS(Postes!$P$5:$P$124,Postes!$A$5:$A$124,A1020,Postes!$B$5:$B$124,B1020)))</f>
        <v/>
      </c>
    </row>
    <row r="1021" customFormat="false" ht="15" hidden="false" customHeight="false" outlineLevel="0" collapsed="false">
      <c r="A1021" s="16"/>
      <c r="B1021" s="20"/>
      <c r="C1021" s="20"/>
      <c r="D1021" s="24"/>
      <c r="E1021" s="9" t="str">
        <f aca="false">IF(OR(A1021="",B1021="",C1021=""),"",IF(D1021="O",0,SUMIFS(Postes!$P$5:$P$124,Postes!$A$5:$A$124,A1021,Postes!$B$5:$B$124,B1021)))</f>
        <v/>
      </c>
    </row>
    <row r="1022" customFormat="false" ht="15" hidden="false" customHeight="false" outlineLevel="0" collapsed="false">
      <c r="A1022" s="16"/>
      <c r="B1022" s="20"/>
      <c r="C1022" s="20"/>
      <c r="D1022" s="24"/>
      <c r="E1022" s="9" t="str">
        <f aca="false">IF(OR(A1022="",B1022="",C1022=""),"",IF(D1022="O",0,SUMIFS(Postes!$P$5:$P$124,Postes!$A$5:$A$124,A1022,Postes!$B$5:$B$124,B1022)))</f>
        <v/>
      </c>
    </row>
    <row r="1023" customFormat="false" ht="15" hidden="false" customHeight="false" outlineLevel="0" collapsed="false">
      <c r="A1023" s="16"/>
      <c r="B1023" s="20"/>
      <c r="C1023" s="20"/>
      <c r="D1023" s="24"/>
      <c r="E1023" s="9" t="str">
        <f aca="false">IF(OR(A1023="",B1023="",C1023=""),"",IF(D1023="O",0,SUMIFS(Postes!$P$5:$P$124,Postes!$A$5:$A$124,A1023,Postes!$B$5:$B$124,B1023)))</f>
        <v/>
      </c>
    </row>
    <row r="1024" customFormat="false" ht="15" hidden="false" customHeight="false" outlineLevel="0" collapsed="false">
      <c r="A1024" s="16"/>
      <c r="B1024" s="20"/>
      <c r="C1024" s="20"/>
      <c r="D1024" s="24"/>
      <c r="E1024" s="9" t="str">
        <f aca="false">IF(OR(A1024="",B1024="",C1024=""),"",IF(D1024="O",0,SUMIFS(Postes!$P$5:$P$124,Postes!$A$5:$A$124,A1024,Postes!$B$5:$B$124,B1024)))</f>
        <v/>
      </c>
    </row>
    <row r="1025" customFormat="false" ht="15" hidden="false" customHeight="false" outlineLevel="0" collapsed="false">
      <c r="A1025" s="16"/>
      <c r="B1025" s="20"/>
      <c r="C1025" s="20"/>
      <c r="D1025" s="24"/>
      <c r="E1025" s="9" t="str">
        <f aca="false">IF(OR(A1025="",B1025="",C1025=""),"",IF(D1025="O",0,SUMIFS(Postes!$P$5:$P$124,Postes!$A$5:$A$124,A1025,Postes!$B$5:$B$124,B1025)))</f>
        <v/>
      </c>
    </row>
    <row r="1026" customFormat="false" ht="15" hidden="false" customHeight="false" outlineLevel="0" collapsed="false">
      <c r="A1026" s="16"/>
      <c r="B1026" s="20"/>
      <c r="C1026" s="20"/>
      <c r="D1026" s="24"/>
      <c r="E1026" s="9" t="str">
        <f aca="false">IF(OR(A1026="",B1026="",C1026=""),"",IF(D1026="O",0,SUMIFS(Postes!$P$5:$P$124,Postes!$A$5:$A$124,A1026,Postes!$B$5:$B$124,B1026)))</f>
        <v/>
      </c>
    </row>
    <row r="1027" customFormat="false" ht="15" hidden="false" customHeight="false" outlineLevel="0" collapsed="false">
      <c r="A1027" s="16"/>
      <c r="B1027" s="20"/>
      <c r="C1027" s="20"/>
      <c r="D1027" s="24"/>
      <c r="E1027" s="9" t="str">
        <f aca="false">IF(OR(A1027="",B1027="",C1027=""),"",IF(D1027="O",0,SUMIFS(Postes!$P$5:$P$124,Postes!$A$5:$A$124,A1027,Postes!$B$5:$B$124,B1027)))</f>
        <v/>
      </c>
    </row>
    <row r="1028" customFormat="false" ht="15" hidden="false" customHeight="false" outlineLevel="0" collapsed="false">
      <c r="A1028" s="16"/>
      <c r="B1028" s="20"/>
      <c r="C1028" s="20"/>
      <c r="D1028" s="24"/>
      <c r="E1028" s="9" t="str">
        <f aca="false">IF(OR(A1028="",B1028="",C1028=""),"",IF(D1028="O",0,SUMIFS(Postes!$P$5:$P$124,Postes!$A$5:$A$124,A1028,Postes!$B$5:$B$124,B1028)))</f>
        <v/>
      </c>
    </row>
    <row r="1029" customFormat="false" ht="15" hidden="false" customHeight="false" outlineLevel="0" collapsed="false">
      <c r="A1029" s="16"/>
      <c r="B1029" s="20"/>
      <c r="C1029" s="20"/>
      <c r="D1029" s="24"/>
      <c r="E1029" s="9" t="str">
        <f aca="false">IF(OR(A1029="",B1029="",C1029=""),"",IF(D1029="O",0,SUMIFS(Postes!$P$5:$P$124,Postes!$A$5:$A$124,A1029,Postes!$B$5:$B$124,B1029)))</f>
        <v/>
      </c>
    </row>
    <row r="1030" customFormat="false" ht="15" hidden="false" customHeight="false" outlineLevel="0" collapsed="false">
      <c r="A1030" s="16"/>
      <c r="B1030" s="20"/>
      <c r="C1030" s="20"/>
      <c r="D1030" s="24"/>
      <c r="E1030" s="9" t="str">
        <f aca="false">IF(OR(A1030="",B1030="",C1030=""),"",IF(D1030="O",0,SUMIFS(Postes!$P$5:$P$124,Postes!$A$5:$A$124,A1030,Postes!$B$5:$B$124,B1030)))</f>
        <v/>
      </c>
    </row>
    <row r="1031" customFormat="false" ht="15" hidden="false" customHeight="false" outlineLevel="0" collapsed="false">
      <c r="A1031" s="16"/>
      <c r="B1031" s="20"/>
      <c r="C1031" s="20"/>
      <c r="D1031" s="24"/>
      <c r="E1031" s="9" t="str">
        <f aca="false">IF(OR(A1031="",B1031="",C1031=""),"",IF(D1031="O",0,SUMIFS(Postes!$P$5:$P$124,Postes!$A$5:$A$124,A1031,Postes!$B$5:$B$124,B1031)))</f>
        <v/>
      </c>
    </row>
    <row r="1032" customFormat="false" ht="15" hidden="false" customHeight="false" outlineLevel="0" collapsed="false">
      <c r="A1032" s="16"/>
      <c r="B1032" s="20"/>
      <c r="C1032" s="20"/>
      <c r="D1032" s="24"/>
      <c r="E1032" s="9" t="str">
        <f aca="false">IF(OR(A1032="",B1032="",C1032=""),"",IF(D1032="O",0,SUMIFS(Postes!$P$5:$P$124,Postes!$A$5:$A$124,A1032,Postes!$B$5:$B$124,B1032)))</f>
        <v/>
      </c>
    </row>
    <row r="1033" customFormat="false" ht="15" hidden="false" customHeight="false" outlineLevel="0" collapsed="false">
      <c r="A1033" s="16"/>
      <c r="B1033" s="20"/>
      <c r="C1033" s="20"/>
      <c r="D1033" s="24"/>
      <c r="E1033" s="9" t="str">
        <f aca="false">IF(OR(A1033="",B1033="",C1033=""),"",IF(D1033="O",0,SUMIFS(Postes!$P$5:$P$124,Postes!$A$5:$A$124,A1033,Postes!$B$5:$B$124,B1033)))</f>
        <v/>
      </c>
    </row>
    <row r="1034" customFormat="false" ht="15" hidden="false" customHeight="false" outlineLevel="0" collapsed="false">
      <c r="A1034" s="16"/>
      <c r="B1034" s="20"/>
      <c r="C1034" s="20"/>
      <c r="D1034" s="24"/>
      <c r="E1034" s="9" t="str">
        <f aca="false">IF(OR(A1034="",B1034="",C1034=""),"",IF(D1034="O",0,SUMIFS(Postes!$P$5:$P$124,Postes!$A$5:$A$124,A1034,Postes!$B$5:$B$124,B1034)))</f>
        <v/>
      </c>
    </row>
    <row r="1035" customFormat="false" ht="15" hidden="false" customHeight="false" outlineLevel="0" collapsed="false">
      <c r="A1035" s="16"/>
      <c r="B1035" s="20"/>
      <c r="C1035" s="20"/>
      <c r="D1035" s="24"/>
      <c r="E1035" s="9" t="str">
        <f aca="false">IF(OR(A1035="",B1035="",C1035=""),"",IF(D1035="O",0,SUMIFS(Postes!$P$5:$P$124,Postes!$A$5:$A$124,A1035,Postes!$B$5:$B$124,B1035)))</f>
        <v/>
      </c>
    </row>
    <row r="1036" customFormat="false" ht="15" hidden="false" customHeight="false" outlineLevel="0" collapsed="false">
      <c r="A1036" s="16"/>
      <c r="B1036" s="20"/>
      <c r="C1036" s="20"/>
      <c r="D1036" s="24"/>
      <c r="E1036" s="9" t="str">
        <f aca="false">IF(OR(A1036="",B1036="",C1036=""),"",IF(D1036="O",0,SUMIFS(Postes!$P$5:$P$124,Postes!$A$5:$A$124,A1036,Postes!$B$5:$B$124,B1036)))</f>
        <v/>
      </c>
    </row>
    <row r="1037" customFormat="false" ht="15" hidden="false" customHeight="false" outlineLevel="0" collapsed="false">
      <c r="A1037" s="16"/>
      <c r="B1037" s="20"/>
      <c r="C1037" s="20"/>
      <c r="D1037" s="24"/>
      <c r="E1037" s="9" t="str">
        <f aca="false">IF(OR(A1037="",B1037="",C1037=""),"",IF(D1037="O",0,SUMIFS(Postes!$P$5:$P$124,Postes!$A$5:$A$124,A1037,Postes!$B$5:$B$124,B1037)))</f>
        <v/>
      </c>
    </row>
    <row r="1038" customFormat="false" ht="15" hidden="false" customHeight="false" outlineLevel="0" collapsed="false">
      <c r="A1038" s="16"/>
      <c r="B1038" s="20"/>
      <c r="C1038" s="20"/>
      <c r="D1038" s="24"/>
      <c r="E1038" s="9" t="str">
        <f aca="false">IF(OR(A1038="",B1038="",C1038=""),"",IF(D1038="O",0,SUMIFS(Postes!$P$5:$P$124,Postes!$A$5:$A$124,A1038,Postes!$B$5:$B$124,B1038)))</f>
        <v/>
      </c>
    </row>
    <row r="1039" customFormat="false" ht="15" hidden="false" customHeight="false" outlineLevel="0" collapsed="false">
      <c r="A1039" s="16"/>
      <c r="B1039" s="20"/>
      <c r="C1039" s="20"/>
      <c r="D1039" s="24"/>
      <c r="E1039" s="9" t="str">
        <f aca="false">IF(OR(A1039="",B1039="",C1039=""),"",IF(D1039="O",0,SUMIFS(Postes!$P$5:$P$124,Postes!$A$5:$A$124,A1039,Postes!$B$5:$B$124,B1039)))</f>
        <v/>
      </c>
    </row>
    <row r="1040" customFormat="false" ht="15" hidden="false" customHeight="false" outlineLevel="0" collapsed="false">
      <c r="A1040" s="16"/>
      <c r="B1040" s="20"/>
      <c r="C1040" s="20"/>
      <c r="D1040" s="24"/>
      <c r="E1040" s="9" t="str">
        <f aca="false">IF(OR(A1040="",B1040="",C1040=""),"",IF(D1040="O",0,SUMIFS(Postes!$P$5:$P$124,Postes!$A$5:$A$124,A1040,Postes!$B$5:$B$124,B1040)))</f>
        <v/>
      </c>
    </row>
    <row r="1041" customFormat="false" ht="15" hidden="false" customHeight="false" outlineLevel="0" collapsed="false">
      <c r="A1041" s="16"/>
      <c r="B1041" s="20"/>
      <c r="C1041" s="20"/>
      <c r="D1041" s="24"/>
      <c r="E1041" s="9" t="str">
        <f aca="false">IF(OR(A1041="",B1041="",C1041=""),"",IF(D1041="O",0,SUMIFS(Postes!$P$5:$P$124,Postes!$A$5:$A$124,A1041,Postes!$B$5:$B$124,B1041)))</f>
        <v/>
      </c>
    </row>
    <row r="1042" customFormat="false" ht="15" hidden="false" customHeight="false" outlineLevel="0" collapsed="false">
      <c r="A1042" s="16"/>
      <c r="B1042" s="20"/>
      <c r="C1042" s="20"/>
      <c r="D1042" s="24"/>
      <c r="E1042" s="9" t="str">
        <f aca="false">IF(OR(A1042="",B1042="",C1042=""),"",IF(D1042="O",0,SUMIFS(Postes!$P$5:$P$124,Postes!$A$5:$A$124,A1042,Postes!$B$5:$B$124,B1042)))</f>
        <v/>
      </c>
    </row>
    <row r="1043" customFormat="false" ht="15" hidden="false" customHeight="false" outlineLevel="0" collapsed="false">
      <c r="A1043" s="16"/>
      <c r="B1043" s="20"/>
      <c r="C1043" s="20"/>
      <c r="D1043" s="24"/>
      <c r="E1043" s="9" t="str">
        <f aca="false">IF(OR(A1043="",B1043="",C1043=""),"",IF(D1043="O",0,SUMIFS(Postes!$P$5:$P$124,Postes!$A$5:$A$124,A1043,Postes!$B$5:$B$124,B1043)))</f>
        <v/>
      </c>
    </row>
    <row r="1044" customFormat="false" ht="15" hidden="false" customHeight="false" outlineLevel="0" collapsed="false">
      <c r="A1044" s="16"/>
      <c r="B1044" s="20"/>
      <c r="C1044" s="20"/>
      <c r="D1044" s="24"/>
      <c r="E1044" s="9" t="str">
        <f aca="false">IF(OR(A1044="",B1044="",C1044=""),"",IF(D1044="O",0,SUMIFS(Postes!$P$5:$P$124,Postes!$A$5:$A$124,A1044,Postes!$B$5:$B$124,B1044)))</f>
        <v/>
      </c>
    </row>
    <row r="1045" customFormat="false" ht="15" hidden="false" customHeight="false" outlineLevel="0" collapsed="false">
      <c r="A1045" s="16"/>
      <c r="B1045" s="20"/>
      <c r="C1045" s="20"/>
      <c r="D1045" s="24"/>
      <c r="E1045" s="9" t="str">
        <f aca="false">IF(OR(A1045="",B1045="",C1045=""),"",IF(D1045="O",0,SUMIFS(Postes!$P$5:$P$124,Postes!$A$5:$A$124,A1045,Postes!$B$5:$B$124,B1045)))</f>
        <v/>
      </c>
    </row>
    <row r="1046" customFormat="false" ht="15" hidden="false" customHeight="false" outlineLevel="0" collapsed="false">
      <c r="A1046" s="16"/>
      <c r="B1046" s="20"/>
      <c r="C1046" s="20"/>
      <c r="D1046" s="24"/>
      <c r="E1046" s="9" t="str">
        <f aca="false">IF(OR(A1046="",B1046="",C1046=""),"",IF(D1046="O",0,SUMIFS(Postes!$P$5:$P$124,Postes!$A$5:$A$124,A1046,Postes!$B$5:$B$124,B1046)))</f>
        <v/>
      </c>
    </row>
    <row r="1047" customFormat="false" ht="15" hidden="false" customHeight="false" outlineLevel="0" collapsed="false">
      <c r="A1047" s="16"/>
      <c r="B1047" s="20"/>
      <c r="C1047" s="20"/>
      <c r="D1047" s="24"/>
      <c r="E1047" s="9" t="str">
        <f aca="false">IF(OR(A1047="",B1047="",C1047=""),"",IF(D1047="O",0,SUMIFS(Postes!$P$5:$P$124,Postes!$A$5:$A$124,A1047,Postes!$B$5:$B$124,B1047)))</f>
        <v/>
      </c>
    </row>
    <row r="1048" customFormat="false" ht="15" hidden="false" customHeight="false" outlineLevel="0" collapsed="false">
      <c r="A1048" s="16"/>
      <c r="B1048" s="20"/>
      <c r="C1048" s="20"/>
      <c r="D1048" s="24"/>
      <c r="E1048" s="9" t="str">
        <f aca="false">IF(OR(A1048="",B1048="",C1048=""),"",IF(D1048="O",0,SUMIFS(Postes!$P$5:$P$124,Postes!$A$5:$A$124,A1048,Postes!$B$5:$B$124,B1048)))</f>
        <v/>
      </c>
    </row>
    <row r="1049" customFormat="false" ht="15" hidden="false" customHeight="false" outlineLevel="0" collapsed="false">
      <c r="A1049" s="16"/>
      <c r="B1049" s="20"/>
      <c r="C1049" s="20"/>
      <c r="D1049" s="24"/>
      <c r="E1049" s="9" t="str">
        <f aca="false">IF(OR(A1049="",B1049="",C1049=""),"",IF(D1049="O",0,SUMIFS(Postes!$P$5:$P$124,Postes!$A$5:$A$124,A1049,Postes!$B$5:$B$124,B1049)))</f>
        <v/>
      </c>
    </row>
    <row r="1050" customFormat="false" ht="15" hidden="false" customHeight="false" outlineLevel="0" collapsed="false">
      <c r="A1050" s="16"/>
      <c r="B1050" s="20"/>
      <c r="C1050" s="20"/>
      <c r="D1050" s="24"/>
      <c r="E1050" s="9" t="str">
        <f aca="false">IF(OR(A1050="",B1050="",C1050=""),"",IF(D1050="O",0,SUMIFS(Postes!$P$5:$P$124,Postes!$A$5:$A$124,A1050,Postes!$B$5:$B$124,B1050)))</f>
        <v/>
      </c>
    </row>
    <row r="1051" customFormat="false" ht="15" hidden="false" customHeight="false" outlineLevel="0" collapsed="false">
      <c r="A1051" s="16"/>
      <c r="B1051" s="20"/>
      <c r="C1051" s="20"/>
      <c r="D1051" s="24"/>
      <c r="E1051" s="9" t="str">
        <f aca="false">IF(OR(A1051="",B1051="",C1051=""),"",IF(D1051="O",0,SUMIFS(Postes!$P$5:$P$124,Postes!$A$5:$A$124,A1051,Postes!$B$5:$B$124,B1051)))</f>
        <v/>
      </c>
    </row>
    <row r="1052" customFormat="false" ht="15" hidden="false" customHeight="false" outlineLevel="0" collapsed="false">
      <c r="A1052" s="16"/>
      <c r="B1052" s="20"/>
      <c r="C1052" s="20"/>
      <c r="D1052" s="24"/>
      <c r="E1052" s="9" t="str">
        <f aca="false">IF(OR(A1052="",B1052="",C1052=""),"",IF(D1052="O",0,SUMIFS(Postes!$P$5:$P$124,Postes!$A$5:$A$124,A1052,Postes!$B$5:$B$124,B1052)))</f>
        <v/>
      </c>
    </row>
    <row r="1053" customFormat="false" ht="15" hidden="false" customHeight="false" outlineLevel="0" collapsed="false">
      <c r="A1053" s="16"/>
      <c r="B1053" s="20"/>
      <c r="C1053" s="20"/>
      <c r="D1053" s="24"/>
      <c r="E1053" s="9" t="str">
        <f aca="false">IF(OR(A1053="",B1053="",C1053=""),"",IF(D1053="O",0,SUMIFS(Postes!$P$5:$P$124,Postes!$A$5:$A$124,A1053,Postes!$B$5:$B$124,B1053)))</f>
        <v/>
      </c>
    </row>
    <row r="1054" customFormat="false" ht="15" hidden="false" customHeight="false" outlineLevel="0" collapsed="false">
      <c r="A1054" s="16"/>
      <c r="B1054" s="20"/>
      <c r="C1054" s="20"/>
      <c r="D1054" s="24"/>
      <c r="E1054" s="9" t="str">
        <f aca="false">IF(OR(A1054="",B1054="",C1054=""),"",IF(D1054="O",0,SUMIFS(Postes!$P$5:$P$124,Postes!$A$5:$A$124,A1054,Postes!$B$5:$B$124,B1054)))</f>
        <v/>
      </c>
    </row>
    <row r="1055" customFormat="false" ht="15" hidden="false" customHeight="false" outlineLevel="0" collapsed="false">
      <c r="A1055" s="16"/>
      <c r="B1055" s="20"/>
      <c r="C1055" s="20"/>
      <c r="D1055" s="24"/>
      <c r="E1055" s="9" t="str">
        <f aca="false">IF(OR(A1055="",B1055="",C1055=""),"",IF(D1055="O",0,SUMIFS(Postes!$P$5:$P$124,Postes!$A$5:$A$124,A1055,Postes!$B$5:$B$124,B1055)))</f>
        <v/>
      </c>
    </row>
    <row r="1056" customFormat="false" ht="15" hidden="false" customHeight="false" outlineLevel="0" collapsed="false">
      <c r="A1056" s="16"/>
      <c r="B1056" s="20"/>
      <c r="C1056" s="20"/>
      <c r="D1056" s="24"/>
      <c r="E1056" s="9" t="str">
        <f aca="false">IF(OR(A1056="",B1056="",C1056=""),"",IF(D1056="O",0,SUMIFS(Postes!$P$5:$P$124,Postes!$A$5:$A$124,A1056,Postes!$B$5:$B$124,B1056)))</f>
        <v/>
      </c>
    </row>
    <row r="1057" customFormat="false" ht="15" hidden="false" customHeight="false" outlineLevel="0" collapsed="false">
      <c r="A1057" s="16"/>
      <c r="B1057" s="20"/>
      <c r="C1057" s="20"/>
      <c r="D1057" s="24"/>
      <c r="E1057" s="9" t="str">
        <f aca="false">IF(OR(A1057="",B1057="",C1057=""),"",IF(D1057="O",0,SUMIFS(Postes!$P$5:$P$124,Postes!$A$5:$A$124,A1057,Postes!$B$5:$B$124,B1057)))</f>
        <v/>
      </c>
    </row>
    <row r="1058" customFormat="false" ht="15" hidden="false" customHeight="false" outlineLevel="0" collapsed="false">
      <c r="A1058" s="16"/>
      <c r="B1058" s="20"/>
      <c r="C1058" s="20"/>
      <c r="D1058" s="24"/>
      <c r="E1058" s="9" t="str">
        <f aca="false">IF(OR(A1058="",B1058="",C1058=""),"",IF(D1058="O",0,SUMIFS(Postes!$P$5:$P$124,Postes!$A$5:$A$124,A1058,Postes!$B$5:$B$124,B1058)))</f>
        <v/>
      </c>
    </row>
    <row r="1059" customFormat="false" ht="15" hidden="false" customHeight="false" outlineLevel="0" collapsed="false">
      <c r="A1059" s="16"/>
      <c r="B1059" s="20"/>
      <c r="C1059" s="20"/>
      <c r="D1059" s="24"/>
      <c r="E1059" s="9" t="str">
        <f aca="false">IF(OR(A1059="",B1059="",C1059=""),"",IF(D1059="O",0,SUMIFS(Postes!$P$5:$P$124,Postes!$A$5:$A$124,A1059,Postes!$B$5:$B$124,B1059)))</f>
        <v/>
      </c>
    </row>
    <row r="1060" customFormat="false" ht="15" hidden="false" customHeight="false" outlineLevel="0" collapsed="false">
      <c r="A1060" s="16"/>
      <c r="B1060" s="20"/>
      <c r="C1060" s="20"/>
      <c r="D1060" s="24"/>
      <c r="E1060" s="9" t="str">
        <f aca="false">IF(OR(A1060="",B1060="",C1060=""),"",IF(D1060="O",0,SUMIFS(Postes!$P$5:$P$124,Postes!$A$5:$A$124,A1060,Postes!$B$5:$B$124,B1060)))</f>
        <v/>
      </c>
    </row>
    <row r="1061" customFormat="false" ht="15" hidden="false" customHeight="false" outlineLevel="0" collapsed="false">
      <c r="A1061" s="16"/>
      <c r="B1061" s="20"/>
      <c r="C1061" s="20"/>
      <c r="D1061" s="24"/>
      <c r="E1061" s="9" t="str">
        <f aca="false">IF(OR(A1061="",B1061="",C1061=""),"",IF(D1061="O",0,SUMIFS(Postes!$P$5:$P$124,Postes!$A$5:$A$124,A1061,Postes!$B$5:$B$124,B1061)))</f>
        <v/>
      </c>
    </row>
    <row r="1062" customFormat="false" ht="15" hidden="false" customHeight="false" outlineLevel="0" collapsed="false">
      <c r="A1062" s="16"/>
      <c r="B1062" s="20"/>
      <c r="C1062" s="20"/>
      <c r="D1062" s="24"/>
      <c r="E1062" s="9" t="str">
        <f aca="false">IF(OR(A1062="",B1062="",C1062=""),"",IF(D1062="O",0,SUMIFS(Postes!$P$5:$P$124,Postes!$A$5:$A$124,A1062,Postes!$B$5:$B$124,B1062)))</f>
        <v/>
      </c>
    </row>
    <row r="1063" customFormat="false" ht="15" hidden="false" customHeight="false" outlineLevel="0" collapsed="false">
      <c r="A1063" s="16"/>
      <c r="B1063" s="20"/>
      <c r="C1063" s="20"/>
      <c r="D1063" s="24"/>
      <c r="E1063" s="9" t="str">
        <f aca="false">IF(OR(A1063="",B1063="",C1063=""),"",IF(D1063="O",0,SUMIFS(Postes!$P$5:$P$124,Postes!$A$5:$A$124,A1063,Postes!$B$5:$B$124,B1063)))</f>
        <v/>
      </c>
    </row>
    <row r="1064" customFormat="false" ht="15" hidden="false" customHeight="false" outlineLevel="0" collapsed="false">
      <c r="A1064" s="16"/>
      <c r="B1064" s="20"/>
      <c r="C1064" s="20"/>
      <c r="D1064" s="24"/>
      <c r="E1064" s="9" t="str">
        <f aca="false">IF(OR(A1064="",B1064="",C1064=""),"",IF(D1064="O",0,SUMIFS(Postes!$P$5:$P$124,Postes!$A$5:$A$124,A1064,Postes!$B$5:$B$124,B1064)))</f>
        <v/>
      </c>
    </row>
    <row r="1065" customFormat="false" ht="15" hidden="false" customHeight="false" outlineLevel="0" collapsed="false">
      <c r="A1065" s="16"/>
      <c r="B1065" s="20"/>
      <c r="C1065" s="20"/>
      <c r="D1065" s="24"/>
      <c r="E1065" s="9" t="str">
        <f aca="false">IF(OR(A1065="",B1065="",C1065=""),"",IF(D1065="O",0,SUMIFS(Postes!$P$5:$P$124,Postes!$A$5:$A$124,A1065,Postes!$B$5:$B$124,B1065)))</f>
        <v/>
      </c>
    </row>
    <row r="1066" customFormat="false" ht="15" hidden="false" customHeight="false" outlineLevel="0" collapsed="false">
      <c r="A1066" s="16"/>
      <c r="B1066" s="20"/>
      <c r="C1066" s="20"/>
      <c r="D1066" s="24"/>
      <c r="E1066" s="9" t="str">
        <f aca="false">IF(OR(A1066="",B1066="",C1066=""),"",IF(D1066="O",0,SUMIFS(Postes!$P$5:$P$124,Postes!$A$5:$A$124,A1066,Postes!$B$5:$B$124,B1066)))</f>
        <v/>
      </c>
    </row>
    <row r="1067" customFormat="false" ht="15" hidden="false" customHeight="false" outlineLevel="0" collapsed="false">
      <c r="A1067" s="16"/>
      <c r="B1067" s="20"/>
      <c r="C1067" s="20"/>
      <c r="D1067" s="24"/>
      <c r="E1067" s="9" t="str">
        <f aca="false">IF(OR(A1067="",B1067="",C1067=""),"",IF(D1067="O",0,SUMIFS(Postes!$P$5:$P$124,Postes!$A$5:$A$124,A1067,Postes!$B$5:$B$124,B1067)))</f>
        <v/>
      </c>
    </row>
    <row r="1068" customFormat="false" ht="15" hidden="false" customHeight="false" outlineLevel="0" collapsed="false">
      <c r="A1068" s="16"/>
      <c r="B1068" s="20"/>
      <c r="C1068" s="20"/>
      <c r="D1068" s="24"/>
      <c r="E1068" s="9" t="str">
        <f aca="false">IF(OR(A1068="",B1068="",C1068=""),"",IF(D1068="O",0,SUMIFS(Postes!$P$5:$P$124,Postes!$A$5:$A$124,A1068,Postes!$B$5:$B$124,B1068)))</f>
        <v/>
      </c>
    </row>
    <row r="1069" customFormat="false" ht="15" hidden="false" customHeight="false" outlineLevel="0" collapsed="false">
      <c r="A1069" s="16"/>
      <c r="B1069" s="20"/>
      <c r="C1069" s="20"/>
      <c r="D1069" s="24"/>
      <c r="E1069" s="9" t="str">
        <f aca="false">IF(OR(A1069="",B1069="",C1069=""),"",IF(D1069="O",0,SUMIFS(Postes!$P$5:$P$124,Postes!$A$5:$A$124,A1069,Postes!$B$5:$B$124,B1069)))</f>
        <v/>
      </c>
    </row>
    <row r="1070" customFormat="false" ht="15" hidden="false" customHeight="false" outlineLevel="0" collapsed="false">
      <c r="A1070" s="16"/>
      <c r="B1070" s="20"/>
      <c r="C1070" s="20"/>
      <c r="D1070" s="24"/>
      <c r="E1070" s="9" t="str">
        <f aca="false">IF(OR(A1070="",B1070="",C1070=""),"",IF(D1070="O",0,SUMIFS(Postes!$P$5:$P$124,Postes!$A$5:$A$124,A1070,Postes!$B$5:$B$124,B1070)))</f>
        <v/>
      </c>
    </row>
    <row r="1071" customFormat="false" ht="15" hidden="false" customHeight="false" outlineLevel="0" collapsed="false">
      <c r="A1071" s="16"/>
      <c r="B1071" s="20"/>
      <c r="C1071" s="20"/>
      <c r="D1071" s="24"/>
      <c r="E1071" s="9" t="str">
        <f aca="false">IF(OR(A1071="",B1071="",C1071=""),"",IF(D1071="O",0,SUMIFS(Postes!$P$5:$P$124,Postes!$A$5:$A$124,A1071,Postes!$B$5:$B$124,B1071)))</f>
        <v/>
      </c>
    </row>
    <row r="1072" customFormat="false" ht="15" hidden="false" customHeight="false" outlineLevel="0" collapsed="false">
      <c r="A1072" s="16"/>
      <c r="B1072" s="20"/>
      <c r="C1072" s="20"/>
      <c r="D1072" s="24"/>
      <c r="E1072" s="9" t="str">
        <f aca="false">IF(OR(A1072="",B1072="",C1072=""),"",IF(D1072="O",0,SUMIFS(Postes!$P$5:$P$124,Postes!$A$5:$A$124,A1072,Postes!$B$5:$B$124,B1072)))</f>
        <v/>
      </c>
    </row>
    <row r="1073" customFormat="false" ht="15" hidden="false" customHeight="false" outlineLevel="0" collapsed="false">
      <c r="A1073" s="16"/>
      <c r="B1073" s="20"/>
      <c r="C1073" s="20"/>
      <c r="D1073" s="24"/>
      <c r="E1073" s="9" t="str">
        <f aca="false">IF(OR(A1073="",B1073="",C1073=""),"",IF(D1073="O",0,SUMIFS(Postes!$P$5:$P$124,Postes!$A$5:$A$124,A1073,Postes!$B$5:$B$124,B1073)))</f>
        <v/>
      </c>
    </row>
    <row r="1074" customFormat="false" ht="15" hidden="false" customHeight="false" outlineLevel="0" collapsed="false">
      <c r="A1074" s="16"/>
      <c r="B1074" s="20"/>
      <c r="C1074" s="20"/>
      <c r="D1074" s="24"/>
      <c r="E1074" s="9" t="str">
        <f aca="false">IF(OR(A1074="",B1074="",C1074=""),"",IF(D1074="O",0,SUMIFS(Postes!$P$5:$P$124,Postes!$A$5:$A$124,A1074,Postes!$B$5:$B$124,B1074)))</f>
        <v/>
      </c>
    </row>
    <row r="1075" customFormat="false" ht="15" hidden="false" customHeight="false" outlineLevel="0" collapsed="false">
      <c r="A1075" s="16"/>
      <c r="B1075" s="20"/>
      <c r="C1075" s="20"/>
      <c r="D1075" s="24"/>
      <c r="E1075" s="9" t="str">
        <f aca="false">IF(OR(A1075="",B1075="",C1075=""),"",IF(D1075="O",0,SUMIFS(Postes!$P$5:$P$124,Postes!$A$5:$A$124,A1075,Postes!$B$5:$B$124,B1075)))</f>
        <v/>
      </c>
    </row>
    <row r="1076" customFormat="false" ht="15" hidden="false" customHeight="false" outlineLevel="0" collapsed="false">
      <c r="A1076" s="16"/>
      <c r="B1076" s="20"/>
      <c r="C1076" s="20"/>
      <c r="D1076" s="24"/>
      <c r="E1076" s="9" t="str">
        <f aca="false">IF(OR(A1076="",B1076="",C1076=""),"",IF(D1076="O",0,SUMIFS(Postes!$P$5:$P$124,Postes!$A$5:$A$124,A1076,Postes!$B$5:$B$124,B1076)))</f>
        <v/>
      </c>
    </row>
    <row r="1077" customFormat="false" ht="15" hidden="false" customHeight="false" outlineLevel="0" collapsed="false">
      <c r="A1077" s="16"/>
      <c r="B1077" s="20"/>
      <c r="C1077" s="20"/>
      <c r="D1077" s="24"/>
      <c r="E1077" s="9" t="str">
        <f aca="false">IF(OR(A1077="",B1077="",C1077=""),"",IF(D1077="O",0,SUMIFS(Postes!$P$5:$P$124,Postes!$A$5:$A$124,A1077,Postes!$B$5:$B$124,B1077)))</f>
        <v/>
      </c>
    </row>
    <row r="1078" customFormat="false" ht="15" hidden="false" customHeight="false" outlineLevel="0" collapsed="false">
      <c r="A1078" s="16"/>
      <c r="B1078" s="20"/>
      <c r="C1078" s="20"/>
      <c r="D1078" s="24"/>
      <c r="E1078" s="9" t="str">
        <f aca="false">IF(OR(A1078="",B1078="",C1078=""),"",IF(D1078="O",0,SUMIFS(Postes!$P$5:$P$124,Postes!$A$5:$A$124,A1078,Postes!$B$5:$B$124,B1078)))</f>
        <v/>
      </c>
    </row>
    <row r="1079" customFormat="false" ht="15" hidden="false" customHeight="false" outlineLevel="0" collapsed="false">
      <c r="A1079" s="16"/>
      <c r="B1079" s="20"/>
      <c r="C1079" s="20"/>
      <c r="D1079" s="24"/>
      <c r="E1079" s="9" t="str">
        <f aca="false">IF(OR(A1079="",B1079="",C1079=""),"",IF(D1079="O",0,SUMIFS(Postes!$P$5:$P$124,Postes!$A$5:$A$124,A1079,Postes!$B$5:$B$124,B1079)))</f>
        <v/>
      </c>
    </row>
    <row r="1080" customFormat="false" ht="15" hidden="false" customHeight="false" outlineLevel="0" collapsed="false">
      <c r="A1080" s="16"/>
      <c r="B1080" s="20"/>
      <c r="C1080" s="20"/>
      <c r="D1080" s="24"/>
      <c r="E1080" s="9" t="str">
        <f aca="false">IF(OR(A1080="",B1080="",C1080=""),"",IF(D1080="O",0,SUMIFS(Postes!$P$5:$P$124,Postes!$A$5:$A$124,A1080,Postes!$B$5:$B$124,B1080)))</f>
        <v/>
      </c>
    </row>
    <row r="1081" customFormat="false" ht="15" hidden="false" customHeight="false" outlineLevel="0" collapsed="false">
      <c r="A1081" s="16"/>
      <c r="B1081" s="20"/>
      <c r="C1081" s="20"/>
      <c r="D1081" s="24"/>
      <c r="E1081" s="9" t="str">
        <f aca="false">IF(OR(A1081="",B1081="",C1081=""),"",IF(D1081="O",0,SUMIFS(Postes!$P$5:$P$124,Postes!$A$5:$A$124,A1081,Postes!$B$5:$B$124,B1081)))</f>
        <v/>
      </c>
    </row>
    <row r="1082" customFormat="false" ht="15" hidden="false" customHeight="false" outlineLevel="0" collapsed="false">
      <c r="A1082" s="16"/>
      <c r="B1082" s="20"/>
      <c r="C1082" s="20"/>
      <c r="D1082" s="24"/>
      <c r="E1082" s="9" t="str">
        <f aca="false">IF(OR(A1082="",B1082="",C1082=""),"",IF(D1082="O",0,SUMIFS(Postes!$P$5:$P$124,Postes!$A$5:$A$124,A1082,Postes!$B$5:$B$124,B1082)))</f>
        <v/>
      </c>
    </row>
    <row r="1083" customFormat="false" ht="15" hidden="false" customHeight="false" outlineLevel="0" collapsed="false">
      <c r="A1083" s="16"/>
      <c r="B1083" s="20"/>
      <c r="C1083" s="20"/>
      <c r="D1083" s="24"/>
      <c r="E1083" s="9" t="str">
        <f aca="false">IF(OR(A1083="",B1083="",C1083=""),"",IF(D1083="O",0,SUMIFS(Postes!$P$5:$P$124,Postes!$A$5:$A$124,A1083,Postes!$B$5:$B$124,B1083)))</f>
        <v/>
      </c>
    </row>
    <row r="1084" customFormat="false" ht="15" hidden="false" customHeight="false" outlineLevel="0" collapsed="false">
      <c r="A1084" s="16"/>
      <c r="B1084" s="20"/>
      <c r="C1084" s="20"/>
      <c r="D1084" s="24"/>
      <c r="E1084" s="9" t="str">
        <f aca="false">IF(OR(A1084="",B1084="",C1084=""),"",IF(D1084="O",0,SUMIFS(Postes!$P$5:$P$124,Postes!$A$5:$A$124,A1084,Postes!$B$5:$B$124,B1084)))</f>
        <v/>
      </c>
    </row>
    <row r="1085" customFormat="false" ht="15" hidden="false" customHeight="false" outlineLevel="0" collapsed="false">
      <c r="A1085" s="16"/>
      <c r="B1085" s="20"/>
      <c r="C1085" s="20"/>
      <c r="D1085" s="24"/>
      <c r="E1085" s="9" t="str">
        <f aca="false">IF(OR(A1085="",B1085="",C1085=""),"",IF(D1085="O",0,SUMIFS(Postes!$P$5:$P$124,Postes!$A$5:$A$124,A1085,Postes!$B$5:$B$124,B1085)))</f>
        <v/>
      </c>
    </row>
    <row r="1086" customFormat="false" ht="15" hidden="false" customHeight="false" outlineLevel="0" collapsed="false">
      <c r="A1086" s="16"/>
      <c r="B1086" s="20"/>
      <c r="C1086" s="20"/>
      <c r="D1086" s="24"/>
      <c r="E1086" s="9" t="str">
        <f aca="false">IF(OR(A1086="",B1086="",C1086=""),"",IF(D1086="O",0,SUMIFS(Postes!$P$5:$P$124,Postes!$A$5:$A$124,A1086,Postes!$B$5:$B$124,B1086)))</f>
        <v/>
      </c>
    </row>
    <row r="1087" customFormat="false" ht="15" hidden="false" customHeight="false" outlineLevel="0" collapsed="false">
      <c r="A1087" s="16"/>
      <c r="B1087" s="20"/>
      <c r="C1087" s="20"/>
      <c r="D1087" s="24"/>
      <c r="E1087" s="9" t="str">
        <f aca="false">IF(OR(A1087="",B1087="",C1087=""),"",IF(D1087="O",0,SUMIFS(Postes!$P$5:$P$124,Postes!$A$5:$A$124,A1087,Postes!$B$5:$B$124,B1087)))</f>
        <v/>
      </c>
    </row>
    <row r="1088" customFormat="false" ht="15" hidden="false" customHeight="false" outlineLevel="0" collapsed="false">
      <c r="A1088" s="16"/>
      <c r="B1088" s="20"/>
      <c r="C1088" s="20"/>
      <c r="D1088" s="24"/>
      <c r="E1088" s="9" t="str">
        <f aca="false">IF(OR(A1088="",B1088="",C1088=""),"",IF(D1088="O",0,SUMIFS(Postes!$P$5:$P$124,Postes!$A$5:$A$124,A1088,Postes!$B$5:$B$124,B1088)))</f>
        <v/>
      </c>
    </row>
    <row r="1089" customFormat="false" ht="15" hidden="false" customHeight="false" outlineLevel="0" collapsed="false">
      <c r="A1089" s="16"/>
      <c r="B1089" s="20"/>
      <c r="C1089" s="20"/>
      <c r="D1089" s="24"/>
      <c r="E1089" s="9" t="str">
        <f aca="false">IF(OR(A1089="",B1089="",C1089=""),"",IF(D1089="O",0,SUMIFS(Postes!$P$5:$P$124,Postes!$A$5:$A$124,A1089,Postes!$B$5:$B$124,B1089)))</f>
        <v/>
      </c>
    </row>
    <row r="1090" customFormat="false" ht="15" hidden="false" customHeight="false" outlineLevel="0" collapsed="false">
      <c r="A1090" s="16"/>
      <c r="B1090" s="20"/>
      <c r="C1090" s="20"/>
      <c r="D1090" s="24"/>
      <c r="E1090" s="9" t="str">
        <f aca="false">IF(OR(A1090="",B1090="",C1090=""),"",IF(D1090="O",0,SUMIFS(Postes!$P$5:$P$124,Postes!$A$5:$A$124,A1090,Postes!$B$5:$B$124,B1090)))</f>
        <v/>
      </c>
    </row>
    <row r="1091" customFormat="false" ht="15" hidden="false" customHeight="false" outlineLevel="0" collapsed="false">
      <c r="A1091" s="16"/>
      <c r="B1091" s="20"/>
      <c r="C1091" s="20"/>
      <c r="D1091" s="24"/>
      <c r="E1091" s="9" t="str">
        <f aca="false">IF(OR(A1091="",B1091="",C1091=""),"",IF(D1091="O",0,SUMIFS(Postes!$P$5:$P$124,Postes!$A$5:$A$124,A1091,Postes!$B$5:$B$124,B1091)))</f>
        <v/>
      </c>
    </row>
    <row r="1092" customFormat="false" ht="15" hidden="false" customHeight="false" outlineLevel="0" collapsed="false">
      <c r="A1092" s="16"/>
      <c r="B1092" s="20"/>
      <c r="C1092" s="20"/>
      <c r="D1092" s="24"/>
      <c r="E1092" s="9" t="str">
        <f aca="false">IF(OR(A1092="",B1092="",C1092=""),"",IF(D1092="O",0,SUMIFS(Postes!$P$5:$P$124,Postes!$A$5:$A$124,A1092,Postes!$B$5:$B$124,B1092)))</f>
        <v/>
      </c>
    </row>
    <row r="1093" customFormat="false" ht="15" hidden="false" customHeight="false" outlineLevel="0" collapsed="false">
      <c r="A1093" s="16"/>
      <c r="B1093" s="20"/>
      <c r="C1093" s="20"/>
      <c r="D1093" s="24"/>
      <c r="E1093" s="9" t="str">
        <f aca="false">IF(OR(A1093="",B1093="",C1093=""),"",IF(D1093="O",0,SUMIFS(Postes!$P$5:$P$124,Postes!$A$5:$A$124,A1093,Postes!$B$5:$B$124,B1093)))</f>
        <v/>
      </c>
    </row>
    <row r="1094" customFormat="false" ht="15" hidden="false" customHeight="false" outlineLevel="0" collapsed="false">
      <c r="A1094" s="16"/>
      <c r="B1094" s="20"/>
      <c r="C1094" s="20"/>
      <c r="D1094" s="24"/>
      <c r="E1094" s="9" t="str">
        <f aca="false">IF(OR(A1094="",B1094="",C1094=""),"",IF(D1094="O",0,SUMIFS(Postes!$P$5:$P$124,Postes!$A$5:$A$124,A1094,Postes!$B$5:$B$124,B1094)))</f>
        <v/>
      </c>
    </row>
    <row r="1095" customFormat="false" ht="15" hidden="false" customHeight="false" outlineLevel="0" collapsed="false">
      <c r="A1095" s="16"/>
      <c r="B1095" s="20"/>
      <c r="C1095" s="20"/>
      <c r="D1095" s="24"/>
      <c r="E1095" s="9" t="str">
        <f aca="false">IF(OR(A1095="",B1095="",C1095=""),"",IF(D1095="O",0,SUMIFS(Postes!$P$5:$P$124,Postes!$A$5:$A$124,A1095,Postes!$B$5:$B$124,B1095)))</f>
        <v/>
      </c>
    </row>
    <row r="1096" customFormat="false" ht="15" hidden="false" customHeight="false" outlineLevel="0" collapsed="false">
      <c r="A1096" s="16"/>
      <c r="B1096" s="20"/>
      <c r="C1096" s="20"/>
      <c r="D1096" s="24"/>
      <c r="E1096" s="9" t="str">
        <f aca="false">IF(OR(A1096="",B1096="",C1096=""),"",IF(D1096="O",0,SUMIFS(Postes!$P$5:$P$124,Postes!$A$5:$A$124,A1096,Postes!$B$5:$B$124,B1096)))</f>
        <v/>
      </c>
    </row>
    <row r="1097" customFormat="false" ht="15" hidden="false" customHeight="false" outlineLevel="0" collapsed="false">
      <c r="A1097" s="16"/>
      <c r="B1097" s="20"/>
      <c r="C1097" s="20"/>
      <c r="D1097" s="24"/>
      <c r="E1097" s="9" t="str">
        <f aca="false">IF(OR(A1097="",B1097="",C1097=""),"",IF(D1097="O",0,SUMIFS(Postes!$P$5:$P$124,Postes!$A$5:$A$124,A1097,Postes!$B$5:$B$124,B1097)))</f>
        <v/>
      </c>
    </row>
    <row r="1098" customFormat="false" ht="15" hidden="false" customHeight="false" outlineLevel="0" collapsed="false">
      <c r="A1098" s="16"/>
      <c r="B1098" s="20"/>
      <c r="C1098" s="20"/>
      <c r="D1098" s="24"/>
      <c r="E1098" s="9" t="str">
        <f aca="false">IF(OR(A1098="",B1098="",C1098=""),"",IF(D1098="O",0,SUMIFS(Postes!$P$5:$P$124,Postes!$A$5:$A$124,A1098,Postes!$B$5:$B$124,B1098)))</f>
        <v/>
      </c>
    </row>
    <row r="1099" customFormat="false" ht="15" hidden="false" customHeight="false" outlineLevel="0" collapsed="false">
      <c r="A1099" s="16"/>
      <c r="B1099" s="20"/>
      <c r="C1099" s="20"/>
      <c r="D1099" s="24"/>
      <c r="E1099" s="9" t="str">
        <f aca="false">IF(OR(A1099="",B1099="",C1099=""),"",IF(D1099="O",0,SUMIFS(Postes!$P$5:$P$124,Postes!$A$5:$A$124,A1099,Postes!$B$5:$B$124,B1099)))</f>
        <v/>
      </c>
    </row>
    <row r="1100" customFormat="false" ht="15" hidden="false" customHeight="false" outlineLevel="0" collapsed="false">
      <c r="A1100" s="16"/>
      <c r="B1100" s="20"/>
      <c r="C1100" s="20"/>
      <c r="D1100" s="24"/>
      <c r="E1100" s="9" t="str">
        <f aca="false">IF(OR(A1100="",B1100="",C1100=""),"",IF(D1100="O",0,SUMIFS(Postes!$P$5:$P$124,Postes!$A$5:$A$124,A1100,Postes!$B$5:$B$124,B1100)))</f>
        <v/>
      </c>
    </row>
    <row r="1101" customFormat="false" ht="15" hidden="false" customHeight="false" outlineLevel="0" collapsed="false">
      <c r="A1101" s="16"/>
      <c r="B1101" s="20"/>
      <c r="C1101" s="20"/>
      <c r="D1101" s="24"/>
      <c r="E1101" s="9" t="str">
        <f aca="false">IF(OR(A1101="",B1101="",C1101=""),"",IF(D1101="O",0,SUMIFS(Postes!$P$5:$P$124,Postes!$A$5:$A$124,A1101,Postes!$B$5:$B$124,B1101)))</f>
        <v/>
      </c>
    </row>
    <row r="1102" customFormat="false" ht="15" hidden="false" customHeight="false" outlineLevel="0" collapsed="false">
      <c r="A1102" s="16"/>
      <c r="B1102" s="20"/>
      <c r="C1102" s="20"/>
      <c r="D1102" s="24"/>
      <c r="E1102" s="9" t="str">
        <f aca="false">IF(OR(A1102="",B1102="",C1102=""),"",IF(D1102="O",0,SUMIFS(Postes!$P$5:$P$124,Postes!$A$5:$A$124,A1102,Postes!$B$5:$B$124,B1102)))</f>
        <v/>
      </c>
    </row>
    <row r="1103" customFormat="false" ht="15" hidden="false" customHeight="false" outlineLevel="0" collapsed="false">
      <c r="A1103" s="16"/>
      <c r="B1103" s="20"/>
      <c r="C1103" s="20"/>
      <c r="D1103" s="24"/>
      <c r="E1103" s="9" t="str">
        <f aca="false">IF(OR(A1103="",B1103="",C1103=""),"",IF(D1103="O",0,SUMIFS(Postes!$P$5:$P$124,Postes!$A$5:$A$124,A1103,Postes!$B$5:$B$124,B1103)))</f>
        <v/>
      </c>
    </row>
    <row r="1104" customFormat="false" ht="15" hidden="false" customHeight="false" outlineLevel="0" collapsed="false">
      <c r="A1104" s="16"/>
      <c r="B1104" s="20"/>
      <c r="C1104" s="20"/>
      <c r="D1104" s="24"/>
      <c r="E1104" s="9" t="str">
        <f aca="false">IF(OR(A1104="",B1104="",C1104=""),"",IF(D1104="O",0,SUMIFS(Postes!$P$5:$P$124,Postes!$A$5:$A$124,A1104,Postes!$B$5:$B$124,B1104)))</f>
        <v/>
      </c>
    </row>
    <row r="1105" customFormat="false" ht="15" hidden="false" customHeight="false" outlineLevel="0" collapsed="false">
      <c r="A1105" s="16"/>
      <c r="B1105" s="20"/>
      <c r="C1105" s="20"/>
      <c r="D1105" s="24"/>
      <c r="E1105" s="9" t="str">
        <f aca="false">IF(OR(A1105="",B1105="",C1105=""),"",IF(D1105="O",0,SUMIFS(Postes!$P$5:$P$124,Postes!$A$5:$A$124,A1105,Postes!$B$5:$B$124,B1105)))</f>
        <v/>
      </c>
    </row>
    <row r="1106" customFormat="false" ht="15" hidden="false" customHeight="false" outlineLevel="0" collapsed="false">
      <c r="A1106" s="16"/>
      <c r="B1106" s="20"/>
      <c r="C1106" s="20"/>
      <c r="D1106" s="24"/>
      <c r="E1106" s="9" t="str">
        <f aca="false">IF(OR(A1106="",B1106="",C1106=""),"",IF(D1106="O",0,SUMIFS(Postes!$P$5:$P$124,Postes!$A$5:$A$124,A1106,Postes!$B$5:$B$124,B1106)))</f>
        <v/>
      </c>
    </row>
    <row r="1107" customFormat="false" ht="15" hidden="false" customHeight="false" outlineLevel="0" collapsed="false">
      <c r="A1107" s="16"/>
      <c r="B1107" s="20"/>
      <c r="C1107" s="20"/>
      <c r="D1107" s="24"/>
      <c r="E1107" s="9" t="str">
        <f aca="false">IF(OR(A1107="",B1107="",C1107=""),"",IF(D1107="O",0,SUMIFS(Postes!$P$5:$P$124,Postes!$A$5:$A$124,A1107,Postes!$B$5:$B$124,B1107)))</f>
        <v/>
      </c>
    </row>
    <row r="1108" customFormat="false" ht="15" hidden="false" customHeight="false" outlineLevel="0" collapsed="false">
      <c r="A1108" s="16"/>
      <c r="B1108" s="20"/>
      <c r="C1108" s="20"/>
      <c r="D1108" s="24"/>
      <c r="E1108" s="9" t="str">
        <f aca="false">IF(OR(A1108="",B1108="",C1108=""),"",IF(D1108="O",0,SUMIFS(Postes!$P$5:$P$124,Postes!$A$5:$A$124,A1108,Postes!$B$5:$B$124,B1108)))</f>
        <v/>
      </c>
    </row>
    <row r="1109" customFormat="false" ht="15" hidden="false" customHeight="false" outlineLevel="0" collapsed="false">
      <c r="A1109" s="16"/>
      <c r="B1109" s="20"/>
      <c r="C1109" s="20"/>
      <c r="D1109" s="24"/>
      <c r="E1109" s="9" t="str">
        <f aca="false">IF(OR(A1109="",B1109="",C1109=""),"",IF(D1109="O",0,SUMIFS(Postes!$P$5:$P$124,Postes!$A$5:$A$124,A1109,Postes!$B$5:$B$124,B1109)))</f>
        <v/>
      </c>
    </row>
    <row r="1110" customFormat="false" ht="15" hidden="false" customHeight="false" outlineLevel="0" collapsed="false">
      <c r="A1110" s="16"/>
      <c r="B1110" s="20"/>
      <c r="C1110" s="20"/>
      <c r="D1110" s="24"/>
      <c r="E1110" s="9" t="str">
        <f aca="false">IF(OR(A1110="",B1110="",C1110=""),"",IF(D1110="O",0,SUMIFS(Postes!$P$5:$P$124,Postes!$A$5:$A$124,A1110,Postes!$B$5:$B$124,B1110)))</f>
        <v/>
      </c>
    </row>
    <row r="1111" customFormat="false" ht="15" hidden="false" customHeight="false" outlineLevel="0" collapsed="false">
      <c r="A1111" s="16"/>
      <c r="B1111" s="20"/>
      <c r="C1111" s="20"/>
      <c r="D1111" s="24"/>
      <c r="E1111" s="9" t="str">
        <f aca="false">IF(OR(A1111="",B1111="",C1111=""),"",IF(D1111="O",0,SUMIFS(Postes!$P$5:$P$124,Postes!$A$5:$A$124,A1111,Postes!$B$5:$B$124,B1111)))</f>
        <v/>
      </c>
    </row>
    <row r="1112" customFormat="false" ht="15" hidden="false" customHeight="false" outlineLevel="0" collapsed="false">
      <c r="A1112" s="16"/>
      <c r="B1112" s="20"/>
      <c r="C1112" s="20"/>
      <c r="D1112" s="24"/>
      <c r="E1112" s="9" t="str">
        <f aca="false">IF(OR(A1112="",B1112="",C1112=""),"",IF(D1112="O",0,SUMIFS(Postes!$P$5:$P$124,Postes!$A$5:$A$124,A1112,Postes!$B$5:$B$124,B1112)))</f>
        <v/>
      </c>
    </row>
    <row r="1113" customFormat="false" ht="15" hidden="false" customHeight="false" outlineLevel="0" collapsed="false">
      <c r="A1113" s="16"/>
      <c r="B1113" s="20"/>
      <c r="C1113" s="20"/>
      <c r="D1113" s="24"/>
      <c r="E1113" s="9" t="str">
        <f aca="false">IF(OR(A1113="",B1113="",C1113=""),"",IF(D1113="O",0,SUMIFS(Postes!$P$5:$P$124,Postes!$A$5:$A$124,A1113,Postes!$B$5:$B$124,B1113)))</f>
        <v/>
      </c>
    </row>
    <row r="1114" customFormat="false" ht="15" hidden="false" customHeight="false" outlineLevel="0" collapsed="false">
      <c r="A1114" s="16"/>
      <c r="B1114" s="20"/>
      <c r="C1114" s="20"/>
      <c r="D1114" s="24"/>
      <c r="E1114" s="9" t="str">
        <f aca="false">IF(OR(A1114="",B1114="",C1114=""),"",IF(D1114="O",0,SUMIFS(Postes!$P$5:$P$124,Postes!$A$5:$A$124,A1114,Postes!$B$5:$B$124,B1114)))</f>
        <v/>
      </c>
    </row>
    <row r="1115" customFormat="false" ht="15" hidden="false" customHeight="false" outlineLevel="0" collapsed="false">
      <c r="A1115" s="16"/>
      <c r="B1115" s="20"/>
      <c r="C1115" s="20"/>
      <c r="D1115" s="24"/>
      <c r="E1115" s="9" t="str">
        <f aca="false">IF(OR(A1115="",B1115="",C1115=""),"",IF(D1115="O",0,SUMIFS(Postes!$P$5:$P$124,Postes!$A$5:$A$124,A1115,Postes!$B$5:$B$124,B1115)))</f>
        <v/>
      </c>
    </row>
    <row r="1116" customFormat="false" ht="15" hidden="false" customHeight="false" outlineLevel="0" collapsed="false">
      <c r="A1116" s="16"/>
      <c r="B1116" s="20"/>
      <c r="C1116" s="20"/>
      <c r="D1116" s="24"/>
      <c r="E1116" s="9" t="str">
        <f aca="false">IF(OR(A1116="",B1116="",C1116=""),"",IF(D1116="O",0,SUMIFS(Postes!$P$5:$P$124,Postes!$A$5:$A$124,A1116,Postes!$B$5:$B$124,B1116)))</f>
        <v/>
      </c>
    </row>
    <row r="1117" customFormat="false" ht="15" hidden="false" customHeight="false" outlineLevel="0" collapsed="false">
      <c r="A1117" s="16"/>
      <c r="B1117" s="20"/>
      <c r="C1117" s="20"/>
      <c r="D1117" s="24"/>
      <c r="E1117" s="9" t="str">
        <f aca="false">IF(OR(A1117="",B1117="",C1117=""),"",IF(D1117="O",0,SUMIFS(Postes!$P$5:$P$124,Postes!$A$5:$A$124,A1117,Postes!$B$5:$B$124,B1117)))</f>
        <v/>
      </c>
    </row>
    <row r="1118" customFormat="false" ht="15" hidden="false" customHeight="false" outlineLevel="0" collapsed="false">
      <c r="A1118" s="16"/>
      <c r="B1118" s="20"/>
      <c r="C1118" s="20"/>
      <c r="D1118" s="24"/>
      <c r="E1118" s="9" t="str">
        <f aca="false">IF(OR(A1118="",B1118="",C1118=""),"",IF(D1118="O",0,SUMIFS(Postes!$P$5:$P$124,Postes!$A$5:$A$124,A1118,Postes!$B$5:$B$124,B1118)))</f>
        <v/>
      </c>
    </row>
    <row r="1119" customFormat="false" ht="15" hidden="false" customHeight="false" outlineLevel="0" collapsed="false">
      <c r="A1119" s="16"/>
      <c r="B1119" s="20"/>
      <c r="C1119" s="20"/>
      <c r="D1119" s="24"/>
      <c r="E1119" s="9" t="str">
        <f aca="false">IF(OR(A1119="",B1119="",C1119=""),"",IF(D1119="O",0,SUMIFS(Postes!$P$5:$P$124,Postes!$A$5:$A$124,A1119,Postes!$B$5:$B$124,B1119)))</f>
        <v/>
      </c>
    </row>
    <row r="1120" customFormat="false" ht="15" hidden="false" customHeight="false" outlineLevel="0" collapsed="false">
      <c r="A1120" s="16"/>
      <c r="B1120" s="20"/>
      <c r="C1120" s="20"/>
      <c r="D1120" s="24"/>
      <c r="E1120" s="9" t="str">
        <f aca="false">IF(OR(A1120="",B1120="",C1120=""),"",IF(D1120="O",0,SUMIFS(Postes!$P$5:$P$124,Postes!$A$5:$A$124,A1120,Postes!$B$5:$B$124,B1120)))</f>
        <v/>
      </c>
    </row>
    <row r="1121" customFormat="false" ht="15" hidden="false" customHeight="false" outlineLevel="0" collapsed="false">
      <c r="A1121" s="16"/>
      <c r="B1121" s="20"/>
      <c r="C1121" s="20"/>
      <c r="D1121" s="24"/>
      <c r="E1121" s="9" t="str">
        <f aca="false">IF(OR(A1121="",B1121="",C1121=""),"",IF(D1121="O",0,SUMIFS(Postes!$P$5:$P$124,Postes!$A$5:$A$124,A1121,Postes!$B$5:$B$124,B1121)))</f>
        <v/>
      </c>
    </row>
    <row r="1122" customFormat="false" ht="15" hidden="false" customHeight="false" outlineLevel="0" collapsed="false">
      <c r="A1122" s="16"/>
      <c r="B1122" s="20"/>
      <c r="C1122" s="20"/>
      <c r="D1122" s="24"/>
      <c r="E1122" s="9" t="str">
        <f aca="false">IF(OR(A1122="",B1122="",C1122=""),"",IF(D1122="O",0,SUMIFS(Postes!$P$5:$P$124,Postes!$A$5:$A$124,A1122,Postes!$B$5:$B$124,B1122)))</f>
        <v/>
      </c>
    </row>
    <row r="1123" customFormat="false" ht="15" hidden="false" customHeight="false" outlineLevel="0" collapsed="false">
      <c r="A1123" s="16"/>
      <c r="B1123" s="20"/>
      <c r="C1123" s="20"/>
      <c r="D1123" s="24"/>
      <c r="E1123" s="9" t="str">
        <f aca="false">IF(OR(A1123="",B1123="",C1123=""),"",IF(D1123="O",0,SUMIFS(Postes!$P$5:$P$124,Postes!$A$5:$A$124,A1123,Postes!$B$5:$B$124,B1123)))</f>
        <v/>
      </c>
    </row>
    <row r="1124" customFormat="false" ht="15" hidden="false" customHeight="false" outlineLevel="0" collapsed="false">
      <c r="A1124" s="16"/>
      <c r="B1124" s="20"/>
      <c r="C1124" s="20"/>
      <c r="D1124" s="24"/>
      <c r="E1124" s="9" t="str">
        <f aca="false">IF(OR(A1124="",B1124="",C1124=""),"",IF(D1124="O",0,SUMIFS(Postes!$P$5:$P$124,Postes!$A$5:$A$124,A1124,Postes!$B$5:$B$124,B1124)))</f>
        <v/>
      </c>
    </row>
    <row r="1125" customFormat="false" ht="15" hidden="false" customHeight="false" outlineLevel="0" collapsed="false">
      <c r="A1125" s="16"/>
      <c r="B1125" s="20"/>
      <c r="C1125" s="20"/>
      <c r="D1125" s="24"/>
      <c r="E1125" s="9" t="str">
        <f aca="false">IF(OR(A1125="",B1125="",C1125=""),"",IF(D1125="O",0,SUMIFS(Postes!$P$5:$P$124,Postes!$A$5:$A$124,A1125,Postes!$B$5:$B$124,B1125)))</f>
        <v/>
      </c>
    </row>
    <row r="1126" customFormat="false" ht="15" hidden="false" customHeight="false" outlineLevel="0" collapsed="false">
      <c r="A1126" s="16"/>
      <c r="B1126" s="20"/>
      <c r="C1126" s="20"/>
      <c r="D1126" s="24"/>
      <c r="E1126" s="9" t="str">
        <f aca="false">IF(OR(A1126="",B1126="",C1126=""),"",IF(D1126="O",0,SUMIFS(Postes!$P$5:$P$124,Postes!$A$5:$A$124,A1126,Postes!$B$5:$B$124,B1126)))</f>
        <v/>
      </c>
    </row>
    <row r="1127" customFormat="false" ht="15" hidden="false" customHeight="false" outlineLevel="0" collapsed="false">
      <c r="A1127" s="16"/>
      <c r="B1127" s="20"/>
      <c r="C1127" s="20"/>
      <c r="D1127" s="24"/>
      <c r="E1127" s="9" t="str">
        <f aca="false">IF(OR(A1127="",B1127="",C1127=""),"",IF(D1127="O",0,SUMIFS(Postes!$P$5:$P$124,Postes!$A$5:$A$124,A1127,Postes!$B$5:$B$124,B1127)))</f>
        <v/>
      </c>
    </row>
    <row r="1128" customFormat="false" ht="15" hidden="false" customHeight="false" outlineLevel="0" collapsed="false">
      <c r="A1128" s="16"/>
      <c r="B1128" s="20"/>
      <c r="C1128" s="20"/>
      <c r="D1128" s="24"/>
      <c r="E1128" s="9" t="str">
        <f aca="false">IF(OR(A1128="",B1128="",C1128=""),"",IF(D1128="O",0,SUMIFS(Postes!$P$5:$P$124,Postes!$A$5:$A$124,A1128,Postes!$B$5:$B$124,B1128)))</f>
        <v/>
      </c>
    </row>
    <row r="1129" customFormat="false" ht="15" hidden="false" customHeight="false" outlineLevel="0" collapsed="false">
      <c r="A1129" s="16"/>
      <c r="B1129" s="20"/>
      <c r="C1129" s="20"/>
      <c r="D1129" s="24"/>
      <c r="E1129" s="9" t="str">
        <f aca="false">IF(OR(A1129="",B1129="",C1129=""),"",IF(D1129="O",0,SUMIFS(Postes!$P$5:$P$124,Postes!$A$5:$A$124,A1129,Postes!$B$5:$B$124,B1129)))</f>
        <v/>
      </c>
    </row>
    <row r="1130" customFormat="false" ht="15" hidden="false" customHeight="false" outlineLevel="0" collapsed="false">
      <c r="A1130" s="16"/>
      <c r="B1130" s="20"/>
      <c r="C1130" s="20"/>
      <c r="D1130" s="24"/>
      <c r="E1130" s="9" t="str">
        <f aca="false">IF(OR(A1130="",B1130="",C1130=""),"",IF(D1130="O",0,SUMIFS(Postes!$P$5:$P$124,Postes!$A$5:$A$124,A1130,Postes!$B$5:$B$124,B1130)))</f>
        <v/>
      </c>
    </row>
    <row r="1131" customFormat="false" ht="15" hidden="false" customHeight="false" outlineLevel="0" collapsed="false">
      <c r="A1131" s="16"/>
      <c r="B1131" s="20"/>
      <c r="C1131" s="20"/>
      <c r="D1131" s="24"/>
      <c r="E1131" s="9" t="str">
        <f aca="false">IF(OR(A1131="",B1131="",C1131=""),"",IF(D1131="O",0,SUMIFS(Postes!$P$5:$P$124,Postes!$A$5:$A$124,A1131,Postes!$B$5:$B$124,B1131)))</f>
        <v/>
      </c>
    </row>
    <row r="1132" customFormat="false" ht="15" hidden="false" customHeight="false" outlineLevel="0" collapsed="false">
      <c r="A1132" s="16"/>
      <c r="B1132" s="20"/>
      <c r="C1132" s="20"/>
      <c r="D1132" s="24"/>
      <c r="E1132" s="9" t="str">
        <f aca="false">IF(OR(A1132="",B1132="",C1132=""),"",IF(D1132="O",0,SUMIFS(Postes!$P$5:$P$124,Postes!$A$5:$A$124,A1132,Postes!$B$5:$B$124,B1132)))</f>
        <v/>
      </c>
    </row>
    <row r="1133" customFormat="false" ht="15" hidden="false" customHeight="false" outlineLevel="0" collapsed="false">
      <c r="A1133" s="16"/>
      <c r="B1133" s="20"/>
      <c r="C1133" s="20"/>
      <c r="D1133" s="24"/>
      <c r="E1133" s="9" t="str">
        <f aca="false">IF(OR(A1133="",B1133="",C1133=""),"",IF(D1133="O",0,SUMIFS(Postes!$P$5:$P$124,Postes!$A$5:$A$124,A1133,Postes!$B$5:$B$124,B1133)))</f>
        <v/>
      </c>
    </row>
    <row r="1134" customFormat="false" ht="15" hidden="false" customHeight="false" outlineLevel="0" collapsed="false">
      <c r="A1134" s="16"/>
      <c r="B1134" s="20"/>
      <c r="C1134" s="20"/>
      <c r="D1134" s="24"/>
      <c r="E1134" s="9" t="str">
        <f aca="false">IF(OR(A1134="",B1134="",C1134=""),"",IF(D1134="O",0,SUMIFS(Postes!$P$5:$P$124,Postes!$A$5:$A$124,A1134,Postes!$B$5:$B$124,B1134)))</f>
        <v/>
      </c>
    </row>
    <row r="1135" customFormat="false" ht="15" hidden="false" customHeight="false" outlineLevel="0" collapsed="false">
      <c r="A1135" s="16"/>
      <c r="B1135" s="20"/>
      <c r="C1135" s="20"/>
      <c r="D1135" s="24"/>
      <c r="E1135" s="9" t="str">
        <f aca="false">IF(OR(A1135="",B1135="",C1135=""),"",IF(D1135="O",0,SUMIFS(Postes!$P$5:$P$124,Postes!$A$5:$A$124,A1135,Postes!$B$5:$B$124,B1135)))</f>
        <v/>
      </c>
    </row>
    <row r="1136" customFormat="false" ht="15" hidden="false" customHeight="false" outlineLevel="0" collapsed="false">
      <c r="A1136" s="16"/>
      <c r="B1136" s="20"/>
      <c r="C1136" s="20"/>
      <c r="D1136" s="24"/>
      <c r="E1136" s="9" t="str">
        <f aca="false">IF(OR(A1136="",B1136="",C1136=""),"",IF(D1136="O",0,SUMIFS(Postes!$P$5:$P$124,Postes!$A$5:$A$124,A1136,Postes!$B$5:$B$124,B1136)))</f>
        <v/>
      </c>
    </row>
    <row r="1137" customFormat="false" ht="15" hidden="false" customHeight="false" outlineLevel="0" collapsed="false">
      <c r="A1137" s="16"/>
      <c r="B1137" s="20"/>
      <c r="C1137" s="20"/>
      <c r="D1137" s="24"/>
      <c r="E1137" s="9" t="str">
        <f aca="false">IF(OR(A1137="",B1137="",C1137=""),"",IF(D1137="O",0,SUMIFS(Postes!$P$5:$P$124,Postes!$A$5:$A$124,A1137,Postes!$B$5:$B$124,B1137)))</f>
        <v/>
      </c>
    </row>
    <row r="1138" customFormat="false" ht="15" hidden="false" customHeight="false" outlineLevel="0" collapsed="false">
      <c r="A1138" s="16"/>
      <c r="B1138" s="20"/>
      <c r="C1138" s="20"/>
      <c r="D1138" s="24"/>
      <c r="E1138" s="9" t="str">
        <f aca="false">IF(OR(A1138="",B1138="",C1138=""),"",IF(D1138="O",0,SUMIFS(Postes!$P$5:$P$124,Postes!$A$5:$A$124,A1138,Postes!$B$5:$B$124,B1138)))</f>
        <v/>
      </c>
    </row>
    <row r="1139" customFormat="false" ht="15" hidden="false" customHeight="false" outlineLevel="0" collapsed="false">
      <c r="A1139" s="16"/>
      <c r="B1139" s="20"/>
      <c r="C1139" s="20"/>
      <c r="D1139" s="24"/>
      <c r="E1139" s="9" t="str">
        <f aca="false">IF(OR(A1139="",B1139="",C1139=""),"",IF(D1139="O",0,SUMIFS(Postes!$P$5:$P$124,Postes!$A$5:$A$124,A1139,Postes!$B$5:$B$124,B1139)))</f>
        <v/>
      </c>
    </row>
    <row r="1140" customFormat="false" ht="15" hidden="false" customHeight="false" outlineLevel="0" collapsed="false">
      <c r="A1140" s="16"/>
      <c r="B1140" s="20"/>
      <c r="C1140" s="20"/>
      <c r="D1140" s="24"/>
      <c r="E1140" s="9" t="str">
        <f aca="false">IF(OR(A1140="",B1140="",C1140=""),"",IF(D1140="O",0,SUMIFS(Postes!$P$5:$P$124,Postes!$A$5:$A$124,A1140,Postes!$B$5:$B$124,B1140)))</f>
        <v/>
      </c>
    </row>
    <row r="1141" customFormat="false" ht="15" hidden="false" customHeight="false" outlineLevel="0" collapsed="false">
      <c r="A1141" s="16"/>
      <c r="B1141" s="20"/>
      <c r="C1141" s="20"/>
      <c r="D1141" s="24"/>
      <c r="E1141" s="9" t="str">
        <f aca="false">IF(OR(A1141="",B1141="",C1141=""),"",IF(D1141="O",0,SUMIFS(Postes!$P$5:$P$124,Postes!$A$5:$A$124,A1141,Postes!$B$5:$B$124,B1141)))</f>
        <v/>
      </c>
    </row>
    <row r="1142" customFormat="false" ht="15" hidden="false" customHeight="false" outlineLevel="0" collapsed="false">
      <c r="A1142" s="16"/>
      <c r="B1142" s="20"/>
      <c r="C1142" s="20"/>
      <c r="D1142" s="24"/>
      <c r="E1142" s="9" t="str">
        <f aca="false">IF(OR(A1142="",B1142="",C1142=""),"",IF(D1142="O",0,SUMIFS(Postes!$P$5:$P$124,Postes!$A$5:$A$124,A1142,Postes!$B$5:$B$124,B1142)))</f>
        <v/>
      </c>
    </row>
    <row r="1143" customFormat="false" ht="15" hidden="false" customHeight="false" outlineLevel="0" collapsed="false">
      <c r="A1143" s="16"/>
      <c r="B1143" s="20"/>
      <c r="C1143" s="20"/>
      <c r="D1143" s="24"/>
      <c r="E1143" s="9" t="str">
        <f aca="false">IF(OR(A1143="",B1143="",C1143=""),"",IF(D1143="O",0,SUMIFS(Postes!$P$5:$P$124,Postes!$A$5:$A$124,A1143,Postes!$B$5:$B$124,B1143)))</f>
        <v/>
      </c>
    </row>
    <row r="1144" customFormat="false" ht="15" hidden="false" customHeight="false" outlineLevel="0" collapsed="false">
      <c r="A1144" s="16"/>
      <c r="B1144" s="20"/>
      <c r="C1144" s="20"/>
      <c r="D1144" s="24"/>
      <c r="E1144" s="9" t="str">
        <f aca="false">IF(OR(A1144="",B1144="",C1144=""),"",IF(D1144="O",0,SUMIFS(Postes!$P$5:$P$124,Postes!$A$5:$A$124,A1144,Postes!$B$5:$B$124,B1144)))</f>
        <v/>
      </c>
    </row>
    <row r="1145" customFormat="false" ht="15" hidden="false" customHeight="false" outlineLevel="0" collapsed="false">
      <c r="A1145" s="16"/>
      <c r="B1145" s="20"/>
      <c r="C1145" s="20"/>
      <c r="D1145" s="24"/>
      <c r="E1145" s="9" t="str">
        <f aca="false">IF(OR(A1145="",B1145="",C1145=""),"",IF(D1145="O",0,SUMIFS(Postes!$P$5:$P$124,Postes!$A$5:$A$124,A1145,Postes!$B$5:$B$124,B1145)))</f>
        <v/>
      </c>
    </row>
    <row r="1146" customFormat="false" ht="15" hidden="false" customHeight="false" outlineLevel="0" collapsed="false">
      <c r="A1146" s="16"/>
      <c r="B1146" s="20"/>
      <c r="C1146" s="20"/>
      <c r="D1146" s="24"/>
      <c r="E1146" s="9" t="str">
        <f aca="false">IF(OR(A1146="",B1146="",C1146=""),"",IF(D1146="O",0,SUMIFS(Postes!$P$5:$P$124,Postes!$A$5:$A$124,A1146,Postes!$B$5:$B$124,B1146)))</f>
        <v/>
      </c>
    </row>
    <row r="1147" customFormat="false" ht="15" hidden="false" customHeight="false" outlineLevel="0" collapsed="false">
      <c r="A1147" s="16"/>
      <c r="B1147" s="20"/>
      <c r="C1147" s="20"/>
      <c r="D1147" s="24"/>
      <c r="E1147" s="9" t="str">
        <f aca="false">IF(OR(A1147="",B1147="",C1147=""),"",IF(D1147="O",0,SUMIFS(Postes!$P$5:$P$124,Postes!$A$5:$A$124,A1147,Postes!$B$5:$B$124,B1147)))</f>
        <v/>
      </c>
    </row>
    <row r="1148" customFormat="false" ht="15" hidden="false" customHeight="false" outlineLevel="0" collapsed="false">
      <c r="A1148" s="16"/>
      <c r="B1148" s="20"/>
      <c r="C1148" s="20"/>
      <c r="D1148" s="24"/>
      <c r="E1148" s="9" t="str">
        <f aca="false">IF(OR(A1148="",B1148="",C1148=""),"",IF(D1148="O",0,SUMIFS(Postes!$P$5:$P$124,Postes!$A$5:$A$124,A1148,Postes!$B$5:$B$124,B1148)))</f>
        <v/>
      </c>
    </row>
    <row r="1149" customFormat="false" ht="15" hidden="false" customHeight="false" outlineLevel="0" collapsed="false">
      <c r="A1149" s="16"/>
      <c r="B1149" s="20"/>
      <c r="C1149" s="20"/>
      <c r="D1149" s="24"/>
      <c r="E1149" s="9" t="str">
        <f aca="false">IF(OR(A1149="",B1149="",C1149=""),"",IF(D1149="O",0,SUMIFS(Postes!$P$5:$P$124,Postes!$A$5:$A$124,A1149,Postes!$B$5:$B$124,B1149)))</f>
        <v/>
      </c>
    </row>
    <row r="1150" customFormat="false" ht="15" hidden="false" customHeight="false" outlineLevel="0" collapsed="false">
      <c r="A1150" s="16"/>
      <c r="B1150" s="20"/>
      <c r="C1150" s="20"/>
      <c r="D1150" s="24"/>
      <c r="E1150" s="9" t="str">
        <f aca="false">IF(OR(A1150="",B1150="",C1150=""),"",IF(D1150="O",0,SUMIFS(Postes!$P$5:$P$124,Postes!$A$5:$A$124,A1150,Postes!$B$5:$B$124,B1150)))</f>
        <v/>
      </c>
    </row>
    <row r="1151" customFormat="false" ht="15" hidden="false" customHeight="false" outlineLevel="0" collapsed="false">
      <c r="A1151" s="16"/>
      <c r="B1151" s="20"/>
      <c r="C1151" s="20"/>
      <c r="D1151" s="24"/>
      <c r="E1151" s="9" t="str">
        <f aca="false">IF(OR(A1151="",B1151="",C1151=""),"",IF(D1151="O",0,SUMIFS(Postes!$P$5:$P$124,Postes!$A$5:$A$124,A1151,Postes!$B$5:$B$124,B1151)))</f>
        <v/>
      </c>
    </row>
    <row r="1152" customFormat="false" ht="15" hidden="false" customHeight="false" outlineLevel="0" collapsed="false">
      <c r="A1152" s="16"/>
      <c r="B1152" s="20"/>
      <c r="C1152" s="20"/>
      <c r="D1152" s="24"/>
      <c r="E1152" s="9" t="str">
        <f aca="false">IF(OR(A1152="",B1152="",C1152=""),"",IF(D1152="O",0,SUMIFS(Postes!$P$5:$P$124,Postes!$A$5:$A$124,A1152,Postes!$B$5:$B$124,B1152)))</f>
        <v/>
      </c>
    </row>
    <row r="1153" customFormat="false" ht="15" hidden="false" customHeight="false" outlineLevel="0" collapsed="false">
      <c r="A1153" s="16"/>
      <c r="B1153" s="20"/>
      <c r="C1153" s="20"/>
      <c r="D1153" s="24"/>
      <c r="E1153" s="9" t="str">
        <f aca="false">IF(OR(A1153="",B1153="",C1153=""),"",IF(D1153="O",0,SUMIFS(Postes!$P$5:$P$124,Postes!$A$5:$A$124,A1153,Postes!$B$5:$B$124,B1153)))</f>
        <v/>
      </c>
    </row>
    <row r="1154" customFormat="false" ht="15" hidden="false" customHeight="false" outlineLevel="0" collapsed="false">
      <c r="A1154" s="16"/>
      <c r="B1154" s="20"/>
      <c r="C1154" s="20"/>
      <c r="D1154" s="24"/>
      <c r="E1154" s="9" t="str">
        <f aca="false">IF(OR(A1154="",B1154="",C1154=""),"",IF(D1154="O",0,SUMIFS(Postes!$P$5:$P$124,Postes!$A$5:$A$124,A1154,Postes!$B$5:$B$124,B1154)))</f>
        <v/>
      </c>
    </row>
    <row r="1155" customFormat="false" ht="15" hidden="false" customHeight="false" outlineLevel="0" collapsed="false">
      <c r="A1155" s="16"/>
      <c r="B1155" s="20"/>
      <c r="C1155" s="20"/>
      <c r="D1155" s="24"/>
      <c r="E1155" s="9" t="str">
        <f aca="false">IF(OR(A1155="",B1155="",C1155=""),"",IF(D1155="O",0,SUMIFS(Postes!$P$5:$P$124,Postes!$A$5:$A$124,A1155,Postes!$B$5:$B$124,B1155)))</f>
        <v/>
      </c>
    </row>
    <row r="1156" customFormat="false" ht="15" hidden="false" customHeight="false" outlineLevel="0" collapsed="false">
      <c r="A1156" s="16"/>
      <c r="B1156" s="20"/>
      <c r="C1156" s="20"/>
      <c r="D1156" s="24"/>
      <c r="E1156" s="9" t="str">
        <f aca="false">IF(OR(A1156="",B1156="",C1156=""),"",IF(D1156="O",0,SUMIFS(Postes!$P$5:$P$124,Postes!$A$5:$A$124,A1156,Postes!$B$5:$B$124,B1156)))</f>
        <v/>
      </c>
    </row>
    <row r="1157" customFormat="false" ht="15" hidden="false" customHeight="false" outlineLevel="0" collapsed="false">
      <c r="A1157" s="16"/>
      <c r="B1157" s="20"/>
      <c r="C1157" s="20"/>
      <c r="D1157" s="24"/>
      <c r="E1157" s="9" t="str">
        <f aca="false">IF(OR(A1157="",B1157="",C1157=""),"",IF(D1157="O",0,SUMIFS(Postes!$P$5:$P$124,Postes!$A$5:$A$124,A1157,Postes!$B$5:$B$124,B1157)))</f>
        <v/>
      </c>
    </row>
    <row r="1158" customFormat="false" ht="15" hidden="false" customHeight="false" outlineLevel="0" collapsed="false">
      <c r="A1158" s="16"/>
      <c r="B1158" s="20"/>
      <c r="C1158" s="20"/>
      <c r="D1158" s="24"/>
      <c r="E1158" s="9" t="str">
        <f aca="false">IF(OR(A1158="",B1158="",C1158=""),"",IF(D1158="O",0,SUMIFS(Postes!$P$5:$P$124,Postes!$A$5:$A$124,A1158,Postes!$B$5:$B$124,B1158)))</f>
        <v/>
      </c>
    </row>
    <row r="1159" customFormat="false" ht="15" hidden="false" customHeight="false" outlineLevel="0" collapsed="false">
      <c r="A1159" s="16"/>
      <c r="B1159" s="20"/>
      <c r="C1159" s="20"/>
      <c r="D1159" s="24"/>
      <c r="E1159" s="9" t="str">
        <f aca="false">IF(OR(A1159="",B1159="",C1159=""),"",IF(D1159="O",0,SUMIFS(Postes!$P$5:$P$124,Postes!$A$5:$A$124,A1159,Postes!$B$5:$B$124,B1159)))</f>
        <v/>
      </c>
    </row>
    <row r="1160" customFormat="false" ht="15" hidden="false" customHeight="false" outlineLevel="0" collapsed="false">
      <c r="A1160" s="16"/>
      <c r="B1160" s="20"/>
      <c r="C1160" s="20"/>
      <c r="D1160" s="24"/>
      <c r="E1160" s="9" t="str">
        <f aca="false">IF(OR(A1160="",B1160="",C1160=""),"",IF(D1160="O",0,SUMIFS(Postes!$P$5:$P$124,Postes!$A$5:$A$124,A1160,Postes!$B$5:$B$124,B1160)))</f>
        <v/>
      </c>
    </row>
    <row r="1161" customFormat="false" ht="15" hidden="false" customHeight="false" outlineLevel="0" collapsed="false">
      <c r="A1161" s="16"/>
      <c r="B1161" s="20"/>
      <c r="C1161" s="20"/>
      <c r="D1161" s="24"/>
      <c r="E1161" s="9" t="str">
        <f aca="false">IF(OR(A1161="",B1161="",C1161=""),"",IF(D1161="O",0,SUMIFS(Postes!$P$5:$P$124,Postes!$A$5:$A$124,A1161,Postes!$B$5:$B$124,B1161)))</f>
        <v/>
      </c>
    </row>
    <row r="1162" customFormat="false" ht="15" hidden="false" customHeight="false" outlineLevel="0" collapsed="false">
      <c r="A1162" s="16"/>
      <c r="B1162" s="20"/>
      <c r="C1162" s="20"/>
      <c r="D1162" s="24"/>
      <c r="E1162" s="9" t="str">
        <f aca="false">IF(OR(A1162="",B1162="",C1162=""),"",IF(D1162="O",0,SUMIFS(Postes!$P$5:$P$124,Postes!$A$5:$A$124,A1162,Postes!$B$5:$B$124,B1162)))</f>
        <v/>
      </c>
    </row>
    <row r="1163" customFormat="false" ht="15" hidden="false" customHeight="false" outlineLevel="0" collapsed="false">
      <c r="A1163" s="16"/>
      <c r="B1163" s="20"/>
      <c r="C1163" s="20"/>
      <c r="D1163" s="24"/>
      <c r="E1163" s="9" t="str">
        <f aca="false">IF(OR(A1163="",B1163="",C1163=""),"",IF(D1163="O",0,SUMIFS(Postes!$P$5:$P$124,Postes!$A$5:$A$124,A1163,Postes!$B$5:$B$124,B1163)))</f>
        <v/>
      </c>
    </row>
    <row r="1164" customFormat="false" ht="15" hidden="false" customHeight="false" outlineLevel="0" collapsed="false">
      <c r="A1164" s="16"/>
      <c r="B1164" s="20"/>
      <c r="C1164" s="20"/>
      <c r="D1164" s="24"/>
      <c r="E1164" s="9" t="str">
        <f aca="false">IF(OR(A1164="",B1164="",C1164=""),"",IF(D1164="O",0,SUMIFS(Postes!$P$5:$P$124,Postes!$A$5:$A$124,A1164,Postes!$B$5:$B$124,B1164)))</f>
        <v/>
      </c>
    </row>
    <row r="1165" customFormat="false" ht="15" hidden="false" customHeight="false" outlineLevel="0" collapsed="false">
      <c r="A1165" s="16"/>
      <c r="B1165" s="20"/>
      <c r="C1165" s="20"/>
      <c r="D1165" s="24"/>
      <c r="E1165" s="9" t="str">
        <f aca="false">IF(OR(A1165="",B1165="",C1165=""),"",IF(D1165="O",0,SUMIFS(Postes!$P$5:$P$124,Postes!$A$5:$A$124,A1165,Postes!$B$5:$B$124,B1165)))</f>
        <v/>
      </c>
    </row>
    <row r="1166" customFormat="false" ht="15" hidden="false" customHeight="false" outlineLevel="0" collapsed="false">
      <c r="A1166" s="16"/>
      <c r="B1166" s="20"/>
      <c r="C1166" s="20"/>
      <c r="D1166" s="24"/>
      <c r="E1166" s="9" t="str">
        <f aca="false">IF(OR(A1166="",B1166="",C1166=""),"",IF(D1166="O",0,SUMIFS(Postes!$P$5:$P$124,Postes!$A$5:$A$124,A1166,Postes!$B$5:$B$124,B1166)))</f>
        <v/>
      </c>
    </row>
    <row r="1167" customFormat="false" ht="15" hidden="false" customHeight="false" outlineLevel="0" collapsed="false">
      <c r="A1167" s="16"/>
      <c r="B1167" s="20"/>
      <c r="C1167" s="20"/>
      <c r="D1167" s="24"/>
      <c r="E1167" s="9" t="str">
        <f aca="false">IF(OR(A1167="",B1167="",C1167=""),"",IF(D1167="O",0,SUMIFS(Postes!$P$5:$P$124,Postes!$A$5:$A$124,A1167,Postes!$B$5:$B$124,B1167)))</f>
        <v/>
      </c>
    </row>
    <row r="1168" customFormat="false" ht="15" hidden="false" customHeight="false" outlineLevel="0" collapsed="false">
      <c r="A1168" s="16"/>
      <c r="B1168" s="20"/>
      <c r="C1168" s="20"/>
      <c r="D1168" s="24"/>
      <c r="E1168" s="9" t="str">
        <f aca="false">IF(OR(A1168="",B1168="",C1168=""),"",IF(D1168="O",0,SUMIFS(Postes!$P$5:$P$124,Postes!$A$5:$A$124,A1168,Postes!$B$5:$B$124,B1168)))</f>
        <v/>
      </c>
    </row>
    <row r="1169" customFormat="false" ht="15" hidden="false" customHeight="false" outlineLevel="0" collapsed="false">
      <c r="A1169" s="16"/>
      <c r="B1169" s="20"/>
      <c r="C1169" s="20"/>
      <c r="D1169" s="24"/>
      <c r="E1169" s="9" t="str">
        <f aca="false">IF(OR(A1169="",B1169="",C1169=""),"",IF(D1169="O",0,SUMIFS(Postes!$P$5:$P$124,Postes!$A$5:$A$124,A1169,Postes!$B$5:$B$124,B1169)))</f>
        <v/>
      </c>
    </row>
    <row r="1170" customFormat="false" ht="15" hidden="false" customHeight="false" outlineLevel="0" collapsed="false">
      <c r="A1170" s="16"/>
      <c r="B1170" s="20"/>
      <c r="C1170" s="20"/>
      <c r="D1170" s="24"/>
      <c r="E1170" s="9" t="str">
        <f aca="false">IF(OR(A1170="",B1170="",C1170=""),"",IF(D1170="O",0,SUMIFS(Postes!$P$5:$P$124,Postes!$A$5:$A$124,A1170,Postes!$B$5:$B$124,B1170)))</f>
        <v/>
      </c>
    </row>
    <row r="1171" customFormat="false" ht="15" hidden="false" customHeight="false" outlineLevel="0" collapsed="false">
      <c r="A1171" s="16"/>
      <c r="B1171" s="20"/>
      <c r="C1171" s="20"/>
      <c r="D1171" s="24"/>
      <c r="E1171" s="9" t="str">
        <f aca="false">IF(OR(A1171="",B1171="",C1171=""),"",IF(D1171="O",0,SUMIFS(Postes!$P$5:$P$124,Postes!$A$5:$A$124,A1171,Postes!$B$5:$B$124,B1171)))</f>
        <v/>
      </c>
    </row>
    <row r="1172" customFormat="false" ht="15" hidden="false" customHeight="false" outlineLevel="0" collapsed="false">
      <c r="A1172" s="16"/>
      <c r="B1172" s="20"/>
      <c r="C1172" s="20"/>
      <c r="D1172" s="24"/>
      <c r="E1172" s="9" t="str">
        <f aca="false">IF(OR(A1172="",B1172="",C1172=""),"",IF(D1172="O",0,SUMIFS(Postes!$P$5:$P$124,Postes!$A$5:$A$124,A1172,Postes!$B$5:$B$124,B1172)))</f>
        <v/>
      </c>
    </row>
    <row r="1173" customFormat="false" ht="15" hidden="false" customHeight="false" outlineLevel="0" collapsed="false">
      <c r="A1173" s="16"/>
      <c r="B1173" s="20"/>
      <c r="C1173" s="20"/>
      <c r="D1173" s="24"/>
      <c r="E1173" s="9" t="str">
        <f aca="false">IF(OR(A1173="",B1173="",C1173=""),"",IF(D1173="O",0,SUMIFS(Postes!$P$5:$P$124,Postes!$A$5:$A$124,A1173,Postes!$B$5:$B$124,B1173)))</f>
        <v/>
      </c>
    </row>
    <row r="1174" customFormat="false" ht="15" hidden="false" customHeight="false" outlineLevel="0" collapsed="false">
      <c r="A1174" s="16"/>
      <c r="B1174" s="20"/>
      <c r="C1174" s="20"/>
      <c r="D1174" s="24"/>
      <c r="E1174" s="9" t="str">
        <f aca="false">IF(OR(A1174="",B1174="",C1174=""),"",IF(D1174="O",0,SUMIFS(Postes!$P$5:$P$124,Postes!$A$5:$A$124,A1174,Postes!$B$5:$B$124,B1174)))</f>
        <v/>
      </c>
    </row>
    <row r="1175" customFormat="false" ht="15" hidden="false" customHeight="false" outlineLevel="0" collapsed="false">
      <c r="A1175" s="16"/>
      <c r="B1175" s="20"/>
      <c r="C1175" s="20"/>
      <c r="D1175" s="24"/>
      <c r="E1175" s="9" t="str">
        <f aca="false">IF(OR(A1175="",B1175="",C1175=""),"",IF(D1175="O",0,SUMIFS(Postes!$P$5:$P$124,Postes!$A$5:$A$124,A1175,Postes!$B$5:$B$124,B1175)))</f>
        <v/>
      </c>
    </row>
    <row r="1176" customFormat="false" ht="15" hidden="false" customHeight="false" outlineLevel="0" collapsed="false">
      <c r="A1176" s="16"/>
      <c r="B1176" s="20"/>
      <c r="C1176" s="20"/>
      <c r="D1176" s="24"/>
      <c r="E1176" s="9" t="str">
        <f aca="false">IF(OR(A1176="",B1176="",C1176=""),"",IF(D1176="O",0,SUMIFS(Postes!$P$5:$P$124,Postes!$A$5:$A$124,A1176,Postes!$B$5:$B$124,B1176)))</f>
        <v/>
      </c>
    </row>
    <row r="1177" customFormat="false" ht="15" hidden="false" customHeight="false" outlineLevel="0" collapsed="false">
      <c r="A1177" s="16"/>
      <c r="B1177" s="20"/>
      <c r="C1177" s="20"/>
      <c r="D1177" s="24"/>
      <c r="E1177" s="9" t="str">
        <f aca="false">IF(OR(A1177="",B1177="",C1177=""),"",IF(D1177="O",0,SUMIFS(Postes!$P$5:$P$124,Postes!$A$5:$A$124,A1177,Postes!$B$5:$B$124,B1177)))</f>
        <v/>
      </c>
    </row>
    <row r="1178" customFormat="false" ht="15" hidden="false" customHeight="false" outlineLevel="0" collapsed="false">
      <c r="A1178" s="16"/>
      <c r="B1178" s="20"/>
      <c r="C1178" s="20"/>
      <c r="D1178" s="24"/>
      <c r="E1178" s="9" t="str">
        <f aca="false">IF(OR(A1178="",B1178="",C1178=""),"",IF(D1178="O",0,SUMIFS(Postes!$P$5:$P$124,Postes!$A$5:$A$124,A1178,Postes!$B$5:$B$124,B1178)))</f>
        <v/>
      </c>
    </row>
    <row r="1179" customFormat="false" ht="15" hidden="false" customHeight="false" outlineLevel="0" collapsed="false">
      <c r="A1179" s="16"/>
      <c r="B1179" s="20"/>
      <c r="C1179" s="20"/>
      <c r="D1179" s="24"/>
      <c r="E1179" s="9" t="str">
        <f aca="false">IF(OR(A1179="",B1179="",C1179=""),"",IF(D1179="O",0,SUMIFS(Postes!$P$5:$P$124,Postes!$A$5:$A$124,A1179,Postes!$B$5:$B$124,B1179)))</f>
        <v/>
      </c>
    </row>
    <row r="1180" customFormat="false" ht="15" hidden="false" customHeight="false" outlineLevel="0" collapsed="false">
      <c r="A1180" s="16"/>
      <c r="B1180" s="20"/>
      <c r="C1180" s="20"/>
      <c r="D1180" s="24"/>
      <c r="E1180" s="9" t="str">
        <f aca="false">IF(OR(A1180="",B1180="",C1180=""),"",IF(D1180="O",0,SUMIFS(Postes!$P$5:$P$124,Postes!$A$5:$A$124,A1180,Postes!$B$5:$B$124,B1180)))</f>
        <v/>
      </c>
    </row>
    <row r="1181" customFormat="false" ht="15" hidden="false" customHeight="false" outlineLevel="0" collapsed="false">
      <c r="A1181" s="16"/>
      <c r="B1181" s="20"/>
      <c r="C1181" s="20"/>
      <c r="D1181" s="24"/>
      <c r="E1181" s="9" t="str">
        <f aca="false">IF(OR(A1181="",B1181="",C1181=""),"",IF(D1181="O",0,SUMIFS(Postes!$P$5:$P$124,Postes!$A$5:$A$124,A1181,Postes!$B$5:$B$124,B1181)))</f>
        <v/>
      </c>
    </row>
    <row r="1182" customFormat="false" ht="15" hidden="false" customHeight="false" outlineLevel="0" collapsed="false">
      <c r="A1182" s="16"/>
      <c r="B1182" s="20"/>
      <c r="C1182" s="20"/>
      <c r="D1182" s="24"/>
      <c r="E1182" s="9" t="str">
        <f aca="false">IF(OR(A1182="",B1182="",C1182=""),"",IF(D1182="O",0,SUMIFS(Postes!$P$5:$P$124,Postes!$A$5:$A$124,A1182,Postes!$B$5:$B$124,B1182)))</f>
        <v/>
      </c>
    </row>
    <row r="1183" customFormat="false" ht="15" hidden="false" customHeight="false" outlineLevel="0" collapsed="false">
      <c r="A1183" s="16"/>
      <c r="B1183" s="20"/>
      <c r="C1183" s="20"/>
      <c r="D1183" s="24"/>
      <c r="E1183" s="9" t="str">
        <f aca="false">IF(OR(A1183="",B1183="",C1183=""),"",IF(D1183="O",0,SUMIFS(Postes!$P$5:$P$124,Postes!$A$5:$A$124,A1183,Postes!$B$5:$B$124,B1183)))</f>
        <v/>
      </c>
    </row>
    <row r="1184" customFormat="false" ht="15" hidden="false" customHeight="false" outlineLevel="0" collapsed="false">
      <c r="A1184" s="16"/>
      <c r="B1184" s="20"/>
      <c r="C1184" s="20"/>
      <c r="D1184" s="24"/>
      <c r="E1184" s="9" t="str">
        <f aca="false">IF(OR(A1184="",B1184="",C1184=""),"",IF(D1184="O",0,SUMIFS(Postes!$P$5:$P$124,Postes!$A$5:$A$124,A1184,Postes!$B$5:$B$124,B1184)))</f>
        <v/>
      </c>
    </row>
    <row r="1185" customFormat="false" ht="15" hidden="false" customHeight="false" outlineLevel="0" collapsed="false">
      <c r="A1185" s="16"/>
      <c r="B1185" s="20"/>
      <c r="C1185" s="20"/>
      <c r="D1185" s="24"/>
      <c r="E1185" s="9" t="str">
        <f aca="false">IF(OR(A1185="",B1185="",C1185=""),"",IF(D1185="O",0,SUMIFS(Postes!$P$5:$P$124,Postes!$A$5:$A$124,A1185,Postes!$B$5:$B$124,B1185)))</f>
        <v/>
      </c>
    </row>
    <row r="1186" customFormat="false" ht="15" hidden="false" customHeight="false" outlineLevel="0" collapsed="false">
      <c r="A1186" s="16"/>
      <c r="B1186" s="20"/>
      <c r="C1186" s="20"/>
      <c r="D1186" s="24"/>
      <c r="E1186" s="9" t="str">
        <f aca="false">IF(OR(A1186="",B1186="",C1186=""),"",IF(D1186="O",0,SUMIFS(Postes!$P$5:$P$124,Postes!$A$5:$A$124,A1186,Postes!$B$5:$B$124,B1186)))</f>
        <v/>
      </c>
    </row>
    <row r="1187" customFormat="false" ht="15" hidden="false" customHeight="false" outlineLevel="0" collapsed="false">
      <c r="A1187" s="16"/>
      <c r="B1187" s="20"/>
      <c r="C1187" s="20"/>
      <c r="D1187" s="24"/>
      <c r="E1187" s="9" t="str">
        <f aca="false">IF(OR(A1187="",B1187="",C1187=""),"",IF(D1187="O",0,SUMIFS(Postes!$P$5:$P$124,Postes!$A$5:$A$124,A1187,Postes!$B$5:$B$124,B1187)))</f>
        <v/>
      </c>
    </row>
    <row r="1188" customFormat="false" ht="15" hidden="false" customHeight="false" outlineLevel="0" collapsed="false">
      <c r="A1188" s="16"/>
      <c r="B1188" s="20"/>
      <c r="C1188" s="20"/>
      <c r="D1188" s="24"/>
      <c r="E1188" s="9" t="str">
        <f aca="false">IF(OR(A1188="",B1188="",C1188=""),"",IF(D1188="O",0,SUMIFS(Postes!$P$5:$P$124,Postes!$A$5:$A$124,A1188,Postes!$B$5:$B$124,B1188)))</f>
        <v/>
      </c>
    </row>
    <row r="1189" customFormat="false" ht="15" hidden="false" customHeight="false" outlineLevel="0" collapsed="false">
      <c r="A1189" s="16"/>
      <c r="B1189" s="20"/>
      <c r="C1189" s="20"/>
      <c r="D1189" s="24"/>
      <c r="E1189" s="9" t="str">
        <f aca="false">IF(OR(A1189="",B1189="",C1189=""),"",IF(D1189="O",0,SUMIFS(Postes!$P$5:$P$124,Postes!$A$5:$A$124,A1189,Postes!$B$5:$B$124,B1189)))</f>
        <v/>
      </c>
    </row>
    <row r="1190" customFormat="false" ht="15" hidden="false" customHeight="false" outlineLevel="0" collapsed="false">
      <c r="A1190" s="16"/>
      <c r="B1190" s="20"/>
      <c r="C1190" s="20"/>
      <c r="D1190" s="24"/>
      <c r="E1190" s="9" t="str">
        <f aca="false">IF(OR(A1190="",B1190="",C1190=""),"",IF(D1190="O",0,SUMIFS(Postes!$P$5:$P$124,Postes!$A$5:$A$124,A1190,Postes!$B$5:$B$124,B1190)))</f>
        <v/>
      </c>
    </row>
    <row r="1191" customFormat="false" ht="15" hidden="false" customHeight="false" outlineLevel="0" collapsed="false">
      <c r="A1191" s="16"/>
      <c r="B1191" s="20"/>
      <c r="C1191" s="20"/>
      <c r="D1191" s="24"/>
      <c r="E1191" s="9" t="str">
        <f aca="false">IF(OR(A1191="",B1191="",C1191=""),"",IF(D1191="O",0,SUMIFS(Postes!$P$5:$P$124,Postes!$A$5:$A$124,A1191,Postes!$B$5:$B$124,B1191)))</f>
        <v/>
      </c>
    </row>
    <row r="1192" customFormat="false" ht="15" hidden="false" customHeight="false" outlineLevel="0" collapsed="false">
      <c r="A1192" s="16"/>
      <c r="B1192" s="20"/>
      <c r="C1192" s="20"/>
      <c r="D1192" s="24"/>
      <c r="E1192" s="9" t="str">
        <f aca="false">IF(OR(A1192="",B1192="",C1192=""),"",IF(D1192="O",0,SUMIFS(Postes!$P$5:$P$124,Postes!$A$5:$A$124,A1192,Postes!$B$5:$B$124,B1192)))</f>
        <v/>
      </c>
    </row>
    <row r="1193" customFormat="false" ht="15" hidden="false" customHeight="false" outlineLevel="0" collapsed="false">
      <c r="A1193" s="16"/>
      <c r="B1193" s="20"/>
      <c r="C1193" s="20"/>
      <c r="D1193" s="24"/>
      <c r="E1193" s="9" t="str">
        <f aca="false">IF(OR(A1193="",B1193="",C1193=""),"",IF(D1193="O",0,SUMIFS(Postes!$P$5:$P$124,Postes!$A$5:$A$124,A1193,Postes!$B$5:$B$124,B1193)))</f>
        <v/>
      </c>
    </row>
    <row r="1194" customFormat="false" ht="15" hidden="false" customHeight="false" outlineLevel="0" collapsed="false">
      <c r="A1194" s="16"/>
      <c r="B1194" s="20"/>
      <c r="C1194" s="20"/>
      <c r="D1194" s="24"/>
      <c r="E1194" s="9" t="str">
        <f aca="false">IF(OR(A1194="",B1194="",C1194=""),"",IF(D1194="O",0,SUMIFS(Postes!$P$5:$P$124,Postes!$A$5:$A$124,A1194,Postes!$B$5:$B$124,B1194)))</f>
        <v/>
      </c>
    </row>
    <row r="1195" customFormat="false" ht="15" hidden="false" customHeight="false" outlineLevel="0" collapsed="false">
      <c r="A1195" s="16"/>
      <c r="B1195" s="20"/>
      <c r="C1195" s="20"/>
      <c r="D1195" s="24"/>
      <c r="E1195" s="9" t="str">
        <f aca="false">IF(OR(A1195="",B1195="",C1195=""),"",IF(D1195="O",0,SUMIFS(Postes!$P$5:$P$124,Postes!$A$5:$A$124,A1195,Postes!$B$5:$B$124,B1195)))</f>
        <v/>
      </c>
    </row>
    <row r="1196" customFormat="false" ht="15" hidden="false" customHeight="false" outlineLevel="0" collapsed="false">
      <c r="A1196" s="16"/>
      <c r="B1196" s="20"/>
      <c r="C1196" s="20"/>
      <c r="D1196" s="24"/>
      <c r="E1196" s="9" t="str">
        <f aca="false">IF(OR(A1196="",B1196="",C1196=""),"",IF(D1196="O",0,SUMIFS(Postes!$P$5:$P$124,Postes!$A$5:$A$124,A1196,Postes!$B$5:$B$124,B1196)))</f>
        <v/>
      </c>
    </row>
    <row r="1197" customFormat="false" ht="15" hidden="false" customHeight="false" outlineLevel="0" collapsed="false">
      <c r="A1197" s="16"/>
      <c r="B1197" s="20"/>
      <c r="C1197" s="20"/>
      <c r="D1197" s="24"/>
      <c r="E1197" s="9" t="str">
        <f aca="false">IF(OR(A1197="",B1197="",C1197=""),"",IF(D1197="O",0,SUMIFS(Postes!$P$5:$P$124,Postes!$A$5:$A$124,A1197,Postes!$B$5:$B$124,B1197)))</f>
        <v/>
      </c>
    </row>
    <row r="1198" customFormat="false" ht="15" hidden="false" customHeight="false" outlineLevel="0" collapsed="false">
      <c r="A1198" s="16"/>
      <c r="B1198" s="20"/>
      <c r="C1198" s="20"/>
      <c r="D1198" s="24"/>
      <c r="E1198" s="9" t="str">
        <f aca="false">IF(OR(A1198="",B1198="",C1198=""),"",IF(D1198="O",0,SUMIFS(Postes!$P$5:$P$124,Postes!$A$5:$A$124,A1198,Postes!$B$5:$B$124,B1198)))</f>
        <v/>
      </c>
    </row>
    <row r="1199" customFormat="false" ht="15" hidden="false" customHeight="false" outlineLevel="0" collapsed="false">
      <c r="A1199" s="16"/>
      <c r="B1199" s="20"/>
      <c r="C1199" s="20"/>
      <c r="D1199" s="24"/>
      <c r="E1199" s="9" t="str">
        <f aca="false">IF(OR(A1199="",B1199="",C1199=""),"",IF(D1199="O",0,SUMIFS(Postes!$P$5:$P$124,Postes!$A$5:$A$124,A1199,Postes!$B$5:$B$124,B1199)))</f>
        <v/>
      </c>
    </row>
    <row r="1200" customFormat="false" ht="15" hidden="false" customHeight="false" outlineLevel="0" collapsed="false">
      <c r="A1200" s="16"/>
      <c r="B1200" s="20"/>
      <c r="C1200" s="20"/>
      <c r="D1200" s="24"/>
      <c r="E1200" s="9" t="str">
        <f aca="false">IF(OR(A1200="",B1200="",C1200=""),"",IF(D1200="O",0,SUMIFS(Postes!$P$5:$P$124,Postes!$A$5:$A$124,A1200,Postes!$B$5:$B$124,B1200)))</f>
        <v/>
      </c>
    </row>
    <row r="1201" customFormat="false" ht="15" hidden="false" customHeight="false" outlineLevel="0" collapsed="false">
      <c r="A1201" s="16"/>
      <c r="B1201" s="20"/>
      <c r="C1201" s="20"/>
      <c r="D1201" s="24"/>
      <c r="E1201" s="9" t="str">
        <f aca="false">IF(OR(A1201="",B1201="",C1201=""),"",IF(D1201="O",0,SUMIFS(Postes!$P$5:$P$124,Postes!$A$5:$A$124,A1201,Postes!$B$5:$B$124,B1201)))</f>
        <v/>
      </c>
    </row>
    <row r="1202" customFormat="false" ht="15" hidden="false" customHeight="false" outlineLevel="0" collapsed="false">
      <c r="A1202" s="16"/>
      <c r="B1202" s="20"/>
      <c r="C1202" s="20"/>
      <c r="D1202" s="24"/>
      <c r="E1202" s="9" t="str">
        <f aca="false">IF(OR(A1202="",B1202="",C1202=""),"",IF(D1202="O",0,SUMIFS(Postes!$P$5:$P$124,Postes!$A$5:$A$124,A1202,Postes!$B$5:$B$124,B1202)))</f>
        <v/>
      </c>
    </row>
    <row r="1203" customFormat="false" ht="15" hidden="false" customHeight="false" outlineLevel="0" collapsed="false">
      <c r="A1203" s="16"/>
      <c r="B1203" s="20"/>
      <c r="C1203" s="20"/>
      <c r="D1203" s="24"/>
      <c r="E1203" s="9" t="str">
        <f aca="false">IF(OR(A1203="",B1203="",C1203=""),"",IF(D1203="O",0,SUMIFS(Postes!$P$5:$P$124,Postes!$A$5:$A$124,A1203,Postes!$B$5:$B$124,B1203)))</f>
        <v/>
      </c>
    </row>
    <row r="1204" customFormat="false" ht="15" hidden="false" customHeight="false" outlineLevel="0" collapsed="false">
      <c r="A1204" s="16"/>
      <c r="B1204" s="20"/>
      <c r="C1204" s="20"/>
      <c r="D1204" s="24"/>
      <c r="E1204" s="9" t="str">
        <f aca="false">IF(OR(A1204="",B1204="",C1204=""),"",IF(D1204="O",0,SUMIFS(Postes!$P$5:$P$124,Postes!$A$5:$A$124,A1204,Postes!$B$5:$B$124,B1204)))</f>
        <v/>
      </c>
    </row>
  </sheetData>
  <dataValidations count="3">
    <dataValidation allowBlank="true" errorStyle="stop" operator="between" showDropDown="false" showErrorMessage="false" showInputMessage="false" sqref="B5:B1204" type="list">
      <formula1>Paramètres!$A$11:$A$15</formula1>
      <formula2>0</formula2>
    </dataValidation>
    <dataValidation allowBlank="true" errorStyle="stop" operator="between" showDropDown="false" showErrorMessage="false" showInputMessage="false" sqref="C5:C1204" type="list">
      <formula1>Employés!$B$5:$B$64</formula1>
      <formula2>0</formula2>
    </dataValidation>
    <dataValidation allowBlank="true" errorStyle="stop" operator="between" showDropDown="false" showErrorMessage="false" showInputMessage="false" sqref="D5:D1204" type="list">
      <formula1>"O,N"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3" customFormat="false" ht="15" hidden="false" customHeight="false" outlineLevel="0" collapsed="false">
      <c r="A3" s="3" t="s">
        <v>80</v>
      </c>
      <c r="B3" s="20" t="s">
        <v>25</v>
      </c>
      <c r="D3" s="3" t="s">
        <v>2</v>
      </c>
      <c r="E3" s="4" t="n">
        <f aca="false">Paramètres!B4</f>
        <v>46296</v>
      </c>
    </row>
    <row r="5" customFormat="false" ht="31.5" hidden="false" customHeight="true" outlineLevel="0" collapsed="false">
      <c r="A5" s="5" t="s">
        <v>81</v>
      </c>
      <c r="B5" s="5" t="s">
        <v>52</v>
      </c>
      <c r="C5" s="5" t="s">
        <v>6</v>
      </c>
      <c r="D5" s="5" t="s">
        <v>82</v>
      </c>
      <c r="E5" s="5" t="s">
        <v>83</v>
      </c>
      <c r="F5" s="5" t="s">
        <v>84</v>
      </c>
      <c r="G5" s="5" t="s">
        <v>85</v>
      </c>
      <c r="H5" s="5" t="s">
        <v>86</v>
      </c>
      <c r="I5" s="5" t="s">
        <v>87</v>
      </c>
      <c r="J5" s="5" t="s">
        <v>88</v>
      </c>
    </row>
    <row r="6" customFormat="false" ht="15" hidden="false" customHeight="false" outlineLevel="0" collapsed="false">
      <c r="A6" s="10" t="n">
        <v>1</v>
      </c>
      <c r="B6" s="21" t="n">
        <f aca="false">IF(MONTH(Paramètres!$B$4+0)=MONTH(Paramètres!$B$4),Paramètres!$B$4+0,"")</f>
        <v>46296</v>
      </c>
      <c r="C6" s="7" t="n">
        <f aca="false">IF(OR(B6="",COUNTIFS(Postes!$A$5:$A$124,B6,Postes!$B$5:$B$124,$B$3)=0),"",SUMIFS(Postes!$F$5:$F$124,Postes!$A$5:$A$124,B6,Postes!$B$5:$B$124,$B$3))</f>
        <v>13</v>
      </c>
      <c r="D6" s="7" t="n">
        <f aca="false">IF(OR(B6="",COUNTIFS(Postes!$A$5:$A$124,B6,Postes!$B$5:$B$124,$B$3)=0),"",SUMIFS(Postes!$M$5:$M$124,Postes!$A$5:$A$124,B6,Postes!$B$5:$B$124,$B$3))</f>
        <v>3</v>
      </c>
      <c r="E6" s="15" t="n">
        <f aca="false">IF(OR(B6="",COUNTIFS(Postes!$A$5:$A$124,B6,Postes!$B$5:$B$124,$B$3)=0),"",AVERAGEIFS(Postes!$G$5:$G$124,Postes!$A$5:$A$124,B6,Postes!$B$5:$B$124,$B$3))</f>
        <v>0.03</v>
      </c>
      <c r="F6" s="25" t="str">
        <f aca="false">IF(OR(B6="",COUNTIFS(Postes!$A$5:$A$124,B6,Postes!$B$5:$B$124,$B$3)=0),"",IF(COUNTIFS(Postes!$A$5:$A$124,B6,Postes!$B$5:$B$124,$B$3,Postes!$L$5:$L$124,"O")&gt;0,"O","N"))</f>
        <v>O</v>
      </c>
      <c r="G6" s="9" t="n">
        <f aca="false">IF(OR(B6="",COUNTIFS(Postes!$A$5:$A$124,B6,Postes!$B$5:$B$124,$B$3)=0),"",SUMIFS(Postes!$N$5:$N$124,Postes!$A$5:$A$124,B6,Postes!$B$5:$B$124,$B$3))</f>
        <v>4500</v>
      </c>
      <c r="H6" s="7" t="n">
        <f aca="false">IF(OR(B6="",COUNTIFS(Postes!$A$5:$A$124,B6,Postes!$B$5:$B$124,$B$3)=0),"",SUMIFS(Postes!$O$5:$O$124,Postes!$A$5:$A$124,B6,Postes!$B$5:$B$124,$B$3))</f>
        <v>2</v>
      </c>
      <c r="I6" s="9" t="n">
        <f aca="false">IF(OR(B6="",COUNTIFS(Postes!$A$5:$A$124,B6,Postes!$B$5:$B$124,$B$3)=0),"",SUMIFS(Postes!$P$5:$P$124,Postes!$A$5:$A$124,B6,Postes!$B$5:$B$124,$B$3))</f>
        <v>2250</v>
      </c>
      <c r="J6" s="26"/>
    </row>
    <row r="7" customFormat="false" ht="15" hidden="false" customHeight="false" outlineLevel="0" collapsed="false">
      <c r="A7" s="10" t="n">
        <v>2</v>
      </c>
      <c r="B7" s="21" t="n">
        <f aca="false">IF(MONTH(Paramètres!$B$4+1)=MONTH(Paramètres!$B$4),Paramètres!$B$4+1,"")</f>
        <v>46297</v>
      </c>
      <c r="C7" s="7" t="str">
        <f aca="false">IF(OR(B7="",COUNTIFS(Postes!$A$5:$A$124,B7,Postes!$B$5:$B$124,$B$3)=0),"",SUMIFS(Postes!$F$5:$F$124,Postes!$A$5:$A$124,B7,Postes!$B$5:$B$124,$B$3))</f>
        <v/>
      </c>
      <c r="D7" s="7" t="str">
        <f aca="false">IF(OR(B7="",COUNTIFS(Postes!$A$5:$A$124,B7,Postes!$B$5:$B$124,$B$3)=0),"",SUMIFS(Postes!$M$5:$M$124,Postes!$A$5:$A$124,B7,Postes!$B$5:$B$124,$B$3))</f>
        <v/>
      </c>
      <c r="E7" s="15" t="str">
        <f aca="false">IF(OR(B7="",COUNTIFS(Postes!$A$5:$A$124,B7,Postes!$B$5:$B$124,$B$3)=0),"",AVERAGEIFS(Postes!$G$5:$G$124,Postes!$A$5:$A$124,B7,Postes!$B$5:$B$124,$B$3))</f>
        <v/>
      </c>
      <c r="F7" s="25" t="str">
        <f aca="false">IF(OR(B7="",COUNTIFS(Postes!$A$5:$A$124,B7,Postes!$B$5:$B$124,$B$3)=0),"",IF(COUNTIFS(Postes!$A$5:$A$124,B7,Postes!$B$5:$B$124,$B$3,Postes!$L$5:$L$124,"O")&gt;0,"O","N"))</f>
        <v/>
      </c>
      <c r="G7" s="9" t="str">
        <f aca="false">IF(OR(B7="",COUNTIFS(Postes!$A$5:$A$124,B7,Postes!$B$5:$B$124,$B$3)=0),"",SUMIFS(Postes!$N$5:$N$124,Postes!$A$5:$A$124,B7,Postes!$B$5:$B$124,$B$3))</f>
        <v/>
      </c>
      <c r="H7" s="7" t="str">
        <f aca="false">IF(OR(B7="",COUNTIFS(Postes!$A$5:$A$124,B7,Postes!$B$5:$B$124,$B$3)=0),"",SUMIFS(Postes!$O$5:$O$124,Postes!$A$5:$A$124,B7,Postes!$B$5:$B$124,$B$3))</f>
        <v/>
      </c>
      <c r="I7" s="9" t="str">
        <f aca="false">IF(OR(B7="",COUNTIFS(Postes!$A$5:$A$124,B7,Postes!$B$5:$B$124,$B$3)=0),"",SUMIFS(Postes!$P$5:$P$124,Postes!$A$5:$A$124,B7,Postes!$B$5:$B$124,$B$3))</f>
        <v/>
      </c>
      <c r="J7" s="26"/>
    </row>
    <row r="8" customFormat="false" ht="15" hidden="false" customHeight="false" outlineLevel="0" collapsed="false">
      <c r="A8" s="10" t="n">
        <v>3</v>
      </c>
      <c r="B8" s="21" t="n">
        <f aca="false">IF(MONTH(Paramètres!$B$4+2)=MONTH(Paramètres!$B$4),Paramètres!$B$4+2,"")</f>
        <v>46298</v>
      </c>
      <c r="C8" s="7" t="str">
        <f aca="false">IF(OR(B8="",COUNTIFS(Postes!$A$5:$A$124,B8,Postes!$B$5:$B$124,$B$3)=0),"",SUMIFS(Postes!$F$5:$F$124,Postes!$A$5:$A$124,B8,Postes!$B$5:$B$124,$B$3))</f>
        <v/>
      </c>
      <c r="D8" s="7" t="str">
        <f aca="false">IF(OR(B8="",COUNTIFS(Postes!$A$5:$A$124,B8,Postes!$B$5:$B$124,$B$3)=0),"",SUMIFS(Postes!$M$5:$M$124,Postes!$A$5:$A$124,B8,Postes!$B$5:$B$124,$B$3))</f>
        <v/>
      </c>
      <c r="E8" s="15" t="str">
        <f aca="false">IF(OR(B8="",COUNTIFS(Postes!$A$5:$A$124,B8,Postes!$B$5:$B$124,$B$3)=0),"",AVERAGEIFS(Postes!$G$5:$G$124,Postes!$A$5:$A$124,B8,Postes!$B$5:$B$124,$B$3))</f>
        <v/>
      </c>
      <c r="F8" s="25" t="str">
        <f aca="false">IF(OR(B8="",COUNTIFS(Postes!$A$5:$A$124,B8,Postes!$B$5:$B$124,$B$3)=0),"",IF(COUNTIFS(Postes!$A$5:$A$124,B8,Postes!$B$5:$B$124,$B$3,Postes!$L$5:$L$124,"O")&gt;0,"O","N"))</f>
        <v/>
      </c>
      <c r="G8" s="9" t="str">
        <f aca="false">IF(OR(B8="",COUNTIFS(Postes!$A$5:$A$124,B8,Postes!$B$5:$B$124,$B$3)=0),"",SUMIFS(Postes!$N$5:$N$124,Postes!$A$5:$A$124,B8,Postes!$B$5:$B$124,$B$3))</f>
        <v/>
      </c>
      <c r="H8" s="7" t="str">
        <f aca="false">IF(OR(B8="",COUNTIFS(Postes!$A$5:$A$124,B8,Postes!$B$5:$B$124,$B$3)=0),"",SUMIFS(Postes!$O$5:$O$124,Postes!$A$5:$A$124,B8,Postes!$B$5:$B$124,$B$3))</f>
        <v/>
      </c>
      <c r="I8" s="9" t="str">
        <f aca="false">IF(OR(B8="",COUNTIFS(Postes!$A$5:$A$124,B8,Postes!$B$5:$B$124,$B$3)=0),"",SUMIFS(Postes!$P$5:$P$124,Postes!$A$5:$A$124,B8,Postes!$B$5:$B$124,$B$3))</f>
        <v/>
      </c>
      <c r="J8" s="26"/>
    </row>
    <row r="9" customFormat="false" ht="15" hidden="false" customHeight="false" outlineLevel="0" collapsed="false">
      <c r="A9" s="10" t="n">
        <v>4</v>
      </c>
      <c r="B9" s="21" t="n">
        <f aca="false">IF(MONTH(Paramètres!$B$4+3)=MONTH(Paramètres!$B$4),Paramètres!$B$4+3,"")</f>
        <v>46299</v>
      </c>
      <c r="C9" s="7" t="str">
        <f aca="false">IF(OR(B9="",COUNTIFS(Postes!$A$5:$A$124,B9,Postes!$B$5:$B$124,$B$3)=0),"",SUMIFS(Postes!$F$5:$F$124,Postes!$A$5:$A$124,B9,Postes!$B$5:$B$124,$B$3))</f>
        <v/>
      </c>
      <c r="D9" s="7" t="str">
        <f aca="false">IF(OR(B9="",COUNTIFS(Postes!$A$5:$A$124,B9,Postes!$B$5:$B$124,$B$3)=0),"",SUMIFS(Postes!$M$5:$M$124,Postes!$A$5:$A$124,B9,Postes!$B$5:$B$124,$B$3))</f>
        <v/>
      </c>
      <c r="E9" s="15" t="str">
        <f aca="false">IF(OR(B9="",COUNTIFS(Postes!$A$5:$A$124,B9,Postes!$B$5:$B$124,$B$3)=0),"",AVERAGEIFS(Postes!$G$5:$G$124,Postes!$A$5:$A$124,B9,Postes!$B$5:$B$124,$B$3))</f>
        <v/>
      </c>
      <c r="F9" s="25" t="str">
        <f aca="false">IF(OR(B9="",COUNTIFS(Postes!$A$5:$A$124,B9,Postes!$B$5:$B$124,$B$3)=0),"",IF(COUNTIFS(Postes!$A$5:$A$124,B9,Postes!$B$5:$B$124,$B$3,Postes!$L$5:$L$124,"O")&gt;0,"O","N"))</f>
        <v/>
      </c>
      <c r="G9" s="9" t="str">
        <f aca="false">IF(OR(B9="",COUNTIFS(Postes!$A$5:$A$124,B9,Postes!$B$5:$B$124,$B$3)=0),"",SUMIFS(Postes!$N$5:$N$124,Postes!$A$5:$A$124,B9,Postes!$B$5:$B$124,$B$3))</f>
        <v/>
      </c>
      <c r="H9" s="7" t="str">
        <f aca="false">IF(OR(B9="",COUNTIFS(Postes!$A$5:$A$124,B9,Postes!$B$5:$B$124,$B$3)=0),"",SUMIFS(Postes!$O$5:$O$124,Postes!$A$5:$A$124,B9,Postes!$B$5:$B$124,$B$3))</f>
        <v/>
      </c>
      <c r="I9" s="9" t="str">
        <f aca="false">IF(OR(B9="",COUNTIFS(Postes!$A$5:$A$124,B9,Postes!$B$5:$B$124,$B$3)=0),"",SUMIFS(Postes!$P$5:$P$124,Postes!$A$5:$A$124,B9,Postes!$B$5:$B$124,$B$3))</f>
        <v/>
      </c>
      <c r="J9" s="26"/>
    </row>
    <row r="10" customFormat="false" ht="15" hidden="false" customHeight="false" outlineLevel="0" collapsed="false">
      <c r="A10" s="10" t="n">
        <v>5</v>
      </c>
      <c r="B10" s="21" t="n">
        <f aca="false">IF(MONTH(Paramètres!$B$4+4)=MONTH(Paramètres!$B$4),Paramètres!$B$4+4,"")</f>
        <v>46300</v>
      </c>
      <c r="C10" s="7" t="str">
        <f aca="false">IF(OR(B10="",COUNTIFS(Postes!$A$5:$A$124,B10,Postes!$B$5:$B$124,$B$3)=0),"",SUMIFS(Postes!$F$5:$F$124,Postes!$A$5:$A$124,B10,Postes!$B$5:$B$124,$B$3))</f>
        <v/>
      </c>
      <c r="D10" s="7" t="str">
        <f aca="false">IF(OR(B10="",COUNTIFS(Postes!$A$5:$A$124,B10,Postes!$B$5:$B$124,$B$3)=0),"",SUMIFS(Postes!$M$5:$M$124,Postes!$A$5:$A$124,B10,Postes!$B$5:$B$124,$B$3))</f>
        <v/>
      </c>
      <c r="E10" s="15" t="str">
        <f aca="false">IF(OR(B10="",COUNTIFS(Postes!$A$5:$A$124,B10,Postes!$B$5:$B$124,$B$3)=0),"",AVERAGEIFS(Postes!$G$5:$G$124,Postes!$A$5:$A$124,B10,Postes!$B$5:$B$124,$B$3))</f>
        <v/>
      </c>
      <c r="F10" s="25" t="str">
        <f aca="false">IF(OR(B10="",COUNTIFS(Postes!$A$5:$A$124,B10,Postes!$B$5:$B$124,$B$3)=0),"",IF(COUNTIFS(Postes!$A$5:$A$124,B10,Postes!$B$5:$B$124,$B$3,Postes!$L$5:$L$124,"O")&gt;0,"O","N"))</f>
        <v/>
      </c>
      <c r="G10" s="9" t="str">
        <f aca="false">IF(OR(B10="",COUNTIFS(Postes!$A$5:$A$124,B10,Postes!$B$5:$B$124,$B$3)=0),"",SUMIFS(Postes!$N$5:$N$124,Postes!$A$5:$A$124,B10,Postes!$B$5:$B$124,$B$3))</f>
        <v/>
      </c>
      <c r="H10" s="7" t="str">
        <f aca="false">IF(OR(B10="",COUNTIFS(Postes!$A$5:$A$124,B10,Postes!$B$5:$B$124,$B$3)=0),"",SUMIFS(Postes!$O$5:$O$124,Postes!$A$5:$A$124,B10,Postes!$B$5:$B$124,$B$3))</f>
        <v/>
      </c>
      <c r="I10" s="9" t="str">
        <f aca="false">IF(OR(B10="",COUNTIFS(Postes!$A$5:$A$124,B10,Postes!$B$5:$B$124,$B$3)=0),"",SUMIFS(Postes!$P$5:$P$124,Postes!$A$5:$A$124,B10,Postes!$B$5:$B$124,$B$3))</f>
        <v/>
      </c>
      <c r="J10" s="26"/>
    </row>
    <row r="11" customFormat="false" ht="15" hidden="false" customHeight="false" outlineLevel="0" collapsed="false">
      <c r="A11" s="10" t="n">
        <v>6</v>
      </c>
      <c r="B11" s="21" t="n">
        <f aca="false">IF(MONTH(Paramètres!$B$4+5)=MONTH(Paramètres!$B$4),Paramètres!$B$4+5,"")</f>
        <v>46301</v>
      </c>
      <c r="C11" s="7" t="str">
        <f aca="false">IF(OR(B11="",COUNTIFS(Postes!$A$5:$A$124,B11,Postes!$B$5:$B$124,$B$3)=0),"",SUMIFS(Postes!$F$5:$F$124,Postes!$A$5:$A$124,B11,Postes!$B$5:$B$124,$B$3))</f>
        <v/>
      </c>
      <c r="D11" s="7" t="str">
        <f aca="false">IF(OR(B11="",COUNTIFS(Postes!$A$5:$A$124,B11,Postes!$B$5:$B$124,$B$3)=0),"",SUMIFS(Postes!$M$5:$M$124,Postes!$A$5:$A$124,B11,Postes!$B$5:$B$124,$B$3))</f>
        <v/>
      </c>
      <c r="E11" s="15" t="str">
        <f aca="false">IF(OR(B11="",COUNTIFS(Postes!$A$5:$A$124,B11,Postes!$B$5:$B$124,$B$3)=0),"",AVERAGEIFS(Postes!$G$5:$G$124,Postes!$A$5:$A$124,B11,Postes!$B$5:$B$124,$B$3))</f>
        <v/>
      </c>
      <c r="F11" s="25" t="str">
        <f aca="false">IF(OR(B11="",COUNTIFS(Postes!$A$5:$A$124,B11,Postes!$B$5:$B$124,$B$3)=0),"",IF(COUNTIFS(Postes!$A$5:$A$124,B11,Postes!$B$5:$B$124,$B$3,Postes!$L$5:$L$124,"O")&gt;0,"O","N"))</f>
        <v/>
      </c>
      <c r="G11" s="9" t="str">
        <f aca="false">IF(OR(B11="",COUNTIFS(Postes!$A$5:$A$124,B11,Postes!$B$5:$B$124,$B$3)=0),"",SUMIFS(Postes!$N$5:$N$124,Postes!$A$5:$A$124,B11,Postes!$B$5:$B$124,$B$3))</f>
        <v/>
      </c>
      <c r="H11" s="7" t="str">
        <f aca="false">IF(OR(B11="",COUNTIFS(Postes!$A$5:$A$124,B11,Postes!$B$5:$B$124,$B$3)=0),"",SUMIFS(Postes!$O$5:$O$124,Postes!$A$5:$A$124,B11,Postes!$B$5:$B$124,$B$3))</f>
        <v/>
      </c>
      <c r="I11" s="9" t="str">
        <f aca="false">IF(OR(B11="",COUNTIFS(Postes!$A$5:$A$124,B11,Postes!$B$5:$B$124,$B$3)=0),"",SUMIFS(Postes!$P$5:$P$124,Postes!$A$5:$A$124,B11,Postes!$B$5:$B$124,$B$3))</f>
        <v/>
      </c>
      <c r="J11" s="26"/>
    </row>
    <row r="12" customFormat="false" ht="15" hidden="false" customHeight="false" outlineLevel="0" collapsed="false">
      <c r="A12" s="10" t="n">
        <v>7</v>
      </c>
      <c r="B12" s="21" t="n">
        <f aca="false">IF(MONTH(Paramètres!$B$4+6)=MONTH(Paramètres!$B$4),Paramètres!$B$4+6,"")</f>
        <v>46302</v>
      </c>
      <c r="C12" s="7" t="str">
        <f aca="false">IF(OR(B12="",COUNTIFS(Postes!$A$5:$A$124,B12,Postes!$B$5:$B$124,$B$3)=0),"",SUMIFS(Postes!$F$5:$F$124,Postes!$A$5:$A$124,B12,Postes!$B$5:$B$124,$B$3))</f>
        <v/>
      </c>
      <c r="D12" s="7" t="str">
        <f aca="false">IF(OR(B12="",COUNTIFS(Postes!$A$5:$A$124,B12,Postes!$B$5:$B$124,$B$3)=0),"",SUMIFS(Postes!$M$5:$M$124,Postes!$A$5:$A$124,B12,Postes!$B$5:$B$124,$B$3))</f>
        <v/>
      </c>
      <c r="E12" s="15" t="str">
        <f aca="false">IF(OR(B12="",COUNTIFS(Postes!$A$5:$A$124,B12,Postes!$B$5:$B$124,$B$3)=0),"",AVERAGEIFS(Postes!$G$5:$G$124,Postes!$A$5:$A$124,B12,Postes!$B$5:$B$124,$B$3))</f>
        <v/>
      </c>
      <c r="F12" s="25" t="str">
        <f aca="false">IF(OR(B12="",COUNTIFS(Postes!$A$5:$A$124,B12,Postes!$B$5:$B$124,$B$3)=0),"",IF(COUNTIFS(Postes!$A$5:$A$124,B12,Postes!$B$5:$B$124,$B$3,Postes!$L$5:$L$124,"O")&gt;0,"O","N"))</f>
        <v/>
      </c>
      <c r="G12" s="9" t="str">
        <f aca="false">IF(OR(B12="",COUNTIFS(Postes!$A$5:$A$124,B12,Postes!$B$5:$B$124,$B$3)=0),"",SUMIFS(Postes!$N$5:$N$124,Postes!$A$5:$A$124,B12,Postes!$B$5:$B$124,$B$3))</f>
        <v/>
      </c>
      <c r="H12" s="7" t="str">
        <f aca="false">IF(OR(B12="",COUNTIFS(Postes!$A$5:$A$124,B12,Postes!$B$5:$B$124,$B$3)=0),"",SUMIFS(Postes!$O$5:$O$124,Postes!$A$5:$A$124,B12,Postes!$B$5:$B$124,$B$3))</f>
        <v/>
      </c>
      <c r="I12" s="9" t="str">
        <f aca="false">IF(OR(B12="",COUNTIFS(Postes!$A$5:$A$124,B12,Postes!$B$5:$B$124,$B$3)=0),"",SUMIFS(Postes!$P$5:$P$124,Postes!$A$5:$A$124,B12,Postes!$B$5:$B$124,$B$3))</f>
        <v/>
      </c>
      <c r="J12" s="26"/>
    </row>
    <row r="13" customFormat="false" ht="15" hidden="false" customHeight="false" outlineLevel="0" collapsed="false">
      <c r="A13" s="10" t="n">
        <v>8</v>
      </c>
      <c r="B13" s="21" t="n">
        <f aca="false">IF(MONTH(Paramètres!$B$4+7)=MONTH(Paramètres!$B$4),Paramètres!$B$4+7,"")</f>
        <v>46303</v>
      </c>
      <c r="C13" s="7" t="str">
        <f aca="false">IF(OR(B13="",COUNTIFS(Postes!$A$5:$A$124,B13,Postes!$B$5:$B$124,$B$3)=0),"",SUMIFS(Postes!$F$5:$F$124,Postes!$A$5:$A$124,B13,Postes!$B$5:$B$124,$B$3))</f>
        <v/>
      </c>
      <c r="D13" s="7" t="str">
        <f aca="false">IF(OR(B13="",COUNTIFS(Postes!$A$5:$A$124,B13,Postes!$B$5:$B$124,$B$3)=0),"",SUMIFS(Postes!$M$5:$M$124,Postes!$A$5:$A$124,B13,Postes!$B$5:$B$124,$B$3))</f>
        <v/>
      </c>
      <c r="E13" s="15" t="str">
        <f aca="false">IF(OR(B13="",COUNTIFS(Postes!$A$5:$A$124,B13,Postes!$B$5:$B$124,$B$3)=0),"",AVERAGEIFS(Postes!$G$5:$G$124,Postes!$A$5:$A$124,B13,Postes!$B$5:$B$124,$B$3))</f>
        <v/>
      </c>
      <c r="F13" s="25" t="str">
        <f aca="false">IF(OR(B13="",COUNTIFS(Postes!$A$5:$A$124,B13,Postes!$B$5:$B$124,$B$3)=0),"",IF(COUNTIFS(Postes!$A$5:$A$124,B13,Postes!$B$5:$B$124,$B$3,Postes!$L$5:$L$124,"O")&gt;0,"O","N"))</f>
        <v/>
      </c>
      <c r="G13" s="9" t="str">
        <f aca="false">IF(OR(B13="",COUNTIFS(Postes!$A$5:$A$124,B13,Postes!$B$5:$B$124,$B$3)=0),"",SUMIFS(Postes!$N$5:$N$124,Postes!$A$5:$A$124,B13,Postes!$B$5:$B$124,$B$3))</f>
        <v/>
      </c>
      <c r="H13" s="7" t="str">
        <f aca="false">IF(OR(B13="",COUNTIFS(Postes!$A$5:$A$124,B13,Postes!$B$5:$B$124,$B$3)=0),"",SUMIFS(Postes!$O$5:$O$124,Postes!$A$5:$A$124,B13,Postes!$B$5:$B$124,$B$3))</f>
        <v/>
      </c>
      <c r="I13" s="9" t="str">
        <f aca="false">IF(OR(B13="",COUNTIFS(Postes!$A$5:$A$124,B13,Postes!$B$5:$B$124,$B$3)=0),"",SUMIFS(Postes!$P$5:$P$124,Postes!$A$5:$A$124,B13,Postes!$B$5:$B$124,$B$3))</f>
        <v/>
      </c>
      <c r="J13" s="26"/>
    </row>
    <row r="14" customFormat="false" ht="15" hidden="false" customHeight="false" outlineLevel="0" collapsed="false">
      <c r="A14" s="10" t="n">
        <v>9</v>
      </c>
      <c r="B14" s="21" t="n">
        <f aca="false">IF(MONTH(Paramètres!$B$4+8)=MONTH(Paramètres!$B$4),Paramètres!$B$4+8,"")</f>
        <v>46304</v>
      </c>
      <c r="C14" s="7" t="str">
        <f aca="false">IF(OR(B14="",COUNTIFS(Postes!$A$5:$A$124,B14,Postes!$B$5:$B$124,$B$3)=0),"",SUMIFS(Postes!$F$5:$F$124,Postes!$A$5:$A$124,B14,Postes!$B$5:$B$124,$B$3))</f>
        <v/>
      </c>
      <c r="D14" s="7" t="str">
        <f aca="false">IF(OR(B14="",COUNTIFS(Postes!$A$5:$A$124,B14,Postes!$B$5:$B$124,$B$3)=0),"",SUMIFS(Postes!$M$5:$M$124,Postes!$A$5:$A$124,B14,Postes!$B$5:$B$124,$B$3))</f>
        <v/>
      </c>
      <c r="E14" s="15" t="str">
        <f aca="false">IF(OR(B14="",COUNTIFS(Postes!$A$5:$A$124,B14,Postes!$B$5:$B$124,$B$3)=0),"",AVERAGEIFS(Postes!$G$5:$G$124,Postes!$A$5:$A$124,B14,Postes!$B$5:$B$124,$B$3))</f>
        <v/>
      </c>
      <c r="F14" s="25" t="str">
        <f aca="false">IF(OR(B14="",COUNTIFS(Postes!$A$5:$A$124,B14,Postes!$B$5:$B$124,$B$3)=0),"",IF(COUNTIFS(Postes!$A$5:$A$124,B14,Postes!$B$5:$B$124,$B$3,Postes!$L$5:$L$124,"O")&gt;0,"O","N"))</f>
        <v/>
      </c>
      <c r="G14" s="9" t="str">
        <f aca="false">IF(OR(B14="",COUNTIFS(Postes!$A$5:$A$124,B14,Postes!$B$5:$B$124,$B$3)=0),"",SUMIFS(Postes!$N$5:$N$124,Postes!$A$5:$A$124,B14,Postes!$B$5:$B$124,$B$3))</f>
        <v/>
      </c>
      <c r="H14" s="7" t="str">
        <f aca="false">IF(OR(B14="",COUNTIFS(Postes!$A$5:$A$124,B14,Postes!$B$5:$B$124,$B$3)=0),"",SUMIFS(Postes!$O$5:$O$124,Postes!$A$5:$A$124,B14,Postes!$B$5:$B$124,$B$3))</f>
        <v/>
      </c>
      <c r="I14" s="9" t="str">
        <f aca="false">IF(OR(B14="",COUNTIFS(Postes!$A$5:$A$124,B14,Postes!$B$5:$B$124,$B$3)=0),"",SUMIFS(Postes!$P$5:$P$124,Postes!$A$5:$A$124,B14,Postes!$B$5:$B$124,$B$3))</f>
        <v/>
      </c>
      <c r="J14" s="26"/>
    </row>
    <row r="15" customFormat="false" ht="15" hidden="false" customHeight="false" outlineLevel="0" collapsed="false">
      <c r="A15" s="10" t="n">
        <v>10</v>
      </c>
      <c r="B15" s="21" t="n">
        <f aca="false">IF(MONTH(Paramètres!$B$4+9)=MONTH(Paramètres!$B$4),Paramètres!$B$4+9,"")</f>
        <v>46305</v>
      </c>
      <c r="C15" s="7" t="str">
        <f aca="false">IF(OR(B15="",COUNTIFS(Postes!$A$5:$A$124,B15,Postes!$B$5:$B$124,$B$3)=0),"",SUMIFS(Postes!$F$5:$F$124,Postes!$A$5:$A$124,B15,Postes!$B$5:$B$124,$B$3))</f>
        <v/>
      </c>
      <c r="D15" s="7" t="str">
        <f aca="false">IF(OR(B15="",COUNTIFS(Postes!$A$5:$A$124,B15,Postes!$B$5:$B$124,$B$3)=0),"",SUMIFS(Postes!$M$5:$M$124,Postes!$A$5:$A$124,B15,Postes!$B$5:$B$124,$B$3))</f>
        <v/>
      </c>
      <c r="E15" s="15" t="str">
        <f aca="false">IF(OR(B15="",COUNTIFS(Postes!$A$5:$A$124,B15,Postes!$B$5:$B$124,$B$3)=0),"",AVERAGEIFS(Postes!$G$5:$G$124,Postes!$A$5:$A$124,B15,Postes!$B$5:$B$124,$B$3))</f>
        <v/>
      </c>
      <c r="F15" s="25" t="str">
        <f aca="false">IF(OR(B15="",COUNTIFS(Postes!$A$5:$A$124,B15,Postes!$B$5:$B$124,$B$3)=0),"",IF(COUNTIFS(Postes!$A$5:$A$124,B15,Postes!$B$5:$B$124,$B$3,Postes!$L$5:$L$124,"O")&gt;0,"O","N"))</f>
        <v/>
      </c>
      <c r="G15" s="9" t="str">
        <f aca="false">IF(OR(B15="",COUNTIFS(Postes!$A$5:$A$124,B15,Postes!$B$5:$B$124,$B$3)=0),"",SUMIFS(Postes!$N$5:$N$124,Postes!$A$5:$A$124,B15,Postes!$B$5:$B$124,$B$3))</f>
        <v/>
      </c>
      <c r="H15" s="7" t="str">
        <f aca="false">IF(OR(B15="",COUNTIFS(Postes!$A$5:$A$124,B15,Postes!$B$5:$B$124,$B$3)=0),"",SUMIFS(Postes!$O$5:$O$124,Postes!$A$5:$A$124,B15,Postes!$B$5:$B$124,$B$3))</f>
        <v/>
      </c>
      <c r="I15" s="9" t="str">
        <f aca="false">IF(OR(B15="",COUNTIFS(Postes!$A$5:$A$124,B15,Postes!$B$5:$B$124,$B$3)=0),"",SUMIFS(Postes!$P$5:$P$124,Postes!$A$5:$A$124,B15,Postes!$B$5:$B$124,$B$3))</f>
        <v/>
      </c>
      <c r="J15" s="26"/>
    </row>
    <row r="16" customFormat="false" ht="15" hidden="false" customHeight="false" outlineLevel="0" collapsed="false">
      <c r="A16" s="10" t="n">
        <v>11</v>
      </c>
      <c r="B16" s="21" t="n">
        <f aca="false">IF(MONTH(Paramètres!$B$4+10)=MONTH(Paramètres!$B$4),Paramètres!$B$4+10,"")</f>
        <v>46306</v>
      </c>
      <c r="C16" s="7" t="str">
        <f aca="false">IF(OR(B16="",COUNTIFS(Postes!$A$5:$A$124,B16,Postes!$B$5:$B$124,$B$3)=0),"",SUMIFS(Postes!$F$5:$F$124,Postes!$A$5:$A$124,B16,Postes!$B$5:$B$124,$B$3))</f>
        <v/>
      </c>
      <c r="D16" s="7" t="str">
        <f aca="false">IF(OR(B16="",COUNTIFS(Postes!$A$5:$A$124,B16,Postes!$B$5:$B$124,$B$3)=0),"",SUMIFS(Postes!$M$5:$M$124,Postes!$A$5:$A$124,B16,Postes!$B$5:$B$124,$B$3))</f>
        <v/>
      </c>
      <c r="E16" s="15" t="str">
        <f aca="false">IF(OR(B16="",COUNTIFS(Postes!$A$5:$A$124,B16,Postes!$B$5:$B$124,$B$3)=0),"",AVERAGEIFS(Postes!$G$5:$G$124,Postes!$A$5:$A$124,B16,Postes!$B$5:$B$124,$B$3))</f>
        <v/>
      </c>
      <c r="F16" s="25" t="str">
        <f aca="false">IF(OR(B16="",COUNTIFS(Postes!$A$5:$A$124,B16,Postes!$B$5:$B$124,$B$3)=0),"",IF(COUNTIFS(Postes!$A$5:$A$124,B16,Postes!$B$5:$B$124,$B$3,Postes!$L$5:$L$124,"O")&gt;0,"O","N"))</f>
        <v/>
      </c>
      <c r="G16" s="9" t="str">
        <f aca="false">IF(OR(B16="",COUNTIFS(Postes!$A$5:$A$124,B16,Postes!$B$5:$B$124,$B$3)=0),"",SUMIFS(Postes!$N$5:$N$124,Postes!$A$5:$A$124,B16,Postes!$B$5:$B$124,$B$3))</f>
        <v/>
      </c>
      <c r="H16" s="7" t="str">
        <f aca="false">IF(OR(B16="",COUNTIFS(Postes!$A$5:$A$124,B16,Postes!$B$5:$B$124,$B$3)=0),"",SUMIFS(Postes!$O$5:$O$124,Postes!$A$5:$A$124,B16,Postes!$B$5:$B$124,$B$3))</f>
        <v/>
      </c>
      <c r="I16" s="9" t="str">
        <f aca="false">IF(OR(B16="",COUNTIFS(Postes!$A$5:$A$124,B16,Postes!$B$5:$B$124,$B$3)=0),"",SUMIFS(Postes!$P$5:$P$124,Postes!$A$5:$A$124,B16,Postes!$B$5:$B$124,$B$3))</f>
        <v/>
      </c>
      <c r="J16" s="26"/>
    </row>
    <row r="17" customFormat="false" ht="15" hidden="false" customHeight="false" outlineLevel="0" collapsed="false">
      <c r="A17" s="10" t="n">
        <v>12</v>
      </c>
      <c r="B17" s="21" t="n">
        <f aca="false">IF(MONTH(Paramètres!$B$4+11)=MONTH(Paramètres!$B$4),Paramètres!$B$4+11,"")</f>
        <v>46307</v>
      </c>
      <c r="C17" s="7" t="str">
        <f aca="false">IF(OR(B17="",COUNTIFS(Postes!$A$5:$A$124,B17,Postes!$B$5:$B$124,$B$3)=0),"",SUMIFS(Postes!$F$5:$F$124,Postes!$A$5:$A$124,B17,Postes!$B$5:$B$124,$B$3))</f>
        <v/>
      </c>
      <c r="D17" s="7" t="str">
        <f aca="false">IF(OR(B17="",COUNTIFS(Postes!$A$5:$A$124,B17,Postes!$B$5:$B$124,$B$3)=0),"",SUMIFS(Postes!$M$5:$M$124,Postes!$A$5:$A$124,B17,Postes!$B$5:$B$124,$B$3))</f>
        <v/>
      </c>
      <c r="E17" s="15" t="str">
        <f aca="false">IF(OR(B17="",COUNTIFS(Postes!$A$5:$A$124,B17,Postes!$B$5:$B$124,$B$3)=0),"",AVERAGEIFS(Postes!$G$5:$G$124,Postes!$A$5:$A$124,B17,Postes!$B$5:$B$124,$B$3))</f>
        <v/>
      </c>
      <c r="F17" s="25" t="str">
        <f aca="false">IF(OR(B17="",COUNTIFS(Postes!$A$5:$A$124,B17,Postes!$B$5:$B$124,$B$3)=0),"",IF(COUNTIFS(Postes!$A$5:$A$124,B17,Postes!$B$5:$B$124,$B$3,Postes!$L$5:$L$124,"O")&gt;0,"O","N"))</f>
        <v/>
      </c>
      <c r="G17" s="9" t="str">
        <f aca="false">IF(OR(B17="",COUNTIFS(Postes!$A$5:$A$124,B17,Postes!$B$5:$B$124,$B$3)=0),"",SUMIFS(Postes!$N$5:$N$124,Postes!$A$5:$A$124,B17,Postes!$B$5:$B$124,$B$3))</f>
        <v/>
      </c>
      <c r="H17" s="7" t="str">
        <f aca="false">IF(OR(B17="",COUNTIFS(Postes!$A$5:$A$124,B17,Postes!$B$5:$B$124,$B$3)=0),"",SUMIFS(Postes!$O$5:$O$124,Postes!$A$5:$A$124,B17,Postes!$B$5:$B$124,$B$3))</f>
        <v/>
      </c>
      <c r="I17" s="9" t="str">
        <f aca="false">IF(OR(B17="",COUNTIFS(Postes!$A$5:$A$124,B17,Postes!$B$5:$B$124,$B$3)=0),"",SUMIFS(Postes!$P$5:$P$124,Postes!$A$5:$A$124,B17,Postes!$B$5:$B$124,$B$3))</f>
        <v/>
      </c>
      <c r="J17" s="26"/>
    </row>
    <row r="18" customFormat="false" ht="15" hidden="false" customHeight="false" outlineLevel="0" collapsed="false">
      <c r="A18" s="10" t="n">
        <v>13</v>
      </c>
      <c r="B18" s="21" t="n">
        <f aca="false">IF(MONTH(Paramètres!$B$4+12)=MONTH(Paramètres!$B$4),Paramètres!$B$4+12,"")</f>
        <v>46308</v>
      </c>
      <c r="C18" s="7" t="str">
        <f aca="false">IF(OR(B18="",COUNTIFS(Postes!$A$5:$A$124,B18,Postes!$B$5:$B$124,$B$3)=0),"",SUMIFS(Postes!$F$5:$F$124,Postes!$A$5:$A$124,B18,Postes!$B$5:$B$124,$B$3))</f>
        <v/>
      </c>
      <c r="D18" s="7" t="str">
        <f aca="false">IF(OR(B18="",COUNTIFS(Postes!$A$5:$A$124,B18,Postes!$B$5:$B$124,$B$3)=0),"",SUMIFS(Postes!$M$5:$M$124,Postes!$A$5:$A$124,B18,Postes!$B$5:$B$124,$B$3))</f>
        <v/>
      </c>
      <c r="E18" s="15" t="str">
        <f aca="false">IF(OR(B18="",COUNTIFS(Postes!$A$5:$A$124,B18,Postes!$B$5:$B$124,$B$3)=0),"",AVERAGEIFS(Postes!$G$5:$G$124,Postes!$A$5:$A$124,B18,Postes!$B$5:$B$124,$B$3))</f>
        <v/>
      </c>
      <c r="F18" s="25" t="str">
        <f aca="false">IF(OR(B18="",COUNTIFS(Postes!$A$5:$A$124,B18,Postes!$B$5:$B$124,$B$3)=0),"",IF(COUNTIFS(Postes!$A$5:$A$124,B18,Postes!$B$5:$B$124,$B$3,Postes!$L$5:$L$124,"O")&gt;0,"O","N"))</f>
        <v/>
      </c>
      <c r="G18" s="9" t="str">
        <f aca="false">IF(OR(B18="",COUNTIFS(Postes!$A$5:$A$124,B18,Postes!$B$5:$B$124,$B$3)=0),"",SUMIFS(Postes!$N$5:$N$124,Postes!$A$5:$A$124,B18,Postes!$B$5:$B$124,$B$3))</f>
        <v/>
      </c>
      <c r="H18" s="7" t="str">
        <f aca="false">IF(OR(B18="",COUNTIFS(Postes!$A$5:$A$124,B18,Postes!$B$5:$B$124,$B$3)=0),"",SUMIFS(Postes!$O$5:$O$124,Postes!$A$5:$A$124,B18,Postes!$B$5:$B$124,$B$3))</f>
        <v/>
      </c>
      <c r="I18" s="9" t="str">
        <f aca="false">IF(OR(B18="",COUNTIFS(Postes!$A$5:$A$124,B18,Postes!$B$5:$B$124,$B$3)=0),"",SUMIFS(Postes!$P$5:$P$124,Postes!$A$5:$A$124,B18,Postes!$B$5:$B$124,$B$3))</f>
        <v/>
      </c>
      <c r="J18" s="26"/>
    </row>
    <row r="19" customFormat="false" ht="15" hidden="false" customHeight="false" outlineLevel="0" collapsed="false">
      <c r="A19" s="10" t="n">
        <v>14</v>
      </c>
      <c r="B19" s="21" t="n">
        <f aca="false">IF(MONTH(Paramètres!$B$4+13)=MONTH(Paramètres!$B$4),Paramètres!$B$4+13,"")</f>
        <v>46309</v>
      </c>
      <c r="C19" s="7" t="str">
        <f aca="false">IF(OR(B19="",COUNTIFS(Postes!$A$5:$A$124,B19,Postes!$B$5:$B$124,$B$3)=0),"",SUMIFS(Postes!$F$5:$F$124,Postes!$A$5:$A$124,B19,Postes!$B$5:$B$124,$B$3))</f>
        <v/>
      </c>
      <c r="D19" s="7" t="str">
        <f aca="false">IF(OR(B19="",COUNTIFS(Postes!$A$5:$A$124,B19,Postes!$B$5:$B$124,$B$3)=0),"",SUMIFS(Postes!$M$5:$M$124,Postes!$A$5:$A$124,B19,Postes!$B$5:$B$124,$B$3))</f>
        <v/>
      </c>
      <c r="E19" s="15" t="str">
        <f aca="false">IF(OR(B19="",COUNTIFS(Postes!$A$5:$A$124,B19,Postes!$B$5:$B$124,$B$3)=0),"",AVERAGEIFS(Postes!$G$5:$G$124,Postes!$A$5:$A$124,B19,Postes!$B$5:$B$124,$B$3))</f>
        <v/>
      </c>
      <c r="F19" s="25" t="str">
        <f aca="false">IF(OR(B19="",COUNTIFS(Postes!$A$5:$A$124,B19,Postes!$B$5:$B$124,$B$3)=0),"",IF(COUNTIFS(Postes!$A$5:$A$124,B19,Postes!$B$5:$B$124,$B$3,Postes!$L$5:$L$124,"O")&gt;0,"O","N"))</f>
        <v/>
      </c>
      <c r="G19" s="9" t="str">
        <f aca="false">IF(OR(B19="",COUNTIFS(Postes!$A$5:$A$124,B19,Postes!$B$5:$B$124,$B$3)=0),"",SUMIFS(Postes!$N$5:$N$124,Postes!$A$5:$A$124,B19,Postes!$B$5:$B$124,$B$3))</f>
        <v/>
      </c>
      <c r="H19" s="7" t="str">
        <f aca="false">IF(OR(B19="",COUNTIFS(Postes!$A$5:$A$124,B19,Postes!$B$5:$B$124,$B$3)=0),"",SUMIFS(Postes!$O$5:$O$124,Postes!$A$5:$A$124,B19,Postes!$B$5:$B$124,$B$3))</f>
        <v/>
      </c>
      <c r="I19" s="9" t="str">
        <f aca="false">IF(OR(B19="",COUNTIFS(Postes!$A$5:$A$124,B19,Postes!$B$5:$B$124,$B$3)=0),"",SUMIFS(Postes!$P$5:$P$124,Postes!$A$5:$A$124,B19,Postes!$B$5:$B$124,$B$3))</f>
        <v/>
      </c>
      <c r="J19" s="26"/>
    </row>
    <row r="20" customFormat="false" ht="15" hidden="false" customHeight="false" outlineLevel="0" collapsed="false">
      <c r="A20" s="10" t="n">
        <v>15</v>
      </c>
      <c r="B20" s="21" t="n">
        <f aca="false">IF(MONTH(Paramètres!$B$4+14)=MONTH(Paramètres!$B$4),Paramètres!$B$4+14,"")</f>
        <v>46310</v>
      </c>
      <c r="C20" s="7" t="str">
        <f aca="false">IF(OR(B20="",COUNTIFS(Postes!$A$5:$A$124,B20,Postes!$B$5:$B$124,$B$3)=0),"",SUMIFS(Postes!$F$5:$F$124,Postes!$A$5:$A$124,B20,Postes!$B$5:$B$124,$B$3))</f>
        <v/>
      </c>
      <c r="D20" s="7" t="str">
        <f aca="false">IF(OR(B20="",COUNTIFS(Postes!$A$5:$A$124,B20,Postes!$B$5:$B$124,$B$3)=0),"",SUMIFS(Postes!$M$5:$M$124,Postes!$A$5:$A$124,B20,Postes!$B$5:$B$124,$B$3))</f>
        <v/>
      </c>
      <c r="E20" s="15" t="str">
        <f aca="false">IF(OR(B20="",COUNTIFS(Postes!$A$5:$A$124,B20,Postes!$B$5:$B$124,$B$3)=0),"",AVERAGEIFS(Postes!$G$5:$G$124,Postes!$A$5:$A$124,B20,Postes!$B$5:$B$124,$B$3))</f>
        <v/>
      </c>
      <c r="F20" s="25" t="str">
        <f aca="false">IF(OR(B20="",COUNTIFS(Postes!$A$5:$A$124,B20,Postes!$B$5:$B$124,$B$3)=0),"",IF(COUNTIFS(Postes!$A$5:$A$124,B20,Postes!$B$5:$B$124,$B$3,Postes!$L$5:$L$124,"O")&gt;0,"O","N"))</f>
        <v/>
      </c>
      <c r="G20" s="9" t="str">
        <f aca="false">IF(OR(B20="",COUNTIFS(Postes!$A$5:$A$124,B20,Postes!$B$5:$B$124,$B$3)=0),"",SUMIFS(Postes!$N$5:$N$124,Postes!$A$5:$A$124,B20,Postes!$B$5:$B$124,$B$3))</f>
        <v/>
      </c>
      <c r="H20" s="7" t="str">
        <f aca="false">IF(OR(B20="",COUNTIFS(Postes!$A$5:$A$124,B20,Postes!$B$5:$B$124,$B$3)=0),"",SUMIFS(Postes!$O$5:$O$124,Postes!$A$5:$A$124,B20,Postes!$B$5:$B$124,$B$3))</f>
        <v/>
      </c>
      <c r="I20" s="9" t="str">
        <f aca="false">IF(OR(B20="",COUNTIFS(Postes!$A$5:$A$124,B20,Postes!$B$5:$B$124,$B$3)=0),"",SUMIFS(Postes!$P$5:$P$124,Postes!$A$5:$A$124,B20,Postes!$B$5:$B$124,$B$3))</f>
        <v/>
      </c>
      <c r="J20" s="26"/>
    </row>
    <row r="21" customFormat="false" ht="15" hidden="false" customHeight="false" outlineLevel="0" collapsed="false">
      <c r="A21" s="10" t="n">
        <v>16</v>
      </c>
      <c r="B21" s="21" t="n">
        <f aca="false">IF(MONTH(Paramètres!$B$4+15)=MONTH(Paramètres!$B$4),Paramètres!$B$4+15,"")</f>
        <v>46311</v>
      </c>
      <c r="C21" s="7" t="str">
        <f aca="false">IF(OR(B21="",COUNTIFS(Postes!$A$5:$A$124,B21,Postes!$B$5:$B$124,$B$3)=0),"",SUMIFS(Postes!$F$5:$F$124,Postes!$A$5:$A$124,B21,Postes!$B$5:$B$124,$B$3))</f>
        <v/>
      </c>
      <c r="D21" s="7" t="str">
        <f aca="false">IF(OR(B21="",COUNTIFS(Postes!$A$5:$A$124,B21,Postes!$B$5:$B$124,$B$3)=0),"",SUMIFS(Postes!$M$5:$M$124,Postes!$A$5:$A$124,B21,Postes!$B$5:$B$124,$B$3))</f>
        <v/>
      </c>
      <c r="E21" s="15" t="str">
        <f aca="false">IF(OR(B21="",COUNTIFS(Postes!$A$5:$A$124,B21,Postes!$B$5:$B$124,$B$3)=0),"",AVERAGEIFS(Postes!$G$5:$G$124,Postes!$A$5:$A$124,B21,Postes!$B$5:$B$124,$B$3))</f>
        <v/>
      </c>
      <c r="F21" s="25" t="str">
        <f aca="false">IF(OR(B21="",COUNTIFS(Postes!$A$5:$A$124,B21,Postes!$B$5:$B$124,$B$3)=0),"",IF(COUNTIFS(Postes!$A$5:$A$124,B21,Postes!$B$5:$B$124,$B$3,Postes!$L$5:$L$124,"O")&gt;0,"O","N"))</f>
        <v/>
      </c>
      <c r="G21" s="9" t="str">
        <f aca="false">IF(OR(B21="",COUNTIFS(Postes!$A$5:$A$124,B21,Postes!$B$5:$B$124,$B$3)=0),"",SUMIFS(Postes!$N$5:$N$124,Postes!$A$5:$A$124,B21,Postes!$B$5:$B$124,$B$3))</f>
        <v/>
      </c>
      <c r="H21" s="7" t="str">
        <f aca="false">IF(OR(B21="",COUNTIFS(Postes!$A$5:$A$124,B21,Postes!$B$5:$B$124,$B$3)=0),"",SUMIFS(Postes!$O$5:$O$124,Postes!$A$5:$A$124,B21,Postes!$B$5:$B$124,$B$3))</f>
        <v/>
      </c>
      <c r="I21" s="9" t="str">
        <f aca="false">IF(OR(B21="",COUNTIFS(Postes!$A$5:$A$124,B21,Postes!$B$5:$B$124,$B$3)=0),"",SUMIFS(Postes!$P$5:$P$124,Postes!$A$5:$A$124,B21,Postes!$B$5:$B$124,$B$3))</f>
        <v/>
      </c>
      <c r="J21" s="26"/>
    </row>
    <row r="22" customFormat="false" ht="15" hidden="false" customHeight="false" outlineLevel="0" collapsed="false">
      <c r="A22" s="10" t="n">
        <v>17</v>
      </c>
      <c r="B22" s="21" t="n">
        <f aca="false">IF(MONTH(Paramètres!$B$4+16)=MONTH(Paramètres!$B$4),Paramètres!$B$4+16,"")</f>
        <v>46312</v>
      </c>
      <c r="C22" s="7" t="str">
        <f aca="false">IF(OR(B22="",COUNTIFS(Postes!$A$5:$A$124,B22,Postes!$B$5:$B$124,$B$3)=0),"",SUMIFS(Postes!$F$5:$F$124,Postes!$A$5:$A$124,B22,Postes!$B$5:$B$124,$B$3))</f>
        <v/>
      </c>
      <c r="D22" s="7" t="str">
        <f aca="false">IF(OR(B22="",COUNTIFS(Postes!$A$5:$A$124,B22,Postes!$B$5:$B$124,$B$3)=0),"",SUMIFS(Postes!$M$5:$M$124,Postes!$A$5:$A$124,B22,Postes!$B$5:$B$124,$B$3))</f>
        <v/>
      </c>
      <c r="E22" s="15" t="str">
        <f aca="false">IF(OR(B22="",COUNTIFS(Postes!$A$5:$A$124,B22,Postes!$B$5:$B$124,$B$3)=0),"",AVERAGEIFS(Postes!$G$5:$G$124,Postes!$A$5:$A$124,B22,Postes!$B$5:$B$124,$B$3))</f>
        <v/>
      </c>
      <c r="F22" s="25" t="str">
        <f aca="false">IF(OR(B22="",COUNTIFS(Postes!$A$5:$A$124,B22,Postes!$B$5:$B$124,$B$3)=0),"",IF(COUNTIFS(Postes!$A$5:$A$124,B22,Postes!$B$5:$B$124,$B$3,Postes!$L$5:$L$124,"O")&gt;0,"O","N"))</f>
        <v/>
      </c>
      <c r="G22" s="9" t="str">
        <f aca="false">IF(OR(B22="",COUNTIFS(Postes!$A$5:$A$124,B22,Postes!$B$5:$B$124,$B$3)=0),"",SUMIFS(Postes!$N$5:$N$124,Postes!$A$5:$A$124,B22,Postes!$B$5:$B$124,$B$3))</f>
        <v/>
      </c>
      <c r="H22" s="7" t="str">
        <f aca="false">IF(OR(B22="",COUNTIFS(Postes!$A$5:$A$124,B22,Postes!$B$5:$B$124,$B$3)=0),"",SUMIFS(Postes!$O$5:$O$124,Postes!$A$5:$A$124,B22,Postes!$B$5:$B$124,$B$3))</f>
        <v/>
      </c>
      <c r="I22" s="9" t="str">
        <f aca="false">IF(OR(B22="",COUNTIFS(Postes!$A$5:$A$124,B22,Postes!$B$5:$B$124,$B$3)=0),"",SUMIFS(Postes!$P$5:$P$124,Postes!$A$5:$A$124,B22,Postes!$B$5:$B$124,$B$3))</f>
        <v/>
      </c>
      <c r="J22" s="26"/>
    </row>
    <row r="23" customFormat="false" ht="15" hidden="false" customHeight="false" outlineLevel="0" collapsed="false">
      <c r="A23" s="10" t="n">
        <v>18</v>
      </c>
      <c r="B23" s="21" t="n">
        <f aca="false">IF(MONTH(Paramètres!$B$4+17)=MONTH(Paramètres!$B$4),Paramètres!$B$4+17,"")</f>
        <v>46313</v>
      </c>
      <c r="C23" s="7" t="str">
        <f aca="false">IF(OR(B23="",COUNTIFS(Postes!$A$5:$A$124,B23,Postes!$B$5:$B$124,$B$3)=0),"",SUMIFS(Postes!$F$5:$F$124,Postes!$A$5:$A$124,B23,Postes!$B$5:$B$124,$B$3))</f>
        <v/>
      </c>
      <c r="D23" s="7" t="str">
        <f aca="false">IF(OR(B23="",COUNTIFS(Postes!$A$5:$A$124,B23,Postes!$B$5:$B$124,$B$3)=0),"",SUMIFS(Postes!$M$5:$M$124,Postes!$A$5:$A$124,B23,Postes!$B$5:$B$124,$B$3))</f>
        <v/>
      </c>
      <c r="E23" s="15" t="str">
        <f aca="false">IF(OR(B23="",COUNTIFS(Postes!$A$5:$A$124,B23,Postes!$B$5:$B$124,$B$3)=0),"",AVERAGEIFS(Postes!$G$5:$G$124,Postes!$A$5:$A$124,B23,Postes!$B$5:$B$124,$B$3))</f>
        <v/>
      </c>
      <c r="F23" s="25" t="str">
        <f aca="false">IF(OR(B23="",COUNTIFS(Postes!$A$5:$A$124,B23,Postes!$B$5:$B$124,$B$3)=0),"",IF(COUNTIFS(Postes!$A$5:$A$124,B23,Postes!$B$5:$B$124,$B$3,Postes!$L$5:$L$124,"O")&gt;0,"O","N"))</f>
        <v/>
      </c>
      <c r="G23" s="9" t="str">
        <f aca="false">IF(OR(B23="",COUNTIFS(Postes!$A$5:$A$124,B23,Postes!$B$5:$B$124,$B$3)=0),"",SUMIFS(Postes!$N$5:$N$124,Postes!$A$5:$A$124,B23,Postes!$B$5:$B$124,$B$3))</f>
        <v/>
      </c>
      <c r="H23" s="7" t="str">
        <f aca="false">IF(OR(B23="",COUNTIFS(Postes!$A$5:$A$124,B23,Postes!$B$5:$B$124,$B$3)=0),"",SUMIFS(Postes!$O$5:$O$124,Postes!$A$5:$A$124,B23,Postes!$B$5:$B$124,$B$3))</f>
        <v/>
      </c>
      <c r="I23" s="9" t="str">
        <f aca="false">IF(OR(B23="",COUNTIFS(Postes!$A$5:$A$124,B23,Postes!$B$5:$B$124,$B$3)=0),"",SUMIFS(Postes!$P$5:$P$124,Postes!$A$5:$A$124,B23,Postes!$B$5:$B$124,$B$3))</f>
        <v/>
      </c>
      <c r="J23" s="26"/>
    </row>
    <row r="24" customFormat="false" ht="15" hidden="false" customHeight="false" outlineLevel="0" collapsed="false">
      <c r="A24" s="10" t="n">
        <v>19</v>
      </c>
      <c r="B24" s="21" t="n">
        <f aca="false">IF(MONTH(Paramètres!$B$4+18)=MONTH(Paramètres!$B$4),Paramètres!$B$4+18,"")</f>
        <v>46314</v>
      </c>
      <c r="C24" s="7" t="str">
        <f aca="false">IF(OR(B24="",COUNTIFS(Postes!$A$5:$A$124,B24,Postes!$B$5:$B$124,$B$3)=0),"",SUMIFS(Postes!$F$5:$F$124,Postes!$A$5:$A$124,B24,Postes!$B$5:$B$124,$B$3))</f>
        <v/>
      </c>
      <c r="D24" s="7" t="str">
        <f aca="false">IF(OR(B24="",COUNTIFS(Postes!$A$5:$A$124,B24,Postes!$B$5:$B$124,$B$3)=0),"",SUMIFS(Postes!$M$5:$M$124,Postes!$A$5:$A$124,B24,Postes!$B$5:$B$124,$B$3))</f>
        <v/>
      </c>
      <c r="E24" s="15" t="str">
        <f aca="false">IF(OR(B24="",COUNTIFS(Postes!$A$5:$A$124,B24,Postes!$B$5:$B$124,$B$3)=0),"",AVERAGEIFS(Postes!$G$5:$G$124,Postes!$A$5:$A$124,B24,Postes!$B$5:$B$124,$B$3))</f>
        <v/>
      </c>
      <c r="F24" s="25" t="str">
        <f aca="false">IF(OR(B24="",COUNTIFS(Postes!$A$5:$A$124,B24,Postes!$B$5:$B$124,$B$3)=0),"",IF(COUNTIFS(Postes!$A$5:$A$124,B24,Postes!$B$5:$B$124,$B$3,Postes!$L$5:$L$124,"O")&gt;0,"O","N"))</f>
        <v/>
      </c>
      <c r="G24" s="9" t="str">
        <f aca="false">IF(OR(B24="",COUNTIFS(Postes!$A$5:$A$124,B24,Postes!$B$5:$B$124,$B$3)=0),"",SUMIFS(Postes!$N$5:$N$124,Postes!$A$5:$A$124,B24,Postes!$B$5:$B$124,$B$3))</f>
        <v/>
      </c>
      <c r="H24" s="7" t="str">
        <f aca="false">IF(OR(B24="",COUNTIFS(Postes!$A$5:$A$124,B24,Postes!$B$5:$B$124,$B$3)=0),"",SUMIFS(Postes!$O$5:$O$124,Postes!$A$5:$A$124,B24,Postes!$B$5:$B$124,$B$3))</f>
        <v/>
      </c>
      <c r="I24" s="9" t="str">
        <f aca="false">IF(OR(B24="",COUNTIFS(Postes!$A$5:$A$124,B24,Postes!$B$5:$B$124,$B$3)=0),"",SUMIFS(Postes!$P$5:$P$124,Postes!$A$5:$A$124,B24,Postes!$B$5:$B$124,$B$3))</f>
        <v/>
      </c>
      <c r="J24" s="26"/>
    </row>
    <row r="25" customFormat="false" ht="15" hidden="false" customHeight="false" outlineLevel="0" collapsed="false">
      <c r="A25" s="10" t="n">
        <v>20</v>
      </c>
      <c r="B25" s="21" t="n">
        <f aca="false">IF(MONTH(Paramètres!$B$4+19)=MONTH(Paramètres!$B$4),Paramètres!$B$4+19,"")</f>
        <v>46315</v>
      </c>
      <c r="C25" s="7" t="str">
        <f aca="false">IF(OR(B25="",COUNTIFS(Postes!$A$5:$A$124,B25,Postes!$B$5:$B$124,$B$3)=0),"",SUMIFS(Postes!$F$5:$F$124,Postes!$A$5:$A$124,B25,Postes!$B$5:$B$124,$B$3))</f>
        <v/>
      </c>
      <c r="D25" s="7" t="str">
        <f aca="false">IF(OR(B25="",COUNTIFS(Postes!$A$5:$A$124,B25,Postes!$B$5:$B$124,$B$3)=0),"",SUMIFS(Postes!$M$5:$M$124,Postes!$A$5:$A$124,B25,Postes!$B$5:$B$124,$B$3))</f>
        <v/>
      </c>
      <c r="E25" s="15" t="str">
        <f aca="false">IF(OR(B25="",COUNTIFS(Postes!$A$5:$A$124,B25,Postes!$B$5:$B$124,$B$3)=0),"",AVERAGEIFS(Postes!$G$5:$G$124,Postes!$A$5:$A$124,B25,Postes!$B$5:$B$124,$B$3))</f>
        <v/>
      </c>
      <c r="F25" s="25" t="str">
        <f aca="false">IF(OR(B25="",COUNTIFS(Postes!$A$5:$A$124,B25,Postes!$B$5:$B$124,$B$3)=0),"",IF(COUNTIFS(Postes!$A$5:$A$124,B25,Postes!$B$5:$B$124,$B$3,Postes!$L$5:$L$124,"O")&gt;0,"O","N"))</f>
        <v/>
      </c>
      <c r="G25" s="9" t="str">
        <f aca="false">IF(OR(B25="",COUNTIFS(Postes!$A$5:$A$124,B25,Postes!$B$5:$B$124,$B$3)=0),"",SUMIFS(Postes!$N$5:$N$124,Postes!$A$5:$A$124,B25,Postes!$B$5:$B$124,$B$3))</f>
        <v/>
      </c>
      <c r="H25" s="7" t="str">
        <f aca="false">IF(OR(B25="",COUNTIFS(Postes!$A$5:$A$124,B25,Postes!$B$5:$B$124,$B$3)=0),"",SUMIFS(Postes!$O$5:$O$124,Postes!$A$5:$A$124,B25,Postes!$B$5:$B$124,$B$3))</f>
        <v/>
      </c>
      <c r="I25" s="9" t="str">
        <f aca="false">IF(OR(B25="",COUNTIFS(Postes!$A$5:$A$124,B25,Postes!$B$5:$B$124,$B$3)=0),"",SUMIFS(Postes!$P$5:$P$124,Postes!$A$5:$A$124,B25,Postes!$B$5:$B$124,$B$3))</f>
        <v/>
      </c>
      <c r="J25" s="26"/>
    </row>
    <row r="26" customFormat="false" ht="15" hidden="false" customHeight="false" outlineLevel="0" collapsed="false">
      <c r="A26" s="10" t="n">
        <v>21</v>
      </c>
      <c r="B26" s="21" t="n">
        <f aca="false">IF(MONTH(Paramètres!$B$4+20)=MONTH(Paramètres!$B$4),Paramètres!$B$4+20,"")</f>
        <v>46316</v>
      </c>
      <c r="C26" s="7" t="str">
        <f aca="false">IF(OR(B26="",COUNTIFS(Postes!$A$5:$A$124,B26,Postes!$B$5:$B$124,$B$3)=0),"",SUMIFS(Postes!$F$5:$F$124,Postes!$A$5:$A$124,B26,Postes!$B$5:$B$124,$B$3))</f>
        <v/>
      </c>
      <c r="D26" s="7" t="str">
        <f aca="false">IF(OR(B26="",COUNTIFS(Postes!$A$5:$A$124,B26,Postes!$B$5:$B$124,$B$3)=0),"",SUMIFS(Postes!$M$5:$M$124,Postes!$A$5:$A$124,B26,Postes!$B$5:$B$124,$B$3))</f>
        <v/>
      </c>
      <c r="E26" s="15" t="str">
        <f aca="false">IF(OR(B26="",COUNTIFS(Postes!$A$5:$A$124,B26,Postes!$B$5:$B$124,$B$3)=0),"",AVERAGEIFS(Postes!$G$5:$G$124,Postes!$A$5:$A$124,B26,Postes!$B$5:$B$124,$B$3))</f>
        <v/>
      </c>
      <c r="F26" s="25" t="str">
        <f aca="false">IF(OR(B26="",COUNTIFS(Postes!$A$5:$A$124,B26,Postes!$B$5:$B$124,$B$3)=0),"",IF(COUNTIFS(Postes!$A$5:$A$124,B26,Postes!$B$5:$B$124,$B$3,Postes!$L$5:$L$124,"O")&gt;0,"O","N"))</f>
        <v/>
      </c>
      <c r="G26" s="9" t="str">
        <f aca="false">IF(OR(B26="",COUNTIFS(Postes!$A$5:$A$124,B26,Postes!$B$5:$B$124,$B$3)=0),"",SUMIFS(Postes!$N$5:$N$124,Postes!$A$5:$A$124,B26,Postes!$B$5:$B$124,$B$3))</f>
        <v/>
      </c>
      <c r="H26" s="7" t="str">
        <f aca="false">IF(OR(B26="",COUNTIFS(Postes!$A$5:$A$124,B26,Postes!$B$5:$B$124,$B$3)=0),"",SUMIFS(Postes!$O$5:$O$124,Postes!$A$5:$A$124,B26,Postes!$B$5:$B$124,$B$3))</f>
        <v/>
      </c>
      <c r="I26" s="9" t="str">
        <f aca="false">IF(OR(B26="",COUNTIFS(Postes!$A$5:$A$124,B26,Postes!$B$5:$B$124,$B$3)=0),"",SUMIFS(Postes!$P$5:$P$124,Postes!$A$5:$A$124,B26,Postes!$B$5:$B$124,$B$3))</f>
        <v/>
      </c>
      <c r="J26" s="26"/>
    </row>
    <row r="27" customFormat="false" ht="15" hidden="false" customHeight="false" outlineLevel="0" collapsed="false">
      <c r="A27" s="10" t="n">
        <v>22</v>
      </c>
      <c r="B27" s="21" t="n">
        <f aca="false">IF(MONTH(Paramètres!$B$4+21)=MONTH(Paramètres!$B$4),Paramètres!$B$4+21,"")</f>
        <v>46317</v>
      </c>
      <c r="C27" s="7" t="str">
        <f aca="false">IF(OR(B27="",COUNTIFS(Postes!$A$5:$A$124,B27,Postes!$B$5:$B$124,$B$3)=0),"",SUMIFS(Postes!$F$5:$F$124,Postes!$A$5:$A$124,B27,Postes!$B$5:$B$124,$B$3))</f>
        <v/>
      </c>
      <c r="D27" s="7" t="str">
        <f aca="false">IF(OR(B27="",COUNTIFS(Postes!$A$5:$A$124,B27,Postes!$B$5:$B$124,$B$3)=0),"",SUMIFS(Postes!$M$5:$M$124,Postes!$A$5:$A$124,B27,Postes!$B$5:$B$124,$B$3))</f>
        <v/>
      </c>
      <c r="E27" s="15" t="str">
        <f aca="false">IF(OR(B27="",COUNTIFS(Postes!$A$5:$A$124,B27,Postes!$B$5:$B$124,$B$3)=0),"",AVERAGEIFS(Postes!$G$5:$G$124,Postes!$A$5:$A$124,B27,Postes!$B$5:$B$124,$B$3))</f>
        <v/>
      </c>
      <c r="F27" s="25" t="str">
        <f aca="false">IF(OR(B27="",COUNTIFS(Postes!$A$5:$A$124,B27,Postes!$B$5:$B$124,$B$3)=0),"",IF(COUNTIFS(Postes!$A$5:$A$124,B27,Postes!$B$5:$B$124,$B$3,Postes!$L$5:$L$124,"O")&gt;0,"O","N"))</f>
        <v/>
      </c>
      <c r="G27" s="9" t="str">
        <f aca="false">IF(OR(B27="",COUNTIFS(Postes!$A$5:$A$124,B27,Postes!$B$5:$B$124,$B$3)=0),"",SUMIFS(Postes!$N$5:$N$124,Postes!$A$5:$A$124,B27,Postes!$B$5:$B$124,$B$3))</f>
        <v/>
      </c>
      <c r="H27" s="7" t="str">
        <f aca="false">IF(OR(B27="",COUNTIFS(Postes!$A$5:$A$124,B27,Postes!$B$5:$B$124,$B$3)=0),"",SUMIFS(Postes!$O$5:$O$124,Postes!$A$5:$A$124,B27,Postes!$B$5:$B$124,$B$3))</f>
        <v/>
      </c>
      <c r="I27" s="9" t="str">
        <f aca="false">IF(OR(B27="",COUNTIFS(Postes!$A$5:$A$124,B27,Postes!$B$5:$B$124,$B$3)=0),"",SUMIFS(Postes!$P$5:$P$124,Postes!$A$5:$A$124,B27,Postes!$B$5:$B$124,$B$3))</f>
        <v/>
      </c>
      <c r="J27" s="26"/>
    </row>
    <row r="28" customFormat="false" ht="15" hidden="false" customHeight="false" outlineLevel="0" collapsed="false">
      <c r="A28" s="10" t="n">
        <v>23</v>
      </c>
      <c r="B28" s="21" t="n">
        <f aca="false">IF(MONTH(Paramètres!$B$4+22)=MONTH(Paramètres!$B$4),Paramètres!$B$4+22,"")</f>
        <v>46318</v>
      </c>
      <c r="C28" s="7" t="str">
        <f aca="false">IF(OR(B28="",COUNTIFS(Postes!$A$5:$A$124,B28,Postes!$B$5:$B$124,$B$3)=0),"",SUMIFS(Postes!$F$5:$F$124,Postes!$A$5:$A$124,B28,Postes!$B$5:$B$124,$B$3))</f>
        <v/>
      </c>
      <c r="D28" s="7" t="str">
        <f aca="false">IF(OR(B28="",COUNTIFS(Postes!$A$5:$A$124,B28,Postes!$B$5:$B$124,$B$3)=0),"",SUMIFS(Postes!$M$5:$M$124,Postes!$A$5:$A$124,B28,Postes!$B$5:$B$124,$B$3))</f>
        <v/>
      </c>
      <c r="E28" s="15" t="str">
        <f aca="false">IF(OR(B28="",COUNTIFS(Postes!$A$5:$A$124,B28,Postes!$B$5:$B$124,$B$3)=0),"",AVERAGEIFS(Postes!$G$5:$G$124,Postes!$A$5:$A$124,B28,Postes!$B$5:$B$124,$B$3))</f>
        <v/>
      </c>
      <c r="F28" s="25" t="str">
        <f aca="false">IF(OR(B28="",COUNTIFS(Postes!$A$5:$A$124,B28,Postes!$B$5:$B$124,$B$3)=0),"",IF(COUNTIFS(Postes!$A$5:$A$124,B28,Postes!$B$5:$B$124,$B$3,Postes!$L$5:$L$124,"O")&gt;0,"O","N"))</f>
        <v/>
      </c>
      <c r="G28" s="9" t="str">
        <f aca="false">IF(OR(B28="",COUNTIFS(Postes!$A$5:$A$124,B28,Postes!$B$5:$B$124,$B$3)=0),"",SUMIFS(Postes!$N$5:$N$124,Postes!$A$5:$A$124,B28,Postes!$B$5:$B$124,$B$3))</f>
        <v/>
      </c>
      <c r="H28" s="7" t="str">
        <f aca="false">IF(OR(B28="",COUNTIFS(Postes!$A$5:$A$124,B28,Postes!$B$5:$B$124,$B$3)=0),"",SUMIFS(Postes!$O$5:$O$124,Postes!$A$5:$A$124,B28,Postes!$B$5:$B$124,$B$3))</f>
        <v/>
      </c>
      <c r="I28" s="9" t="str">
        <f aca="false">IF(OR(B28="",COUNTIFS(Postes!$A$5:$A$124,B28,Postes!$B$5:$B$124,$B$3)=0),"",SUMIFS(Postes!$P$5:$P$124,Postes!$A$5:$A$124,B28,Postes!$B$5:$B$124,$B$3))</f>
        <v/>
      </c>
      <c r="J28" s="26"/>
    </row>
    <row r="29" customFormat="false" ht="15" hidden="false" customHeight="false" outlineLevel="0" collapsed="false">
      <c r="A29" s="10" t="n">
        <v>24</v>
      </c>
      <c r="B29" s="21" t="n">
        <f aca="false">IF(MONTH(Paramètres!$B$4+23)=MONTH(Paramètres!$B$4),Paramètres!$B$4+23,"")</f>
        <v>46319</v>
      </c>
      <c r="C29" s="7" t="str">
        <f aca="false">IF(OR(B29="",COUNTIFS(Postes!$A$5:$A$124,B29,Postes!$B$5:$B$124,$B$3)=0),"",SUMIFS(Postes!$F$5:$F$124,Postes!$A$5:$A$124,B29,Postes!$B$5:$B$124,$B$3))</f>
        <v/>
      </c>
      <c r="D29" s="7" t="str">
        <f aca="false">IF(OR(B29="",COUNTIFS(Postes!$A$5:$A$124,B29,Postes!$B$5:$B$124,$B$3)=0),"",SUMIFS(Postes!$M$5:$M$124,Postes!$A$5:$A$124,B29,Postes!$B$5:$B$124,$B$3))</f>
        <v/>
      </c>
      <c r="E29" s="15" t="str">
        <f aca="false">IF(OR(B29="",COUNTIFS(Postes!$A$5:$A$124,B29,Postes!$B$5:$B$124,$B$3)=0),"",AVERAGEIFS(Postes!$G$5:$G$124,Postes!$A$5:$A$124,B29,Postes!$B$5:$B$124,$B$3))</f>
        <v/>
      </c>
      <c r="F29" s="25" t="str">
        <f aca="false">IF(OR(B29="",COUNTIFS(Postes!$A$5:$A$124,B29,Postes!$B$5:$B$124,$B$3)=0),"",IF(COUNTIFS(Postes!$A$5:$A$124,B29,Postes!$B$5:$B$124,$B$3,Postes!$L$5:$L$124,"O")&gt;0,"O","N"))</f>
        <v/>
      </c>
      <c r="G29" s="9" t="str">
        <f aca="false">IF(OR(B29="",COUNTIFS(Postes!$A$5:$A$124,B29,Postes!$B$5:$B$124,$B$3)=0),"",SUMIFS(Postes!$N$5:$N$124,Postes!$A$5:$A$124,B29,Postes!$B$5:$B$124,$B$3))</f>
        <v/>
      </c>
      <c r="H29" s="7" t="str">
        <f aca="false">IF(OR(B29="",COUNTIFS(Postes!$A$5:$A$124,B29,Postes!$B$5:$B$124,$B$3)=0),"",SUMIFS(Postes!$O$5:$O$124,Postes!$A$5:$A$124,B29,Postes!$B$5:$B$124,$B$3))</f>
        <v/>
      </c>
      <c r="I29" s="9" t="str">
        <f aca="false">IF(OR(B29="",COUNTIFS(Postes!$A$5:$A$124,B29,Postes!$B$5:$B$124,$B$3)=0),"",SUMIFS(Postes!$P$5:$P$124,Postes!$A$5:$A$124,B29,Postes!$B$5:$B$124,$B$3))</f>
        <v/>
      </c>
      <c r="J29" s="26"/>
    </row>
    <row r="30" customFormat="false" ht="15" hidden="false" customHeight="false" outlineLevel="0" collapsed="false">
      <c r="A30" s="10" t="n">
        <v>25</v>
      </c>
      <c r="B30" s="21" t="n">
        <f aca="false">IF(MONTH(Paramètres!$B$4+24)=MONTH(Paramètres!$B$4),Paramètres!$B$4+24,"")</f>
        <v>46320</v>
      </c>
      <c r="C30" s="7" t="str">
        <f aca="false">IF(OR(B30="",COUNTIFS(Postes!$A$5:$A$124,B30,Postes!$B$5:$B$124,$B$3)=0),"",SUMIFS(Postes!$F$5:$F$124,Postes!$A$5:$A$124,B30,Postes!$B$5:$B$124,$B$3))</f>
        <v/>
      </c>
      <c r="D30" s="7" t="str">
        <f aca="false">IF(OR(B30="",COUNTIFS(Postes!$A$5:$A$124,B30,Postes!$B$5:$B$124,$B$3)=0),"",SUMIFS(Postes!$M$5:$M$124,Postes!$A$5:$A$124,B30,Postes!$B$5:$B$124,$B$3))</f>
        <v/>
      </c>
      <c r="E30" s="15" t="str">
        <f aca="false">IF(OR(B30="",COUNTIFS(Postes!$A$5:$A$124,B30,Postes!$B$5:$B$124,$B$3)=0),"",AVERAGEIFS(Postes!$G$5:$G$124,Postes!$A$5:$A$124,B30,Postes!$B$5:$B$124,$B$3))</f>
        <v/>
      </c>
      <c r="F30" s="25" t="str">
        <f aca="false">IF(OR(B30="",COUNTIFS(Postes!$A$5:$A$124,B30,Postes!$B$5:$B$124,$B$3)=0),"",IF(COUNTIFS(Postes!$A$5:$A$124,B30,Postes!$B$5:$B$124,$B$3,Postes!$L$5:$L$124,"O")&gt;0,"O","N"))</f>
        <v/>
      </c>
      <c r="G30" s="9" t="str">
        <f aca="false">IF(OR(B30="",COUNTIFS(Postes!$A$5:$A$124,B30,Postes!$B$5:$B$124,$B$3)=0),"",SUMIFS(Postes!$N$5:$N$124,Postes!$A$5:$A$124,B30,Postes!$B$5:$B$124,$B$3))</f>
        <v/>
      </c>
      <c r="H30" s="7" t="str">
        <f aca="false">IF(OR(B30="",COUNTIFS(Postes!$A$5:$A$124,B30,Postes!$B$5:$B$124,$B$3)=0),"",SUMIFS(Postes!$O$5:$O$124,Postes!$A$5:$A$124,B30,Postes!$B$5:$B$124,$B$3))</f>
        <v/>
      </c>
      <c r="I30" s="9" t="str">
        <f aca="false">IF(OR(B30="",COUNTIFS(Postes!$A$5:$A$124,B30,Postes!$B$5:$B$124,$B$3)=0),"",SUMIFS(Postes!$P$5:$P$124,Postes!$A$5:$A$124,B30,Postes!$B$5:$B$124,$B$3))</f>
        <v/>
      </c>
      <c r="J30" s="26"/>
    </row>
    <row r="31" customFormat="false" ht="15" hidden="false" customHeight="false" outlineLevel="0" collapsed="false">
      <c r="A31" s="10" t="n">
        <v>26</v>
      </c>
      <c r="B31" s="21" t="n">
        <f aca="false">IF(MONTH(Paramètres!$B$4+25)=MONTH(Paramètres!$B$4),Paramètres!$B$4+25,"")</f>
        <v>46321</v>
      </c>
      <c r="C31" s="7" t="str">
        <f aca="false">IF(OR(B31="",COUNTIFS(Postes!$A$5:$A$124,B31,Postes!$B$5:$B$124,$B$3)=0),"",SUMIFS(Postes!$F$5:$F$124,Postes!$A$5:$A$124,B31,Postes!$B$5:$B$124,$B$3))</f>
        <v/>
      </c>
      <c r="D31" s="7" t="str">
        <f aca="false">IF(OR(B31="",COUNTIFS(Postes!$A$5:$A$124,B31,Postes!$B$5:$B$124,$B$3)=0),"",SUMIFS(Postes!$M$5:$M$124,Postes!$A$5:$A$124,B31,Postes!$B$5:$B$124,$B$3))</f>
        <v/>
      </c>
      <c r="E31" s="15" t="str">
        <f aca="false">IF(OR(B31="",COUNTIFS(Postes!$A$5:$A$124,B31,Postes!$B$5:$B$124,$B$3)=0),"",AVERAGEIFS(Postes!$G$5:$G$124,Postes!$A$5:$A$124,B31,Postes!$B$5:$B$124,$B$3))</f>
        <v/>
      </c>
      <c r="F31" s="25" t="str">
        <f aca="false">IF(OR(B31="",COUNTIFS(Postes!$A$5:$A$124,B31,Postes!$B$5:$B$124,$B$3)=0),"",IF(COUNTIFS(Postes!$A$5:$A$124,B31,Postes!$B$5:$B$124,$B$3,Postes!$L$5:$L$124,"O")&gt;0,"O","N"))</f>
        <v/>
      </c>
      <c r="G31" s="9" t="str">
        <f aca="false">IF(OR(B31="",COUNTIFS(Postes!$A$5:$A$124,B31,Postes!$B$5:$B$124,$B$3)=0),"",SUMIFS(Postes!$N$5:$N$124,Postes!$A$5:$A$124,B31,Postes!$B$5:$B$124,$B$3))</f>
        <v/>
      </c>
      <c r="H31" s="7" t="str">
        <f aca="false">IF(OR(B31="",COUNTIFS(Postes!$A$5:$A$124,B31,Postes!$B$5:$B$124,$B$3)=0),"",SUMIFS(Postes!$O$5:$O$124,Postes!$A$5:$A$124,B31,Postes!$B$5:$B$124,$B$3))</f>
        <v/>
      </c>
      <c r="I31" s="9" t="str">
        <f aca="false">IF(OR(B31="",COUNTIFS(Postes!$A$5:$A$124,B31,Postes!$B$5:$B$124,$B$3)=0),"",SUMIFS(Postes!$P$5:$P$124,Postes!$A$5:$A$124,B31,Postes!$B$5:$B$124,$B$3))</f>
        <v/>
      </c>
      <c r="J31" s="26"/>
    </row>
    <row r="32" customFormat="false" ht="15" hidden="false" customHeight="false" outlineLevel="0" collapsed="false">
      <c r="A32" s="10" t="n">
        <v>27</v>
      </c>
      <c r="B32" s="21" t="n">
        <f aca="false">IF(MONTH(Paramètres!$B$4+26)=MONTH(Paramètres!$B$4),Paramètres!$B$4+26,"")</f>
        <v>46322</v>
      </c>
      <c r="C32" s="7" t="str">
        <f aca="false">IF(OR(B32="",COUNTIFS(Postes!$A$5:$A$124,B32,Postes!$B$5:$B$124,$B$3)=0),"",SUMIFS(Postes!$F$5:$F$124,Postes!$A$5:$A$124,B32,Postes!$B$5:$B$124,$B$3))</f>
        <v/>
      </c>
      <c r="D32" s="7" t="str">
        <f aca="false">IF(OR(B32="",COUNTIFS(Postes!$A$5:$A$124,B32,Postes!$B$5:$B$124,$B$3)=0),"",SUMIFS(Postes!$M$5:$M$124,Postes!$A$5:$A$124,B32,Postes!$B$5:$B$124,$B$3))</f>
        <v/>
      </c>
      <c r="E32" s="15" t="str">
        <f aca="false">IF(OR(B32="",COUNTIFS(Postes!$A$5:$A$124,B32,Postes!$B$5:$B$124,$B$3)=0),"",AVERAGEIFS(Postes!$G$5:$G$124,Postes!$A$5:$A$124,B32,Postes!$B$5:$B$124,$B$3))</f>
        <v/>
      </c>
      <c r="F32" s="25" t="str">
        <f aca="false">IF(OR(B32="",COUNTIFS(Postes!$A$5:$A$124,B32,Postes!$B$5:$B$124,$B$3)=0),"",IF(COUNTIFS(Postes!$A$5:$A$124,B32,Postes!$B$5:$B$124,$B$3,Postes!$L$5:$L$124,"O")&gt;0,"O","N"))</f>
        <v/>
      </c>
      <c r="G32" s="9" t="str">
        <f aca="false">IF(OR(B32="",COUNTIFS(Postes!$A$5:$A$124,B32,Postes!$B$5:$B$124,$B$3)=0),"",SUMIFS(Postes!$N$5:$N$124,Postes!$A$5:$A$124,B32,Postes!$B$5:$B$124,$B$3))</f>
        <v/>
      </c>
      <c r="H32" s="7" t="str">
        <f aca="false">IF(OR(B32="",COUNTIFS(Postes!$A$5:$A$124,B32,Postes!$B$5:$B$124,$B$3)=0),"",SUMIFS(Postes!$O$5:$O$124,Postes!$A$5:$A$124,B32,Postes!$B$5:$B$124,$B$3))</f>
        <v/>
      </c>
      <c r="I32" s="9" t="str">
        <f aca="false">IF(OR(B32="",COUNTIFS(Postes!$A$5:$A$124,B32,Postes!$B$5:$B$124,$B$3)=0),"",SUMIFS(Postes!$P$5:$P$124,Postes!$A$5:$A$124,B32,Postes!$B$5:$B$124,$B$3))</f>
        <v/>
      </c>
      <c r="J32" s="26"/>
    </row>
    <row r="33" customFormat="false" ht="15" hidden="false" customHeight="false" outlineLevel="0" collapsed="false">
      <c r="A33" s="10" t="n">
        <v>28</v>
      </c>
      <c r="B33" s="21" t="n">
        <f aca="false">IF(MONTH(Paramètres!$B$4+27)=MONTH(Paramètres!$B$4),Paramètres!$B$4+27,"")</f>
        <v>46323</v>
      </c>
      <c r="C33" s="7" t="str">
        <f aca="false">IF(OR(B33="",COUNTIFS(Postes!$A$5:$A$124,B33,Postes!$B$5:$B$124,$B$3)=0),"",SUMIFS(Postes!$F$5:$F$124,Postes!$A$5:$A$124,B33,Postes!$B$5:$B$124,$B$3))</f>
        <v/>
      </c>
      <c r="D33" s="7" t="str">
        <f aca="false">IF(OR(B33="",COUNTIFS(Postes!$A$5:$A$124,B33,Postes!$B$5:$B$124,$B$3)=0),"",SUMIFS(Postes!$M$5:$M$124,Postes!$A$5:$A$124,B33,Postes!$B$5:$B$124,$B$3))</f>
        <v/>
      </c>
      <c r="E33" s="15" t="str">
        <f aca="false">IF(OR(B33="",COUNTIFS(Postes!$A$5:$A$124,B33,Postes!$B$5:$B$124,$B$3)=0),"",AVERAGEIFS(Postes!$G$5:$G$124,Postes!$A$5:$A$124,B33,Postes!$B$5:$B$124,$B$3))</f>
        <v/>
      </c>
      <c r="F33" s="25" t="str">
        <f aca="false">IF(OR(B33="",COUNTIFS(Postes!$A$5:$A$124,B33,Postes!$B$5:$B$124,$B$3)=0),"",IF(COUNTIFS(Postes!$A$5:$A$124,B33,Postes!$B$5:$B$124,$B$3,Postes!$L$5:$L$124,"O")&gt;0,"O","N"))</f>
        <v/>
      </c>
      <c r="G33" s="9" t="str">
        <f aca="false">IF(OR(B33="",COUNTIFS(Postes!$A$5:$A$124,B33,Postes!$B$5:$B$124,$B$3)=0),"",SUMIFS(Postes!$N$5:$N$124,Postes!$A$5:$A$124,B33,Postes!$B$5:$B$124,$B$3))</f>
        <v/>
      </c>
      <c r="H33" s="7" t="str">
        <f aca="false">IF(OR(B33="",COUNTIFS(Postes!$A$5:$A$124,B33,Postes!$B$5:$B$124,$B$3)=0),"",SUMIFS(Postes!$O$5:$O$124,Postes!$A$5:$A$124,B33,Postes!$B$5:$B$124,$B$3))</f>
        <v/>
      </c>
      <c r="I33" s="9" t="str">
        <f aca="false">IF(OR(B33="",COUNTIFS(Postes!$A$5:$A$124,B33,Postes!$B$5:$B$124,$B$3)=0),"",SUMIFS(Postes!$P$5:$P$124,Postes!$A$5:$A$124,B33,Postes!$B$5:$B$124,$B$3))</f>
        <v/>
      </c>
      <c r="J33" s="26"/>
    </row>
    <row r="34" customFormat="false" ht="15" hidden="false" customHeight="false" outlineLevel="0" collapsed="false">
      <c r="A34" s="10" t="n">
        <v>29</v>
      </c>
      <c r="B34" s="21" t="n">
        <f aca="false">IF(MONTH(Paramètres!$B$4+28)=MONTH(Paramètres!$B$4),Paramètres!$B$4+28,"")</f>
        <v>46324</v>
      </c>
      <c r="C34" s="7" t="str">
        <f aca="false">IF(OR(B34="",COUNTIFS(Postes!$A$5:$A$124,B34,Postes!$B$5:$B$124,$B$3)=0),"",SUMIFS(Postes!$F$5:$F$124,Postes!$A$5:$A$124,B34,Postes!$B$5:$B$124,$B$3))</f>
        <v/>
      </c>
      <c r="D34" s="7" t="str">
        <f aca="false">IF(OR(B34="",COUNTIFS(Postes!$A$5:$A$124,B34,Postes!$B$5:$B$124,$B$3)=0),"",SUMIFS(Postes!$M$5:$M$124,Postes!$A$5:$A$124,B34,Postes!$B$5:$B$124,$B$3))</f>
        <v/>
      </c>
      <c r="E34" s="15" t="str">
        <f aca="false">IF(OR(B34="",COUNTIFS(Postes!$A$5:$A$124,B34,Postes!$B$5:$B$124,$B$3)=0),"",AVERAGEIFS(Postes!$G$5:$G$124,Postes!$A$5:$A$124,B34,Postes!$B$5:$B$124,$B$3))</f>
        <v/>
      </c>
      <c r="F34" s="25" t="str">
        <f aca="false">IF(OR(B34="",COUNTIFS(Postes!$A$5:$A$124,B34,Postes!$B$5:$B$124,$B$3)=0),"",IF(COUNTIFS(Postes!$A$5:$A$124,B34,Postes!$B$5:$B$124,$B$3,Postes!$L$5:$L$124,"O")&gt;0,"O","N"))</f>
        <v/>
      </c>
      <c r="G34" s="9" t="str">
        <f aca="false">IF(OR(B34="",COUNTIFS(Postes!$A$5:$A$124,B34,Postes!$B$5:$B$124,$B$3)=0),"",SUMIFS(Postes!$N$5:$N$124,Postes!$A$5:$A$124,B34,Postes!$B$5:$B$124,$B$3))</f>
        <v/>
      </c>
      <c r="H34" s="7" t="str">
        <f aca="false">IF(OR(B34="",COUNTIFS(Postes!$A$5:$A$124,B34,Postes!$B$5:$B$124,$B$3)=0),"",SUMIFS(Postes!$O$5:$O$124,Postes!$A$5:$A$124,B34,Postes!$B$5:$B$124,$B$3))</f>
        <v/>
      </c>
      <c r="I34" s="9" t="str">
        <f aca="false">IF(OR(B34="",COUNTIFS(Postes!$A$5:$A$124,B34,Postes!$B$5:$B$124,$B$3)=0),"",SUMIFS(Postes!$P$5:$P$124,Postes!$A$5:$A$124,B34,Postes!$B$5:$B$124,$B$3))</f>
        <v/>
      </c>
      <c r="J34" s="26"/>
    </row>
    <row r="35" customFormat="false" ht="15" hidden="false" customHeight="false" outlineLevel="0" collapsed="false">
      <c r="A35" s="10" t="n">
        <v>30</v>
      </c>
      <c r="B35" s="21" t="n">
        <f aca="false">IF(MONTH(Paramètres!$B$4+29)=MONTH(Paramètres!$B$4),Paramètres!$B$4+29,"")</f>
        <v>46325</v>
      </c>
      <c r="C35" s="7" t="str">
        <f aca="false">IF(OR(B35="",COUNTIFS(Postes!$A$5:$A$124,B35,Postes!$B$5:$B$124,$B$3)=0),"",SUMIFS(Postes!$F$5:$F$124,Postes!$A$5:$A$124,B35,Postes!$B$5:$B$124,$B$3))</f>
        <v/>
      </c>
      <c r="D35" s="7" t="str">
        <f aca="false">IF(OR(B35="",COUNTIFS(Postes!$A$5:$A$124,B35,Postes!$B$5:$B$124,$B$3)=0),"",SUMIFS(Postes!$M$5:$M$124,Postes!$A$5:$A$124,B35,Postes!$B$5:$B$124,$B$3))</f>
        <v/>
      </c>
      <c r="E35" s="15" t="str">
        <f aca="false">IF(OR(B35="",COUNTIFS(Postes!$A$5:$A$124,B35,Postes!$B$5:$B$124,$B$3)=0),"",AVERAGEIFS(Postes!$G$5:$G$124,Postes!$A$5:$A$124,B35,Postes!$B$5:$B$124,$B$3))</f>
        <v/>
      </c>
      <c r="F35" s="25" t="str">
        <f aca="false">IF(OR(B35="",COUNTIFS(Postes!$A$5:$A$124,B35,Postes!$B$5:$B$124,$B$3)=0),"",IF(COUNTIFS(Postes!$A$5:$A$124,B35,Postes!$B$5:$B$124,$B$3,Postes!$L$5:$L$124,"O")&gt;0,"O","N"))</f>
        <v/>
      </c>
      <c r="G35" s="9" t="str">
        <f aca="false">IF(OR(B35="",COUNTIFS(Postes!$A$5:$A$124,B35,Postes!$B$5:$B$124,$B$3)=0),"",SUMIFS(Postes!$N$5:$N$124,Postes!$A$5:$A$124,B35,Postes!$B$5:$B$124,$B$3))</f>
        <v/>
      </c>
      <c r="H35" s="7" t="str">
        <f aca="false">IF(OR(B35="",COUNTIFS(Postes!$A$5:$A$124,B35,Postes!$B$5:$B$124,$B$3)=0),"",SUMIFS(Postes!$O$5:$O$124,Postes!$A$5:$A$124,B35,Postes!$B$5:$B$124,$B$3))</f>
        <v/>
      </c>
      <c r="I35" s="9" t="str">
        <f aca="false">IF(OR(B35="",COUNTIFS(Postes!$A$5:$A$124,B35,Postes!$B$5:$B$124,$B$3)=0),"",SUMIFS(Postes!$P$5:$P$124,Postes!$A$5:$A$124,B35,Postes!$B$5:$B$124,$B$3))</f>
        <v/>
      </c>
      <c r="J35" s="26"/>
    </row>
    <row r="36" customFormat="false" ht="15" hidden="false" customHeight="false" outlineLevel="0" collapsed="false">
      <c r="A36" s="10" t="n">
        <v>31</v>
      </c>
      <c r="B36" s="21" t="n">
        <f aca="false">IF(MONTH(Paramètres!$B$4+30)=MONTH(Paramètres!$B$4),Paramètres!$B$4+30,"")</f>
        <v>46326</v>
      </c>
      <c r="C36" s="7" t="str">
        <f aca="false">IF(OR(B36="",COUNTIFS(Postes!$A$5:$A$124,B36,Postes!$B$5:$B$124,$B$3)=0),"",SUMIFS(Postes!$F$5:$F$124,Postes!$A$5:$A$124,B36,Postes!$B$5:$B$124,$B$3))</f>
        <v/>
      </c>
      <c r="D36" s="7" t="str">
        <f aca="false">IF(OR(B36="",COUNTIFS(Postes!$A$5:$A$124,B36,Postes!$B$5:$B$124,$B$3)=0),"",SUMIFS(Postes!$M$5:$M$124,Postes!$A$5:$A$124,B36,Postes!$B$5:$B$124,$B$3))</f>
        <v/>
      </c>
      <c r="E36" s="15" t="str">
        <f aca="false">IF(OR(B36="",COUNTIFS(Postes!$A$5:$A$124,B36,Postes!$B$5:$B$124,$B$3)=0),"",AVERAGEIFS(Postes!$G$5:$G$124,Postes!$A$5:$A$124,B36,Postes!$B$5:$B$124,$B$3))</f>
        <v/>
      </c>
      <c r="F36" s="25" t="str">
        <f aca="false">IF(OR(B36="",COUNTIFS(Postes!$A$5:$A$124,B36,Postes!$B$5:$B$124,$B$3)=0),"",IF(COUNTIFS(Postes!$A$5:$A$124,B36,Postes!$B$5:$B$124,$B$3,Postes!$L$5:$L$124,"O")&gt;0,"O","N"))</f>
        <v/>
      </c>
      <c r="G36" s="9" t="str">
        <f aca="false">IF(OR(B36="",COUNTIFS(Postes!$A$5:$A$124,B36,Postes!$B$5:$B$124,$B$3)=0),"",SUMIFS(Postes!$N$5:$N$124,Postes!$A$5:$A$124,B36,Postes!$B$5:$B$124,$B$3))</f>
        <v/>
      </c>
      <c r="H36" s="7" t="str">
        <f aca="false">IF(OR(B36="",COUNTIFS(Postes!$A$5:$A$124,B36,Postes!$B$5:$B$124,$B$3)=0),"",SUMIFS(Postes!$O$5:$O$124,Postes!$A$5:$A$124,B36,Postes!$B$5:$B$124,$B$3))</f>
        <v/>
      </c>
      <c r="I36" s="9" t="str">
        <f aca="false">IF(OR(B36="",COUNTIFS(Postes!$A$5:$A$124,B36,Postes!$B$5:$B$124,$B$3)=0),"",SUMIFS(Postes!$P$5:$P$124,Postes!$A$5:$A$124,B36,Postes!$B$5:$B$124,$B$3))</f>
        <v/>
      </c>
      <c r="J36" s="26"/>
    </row>
    <row r="37" customFormat="false" ht="15" hidden="false" customHeight="false" outlineLevel="0" collapsed="false">
      <c r="A37" s="10" t="s">
        <v>9</v>
      </c>
      <c r="B37" s="26"/>
      <c r="C37" s="11" t="n">
        <f aca="false">SUM(C6:C36)</f>
        <v>13</v>
      </c>
      <c r="D37" s="11" t="n">
        <f aca="false">SUM(D6:D36)</f>
        <v>3</v>
      </c>
      <c r="E37" s="26"/>
      <c r="F37" s="26"/>
      <c r="G37" s="13" t="n">
        <f aca="false">SUM(G6:G36)</f>
        <v>4500</v>
      </c>
      <c r="H37" s="26"/>
      <c r="I37" s="26"/>
      <c r="J37" s="26"/>
    </row>
    <row r="39" customFormat="false" ht="15" hidden="false" customHeight="false" outlineLevel="0" collapsed="false">
      <c r="A39" s="3" t="s">
        <v>89</v>
      </c>
      <c r="C39" s="7" t="n">
        <f aca="false">COUNT(C6:C36)</f>
        <v>1</v>
      </c>
      <c r="D39" s="3" t="s">
        <v>90</v>
      </c>
      <c r="E39" s="7" t="n">
        <f aca="false">COUNTIF(G6:G36,"&gt;0")</f>
        <v>1</v>
      </c>
      <c r="F39" s="3" t="s">
        <v>91</v>
      </c>
      <c r="G39" s="13" t="n">
        <f aca="false">G37</f>
        <v>4500</v>
      </c>
    </row>
    <row r="42" customFormat="false" ht="15" hidden="false" customHeight="false" outlineLevel="0" collapsed="false">
      <c r="A42" s="0" t="s">
        <v>92</v>
      </c>
      <c r="F42" s="0" t="s">
        <v>93</v>
      </c>
    </row>
  </sheetData>
  <dataValidations count="1">
    <dataValidation allowBlank="true" errorStyle="stop" operator="between" showDropDown="false" showErrorMessage="false" showInputMessage="false" sqref="B3" type="list">
      <formula1>Paramètres!$A$11:$A$15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3" customFormat="false" ht="15" hidden="false" customHeight="false" outlineLevel="0" collapsed="false">
      <c r="A3" s="3" t="s">
        <v>2</v>
      </c>
      <c r="B3" s="4" t="n">
        <f aca="false">Paramètres!B4</f>
        <v>46296</v>
      </c>
      <c r="D3" s="3" t="s">
        <v>96</v>
      </c>
      <c r="F3" s="27" t="str">
        <f aca="false">IF(Paramètres!B8="","",Paramètres!B8)</f>
        <v/>
      </c>
    </row>
    <row r="5" customFormat="false" ht="31.5" hidden="false" customHeight="true" outlineLevel="0" collapsed="false">
      <c r="A5" s="5" t="s">
        <v>40</v>
      </c>
      <c r="B5" s="5" t="s">
        <v>41</v>
      </c>
      <c r="C5" s="5" t="s">
        <v>97</v>
      </c>
      <c r="D5" s="5" t="s">
        <v>3</v>
      </c>
      <c r="E5" s="5" t="s">
        <v>98</v>
      </c>
      <c r="F5" s="5" t="s">
        <v>99</v>
      </c>
      <c r="G5" s="5" t="s">
        <v>100</v>
      </c>
      <c r="H5" s="5" t="s">
        <v>101</v>
      </c>
    </row>
    <row r="6" customFormat="false" ht="15" hidden="false" customHeight="false" outlineLevel="0" collapsed="false">
      <c r="A6" s="10" t="n">
        <v>1</v>
      </c>
      <c r="B6" s="27" t="str">
        <f aca="false">IF(Employés!B5="","",Employés!B5)</f>
        <v>BENALI Karim</v>
      </c>
      <c r="C6" s="27" t="str">
        <f aca="false">IF(Employés!B5="","",IF(Employés!C5="","",Employés!C5))</f>
        <v>Dépileur</v>
      </c>
      <c r="D6" s="27" t="str">
        <f aca="false">IF(Employés!B5="","",IF(Employés!D5="","",Employés!D5))</f>
        <v>Équipe A</v>
      </c>
      <c r="E6" s="7" t="n">
        <f aca="false">IF(B6="","",COUNTIFS(Présences!$C$5:$C$1204,B6,Présences!$A$5:$A$1204,"&gt;="&amp;Paramètres!$B$4,Présences!$A$5:$A$1204,"&lt;"&amp;Paramètres!$B$17))</f>
        <v>1</v>
      </c>
      <c r="F6" s="7" t="n">
        <f aca="false">IF(B6="","",COUNTIFS(Présences!$C$5:$C$1204,B6,Présences!$A$5:$A$1204,"&gt;="&amp;Paramètres!$B$4,Présences!$A$5:$A$1204,"&lt;"&amp;Paramètres!$B$17,Présences!$E$5:$E$1204,"&gt;0"))</f>
        <v>1</v>
      </c>
      <c r="G6" s="9" t="n">
        <f aca="false">IF(B6="","",SUMIFS(Présences!$E$5:$E$1204,Présences!$C$5:$C$1204,B6,Présences!$A$5:$A$1204,"&gt;="&amp;Paramètres!$B$4,Présences!$A$5:$A$1204,"&lt;"&amp;Paramètres!$B$17))</f>
        <v>2250</v>
      </c>
      <c r="H6" s="26"/>
    </row>
    <row r="7" customFormat="false" ht="15" hidden="false" customHeight="false" outlineLevel="0" collapsed="false">
      <c r="A7" s="10" t="n">
        <v>2</v>
      </c>
      <c r="B7" s="27" t="str">
        <f aca="false">IF(Employés!B6="","",Employés!B6)</f>
        <v>HADDAD Samir</v>
      </c>
      <c r="C7" s="27" t="str">
        <f aca="false">IF(Employés!B6="","",IF(Employés!C6="","",Employés!C6))</f>
        <v>Dépileur</v>
      </c>
      <c r="D7" s="27" t="str">
        <f aca="false">IF(Employés!B6="","",IF(Employés!D6="","",Employés!D6))</f>
        <v>Équipe A</v>
      </c>
      <c r="E7" s="7" t="n">
        <f aca="false">IF(B7="","",COUNTIFS(Présences!$C$5:$C$1204,B7,Présences!$A$5:$A$1204,"&gt;="&amp;Paramètres!$B$4,Présences!$A$5:$A$1204,"&lt;"&amp;Paramètres!$B$17))</f>
        <v>1</v>
      </c>
      <c r="F7" s="7" t="n">
        <f aca="false">IF(B7="","",COUNTIFS(Présences!$C$5:$C$1204,B7,Présences!$A$5:$A$1204,"&gt;="&amp;Paramètres!$B$4,Présences!$A$5:$A$1204,"&lt;"&amp;Paramètres!$B$17,Présences!$E$5:$E$1204,"&gt;0"))</f>
        <v>1</v>
      </c>
      <c r="G7" s="9" t="n">
        <f aca="false">IF(B7="","",SUMIFS(Présences!$E$5:$E$1204,Présences!$C$5:$C$1204,B7,Présences!$A$5:$A$1204,"&gt;="&amp;Paramètres!$B$4,Présences!$A$5:$A$1204,"&lt;"&amp;Paramètres!$B$17))</f>
        <v>2250</v>
      </c>
      <c r="H7" s="26"/>
    </row>
    <row r="8" customFormat="false" ht="15" hidden="false" customHeight="false" outlineLevel="0" collapsed="false">
      <c r="A8" s="10" t="n">
        <v>3</v>
      </c>
      <c r="B8" s="27" t="str">
        <f aca="false">IF(Employés!B7="","",Employés!B7)</f>
        <v>MEZIANE Yacine</v>
      </c>
      <c r="C8" s="27" t="str">
        <f aca="false">IF(Employés!B7="","",IF(Employés!C7="","",Employés!C7))</f>
        <v>Cariste</v>
      </c>
      <c r="D8" s="27" t="str">
        <f aca="false">IF(Employés!B7="","",IF(Employés!D7="","",Employés!D7))</f>
        <v>Équipe A</v>
      </c>
      <c r="E8" s="7" t="n">
        <f aca="false">IF(B8="","",COUNTIFS(Présences!$C$5:$C$1204,B8,Présences!$A$5:$A$1204,"&gt;="&amp;Paramètres!$B$4,Présences!$A$5:$A$1204,"&lt;"&amp;Paramètres!$B$17))</f>
        <v>1</v>
      </c>
      <c r="F8" s="7" t="n">
        <f aca="false">IF(B8="","",COUNTIFS(Présences!$C$5:$C$1204,B8,Présences!$A$5:$A$1204,"&gt;="&amp;Paramètres!$B$4,Présences!$A$5:$A$1204,"&lt;"&amp;Paramètres!$B$17,Présences!$E$5:$E$1204,"&gt;0"))</f>
        <v>0</v>
      </c>
      <c r="G8" s="9" t="n">
        <f aca="false">IF(B8="","",SUMIFS(Présences!$E$5:$E$1204,Présences!$C$5:$C$1204,B8,Présences!$A$5:$A$1204,"&gt;="&amp;Paramètres!$B$4,Présences!$A$5:$A$1204,"&lt;"&amp;Paramètres!$B$17))</f>
        <v>0</v>
      </c>
      <c r="H8" s="26"/>
    </row>
    <row r="9" customFormat="false" ht="15" hidden="false" customHeight="false" outlineLevel="0" collapsed="false">
      <c r="A9" s="10" t="n">
        <v>4</v>
      </c>
      <c r="B9" s="27" t="str">
        <f aca="false">IF(Employés!B8="","",Employés!B8)</f>
        <v/>
      </c>
      <c r="C9" s="27" t="str">
        <f aca="false">IF(Employés!B8="","",IF(Employés!C8="","",Employés!C8))</f>
        <v/>
      </c>
      <c r="D9" s="27" t="str">
        <f aca="false">IF(Employés!B8="","",IF(Employés!D8="","",Employés!D8))</f>
        <v/>
      </c>
      <c r="E9" s="7" t="str">
        <f aca="false">IF(B9="","",COUNTIFS(Présences!$C$5:$C$1204,B9,Présences!$A$5:$A$1204,"&gt;="&amp;Paramètres!$B$4,Présences!$A$5:$A$1204,"&lt;"&amp;Paramètres!$B$17))</f>
        <v/>
      </c>
      <c r="F9" s="7" t="str">
        <f aca="false">IF(B9="","",COUNTIFS(Présences!$C$5:$C$1204,B9,Présences!$A$5:$A$1204,"&gt;="&amp;Paramètres!$B$4,Présences!$A$5:$A$1204,"&lt;"&amp;Paramètres!$B$17,Présences!$E$5:$E$1204,"&gt;0"))</f>
        <v/>
      </c>
      <c r="G9" s="9" t="str">
        <f aca="false">IF(B9="","",SUMIFS(Présences!$E$5:$E$1204,Présences!$C$5:$C$1204,B9,Présences!$A$5:$A$1204,"&gt;="&amp;Paramètres!$B$4,Présences!$A$5:$A$1204,"&lt;"&amp;Paramètres!$B$17))</f>
        <v/>
      </c>
      <c r="H9" s="26"/>
    </row>
    <row r="10" customFormat="false" ht="15" hidden="false" customHeight="false" outlineLevel="0" collapsed="false">
      <c r="A10" s="10" t="n">
        <v>5</v>
      </c>
      <c r="B10" s="27" t="str">
        <f aca="false">IF(Employés!B9="","",Employés!B9)</f>
        <v/>
      </c>
      <c r="C10" s="27" t="str">
        <f aca="false">IF(Employés!B9="","",IF(Employés!C9="","",Employés!C9))</f>
        <v/>
      </c>
      <c r="D10" s="27" t="str">
        <f aca="false">IF(Employés!B9="","",IF(Employés!D9="","",Employés!D9))</f>
        <v/>
      </c>
      <c r="E10" s="7" t="str">
        <f aca="false">IF(B10="","",COUNTIFS(Présences!$C$5:$C$1204,B10,Présences!$A$5:$A$1204,"&gt;="&amp;Paramètres!$B$4,Présences!$A$5:$A$1204,"&lt;"&amp;Paramètres!$B$17))</f>
        <v/>
      </c>
      <c r="F10" s="7" t="str">
        <f aca="false">IF(B10="","",COUNTIFS(Présences!$C$5:$C$1204,B10,Présences!$A$5:$A$1204,"&gt;="&amp;Paramètres!$B$4,Présences!$A$5:$A$1204,"&lt;"&amp;Paramètres!$B$17,Présences!$E$5:$E$1204,"&gt;0"))</f>
        <v/>
      </c>
      <c r="G10" s="9" t="str">
        <f aca="false">IF(B10="","",SUMIFS(Présences!$E$5:$E$1204,Présences!$C$5:$C$1204,B10,Présences!$A$5:$A$1204,"&gt;="&amp;Paramètres!$B$4,Présences!$A$5:$A$1204,"&lt;"&amp;Paramètres!$B$17))</f>
        <v/>
      </c>
      <c r="H10" s="26"/>
    </row>
    <row r="11" customFormat="false" ht="15" hidden="false" customHeight="false" outlineLevel="0" collapsed="false">
      <c r="A11" s="10" t="n">
        <v>6</v>
      </c>
      <c r="B11" s="27" t="str">
        <f aca="false">IF(Employés!B10="","",Employés!B10)</f>
        <v/>
      </c>
      <c r="C11" s="27" t="str">
        <f aca="false">IF(Employés!B10="","",IF(Employés!C10="","",Employés!C10))</f>
        <v/>
      </c>
      <c r="D11" s="27" t="str">
        <f aca="false">IF(Employés!B10="","",IF(Employés!D10="","",Employés!D10))</f>
        <v/>
      </c>
      <c r="E11" s="7" t="str">
        <f aca="false">IF(B11="","",COUNTIFS(Présences!$C$5:$C$1204,B11,Présences!$A$5:$A$1204,"&gt;="&amp;Paramètres!$B$4,Présences!$A$5:$A$1204,"&lt;"&amp;Paramètres!$B$17))</f>
        <v/>
      </c>
      <c r="F11" s="7" t="str">
        <f aca="false">IF(B11="","",COUNTIFS(Présences!$C$5:$C$1204,B11,Présences!$A$5:$A$1204,"&gt;="&amp;Paramètres!$B$4,Présences!$A$5:$A$1204,"&lt;"&amp;Paramètres!$B$17,Présences!$E$5:$E$1204,"&gt;0"))</f>
        <v/>
      </c>
      <c r="G11" s="9" t="str">
        <f aca="false">IF(B11="","",SUMIFS(Présences!$E$5:$E$1204,Présences!$C$5:$C$1204,B11,Présences!$A$5:$A$1204,"&gt;="&amp;Paramètres!$B$4,Présences!$A$5:$A$1204,"&lt;"&amp;Paramètres!$B$17))</f>
        <v/>
      </c>
      <c r="H11" s="26"/>
    </row>
    <row r="12" customFormat="false" ht="15" hidden="false" customHeight="false" outlineLevel="0" collapsed="false">
      <c r="A12" s="10" t="n">
        <v>7</v>
      </c>
      <c r="B12" s="27" t="str">
        <f aca="false">IF(Employés!B11="","",Employés!B11)</f>
        <v/>
      </c>
      <c r="C12" s="27" t="str">
        <f aca="false">IF(Employés!B11="","",IF(Employés!C11="","",Employés!C11))</f>
        <v/>
      </c>
      <c r="D12" s="27" t="str">
        <f aca="false">IF(Employés!B11="","",IF(Employés!D11="","",Employés!D11))</f>
        <v/>
      </c>
      <c r="E12" s="7" t="str">
        <f aca="false">IF(B12="","",COUNTIFS(Présences!$C$5:$C$1204,B12,Présences!$A$5:$A$1204,"&gt;="&amp;Paramètres!$B$4,Présences!$A$5:$A$1204,"&lt;"&amp;Paramètres!$B$17))</f>
        <v/>
      </c>
      <c r="F12" s="7" t="str">
        <f aca="false">IF(B12="","",COUNTIFS(Présences!$C$5:$C$1204,B12,Présences!$A$5:$A$1204,"&gt;="&amp;Paramètres!$B$4,Présences!$A$5:$A$1204,"&lt;"&amp;Paramètres!$B$17,Présences!$E$5:$E$1204,"&gt;0"))</f>
        <v/>
      </c>
      <c r="G12" s="9" t="str">
        <f aca="false">IF(B12="","",SUMIFS(Présences!$E$5:$E$1204,Présences!$C$5:$C$1204,B12,Présences!$A$5:$A$1204,"&gt;="&amp;Paramètres!$B$4,Présences!$A$5:$A$1204,"&lt;"&amp;Paramètres!$B$17))</f>
        <v/>
      </c>
      <c r="H12" s="26"/>
    </row>
    <row r="13" customFormat="false" ht="15" hidden="false" customHeight="false" outlineLevel="0" collapsed="false">
      <c r="A13" s="10" t="n">
        <v>8</v>
      </c>
      <c r="B13" s="27" t="str">
        <f aca="false">IF(Employés!B12="","",Employés!B12)</f>
        <v/>
      </c>
      <c r="C13" s="27" t="str">
        <f aca="false">IF(Employés!B12="","",IF(Employés!C12="","",Employés!C12))</f>
        <v/>
      </c>
      <c r="D13" s="27" t="str">
        <f aca="false">IF(Employés!B12="","",IF(Employés!D12="","",Employés!D12))</f>
        <v/>
      </c>
      <c r="E13" s="7" t="str">
        <f aca="false">IF(B13="","",COUNTIFS(Présences!$C$5:$C$1204,B13,Présences!$A$5:$A$1204,"&gt;="&amp;Paramètres!$B$4,Présences!$A$5:$A$1204,"&lt;"&amp;Paramètres!$B$17))</f>
        <v/>
      </c>
      <c r="F13" s="7" t="str">
        <f aca="false">IF(B13="","",COUNTIFS(Présences!$C$5:$C$1204,B13,Présences!$A$5:$A$1204,"&gt;="&amp;Paramètres!$B$4,Présences!$A$5:$A$1204,"&lt;"&amp;Paramètres!$B$17,Présences!$E$5:$E$1204,"&gt;0"))</f>
        <v/>
      </c>
      <c r="G13" s="9" t="str">
        <f aca="false">IF(B13="","",SUMIFS(Présences!$E$5:$E$1204,Présences!$C$5:$C$1204,B13,Présences!$A$5:$A$1204,"&gt;="&amp;Paramètres!$B$4,Présences!$A$5:$A$1204,"&lt;"&amp;Paramètres!$B$17))</f>
        <v/>
      </c>
      <c r="H13" s="26"/>
    </row>
    <row r="14" customFormat="false" ht="15" hidden="false" customHeight="false" outlineLevel="0" collapsed="false">
      <c r="A14" s="10" t="n">
        <v>9</v>
      </c>
      <c r="B14" s="27" t="str">
        <f aca="false">IF(Employés!B13="","",Employés!B13)</f>
        <v/>
      </c>
      <c r="C14" s="27" t="str">
        <f aca="false">IF(Employés!B13="","",IF(Employés!C13="","",Employés!C13))</f>
        <v/>
      </c>
      <c r="D14" s="27" t="str">
        <f aca="false">IF(Employés!B13="","",IF(Employés!D13="","",Employés!D13))</f>
        <v/>
      </c>
      <c r="E14" s="7" t="str">
        <f aca="false">IF(B14="","",COUNTIFS(Présences!$C$5:$C$1204,B14,Présences!$A$5:$A$1204,"&gt;="&amp;Paramètres!$B$4,Présences!$A$5:$A$1204,"&lt;"&amp;Paramètres!$B$17))</f>
        <v/>
      </c>
      <c r="F14" s="7" t="str">
        <f aca="false">IF(B14="","",COUNTIFS(Présences!$C$5:$C$1204,B14,Présences!$A$5:$A$1204,"&gt;="&amp;Paramètres!$B$4,Présences!$A$5:$A$1204,"&lt;"&amp;Paramètres!$B$17,Présences!$E$5:$E$1204,"&gt;0"))</f>
        <v/>
      </c>
      <c r="G14" s="9" t="str">
        <f aca="false">IF(B14="","",SUMIFS(Présences!$E$5:$E$1204,Présences!$C$5:$C$1204,B14,Présences!$A$5:$A$1204,"&gt;="&amp;Paramètres!$B$4,Présences!$A$5:$A$1204,"&lt;"&amp;Paramètres!$B$17))</f>
        <v/>
      </c>
      <c r="H14" s="26"/>
    </row>
    <row r="15" customFormat="false" ht="15" hidden="false" customHeight="false" outlineLevel="0" collapsed="false">
      <c r="A15" s="10" t="n">
        <v>10</v>
      </c>
      <c r="B15" s="27" t="str">
        <f aca="false">IF(Employés!B14="","",Employés!B14)</f>
        <v/>
      </c>
      <c r="C15" s="27" t="str">
        <f aca="false">IF(Employés!B14="","",IF(Employés!C14="","",Employés!C14))</f>
        <v/>
      </c>
      <c r="D15" s="27" t="str">
        <f aca="false">IF(Employés!B14="","",IF(Employés!D14="","",Employés!D14))</f>
        <v/>
      </c>
      <c r="E15" s="7" t="str">
        <f aca="false">IF(B15="","",COUNTIFS(Présences!$C$5:$C$1204,B15,Présences!$A$5:$A$1204,"&gt;="&amp;Paramètres!$B$4,Présences!$A$5:$A$1204,"&lt;"&amp;Paramètres!$B$17))</f>
        <v/>
      </c>
      <c r="F15" s="7" t="str">
        <f aca="false">IF(B15="","",COUNTIFS(Présences!$C$5:$C$1204,B15,Présences!$A$5:$A$1204,"&gt;="&amp;Paramètres!$B$4,Présences!$A$5:$A$1204,"&lt;"&amp;Paramètres!$B$17,Présences!$E$5:$E$1204,"&gt;0"))</f>
        <v/>
      </c>
      <c r="G15" s="9" t="str">
        <f aca="false">IF(B15="","",SUMIFS(Présences!$E$5:$E$1204,Présences!$C$5:$C$1204,B15,Présences!$A$5:$A$1204,"&gt;="&amp;Paramètres!$B$4,Présences!$A$5:$A$1204,"&lt;"&amp;Paramètres!$B$17))</f>
        <v/>
      </c>
      <c r="H15" s="26"/>
    </row>
    <row r="16" customFormat="false" ht="15" hidden="false" customHeight="false" outlineLevel="0" collapsed="false">
      <c r="A16" s="10" t="n">
        <v>11</v>
      </c>
      <c r="B16" s="27" t="str">
        <f aca="false">IF(Employés!B15="","",Employés!B15)</f>
        <v/>
      </c>
      <c r="C16" s="27" t="str">
        <f aca="false">IF(Employés!B15="","",IF(Employés!C15="","",Employés!C15))</f>
        <v/>
      </c>
      <c r="D16" s="27" t="str">
        <f aca="false">IF(Employés!B15="","",IF(Employés!D15="","",Employés!D15))</f>
        <v/>
      </c>
      <c r="E16" s="7" t="str">
        <f aca="false">IF(B16="","",COUNTIFS(Présences!$C$5:$C$1204,B16,Présences!$A$5:$A$1204,"&gt;="&amp;Paramètres!$B$4,Présences!$A$5:$A$1204,"&lt;"&amp;Paramètres!$B$17))</f>
        <v/>
      </c>
      <c r="F16" s="7" t="str">
        <f aca="false">IF(B16="","",COUNTIFS(Présences!$C$5:$C$1204,B16,Présences!$A$5:$A$1204,"&gt;="&amp;Paramètres!$B$4,Présences!$A$5:$A$1204,"&lt;"&amp;Paramètres!$B$17,Présences!$E$5:$E$1204,"&gt;0"))</f>
        <v/>
      </c>
      <c r="G16" s="9" t="str">
        <f aca="false">IF(B16="","",SUMIFS(Présences!$E$5:$E$1204,Présences!$C$5:$C$1204,B16,Présences!$A$5:$A$1204,"&gt;="&amp;Paramètres!$B$4,Présences!$A$5:$A$1204,"&lt;"&amp;Paramètres!$B$17))</f>
        <v/>
      </c>
      <c r="H16" s="26"/>
    </row>
    <row r="17" customFormat="false" ht="15" hidden="false" customHeight="false" outlineLevel="0" collapsed="false">
      <c r="A17" s="10" t="n">
        <v>12</v>
      </c>
      <c r="B17" s="27" t="str">
        <f aca="false">IF(Employés!B16="","",Employés!B16)</f>
        <v/>
      </c>
      <c r="C17" s="27" t="str">
        <f aca="false">IF(Employés!B16="","",IF(Employés!C16="","",Employés!C16))</f>
        <v/>
      </c>
      <c r="D17" s="27" t="str">
        <f aca="false">IF(Employés!B16="","",IF(Employés!D16="","",Employés!D16))</f>
        <v/>
      </c>
      <c r="E17" s="7" t="str">
        <f aca="false">IF(B17="","",COUNTIFS(Présences!$C$5:$C$1204,B17,Présences!$A$5:$A$1204,"&gt;="&amp;Paramètres!$B$4,Présences!$A$5:$A$1204,"&lt;"&amp;Paramètres!$B$17))</f>
        <v/>
      </c>
      <c r="F17" s="7" t="str">
        <f aca="false">IF(B17="","",COUNTIFS(Présences!$C$5:$C$1204,B17,Présences!$A$5:$A$1204,"&gt;="&amp;Paramètres!$B$4,Présences!$A$5:$A$1204,"&lt;"&amp;Paramètres!$B$17,Présences!$E$5:$E$1204,"&gt;0"))</f>
        <v/>
      </c>
      <c r="G17" s="9" t="str">
        <f aca="false">IF(B17="","",SUMIFS(Présences!$E$5:$E$1204,Présences!$C$5:$C$1204,B17,Présences!$A$5:$A$1204,"&gt;="&amp;Paramètres!$B$4,Présences!$A$5:$A$1204,"&lt;"&amp;Paramètres!$B$17))</f>
        <v/>
      </c>
      <c r="H17" s="26"/>
    </row>
    <row r="18" customFormat="false" ht="15" hidden="false" customHeight="false" outlineLevel="0" collapsed="false">
      <c r="A18" s="10" t="n">
        <v>13</v>
      </c>
      <c r="B18" s="27" t="str">
        <f aca="false">IF(Employés!B17="","",Employés!B17)</f>
        <v/>
      </c>
      <c r="C18" s="27" t="str">
        <f aca="false">IF(Employés!B17="","",IF(Employés!C17="","",Employés!C17))</f>
        <v/>
      </c>
      <c r="D18" s="27" t="str">
        <f aca="false">IF(Employés!B17="","",IF(Employés!D17="","",Employés!D17))</f>
        <v/>
      </c>
      <c r="E18" s="7" t="str">
        <f aca="false">IF(B18="","",COUNTIFS(Présences!$C$5:$C$1204,B18,Présences!$A$5:$A$1204,"&gt;="&amp;Paramètres!$B$4,Présences!$A$5:$A$1204,"&lt;"&amp;Paramètres!$B$17))</f>
        <v/>
      </c>
      <c r="F18" s="7" t="str">
        <f aca="false">IF(B18="","",COUNTIFS(Présences!$C$5:$C$1204,B18,Présences!$A$5:$A$1204,"&gt;="&amp;Paramètres!$B$4,Présences!$A$5:$A$1204,"&lt;"&amp;Paramètres!$B$17,Présences!$E$5:$E$1204,"&gt;0"))</f>
        <v/>
      </c>
      <c r="G18" s="9" t="str">
        <f aca="false">IF(B18="","",SUMIFS(Présences!$E$5:$E$1204,Présences!$C$5:$C$1204,B18,Présences!$A$5:$A$1204,"&gt;="&amp;Paramètres!$B$4,Présences!$A$5:$A$1204,"&lt;"&amp;Paramètres!$B$17))</f>
        <v/>
      </c>
      <c r="H18" s="26"/>
    </row>
    <row r="19" customFormat="false" ht="15" hidden="false" customHeight="false" outlineLevel="0" collapsed="false">
      <c r="A19" s="10" t="n">
        <v>14</v>
      </c>
      <c r="B19" s="27" t="str">
        <f aca="false">IF(Employés!B18="","",Employés!B18)</f>
        <v/>
      </c>
      <c r="C19" s="27" t="str">
        <f aca="false">IF(Employés!B18="","",IF(Employés!C18="","",Employés!C18))</f>
        <v/>
      </c>
      <c r="D19" s="27" t="str">
        <f aca="false">IF(Employés!B18="","",IF(Employés!D18="","",Employés!D18))</f>
        <v/>
      </c>
      <c r="E19" s="7" t="str">
        <f aca="false">IF(B19="","",COUNTIFS(Présences!$C$5:$C$1204,B19,Présences!$A$5:$A$1204,"&gt;="&amp;Paramètres!$B$4,Présences!$A$5:$A$1204,"&lt;"&amp;Paramètres!$B$17))</f>
        <v/>
      </c>
      <c r="F19" s="7" t="str">
        <f aca="false">IF(B19="","",COUNTIFS(Présences!$C$5:$C$1204,B19,Présences!$A$5:$A$1204,"&gt;="&amp;Paramètres!$B$4,Présences!$A$5:$A$1204,"&lt;"&amp;Paramètres!$B$17,Présences!$E$5:$E$1204,"&gt;0"))</f>
        <v/>
      </c>
      <c r="G19" s="9" t="str">
        <f aca="false">IF(B19="","",SUMIFS(Présences!$E$5:$E$1204,Présences!$C$5:$C$1204,B19,Présences!$A$5:$A$1204,"&gt;="&amp;Paramètres!$B$4,Présences!$A$5:$A$1204,"&lt;"&amp;Paramètres!$B$17))</f>
        <v/>
      </c>
      <c r="H19" s="26"/>
    </row>
    <row r="20" customFormat="false" ht="15" hidden="false" customHeight="false" outlineLevel="0" collapsed="false">
      <c r="A20" s="10" t="n">
        <v>15</v>
      </c>
      <c r="B20" s="27" t="str">
        <f aca="false">IF(Employés!B19="","",Employés!B19)</f>
        <v/>
      </c>
      <c r="C20" s="27" t="str">
        <f aca="false">IF(Employés!B19="","",IF(Employés!C19="","",Employés!C19))</f>
        <v/>
      </c>
      <c r="D20" s="27" t="str">
        <f aca="false">IF(Employés!B19="","",IF(Employés!D19="","",Employés!D19))</f>
        <v/>
      </c>
      <c r="E20" s="7" t="str">
        <f aca="false">IF(B20="","",COUNTIFS(Présences!$C$5:$C$1204,B20,Présences!$A$5:$A$1204,"&gt;="&amp;Paramètres!$B$4,Présences!$A$5:$A$1204,"&lt;"&amp;Paramètres!$B$17))</f>
        <v/>
      </c>
      <c r="F20" s="7" t="str">
        <f aca="false">IF(B20="","",COUNTIFS(Présences!$C$5:$C$1204,B20,Présences!$A$5:$A$1204,"&gt;="&amp;Paramètres!$B$4,Présences!$A$5:$A$1204,"&lt;"&amp;Paramètres!$B$17,Présences!$E$5:$E$1204,"&gt;0"))</f>
        <v/>
      </c>
      <c r="G20" s="9" t="str">
        <f aca="false">IF(B20="","",SUMIFS(Présences!$E$5:$E$1204,Présences!$C$5:$C$1204,B20,Présences!$A$5:$A$1204,"&gt;="&amp;Paramètres!$B$4,Présences!$A$5:$A$1204,"&lt;"&amp;Paramètres!$B$17))</f>
        <v/>
      </c>
      <c r="H20" s="26"/>
    </row>
    <row r="21" customFormat="false" ht="15" hidden="false" customHeight="false" outlineLevel="0" collapsed="false">
      <c r="A21" s="10" t="n">
        <v>16</v>
      </c>
      <c r="B21" s="27" t="str">
        <f aca="false">IF(Employés!B20="","",Employés!B20)</f>
        <v/>
      </c>
      <c r="C21" s="27" t="str">
        <f aca="false">IF(Employés!B20="","",IF(Employés!C20="","",Employés!C20))</f>
        <v/>
      </c>
      <c r="D21" s="27" t="str">
        <f aca="false">IF(Employés!B20="","",IF(Employés!D20="","",Employés!D20))</f>
        <v/>
      </c>
      <c r="E21" s="7" t="str">
        <f aca="false">IF(B21="","",COUNTIFS(Présences!$C$5:$C$1204,B21,Présences!$A$5:$A$1204,"&gt;="&amp;Paramètres!$B$4,Présences!$A$5:$A$1204,"&lt;"&amp;Paramètres!$B$17))</f>
        <v/>
      </c>
      <c r="F21" s="7" t="str">
        <f aca="false">IF(B21="","",COUNTIFS(Présences!$C$5:$C$1204,B21,Présences!$A$5:$A$1204,"&gt;="&amp;Paramètres!$B$4,Présences!$A$5:$A$1204,"&lt;"&amp;Paramètres!$B$17,Présences!$E$5:$E$1204,"&gt;0"))</f>
        <v/>
      </c>
      <c r="G21" s="9" t="str">
        <f aca="false">IF(B21="","",SUMIFS(Présences!$E$5:$E$1204,Présences!$C$5:$C$1204,B21,Présences!$A$5:$A$1204,"&gt;="&amp;Paramètres!$B$4,Présences!$A$5:$A$1204,"&lt;"&amp;Paramètres!$B$17))</f>
        <v/>
      </c>
      <c r="H21" s="26"/>
    </row>
    <row r="22" customFormat="false" ht="15" hidden="false" customHeight="false" outlineLevel="0" collapsed="false">
      <c r="A22" s="10" t="n">
        <v>17</v>
      </c>
      <c r="B22" s="27" t="str">
        <f aca="false">IF(Employés!B21="","",Employés!B21)</f>
        <v/>
      </c>
      <c r="C22" s="27" t="str">
        <f aca="false">IF(Employés!B21="","",IF(Employés!C21="","",Employés!C21))</f>
        <v/>
      </c>
      <c r="D22" s="27" t="str">
        <f aca="false">IF(Employés!B21="","",IF(Employés!D21="","",Employés!D21))</f>
        <v/>
      </c>
      <c r="E22" s="7" t="str">
        <f aca="false">IF(B22="","",COUNTIFS(Présences!$C$5:$C$1204,B22,Présences!$A$5:$A$1204,"&gt;="&amp;Paramètres!$B$4,Présences!$A$5:$A$1204,"&lt;"&amp;Paramètres!$B$17))</f>
        <v/>
      </c>
      <c r="F22" s="7" t="str">
        <f aca="false">IF(B22="","",COUNTIFS(Présences!$C$5:$C$1204,B22,Présences!$A$5:$A$1204,"&gt;="&amp;Paramètres!$B$4,Présences!$A$5:$A$1204,"&lt;"&amp;Paramètres!$B$17,Présences!$E$5:$E$1204,"&gt;0"))</f>
        <v/>
      </c>
      <c r="G22" s="9" t="str">
        <f aca="false">IF(B22="","",SUMIFS(Présences!$E$5:$E$1204,Présences!$C$5:$C$1204,B22,Présences!$A$5:$A$1204,"&gt;="&amp;Paramètres!$B$4,Présences!$A$5:$A$1204,"&lt;"&amp;Paramètres!$B$17))</f>
        <v/>
      </c>
      <c r="H22" s="26"/>
    </row>
    <row r="23" customFormat="false" ht="15" hidden="false" customHeight="false" outlineLevel="0" collapsed="false">
      <c r="A23" s="10" t="n">
        <v>18</v>
      </c>
      <c r="B23" s="27" t="str">
        <f aca="false">IF(Employés!B22="","",Employés!B22)</f>
        <v/>
      </c>
      <c r="C23" s="27" t="str">
        <f aca="false">IF(Employés!B22="","",IF(Employés!C22="","",Employés!C22))</f>
        <v/>
      </c>
      <c r="D23" s="27" t="str">
        <f aca="false">IF(Employés!B22="","",IF(Employés!D22="","",Employés!D22))</f>
        <v/>
      </c>
      <c r="E23" s="7" t="str">
        <f aca="false">IF(B23="","",COUNTIFS(Présences!$C$5:$C$1204,B23,Présences!$A$5:$A$1204,"&gt;="&amp;Paramètres!$B$4,Présences!$A$5:$A$1204,"&lt;"&amp;Paramètres!$B$17))</f>
        <v/>
      </c>
      <c r="F23" s="7" t="str">
        <f aca="false">IF(B23="","",COUNTIFS(Présences!$C$5:$C$1204,B23,Présences!$A$5:$A$1204,"&gt;="&amp;Paramètres!$B$4,Présences!$A$5:$A$1204,"&lt;"&amp;Paramètres!$B$17,Présences!$E$5:$E$1204,"&gt;0"))</f>
        <v/>
      </c>
      <c r="G23" s="9" t="str">
        <f aca="false">IF(B23="","",SUMIFS(Présences!$E$5:$E$1204,Présences!$C$5:$C$1204,B23,Présences!$A$5:$A$1204,"&gt;="&amp;Paramètres!$B$4,Présences!$A$5:$A$1204,"&lt;"&amp;Paramètres!$B$17))</f>
        <v/>
      </c>
      <c r="H23" s="26"/>
    </row>
    <row r="24" customFormat="false" ht="15" hidden="false" customHeight="false" outlineLevel="0" collapsed="false">
      <c r="A24" s="10" t="n">
        <v>19</v>
      </c>
      <c r="B24" s="27" t="str">
        <f aca="false">IF(Employés!B23="","",Employés!B23)</f>
        <v/>
      </c>
      <c r="C24" s="27" t="str">
        <f aca="false">IF(Employés!B23="","",IF(Employés!C23="","",Employés!C23))</f>
        <v/>
      </c>
      <c r="D24" s="27" t="str">
        <f aca="false">IF(Employés!B23="","",IF(Employés!D23="","",Employés!D23))</f>
        <v/>
      </c>
      <c r="E24" s="7" t="str">
        <f aca="false">IF(B24="","",COUNTIFS(Présences!$C$5:$C$1204,B24,Présences!$A$5:$A$1204,"&gt;="&amp;Paramètres!$B$4,Présences!$A$5:$A$1204,"&lt;"&amp;Paramètres!$B$17))</f>
        <v/>
      </c>
      <c r="F24" s="7" t="str">
        <f aca="false">IF(B24="","",COUNTIFS(Présences!$C$5:$C$1204,B24,Présences!$A$5:$A$1204,"&gt;="&amp;Paramètres!$B$4,Présences!$A$5:$A$1204,"&lt;"&amp;Paramètres!$B$17,Présences!$E$5:$E$1204,"&gt;0"))</f>
        <v/>
      </c>
      <c r="G24" s="9" t="str">
        <f aca="false">IF(B24="","",SUMIFS(Présences!$E$5:$E$1204,Présences!$C$5:$C$1204,B24,Présences!$A$5:$A$1204,"&gt;="&amp;Paramètres!$B$4,Présences!$A$5:$A$1204,"&lt;"&amp;Paramètres!$B$17))</f>
        <v/>
      </c>
      <c r="H24" s="26"/>
    </row>
    <row r="25" customFormat="false" ht="15" hidden="false" customHeight="false" outlineLevel="0" collapsed="false">
      <c r="A25" s="10" t="n">
        <v>20</v>
      </c>
      <c r="B25" s="27" t="str">
        <f aca="false">IF(Employés!B24="","",Employés!B24)</f>
        <v/>
      </c>
      <c r="C25" s="27" t="str">
        <f aca="false">IF(Employés!B24="","",IF(Employés!C24="","",Employés!C24))</f>
        <v/>
      </c>
      <c r="D25" s="27" t="str">
        <f aca="false">IF(Employés!B24="","",IF(Employés!D24="","",Employés!D24))</f>
        <v/>
      </c>
      <c r="E25" s="7" t="str">
        <f aca="false">IF(B25="","",COUNTIFS(Présences!$C$5:$C$1204,B25,Présences!$A$5:$A$1204,"&gt;="&amp;Paramètres!$B$4,Présences!$A$5:$A$1204,"&lt;"&amp;Paramètres!$B$17))</f>
        <v/>
      </c>
      <c r="F25" s="7" t="str">
        <f aca="false">IF(B25="","",COUNTIFS(Présences!$C$5:$C$1204,B25,Présences!$A$5:$A$1204,"&gt;="&amp;Paramètres!$B$4,Présences!$A$5:$A$1204,"&lt;"&amp;Paramètres!$B$17,Présences!$E$5:$E$1204,"&gt;0"))</f>
        <v/>
      </c>
      <c r="G25" s="9" t="str">
        <f aca="false">IF(B25="","",SUMIFS(Présences!$E$5:$E$1204,Présences!$C$5:$C$1204,B25,Présences!$A$5:$A$1204,"&gt;="&amp;Paramètres!$B$4,Présences!$A$5:$A$1204,"&lt;"&amp;Paramètres!$B$17))</f>
        <v/>
      </c>
      <c r="H25" s="26"/>
    </row>
    <row r="26" customFormat="false" ht="15" hidden="false" customHeight="false" outlineLevel="0" collapsed="false">
      <c r="A26" s="10" t="n">
        <v>21</v>
      </c>
      <c r="B26" s="27" t="str">
        <f aca="false">IF(Employés!B25="","",Employés!B25)</f>
        <v/>
      </c>
      <c r="C26" s="27" t="str">
        <f aca="false">IF(Employés!B25="","",IF(Employés!C25="","",Employés!C25))</f>
        <v/>
      </c>
      <c r="D26" s="27" t="str">
        <f aca="false">IF(Employés!B25="","",IF(Employés!D25="","",Employés!D25))</f>
        <v/>
      </c>
      <c r="E26" s="7" t="str">
        <f aca="false">IF(B26="","",COUNTIFS(Présences!$C$5:$C$1204,B26,Présences!$A$5:$A$1204,"&gt;="&amp;Paramètres!$B$4,Présences!$A$5:$A$1204,"&lt;"&amp;Paramètres!$B$17))</f>
        <v/>
      </c>
      <c r="F26" s="7" t="str">
        <f aca="false">IF(B26="","",COUNTIFS(Présences!$C$5:$C$1204,B26,Présences!$A$5:$A$1204,"&gt;="&amp;Paramètres!$B$4,Présences!$A$5:$A$1204,"&lt;"&amp;Paramètres!$B$17,Présences!$E$5:$E$1204,"&gt;0"))</f>
        <v/>
      </c>
      <c r="G26" s="9" t="str">
        <f aca="false">IF(B26="","",SUMIFS(Présences!$E$5:$E$1204,Présences!$C$5:$C$1204,B26,Présences!$A$5:$A$1204,"&gt;="&amp;Paramètres!$B$4,Présences!$A$5:$A$1204,"&lt;"&amp;Paramètres!$B$17))</f>
        <v/>
      </c>
      <c r="H26" s="26"/>
    </row>
    <row r="27" customFormat="false" ht="15" hidden="false" customHeight="false" outlineLevel="0" collapsed="false">
      <c r="A27" s="10" t="n">
        <v>22</v>
      </c>
      <c r="B27" s="27" t="str">
        <f aca="false">IF(Employés!B26="","",Employés!B26)</f>
        <v/>
      </c>
      <c r="C27" s="27" t="str">
        <f aca="false">IF(Employés!B26="","",IF(Employés!C26="","",Employés!C26))</f>
        <v/>
      </c>
      <c r="D27" s="27" t="str">
        <f aca="false">IF(Employés!B26="","",IF(Employés!D26="","",Employés!D26))</f>
        <v/>
      </c>
      <c r="E27" s="7" t="str">
        <f aca="false">IF(B27="","",COUNTIFS(Présences!$C$5:$C$1204,B27,Présences!$A$5:$A$1204,"&gt;="&amp;Paramètres!$B$4,Présences!$A$5:$A$1204,"&lt;"&amp;Paramètres!$B$17))</f>
        <v/>
      </c>
      <c r="F27" s="7" t="str">
        <f aca="false">IF(B27="","",COUNTIFS(Présences!$C$5:$C$1204,B27,Présences!$A$5:$A$1204,"&gt;="&amp;Paramètres!$B$4,Présences!$A$5:$A$1204,"&lt;"&amp;Paramètres!$B$17,Présences!$E$5:$E$1204,"&gt;0"))</f>
        <v/>
      </c>
      <c r="G27" s="9" t="str">
        <f aca="false">IF(B27="","",SUMIFS(Présences!$E$5:$E$1204,Présences!$C$5:$C$1204,B27,Présences!$A$5:$A$1204,"&gt;="&amp;Paramètres!$B$4,Présences!$A$5:$A$1204,"&lt;"&amp;Paramètres!$B$17))</f>
        <v/>
      </c>
      <c r="H27" s="26"/>
    </row>
    <row r="28" customFormat="false" ht="15" hidden="false" customHeight="false" outlineLevel="0" collapsed="false">
      <c r="A28" s="10" t="n">
        <v>23</v>
      </c>
      <c r="B28" s="27" t="str">
        <f aca="false">IF(Employés!B27="","",Employés!B27)</f>
        <v/>
      </c>
      <c r="C28" s="27" t="str">
        <f aca="false">IF(Employés!B27="","",IF(Employés!C27="","",Employés!C27))</f>
        <v/>
      </c>
      <c r="D28" s="27" t="str">
        <f aca="false">IF(Employés!B27="","",IF(Employés!D27="","",Employés!D27))</f>
        <v/>
      </c>
      <c r="E28" s="7" t="str">
        <f aca="false">IF(B28="","",COUNTIFS(Présences!$C$5:$C$1204,B28,Présences!$A$5:$A$1204,"&gt;="&amp;Paramètres!$B$4,Présences!$A$5:$A$1204,"&lt;"&amp;Paramètres!$B$17))</f>
        <v/>
      </c>
      <c r="F28" s="7" t="str">
        <f aca="false">IF(B28="","",COUNTIFS(Présences!$C$5:$C$1204,B28,Présences!$A$5:$A$1204,"&gt;="&amp;Paramètres!$B$4,Présences!$A$5:$A$1204,"&lt;"&amp;Paramètres!$B$17,Présences!$E$5:$E$1204,"&gt;0"))</f>
        <v/>
      </c>
      <c r="G28" s="9" t="str">
        <f aca="false">IF(B28="","",SUMIFS(Présences!$E$5:$E$1204,Présences!$C$5:$C$1204,B28,Présences!$A$5:$A$1204,"&gt;="&amp;Paramètres!$B$4,Présences!$A$5:$A$1204,"&lt;"&amp;Paramètres!$B$17))</f>
        <v/>
      </c>
      <c r="H28" s="26"/>
    </row>
    <row r="29" customFormat="false" ht="15" hidden="false" customHeight="false" outlineLevel="0" collapsed="false">
      <c r="A29" s="10" t="n">
        <v>24</v>
      </c>
      <c r="B29" s="27" t="str">
        <f aca="false">IF(Employés!B28="","",Employés!B28)</f>
        <v/>
      </c>
      <c r="C29" s="27" t="str">
        <f aca="false">IF(Employés!B28="","",IF(Employés!C28="","",Employés!C28))</f>
        <v/>
      </c>
      <c r="D29" s="27" t="str">
        <f aca="false">IF(Employés!B28="","",IF(Employés!D28="","",Employés!D28))</f>
        <v/>
      </c>
      <c r="E29" s="7" t="str">
        <f aca="false">IF(B29="","",COUNTIFS(Présences!$C$5:$C$1204,B29,Présences!$A$5:$A$1204,"&gt;="&amp;Paramètres!$B$4,Présences!$A$5:$A$1204,"&lt;"&amp;Paramètres!$B$17))</f>
        <v/>
      </c>
      <c r="F29" s="7" t="str">
        <f aca="false">IF(B29="","",COUNTIFS(Présences!$C$5:$C$1204,B29,Présences!$A$5:$A$1204,"&gt;="&amp;Paramètres!$B$4,Présences!$A$5:$A$1204,"&lt;"&amp;Paramètres!$B$17,Présences!$E$5:$E$1204,"&gt;0"))</f>
        <v/>
      </c>
      <c r="G29" s="9" t="str">
        <f aca="false">IF(B29="","",SUMIFS(Présences!$E$5:$E$1204,Présences!$C$5:$C$1204,B29,Présences!$A$5:$A$1204,"&gt;="&amp;Paramètres!$B$4,Présences!$A$5:$A$1204,"&lt;"&amp;Paramètres!$B$17))</f>
        <v/>
      </c>
      <c r="H29" s="26"/>
    </row>
    <row r="30" customFormat="false" ht="15" hidden="false" customHeight="false" outlineLevel="0" collapsed="false">
      <c r="A30" s="10" t="n">
        <v>25</v>
      </c>
      <c r="B30" s="27" t="str">
        <f aca="false">IF(Employés!B29="","",Employés!B29)</f>
        <v/>
      </c>
      <c r="C30" s="27" t="str">
        <f aca="false">IF(Employés!B29="","",IF(Employés!C29="","",Employés!C29))</f>
        <v/>
      </c>
      <c r="D30" s="27" t="str">
        <f aca="false">IF(Employés!B29="","",IF(Employés!D29="","",Employés!D29))</f>
        <v/>
      </c>
      <c r="E30" s="7" t="str">
        <f aca="false">IF(B30="","",COUNTIFS(Présences!$C$5:$C$1204,B30,Présences!$A$5:$A$1204,"&gt;="&amp;Paramètres!$B$4,Présences!$A$5:$A$1204,"&lt;"&amp;Paramètres!$B$17))</f>
        <v/>
      </c>
      <c r="F30" s="7" t="str">
        <f aca="false">IF(B30="","",COUNTIFS(Présences!$C$5:$C$1204,B30,Présences!$A$5:$A$1204,"&gt;="&amp;Paramètres!$B$4,Présences!$A$5:$A$1204,"&lt;"&amp;Paramètres!$B$17,Présences!$E$5:$E$1204,"&gt;0"))</f>
        <v/>
      </c>
      <c r="G30" s="9" t="str">
        <f aca="false">IF(B30="","",SUMIFS(Présences!$E$5:$E$1204,Présences!$C$5:$C$1204,B30,Présences!$A$5:$A$1204,"&gt;="&amp;Paramètres!$B$4,Présences!$A$5:$A$1204,"&lt;"&amp;Paramètres!$B$17))</f>
        <v/>
      </c>
      <c r="H30" s="26"/>
    </row>
    <row r="31" customFormat="false" ht="15" hidden="false" customHeight="false" outlineLevel="0" collapsed="false">
      <c r="A31" s="10" t="n">
        <v>26</v>
      </c>
      <c r="B31" s="27" t="str">
        <f aca="false">IF(Employés!B30="","",Employés!B30)</f>
        <v/>
      </c>
      <c r="C31" s="27" t="str">
        <f aca="false">IF(Employés!B30="","",IF(Employés!C30="","",Employés!C30))</f>
        <v/>
      </c>
      <c r="D31" s="27" t="str">
        <f aca="false">IF(Employés!B30="","",IF(Employés!D30="","",Employés!D30))</f>
        <v/>
      </c>
      <c r="E31" s="7" t="str">
        <f aca="false">IF(B31="","",COUNTIFS(Présences!$C$5:$C$1204,B31,Présences!$A$5:$A$1204,"&gt;="&amp;Paramètres!$B$4,Présences!$A$5:$A$1204,"&lt;"&amp;Paramètres!$B$17))</f>
        <v/>
      </c>
      <c r="F31" s="7" t="str">
        <f aca="false">IF(B31="","",COUNTIFS(Présences!$C$5:$C$1204,B31,Présences!$A$5:$A$1204,"&gt;="&amp;Paramètres!$B$4,Présences!$A$5:$A$1204,"&lt;"&amp;Paramètres!$B$17,Présences!$E$5:$E$1204,"&gt;0"))</f>
        <v/>
      </c>
      <c r="G31" s="9" t="str">
        <f aca="false">IF(B31="","",SUMIFS(Présences!$E$5:$E$1204,Présences!$C$5:$C$1204,B31,Présences!$A$5:$A$1204,"&gt;="&amp;Paramètres!$B$4,Présences!$A$5:$A$1204,"&lt;"&amp;Paramètres!$B$17))</f>
        <v/>
      </c>
      <c r="H31" s="26"/>
    </row>
    <row r="32" customFormat="false" ht="15" hidden="false" customHeight="false" outlineLevel="0" collapsed="false">
      <c r="A32" s="10" t="n">
        <v>27</v>
      </c>
      <c r="B32" s="27" t="str">
        <f aca="false">IF(Employés!B31="","",Employés!B31)</f>
        <v/>
      </c>
      <c r="C32" s="27" t="str">
        <f aca="false">IF(Employés!B31="","",IF(Employés!C31="","",Employés!C31))</f>
        <v/>
      </c>
      <c r="D32" s="27" t="str">
        <f aca="false">IF(Employés!B31="","",IF(Employés!D31="","",Employés!D31))</f>
        <v/>
      </c>
      <c r="E32" s="7" t="str">
        <f aca="false">IF(B32="","",COUNTIFS(Présences!$C$5:$C$1204,B32,Présences!$A$5:$A$1204,"&gt;="&amp;Paramètres!$B$4,Présences!$A$5:$A$1204,"&lt;"&amp;Paramètres!$B$17))</f>
        <v/>
      </c>
      <c r="F32" s="7" t="str">
        <f aca="false">IF(B32="","",COUNTIFS(Présences!$C$5:$C$1204,B32,Présences!$A$5:$A$1204,"&gt;="&amp;Paramètres!$B$4,Présences!$A$5:$A$1204,"&lt;"&amp;Paramètres!$B$17,Présences!$E$5:$E$1204,"&gt;0"))</f>
        <v/>
      </c>
      <c r="G32" s="9" t="str">
        <f aca="false">IF(B32="","",SUMIFS(Présences!$E$5:$E$1204,Présences!$C$5:$C$1204,B32,Présences!$A$5:$A$1204,"&gt;="&amp;Paramètres!$B$4,Présences!$A$5:$A$1204,"&lt;"&amp;Paramètres!$B$17))</f>
        <v/>
      </c>
      <c r="H32" s="26"/>
    </row>
    <row r="33" customFormat="false" ht="15" hidden="false" customHeight="false" outlineLevel="0" collapsed="false">
      <c r="A33" s="10" t="n">
        <v>28</v>
      </c>
      <c r="B33" s="27" t="str">
        <f aca="false">IF(Employés!B32="","",Employés!B32)</f>
        <v/>
      </c>
      <c r="C33" s="27" t="str">
        <f aca="false">IF(Employés!B32="","",IF(Employés!C32="","",Employés!C32))</f>
        <v/>
      </c>
      <c r="D33" s="27" t="str">
        <f aca="false">IF(Employés!B32="","",IF(Employés!D32="","",Employés!D32))</f>
        <v/>
      </c>
      <c r="E33" s="7" t="str">
        <f aca="false">IF(B33="","",COUNTIFS(Présences!$C$5:$C$1204,B33,Présences!$A$5:$A$1204,"&gt;="&amp;Paramètres!$B$4,Présences!$A$5:$A$1204,"&lt;"&amp;Paramètres!$B$17))</f>
        <v/>
      </c>
      <c r="F33" s="7" t="str">
        <f aca="false">IF(B33="","",COUNTIFS(Présences!$C$5:$C$1204,B33,Présences!$A$5:$A$1204,"&gt;="&amp;Paramètres!$B$4,Présences!$A$5:$A$1204,"&lt;"&amp;Paramètres!$B$17,Présences!$E$5:$E$1204,"&gt;0"))</f>
        <v/>
      </c>
      <c r="G33" s="9" t="str">
        <f aca="false">IF(B33="","",SUMIFS(Présences!$E$5:$E$1204,Présences!$C$5:$C$1204,B33,Présences!$A$5:$A$1204,"&gt;="&amp;Paramètres!$B$4,Présences!$A$5:$A$1204,"&lt;"&amp;Paramètres!$B$17))</f>
        <v/>
      </c>
      <c r="H33" s="26"/>
    </row>
    <row r="34" customFormat="false" ht="15" hidden="false" customHeight="false" outlineLevel="0" collapsed="false">
      <c r="A34" s="10" t="n">
        <v>29</v>
      </c>
      <c r="B34" s="27" t="str">
        <f aca="false">IF(Employés!B33="","",Employés!B33)</f>
        <v/>
      </c>
      <c r="C34" s="27" t="str">
        <f aca="false">IF(Employés!B33="","",IF(Employés!C33="","",Employés!C33))</f>
        <v/>
      </c>
      <c r="D34" s="27" t="str">
        <f aca="false">IF(Employés!B33="","",IF(Employés!D33="","",Employés!D33))</f>
        <v/>
      </c>
      <c r="E34" s="7" t="str">
        <f aca="false">IF(B34="","",COUNTIFS(Présences!$C$5:$C$1204,B34,Présences!$A$5:$A$1204,"&gt;="&amp;Paramètres!$B$4,Présences!$A$5:$A$1204,"&lt;"&amp;Paramètres!$B$17))</f>
        <v/>
      </c>
      <c r="F34" s="7" t="str">
        <f aca="false">IF(B34="","",COUNTIFS(Présences!$C$5:$C$1204,B34,Présences!$A$5:$A$1204,"&gt;="&amp;Paramètres!$B$4,Présences!$A$5:$A$1204,"&lt;"&amp;Paramètres!$B$17,Présences!$E$5:$E$1204,"&gt;0"))</f>
        <v/>
      </c>
      <c r="G34" s="9" t="str">
        <f aca="false">IF(B34="","",SUMIFS(Présences!$E$5:$E$1204,Présences!$C$5:$C$1204,B34,Présences!$A$5:$A$1204,"&gt;="&amp;Paramètres!$B$4,Présences!$A$5:$A$1204,"&lt;"&amp;Paramètres!$B$17))</f>
        <v/>
      </c>
      <c r="H34" s="26"/>
    </row>
    <row r="35" customFormat="false" ht="15" hidden="false" customHeight="false" outlineLevel="0" collapsed="false">
      <c r="A35" s="10" t="n">
        <v>30</v>
      </c>
      <c r="B35" s="27" t="str">
        <f aca="false">IF(Employés!B34="","",Employés!B34)</f>
        <v/>
      </c>
      <c r="C35" s="27" t="str">
        <f aca="false">IF(Employés!B34="","",IF(Employés!C34="","",Employés!C34))</f>
        <v/>
      </c>
      <c r="D35" s="27" t="str">
        <f aca="false">IF(Employés!B34="","",IF(Employés!D34="","",Employés!D34))</f>
        <v/>
      </c>
      <c r="E35" s="7" t="str">
        <f aca="false">IF(B35="","",COUNTIFS(Présences!$C$5:$C$1204,B35,Présences!$A$5:$A$1204,"&gt;="&amp;Paramètres!$B$4,Présences!$A$5:$A$1204,"&lt;"&amp;Paramètres!$B$17))</f>
        <v/>
      </c>
      <c r="F35" s="7" t="str">
        <f aca="false">IF(B35="","",COUNTIFS(Présences!$C$5:$C$1204,B35,Présences!$A$5:$A$1204,"&gt;="&amp;Paramètres!$B$4,Présences!$A$5:$A$1204,"&lt;"&amp;Paramètres!$B$17,Présences!$E$5:$E$1204,"&gt;0"))</f>
        <v/>
      </c>
      <c r="G35" s="9" t="str">
        <f aca="false">IF(B35="","",SUMIFS(Présences!$E$5:$E$1204,Présences!$C$5:$C$1204,B35,Présences!$A$5:$A$1204,"&gt;="&amp;Paramètres!$B$4,Présences!$A$5:$A$1204,"&lt;"&amp;Paramètres!$B$17))</f>
        <v/>
      </c>
      <c r="H35" s="26"/>
    </row>
    <row r="36" customFormat="false" ht="15" hidden="false" customHeight="false" outlineLevel="0" collapsed="false">
      <c r="A36" s="10" t="n">
        <v>31</v>
      </c>
      <c r="B36" s="27" t="str">
        <f aca="false">IF(Employés!B35="","",Employés!B35)</f>
        <v/>
      </c>
      <c r="C36" s="27" t="str">
        <f aca="false">IF(Employés!B35="","",IF(Employés!C35="","",Employés!C35))</f>
        <v/>
      </c>
      <c r="D36" s="27" t="str">
        <f aca="false">IF(Employés!B35="","",IF(Employés!D35="","",Employés!D35))</f>
        <v/>
      </c>
      <c r="E36" s="7" t="str">
        <f aca="false">IF(B36="","",COUNTIFS(Présences!$C$5:$C$1204,B36,Présences!$A$5:$A$1204,"&gt;="&amp;Paramètres!$B$4,Présences!$A$5:$A$1204,"&lt;"&amp;Paramètres!$B$17))</f>
        <v/>
      </c>
      <c r="F36" s="7" t="str">
        <f aca="false">IF(B36="","",COUNTIFS(Présences!$C$5:$C$1204,B36,Présences!$A$5:$A$1204,"&gt;="&amp;Paramètres!$B$4,Présences!$A$5:$A$1204,"&lt;"&amp;Paramètres!$B$17,Présences!$E$5:$E$1204,"&gt;0"))</f>
        <v/>
      </c>
      <c r="G36" s="9" t="str">
        <f aca="false">IF(B36="","",SUMIFS(Présences!$E$5:$E$1204,Présences!$C$5:$C$1204,B36,Présences!$A$5:$A$1204,"&gt;="&amp;Paramètres!$B$4,Présences!$A$5:$A$1204,"&lt;"&amp;Paramètres!$B$17))</f>
        <v/>
      </c>
      <c r="H36" s="26"/>
    </row>
    <row r="37" customFormat="false" ht="15" hidden="false" customHeight="false" outlineLevel="0" collapsed="false">
      <c r="A37" s="10" t="n">
        <v>32</v>
      </c>
      <c r="B37" s="27" t="str">
        <f aca="false">IF(Employés!B36="","",Employés!B36)</f>
        <v/>
      </c>
      <c r="C37" s="27" t="str">
        <f aca="false">IF(Employés!B36="","",IF(Employés!C36="","",Employés!C36))</f>
        <v/>
      </c>
      <c r="D37" s="27" t="str">
        <f aca="false">IF(Employés!B36="","",IF(Employés!D36="","",Employés!D36))</f>
        <v/>
      </c>
      <c r="E37" s="7" t="str">
        <f aca="false">IF(B37="","",COUNTIFS(Présences!$C$5:$C$1204,B37,Présences!$A$5:$A$1204,"&gt;="&amp;Paramètres!$B$4,Présences!$A$5:$A$1204,"&lt;"&amp;Paramètres!$B$17))</f>
        <v/>
      </c>
      <c r="F37" s="7" t="str">
        <f aca="false">IF(B37="","",COUNTIFS(Présences!$C$5:$C$1204,B37,Présences!$A$5:$A$1204,"&gt;="&amp;Paramètres!$B$4,Présences!$A$5:$A$1204,"&lt;"&amp;Paramètres!$B$17,Présences!$E$5:$E$1204,"&gt;0"))</f>
        <v/>
      </c>
      <c r="G37" s="9" t="str">
        <f aca="false">IF(B37="","",SUMIFS(Présences!$E$5:$E$1204,Présences!$C$5:$C$1204,B37,Présences!$A$5:$A$1204,"&gt;="&amp;Paramètres!$B$4,Présences!$A$5:$A$1204,"&lt;"&amp;Paramètres!$B$17))</f>
        <v/>
      </c>
      <c r="H37" s="26"/>
    </row>
    <row r="38" customFormat="false" ht="15" hidden="false" customHeight="false" outlineLevel="0" collapsed="false">
      <c r="A38" s="10" t="n">
        <v>33</v>
      </c>
      <c r="B38" s="27" t="str">
        <f aca="false">IF(Employés!B37="","",Employés!B37)</f>
        <v/>
      </c>
      <c r="C38" s="27" t="str">
        <f aca="false">IF(Employés!B37="","",IF(Employés!C37="","",Employés!C37))</f>
        <v/>
      </c>
      <c r="D38" s="27" t="str">
        <f aca="false">IF(Employés!B37="","",IF(Employés!D37="","",Employés!D37))</f>
        <v/>
      </c>
      <c r="E38" s="7" t="str">
        <f aca="false">IF(B38="","",COUNTIFS(Présences!$C$5:$C$1204,B38,Présences!$A$5:$A$1204,"&gt;="&amp;Paramètres!$B$4,Présences!$A$5:$A$1204,"&lt;"&amp;Paramètres!$B$17))</f>
        <v/>
      </c>
      <c r="F38" s="7" t="str">
        <f aca="false">IF(B38="","",COUNTIFS(Présences!$C$5:$C$1204,B38,Présences!$A$5:$A$1204,"&gt;="&amp;Paramètres!$B$4,Présences!$A$5:$A$1204,"&lt;"&amp;Paramètres!$B$17,Présences!$E$5:$E$1204,"&gt;0"))</f>
        <v/>
      </c>
      <c r="G38" s="9" t="str">
        <f aca="false">IF(B38="","",SUMIFS(Présences!$E$5:$E$1204,Présences!$C$5:$C$1204,B38,Présences!$A$5:$A$1204,"&gt;="&amp;Paramètres!$B$4,Présences!$A$5:$A$1204,"&lt;"&amp;Paramètres!$B$17))</f>
        <v/>
      </c>
      <c r="H38" s="26"/>
    </row>
    <row r="39" customFormat="false" ht="15" hidden="false" customHeight="false" outlineLevel="0" collapsed="false">
      <c r="A39" s="10" t="n">
        <v>34</v>
      </c>
      <c r="B39" s="27" t="str">
        <f aca="false">IF(Employés!B38="","",Employés!B38)</f>
        <v/>
      </c>
      <c r="C39" s="27" t="str">
        <f aca="false">IF(Employés!B38="","",IF(Employés!C38="","",Employés!C38))</f>
        <v/>
      </c>
      <c r="D39" s="27" t="str">
        <f aca="false">IF(Employés!B38="","",IF(Employés!D38="","",Employés!D38))</f>
        <v/>
      </c>
      <c r="E39" s="7" t="str">
        <f aca="false">IF(B39="","",COUNTIFS(Présences!$C$5:$C$1204,B39,Présences!$A$5:$A$1204,"&gt;="&amp;Paramètres!$B$4,Présences!$A$5:$A$1204,"&lt;"&amp;Paramètres!$B$17))</f>
        <v/>
      </c>
      <c r="F39" s="7" t="str">
        <f aca="false">IF(B39="","",COUNTIFS(Présences!$C$5:$C$1204,B39,Présences!$A$5:$A$1204,"&gt;="&amp;Paramètres!$B$4,Présences!$A$5:$A$1204,"&lt;"&amp;Paramètres!$B$17,Présences!$E$5:$E$1204,"&gt;0"))</f>
        <v/>
      </c>
      <c r="G39" s="9" t="str">
        <f aca="false">IF(B39="","",SUMIFS(Présences!$E$5:$E$1204,Présences!$C$5:$C$1204,B39,Présences!$A$5:$A$1204,"&gt;="&amp;Paramètres!$B$4,Présences!$A$5:$A$1204,"&lt;"&amp;Paramètres!$B$17))</f>
        <v/>
      </c>
      <c r="H39" s="26"/>
    </row>
    <row r="40" customFormat="false" ht="15" hidden="false" customHeight="false" outlineLevel="0" collapsed="false">
      <c r="A40" s="10" t="n">
        <v>35</v>
      </c>
      <c r="B40" s="27" t="str">
        <f aca="false">IF(Employés!B39="","",Employés!B39)</f>
        <v/>
      </c>
      <c r="C40" s="27" t="str">
        <f aca="false">IF(Employés!B39="","",IF(Employés!C39="","",Employés!C39))</f>
        <v/>
      </c>
      <c r="D40" s="27" t="str">
        <f aca="false">IF(Employés!B39="","",IF(Employés!D39="","",Employés!D39))</f>
        <v/>
      </c>
      <c r="E40" s="7" t="str">
        <f aca="false">IF(B40="","",COUNTIFS(Présences!$C$5:$C$1204,B40,Présences!$A$5:$A$1204,"&gt;="&amp;Paramètres!$B$4,Présences!$A$5:$A$1204,"&lt;"&amp;Paramètres!$B$17))</f>
        <v/>
      </c>
      <c r="F40" s="7" t="str">
        <f aca="false">IF(B40="","",COUNTIFS(Présences!$C$5:$C$1204,B40,Présences!$A$5:$A$1204,"&gt;="&amp;Paramètres!$B$4,Présences!$A$5:$A$1204,"&lt;"&amp;Paramètres!$B$17,Présences!$E$5:$E$1204,"&gt;0"))</f>
        <v/>
      </c>
      <c r="G40" s="9" t="str">
        <f aca="false">IF(B40="","",SUMIFS(Présences!$E$5:$E$1204,Présences!$C$5:$C$1204,B40,Présences!$A$5:$A$1204,"&gt;="&amp;Paramètres!$B$4,Présences!$A$5:$A$1204,"&lt;"&amp;Paramètres!$B$17))</f>
        <v/>
      </c>
      <c r="H40" s="26"/>
    </row>
    <row r="41" customFormat="false" ht="15" hidden="false" customHeight="false" outlineLevel="0" collapsed="false">
      <c r="A41" s="10" t="n">
        <v>36</v>
      </c>
      <c r="B41" s="27" t="str">
        <f aca="false">IF(Employés!B40="","",Employés!B40)</f>
        <v/>
      </c>
      <c r="C41" s="27" t="str">
        <f aca="false">IF(Employés!B40="","",IF(Employés!C40="","",Employés!C40))</f>
        <v/>
      </c>
      <c r="D41" s="27" t="str">
        <f aca="false">IF(Employés!B40="","",IF(Employés!D40="","",Employés!D40))</f>
        <v/>
      </c>
      <c r="E41" s="7" t="str">
        <f aca="false">IF(B41="","",COUNTIFS(Présences!$C$5:$C$1204,B41,Présences!$A$5:$A$1204,"&gt;="&amp;Paramètres!$B$4,Présences!$A$5:$A$1204,"&lt;"&amp;Paramètres!$B$17))</f>
        <v/>
      </c>
      <c r="F41" s="7" t="str">
        <f aca="false">IF(B41="","",COUNTIFS(Présences!$C$5:$C$1204,B41,Présences!$A$5:$A$1204,"&gt;="&amp;Paramètres!$B$4,Présences!$A$5:$A$1204,"&lt;"&amp;Paramètres!$B$17,Présences!$E$5:$E$1204,"&gt;0"))</f>
        <v/>
      </c>
      <c r="G41" s="9" t="str">
        <f aca="false">IF(B41="","",SUMIFS(Présences!$E$5:$E$1204,Présences!$C$5:$C$1204,B41,Présences!$A$5:$A$1204,"&gt;="&amp;Paramètres!$B$4,Présences!$A$5:$A$1204,"&lt;"&amp;Paramètres!$B$17))</f>
        <v/>
      </c>
      <c r="H41" s="26"/>
    </row>
    <row r="42" customFormat="false" ht="15" hidden="false" customHeight="false" outlineLevel="0" collapsed="false">
      <c r="A42" s="10" t="n">
        <v>37</v>
      </c>
      <c r="B42" s="27" t="str">
        <f aca="false">IF(Employés!B41="","",Employés!B41)</f>
        <v/>
      </c>
      <c r="C42" s="27" t="str">
        <f aca="false">IF(Employés!B41="","",IF(Employés!C41="","",Employés!C41))</f>
        <v/>
      </c>
      <c r="D42" s="27" t="str">
        <f aca="false">IF(Employés!B41="","",IF(Employés!D41="","",Employés!D41))</f>
        <v/>
      </c>
      <c r="E42" s="7" t="str">
        <f aca="false">IF(B42="","",COUNTIFS(Présences!$C$5:$C$1204,B42,Présences!$A$5:$A$1204,"&gt;="&amp;Paramètres!$B$4,Présences!$A$5:$A$1204,"&lt;"&amp;Paramètres!$B$17))</f>
        <v/>
      </c>
      <c r="F42" s="7" t="str">
        <f aca="false">IF(B42="","",COUNTIFS(Présences!$C$5:$C$1204,B42,Présences!$A$5:$A$1204,"&gt;="&amp;Paramètres!$B$4,Présences!$A$5:$A$1204,"&lt;"&amp;Paramètres!$B$17,Présences!$E$5:$E$1204,"&gt;0"))</f>
        <v/>
      </c>
      <c r="G42" s="9" t="str">
        <f aca="false">IF(B42="","",SUMIFS(Présences!$E$5:$E$1204,Présences!$C$5:$C$1204,B42,Présences!$A$5:$A$1204,"&gt;="&amp;Paramètres!$B$4,Présences!$A$5:$A$1204,"&lt;"&amp;Paramètres!$B$17))</f>
        <v/>
      </c>
      <c r="H42" s="26"/>
    </row>
    <row r="43" customFormat="false" ht="15" hidden="false" customHeight="false" outlineLevel="0" collapsed="false">
      <c r="A43" s="10" t="n">
        <v>38</v>
      </c>
      <c r="B43" s="27" t="str">
        <f aca="false">IF(Employés!B42="","",Employés!B42)</f>
        <v/>
      </c>
      <c r="C43" s="27" t="str">
        <f aca="false">IF(Employés!B42="","",IF(Employés!C42="","",Employés!C42))</f>
        <v/>
      </c>
      <c r="D43" s="27" t="str">
        <f aca="false">IF(Employés!B42="","",IF(Employés!D42="","",Employés!D42))</f>
        <v/>
      </c>
      <c r="E43" s="7" t="str">
        <f aca="false">IF(B43="","",COUNTIFS(Présences!$C$5:$C$1204,B43,Présences!$A$5:$A$1204,"&gt;="&amp;Paramètres!$B$4,Présences!$A$5:$A$1204,"&lt;"&amp;Paramètres!$B$17))</f>
        <v/>
      </c>
      <c r="F43" s="7" t="str">
        <f aca="false">IF(B43="","",COUNTIFS(Présences!$C$5:$C$1204,B43,Présences!$A$5:$A$1204,"&gt;="&amp;Paramètres!$B$4,Présences!$A$5:$A$1204,"&lt;"&amp;Paramètres!$B$17,Présences!$E$5:$E$1204,"&gt;0"))</f>
        <v/>
      </c>
      <c r="G43" s="9" t="str">
        <f aca="false">IF(B43="","",SUMIFS(Présences!$E$5:$E$1204,Présences!$C$5:$C$1204,B43,Présences!$A$5:$A$1204,"&gt;="&amp;Paramètres!$B$4,Présences!$A$5:$A$1204,"&lt;"&amp;Paramètres!$B$17))</f>
        <v/>
      </c>
      <c r="H43" s="26"/>
    </row>
    <row r="44" customFormat="false" ht="15" hidden="false" customHeight="false" outlineLevel="0" collapsed="false">
      <c r="A44" s="10" t="n">
        <v>39</v>
      </c>
      <c r="B44" s="27" t="str">
        <f aca="false">IF(Employés!B43="","",Employés!B43)</f>
        <v/>
      </c>
      <c r="C44" s="27" t="str">
        <f aca="false">IF(Employés!B43="","",IF(Employés!C43="","",Employés!C43))</f>
        <v/>
      </c>
      <c r="D44" s="27" t="str">
        <f aca="false">IF(Employés!B43="","",IF(Employés!D43="","",Employés!D43))</f>
        <v/>
      </c>
      <c r="E44" s="7" t="str">
        <f aca="false">IF(B44="","",COUNTIFS(Présences!$C$5:$C$1204,B44,Présences!$A$5:$A$1204,"&gt;="&amp;Paramètres!$B$4,Présences!$A$5:$A$1204,"&lt;"&amp;Paramètres!$B$17))</f>
        <v/>
      </c>
      <c r="F44" s="7" t="str">
        <f aca="false">IF(B44="","",COUNTIFS(Présences!$C$5:$C$1204,B44,Présences!$A$5:$A$1204,"&gt;="&amp;Paramètres!$B$4,Présences!$A$5:$A$1204,"&lt;"&amp;Paramètres!$B$17,Présences!$E$5:$E$1204,"&gt;0"))</f>
        <v/>
      </c>
      <c r="G44" s="9" t="str">
        <f aca="false">IF(B44="","",SUMIFS(Présences!$E$5:$E$1204,Présences!$C$5:$C$1204,B44,Présences!$A$5:$A$1204,"&gt;="&amp;Paramètres!$B$4,Présences!$A$5:$A$1204,"&lt;"&amp;Paramètres!$B$17))</f>
        <v/>
      </c>
      <c r="H44" s="26"/>
    </row>
    <row r="45" customFormat="false" ht="15" hidden="false" customHeight="false" outlineLevel="0" collapsed="false">
      <c r="A45" s="10" t="n">
        <v>40</v>
      </c>
      <c r="B45" s="27" t="str">
        <f aca="false">IF(Employés!B44="","",Employés!B44)</f>
        <v/>
      </c>
      <c r="C45" s="27" t="str">
        <f aca="false">IF(Employés!B44="","",IF(Employés!C44="","",Employés!C44))</f>
        <v/>
      </c>
      <c r="D45" s="27" t="str">
        <f aca="false">IF(Employés!B44="","",IF(Employés!D44="","",Employés!D44))</f>
        <v/>
      </c>
      <c r="E45" s="7" t="str">
        <f aca="false">IF(B45="","",COUNTIFS(Présences!$C$5:$C$1204,B45,Présences!$A$5:$A$1204,"&gt;="&amp;Paramètres!$B$4,Présences!$A$5:$A$1204,"&lt;"&amp;Paramètres!$B$17))</f>
        <v/>
      </c>
      <c r="F45" s="7" t="str">
        <f aca="false">IF(B45="","",COUNTIFS(Présences!$C$5:$C$1204,B45,Présences!$A$5:$A$1204,"&gt;="&amp;Paramètres!$B$4,Présences!$A$5:$A$1204,"&lt;"&amp;Paramètres!$B$17,Présences!$E$5:$E$1204,"&gt;0"))</f>
        <v/>
      </c>
      <c r="G45" s="9" t="str">
        <f aca="false">IF(B45="","",SUMIFS(Présences!$E$5:$E$1204,Présences!$C$5:$C$1204,B45,Présences!$A$5:$A$1204,"&gt;="&amp;Paramètres!$B$4,Présences!$A$5:$A$1204,"&lt;"&amp;Paramètres!$B$17))</f>
        <v/>
      </c>
      <c r="H45" s="26"/>
    </row>
    <row r="46" customFormat="false" ht="15" hidden="false" customHeight="false" outlineLevel="0" collapsed="false">
      <c r="A46" s="10" t="n">
        <v>41</v>
      </c>
      <c r="B46" s="27" t="str">
        <f aca="false">IF(Employés!B45="","",Employés!B45)</f>
        <v/>
      </c>
      <c r="C46" s="27" t="str">
        <f aca="false">IF(Employés!B45="","",IF(Employés!C45="","",Employés!C45))</f>
        <v/>
      </c>
      <c r="D46" s="27" t="str">
        <f aca="false">IF(Employés!B45="","",IF(Employés!D45="","",Employés!D45))</f>
        <v/>
      </c>
      <c r="E46" s="7" t="str">
        <f aca="false">IF(B46="","",COUNTIFS(Présences!$C$5:$C$1204,B46,Présences!$A$5:$A$1204,"&gt;="&amp;Paramètres!$B$4,Présences!$A$5:$A$1204,"&lt;"&amp;Paramètres!$B$17))</f>
        <v/>
      </c>
      <c r="F46" s="7" t="str">
        <f aca="false">IF(B46="","",COUNTIFS(Présences!$C$5:$C$1204,B46,Présences!$A$5:$A$1204,"&gt;="&amp;Paramètres!$B$4,Présences!$A$5:$A$1204,"&lt;"&amp;Paramètres!$B$17,Présences!$E$5:$E$1204,"&gt;0"))</f>
        <v/>
      </c>
      <c r="G46" s="9" t="str">
        <f aca="false">IF(B46="","",SUMIFS(Présences!$E$5:$E$1204,Présences!$C$5:$C$1204,B46,Présences!$A$5:$A$1204,"&gt;="&amp;Paramètres!$B$4,Présences!$A$5:$A$1204,"&lt;"&amp;Paramètres!$B$17))</f>
        <v/>
      </c>
      <c r="H46" s="26"/>
    </row>
    <row r="47" customFormat="false" ht="15" hidden="false" customHeight="false" outlineLevel="0" collapsed="false">
      <c r="A47" s="10" t="n">
        <v>42</v>
      </c>
      <c r="B47" s="27" t="str">
        <f aca="false">IF(Employés!B46="","",Employés!B46)</f>
        <v/>
      </c>
      <c r="C47" s="27" t="str">
        <f aca="false">IF(Employés!B46="","",IF(Employés!C46="","",Employés!C46))</f>
        <v/>
      </c>
      <c r="D47" s="27" t="str">
        <f aca="false">IF(Employés!B46="","",IF(Employés!D46="","",Employés!D46))</f>
        <v/>
      </c>
      <c r="E47" s="7" t="str">
        <f aca="false">IF(B47="","",COUNTIFS(Présences!$C$5:$C$1204,B47,Présences!$A$5:$A$1204,"&gt;="&amp;Paramètres!$B$4,Présences!$A$5:$A$1204,"&lt;"&amp;Paramètres!$B$17))</f>
        <v/>
      </c>
      <c r="F47" s="7" t="str">
        <f aca="false">IF(B47="","",COUNTIFS(Présences!$C$5:$C$1204,B47,Présences!$A$5:$A$1204,"&gt;="&amp;Paramètres!$B$4,Présences!$A$5:$A$1204,"&lt;"&amp;Paramètres!$B$17,Présences!$E$5:$E$1204,"&gt;0"))</f>
        <v/>
      </c>
      <c r="G47" s="9" t="str">
        <f aca="false">IF(B47="","",SUMIFS(Présences!$E$5:$E$1204,Présences!$C$5:$C$1204,B47,Présences!$A$5:$A$1204,"&gt;="&amp;Paramètres!$B$4,Présences!$A$5:$A$1204,"&lt;"&amp;Paramètres!$B$17))</f>
        <v/>
      </c>
      <c r="H47" s="26"/>
    </row>
    <row r="48" customFormat="false" ht="15" hidden="false" customHeight="false" outlineLevel="0" collapsed="false">
      <c r="A48" s="10" t="n">
        <v>43</v>
      </c>
      <c r="B48" s="27" t="str">
        <f aca="false">IF(Employés!B47="","",Employés!B47)</f>
        <v/>
      </c>
      <c r="C48" s="27" t="str">
        <f aca="false">IF(Employés!B47="","",IF(Employés!C47="","",Employés!C47))</f>
        <v/>
      </c>
      <c r="D48" s="27" t="str">
        <f aca="false">IF(Employés!B47="","",IF(Employés!D47="","",Employés!D47))</f>
        <v/>
      </c>
      <c r="E48" s="7" t="str">
        <f aca="false">IF(B48="","",COUNTIFS(Présences!$C$5:$C$1204,B48,Présences!$A$5:$A$1204,"&gt;="&amp;Paramètres!$B$4,Présences!$A$5:$A$1204,"&lt;"&amp;Paramètres!$B$17))</f>
        <v/>
      </c>
      <c r="F48" s="7" t="str">
        <f aca="false">IF(B48="","",COUNTIFS(Présences!$C$5:$C$1204,B48,Présences!$A$5:$A$1204,"&gt;="&amp;Paramètres!$B$4,Présences!$A$5:$A$1204,"&lt;"&amp;Paramètres!$B$17,Présences!$E$5:$E$1204,"&gt;0"))</f>
        <v/>
      </c>
      <c r="G48" s="9" t="str">
        <f aca="false">IF(B48="","",SUMIFS(Présences!$E$5:$E$1204,Présences!$C$5:$C$1204,B48,Présences!$A$5:$A$1204,"&gt;="&amp;Paramètres!$B$4,Présences!$A$5:$A$1204,"&lt;"&amp;Paramètres!$B$17))</f>
        <v/>
      </c>
      <c r="H48" s="26"/>
    </row>
    <row r="49" customFormat="false" ht="15" hidden="false" customHeight="false" outlineLevel="0" collapsed="false">
      <c r="A49" s="10" t="n">
        <v>44</v>
      </c>
      <c r="B49" s="27" t="str">
        <f aca="false">IF(Employés!B48="","",Employés!B48)</f>
        <v/>
      </c>
      <c r="C49" s="27" t="str">
        <f aca="false">IF(Employés!B48="","",IF(Employés!C48="","",Employés!C48))</f>
        <v/>
      </c>
      <c r="D49" s="27" t="str">
        <f aca="false">IF(Employés!B48="","",IF(Employés!D48="","",Employés!D48))</f>
        <v/>
      </c>
      <c r="E49" s="7" t="str">
        <f aca="false">IF(B49="","",COUNTIFS(Présences!$C$5:$C$1204,B49,Présences!$A$5:$A$1204,"&gt;="&amp;Paramètres!$B$4,Présences!$A$5:$A$1204,"&lt;"&amp;Paramètres!$B$17))</f>
        <v/>
      </c>
      <c r="F49" s="7" t="str">
        <f aca="false">IF(B49="","",COUNTIFS(Présences!$C$5:$C$1204,B49,Présences!$A$5:$A$1204,"&gt;="&amp;Paramètres!$B$4,Présences!$A$5:$A$1204,"&lt;"&amp;Paramètres!$B$17,Présences!$E$5:$E$1204,"&gt;0"))</f>
        <v/>
      </c>
      <c r="G49" s="9" t="str">
        <f aca="false">IF(B49="","",SUMIFS(Présences!$E$5:$E$1204,Présences!$C$5:$C$1204,B49,Présences!$A$5:$A$1204,"&gt;="&amp;Paramètres!$B$4,Présences!$A$5:$A$1204,"&lt;"&amp;Paramètres!$B$17))</f>
        <v/>
      </c>
      <c r="H49" s="26"/>
    </row>
    <row r="50" customFormat="false" ht="15" hidden="false" customHeight="false" outlineLevel="0" collapsed="false">
      <c r="A50" s="10" t="n">
        <v>45</v>
      </c>
      <c r="B50" s="27" t="str">
        <f aca="false">IF(Employés!B49="","",Employés!B49)</f>
        <v/>
      </c>
      <c r="C50" s="27" t="str">
        <f aca="false">IF(Employés!B49="","",IF(Employés!C49="","",Employés!C49))</f>
        <v/>
      </c>
      <c r="D50" s="27" t="str">
        <f aca="false">IF(Employés!B49="","",IF(Employés!D49="","",Employés!D49))</f>
        <v/>
      </c>
      <c r="E50" s="7" t="str">
        <f aca="false">IF(B50="","",COUNTIFS(Présences!$C$5:$C$1204,B50,Présences!$A$5:$A$1204,"&gt;="&amp;Paramètres!$B$4,Présences!$A$5:$A$1204,"&lt;"&amp;Paramètres!$B$17))</f>
        <v/>
      </c>
      <c r="F50" s="7" t="str">
        <f aca="false">IF(B50="","",COUNTIFS(Présences!$C$5:$C$1204,B50,Présences!$A$5:$A$1204,"&gt;="&amp;Paramètres!$B$4,Présences!$A$5:$A$1204,"&lt;"&amp;Paramètres!$B$17,Présences!$E$5:$E$1204,"&gt;0"))</f>
        <v/>
      </c>
      <c r="G50" s="9" t="str">
        <f aca="false">IF(B50="","",SUMIFS(Présences!$E$5:$E$1204,Présences!$C$5:$C$1204,B50,Présences!$A$5:$A$1204,"&gt;="&amp;Paramètres!$B$4,Présences!$A$5:$A$1204,"&lt;"&amp;Paramètres!$B$17))</f>
        <v/>
      </c>
      <c r="H50" s="26"/>
    </row>
    <row r="51" customFormat="false" ht="15" hidden="false" customHeight="false" outlineLevel="0" collapsed="false">
      <c r="A51" s="10" t="n">
        <v>46</v>
      </c>
      <c r="B51" s="27" t="str">
        <f aca="false">IF(Employés!B50="","",Employés!B50)</f>
        <v/>
      </c>
      <c r="C51" s="27" t="str">
        <f aca="false">IF(Employés!B50="","",IF(Employés!C50="","",Employés!C50))</f>
        <v/>
      </c>
      <c r="D51" s="27" t="str">
        <f aca="false">IF(Employés!B50="","",IF(Employés!D50="","",Employés!D50))</f>
        <v/>
      </c>
      <c r="E51" s="7" t="str">
        <f aca="false">IF(B51="","",COUNTIFS(Présences!$C$5:$C$1204,B51,Présences!$A$5:$A$1204,"&gt;="&amp;Paramètres!$B$4,Présences!$A$5:$A$1204,"&lt;"&amp;Paramètres!$B$17))</f>
        <v/>
      </c>
      <c r="F51" s="7" t="str">
        <f aca="false">IF(B51="","",COUNTIFS(Présences!$C$5:$C$1204,B51,Présences!$A$5:$A$1204,"&gt;="&amp;Paramètres!$B$4,Présences!$A$5:$A$1204,"&lt;"&amp;Paramètres!$B$17,Présences!$E$5:$E$1204,"&gt;0"))</f>
        <v/>
      </c>
      <c r="G51" s="9" t="str">
        <f aca="false">IF(B51="","",SUMIFS(Présences!$E$5:$E$1204,Présences!$C$5:$C$1204,B51,Présences!$A$5:$A$1204,"&gt;="&amp;Paramètres!$B$4,Présences!$A$5:$A$1204,"&lt;"&amp;Paramètres!$B$17))</f>
        <v/>
      </c>
      <c r="H51" s="26"/>
    </row>
    <row r="52" customFormat="false" ht="15" hidden="false" customHeight="false" outlineLevel="0" collapsed="false">
      <c r="A52" s="10" t="n">
        <v>47</v>
      </c>
      <c r="B52" s="27" t="str">
        <f aca="false">IF(Employés!B51="","",Employés!B51)</f>
        <v/>
      </c>
      <c r="C52" s="27" t="str">
        <f aca="false">IF(Employés!B51="","",IF(Employés!C51="","",Employés!C51))</f>
        <v/>
      </c>
      <c r="D52" s="27" t="str">
        <f aca="false">IF(Employés!B51="","",IF(Employés!D51="","",Employés!D51))</f>
        <v/>
      </c>
      <c r="E52" s="7" t="str">
        <f aca="false">IF(B52="","",COUNTIFS(Présences!$C$5:$C$1204,B52,Présences!$A$5:$A$1204,"&gt;="&amp;Paramètres!$B$4,Présences!$A$5:$A$1204,"&lt;"&amp;Paramètres!$B$17))</f>
        <v/>
      </c>
      <c r="F52" s="7" t="str">
        <f aca="false">IF(B52="","",COUNTIFS(Présences!$C$5:$C$1204,B52,Présences!$A$5:$A$1204,"&gt;="&amp;Paramètres!$B$4,Présences!$A$5:$A$1204,"&lt;"&amp;Paramètres!$B$17,Présences!$E$5:$E$1204,"&gt;0"))</f>
        <v/>
      </c>
      <c r="G52" s="9" t="str">
        <f aca="false">IF(B52="","",SUMIFS(Présences!$E$5:$E$1204,Présences!$C$5:$C$1204,B52,Présences!$A$5:$A$1204,"&gt;="&amp;Paramètres!$B$4,Présences!$A$5:$A$1204,"&lt;"&amp;Paramètres!$B$17))</f>
        <v/>
      </c>
      <c r="H52" s="26"/>
    </row>
    <row r="53" customFormat="false" ht="15" hidden="false" customHeight="false" outlineLevel="0" collapsed="false">
      <c r="A53" s="10" t="n">
        <v>48</v>
      </c>
      <c r="B53" s="27" t="str">
        <f aca="false">IF(Employés!B52="","",Employés!B52)</f>
        <v/>
      </c>
      <c r="C53" s="27" t="str">
        <f aca="false">IF(Employés!B52="","",IF(Employés!C52="","",Employés!C52))</f>
        <v/>
      </c>
      <c r="D53" s="27" t="str">
        <f aca="false">IF(Employés!B52="","",IF(Employés!D52="","",Employés!D52))</f>
        <v/>
      </c>
      <c r="E53" s="7" t="str">
        <f aca="false">IF(B53="","",COUNTIFS(Présences!$C$5:$C$1204,B53,Présences!$A$5:$A$1204,"&gt;="&amp;Paramètres!$B$4,Présences!$A$5:$A$1204,"&lt;"&amp;Paramètres!$B$17))</f>
        <v/>
      </c>
      <c r="F53" s="7" t="str">
        <f aca="false">IF(B53="","",COUNTIFS(Présences!$C$5:$C$1204,B53,Présences!$A$5:$A$1204,"&gt;="&amp;Paramètres!$B$4,Présences!$A$5:$A$1204,"&lt;"&amp;Paramètres!$B$17,Présences!$E$5:$E$1204,"&gt;0"))</f>
        <v/>
      </c>
      <c r="G53" s="9" t="str">
        <f aca="false">IF(B53="","",SUMIFS(Présences!$E$5:$E$1204,Présences!$C$5:$C$1204,B53,Présences!$A$5:$A$1204,"&gt;="&amp;Paramètres!$B$4,Présences!$A$5:$A$1204,"&lt;"&amp;Paramètres!$B$17))</f>
        <v/>
      </c>
      <c r="H53" s="26"/>
    </row>
    <row r="54" customFormat="false" ht="15" hidden="false" customHeight="false" outlineLevel="0" collapsed="false">
      <c r="A54" s="10" t="n">
        <v>49</v>
      </c>
      <c r="B54" s="27" t="str">
        <f aca="false">IF(Employés!B53="","",Employés!B53)</f>
        <v/>
      </c>
      <c r="C54" s="27" t="str">
        <f aca="false">IF(Employés!B53="","",IF(Employés!C53="","",Employés!C53))</f>
        <v/>
      </c>
      <c r="D54" s="27" t="str">
        <f aca="false">IF(Employés!B53="","",IF(Employés!D53="","",Employés!D53))</f>
        <v/>
      </c>
      <c r="E54" s="7" t="str">
        <f aca="false">IF(B54="","",COUNTIFS(Présences!$C$5:$C$1204,B54,Présences!$A$5:$A$1204,"&gt;="&amp;Paramètres!$B$4,Présences!$A$5:$A$1204,"&lt;"&amp;Paramètres!$B$17))</f>
        <v/>
      </c>
      <c r="F54" s="7" t="str">
        <f aca="false">IF(B54="","",COUNTIFS(Présences!$C$5:$C$1204,B54,Présences!$A$5:$A$1204,"&gt;="&amp;Paramètres!$B$4,Présences!$A$5:$A$1204,"&lt;"&amp;Paramètres!$B$17,Présences!$E$5:$E$1204,"&gt;0"))</f>
        <v/>
      </c>
      <c r="G54" s="9" t="str">
        <f aca="false">IF(B54="","",SUMIFS(Présences!$E$5:$E$1204,Présences!$C$5:$C$1204,B54,Présences!$A$5:$A$1204,"&gt;="&amp;Paramètres!$B$4,Présences!$A$5:$A$1204,"&lt;"&amp;Paramètres!$B$17))</f>
        <v/>
      </c>
      <c r="H54" s="26"/>
    </row>
    <row r="55" customFormat="false" ht="15" hidden="false" customHeight="false" outlineLevel="0" collapsed="false">
      <c r="A55" s="10" t="n">
        <v>50</v>
      </c>
      <c r="B55" s="27" t="str">
        <f aca="false">IF(Employés!B54="","",Employés!B54)</f>
        <v/>
      </c>
      <c r="C55" s="27" t="str">
        <f aca="false">IF(Employés!B54="","",IF(Employés!C54="","",Employés!C54))</f>
        <v/>
      </c>
      <c r="D55" s="27" t="str">
        <f aca="false">IF(Employés!B54="","",IF(Employés!D54="","",Employés!D54))</f>
        <v/>
      </c>
      <c r="E55" s="7" t="str">
        <f aca="false">IF(B55="","",COUNTIFS(Présences!$C$5:$C$1204,B55,Présences!$A$5:$A$1204,"&gt;="&amp;Paramètres!$B$4,Présences!$A$5:$A$1204,"&lt;"&amp;Paramètres!$B$17))</f>
        <v/>
      </c>
      <c r="F55" s="7" t="str">
        <f aca="false">IF(B55="","",COUNTIFS(Présences!$C$5:$C$1204,B55,Présences!$A$5:$A$1204,"&gt;="&amp;Paramètres!$B$4,Présences!$A$5:$A$1204,"&lt;"&amp;Paramètres!$B$17,Présences!$E$5:$E$1204,"&gt;0"))</f>
        <v/>
      </c>
      <c r="G55" s="9" t="str">
        <f aca="false">IF(B55="","",SUMIFS(Présences!$E$5:$E$1204,Présences!$C$5:$C$1204,B55,Présences!$A$5:$A$1204,"&gt;="&amp;Paramètres!$B$4,Présences!$A$5:$A$1204,"&lt;"&amp;Paramètres!$B$17))</f>
        <v/>
      </c>
      <c r="H55" s="26"/>
    </row>
    <row r="56" customFormat="false" ht="15" hidden="false" customHeight="false" outlineLevel="0" collapsed="false">
      <c r="A56" s="10" t="n">
        <v>51</v>
      </c>
      <c r="B56" s="27" t="str">
        <f aca="false">IF(Employés!B55="","",Employés!B55)</f>
        <v/>
      </c>
      <c r="C56" s="27" t="str">
        <f aca="false">IF(Employés!B55="","",IF(Employés!C55="","",Employés!C55))</f>
        <v/>
      </c>
      <c r="D56" s="27" t="str">
        <f aca="false">IF(Employés!B55="","",IF(Employés!D55="","",Employés!D55))</f>
        <v/>
      </c>
      <c r="E56" s="7" t="str">
        <f aca="false">IF(B56="","",COUNTIFS(Présences!$C$5:$C$1204,B56,Présences!$A$5:$A$1204,"&gt;="&amp;Paramètres!$B$4,Présences!$A$5:$A$1204,"&lt;"&amp;Paramètres!$B$17))</f>
        <v/>
      </c>
      <c r="F56" s="7" t="str">
        <f aca="false">IF(B56="","",COUNTIFS(Présences!$C$5:$C$1204,B56,Présences!$A$5:$A$1204,"&gt;="&amp;Paramètres!$B$4,Présences!$A$5:$A$1204,"&lt;"&amp;Paramètres!$B$17,Présences!$E$5:$E$1204,"&gt;0"))</f>
        <v/>
      </c>
      <c r="G56" s="9" t="str">
        <f aca="false">IF(B56="","",SUMIFS(Présences!$E$5:$E$1204,Présences!$C$5:$C$1204,B56,Présences!$A$5:$A$1204,"&gt;="&amp;Paramètres!$B$4,Présences!$A$5:$A$1204,"&lt;"&amp;Paramètres!$B$17))</f>
        <v/>
      </c>
      <c r="H56" s="26"/>
    </row>
    <row r="57" customFormat="false" ht="15" hidden="false" customHeight="false" outlineLevel="0" collapsed="false">
      <c r="A57" s="10" t="n">
        <v>52</v>
      </c>
      <c r="B57" s="27" t="str">
        <f aca="false">IF(Employés!B56="","",Employés!B56)</f>
        <v/>
      </c>
      <c r="C57" s="27" t="str">
        <f aca="false">IF(Employés!B56="","",IF(Employés!C56="","",Employés!C56))</f>
        <v/>
      </c>
      <c r="D57" s="27" t="str">
        <f aca="false">IF(Employés!B56="","",IF(Employés!D56="","",Employés!D56))</f>
        <v/>
      </c>
      <c r="E57" s="7" t="str">
        <f aca="false">IF(B57="","",COUNTIFS(Présences!$C$5:$C$1204,B57,Présences!$A$5:$A$1204,"&gt;="&amp;Paramètres!$B$4,Présences!$A$5:$A$1204,"&lt;"&amp;Paramètres!$B$17))</f>
        <v/>
      </c>
      <c r="F57" s="7" t="str">
        <f aca="false">IF(B57="","",COUNTIFS(Présences!$C$5:$C$1204,B57,Présences!$A$5:$A$1204,"&gt;="&amp;Paramètres!$B$4,Présences!$A$5:$A$1204,"&lt;"&amp;Paramètres!$B$17,Présences!$E$5:$E$1204,"&gt;0"))</f>
        <v/>
      </c>
      <c r="G57" s="9" t="str">
        <f aca="false">IF(B57="","",SUMIFS(Présences!$E$5:$E$1204,Présences!$C$5:$C$1204,B57,Présences!$A$5:$A$1204,"&gt;="&amp;Paramètres!$B$4,Présences!$A$5:$A$1204,"&lt;"&amp;Paramètres!$B$17))</f>
        <v/>
      </c>
      <c r="H57" s="26"/>
    </row>
    <row r="58" customFormat="false" ht="15" hidden="false" customHeight="false" outlineLevel="0" collapsed="false">
      <c r="A58" s="10" t="n">
        <v>53</v>
      </c>
      <c r="B58" s="27" t="str">
        <f aca="false">IF(Employés!B57="","",Employés!B57)</f>
        <v/>
      </c>
      <c r="C58" s="27" t="str">
        <f aca="false">IF(Employés!B57="","",IF(Employés!C57="","",Employés!C57))</f>
        <v/>
      </c>
      <c r="D58" s="27" t="str">
        <f aca="false">IF(Employés!B57="","",IF(Employés!D57="","",Employés!D57))</f>
        <v/>
      </c>
      <c r="E58" s="7" t="str">
        <f aca="false">IF(B58="","",COUNTIFS(Présences!$C$5:$C$1204,B58,Présences!$A$5:$A$1204,"&gt;="&amp;Paramètres!$B$4,Présences!$A$5:$A$1204,"&lt;"&amp;Paramètres!$B$17))</f>
        <v/>
      </c>
      <c r="F58" s="7" t="str">
        <f aca="false">IF(B58="","",COUNTIFS(Présences!$C$5:$C$1204,B58,Présences!$A$5:$A$1204,"&gt;="&amp;Paramètres!$B$4,Présences!$A$5:$A$1204,"&lt;"&amp;Paramètres!$B$17,Présences!$E$5:$E$1204,"&gt;0"))</f>
        <v/>
      </c>
      <c r="G58" s="9" t="str">
        <f aca="false">IF(B58="","",SUMIFS(Présences!$E$5:$E$1204,Présences!$C$5:$C$1204,B58,Présences!$A$5:$A$1204,"&gt;="&amp;Paramètres!$B$4,Présences!$A$5:$A$1204,"&lt;"&amp;Paramètres!$B$17))</f>
        <v/>
      </c>
      <c r="H58" s="26"/>
    </row>
    <row r="59" customFormat="false" ht="15" hidden="false" customHeight="false" outlineLevel="0" collapsed="false">
      <c r="A59" s="10" t="n">
        <v>54</v>
      </c>
      <c r="B59" s="27" t="str">
        <f aca="false">IF(Employés!B58="","",Employés!B58)</f>
        <v/>
      </c>
      <c r="C59" s="27" t="str">
        <f aca="false">IF(Employés!B58="","",IF(Employés!C58="","",Employés!C58))</f>
        <v/>
      </c>
      <c r="D59" s="27" t="str">
        <f aca="false">IF(Employés!B58="","",IF(Employés!D58="","",Employés!D58))</f>
        <v/>
      </c>
      <c r="E59" s="7" t="str">
        <f aca="false">IF(B59="","",COUNTIFS(Présences!$C$5:$C$1204,B59,Présences!$A$5:$A$1204,"&gt;="&amp;Paramètres!$B$4,Présences!$A$5:$A$1204,"&lt;"&amp;Paramètres!$B$17))</f>
        <v/>
      </c>
      <c r="F59" s="7" t="str">
        <f aca="false">IF(B59="","",COUNTIFS(Présences!$C$5:$C$1204,B59,Présences!$A$5:$A$1204,"&gt;="&amp;Paramètres!$B$4,Présences!$A$5:$A$1204,"&lt;"&amp;Paramètres!$B$17,Présences!$E$5:$E$1204,"&gt;0"))</f>
        <v/>
      </c>
      <c r="G59" s="9" t="str">
        <f aca="false">IF(B59="","",SUMIFS(Présences!$E$5:$E$1204,Présences!$C$5:$C$1204,B59,Présences!$A$5:$A$1204,"&gt;="&amp;Paramètres!$B$4,Présences!$A$5:$A$1204,"&lt;"&amp;Paramètres!$B$17))</f>
        <v/>
      </c>
      <c r="H59" s="26"/>
    </row>
    <row r="60" customFormat="false" ht="15" hidden="false" customHeight="false" outlineLevel="0" collapsed="false">
      <c r="A60" s="10" t="n">
        <v>55</v>
      </c>
      <c r="B60" s="27" t="str">
        <f aca="false">IF(Employés!B59="","",Employés!B59)</f>
        <v/>
      </c>
      <c r="C60" s="27" t="str">
        <f aca="false">IF(Employés!B59="","",IF(Employés!C59="","",Employés!C59))</f>
        <v/>
      </c>
      <c r="D60" s="27" t="str">
        <f aca="false">IF(Employés!B59="","",IF(Employés!D59="","",Employés!D59))</f>
        <v/>
      </c>
      <c r="E60" s="7" t="str">
        <f aca="false">IF(B60="","",COUNTIFS(Présences!$C$5:$C$1204,B60,Présences!$A$5:$A$1204,"&gt;="&amp;Paramètres!$B$4,Présences!$A$5:$A$1204,"&lt;"&amp;Paramètres!$B$17))</f>
        <v/>
      </c>
      <c r="F60" s="7" t="str">
        <f aca="false">IF(B60="","",COUNTIFS(Présences!$C$5:$C$1204,B60,Présences!$A$5:$A$1204,"&gt;="&amp;Paramètres!$B$4,Présences!$A$5:$A$1204,"&lt;"&amp;Paramètres!$B$17,Présences!$E$5:$E$1204,"&gt;0"))</f>
        <v/>
      </c>
      <c r="G60" s="9" t="str">
        <f aca="false">IF(B60="","",SUMIFS(Présences!$E$5:$E$1204,Présences!$C$5:$C$1204,B60,Présences!$A$5:$A$1204,"&gt;="&amp;Paramètres!$B$4,Présences!$A$5:$A$1204,"&lt;"&amp;Paramètres!$B$17))</f>
        <v/>
      </c>
      <c r="H60" s="26"/>
    </row>
    <row r="61" customFormat="false" ht="15" hidden="false" customHeight="false" outlineLevel="0" collapsed="false">
      <c r="A61" s="10" t="n">
        <v>56</v>
      </c>
      <c r="B61" s="27" t="str">
        <f aca="false">IF(Employés!B60="","",Employés!B60)</f>
        <v/>
      </c>
      <c r="C61" s="27" t="str">
        <f aca="false">IF(Employés!B60="","",IF(Employés!C60="","",Employés!C60))</f>
        <v/>
      </c>
      <c r="D61" s="27" t="str">
        <f aca="false">IF(Employés!B60="","",IF(Employés!D60="","",Employés!D60))</f>
        <v/>
      </c>
      <c r="E61" s="7" t="str">
        <f aca="false">IF(B61="","",COUNTIFS(Présences!$C$5:$C$1204,B61,Présences!$A$5:$A$1204,"&gt;="&amp;Paramètres!$B$4,Présences!$A$5:$A$1204,"&lt;"&amp;Paramètres!$B$17))</f>
        <v/>
      </c>
      <c r="F61" s="7" t="str">
        <f aca="false">IF(B61="","",COUNTIFS(Présences!$C$5:$C$1204,B61,Présences!$A$5:$A$1204,"&gt;="&amp;Paramètres!$B$4,Présences!$A$5:$A$1204,"&lt;"&amp;Paramètres!$B$17,Présences!$E$5:$E$1204,"&gt;0"))</f>
        <v/>
      </c>
      <c r="G61" s="9" t="str">
        <f aca="false">IF(B61="","",SUMIFS(Présences!$E$5:$E$1204,Présences!$C$5:$C$1204,B61,Présences!$A$5:$A$1204,"&gt;="&amp;Paramètres!$B$4,Présences!$A$5:$A$1204,"&lt;"&amp;Paramètres!$B$17))</f>
        <v/>
      </c>
      <c r="H61" s="26"/>
    </row>
    <row r="62" customFormat="false" ht="15" hidden="false" customHeight="false" outlineLevel="0" collapsed="false">
      <c r="A62" s="10" t="n">
        <v>57</v>
      </c>
      <c r="B62" s="27" t="str">
        <f aca="false">IF(Employés!B61="","",Employés!B61)</f>
        <v/>
      </c>
      <c r="C62" s="27" t="str">
        <f aca="false">IF(Employés!B61="","",IF(Employés!C61="","",Employés!C61))</f>
        <v/>
      </c>
      <c r="D62" s="27" t="str">
        <f aca="false">IF(Employés!B61="","",IF(Employés!D61="","",Employés!D61))</f>
        <v/>
      </c>
      <c r="E62" s="7" t="str">
        <f aca="false">IF(B62="","",COUNTIFS(Présences!$C$5:$C$1204,B62,Présences!$A$5:$A$1204,"&gt;="&amp;Paramètres!$B$4,Présences!$A$5:$A$1204,"&lt;"&amp;Paramètres!$B$17))</f>
        <v/>
      </c>
      <c r="F62" s="7" t="str">
        <f aca="false">IF(B62="","",COUNTIFS(Présences!$C$5:$C$1204,B62,Présences!$A$5:$A$1204,"&gt;="&amp;Paramètres!$B$4,Présences!$A$5:$A$1204,"&lt;"&amp;Paramètres!$B$17,Présences!$E$5:$E$1204,"&gt;0"))</f>
        <v/>
      </c>
      <c r="G62" s="9" t="str">
        <f aca="false">IF(B62="","",SUMIFS(Présences!$E$5:$E$1204,Présences!$C$5:$C$1204,B62,Présences!$A$5:$A$1204,"&gt;="&amp;Paramètres!$B$4,Présences!$A$5:$A$1204,"&lt;"&amp;Paramètres!$B$17))</f>
        <v/>
      </c>
      <c r="H62" s="26"/>
    </row>
    <row r="63" customFormat="false" ht="15" hidden="false" customHeight="false" outlineLevel="0" collapsed="false">
      <c r="A63" s="10" t="n">
        <v>58</v>
      </c>
      <c r="B63" s="27" t="str">
        <f aca="false">IF(Employés!B62="","",Employés!B62)</f>
        <v/>
      </c>
      <c r="C63" s="27" t="str">
        <f aca="false">IF(Employés!B62="","",IF(Employés!C62="","",Employés!C62))</f>
        <v/>
      </c>
      <c r="D63" s="27" t="str">
        <f aca="false">IF(Employés!B62="","",IF(Employés!D62="","",Employés!D62))</f>
        <v/>
      </c>
      <c r="E63" s="7" t="str">
        <f aca="false">IF(B63="","",COUNTIFS(Présences!$C$5:$C$1204,B63,Présences!$A$5:$A$1204,"&gt;="&amp;Paramètres!$B$4,Présences!$A$5:$A$1204,"&lt;"&amp;Paramètres!$B$17))</f>
        <v/>
      </c>
      <c r="F63" s="7" t="str">
        <f aca="false">IF(B63="","",COUNTIFS(Présences!$C$5:$C$1204,B63,Présences!$A$5:$A$1204,"&gt;="&amp;Paramètres!$B$4,Présences!$A$5:$A$1204,"&lt;"&amp;Paramètres!$B$17,Présences!$E$5:$E$1204,"&gt;0"))</f>
        <v/>
      </c>
      <c r="G63" s="9" t="str">
        <f aca="false">IF(B63="","",SUMIFS(Présences!$E$5:$E$1204,Présences!$C$5:$C$1204,B63,Présences!$A$5:$A$1204,"&gt;="&amp;Paramètres!$B$4,Présences!$A$5:$A$1204,"&lt;"&amp;Paramètres!$B$17))</f>
        <v/>
      </c>
      <c r="H63" s="26"/>
    </row>
    <row r="64" customFormat="false" ht="15" hidden="false" customHeight="false" outlineLevel="0" collapsed="false">
      <c r="A64" s="10" t="n">
        <v>59</v>
      </c>
      <c r="B64" s="27" t="str">
        <f aca="false">IF(Employés!B63="","",Employés!B63)</f>
        <v/>
      </c>
      <c r="C64" s="27" t="str">
        <f aca="false">IF(Employés!B63="","",IF(Employés!C63="","",Employés!C63))</f>
        <v/>
      </c>
      <c r="D64" s="27" t="str">
        <f aca="false">IF(Employés!B63="","",IF(Employés!D63="","",Employés!D63))</f>
        <v/>
      </c>
      <c r="E64" s="7" t="str">
        <f aca="false">IF(B64="","",COUNTIFS(Présences!$C$5:$C$1204,B64,Présences!$A$5:$A$1204,"&gt;="&amp;Paramètres!$B$4,Présences!$A$5:$A$1204,"&lt;"&amp;Paramètres!$B$17))</f>
        <v/>
      </c>
      <c r="F64" s="7" t="str">
        <f aca="false">IF(B64="","",COUNTIFS(Présences!$C$5:$C$1204,B64,Présences!$A$5:$A$1204,"&gt;="&amp;Paramètres!$B$4,Présences!$A$5:$A$1204,"&lt;"&amp;Paramètres!$B$17,Présences!$E$5:$E$1204,"&gt;0"))</f>
        <v/>
      </c>
      <c r="G64" s="9" t="str">
        <f aca="false">IF(B64="","",SUMIFS(Présences!$E$5:$E$1204,Présences!$C$5:$C$1204,B64,Présences!$A$5:$A$1204,"&gt;="&amp;Paramètres!$B$4,Présences!$A$5:$A$1204,"&lt;"&amp;Paramètres!$B$17))</f>
        <v/>
      </c>
      <c r="H64" s="26"/>
    </row>
    <row r="65" customFormat="false" ht="15" hidden="false" customHeight="false" outlineLevel="0" collapsed="false">
      <c r="A65" s="10" t="n">
        <v>60</v>
      </c>
      <c r="B65" s="27" t="str">
        <f aca="false">IF(Employés!B64="","",Employés!B64)</f>
        <v/>
      </c>
      <c r="C65" s="27" t="str">
        <f aca="false">IF(Employés!B64="","",IF(Employés!C64="","",Employés!C64))</f>
        <v/>
      </c>
      <c r="D65" s="27" t="str">
        <f aca="false">IF(Employés!B64="","",IF(Employés!D64="","",Employés!D64))</f>
        <v/>
      </c>
      <c r="E65" s="7" t="str">
        <f aca="false">IF(B65="","",COUNTIFS(Présences!$C$5:$C$1204,B65,Présences!$A$5:$A$1204,"&gt;="&amp;Paramètres!$B$4,Présences!$A$5:$A$1204,"&lt;"&amp;Paramètres!$B$17))</f>
        <v/>
      </c>
      <c r="F65" s="7" t="str">
        <f aca="false">IF(B65="","",COUNTIFS(Présences!$C$5:$C$1204,B65,Présences!$A$5:$A$1204,"&gt;="&amp;Paramètres!$B$4,Présences!$A$5:$A$1204,"&lt;"&amp;Paramètres!$B$17,Présences!$E$5:$E$1204,"&gt;0"))</f>
        <v/>
      </c>
      <c r="G65" s="9" t="str">
        <f aca="false">IF(B65="","",SUMIFS(Présences!$E$5:$E$1204,Présences!$C$5:$C$1204,B65,Présences!$A$5:$A$1204,"&gt;="&amp;Paramètres!$B$4,Présences!$A$5:$A$1204,"&lt;"&amp;Paramètres!$B$17))</f>
        <v/>
      </c>
      <c r="H65" s="26"/>
    </row>
    <row r="66" customFormat="false" ht="15" hidden="false" customHeight="false" outlineLevel="0" collapsed="false">
      <c r="A66" s="10" t="s">
        <v>102</v>
      </c>
      <c r="B66" s="26"/>
      <c r="C66" s="26"/>
      <c r="D66" s="26"/>
      <c r="E66" s="26"/>
      <c r="F66" s="26"/>
      <c r="G66" s="13" t="n">
        <f aca="false">SUM(G6:G65)</f>
        <v>4500</v>
      </c>
      <c r="H66" s="26"/>
    </row>
    <row r="68" customFormat="false" ht="15" hidden="false" customHeight="false" outlineLevel="0" collapsed="false">
      <c r="A68" s="2" t="s">
        <v>103</v>
      </c>
      <c r="G68" s="9" t="n">
        <f aca="false">SUMIFS(Présences!$E$5:$E$1204,Présences!$A$5:$A$1204,"&gt;="&amp;Paramètres!$B$4,Présences!$A$5:$A$1204,"&lt;"&amp;Paramètres!$B$17)</f>
        <v>4500</v>
      </c>
    </row>
    <row r="69" customFormat="false" ht="15" hidden="false" customHeight="false" outlineLevel="0" collapsed="false">
      <c r="A69" s="2" t="s">
        <v>104</v>
      </c>
    </row>
    <row r="71" customFormat="false" ht="15" hidden="false" customHeight="false" outlineLevel="0" collapsed="false">
      <c r="A71" s="3" t="s">
        <v>105</v>
      </c>
      <c r="D71" s="3" t="s">
        <v>106</v>
      </c>
      <c r="G71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2026-10-11T07:39:16Z</dcterms:created>
  <dc:creator>openpyxl</dc:creator>
  <dc:description/>
  <dc:language>en-US</dc:language>
  <cp:lastModifiedBy/>
  <dcterms:modified xsi:type="dcterms:W3CDTF">2026-10-11T07:39:17Z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