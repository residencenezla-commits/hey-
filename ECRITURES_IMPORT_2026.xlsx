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 dossiers" sheetId="1" state="visible" r:id="rId1"/>
    <sheet name="Écritures" sheetId="2" state="visible" r:id="rId2"/>
    <sheet name="Coût de revient articles" sheetId="3" state="visible" r:id="rId3"/>
    <sheet name="Contrôles et pièces" sheetId="4" state="visible" r:id="rId4"/>
  </sheets>
  <definedNames>
    <definedName name="_xlnm._FilterDatabase" localSheetId="1" hidden="1">'Écritures'!$A$1:$K$144</definedName>
    <definedName name="_xlnm._FilterDatabase" localSheetId="2" hidden="1">'Coût de revient articles'!$A$1:$R$121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4" fontId="3" fillId="0" borderId="0" pivotButton="0" quotePrefix="0" xfId="0"/>
    <xf numFmtId="0" fontId="0" fillId="0" borderId="1" pivotButton="0" quotePrefix="0" xfId="0"/>
    <xf numFmtId="4" fontId="0" fillId="0" borderId="1" pivotButton="0" quotePrefix="0" xfId="0"/>
    <xf numFmtId="4" fontId="0" fillId="0" borderId="0" pivotButton="0" quotePrefix="0" xfId="0"/>
    <xf numFmtId="9" fontId="0" fillId="0" borderId="1" pivotButton="0" quotePrefix="0" xfId="0"/>
    <xf numFmtId="164" fontId="0" fillId="0" borderId="1" pivotButton="0" quotePrefix="0" xfId="0"/>
    <xf numFmtId="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  <col width="13" customWidth="1" min="4" max="4"/>
    <col width="36" customWidth="1" min="5" max="5"/>
    <col width="17" customWidth="1" min="6" max="6"/>
    <col width="16" customWidth="1" min="7" max="7"/>
    <col width="15" customWidth="1" min="8" max="8"/>
    <col width="18" customWidth="1" min="9" max="9"/>
    <col width="12" customWidth="1" min="10" max="10"/>
    <col width="16" customWidth="1" min="11" max="11"/>
    <col width="14" customWidth="1" min="12" max="12"/>
    <col width="17" customWidth="1" min="13" max="13"/>
    <col width="11" customWidth="1" min="14" max="14"/>
    <col width="110" customWidth="1" min="15" max="15"/>
  </cols>
  <sheetData>
    <row r="1">
      <c r="A1" s="1" t="inlineStr">
        <is>
          <t>Dossiers d'importation 2026 — coût de revient et écritures (journaux 05001 ACHATS IMPORTATION et 10001 STOCKS)</t>
        </is>
      </c>
    </row>
    <row r="3">
      <c r="A3" s="2" t="inlineStr">
        <is>
          <t>Dossier</t>
        </is>
      </c>
      <c r="B3" s="2" t="inlineStr">
        <is>
          <t>Pièce</t>
        </is>
      </c>
      <c r="C3" s="2" t="inlineStr">
        <is>
          <t>Date écriture</t>
        </is>
      </c>
      <c r="D3" s="2" t="inlineStr">
        <is>
          <t>Référence</t>
        </is>
      </c>
      <c r="E3" s="2" t="inlineStr">
        <is>
          <t>Intitulé</t>
        </is>
      </c>
      <c r="F3" s="2" t="inlineStr">
        <is>
          <t>Valeur en douane (DA)</t>
        </is>
      </c>
      <c r="G3" s="2" t="inlineStr">
        <is>
          <t>D.D + C.S (quittance)</t>
        </is>
      </c>
      <c r="H3" s="2" t="inlineStr">
        <is>
          <t>Autres charges HT</t>
        </is>
      </c>
      <c r="I3" s="2" t="inlineStr">
        <is>
          <t>Coût de revient comptable (DA)</t>
        </is>
      </c>
      <c r="J3" s="2" t="inlineStr">
        <is>
          <t>Coefficient de revient</t>
        </is>
      </c>
      <c r="K3" s="2" t="inlineStr">
        <is>
          <t>TVA récupérable</t>
        </is>
      </c>
      <c r="L3" s="2" t="inlineStr">
        <is>
          <t>PRCT (44410)</t>
        </is>
      </c>
      <c r="M3" s="2" t="inlineStr">
        <is>
          <t>Coût fichier client</t>
        </is>
      </c>
      <c r="N3" s="2" t="inlineStr">
        <is>
          <t>Écart (arrondis)</t>
        </is>
      </c>
      <c r="O3" s="2" t="inlineStr">
        <is>
          <t>Observations</t>
        </is>
      </c>
    </row>
    <row r="4">
      <c r="A4" s="3" t="inlineStr">
        <is>
          <t>001</t>
        </is>
      </c>
      <c r="B4" s="3" t="inlineStr">
        <is>
          <t>000001</t>
        </is>
      </c>
      <c r="C4" s="3" t="inlineStr">
        <is>
          <t>15/03/2026</t>
        </is>
      </c>
      <c r="D4" s="3" t="inlineStr">
        <is>
          <t>DOS 001/2026</t>
        </is>
      </c>
      <c r="E4" s="3" t="inlineStr">
        <is>
          <t>SAMPA OTOMOTIV IH72025000002686-3005</t>
        </is>
      </c>
      <c r="F4" s="4" t="n">
        <v>5180911</v>
      </c>
      <c r="G4" s="4" t="n">
        <v>876353</v>
      </c>
      <c r="H4" s="4" t="n">
        <v>148770.26</v>
      </c>
      <c r="I4" s="4">
        <f>SUM(F4:H4)</f>
        <v/>
      </c>
      <c r="J4" s="5">
        <f>IF(F4&gt;0,I4/F4,"")</f>
        <v/>
      </c>
      <c r="K4" s="4" t="n">
        <v>1166653.62</v>
      </c>
      <c r="L4" s="4" t="n">
        <v>144162</v>
      </c>
      <c r="M4" s="4" t="n">
        <v>6206035.09</v>
      </c>
      <c r="N4" s="4">
        <f>I4-M4</f>
        <v/>
      </c>
      <c r="O4" s="6" t="inlineStr">
        <is>
          <t>Facture transitaire 112 du 15/03/2026 (110 029,76) payée par le chèque CPA 2125741 ; CMA DZIM1948565 (41 762,91) payée par le chèque 2125733. TVA douane 1 150 880 = TVA déductible de la G50 01/2026.</t>
        </is>
      </c>
    </row>
    <row r="5">
      <c r="A5" s="3" t="inlineStr">
        <is>
          <t>002</t>
        </is>
      </c>
      <c r="B5" s="3" t="inlineStr">
        <is>
          <t>000002</t>
        </is>
      </c>
      <c r="C5" s="3" t="inlineStr">
        <is>
          <t>09/04/2026</t>
        </is>
      </c>
      <c r="D5" s="3" t="inlineStr">
        <is>
          <t>DOS 002/2026</t>
        </is>
      </c>
      <c r="E5" s="3" t="inlineStr">
        <is>
          <t>BS MOTOR GTS2406321-B</t>
        </is>
      </c>
      <c r="F5" s="4" t="n">
        <v>10099367</v>
      </c>
      <c r="G5" s="4" t="n">
        <v>1479273</v>
      </c>
      <c r="H5" s="4" t="n">
        <v>142622.02</v>
      </c>
      <c r="I5" s="4">
        <f>SUM(F5:H5)</f>
        <v/>
      </c>
      <c r="J5" s="5">
        <f>IF(F5&gt;0,I5/F5,"")</f>
        <v/>
      </c>
      <c r="K5" s="4" t="n">
        <v>2211942.26</v>
      </c>
      <c r="L5" s="4" t="n">
        <v>275571</v>
      </c>
      <c r="M5" s="4" t="n">
        <v>11721262.88</v>
      </c>
      <c r="N5" s="4">
        <f>I5-M5</f>
        <v/>
      </c>
      <c r="O5" s="6" t="inlineStr">
        <is>
          <t>Transit 251BIS payé par le chèque CPA 2125740 ; MSC BJAI2601916 réglée par virement CPA du 09/03/2026. EPB 20279 (scanning 7 140) retenue dans le coût mais NON refacturée par le transitaire : passée au 40800 (facture non parvenue), à confirmer. Mobilisation agent 20 000 sans pièce jointe. TVA douane = TVA déductible G50 02/2026.</t>
        </is>
      </c>
    </row>
    <row r="6">
      <c r="A6" s="3" t="inlineStr">
        <is>
          <t>003</t>
        </is>
      </c>
      <c r="B6" s="3" t="inlineStr">
        <is>
          <t>000003</t>
        </is>
      </c>
      <c r="C6" s="3" t="inlineStr">
        <is>
          <t>14/06/2026</t>
        </is>
      </c>
      <c r="D6" s="3" t="inlineStr">
        <is>
          <t>DOS 003/2026</t>
        </is>
      </c>
      <c r="E6" s="3" t="inlineStr">
        <is>
          <t>MS MOTORSERVICE 2330421560</t>
        </is>
      </c>
      <c r="F6" s="4" t="n">
        <v>19502834</v>
      </c>
      <c r="G6" s="4" t="n">
        <v>1125935</v>
      </c>
      <c r="H6" s="4" t="n">
        <v>164896.01</v>
      </c>
      <c r="I6" s="4">
        <f>SUM(F6:H6)</f>
        <v/>
      </c>
      <c r="J6" s="5">
        <f>IF(F6&gt;0,I6/F6,"")</f>
        <v/>
      </c>
      <c r="K6" s="4" t="n">
        <v>3938825.34</v>
      </c>
      <c r="L6" s="4" t="n">
        <v>490964</v>
      </c>
      <c r="M6" s="4" t="n">
        <v>20793665.88</v>
      </c>
      <c r="N6" s="4">
        <f>I6-M6</f>
        <v/>
      </c>
      <c r="O6" s="6" t="inlineStr">
        <is>
          <t>Transit 402BIS (182 401,26 dont amende douane 50 000 au 65600, hors coût) payé par le chèque SG 7106655 ; CMA DZIM1984785 par le chèque CPA 2125744. TVA douane = TVA déductible G50 04/2026. Paiement fournisseur PTI67673 (4 000 000 + 15 558 175,01) : perte de change à constater au lettrage.</t>
        </is>
      </c>
    </row>
    <row r="7">
      <c r="A7" s="3" t="inlineStr">
        <is>
          <t>004</t>
        </is>
      </c>
      <c r="B7" s="3" t="inlineStr">
        <is>
          <t>000004</t>
        </is>
      </c>
      <c r="C7" s="3" t="inlineStr">
        <is>
          <t>21/06/2026</t>
        </is>
      </c>
      <c r="D7" s="3" t="inlineStr">
        <is>
          <t>DOS 004/2026</t>
        </is>
      </c>
      <c r="E7" s="3" t="inlineStr">
        <is>
          <t>BS MOTOR GTS2406321-C</t>
        </is>
      </c>
      <c r="F7" s="4" t="n">
        <v>7229738</v>
      </c>
      <c r="G7" s="4" t="n">
        <v>1070448</v>
      </c>
      <c r="H7" s="4" t="n">
        <v>147394.26</v>
      </c>
      <c r="I7" s="4">
        <f>SUM(F7:H7)</f>
        <v/>
      </c>
      <c r="J7" s="5">
        <f>IF(F7&gt;0,I7/F7,"")</f>
        <v/>
      </c>
      <c r="K7" s="4" t="n">
        <v>1593729.26</v>
      </c>
      <c r="L7" s="4" t="n">
        <v>197544</v>
      </c>
      <c r="M7" s="4" t="n">
        <v>8447580.5</v>
      </c>
      <c r="N7" s="4">
        <f>I7-M7</f>
        <v/>
      </c>
      <c r="O7" s="6" t="inlineStr">
        <is>
          <t>Transit 441BIS payé par le chèque SG 7106656 ; MSC BJAI2604127 réglée par virement CPA du 25/05/2026. Licence d'entrée produit n° 210398.</t>
        </is>
      </c>
    </row>
    <row r="8">
      <c r="E8" s="7" t="inlineStr">
        <is>
          <t>Total</t>
        </is>
      </c>
      <c r="F8" s="8">
        <f>SUM(F4:F7)</f>
        <v/>
      </c>
      <c r="G8" s="8">
        <f>SUM(G4:G7)</f>
        <v/>
      </c>
      <c r="H8" s="8">
        <f>SUM(H4:H7)</f>
        <v/>
      </c>
      <c r="I8" s="8">
        <f>SUM(I4:I7)</f>
        <v/>
      </c>
      <c r="K8" s="8">
        <f>SUM(K4:K7)</f>
        <v/>
      </c>
      <c r="L8" s="8">
        <f>SUM(L4:L7)</f>
        <v/>
      </c>
      <c r="M8" s="8">
        <f>SUM(M4:M7)</f>
        <v/>
      </c>
      <c r="N8" s="8">
        <f>SUM(N4:N7)</f>
        <v/>
      </c>
    </row>
    <row r="10">
      <c r="A10" t="inlineStr">
        <is>
          <t>Coûts de revient repris du fichier COUT_DE_REVIENT_COMPAGNY_2026.xlsx (répartition par article D10). En comptabilité, D.D et C.S sont pris aux montants arrondis des quittances : l'écart (&lt; 1 DA par dossier) vient de ces arrondis et, pour 003/2026, de la facture transit 402BIS inférieure de 0,50 à la somme des factures BMT/EPB.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3" customWidth="1" min="4" max="4"/>
    <col width="34" customWidth="1" min="5" max="5"/>
    <col width="9" customWidth="1" min="6" max="6"/>
    <col width="30" customWidth="1" min="7" max="7"/>
    <col width="8" customWidth="1" min="8" max="8"/>
    <col width="28" customWidth="1" min="9" max="9"/>
    <col width="16" customWidth="1" min="10" max="10"/>
    <col width="16" customWidth="1" min="11" max="11"/>
  </cols>
  <sheetData>
    <row r="1">
      <c r="A1" s="2" t="inlineStr">
        <is>
          <t>Journal</t>
        </is>
      </c>
      <c r="B1" s="2" t="inlineStr">
        <is>
          <t>Pièce</t>
        </is>
      </c>
      <c r="C1" s="2" t="inlineStr">
        <is>
          <t>Date</t>
        </is>
      </c>
      <c r="D1" s="2" t="inlineStr">
        <is>
          <t>Référence</t>
        </is>
      </c>
      <c r="E1" s="2" t="inlineStr">
        <is>
          <t>Libellé</t>
        </is>
      </c>
      <c r="F1" s="2" t="inlineStr">
        <is>
          <t>Compte</t>
        </is>
      </c>
      <c r="G1" s="2" t="inlineStr">
        <is>
          <t>Intitulé compte</t>
        </is>
      </c>
      <c r="H1" s="2" t="inlineStr">
        <is>
          <t>Tiers</t>
        </is>
      </c>
      <c r="I1" s="2" t="inlineStr">
        <is>
          <t>Nom tiers</t>
        </is>
      </c>
      <c r="J1" s="2" t="inlineStr">
        <is>
          <t>Débit</t>
        </is>
      </c>
      <c r="K1" s="2" t="inlineStr">
        <is>
          <t>Crédit</t>
        </is>
      </c>
    </row>
    <row r="2">
      <c r="A2" s="9" t="inlineStr">
        <is>
          <t>05001</t>
        </is>
      </c>
      <c r="B2" s="9" t="inlineStr">
        <is>
          <t>000001</t>
        </is>
      </c>
      <c r="C2" s="9" t="inlineStr">
        <is>
          <t>15/03/2026</t>
        </is>
      </c>
      <c r="D2" s="9" t="inlineStr">
        <is>
          <t>DOS 001/2026</t>
        </is>
      </c>
      <c r="E2" s="9" t="inlineStr">
        <is>
          <t>SAMPA IH72025000002686 40072.1</t>
        </is>
      </c>
      <c r="F2" s="9" t="inlineStr">
        <is>
          <t>38002</t>
        </is>
      </c>
      <c r="G2" s="9" t="inlineStr">
        <is>
          <t>ACHATS IMPORTATION</t>
        </is>
      </c>
      <c r="H2" s="9" t="inlineStr"/>
      <c r="I2" s="9" t="inlineStr"/>
      <c r="J2" s="10" t="n">
        <v>5180911</v>
      </c>
      <c r="K2" s="10" t="n"/>
    </row>
    <row r="3">
      <c r="A3" s="9" t="inlineStr">
        <is>
          <t>05001</t>
        </is>
      </c>
      <c r="B3" s="9" t="inlineStr">
        <is>
          <t>000001</t>
        </is>
      </c>
      <c r="C3" s="9" t="inlineStr">
        <is>
          <t>15/03/2026</t>
        </is>
      </c>
      <c r="D3" s="9" t="inlineStr">
        <is>
          <t>DOS 001/2026</t>
        </is>
      </c>
      <c r="E3" s="9" t="inlineStr">
        <is>
          <t>SAMPA IH72025000002686 40072.1</t>
        </is>
      </c>
      <c r="F3" s="9" t="inlineStr">
        <is>
          <t>40102</t>
        </is>
      </c>
      <c r="G3" s="9" t="inlineStr">
        <is>
          <t>FOURNSSEURS ETRANGERS</t>
        </is>
      </c>
      <c r="H3" s="9" t="inlineStr">
        <is>
          <t>FE003</t>
        </is>
      </c>
      <c r="I3" s="9" t="inlineStr">
        <is>
          <t>SAMPA OTOMOTIVE</t>
        </is>
      </c>
      <c r="J3" s="10" t="n"/>
      <c r="K3" s="10" t="n">
        <v>5180911</v>
      </c>
    </row>
    <row r="4">
      <c r="A4" s="9" t="inlineStr">
        <is>
          <t>05001</t>
        </is>
      </c>
      <c r="B4" s="9" t="inlineStr">
        <is>
          <t>000001</t>
        </is>
      </c>
      <c r="C4" s="9" t="inlineStr">
        <is>
          <t>15/03/2026</t>
        </is>
      </c>
      <c r="D4" s="9" t="inlineStr">
        <is>
          <t>DOS 001/2026</t>
        </is>
      </c>
      <c r="E4" s="9" t="inlineStr">
        <is>
          <t>DOUANE N°04755I DD CS RPS</t>
        </is>
      </c>
      <c r="F4" s="9" t="inlineStr">
        <is>
          <t>38002</t>
        </is>
      </c>
      <c r="G4" s="9" t="inlineStr">
        <is>
          <t>ACHATS IMPORTATION</t>
        </is>
      </c>
      <c r="H4" s="9" t="inlineStr"/>
      <c r="I4" s="9" t="inlineStr"/>
      <c r="J4" s="10" t="n">
        <v>880353</v>
      </c>
      <c r="K4" s="10" t="n"/>
    </row>
    <row r="5">
      <c r="A5" s="9" t="inlineStr">
        <is>
          <t>05001</t>
        </is>
      </c>
      <c r="B5" s="9" t="inlineStr">
        <is>
          <t>000001</t>
        </is>
      </c>
      <c r="C5" s="9" t="inlineStr">
        <is>
          <t>15/03/2026</t>
        </is>
      </c>
      <c r="D5" s="9" t="inlineStr">
        <is>
          <t>DOS 001/2026</t>
        </is>
      </c>
      <c r="E5" s="9" t="inlineStr">
        <is>
          <t>DOUANE N°04755I TVA</t>
        </is>
      </c>
      <c r="F5" s="9" t="inlineStr">
        <is>
          <t>44557</t>
        </is>
      </c>
      <c r="G5" s="9" t="inlineStr">
        <is>
          <t>TVA RECUPERABLES</t>
        </is>
      </c>
      <c r="H5" s="9" t="inlineStr"/>
      <c r="I5" s="9" t="inlineStr"/>
      <c r="J5" s="10" t="n">
        <v>1150880</v>
      </c>
      <c r="K5" s="10" t="n"/>
    </row>
    <row r="6">
      <c r="A6" s="9" t="inlineStr">
        <is>
          <t>05001</t>
        </is>
      </c>
      <c r="B6" s="9" t="inlineStr">
        <is>
          <t>000001</t>
        </is>
      </c>
      <c r="C6" s="9" t="inlineStr">
        <is>
          <t>15/03/2026</t>
        </is>
      </c>
      <c r="D6" s="9" t="inlineStr">
        <is>
          <t>DOS 001/2026</t>
        </is>
      </c>
      <c r="E6" s="9" t="inlineStr">
        <is>
          <t>DOUANE N°04755I PRCT</t>
        </is>
      </c>
      <c r="F6" s="9" t="inlineStr">
        <is>
          <t>44410</t>
        </is>
      </c>
      <c r="G6" s="9" t="inlineStr">
        <is>
          <t>AVANCES ET ACOMPTES SUR IBS</t>
        </is>
      </c>
      <c r="H6" s="9" t="inlineStr"/>
      <c r="I6" s="9" t="inlineStr"/>
      <c r="J6" s="10" t="n">
        <v>144162</v>
      </c>
      <c r="K6" s="10" t="n"/>
    </row>
    <row r="7">
      <c r="A7" s="9" t="inlineStr">
        <is>
          <t>05001</t>
        </is>
      </c>
      <c r="B7" s="9" t="inlineStr">
        <is>
          <t>000001</t>
        </is>
      </c>
      <c r="C7" s="9" t="inlineStr">
        <is>
          <t>15/03/2026</t>
        </is>
      </c>
      <c r="D7" s="9" t="inlineStr">
        <is>
          <t>DOS 001/2026</t>
        </is>
      </c>
      <c r="E7" s="9" t="inlineStr">
        <is>
          <t>DOUANE N°04755I</t>
        </is>
      </c>
      <c r="F7" s="9" t="inlineStr">
        <is>
          <t>40100</t>
        </is>
      </c>
      <c r="G7" s="9" t="inlineStr">
        <is>
          <t>Fournisseurs de stocks et serv</t>
        </is>
      </c>
      <c r="H7" s="9" t="inlineStr">
        <is>
          <t>FL009</t>
        </is>
      </c>
      <c r="I7" s="9" t="inlineStr">
        <is>
          <t>DOUANES BEJAIA</t>
        </is>
      </c>
      <c r="J7" s="10" t="n"/>
      <c r="K7" s="10" t="n">
        <v>2175395</v>
      </c>
    </row>
    <row r="8">
      <c r="A8" s="9" t="inlineStr">
        <is>
          <t>05001</t>
        </is>
      </c>
      <c r="B8" s="9" t="inlineStr">
        <is>
          <t>000001</t>
        </is>
      </c>
      <c r="C8" s="9" t="inlineStr">
        <is>
          <t>15/03/2026</t>
        </is>
      </c>
      <c r="D8" s="9" t="inlineStr">
        <is>
          <t>DOS 001/2026</t>
        </is>
      </c>
      <c r="E8" s="9" t="inlineStr">
        <is>
          <t>TRANSIT 112</t>
        </is>
      </c>
      <c r="F8" s="9" t="inlineStr">
        <is>
          <t>38002</t>
        </is>
      </c>
      <c r="G8" s="9" t="inlineStr">
        <is>
          <t>ACHATS IMPORTATION</t>
        </is>
      </c>
      <c r="H8" s="9" t="inlineStr"/>
      <c r="I8" s="9" t="inlineStr"/>
      <c r="J8" s="10" t="n">
        <v>52000</v>
      </c>
      <c r="K8" s="10" t="n"/>
    </row>
    <row r="9">
      <c r="A9" s="9" t="inlineStr">
        <is>
          <t>05001</t>
        </is>
      </c>
      <c r="B9" s="9" t="inlineStr">
        <is>
          <t>000001</t>
        </is>
      </c>
      <c r="C9" s="9" t="inlineStr">
        <is>
          <t>15/03/2026</t>
        </is>
      </c>
      <c r="D9" s="9" t="inlineStr">
        <is>
          <t>DOS 001/2026</t>
        </is>
      </c>
      <c r="E9" s="9" t="inlineStr">
        <is>
          <t>TRANSIT 112</t>
        </is>
      </c>
      <c r="F9" s="9" t="inlineStr">
        <is>
          <t>40100</t>
        </is>
      </c>
      <c r="G9" s="9" t="inlineStr">
        <is>
          <t>Fournisseurs de stocks et serv</t>
        </is>
      </c>
      <c r="H9" s="9" t="inlineStr">
        <is>
          <t>FL078</t>
        </is>
      </c>
      <c r="I9" s="9" t="inlineStr">
        <is>
          <t>TRANSIT HAMMACHE DJAMEL</t>
        </is>
      </c>
      <c r="J9" s="10" t="n"/>
      <c r="K9" s="10" t="n">
        <v>52000</v>
      </c>
    </row>
    <row r="10">
      <c r="A10" s="9" t="inlineStr">
        <is>
          <t>05001</t>
        </is>
      </c>
      <c r="B10" s="9" t="inlineStr">
        <is>
          <t>000001</t>
        </is>
      </c>
      <c r="C10" s="9" t="inlineStr">
        <is>
          <t>15/03/2026</t>
        </is>
      </c>
      <c r="D10" s="9" t="inlineStr">
        <is>
          <t>DOS 001/2026</t>
        </is>
      </c>
      <c r="E10" s="9" t="inlineStr">
        <is>
          <t>CMA DZIM1948565</t>
        </is>
      </c>
      <c r="F10" s="9" t="inlineStr">
        <is>
          <t>38002</t>
        </is>
      </c>
      <c r="G10" s="9" t="inlineStr">
        <is>
          <t>ACHATS IMPORTATION</t>
        </is>
      </c>
      <c r="H10" s="9" t="inlineStr"/>
      <c r="I10" s="9" t="inlineStr"/>
      <c r="J10" s="10" t="n">
        <v>35254.55</v>
      </c>
      <c r="K10" s="10" t="n"/>
    </row>
    <row r="11">
      <c r="A11" s="9" t="inlineStr">
        <is>
          <t>05001</t>
        </is>
      </c>
      <c r="B11" s="9" t="inlineStr">
        <is>
          <t>000001</t>
        </is>
      </c>
      <c r="C11" s="9" t="inlineStr">
        <is>
          <t>15/03/2026</t>
        </is>
      </c>
      <c r="D11" s="9" t="inlineStr">
        <is>
          <t>DOS 001/2026</t>
        </is>
      </c>
      <c r="E11" s="9" t="inlineStr">
        <is>
          <t>CMA DZIM1948565</t>
        </is>
      </c>
      <c r="F11" s="9" t="inlineStr">
        <is>
          <t>44557</t>
        </is>
      </c>
      <c r="G11" s="9" t="inlineStr">
        <is>
          <t>TVA RECUPERABLES</t>
        </is>
      </c>
      <c r="H11" s="9" t="inlineStr"/>
      <c r="I11" s="9" t="inlineStr"/>
      <c r="J11" s="10" t="n">
        <v>6508.36</v>
      </c>
      <c r="K11" s="10" t="n"/>
    </row>
    <row r="12">
      <c r="A12" s="9" t="inlineStr">
        <is>
          <t>05001</t>
        </is>
      </c>
      <c r="B12" s="9" t="inlineStr">
        <is>
          <t>000001</t>
        </is>
      </c>
      <c r="C12" s="9" t="inlineStr">
        <is>
          <t>15/03/2026</t>
        </is>
      </c>
      <c r="D12" s="9" t="inlineStr">
        <is>
          <t>DOS 001/2026</t>
        </is>
      </c>
      <c r="E12" s="9" t="inlineStr">
        <is>
          <t>CMA DZIM1948565</t>
        </is>
      </c>
      <c r="F12" s="9" t="inlineStr">
        <is>
          <t>40100</t>
        </is>
      </c>
      <c r="G12" s="9" t="inlineStr">
        <is>
          <t>Fournisseurs de stocks et serv</t>
        </is>
      </c>
      <c r="H12" s="9" t="inlineStr">
        <is>
          <t>FL004</t>
        </is>
      </c>
      <c r="I12" s="9" t="inlineStr">
        <is>
          <t>CMA CGM</t>
        </is>
      </c>
      <c r="J12" s="10" t="n"/>
      <c r="K12" s="10" t="n">
        <v>41762.91</v>
      </c>
    </row>
    <row r="13">
      <c r="A13" s="9" t="inlineStr">
        <is>
          <t>05001</t>
        </is>
      </c>
      <c r="B13" s="9" t="inlineStr">
        <is>
          <t>000001</t>
        </is>
      </c>
      <c r="C13" s="9" t="inlineStr">
        <is>
          <t>15/03/2026</t>
        </is>
      </c>
      <c r="D13" s="9" t="inlineStr">
        <is>
          <t>DOS 001/2026</t>
        </is>
      </c>
      <c r="E13" s="9" t="inlineStr">
        <is>
          <t>CMA DZIM1956872</t>
        </is>
      </c>
      <c r="F13" s="9" t="inlineStr">
        <is>
          <t>38002</t>
        </is>
      </c>
      <c r="G13" s="9" t="inlineStr">
        <is>
          <t>ACHATS IMPORTATION</t>
        </is>
      </c>
      <c r="H13" s="9" t="inlineStr"/>
      <c r="I13" s="9" t="inlineStr"/>
      <c r="J13" s="10" t="n">
        <v>6751.21</v>
      </c>
      <c r="K13" s="10" t="n"/>
    </row>
    <row r="14">
      <c r="A14" s="9" t="inlineStr">
        <is>
          <t>05001</t>
        </is>
      </c>
      <c r="B14" s="9" t="inlineStr">
        <is>
          <t>000001</t>
        </is>
      </c>
      <c r="C14" s="9" t="inlineStr">
        <is>
          <t>15/03/2026</t>
        </is>
      </c>
      <c r="D14" s="9" t="inlineStr">
        <is>
          <t>DOS 001/2026</t>
        </is>
      </c>
      <c r="E14" s="9" t="inlineStr">
        <is>
          <t>CMA DZIM1956872</t>
        </is>
      </c>
      <c r="F14" s="9" t="inlineStr">
        <is>
          <t>40100</t>
        </is>
      </c>
      <c r="G14" s="9" t="inlineStr">
        <is>
          <t>Fournisseurs de stocks et serv</t>
        </is>
      </c>
      <c r="H14" s="9" t="inlineStr">
        <is>
          <t>FL004</t>
        </is>
      </c>
      <c r="I14" s="9" t="inlineStr">
        <is>
          <t>CMA CGM</t>
        </is>
      </c>
      <c r="J14" s="10" t="n"/>
      <c r="K14" s="10" t="n">
        <v>6751.21</v>
      </c>
    </row>
    <row r="15">
      <c r="A15" s="9" t="inlineStr">
        <is>
          <t>05001</t>
        </is>
      </c>
      <c r="B15" s="9" t="inlineStr">
        <is>
          <t>000001</t>
        </is>
      </c>
      <c r="C15" s="9" t="inlineStr">
        <is>
          <t>15/03/2026</t>
        </is>
      </c>
      <c r="D15" s="9" t="inlineStr">
        <is>
          <t>DOS 001/2026</t>
        </is>
      </c>
      <c r="E15" s="9" t="inlineStr">
        <is>
          <t>DEB EPB 14747</t>
        </is>
      </c>
      <c r="F15" s="9" t="inlineStr">
        <is>
          <t>38002</t>
        </is>
      </c>
      <c r="G15" s="9" t="inlineStr">
        <is>
          <t>ACHATS IMPORTATION</t>
        </is>
      </c>
      <c r="H15" s="9" t="inlineStr"/>
      <c r="I15" s="9" t="inlineStr"/>
      <c r="J15" s="10" t="n">
        <v>6000</v>
      </c>
      <c r="K15" s="10" t="n"/>
    </row>
    <row r="16">
      <c r="A16" s="9" t="inlineStr">
        <is>
          <t>05001</t>
        </is>
      </c>
      <c r="B16" s="9" t="inlineStr">
        <is>
          <t>000001</t>
        </is>
      </c>
      <c r="C16" s="9" t="inlineStr">
        <is>
          <t>15/03/2026</t>
        </is>
      </c>
      <c r="D16" s="9" t="inlineStr">
        <is>
          <t>DOS 001/2026</t>
        </is>
      </c>
      <c r="E16" s="9" t="inlineStr">
        <is>
          <t>DEB EPB 14747</t>
        </is>
      </c>
      <c r="F16" s="9" t="inlineStr">
        <is>
          <t>44557</t>
        </is>
      </c>
      <c r="G16" s="9" t="inlineStr">
        <is>
          <t>TVA RECUPERABLES</t>
        </is>
      </c>
      <c r="H16" s="9" t="inlineStr"/>
      <c r="I16" s="9" t="inlineStr"/>
      <c r="J16" s="10" t="n">
        <v>1140</v>
      </c>
      <c r="K16" s="10" t="n"/>
    </row>
    <row r="17">
      <c r="A17" s="9" t="inlineStr">
        <is>
          <t>05001</t>
        </is>
      </c>
      <c r="B17" s="9" t="inlineStr">
        <is>
          <t>000001</t>
        </is>
      </c>
      <c r="C17" s="9" t="inlineStr">
        <is>
          <t>15/03/2026</t>
        </is>
      </c>
      <c r="D17" s="9" t="inlineStr">
        <is>
          <t>DOS 001/2026</t>
        </is>
      </c>
      <c r="E17" s="9" t="inlineStr">
        <is>
          <t>DEB EPB 14747</t>
        </is>
      </c>
      <c r="F17" s="9" t="inlineStr">
        <is>
          <t>40100</t>
        </is>
      </c>
      <c r="G17" s="9" t="inlineStr">
        <is>
          <t>Fournisseurs de stocks et serv</t>
        </is>
      </c>
      <c r="H17" s="9" t="inlineStr">
        <is>
          <t>FL078</t>
        </is>
      </c>
      <c r="I17" s="9" t="inlineStr">
        <is>
          <t>TRANSIT HAMMACHE DJAMEL</t>
        </is>
      </c>
      <c r="J17" s="10" t="n"/>
      <c r="K17" s="10" t="n">
        <v>7140</v>
      </c>
    </row>
    <row r="18">
      <c r="A18" s="9" t="inlineStr">
        <is>
          <t>05001</t>
        </is>
      </c>
      <c r="B18" s="9" t="inlineStr">
        <is>
          <t>000001</t>
        </is>
      </c>
      <c r="C18" s="9" t="inlineStr">
        <is>
          <t>15/03/2026</t>
        </is>
      </c>
      <c r="D18" s="9" t="inlineStr">
        <is>
          <t>DOS 001/2026</t>
        </is>
      </c>
      <c r="E18" s="9" t="inlineStr">
        <is>
          <t>DEB EPB 14651</t>
        </is>
      </c>
      <c r="F18" s="9" t="inlineStr">
        <is>
          <t>38002</t>
        </is>
      </c>
      <c r="G18" s="9" t="inlineStr">
        <is>
          <t>ACHATS IMPORTATION</t>
        </is>
      </c>
      <c r="H18" s="9" t="inlineStr"/>
      <c r="I18" s="9" t="inlineStr"/>
      <c r="J18" s="10" t="n">
        <v>150</v>
      </c>
      <c r="K18" s="10" t="n"/>
    </row>
    <row r="19">
      <c r="A19" s="9" t="inlineStr">
        <is>
          <t>05001</t>
        </is>
      </c>
      <c r="B19" s="9" t="inlineStr">
        <is>
          <t>000001</t>
        </is>
      </c>
      <c r="C19" s="9" t="inlineStr">
        <is>
          <t>15/03/2026</t>
        </is>
      </c>
      <c r="D19" s="9" t="inlineStr">
        <is>
          <t>DOS 001/2026</t>
        </is>
      </c>
      <c r="E19" s="9" t="inlineStr">
        <is>
          <t>DEB EPB 14651</t>
        </is>
      </c>
      <c r="F19" s="9" t="inlineStr">
        <is>
          <t>44557</t>
        </is>
      </c>
      <c r="G19" s="9" t="inlineStr">
        <is>
          <t>TVA RECUPERABLES</t>
        </is>
      </c>
      <c r="H19" s="9" t="inlineStr"/>
      <c r="I19" s="9" t="inlineStr"/>
      <c r="J19" s="10" t="n">
        <v>28.5</v>
      </c>
      <c r="K19" s="10" t="n"/>
    </row>
    <row r="20">
      <c r="A20" s="9" t="inlineStr">
        <is>
          <t>05001</t>
        </is>
      </c>
      <c r="B20" s="9" t="inlineStr">
        <is>
          <t>000001</t>
        </is>
      </c>
      <c r="C20" s="9" t="inlineStr">
        <is>
          <t>15/03/2026</t>
        </is>
      </c>
      <c r="D20" s="9" t="inlineStr">
        <is>
          <t>DOS 001/2026</t>
        </is>
      </c>
      <c r="E20" s="9" t="inlineStr">
        <is>
          <t>DEB EPB 14651</t>
        </is>
      </c>
      <c r="F20" s="9" t="inlineStr">
        <is>
          <t>40100</t>
        </is>
      </c>
      <c r="G20" s="9" t="inlineStr">
        <is>
          <t>Fournisseurs de stocks et serv</t>
        </is>
      </c>
      <c r="H20" s="9" t="inlineStr">
        <is>
          <t>FL078</t>
        </is>
      </c>
      <c r="I20" s="9" t="inlineStr">
        <is>
          <t>TRANSIT HAMMACHE DJAMEL</t>
        </is>
      </c>
      <c r="J20" s="10" t="n"/>
      <c r="K20" s="10" t="n">
        <v>178.5</v>
      </c>
    </row>
    <row r="21">
      <c r="A21" s="9" t="inlineStr">
        <is>
          <t>05001</t>
        </is>
      </c>
      <c r="B21" s="9" t="inlineStr">
        <is>
          <t>000001</t>
        </is>
      </c>
      <c r="C21" s="9" t="inlineStr">
        <is>
          <t>15/03/2026</t>
        </is>
      </c>
      <c r="D21" s="9" t="inlineStr">
        <is>
          <t>DOS 001/2026</t>
        </is>
      </c>
      <c r="E21" s="9" t="inlineStr">
        <is>
          <t>DEB EPB 15900</t>
        </is>
      </c>
      <c r="F21" s="9" t="inlineStr">
        <is>
          <t>38002</t>
        </is>
      </c>
      <c r="G21" s="9" t="inlineStr">
        <is>
          <t>ACHATS IMPORTATION</t>
        </is>
      </c>
      <c r="H21" s="9" t="inlineStr"/>
      <c r="I21" s="9" t="inlineStr"/>
      <c r="J21" s="10" t="n">
        <v>214.5</v>
      </c>
      <c r="K21" s="10" t="n"/>
    </row>
    <row r="22">
      <c r="A22" s="9" t="inlineStr">
        <is>
          <t>05001</t>
        </is>
      </c>
      <c r="B22" s="9" t="inlineStr">
        <is>
          <t>000001</t>
        </is>
      </c>
      <c r="C22" s="9" t="inlineStr">
        <is>
          <t>15/03/2026</t>
        </is>
      </c>
      <c r="D22" s="9" t="inlineStr">
        <is>
          <t>DOS 001/2026</t>
        </is>
      </c>
      <c r="E22" s="9" t="inlineStr">
        <is>
          <t>DEB EPB 15900</t>
        </is>
      </c>
      <c r="F22" s="9" t="inlineStr">
        <is>
          <t>44557</t>
        </is>
      </c>
      <c r="G22" s="9" t="inlineStr">
        <is>
          <t>TVA RECUPERABLES</t>
        </is>
      </c>
      <c r="H22" s="9" t="inlineStr"/>
      <c r="I22" s="9" t="inlineStr"/>
      <c r="J22" s="10" t="n">
        <v>40.76</v>
      </c>
      <c r="K22" s="10" t="n"/>
    </row>
    <row r="23">
      <c r="A23" s="9" t="inlineStr">
        <is>
          <t>05001</t>
        </is>
      </c>
      <c r="B23" s="9" t="inlineStr">
        <is>
          <t>000001</t>
        </is>
      </c>
      <c r="C23" s="9" t="inlineStr">
        <is>
          <t>15/03/2026</t>
        </is>
      </c>
      <c r="D23" s="9" t="inlineStr">
        <is>
          <t>DOS 001/2026</t>
        </is>
      </c>
      <c r="E23" s="9" t="inlineStr">
        <is>
          <t>DEB EPB 15900</t>
        </is>
      </c>
      <c r="F23" s="9" t="inlineStr">
        <is>
          <t>40100</t>
        </is>
      </c>
      <c r="G23" s="9" t="inlineStr">
        <is>
          <t>Fournisseurs de stocks et serv</t>
        </is>
      </c>
      <c r="H23" s="9" t="inlineStr">
        <is>
          <t>FL078</t>
        </is>
      </c>
      <c r="I23" s="9" t="inlineStr">
        <is>
          <t>TRANSIT HAMMACHE DJAMEL</t>
        </is>
      </c>
      <c r="J23" s="10" t="n"/>
      <c r="K23" s="10" t="n">
        <v>255.26</v>
      </c>
    </row>
    <row r="24">
      <c r="A24" s="9" t="inlineStr">
        <is>
          <t>05001</t>
        </is>
      </c>
      <c r="B24" s="9" t="inlineStr">
        <is>
          <t>000001</t>
        </is>
      </c>
      <c r="C24" s="9" t="inlineStr">
        <is>
          <t>15/03/2026</t>
        </is>
      </c>
      <c r="D24" s="9" t="inlineStr">
        <is>
          <t>DOS 001/2026</t>
        </is>
      </c>
      <c r="E24" s="9" t="inlineStr">
        <is>
          <t>DEB BMT 4990/26</t>
        </is>
      </c>
      <c r="F24" s="9" t="inlineStr">
        <is>
          <t>38002</t>
        </is>
      </c>
      <c r="G24" s="9" t="inlineStr">
        <is>
          <t>ACHATS IMPORTATION</t>
        </is>
      </c>
      <c r="H24" s="9" t="inlineStr"/>
      <c r="I24" s="9" t="inlineStr"/>
      <c r="J24" s="10" t="n">
        <v>9700</v>
      </c>
      <c r="K24" s="10" t="n"/>
    </row>
    <row r="25">
      <c r="A25" s="9" t="inlineStr">
        <is>
          <t>05001</t>
        </is>
      </c>
      <c r="B25" s="9" t="inlineStr">
        <is>
          <t>000001</t>
        </is>
      </c>
      <c r="C25" s="9" t="inlineStr">
        <is>
          <t>15/03/2026</t>
        </is>
      </c>
      <c r="D25" s="9" t="inlineStr">
        <is>
          <t>DOS 001/2026</t>
        </is>
      </c>
      <c r="E25" s="9" t="inlineStr">
        <is>
          <t>DEB BMT 4990/26</t>
        </is>
      </c>
      <c r="F25" s="9" t="inlineStr">
        <is>
          <t>44557</t>
        </is>
      </c>
      <c r="G25" s="9" t="inlineStr">
        <is>
          <t>TVA RECUPERABLES</t>
        </is>
      </c>
      <c r="H25" s="9" t="inlineStr"/>
      <c r="I25" s="9" t="inlineStr"/>
      <c r="J25" s="10" t="n">
        <v>1843</v>
      </c>
      <c r="K25" s="10" t="n"/>
    </row>
    <row r="26">
      <c r="A26" s="9" t="inlineStr">
        <is>
          <t>05001</t>
        </is>
      </c>
      <c r="B26" s="9" t="inlineStr">
        <is>
          <t>000001</t>
        </is>
      </c>
      <c r="C26" s="9" t="inlineStr">
        <is>
          <t>15/03/2026</t>
        </is>
      </c>
      <c r="D26" s="9" t="inlineStr">
        <is>
          <t>DOS 001/2026</t>
        </is>
      </c>
      <c r="E26" s="9" t="inlineStr">
        <is>
          <t>DEB BMT 4990/26</t>
        </is>
      </c>
      <c r="F26" s="9" t="inlineStr">
        <is>
          <t>40100</t>
        </is>
      </c>
      <c r="G26" s="9" t="inlineStr">
        <is>
          <t>Fournisseurs de stocks et serv</t>
        </is>
      </c>
      <c r="H26" s="9" t="inlineStr">
        <is>
          <t>FL078</t>
        </is>
      </c>
      <c r="I26" s="9" t="inlineStr">
        <is>
          <t>TRANSIT HAMMACHE DJAMEL</t>
        </is>
      </c>
      <c r="J26" s="10" t="n"/>
      <c r="K26" s="10" t="n">
        <v>11543</v>
      </c>
    </row>
    <row r="27">
      <c r="A27" s="9" t="inlineStr">
        <is>
          <t>05001</t>
        </is>
      </c>
      <c r="B27" s="9" t="inlineStr">
        <is>
          <t>000001</t>
        </is>
      </c>
      <c r="C27" s="9" t="inlineStr">
        <is>
          <t>15/03/2026</t>
        </is>
      </c>
      <c r="D27" s="9" t="inlineStr">
        <is>
          <t>DOS 001/2026</t>
        </is>
      </c>
      <c r="E27" s="9" t="inlineStr">
        <is>
          <t>DEB BMT 5041/26</t>
        </is>
      </c>
      <c r="F27" s="9" t="inlineStr">
        <is>
          <t>38002</t>
        </is>
      </c>
      <c r="G27" s="9" t="inlineStr">
        <is>
          <t>ACHATS IMPORTATION</t>
        </is>
      </c>
      <c r="H27" s="9" t="inlineStr"/>
      <c r="I27" s="9" t="inlineStr"/>
      <c r="J27" s="10" t="n">
        <v>15750</v>
      </c>
      <c r="K27" s="10" t="n"/>
    </row>
    <row r="28">
      <c r="A28" s="9" t="inlineStr">
        <is>
          <t>05001</t>
        </is>
      </c>
      <c r="B28" s="9" t="inlineStr">
        <is>
          <t>000001</t>
        </is>
      </c>
      <c r="C28" s="9" t="inlineStr">
        <is>
          <t>15/03/2026</t>
        </is>
      </c>
      <c r="D28" s="9" t="inlineStr">
        <is>
          <t>DOS 001/2026</t>
        </is>
      </c>
      <c r="E28" s="9" t="inlineStr">
        <is>
          <t>DEB BMT 5041/26</t>
        </is>
      </c>
      <c r="F28" s="9" t="inlineStr">
        <is>
          <t>44557</t>
        </is>
      </c>
      <c r="G28" s="9" t="inlineStr">
        <is>
          <t>TVA RECUPERABLES</t>
        </is>
      </c>
      <c r="H28" s="9" t="inlineStr"/>
      <c r="I28" s="9" t="inlineStr"/>
      <c r="J28" s="10" t="n">
        <v>2992.5</v>
      </c>
      <c r="K28" s="10" t="n"/>
    </row>
    <row r="29">
      <c r="A29" s="9" t="inlineStr">
        <is>
          <t>05001</t>
        </is>
      </c>
      <c r="B29" s="9" t="inlineStr">
        <is>
          <t>000001</t>
        </is>
      </c>
      <c r="C29" s="9" t="inlineStr">
        <is>
          <t>15/03/2026</t>
        </is>
      </c>
      <c r="D29" s="9" t="inlineStr">
        <is>
          <t>DOS 001/2026</t>
        </is>
      </c>
      <c r="E29" s="9" t="inlineStr">
        <is>
          <t>DEB BMT 5041/26</t>
        </is>
      </c>
      <c r="F29" s="9" t="inlineStr">
        <is>
          <t>40100</t>
        </is>
      </c>
      <c r="G29" s="9" t="inlineStr">
        <is>
          <t>Fournisseurs de stocks et serv</t>
        </is>
      </c>
      <c r="H29" s="9" t="inlineStr">
        <is>
          <t>FL078</t>
        </is>
      </c>
      <c r="I29" s="9" t="inlineStr">
        <is>
          <t>TRANSIT HAMMACHE DJAMEL</t>
        </is>
      </c>
      <c r="J29" s="10" t="n"/>
      <c r="K29" s="10" t="n">
        <v>18742.5</v>
      </c>
    </row>
    <row r="30">
      <c r="A30" s="9" t="inlineStr">
        <is>
          <t>05001</t>
        </is>
      </c>
      <c r="B30" s="9" t="inlineStr">
        <is>
          <t>000001</t>
        </is>
      </c>
      <c r="C30" s="9" t="inlineStr">
        <is>
          <t>15/03/2026</t>
        </is>
      </c>
      <c r="D30" s="9" t="inlineStr">
        <is>
          <t>DOS 001/2026</t>
        </is>
      </c>
      <c r="E30" s="9" t="inlineStr">
        <is>
          <t>DEB BMT 5522/26</t>
        </is>
      </c>
      <c r="F30" s="9" t="inlineStr">
        <is>
          <t>38002</t>
        </is>
      </c>
      <c r="G30" s="9" t="inlineStr">
        <is>
          <t>ACHATS IMPORTATION</t>
        </is>
      </c>
      <c r="H30" s="9" t="inlineStr"/>
      <c r="I30" s="9" t="inlineStr"/>
      <c r="J30" s="10" t="n">
        <v>16950</v>
      </c>
      <c r="K30" s="10" t="n"/>
    </row>
    <row r="31">
      <c r="A31" s="9" t="inlineStr">
        <is>
          <t>05001</t>
        </is>
      </c>
      <c r="B31" s="9" t="inlineStr">
        <is>
          <t>000001</t>
        </is>
      </c>
      <c r="C31" s="9" t="inlineStr">
        <is>
          <t>15/03/2026</t>
        </is>
      </c>
      <c r="D31" s="9" t="inlineStr">
        <is>
          <t>DOS 001/2026</t>
        </is>
      </c>
      <c r="E31" s="9" t="inlineStr">
        <is>
          <t>DEB BMT 5522/26</t>
        </is>
      </c>
      <c r="F31" s="9" t="inlineStr">
        <is>
          <t>44557</t>
        </is>
      </c>
      <c r="G31" s="9" t="inlineStr">
        <is>
          <t>TVA RECUPERABLES</t>
        </is>
      </c>
      <c r="H31" s="9" t="inlineStr"/>
      <c r="I31" s="9" t="inlineStr"/>
      <c r="J31" s="10" t="n">
        <v>3220.5</v>
      </c>
      <c r="K31" s="10" t="n"/>
    </row>
    <row r="32">
      <c r="A32" s="9" t="inlineStr">
        <is>
          <t>05001</t>
        </is>
      </c>
      <c r="B32" s="9" t="inlineStr">
        <is>
          <t>000001</t>
        </is>
      </c>
      <c r="C32" s="9" t="inlineStr">
        <is>
          <t>15/03/2026</t>
        </is>
      </c>
      <c r="D32" s="9" t="inlineStr">
        <is>
          <t>DOS 001/2026</t>
        </is>
      </c>
      <c r="E32" s="9" t="inlineStr">
        <is>
          <t>DEB BMT 5522/26</t>
        </is>
      </c>
      <c r="F32" s="9" t="inlineStr">
        <is>
          <t>40100</t>
        </is>
      </c>
      <c r="G32" s="9" t="inlineStr">
        <is>
          <t>Fournisseurs de stocks et serv</t>
        </is>
      </c>
      <c r="H32" s="9" t="inlineStr">
        <is>
          <t>FL078</t>
        </is>
      </c>
      <c r="I32" s="9" t="inlineStr">
        <is>
          <t>TRANSIT HAMMACHE DJAMEL</t>
        </is>
      </c>
      <c r="J32" s="10" t="n"/>
      <c r="K32" s="10" t="n">
        <v>20170.5</v>
      </c>
    </row>
    <row r="33">
      <c r="A33" s="9" t="inlineStr">
        <is>
          <t>05001</t>
        </is>
      </c>
      <c r="B33" s="9" t="inlineStr">
        <is>
          <t>000001</t>
        </is>
      </c>
      <c r="C33" s="9" t="inlineStr">
        <is>
          <t>15/03/2026</t>
        </is>
      </c>
      <c r="D33" s="9" t="inlineStr">
        <is>
          <t>DOS 001/2026</t>
        </is>
      </c>
      <c r="E33" s="9" t="inlineStr">
        <is>
          <t>DOUANE N°04755I TEL</t>
        </is>
      </c>
      <c r="F33" s="9" t="inlineStr">
        <is>
          <t>38002</t>
        </is>
      </c>
      <c r="G33" s="9" t="inlineStr">
        <is>
          <t>ACHATS IMPORTATION</t>
        </is>
      </c>
      <c r="H33" s="9" t="inlineStr"/>
      <c r="I33" s="9" t="inlineStr"/>
      <c r="J33" s="10" t="n">
        <v>2000</v>
      </c>
      <c r="K33" s="10" t="n"/>
    </row>
    <row r="34">
      <c r="A34" s="9" t="inlineStr">
        <is>
          <t>05001</t>
        </is>
      </c>
      <c r="B34" s="9" t="inlineStr">
        <is>
          <t>000001</t>
        </is>
      </c>
      <c r="C34" s="9" t="inlineStr">
        <is>
          <t>15/03/2026</t>
        </is>
      </c>
      <c r="D34" s="9" t="inlineStr">
        <is>
          <t>DOS 001/2026</t>
        </is>
      </c>
      <c r="E34" s="9" t="inlineStr">
        <is>
          <t>DOUANE N°04755I TEL</t>
        </is>
      </c>
      <c r="F34" s="9" t="inlineStr">
        <is>
          <t>40100</t>
        </is>
      </c>
      <c r="G34" s="9" t="inlineStr">
        <is>
          <t>Fournisseurs de stocks et serv</t>
        </is>
      </c>
      <c r="H34" s="9" t="inlineStr">
        <is>
          <t>FL009</t>
        </is>
      </c>
      <c r="I34" s="9" t="inlineStr">
        <is>
          <t>DOUANES BEJAIA</t>
        </is>
      </c>
      <c r="J34" s="10" t="n"/>
      <c r="K34" s="10" t="n">
        <v>2000</v>
      </c>
    </row>
    <row r="35">
      <c r="A35" s="9" t="inlineStr">
        <is>
          <t>10001</t>
        </is>
      </c>
      <c r="B35" s="9" t="inlineStr">
        <is>
          <t>000001</t>
        </is>
      </c>
      <c r="C35" s="9" t="inlineStr">
        <is>
          <t>15/03/2026</t>
        </is>
      </c>
      <c r="D35" s="9" t="inlineStr">
        <is>
          <t>DOS 001/2026</t>
        </is>
      </c>
      <c r="E35" s="9" t="inlineStr">
        <is>
          <t>ENTREE STOCK DOS 001/2026</t>
        </is>
      </c>
      <c r="F35" s="9" t="inlineStr">
        <is>
          <t>38002</t>
        </is>
      </c>
      <c r="G35" s="9" t="inlineStr">
        <is>
          <t>ACHATS IMPORTATION</t>
        </is>
      </c>
      <c r="H35" s="9" t="inlineStr"/>
      <c r="I35" s="9" t="inlineStr"/>
      <c r="J35" s="10" t="n"/>
      <c r="K35" s="10" t="n">
        <v>6206034.26</v>
      </c>
    </row>
    <row r="36">
      <c r="A36" s="9" t="inlineStr">
        <is>
          <t>10001</t>
        </is>
      </c>
      <c r="B36" s="9" t="inlineStr">
        <is>
          <t>000001</t>
        </is>
      </c>
      <c r="C36" s="9" t="inlineStr">
        <is>
          <t>15/03/2026</t>
        </is>
      </c>
      <c r="D36" s="9" t="inlineStr">
        <is>
          <t>DOS 001/2026</t>
        </is>
      </c>
      <c r="E36" s="9" t="inlineStr">
        <is>
          <t>ENTREE STOCK DOS 001/2026</t>
        </is>
      </c>
      <c r="F36" s="9" t="inlineStr">
        <is>
          <t>30002</t>
        </is>
      </c>
      <c r="G36" s="9" t="inlineStr">
        <is>
          <t>ST IMPORTATION</t>
        </is>
      </c>
      <c r="H36" s="9" t="inlineStr"/>
      <c r="I36" s="9" t="inlineStr"/>
      <c r="J36" s="10" t="n">
        <v>6206034.26</v>
      </c>
      <c r="K36" s="10" t="n"/>
    </row>
    <row r="37">
      <c r="A37" s="9" t="inlineStr">
        <is>
          <t>05001</t>
        </is>
      </c>
      <c r="B37" s="9" t="inlineStr">
        <is>
          <t>000002</t>
        </is>
      </c>
      <c r="C37" s="9" t="inlineStr">
        <is>
          <t>09/04/2026</t>
        </is>
      </c>
      <c r="D37" s="9" t="inlineStr">
        <is>
          <t>DOS 002/2026</t>
        </is>
      </c>
      <c r="E37" s="9" t="inlineStr">
        <is>
          <t>BS MOTOR GTS2406321-B 77272.60</t>
        </is>
      </c>
      <c r="F37" s="9" t="inlineStr">
        <is>
          <t>38002</t>
        </is>
      </c>
      <c r="G37" s="9" t="inlineStr">
        <is>
          <t>ACHATS IMPORTATION</t>
        </is>
      </c>
      <c r="H37" s="9" t="inlineStr"/>
      <c r="I37" s="9" t="inlineStr"/>
      <c r="J37" s="10" t="n">
        <v>10099367</v>
      </c>
      <c r="K37" s="10" t="n"/>
    </row>
    <row r="38">
      <c r="A38" s="9" t="inlineStr">
        <is>
          <t>05001</t>
        </is>
      </c>
      <c r="B38" s="9" t="inlineStr">
        <is>
          <t>000002</t>
        </is>
      </c>
      <c r="C38" s="9" t="inlineStr">
        <is>
          <t>09/04/2026</t>
        </is>
      </c>
      <c r="D38" s="9" t="inlineStr">
        <is>
          <t>DOS 002/2026</t>
        </is>
      </c>
      <c r="E38" s="9" t="inlineStr">
        <is>
          <t>BS MOTOR GTS2406321-B 77272.60</t>
        </is>
      </c>
      <c r="F38" s="9" t="inlineStr">
        <is>
          <t>40102</t>
        </is>
      </c>
      <c r="G38" s="9" t="inlineStr">
        <is>
          <t>FOURNSSEURS ETRANGERS</t>
        </is>
      </c>
      <c r="H38" s="9" t="inlineStr">
        <is>
          <t>FE001</t>
        </is>
      </c>
      <c r="I38" s="9" t="inlineStr">
        <is>
          <t>BS MOTORS</t>
        </is>
      </c>
      <c r="J38" s="10" t="n"/>
      <c r="K38" s="10" t="n">
        <v>10099367</v>
      </c>
    </row>
    <row r="39">
      <c r="A39" s="9" t="inlineStr">
        <is>
          <t>05001</t>
        </is>
      </c>
      <c r="B39" s="9" t="inlineStr">
        <is>
          <t>000002</t>
        </is>
      </c>
      <c r="C39" s="9" t="inlineStr">
        <is>
          <t>09/04/2026</t>
        </is>
      </c>
      <c r="D39" s="9" t="inlineStr">
        <is>
          <t>DOS 002/2026</t>
        </is>
      </c>
      <c r="E39" s="9" t="inlineStr">
        <is>
          <t>DOUANE N°06727I DD CS RPS</t>
        </is>
      </c>
      <c r="F39" s="9" t="inlineStr">
        <is>
          <t>38002</t>
        </is>
      </c>
      <c r="G39" s="9" t="inlineStr">
        <is>
          <t>ACHATS IMPORTATION</t>
        </is>
      </c>
      <c r="H39" s="9" t="inlineStr"/>
      <c r="I39" s="9" t="inlineStr"/>
      <c r="J39" s="10" t="n">
        <v>1483273</v>
      </c>
      <c r="K39" s="10" t="n"/>
    </row>
    <row r="40">
      <c r="A40" s="9" t="inlineStr">
        <is>
          <t>05001</t>
        </is>
      </c>
      <c r="B40" s="9" t="inlineStr">
        <is>
          <t>000002</t>
        </is>
      </c>
      <c r="C40" s="9" t="inlineStr">
        <is>
          <t>09/04/2026</t>
        </is>
      </c>
      <c r="D40" s="9" t="inlineStr">
        <is>
          <t>DOS 002/2026</t>
        </is>
      </c>
      <c r="E40" s="9" t="inlineStr">
        <is>
          <t>DOUANE N°06727I TVA</t>
        </is>
      </c>
      <c r="F40" s="9" t="inlineStr">
        <is>
          <t>44557</t>
        </is>
      </c>
      <c r="G40" s="9" t="inlineStr">
        <is>
          <t>TVA RECUPERABLES</t>
        </is>
      </c>
      <c r="H40" s="9" t="inlineStr"/>
      <c r="I40" s="9" t="inlineStr"/>
      <c r="J40" s="10" t="n">
        <v>2199941</v>
      </c>
      <c r="K40" s="10" t="n"/>
    </row>
    <row r="41">
      <c r="A41" s="9" t="inlineStr">
        <is>
          <t>05001</t>
        </is>
      </c>
      <c r="B41" s="9" t="inlineStr">
        <is>
          <t>000002</t>
        </is>
      </c>
      <c r="C41" s="9" t="inlineStr">
        <is>
          <t>09/04/2026</t>
        </is>
      </c>
      <c r="D41" s="9" t="inlineStr">
        <is>
          <t>DOS 002/2026</t>
        </is>
      </c>
      <c r="E41" s="9" t="inlineStr">
        <is>
          <t>DOUANE N°06727I PRCT</t>
        </is>
      </c>
      <c r="F41" s="9" t="inlineStr">
        <is>
          <t>44410</t>
        </is>
      </c>
      <c r="G41" s="9" t="inlineStr">
        <is>
          <t>AVANCES ET ACOMPTES SUR IBS</t>
        </is>
      </c>
      <c r="H41" s="9" t="inlineStr"/>
      <c r="I41" s="9" t="inlineStr"/>
      <c r="J41" s="10" t="n">
        <v>275571</v>
      </c>
      <c r="K41" s="10" t="n"/>
    </row>
    <row r="42">
      <c r="A42" s="9" t="inlineStr">
        <is>
          <t>05001</t>
        </is>
      </c>
      <c r="B42" s="9" t="inlineStr">
        <is>
          <t>000002</t>
        </is>
      </c>
      <c r="C42" s="9" t="inlineStr">
        <is>
          <t>09/04/2026</t>
        </is>
      </c>
      <c r="D42" s="9" t="inlineStr">
        <is>
          <t>DOS 002/2026</t>
        </is>
      </c>
      <c r="E42" s="9" t="inlineStr">
        <is>
          <t>DOUANE N°06727I</t>
        </is>
      </c>
      <c r="F42" s="9" t="inlineStr">
        <is>
          <t>40100</t>
        </is>
      </c>
      <c r="G42" s="9" t="inlineStr">
        <is>
          <t>Fournisseurs de stocks et serv</t>
        </is>
      </c>
      <c r="H42" s="9" t="inlineStr">
        <is>
          <t>FL009</t>
        </is>
      </c>
      <c r="I42" s="9" t="inlineStr">
        <is>
          <t>DOUANES BEJAIA</t>
        </is>
      </c>
      <c r="J42" s="10" t="n"/>
      <c r="K42" s="10" t="n">
        <v>3958785</v>
      </c>
    </row>
    <row r="43">
      <c r="A43" s="9" t="inlineStr">
        <is>
          <t>05001</t>
        </is>
      </c>
      <c r="B43" s="9" t="inlineStr">
        <is>
          <t>000002</t>
        </is>
      </c>
      <c r="C43" s="9" t="inlineStr">
        <is>
          <t>09/04/2026</t>
        </is>
      </c>
      <c r="D43" s="9" t="inlineStr">
        <is>
          <t>DOS 002/2026</t>
        </is>
      </c>
      <c r="E43" s="9" t="inlineStr">
        <is>
          <t>TRANSIT 251BIS</t>
        </is>
      </c>
      <c r="F43" s="9" t="inlineStr">
        <is>
          <t>38002</t>
        </is>
      </c>
      <c r="G43" s="9" t="inlineStr">
        <is>
          <t>ACHATS IMPORTATION</t>
        </is>
      </c>
      <c r="H43" s="9" t="inlineStr"/>
      <c r="I43" s="9" t="inlineStr"/>
      <c r="J43" s="10" t="n">
        <v>52000</v>
      </c>
      <c r="K43" s="10" t="n"/>
    </row>
    <row r="44">
      <c r="A44" s="9" t="inlineStr">
        <is>
          <t>05001</t>
        </is>
      </c>
      <c r="B44" s="9" t="inlineStr">
        <is>
          <t>000002</t>
        </is>
      </c>
      <c r="C44" s="9" t="inlineStr">
        <is>
          <t>09/04/2026</t>
        </is>
      </c>
      <c r="D44" s="9" t="inlineStr">
        <is>
          <t>DOS 002/2026</t>
        </is>
      </c>
      <c r="E44" s="9" t="inlineStr">
        <is>
          <t>TRANSIT 251BIS</t>
        </is>
      </c>
      <c r="F44" s="9" t="inlineStr">
        <is>
          <t>40100</t>
        </is>
      </c>
      <c r="G44" s="9" t="inlineStr">
        <is>
          <t>Fournisseurs de stocks et serv</t>
        </is>
      </c>
      <c r="H44" s="9" t="inlineStr">
        <is>
          <t>FL078</t>
        </is>
      </c>
      <c r="I44" s="9" t="inlineStr">
        <is>
          <t>TRANSIT HAMMACHE DJAMEL</t>
        </is>
      </c>
      <c r="J44" s="10" t="n"/>
      <c r="K44" s="10" t="n">
        <v>52000</v>
      </c>
    </row>
    <row r="45">
      <c r="A45" s="9" t="inlineStr">
        <is>
          <t>05001</t>
        </is>
      </c>
      <c r="B45" s="9" t="inlineStr">
        <is>
          <t>000002</t>
        </is>
      </c>
      <c r="C45" s="9" t="inlineStr">
        <is>
          <t>09/04/2026</t>
        </is>
      </c>
      <c r="D45" s="9" t="inlineStr">
        <is>
          <t>DOS 002/2026</t>
        </is>
      </c>
      <c r="E45" s="9" t="inlineStr">
        <is>
          <t>MSC BJAI2601916</t>
        </is>
      </c>
      <c r="F45" s="9" t="inlineStr">
        <is>
          <t>38002</t>
        </is>
      </c>
      <c r="G45" s="9" t="inlineStr">
        <is>
          <t>ACHATS IMPORTATION</t>
        </is>
      </c>
      <c r="H45" s="9" t="inlineStr"/>
      <c r="I45" s="9" t="inlineStr"/>
      <c r="J45" s="10" t="n">
        <v>34957.52</v>
      </c>
      <c r="K45" s="10" t="n"/>
    </row>
    <row r="46">
      <c r="A46" s="9" t="inlineStr">
        <is>
          <t>05001</t>
        </is>
      </c>
      <c r="B46" s="9" t="inlineStr">
        <is>
          <t>000002</t>
        </is>
      </c>
      <c r="C46" s="9" t="inlineStr">
        <is>
          <t>09/04/2026</t>
        </is>
      </c>
      <c r="D46" s="9" t="inlineStr">
        <is>
          <t>DOS 002/2026</t>
        </is>
      </c>
      <c r="E46" s="9" t="inlineStr">
        <is>
          <t>MSC BJAI2601916</t>
        </is>
      </c>
      <c r="F46" s="9" t="inlineStr">
        <is>
          <t>44557</t>
        </is>
      </c>
      <c r="G46" s="9" t="inlineStr">
        <is>
          <t>TVA RECUPERABLES</t>
        </is>
      </c>
      <c r="H46" s="9" t="inlineStr"/>
      <c r="I46" s="9" t="inlineStr"/>
      <c r="J46" s="10" t="n">
        <v>6365</v>
      </c>
      <c r="K46" s="10" t="n"/>
    </row>
    <row r="47">
      <c r="A47" s="9" t="inlineStr">
        <is>
          <t>05001</t>
        </is>
      </c>
      <c r="B47" s="9" t="inlineStr">
        <is>
          <t>000002</t>
        </is>
      </c>
      <c r="C47" s="9" t="inlineStr">
        <is>
          <t>09/04/2026</t>
        </is>
      </c>
      <c r="D47" s="9" t="inlineStr">
        <is>
          <t>DOS 002/2026</t>
        </is>
      </c>
      <c r="E47" s="9" t="inlineStr">
        <is>
          <t>MSC BJAI2601916</t>
        </is>
      </c>
      <c r="F47" s="9" t="inlineStr">
        <is>
          <t>40100</t>
        </is>
      </c>
      <c r="G47" s="9" t="inlineStr">
        <is>
          <t>Fournisseurs de stocks et serv</t>
        </is>
      </c>
      <c r="H47" s="9" t="inlineStr">
        <is>
          <t>FL008</t>
        </is>
      </c>
      <c r="I47" s="9" t="inlineStr">
        <is>
          <t>MSCA</t>
        </is>
      </c>
      <c r="J47" s="10" t="n"/>
      <c r="K47" s="10" t="n">
        <v>41322.52</v>
      </c>
    </row>
    <row r="48">
      <c r="A48" s="9" t="inlineStr">
        <is>
          <t>05001</t>
        </is>
      </c>
      <c r="B48" s="9" t="inlineStr">
        <is>
          <t>000002</t>
        </is>
      </c>
      <c r="C48" s="9" t="inlineStr">
        <is>
          <t>09/04/2026</t>
        </is>
      </c>
      <c r="D48" s="9" t="inlineStr">
        <is>
          <t>DOS 002/2026</t>
        </is>
      </c>
      <c r="E48" s="9" t="inlineStr">
        <is>
          <t>DEB BMT 7474/26</t>
        </is>
      </c>
      <c r="F48" s="9" t="inlineStr">
        <is>
          <t>38002</t>
        </is>
      </c>
      <c r="G48" s="9" t="inlineStr">
        <is>
          <t>ACHATS IMPORTATION</t>
        </is>
      </c>
      <c r="H48" s="9" t="inlineStr"/>
      <c r="I48" s="9" t="inlineStr"/>
      <c r="J48" s="10" t="n">
        <v>9700</v>
      </c>
      <c r="K48" s="10" t="n"/>
    </row>
    <row r="49">
      <c r="A49" s="9" t="inlineStr">
        <is>
          <t>05001</t>
        </is>
      </c>
      <c r="B49" s="9" t="inlineStr">
        <is>
          <t>000002</t>
        </is>
      </c>
      <c r="C49" s="9" t="inlineStr">
        <is>
          <t>09/04/2026</t>
        </is>
      </c>
      <c r="D49" s="9" t="inlineStr">
        <is>
          <t>DOS 002/2026</t>
        </is>
      </c>
      <c r="E49" s="9" t="inlineStr">
        <is>
          <t>DEB BMT 7474/26</t>
        </is>
      </c>
      <c r="F49" s="9" t="inlineStr">
        <is>
          <t>44557</t>
        </is>
      </c>
      <c r="G49" s="9" t="inlineStr">
        <is>
          <t>TVA RECUPERABLES</t>
        </is>
      </c>
      <c r="H49" s="9" t="inlineStr"/>
      <c r="I49" s="9" t="inlineStr"/>
      <c r="J49" s="10" t="n">
        <v>1843</v>
      </c>
      <c r="K49" s="10" t="n"/>
    </row>
    <row r="50">
      <c r="A50" s="9" t="inlineStr">
        <is>
          <t>05001</t>
        </is>
      </c>
      <c r="B50" s="9" t="inlineStr">
        <is>
          <t>000002</t>
        </is>
      </c>
      <c r="C50" s="9" t="inlineStr">
        <is>
          <t>09/04/2026</t>
        </is>
      </c>
      <c r="D50" s="9" t="inlineStr">
        <is>
          <t>DOS 002/2026</t>
        </is>
      </c>
      <c r="E50" s="9" t="inlineStr">
        <is>
          <t>DEB BMT 7474/26</t>
        </is>
      </c>
      <c r="F50" s="9" t="inlineStr">
        <is>
          <t>40100</t>
        </is>
      </c>
      <c r="G50" s="9" t="inlineStr">
        <is>
          <t>Fournisseurs de stocks et serv</t>
        </is>
      </c>
      <c r="H50" s="9" t="inlineStr">
        <is>
          <t>FL078</t>
        </is>
      </c>
      <c r="I50" s="9" t="inlineStr">
        <is>
          <t>TRANSIT HAMMACHE DJAMEL</t>
        </is>
      </c>
      <c r="J50" s="10" t="n"/>
      <c r="K50" s="10" t="n">
        <v>11543</v>
      </c>
    </row>
    <row r="51">
      <c r="A51" s="9" t="inlineStr">
        <is>
          <t>05001</t>
        </is>
      </c>
      <c r="B51" s="9" t="inlineStr">
        <is>
          <t>000002</t>
        </is>
      </c>
      <c r="C51" s="9" t="inlineStr">
        <is>
          <t>09/04/2026</t>
        </is>
      </c>
      <c r="D51" s="9" t="inlineStr">
        <is>
          <t>DOS 002/2026</t>
        </is>
      </c>
      <c r="E51" s="9" t="inlineStr">
        <is>
          <t>DEB BMT 7939/26</t>
        </is>
      </c>
      <c r="F51" s="9" t="inlineStr">
        <is>
          <t>38002</t>
        </is>
      </c>
      <c r="G51" s="9" t="inlineStr">
        <is>
          <t>ACHATS IMPORTATION</t>
        </is>
      </c>
      <c r="H51" s="9" t="inlineStr"/>
      <c r="I51" s="9" t="inlineStr"/>
      <c r="J51" s="10" t="n">
        <v>8600</v>
      </c>
      <c r="K51" s="10" t="n"/>
    </row>
    <row r="52">
      <c r="A52" s="9" t="inlineStr">
        <is>
          <t>05001</t>
        </is>
      </c>
      <c r="B52" s="9" t="inlineStr">
        <is>
          <t>000002</t>
        </is>
      </c>
      <c r="C52" s="9" t="inlineStr">
        <is>
          <t>09/04/2026</t>
        </is>
      </c>
      <c r="D52" s="9" t="inlineStr">
        <is>
          <t>DOS 002/2026</t>
        </is>
      </c>
      <c r="E52" s="9" t="inlineStr">
        <is>
          <t>DEB BMT 7939/26</t>
        </is>
      </c>
      <c r="F52" s="9" t="inlineStr">
        <is>
          <t>44557</t>
        </is>
      </c>
      <c r="G52" s="9" t="inlineStr">
        <is>
          <t>TVA RECUPERABLES</t>
        </is>
      </c>
      <c r="H52" s="9" t="inlineStr"/>
      <c r="I52" s="9" t="inlineStr"/>
      <c r="J52" s="10" t="n">
        <v>1634</v>
      </c>
      <c r="K52" s="10" t="n"/>
    </row>
    <row r="53">
      <c r="A53" s="9" t="inlineStr">
        <is>
          <t>05001</t>
        </is>
      </c>
      <c r="B53" s="9" t="inlineStr">
        <is>
          <t>000002</t>
        </is>
      </c>
      <c r="C53" s="9" t="inlineStr">
        <is>
          <t>09/04/2026</t>
        </is>
      </c>
      <c r="D53" s="9" t="inlineStr">
        <is>
          <t>DOS 002/2026</t>
        </is>
      </c>
      <c r="E53" s="9" t="inlineStr">
        <is>
          <t>DEB BMT 7939/26</t>
        </is>
      </c>
      <c r="F53" s="9" t="inlineStr">
        <is>
          <t>40100</t>
        </is>
      </c>
      <c r="G53" s="9" t="inlineStr">
        <is>
          <t>Fournisseurs de stocks et serv</t>
        </is>
      </c>
      <c r="H53" s="9" t="inlineStr">
        <is>
          <t>FL078</t>
        </is>
      </c>
      <c r="I53" s="9" t="inlineStr">
        <is>
          <t>TRANSIT HAMMACHE DJAMEL</t>
        </is>
      </c>
      <c r="J53" s="10" t="n"/>
      <c r="K53" s="10" t="n">
        <v>10234</v>
      </c>
    </row>
    <row r="54">
      <c r="A54" s="9" t="inlineStr">
        <is>
          <t>05001</t>
        </is>
      </c>
      <c r="B54" s="9" t="inlineStr">
        <is>
          <t>000002</t>
        </is>
      </c>
      <c r="C54" s="9" t="inlineStr">
        <is>
          <t>09/04/2026</t>
        </is>
      </c>
      <c r="D54" s="9" t="inlineStr">
        <is>
          <t>DOS 002/2026</t>
        </is>
      </c>
      <c r="E54" s="9" t="inlineStr">
        <is>
          <t>DEB EPB 20436</t>
        </is>
      </c>
      <c r="F54" s="9" t="inlineStr">
        <is>
          <t>38002</t>
        </is>
      </c>
      <c r="G54" s="9" t="inlineStr">
        <is>
          <t>ACHATS IMPORTATION</t>
        </is>
      </c>
      <c r="H54" s="9" t="inlineStr"/>
      <c r="I54" s="9" t="inlineStr"/>
      <c r="J54" s="10" t="n">
        <v>150</v>
      </c>
      <c r="K54" s="10" t="n"/>
    </row>
    <row r="55">
      <c r="A55" s="9" t="inlineStr">
        <is>
          <t>05001</t>
        </is>
      </c>
      <c r="B55" s="9" t="inlineStr">
        <is>
          <t>000002</t>
        </is>
      </c>
      <c r="C55" s="9" t="inlineStr">
        <is>
          <t>09/04/2026</t>
        </is>
      </c>
      <c r="D55" s="9" t="inlineStr">
        <is>
          <t>DOS 002/2026</t>
        </is>
      </c>
      <c r="E55" s="9" t="inlineStr">
        <is>
          <t>DEB EPB 20436</t>
        </is>
      </c>
      <c r="F55" s="9" t="inlineStr">
        <is>
          <t>44557</t>
        </is>
      </c>
      <c r="G55" s="9" t="inlineStr">
        <is>
          <t>TVA RECUPERABLES</t>
        </is>
      </c>
      <c r="H55" s="9" t="inlineStr"/>
      <c r="I55" s="9" t="inlineStr"/>
      <c r="J55" s="10" t="n">
        <v>28.5</v>
      </c>
      <c r="K55" s="10" t="n"/>
    </row>
    <row r="56">
      <c r="A56" s="9" t="inlineStr">
        <is>
          <t>05001</t>
        </is>
      </c>
      <c r="B56" s="9" t="inlineStr">
        <is>
          <t>000002</t>
        </is>
      </c>
      <c r="C56" s="9" t="inlineStr">
        <is>
          <t>09/04/2026</t>
        </is>
      </c>
      <c r="D56" s="9" t="inlineStr">
        <is>
          <t>DOS 002/2026</t>
        </is>
      </c>
      <c r="E56" s="9" t="inlineStr">
        <is>
          <t>DEB EPB 20436</t>
        </is>
      </c>
      <c r="F56" s="9" t="inlineStr">
        <is>
          <t>40100</t>
        </is>
      </c>
      <c r="G56" s="9" t="inlineStr">
        <is>
          <t>Fournisseurs de stocks et serv</t>
        </is>
      </c>
      <c r="H56" s="9" t="inlineStr">
        <is>
          <t>FL078</t>
        </is>
      </c>
      <c r="I56" s="9" t="inlineStr">
        <is>
          <t>TRANSIT HAMMACHE DJAMEL</t>
        </is>
      </c>
      <c r="J56" s="10" t="n"/>
      <c r="K56" s="10" t="n">
        <v>178.5</v>
      </c>
    </row>
    <row r="57">
      <c r="A57" s="9" t="inlineStr">
        <is>
          <t>05001</t>
        </is>
      </c>
      <c r="B57" s="9" t="inlineStr">
        <is>
          <t>000002</t>
        </is>
      </c>
      <c r="C57" s="9" t="inlineStr">
        <is>
          <t>09/04/2026</t>
        </is>
      </c>
      <c r="D57" s="9" t="inlineStr">
        <is>
          <t>DOS 002/2026</t>
        </is>
      </c>
      <c r="E57" s="9" t="inlineStr">
        <is>
          <t>DEB EPB 22973</t>
        </is>
      </c>
      <c r="F57" s="9" t="inlineStr">
        <is>
          <t>38002</t>
        </is>
      </c>
      <c r="G57" s="9" t="inlineStr">
        <is>
          <t>ACHATS IMPORTATION</t>
        </is>
      </c>
      <c r="H57" s="9" t="inlineStr"/>
      <c r="I57" s="9" t="inlineStr"/>
      <c r="J57" s="10" t="n">
        <v>214.5</v>
      </c>
      <c r="K57" s="10" t="n"/>
    </row>
    <row r="58">
      <c r="A58" s="9" t="inlineStr">
        <is>
          <t>05001</t>
        </is>
      </c>
      <c r="B58" s="9" t="inlineStr">
        <is>
          <t>000002</t>
        </is>
      </c>
      <c r="C58" s="9" t="inlineStr">
        <is>
          <t>09/04/2026</t>
        </is>
      </c>
      <c r="D58" s="9" t="inlineStr">
        <is>
          <t>DOS 002/2026</t>
        </is>
      </c>
      <c r="E58" s="9" t="inlineStr">
        <is>
          <t>DEB EPB 22973</t>
        </is>
      </c>
      <c r="F58" s="9" t="inlineStr">
        <is>
          <t>44557</t>
        </is>
      </c>
      <c r="G58" s="9" t="inlineStr">
        <is>
          <t>TVA RECUPERABLES</t>
        </is>
      </c>
      <c r="H58" s="9" t="inlineStr"/>
      <c r="I58" s="9" t="inlineStr"/>
      <c r="J58" s="10" t="n">
        <v>40.76</v>
      </c>
      <c r="K58" s="10" t="n"/>
    </row>
    <row r="59">
      <c r="A59" s="9" t="inlineStr">
        <is>
          <t>05001</t>
        </is>
      </c>
      <c r="B59" s="9" t="inlineStr">
        <is>
          <t>000002</t>
        </is>
      </c>
      <c r="C59" s="9" t="inlineStr">
        <is>
          <t>09/04/2026</t>
        </is>
      </c>
      <c r="D59" s="9" t="inlineStr">
        <is>
          <t>DOS 002/2026</t>
        </is>
      </c>
      <c r="E59" s="9" t="inlineStr">
        <is>
          <t>DEB EPB 22973</t>
        </is>
      </c>
      <c r="F59" s="9" t="inlineStr">
        <is>
          <t>40100</t>
        </is>
      </c>
      <c r="G59" s="9" t="inlineStr">
        <is>
          <t>Fournisseurs de stocks et serv</t>
        </is>
      </c>
      <c r="H59" s="9" t="inlineStr">
        <is>
          <t>FL078</t>
        </is>
      </c>
      <c r="I59" s="9" t="inlineStr">
        <is>
          <t>TRANSIT HAMMACHE DJAMEL</t>
        </is>
      </c>
      <c r="J59" s="10" t="n"/>
      <c r="K59" s="10" t="n">
        <v>255.26</v>
      </c>
    </row>
    <row r="60">
      <c r="A60" s="9" t="inlineStr">
        <is>
          <t>05001</t>
        </is>
      </c>
      <c r="B60" s="9" t="inlineStr">
        <is>
          <t>000002</t>
        </is>
      </c>
      <c r="C60" s="9" t="inlineStr">
        <is>
          <t>09/04/2026</t>
        </is>
      </c>
      <c r="D60" s="9" t="inlineStr">
        <is>
          <t>DOS 002/2026</t>
        </is>
      </c>
      <c r="E60" s="9" t="inlineStr">
        <is>
          <t>DEB MTA 000730/2026</t>
        </is>
      </c>
      <c r="F60" s="9" t="inlineStr">
        <is>
          <t>38002</t>
        </is>
      </c>
      <c r="G60" s="9" t="inlineStr">
        <is>
          <t>ACHATS IMPORTATION</t>
        </is>
      </c>
      <c r="H60" s="9" t="inlineStr"/>
      <c r="I60" s="9" t="inlineStr"/>
      <c r="J60" s="10" t="n">
        <v>5000</v>
      </c>
      <c r="K60" s="10" t="n"/>
    </row>
    <row r="61">
      <c r="A61" s="9" t="inlineStr">
        <is>
          <t>05001</t>
        </is>
      </c>
      <c r="B61" s="9" t="inlineStr">
        <is>
          <t>000002</t>
        </is>
      </c>
      <c r="C61" s="9" t="inlineStr">
        <is>
          <t>09/04/2026</t>
        </is>
      </c>
      <c r="D61" s="9" t="inlineStr">
        <is>
          <t>DOS 002/2026</t>
        </is>
      </c>
      <c r="E61" s="9" t="inlineStr">
        <is>
          <t>DEB MTA 000730/2026</t>
        </is>
      </c>
      <c r="F61" s="9" t="inlineStr">
        <is>
          <t>44557</t>
        </is>
      </c>
      <c r="G61" s="9" t="inlineStr">
        <is>
          <t>TVA RECUPERABLES</t>
        </is>
      </c>
      <c r="H61" s="9" t="inlineStr"/>
      <c r="I61" s="9" t="inlineStr"/>
      <c r="J61" s="10" t="n">
        <v>950</v>
      </c>
      <c r="K61" s="10" t="n"/>
    </row>
    <row r="62">
      <c r="A62" s="9" t="inlineStr">
        <is>
          <t>05001</t>
        </is>
      </c>
      <c r="B62" s="9" t="inlineStr">
        <is>
          <t>000002</t>
        </is>
      </c>
      <c r="C62" s="9" t="inlineStr">
        <is>
          <t>09/04/2026</t>
        </is>
      </c>
      <c r="D62" s="9" t="inlineStr">
        <is>
          <t>DOS 002/2026</t>
        </is>
      </c>
      <c r="E62" s="9" t="inlineStr">
        <is>
          <t>DEB MTA 000730/2026</t>
        </is>
      </c>
      <c r="F62" s="9" t="inlineStr">
        <is>
          <t>40100</t>
        </is>
      </c>
      <c r="G62" s="9" t="inlineStr">
        <is>
          <t>Fournisseurs de stocks et serv</t>
        </is>
      </c>
      <c r="H62" s="9" t="inlineStr">
        <is>
          <t>FL078</t>
        </is>
      </c>
      <c r="I62" s="9" t="inlineStr">
        <is>
          <t>TRANSIT HAMMACHE DJAMEL</t>
        </is>
      </c>
      <c r="J62" s="10" t="n"/>
      <c r="K62" s="10" t="n">
        <v>5950</v>
      </c>
    </row>
    <row r="63">
      <c r="A63" s="9" t="inlineStr">
        <is>
          <t>05001</t>
        </is>
      </c>
      <c r="B63" s="9" t="inlineStr">
        <is>
          <t>000002</t>
        </is>
      </c>
      <c r="C63" s="9" t="inlineStr">
        <is>
          <t>09/04/2026</t>
        </is>
      </c>
      <c r="D63" s="9" t="inlineStr">
        <is>
          <t>DOS 002/2026</t>
        </is>
      </c>
      <c r="E63" s="9" t="inlineStr">
        <is>
          <t>DEB mobilisation agent / visit</t>
        </is>
      </c>
      <c r="F63" s="9" t="inlineStr">
        <is>
          <t>38002</t>
        </is>
      </c>
      <c r="G63" s="9" t="inlineStr">
        <is>
          <t>ACHATS IMPORTATION</t>
        </is>
      </c>
      <c r="H63" s="9" t="inlineStr"/>
      <c r="I63" s="9" t="inlineStr"/>
      <c r="J63" s="10" t="n">
        <v>20000</v>
      </c>
      <c r="K63" s="10" t="n"/>
    </row>
    <row r="64">
      <c r="A64" s="9" t="inlineStr">
        <is>
          <t>05001</t>
        </is>
      </c>
      <c r="B64" s="9" t="inlineStr">
        <is>
          <t>000002</t>
        </is>
      </c>
      <c r="C64" s="9" t="inlineStr">
        <is>
          <t>09/04/2026</t>
        </is>
      </c>
      <c r="D64" s="9" t="inlineStr">
        <is>
          <t>DOS 002/2026</t>
        </is>
      </c>
      <c r="E64" s="9" t="inlineStr">
        <is>
          <t>DEB mobilisation agent / visit</t>
        </is>
      </c>
      <c r="F64" s="9" t="inlineStr">
        <is>
          <t>40100</t>
        </is>
      </c>
      <c r="G64" s="9" t="inlineStr">
        <is>
          <t>Fournisseurs de stocks et serv</t>
        </is>
      </c>
      <c r="H64" s="9" t="inlineStr">
        <is>
          <t>FL078</t>
        </is>
      </c>
      <c r="I64" s="9" t="inlineStr">
        <is>
          <t>TRANSIT HAMMACHE DJAMEL</t>
        </is>
      </c>
      <c r="J64" s="10" t="n"/>
      <c r="K64" s="10" t="n">
        <v>20000</v>
      </c>
    </row>
    <row r="65">
      <c r="A65" s="9" t="inlineStr">
        <is>
          <t>05001</t>
        </is>
      </c>
      <c r="B65" s="9" t="inlineStr">
        <is>
          <t>000002</t>
        </is>
      </c>
      <c r="C65" s="9" t="inlineStr">
        <is>
          <t>09/04/2026</t>
        </is>
      </c>
      <c r="D65" s="9" t="inlineStr">
        <is>
          <t>DOS 002/2026</t>
        </is>
      </c>
      <c r="E65" s="9" t="inlineStr">
        <is>
          <t>EPB 20279 NON REFACT</t>
        </is>
      </c>
      <c r="F65" s="9" t="inlineStr">
        <is>
          <t>38002</t>
        </is>
      </c>
      <c r="G65" s="9" t="inlineStr">
        <is>
          <t>ACHATS IMPORTATION</t>
        </is>
      </c>
      <c r="H65" s="9" t="inlineStr"/>
      <c r="I65" s="9" t="inlineStr"/>
      <c r="J65" s="10" t="n">
        <v>6000</v>
      </c>
      <c r="K65" s="10" t="n"/>
    </row>
    <row r="66">
      <c r="A66" s="9" t="inlineStr">
        <is>
          <t>05001</t>
        </is>
      </c>
      <c r="B66" s="9" t="inlineStr">
        <is>
          <t>000002</t>
        </is>
      </c>
      <c r="C66" s="9" t="inlineStr">
        <is>
          <t>09/04/2026</t>
        </is>
      </c>
      <c r="D66" s="9" t="inlineStr">
        <is>
          <t>DOS 002/2026</t>
        </is>
      </c>
      <c r="E66" s="9" t="inlineStr">
        <is>
          <t>EPB 20279 NON REFACT</t>
        </is>
      </c>
      <c r="F66" s="9" t="inlineStr">
        <is>
          <t>44557</t>
        </is>
      </c>
      <c r="G66" s="9" t="inlineStr">
        <is>
          <t>TVA RECUPERABLES</t>
        </is>
      </c>
      <c r="H66" s="9" t="inlineStr"/>
      <c r="I66" s="9" t="inlineStr"/>
      <c r="J66" s="10" t="n">
        <v>1140</v>
      </c>
      <c r="K66" s="10" t="n"/>
    </row>
    <row r="67">
      <c r="A67" s="9" t="inlineStr">
        <is>
          <t>05001</t>
        </is>
      </c>
      <c r="B67" s="9" t="inlineStr">
        <is>
          <t>000002</t>
        </is>
      </c>
      <c r="C67" s="9" t="inlineStr">
        <is>
          <t>09/04/2026</t>
        </is>
      </c>
      <c r="D67" s="9" t="inlineStr">
        <is>
          <t>DOS 002/2026</t>
        </is>
      </c>
      <c r="E67" s="9" t="inlineStr">
        <is>
          <t>EPB 20279 NON REFACT</t>
        </is>
      </c>
      <c r="F67" s="9" t="inlineStr">
        <is>
          <t>40800</t>
        </is>
      </c>
      <c r="G67" s="9" t="inlineStr">
        <is>
          <t>FOURNIS FACTURES NON PARVENUES</t>
        </is>
      </c>
      <c r="H67" s="9" t="inlineStr"/>
      <c r="I67" s="9" t="inlineStr"/>
      <c r="J67" s="10" t="n"/>
      <c r="K67" s="10" t="n">
        <v>7140</v>
      </c>
    </row>
    <row r="68">
      <c r="A68" s="9" t="inlineStr">
        <is>
          <t>05001</t>
        </is>
      </c>
      <c r="B68" s="9" t="inlineStr">
        <is>
          <t>000002</t>
        </is>
      </c>
      <c r="C68" s="9" t="inlineStr">
        <is>
          <t>09/04/2026</t>
        </is>
      </c>
      <c r="D68" s="9" t="inlineStr">
        <is>
          <t>DOS 002/2026</t>
        </is>
      </c>
      <c r="E68" s="9" t="inlineStr">
        <is>
          <t>DOUANE N°06727I TEL</t>
        </is>
      </c>
      <c r="F68" s="9" t="inlineStr">
        <is>
          <t>38002</t>
        </is>
      </c>
      <c r="G68" s="9" t="inlineStr">
        <is>
          <t>ACHATS IMPORTATION</t>
        </is>
      </c>
      <c r="H68" s="9" t="inlineStr"/>
      <c r="I68" s="9" t="inlineStr"/>
      <c r="J68" s="10" t="n">
        <v>2000</v>
      </c>
      <c r="K68" s="10" t="n"/>
    </row>
    <row r="69">
      <c r="A69" s="9" t="inlineStr">
        <is>
          <t>05001</t>
        </is>
      </c>
      <c r="B69" s="9" t="inlineStr">
        <is>
          <t>000002</t>
        </is>
      </c>
      <c r="C69" s="9" t="inlineStr">
        <is>
          <t>09/04/2026</t>
        </is>
      </c>
      <c r="D69" s="9" t="inlineStr">
        <is>
          <t>DOS 002/2026</t>
        </is>
      </c>
      <c r="E69" s="9" t="inlineStr">
        <is>
          <t>DOUANE N°06727I TEL</t>
        </is>
      </c>
      <c r="F69" s="9" t="inlineStr">
        <is>
          <t>40100</t>
        </is>
      </c>
      <c r="G69" s="9" t="inlineStr">
        <is>
          <t>Fournisseurs de stocks et serv</t>
        </is>
      </c>
      <c r="H69" s="9" t="inlineStr">
        <is>
          <t>FL009</t>
        </is>
      </c>
      <c r="I69" s="9" t="inlineStr">
        <is>
          <t>DOUANES BEJAIA</t>
        </is>
      </c>
      <c r="J69" s="10" t="n"/>
      <c r="K69" s="10" t="n">
        <v>2000</v>
      </c>
    </row>
    <row r="70">
      <c r="A70" s="9" t="inlineStr">
        <is>
          <t>10001</t>
        </is>
      </c>
      <c r="B70" s="9" t="inlineStr">
        <is>
          <t>000002</t>
        </is>
      </c>
      <c r="C70" s="9" t="inlineStr">
        <is>
          <t>09/04/2026</t>
        </is>
      </c>
      <c r="D70" s="9" t="inlineStr">
        <is>
          <t>DOS 002/2026</t>
        </is>
      </c>
      <c r="E70" s="9" t="inlineStr">
        <is>
          <t>ENTREE STOCK DOS 002/2026</t>
        </is>
      </c>
      <c r="F70" s="9" t="inlineStr">
        <is>
          <t>38002</t>
        </is>
      </c>
      <c r="G70" s="9" t="inlineStr">
        <is>
          <t>ACHATS IMPORTATION</t>
        </is>
      </c>
      <c r="H70" s="9" t="inlineStr"/>
      <c r="I70" s="9" t="inlineStr"/>
      <c r="J70" s="10" t="n"/>
      <c r="K70" s="10" t="n">
        <v>11721262.02</v>
      </c>
    </row>
    <row r="71">
      <c r="A71" s="9" t="inlineStr">
        <is>
          <t>10001</t>
        </is>
      </c>
      <c r="B71" s="9" t="inlineStr">
        <is>
          <t>000002</t>
        </is>
      </c>
      <c r="C71" s="9" t="inlineStr">
        <is>
          <t>09/04/2026</t>
        </is>
      </c>
      <c r="D71" s="9" t="inlineStr">
        <is>
          <t>DOS 002/2026</t>
        </is>
      </c>
      <c r="E71" s="9" t="inlineStr">
        <is>
          <t>ENTREE STOCK DOS 002/2026</t>
        </is>
      </c>
      <c r="F71" s="9" t="inlineStr">
        <is>
          <t>30002</t>
        </is>
      </c>
      <c r="G71" s="9" t="inlineStr">
        <is>
          <t>ST IMPORTATION</t>
        </is>
      </c>
      <c r="H71" s="9" t="inlineStr"/>
      <c r="I71" s="9" t="inlineStr"/>
      <c r="J71" s="10" t="n">
        <v>11721262.02</v>
      </c>
      <c r="K71" s="10" t="n"/>
    </row>
    <row r="72">
      <c r="A72" s="9" t="inlineStr">
        <is>
          <t>05001</t>
        </is>
      </c>
      <c r="B72" s="9" t="inlineStr">
        <is>
          <t>000003</t>
        </is>
      </c>
      <c r="C72" s="9" t="inlineStr">
        <is>
          <t>14/06/2026</t>
        </is>
      </c>
      <c r="D72" s="9" t="inlineStr">
        <is>
          <t>DOS 003/2026</t>
        </is>
      </c>
      <c r="E72" s="9" t="inlineStr">
        <is>
          <t>MS MOTORSERVICE 2330421560 125</t>
        </is>
      </c>
      <c r="F72" s="9" t="inlineStr">
        <is>
          <t>38002</t>
        </is>
      </c>
      <c r="G72" s="9" t="inlineStr">
        <is>
          <t>ACHATS IMPORTATION</t>
        </is>
      </c>
      <c r="H72" s="9" t="inlineStr"/>
      <c r="I72" s="9" t="inlineStr"/>
      <c r="J72" s="10" t="n">
        <v>19502834</v>
      </c>
      <c r="K72" s="10" t="n"/>
    </row>
    <row r="73">
      <c r="A73" s="9" t="inlineStr">
        <is>
          <t>05001</t>
        </is>
      </c>
      <c r="B73" s="9" t="inlineStr">
        <is>
          <t>000003</t>
        </is>
      </c>
      <c r="C73" s="9" t="inlineStr">
        <is>
          <t>14/06/2026</t>
        </is>
      </c>
      <c r="D73" s="9" t="inlineStr">
        <is>
          <t>DOS 003/2026</t>
        </is>
      </c>
      <c r="E73" s="9" t="inlineStr">
        <is>
          <t>MS MOTORSERVICE 2330421560 125</t>
        </is>
      </c>
      <c r="F73" s="9" t="inlineStr">
        <is>
          <t>40102</t>
        </is>
      </c>
      <c r="G73" s="9" t="inlineStr">
        <is>
          <t>FOURNSSEURS ETRANGERS</t>
        </is>
      </c>
      <c r="H73" s="9" t="inlineStr">
        <is>
          <t>FE022</t>
        </is>
      </c>
      <c r="I73" s="9" t="inlineStr">
        <is>
          <t>MS MOTORSERVICE</t>
        </is>
      </c>
      <c r="J73" s="10" t="n"/>
      <c r="K73" s="10" t="n">
        <v>19502834</v>
      </c>
    </row>
    <row r="74">
      <c r="A74" s="9" t="inlineStr">
        <is>
          <t>05001</t>
        </is>
      </c>
      <c r="B74" s="9" t="inlineStr">
        <is>
          <t>000003</t>
        </is>
      </c>
      <c r="C74" s="9" t="inlineStr">
        <is>
          <t>14/06/2026</t>
        </is>
      </c>
      <c r="D74" s="9" t="inlineStr">
        <is>
          <t>DOS 003/2026</t>
        </is>
      </c>
      <c r="E74" s="9" t="inlineStr">
        <is>
          <t>DOUANE N°13883I DD CS RPS</t>
        </is>
      </c>
      <c r="F74" s="9" t="inlineStr">
        <is>
          <t>38002</t>
        </is>
      </c>
      <c r="G74" s="9" t="inlineStr">
        <is>
          <t>ACHATS IMPORTATION</t>
        </is>
      </c>
      <c r="H74" s="9" t="inlineStr"/>
      <c r="I74" s="9" t="inlineStr"/>
      <c r="J74" s="10" t="n">
        <v>1133935</v>
      </c>
      <c r="K74" s="10" t="n"/>
    </row>
    <row r="75">
      <c r="A75" s="9" t="inlineStr">
        <is>
          <t>05001</t>
        </is>
      </c>
      <c r="B75" s="9" t="inlineStr">
        <is>
          <t>000003</t>
        </is>
      </c>
      <c r="C75" s="9" t="inlineStr">
        <is>
          <t>14/06/2026</t>
        </is>
      </c>
      <c r="D75" s="9" t="inlineStr">
        <is>
          <t>DOS 003/2026</t>
        </is>
      </c>
      <c r="E75" s="9" t="inlineStr">
        <is>
          <t>DOUANE N°13883I TVA</t>
        </is>
      </c>
      <c r="F75" s="9" t="inlineStr">
        <is>
          <t>44557</t>
        </is>
      </c>
      <c r="G75" s="9" t="inlineStr">
        <is>
          <t>TVA RECUPERABLES</t>
        </is>
      </c>
      <c r="H75" s="9" t="inlineStr"/>
      <c r="I75" s="9" t="inlineStr"/>
      <c r="J75" s="10" t="n">
        <v>3919465</v>
      </c>
      <c r="K75" s="10" t="n"/>
    </row>
    <row r="76">
      <c r="A76" s="9" t="inlineStr">
        <is>
          <t>05001</t>
        </is>
      </c>
      <c r="B76" s="9" t="inlineStr">
        <is>
          <t>000003</t>
        </is>
      </c>
      <c r="C76" s="9" t="inlineStr">
        <is>
          <t>14/06/2026</t>
        </is>
      </c>
      <c r="D76" s="9" t="inlineStr">
        <is>
          <t>DOS 003/2026</t>
        </is>
      </c>
      <c r="E76" s="9" t="inlineStr">
        <is>
          <t>DOUANE N°13883I PRCT</t>
        </is>
      </c>
      <c r="F76" s="9" t="inlineStr">
        <is>
          <t>44410</t>
        </is>
      </c>
      <c r="G76" s="9" t="inlineStr">
        <is>
          <t>AVANCES ET ACOMPTES SUR IBS</t>
        </is>
      </c>
      <c r="H76" s="9" t="inlineStr"/>
      <c r="I76" s="9" t="inlineStr"/>
      <c r="J76" s="10" t="n">
        <v>490964</v>
      </c>
      <c r="K76" s="10" t="n"/>
    </row>
    <row r="77">
      <c r="A77" s="9" t="inlineStr">
        <is>
          <t>05001</t>
        </is>
      </c>
      <c r="B77" s="9" t="inlineStr">
        <is>
          <t>000003</t>
        </is>
      </c>
      <c r="C77" s="9" t="inlineStr">
        <is>
          <t>14/06/2026</t>
        </is>
      </c>
      <c r="D77" s="9" t="inlineStr">
        <is>
          <t>DOS 003/2026</t>
        </is>
      </c>
      <c r="E77" s="9" t="inlineStr">
        <is>
          <t>DOUANE N°13883I</t>
        </is>
      </c>
      <c r="F77" s="9" t="inlineStr">
        <is>
          <t>40100</t>
        </is>
      </c>
      <c r="G77" s="9" t="inlineStr">
        <is>
          <t>Fournisseurs de stocks et serv</t>
        </is>
      </c>
      <c r="H77" s="9" t="inlineStr">
        <is>
          <t>FL009</t>
        </is>
      </c>
      <c r="I77" s="9" t="inlineStr">
        <is>
          <t>DOUANES BEJAIA</t>
        </is>
      </c>
      <c r="J77" s="10" t="n"/>
      <c r="K77" s="10" t="n">
        <v>5544364</v>
      </c>
    </row>
    <row r="78">
      <c r="A78" s="9" t="inlineStr">
        <is>
          <t>05001</t>
        </is>
      </c>
      <c r="B78" s="9" t="inlineStr">
        <is>
          <t>000003</t>
        </is>
      </c>
      <c r="C78" s="9" t="inlineStr">
        <is>
          <t>14/06/2026</t>
        </is>
      </c>
      <c r="D78" s="9" t="inlineStr">
        <is>
          <t>DOS 003/2026</t>
        </is>
      </c>
      <c r="E78" s="9" t="inlineStr">
        <is>
          <t>TRANSIT 402BIS</t>
        </is>
      </c>
      <c r="F78" s="9" t="inlineStr">
        <is>
          <t>38002</t>
        </is>
      </c>
      <c r="G78" s="9" t="inlineStr">
        <is>
          <t>ACHATS IMPORTATION</t>
        </is>
      </c>
      <c r="H78" s="9" t="inlineStr"/>
      <c r="I78" s="9" t="inlineStr"/>
      <c r="J78" s="10" t="n">
        <v>52000</v>
      </c>
      <c r="K78" s="10" t="n"/>
    </row>
    <row r="79">
      <c r="A79" s="9" t="inlineStr">
        <is>
          <t>05001</t>
        </is>
      </c>
      <c r="B79" s="9" t="inlineStr">
        <is>
          <t>000003</t>
        </is>
      </c>
      <c r="C79" s="9" t="inlineStr">
        <is>
          <t>14/06/2026</t>
        </is>
      </c>
      <c r="D79" s="9" t="inlineStr">
        <is>
          <t>DOS 003/2026</t>
        </is>
      </c>
      <c r="E79" s="9" t="inlineStr">
        <is>
          <t>TRANSIT 402BIS</t>
        </is>
      </c>
      <c r="F79" s="9" t="inlineStr">
        <is>
          <t>40100</t>
        </is>
      </c>
      <c r="G79" s="9" t="inlineStr">
        <is>
          <t>Fournisseurs de stocks et serv</t>
        </is>
      </c>
      <c r="H79" s="9" t="inlineStr">
        <is>
          <t>FL078</t>
        </is>
      </c>
      <c r="I79" s="9" t="inlineStr">
        <is>
          <t>TRANSIT HAMMACHE DJAMEL</t>
        </is>
      </c>
      <c r="J79" s="10" t="n"/>
      <c r="K79" s="10" t="n">
        <v>52000</v>
      </c>
    </row>
    <row r="80">
      <c r="A80" s="9" t="inlineStr">
        <is>
          <t>05001</t>
        </is>
      </c>
      <c r="B80" s="9" t="inlineStr">
        <is>
          <t>000003</t>
        </is>
      </c>
      <c r="C80" s="9" t="inlineStr">
        <is>
          <t>14/06/2026</t>
        </is>
      </c>
      <c r="D80" s="9" t="inlineStr">
        <is>
          <t>DOS 003/2026</t>
        </is>
      </c>
      <c r="E80" s="9" t="inlineStr">
        <is>
          <t>CMA DZIM1984785</t>
        </is>
      </c>
      <c r="F80" s="9" t="inlineStr">
        <is>
          <t>38002</t>
        </is>
      </c>
      <c r="G80" s="9" t="inlineStr">
        <is>
          <t>ACHATS IMPORTATION</t>
        </is>
      </c>
      <c r="H80" s="9" t="inlineStr"/>
      <c r="I80" s="9" t="inlineStr"/>
      <c r="J80" s="10" t="n">
        <v>35332.01</v>
      </c>
      <c r="K80" s="10" t="n"/>
    </row>
    <row r="81">
      <c r="A81" s="9" t="inlineStr">
        <is>
          <t>05001</t>
        </is>
      </c>
      <c r="B81" s="9" t="inlineStr">
        <is>
          <t>000003</t>
        </is>
      </c>
      <c r="C81" s="9" t="inlineStr">
        <is>
          <t>14/06/2026</t>
        </is>
      </c>
      <c r="D81" s="9" t="inlineStr">
        <is>
          <t>DOS 003/2026</t>
        </is>
      </c>
      <c r="E81" s="9" t="inlineStr">
        <is>
          <t>CMA DZIM1984785</t>
        </is>
      </c>
      <c r="F81" s="9" t="inlineStr">
        <is>
          <t>44557</t>
        </is>
      </c>
      <c r="G81" s="9" t="inlineStr">
        <is>
          <t>TVA RECUPERABLES</t>
        </is>
      </c>
      <c r="H81" s="9" t="inlineStr"/>
      <c r="I81" s="9" t="inlineStr"/>
      <c r="J81" s="10" t="n">
        <v>6523.08</v>
      </c>
      <c r="K81" s="10" t="n"/>
    </row>
    <row r="82">
      <c r="A82" s="9" t="inlineStr">
        <is>
          <t>05001</t>
        </is>
      </c>
      <c r="B82" s="9" t="inlineStr">
        <is>
          <t>000003</t>
        </is>
      </c>
      <c r="C82" s="9" t="inlineStr">
        <is>
          <t>14/06/2026</t>
        </is>
      </c>
      <c r="D82" s="9" t="inlineStr">
        <is>
          <t>DOS 003/2026</t>
        </is>
      </c>
      <c r="E82" s="9" t="inlineStr">
        <is>
          <t>CMA DZIM1984785</t>
        </is>
      </c>
      <c r="F82" s="9" t="inlineStr">
        <is>
          <t>40100</t>
        </is>
      </c>
      <c r="G82" s="9" t="inlineStr">
        <is>
          <t>Fournisseurs de stocks et serv</t>
        </is>
      </c>
      <c r="H82" s="9" t="inlineStr">
        <is>
          <t>FL004</t>
        </is>
      </c>
      <c r="I82" s="9" t="inlineStr">
        <is>
          <t>CMA CGM</t>
        </is>
      </c>
      <c r="J82" s="10" t="n"/>
      <c r="K82" s="10" t="n">
        <v>41855.09</v>
      </c>
    </row>
    <row r="83">
      <c r="A83" s="9" t="inlineStr">
        <is>
          <t>05001</t>
        </is>
      </c>
      <c r="B83" s="9" t="inlineStr">
        <is>
          <t>000003</t>
        </is>
      </c>
      <c r="C83" s="9" t="inlineStr">
        <is>
          <t>14/06/2026</t>
        </is>
      </c>
      <c r="D83" s="9" t="inlineStr">
        <is>
          <t>DOS 003/2026</t>
        </is>
      </c>
      <c r="E83" s="9" t="inlineStr">
        <is>
          <t>DEB EPB 39531</t>
        </is>
      </c>
      <c r="F83" s="9" t="inlineStr">
        <is>
          <t>38002</t>
        </is>
      </c>
      <c r="G83" s="9" t="inlineStr">
        <is>
          <t>ACHATS IMPORTATION</t>
        </is>
      </c>
      <c r="H83" s="9" t="inlineStr"/>
      <c r="I83" s="9" t="inlineStr"/>
      <c r="J83" s="10" t="n">
        <v>6000</v>
      </c>
      <c r="K83" s="10" t="n"/>
    </row>
    <row r="84">
      <c r="A84" s="9" t="inlineStr">
        <is>
          <t>05001</t>
        </is>
      </c>
      <c r="B84" s="9" t="inlineStr">
        <is>
          <t>000003</t>
        </is>
      </c>
      <c r="C84" s="9" t="inlineStr">
        <is>
          <t>14/06/2026</t>
        </is>
      </c>
      <c r="D84" s="9" t="inlineStr">
        <is>
          <t>DOS 003/2026</t>
        </is>
      </c>
      <c r="E84" s="9" t="inlineStr">
        <is>
          <t>DEB EPB 39531</t>
        </is>
      </c>
      <c r="F84" s="9" t="inlineStr">
        <is>
          <t>44557</t>
        </is>
      </c>
      <c r="G84" s="9" t="inlineStr">
        <is>
          <t>TVA RECUPERABLES</t>
        </is>
      </c>
      <c r="H84" s="9" t="inlineStr"/>
      <c r="I84" s="9" t="inlineStr"/>
      <c r="J84" s="10" t="n">
        <v>1140</v>
      </c>
      <c r="K84" s="10" t="n"/>
    </row>
    <row r="85">
      <c r="A85" s="9" t="inlineStr">
        <is>
          <t>05001</t>
        </is>
      </c>
      <c r="B85" s="9" t="inlineStr">
        <is>
          <t>000003</t>
        </is>
      </c>
      <c r="C85" s="9" t="inlineStr">
        <is>
          <t>14/06/2026</t>
        </is>
      </c>
      <c r="D85" s="9" t="inlineStr">
        <is>
          <t>DOS 003/2026</t>
        </is>
      </c>
      <c r="E85" s="9" t="inlineStr">
        <is>
          <t>DEB EPB 39531</t>
        </is>
      </c>
      <c r="F85" s="9" t="inlineStr">
        <is>
          <t>40100</t>
        </is>
      </c>
      <c r="G85" s="9" t="inlineStr">
        <is>
          <t>Fournisseurs de stocks et serv</t>
        </is>
      </c>
      <c r="H85" s="9" t="inlineStr">
        <is>
          <t>FL078</t>
        </is>
      </c>
      <c r="I85" s="9" t="inlineStr">
        <is>
          <t>TRANSIT HAMMACHE DJAMEL</t>
        </is>
      </c>
      <c r="J85" s="10" t="n"/>
      <c r="K85" s="10" t="n">
        <v>7140</v>
      </c>
    </row>
    <row r="86">
      <c r="A86" s="9" t="inlineStr">
        <is>
          <t>05001</t>
        </is>
      </c>
      <c r="B86" s="9" t="inlineStr">
        <is>
          <t>000003</t>
        </is>
      </c>
      <c r="C86" s="9" t="inlineStr">
        <is>
          <t>14/06/2026</t>
        </is>
      </c>
      <c r="D86" s="9" t="inlineStr">
        <is>
          <t>DOS 003/2026</t>
        </is>
      </c>
      <c r="E86" s="9" t="inlineStr">
        <is>
          <t>DEB EPB 39402</t>
        </is>
      </c>
      <c r="F86" s="9" t="inlineStr">
        <is>
          <t>38002</t>
        </is>
      </c>
      <c r="G86" s="9" t="inlineStr">
        <is>
          <t>ACHATS IMPORTATION</t>
        </is>
      </c>
      <c r="H86" s="9" t="inlineStr"/>
      <c r="I86" s="9" t="inlineStr"/>
      <c r="J86" s="10" t="n">
        <v>150</v>
      </c>
      <c r="K86" s="10" t="n"/>
    </row>
    <row r="87">
      <c r="A87" s="9" t="inlineStr">
        <is>
          <t>05001</t>
        </is>
      </c>
      <c r="B87" s="9" t="inlineStr">
        <is>
          <t>000003</t>
        </is>
      </c>
      <c r="C87" s="9" t="inlineStr">
        <is>
          <t>14/06/2026</t>
        </is>
      </c>
      <c r="D87" s="9" t="inlineStr">
        <is>
          <t>DOS 003/2026</t>
        </is>
      </c>
      <c r="E87" s="9" t="inlineStr">
        <is>
          <t>DEB EPB 39402</t>
        </is>
      </c>
      <c r="F87" s="9" t="inlineStr">
        <is>
          <t>44557</t>
        </is>
      </c>
      <c r="G87" s="9" t="inlineStr">
        <is>
          <t>TVA RECUPERABLES</t>
        </is>
      </c>
      <c r="H87" s="9" t="inlineStr"/>
      <c r="I87" s="9" t="inlineStr"/>
      <c r="J87" s="10" t="n">
        <v>28.5</v>
      </c>
      <c r="K87" s="10" t="n"/>
    </row>
    <row r="88">
      <c r="A88" s="9" t="inlineStr">
        <is>
          <t>05001</t>
        </is>
      </c>
      <c r="B88" s="9" t="inlineStr">
        <is>
          <t>000003</t>
        </is>
      </c>
      <c r="C88" s="9" t="inlineStr">
        <is>
          <t>14/06/2026</t>
        </is>
      </c>
      <c r="D88" s="9" t="inlineStr">
        <is>
          <t>DOS 003/2026</t>
        </is>
      </c>
      <c r="E88" s="9" t="inlineStr">
        <is>
          <t>DEB EPB 39402</t>
        </is>
      </c>
      <c r="F88" s="9" t="inlineStr">
        <is>
          <t>40100</t>
        </is>
      </c>
      <c r="G88" s="9" t="inlineStr">
        <is>
          <t>Fournisseurs de stocks et serv</t>
        </is>
      </c>
      <c r="H88" s="9" t="inlineStr">
        <is>
          <t>FL078</t>
        </is>
      </c>
      <c r="I88" s="9" t="inlineStr">
        <is>
          <t>TRANSIT HAMMACHE DJAMEL</t>
        </is>
      </c>
      <c r="J88" s="10" t="n"/>
      <c r="K88" s="10" t="n">
        <v>178.5</v>
      </c>
    </row>
    <row r="89">
      <c r="A89" s="9" t="inlineStr">
        <is>
          <t>05001</t>
        </is>
      </c>
      <c r="B89" s="9" t="inlineStr">
        <is>
          <t>000003</t>
        </is>
      </c>
      <c r="C89" s="9" t="inlineStr">
        <is>
          <t>14/06/2026</t>
        </is>
      </c>
      <c r="D89" s="9" t="inlineStr">
        <is>
          <t>DOS 003/2026</t>
        </is>
      </c>
      <c r="E89" s="9" t="inlineStr">
        <is>
          <t>DEB EPB 40684</t>
        </is>
      </c>
      <c r="F89" s="9" t="inlineStr">
        <is>
          <t>38002</t>
        </is>
      </c>
      <c r="G89" s="9" t="inlineStr">
        <is>
          <t>ACHATS IMPORTATION</t>
        </is>
      </c>
      <c r="H89" s="9" t="inlineStr"/>
      <c r="I89" s="9" t="inlineStr"/>
      <c r="J89" s="10" t="n">
        <v>214.5</v>
      </c>
      <c r="K89" s="10" t="n"/>
    </row>
    <row r="90">
      <c r="A90" s="9" t="inlineStr">
        <is>
          <t>05001</t>
        </is>
      </c>
      <c r="B90" s="9" t="inlineStr">
        <is>
          <t>000003</t>
        </is>
      </c>
      <c r="C90" s="9" t="inlineStr">
        <is>
          <t>14/06/2026</t>
        </is>
      </c>
      <c r="D90" s="9" t="inlineStr">
        <is>
          <t>DOS 003/2026</t>
        </is>
      </c>
      <c r="E90" s="9" t="inlineStr">
        <is>
          <t>DEB EPB 40684</t>
        </is>
      </c>
      <c r="F90" s="9" t="inlineStr">
        <is>
          <t>44557</t>
        </is>
      </c>
      <c r="G90" s="9" t="inlineStr">
        <is>
          <t>TVA RECUPERABLES</t>
        </is>
      </c>
      <c r="H90" s="9" t="inlineStr"/>
      <c r="I90" s="9" t="inlineStr"/>
      <c r="J90" s="10" t="n">
        <v>40.76</v>
      </c>
      <c r="K90" s="10" t="n"/>
    </row>
    <row r="91">
      <c r="A91" s="9" t="inlineStr">
        <is>
          <t>05001</t>
        </is>
      </c>
      <c r="B91" s="9" t="inlineStr">
        <is>
          <t>000003</t>
        </is>
      </c>
      <c r="C91" s="9" t="inlineStr">
        <is>
          <t>14/06/2026</t>
        </is>
      </c>
      <c r="D91" s="9" t="inlineStr">
        <is>
          <t>DOS 003/2026</t>
        </is>
      </c>
      <c r="E91" s="9" t="inlineStr">
        <is>
          <t>DEB EPB 40684</t>
        </is>
      </c>
      <c r="F91" s="9" t="inlineStr">
        <is>
          <t>40100</t>
        </is>
      </c>
      <c r="G91" s="9" t="inlineStr">
        <is>
          <t>Fournisseurs de stocks et serv</t>
        </is>
      </c>
      <c r="H91" s="9" t="inlineStr">
        <is>
          <t>FL078</t>
        </is>
      </c>
      <c r="I91" s="9" t="inlineStr">
        <is>
          <t>TRANSIT HAMMACHE DJAMEL</t>
        </is>
      </c>
      <c r="J91" s="10" t="n"/>
      <c r="K91" s="10" t="n">
        <v>255.26</v>
      </c>
    </row>
    <row r="92">
      <c r="A92" s="9" t="inlineStr">
        <is>
          <t>05001</t>
        </is>
      </c>
      <c r="B92" s="9" t="inlineStr">
        <is>
          <t>000003</t>
        </is>
      </c>
      <c r="C92" s="9" t="inlineStr">
        <is>
          <t>14/06/2026</t>
        </is>
      </c>
      <c r="D92" s="9" t="inlineStr">
        <is>
          <t>DOS 003/2026</t>
        </is>
      </c>
      <c r="E92" s="9" t="inlineStr">
        <is>
          <t>DEB BMT 15557/26</t>
        </is>
      </c>
      <c r="F92" s="9" t="inlineStr">
        <is>
          <t>38002</t>
        </is>
      </c>
      <c r="G92" s="9" t="inlineStr">
        <is>
          <t>ACHATS IMPORTATION</t>
        </is>
      </c>
      <c r="H92" s="9" t="inlineStr"/>
      <c r="I92" s="9" t="inlineStr"/>
      <c r="J92" s="10" t="n">
        <v>24750</v>
      </c>
      <c r="K92" s="10" t="n"/>
    </row>
    <row r="93">
      <c r="A93" s="9" t="inlineStr">
        <is>
          <t>05001</t>
        </is>
      </c>
      <c r="B93" s="9" t="inlineStr">
        <is>
          <t>000003</t>
        </is>
      </c>
      <c r="C93" s="9" t="inlineStr">
        <is>
          <t>14/06/2026</t>
        </is>
      </c>
      <c r="D93" s="9" t="inlineStr">
        <is>
          <t>DOS 003/2026</t>
        </is>
      </c>
      <c r="E93" s="9" t="inlineStr">
        <is>
          <t>DEB BMT 15557/26</t>
        </is>
      </c>
      <c r="F93" s="9" t="inlineStr">
        <is>
          <t>44557</t>
        </is>
      </c>
      <c r="G93" s="9" t="inlineStr">
        <is>
          <t>TVA RECUPERABLES</t>
        </is>
      </c>
      <c r="H93" s="9" t="inlineStr"/>
      <c r="I93" s="9" t="inlineStr"/>
      <c r="J93" s="10" t="n">
        <v>4702.5</v>
      </c>
      <c r="K93" s="10" t="n"/>
    </row>
    <row r="94">
      <c r="A94" s="9" t="inlineStr">
        <is>
          <t>05001</t>
        </is>
      </c>
      <c r="B94" s="9" t="inlineStr">
        <is>
          <t>000003</t>
        </is>
      </c>
      <c r="C94" s="9" t="inlineStr">
        <is>
          <t>14/06/2026</t>
        </is>
      </c>
      <c r="D94" s="9" t="inlineStr">
        <is>
          <t>DOS 003/2026</t>
        </is>
      </c>
      <c r="E94" s="9" t="inlineStr">
        <is>
          <t>DEB BMT 15557/26</t>
        </is>
      </c>
      <c r="F94" s="9" t="inlineStr">
        <is>
          <t>40100</t>
        </is>
      </c>
      <c r="G94" s="9" t="inlineStr">
        <is>
          <t>Fournisseurs de stocks et serv</t>
        </is>
      </c>
      <c r="H94" s="9" t="inlineStr">
        <is>
          <t>FL078</t>
        </is>
      </c>
      <c r="I94" s="9" t="inlineStr">
        <is>
          <t>TRANSIT HAMMACHE DJAMEL</t>
        </is>
      </c>
      <c r="J94" s="10" t="n"/>
      <c r="K94" s="10" t="n">
        <v>29452.5</v>
      </c>
    </row>
    <row r="95">
      <c r="A95" s="9" t="inlineStr">
        <is>
          <t>05001</t>
        </is>
      </c>
      <c r="B95" s="9" t="inlineStr">
        <is>
          <t>000003</t>
        </is>
      </c>
      <c r="C95" s="9" t="inlineStr">
        <is>
          <t>14/06/2026</t>
        </is>
      </c>
      <c r="D95" s="9" t="inlineStr">
        <is>
          <t>DOS 003/2026</t>
        </is>
      </c>
      <c r="E95" s="9" t="inlineStr">
        <is>
          <t>DEB BMT 16444/26</t>
        </is>
      </c>
      <c r="F95" s="9" t="inlineStr">
        <is>
          <t>38002</t>
        </is>
      </c>
      <c r="G95" s="9" t="inlineStr">
        <is>
          <t>ACHATS IMPORTATION</t>
        </is>
      </c>
      <c r="H95" s="9" t="inlineStr"/>
      <c r="I95" s="9" t="inlineStr"/>
      <c r="J95" s="10" t="n">
        <v>9700</v>
      </c>
      <c r="K95" s="10" t="n"/>
    </row>
    <row r="96">
      <c r="A96" s="9" t="inlineStr">
        <is>
          <t>05001</t>
        </is>
      </c>
      <c r="B96" s="9" t="inlineStr">
        <is>
          <t>000003</t>
        </is>
      </c>
      <c r="C96" s="9" t="inlineStr">
        <is>
          <t>14/06/2026</t>
        </is>
      </c>
      <c r="D96" s="9" t="inlineStr">
        <is>
          <t>DOS 003/2026</t>
        </is>
      </c>
      <c r="E96" s="9" t="inlineStr">
        <is>
          <t>DEB BMT 16444/26</t>
        </is>
      </c>
      <c r="F96" s="9" t="inlineStr">
        <is>
          <t>44557</t>
        </is>
      </c>
      <c r="G96" s="9" t="inlineStr">
        <is>
          <t>TVA RECUPERABLES</t>
        </is>
      </c>
      <c r="H96" s="9" t="inlineStr"/>
      <c r="I96" s="9" t="inlineStr"/>
      <c r="J96" s="10" t="n">
        <v>1843</v>
      </c>
      <c r="K96" s="10" t="n"/>
    </row>
    <row r="97">
      <c r="A97" s="9" t="inlineStr">
        <is>
          <t>05001</t>
        </is>
      </c>
      <c r="B97" s="9" t="inlineStr">
        <is>
          <t>000003</t>
        </is>
      </c>
      <c r="C97" s="9" t="inlineStr">
        <is>
          <t>14/06/2026</t>
        </is>
      </c>
      <c r="D97" s="9" t="inlineStr">
        <is>
          <t>DOS 003/2026</t>
        </is>
      </c>
      <c r="E97" s="9" t="inlineStr">
        <is>
          <t>DEB BMT 16444/26</t>
        </is>
      </c>
      <c r="F97" s="9" t="inlineStr">
        <is>
          <t>40100</t>
        </is>
      </c>
      <c r="G97" s="9" t="inlineStr">
        <is>
          <t>Fournisseurs de stocks et serv</t>
        </is>
      </c>
      <c r="H97" s="9" t="inlineStr">
        <is>
          <t>FL078</t>
        </is>
      </c>
      <c r="I97" s="9" t="inlineStr">
        <is>
          <t>TRANSIT HAMMACHE DJAMEL</t>
        </is>
      </c>
      <c r="J97" s="10" t="n"/>
      <c r="K97" s="10" t="n">
        <v>11543</v>
      </c>
    </row>
    <row r="98">
      <c r="A98" s="9" t="inlineStr">
        <is>
          <t>05001</t>
        </is>
      </c>
      <c r="B98" s="9" t="inlineStr">
        <is>
          <t>000003</t>
        </is>
      </c>
      <c r="C98" s="9" t="inlineStr">
        <is>
          <t>14/06/2026</t>
        </is>
      </c>
      <c r="D98" s="9" t="inlineStr">
        <is>
          <t>DOS 003/2026</t>
        </is>
      </c>
      <c r="E98" s="9" t="inlineStr">
        <is>
          <t>DEB BMT 16158/26</t>
        </is>
      </c>
      <c r="F98" s="9" t="inlineStr">
        <is>
          <t>38002</t>
        </is>
      </c>
      <c r="G98" s="9" t="inlineStr">
        <is>
          <t>ACHATS IMPORTATION</t>
        </is>
      </c>
      <c r="H98" s="9" t="inlineStr"/>
      <c r="I98" s="9" t="inlineStr"/>
      <c r="J98" s="10" t="n">
        <v>26750</v>
      </c>
      <c r="K98" s="10" t="n"/>
    </row>
    <row r="99">
      <c r="A99" s="9" t="inlineStr">
        <is>
          <t>05001</t>
        </is>
      </c>
      <c r="B99" s="9" t="inlineStr">
        <is>
          <t>000003</t>
        </is>
      </c>
      <c r="C99" s="9" t="inlineStr">
        <is>
          <t>14/06/2026</t>
        </is>
      </c>
      <c r="D99" s="9" t="inlineStr">
        <is>
          <t>DOS 003/2026</t>
        </is>
      </c>
      <c r="E99" s="9" t="inlineStr">
        <is>
          <t>DEB BMT 16158/26</t>
        </is>
      </c>
      <c r="F99" s="9" t="inlineStr">
        <is>
          <t>44557</t>
        </is>
      </c>
      <c r="G99" s="9" t="inlineStr">
        <is>
          <t>TVA RECUPERABLES</t>
        </is>
      </c>
      <c r="H99" s="9" t="inlineStr"/>
      <c r="I99" s="9" t="inlineStr"/>
      <c r="J99" s="10" t="n">
        <v>5082.5</v>
      </c>
      <c r="K99" s="10" t="n"/>
    </row>
    <row r="100">
      <c r="A100" s="9" t="inlineStr">
        <is>
          <t>05001</t>
        </is>
      </c>
      <c r="B100" s="9" t="inlineStr">
        <is>
          <t>000003</t>
        </is>
      </c>
      <c r="C100" s="9" t="inlineStr">
        <is>
          <t>14/06/2026</t>
        </is>
      </c>
      <c r="D100" s="9" t="inlineStr">
        <is>
          <t>DOS 003/2026</t>
        </is>
      </c>
      <c r="E100" s="9" t="inlineStr">
        <is>
          <t>DEB BMT 16158/26</t>
        </is>
      </c>
      <c r="F100" s="9" t="inlineStr">
        <is>
          <t>40100</t>
        </is>
      </c>
      <c r="G100" s="9" t="inlineStr">
        <is>
          <t>Fournisseurs de stocks et serv</t>
        </is>
      </c>
      <c r="H100" s="9" t="inlineStr">
        <is>
          <t>FL078</t>
        </is>
      </c>
      <c r="I100" s="9" t="inlineStr">
        <is>
          <t>TRANSIT HAMMACHE DJAMEL</t>
        </is>
      </c>
      <c r="J100" s="10" t="n"/>
      <c r="K100" s="10" t="n">
        <v>31832.5</v>
      </c>
    </row>
    <row r="101">
      <c r="A101" s="9" t="inlineStr">
        <is>
          <t>05001</t>
        </is>
      </c>
      <c r="B101" s="9" t="inlineStr">
        <is>
          <t>000003</t>
        </is>
      </c>
      <c r="C101" s="9" t="inlineStr">
        <is>
          <t>14/06/2026</t>
        </is>
      </c>
      <c r="D101" s="9" t="inlineStr">
        <is>
          <t>DOS 003/2026</t>
        </is>
      </c>
      <c r="E101" s="9" t="inlineStr">
        <is>
          <t>DOUANE N°13883I TEL</t>
        </is>
      </c>
      <c r="F101" s="9" t="inlineStr">
        <is>
          <t>38002</t>
        </is>
      </c>
      <c r="G101" s="9" t="inlineStr">
        <is>
          <t>ACHATS IMPORTATION</t>
        </is>
      </c>
      <c r="H101" s="9" t="inlineStr"/>
      <c r="I101" s="9" t="inlineStr"/>
      <c r="J101" s="10" t="n">
        <v>2000</v>
      </c>
      <c r="K101" s="10" t="n"/>
    </row>
    <row r="102">
      <c r="A102" s="9" t="inlineStr">
        <is>
          <t>05001</t>
        </is>
      </c>
      <c r="B102" s="9" t="inlineStr">
        <is>
          <t>000003</t>
        </is>
      </c>
      <c r="C102" s="9" t="inlineStr">
        <is>
          <t>14/06/2026</t>
        </is>
      </c>
      <c r="D102" s="9" t="inlineStr">
        <is>
          <t>DOS 003/2026</t>
        </is>
      </c>
      <c r="E102" s="9" t="inlineStr">
        <is>
          <t>DOUANE N°13883I TEL</t>
        </is>
      </c>
      <c r="F102" s="9" t="inlineStr">
        <is>
          <t>40100</t>
        </is>
      </c>
      <c r="G102" s="9" t="inlineStr">
        <is>
          <t>Fournisseurs de stocks et serv</t>
        </is>
      </c>
      <c r="H102" s="9" t="inlineStr">
        <is>
          <t>FL009</t>
        </is>
      </c>
      <c r="I102" s="9" t="inlineStr">
        <is>
          <t>DOUANES BEJAIA</t>
        </is>
      </c>
      <c r="J102" s="10" t="n"/>
      <c r="K102" s="10" t="n">
        <v>2000</v>
      </c>
    </row>
    <row r="103">
      <c r="A103" s="9" t="inlineStr">
        <is>
          <t>05001</t>
        </is>
      </c>
      <c r="B103" s="9" t="inlineStr">
        <is>
          <t>000003</t>
        </is>
      </c>
      <c r="C103" s="9" t="inlineStr">
        <is>
          <t>14/06/2026</t>
        </is>
      </c>
      <c r="D103" s="9" t="inlineStr">
        <is>
          <t>DOS 003/2026</t>
        </is>
      </c>
      <c r="E103" s="9" t="inlineStr">
        <is>
          <t>AMENDE DOUANE (TRANSIT 402BIS)</t>
        </is>
      </c>
      <c r="F103" s="9" t="inlineStr">
        <is>
          <t>65600</t>
        </is>
      </c>
      <c r="G103" s="9" t="inlineStr">
        <is>
          <t>AMENDES ET PENALITES,SUBVENTIO</t>
        </is>
      </c>
      <c r="H103" s="9" t="inlineStr"/>
      <c r="I103" s="9" t="inlineStr"/>
      <c r="J103" s="10" t="n">
        <v>50000</v>
      </c>
      <c r="K103" s="10" t="n"/>
    </row>
    <row r="104">
      <c r="A104" s="9" t="inlineStr">
        <is>
          <t>05001</t>
        </is>
      </c>
      <c r="B104" s="9" t="inlineStr">
        <is>
          <t>000003</t>
        </is>
      </c>
      <c r="C104" s="9" t="inlineStr">
        <is>
          <t>14/06/2026</t>
        </is>
      </c>
      <c r="D104" s="9" t="inlineStr">
        <is>
          <t>DOS 003/2026</t>
        </is>
      </c>
      <c r="E104" s="9" t="inlineStr">
        <is>
          <t>AMENDE DOUANE (TRANSIT 402BIS)</t>
        </is>
      </c>
      <c r="F104" s="9" t="inlineStr">
        <is>
          <t>40100</t>
        </is>
      </c>
      <c r="G104" s="9" t="inlineStr">
        <is>
          <t>Fournisseurs de stocks et serv</t>
        </is>
      </c>
      <c r="H104" s="9" t="inlineStr">
        <is>
          <t>FL078</t>
        </is>
      </c>
      <c r="I104" s="9" t="inlineStr">
        <is>
          <t>TRANSIT HAMMACHE DJAMEL</t>
        </is>
      </c>
      <c r="J104" s="10" t="n"/>
      <c r="K104" s="10" t="n">
        <v>50000</v>
      </c>
    </row>
    <row r="105">
      <c r="A105" s="9" t="inlineStr">
        <is>
          <t>05001</t>
        </is>
      </c>
      <c r="B105" s="9" t="inlineStr">
        <is>
          <t>000003</t>
        </is>
      </c>
      <c r="C105" s="9" t="inlineStr">
        <is>
          <t>14/06/2026</t>
        </is>
      </c>
      <c r="D105" s="9" t="inlineStr">
        <is>
          <t>DOS 003/2026</t>
        </is>
      </c>
      <c r="E105" s="9" t="inlineStr">
        <is>
          <t>ECART FACT TRANSIT 402BIS</t>
        </is>
      </c>
      <c r="F105" s="9" t="inlineStr">
        <is>
          <t>40100</t>
        </is>
      </c>
      <c r="G105" s="9" t="inlineStr">
        <is>
          <t>Fournisseurs de stocks et serv</t>
        </is>
      </c>
      <c r="H105" s="9" t="inlineStr">
        <is>
          <t>FL078</t>
        </is>
      </c>
      <c r="I105" s="9" t="inlineStr">
        <is>
          <t>TRANSIT HAMMACHE DJAMEL</t>
        </is>
      </c>
      <c r="J105" s="10" t="n">
        <v>0.5</v>
      </c>
      <c r="K105" s="10" t="n"/>
    </row>
    <row r="106">
      <c r="A106" s="9" t="inlineStr">
        <is>
          <t>05001</t>
        </is>
      </c>
      <c r="B106" s="9" t="inlineStr">
        <is>
          <t>000003</t>
        </is>
      </c>
      <c r="C106" s="9" t="inlineStr">
        <is>
          <t>14/06/2026</t>
        </is>
      </c>
      <c r="D106" s="9" t="inlineStr">
        <is>
          <t>DOS 003/2026</t>
        </is>
      </c>
      <c r="E106" s="9" t="inlineStr">
        <is>
          <t>ECART FACT TRANSIT 402BIS</t>
        </is>
      </c>
      <c r="F106" s="9" t="inlineStr">
        <is>
          <t>38002</t>
        </is>
      </c>
      <c r="G106" s="9" t="inlineStr">
        <is>
          <t>ACHATS IMPORTATION</t>
        </is>
      </c>
      <c r="H106" s="9" t="inlineStr"/>
      <c r="I106" s="9" t="inlineStr"/>
      <c r="J106" s="10" t="n"/>
      <c r="K106" s="10" t="n">
        <v>0.5</v>
      </c>
    </row>
    <row r="107">
      <c r="A107" s="9" t="inlineStr">
        <is>
          <t>10001</t>
        </is>
      </c>
      <c r="B107" s="9" t="inlineStr">
        <is>
          <t>000003</t>
        </is>
      </c>
      <c r="C107" s="9" t="inlineStr">
        <is>
          <t>14/06/2026</t>
        </is>
      </c>
      <c r="D107" s="9" t="inlineStr">
        <is>
          <t>DOS 003/2026</t>
        </is>
      </c>
      <c r="E107" s="9" t="inlineStr">
        <is>
          <t>ENTREE STOCK DOS 003/2026</t>
        </is>
      </c>
      <c r="F107" s="9" t="inlineStr">
        <is>
          <t>38002</t>
        </is>
      </c>
      <c r="G107" s="9" t="inlineStr">
        <is>
          <t>ACHATS IMPORTATION</t>
        </is>
      </c>
      <c r="H107" s="9" t="inlineStr"/>
      <c r="I107" s="9" t="inlineStr"/>
      <c r="J107" s="10" t="n"/>
      <c r="K107" s="10" t="n">
        <v>20793665.01</v>
      </c>
    </row>
    <row r="108">
      <c r="A108" s="9" t="inlineStr">
        <is>
          <t>10001</t>
        </is>
      </c>
      <c r="B108" s="9" t="inlineStr">
        <is>
          <t>000003</t>
        </is>
      </c>
      <c r="C108" s="9" t="inlineStr">
        <is>
          <t>14/06/2026</t>
        </is>
      </c>
      <c r="D108" s="9" t="inlineStr">
        <is>
          <t>DOS 003/2026</t>
        </is>
      </c>
      <c r="E108" s="9" t="inlineStr">
        <is>
          <t>ENTREE STOCK DOS 003/2026</t>
        </is>
      </c>
      <c r="F108" s="9" t="inlineStr">
        <is>
          <t>30002</t>
        </is>
      </c>
      <c r="G108" s="9" t="inlineStr">
        <is>
          <t>ST IMPORTATION</t>
        </is>
      </c>
      <c r="H108" s="9" t="inlineStr"/>
      <c r="I108" s="9" t="inlineStr"/>
      <c r="J108" s="10" t="n">
        <v>20793665.01</v>
      </c>
      <c r="K108" s="10" t="n"/>
    </row>
    <row r="109">
      <c r="A109" s="9" t="inlineStr">
        <is>
          <t>05001</t>
        </is>
      </c>
      <c r="B109" s="9" t="inlineStr">
        <is>
          <t>000004</t>
        </is>
      </c>
      <c r="C109" s="9" t="inlineStr">
        <is>
          <t>21/06/2026</t>
        </is>
      </c>
      <c r="D109" s="9" t="inlineStr">
        <is>
          <t>DOS 004/2026</t>
        </is>
      </c>
      <c r="E109" s="9" t="inlineStr">
        <is>
          <t>BS MOTOR GTS2406321-C 54383.20</t>
        </is>
      </c>
      <c r="F109" s="9" t="inlineStr">
        <is>
          <t>38002</t>
        </is>
      </c>
      <c r="G109" s="9" t="inlineStr">
        <is>
          <t>ACHATS IMPORTATION</t>
        </is>
      </c>
      <c r="H109" s="9" t="inlineStr"/>
      <c r="I109" s="9" t="inlineStr"/>
      <c r="J109" s="10" t="n">
        <v>7229738</v>
      </c>
      <c r="K109" s="10" t="n"/>
    </row>
    <row r="110">
      <c r="A110" s="9" t="inlineStr">
        <is>
          <t>05001</t>
        </is>
      </c>
      <c r="B110" s="9" t="inlineStr">
        <is>
          <t>000004</t>
        </is>
      </c>
      <c r="C110" s="9" t="inlineStr">
        <is>
          <t>21/06/2026</t>
        </is>
      </c>
      <c r="D110" s="9" t="inlineStr">
        <is>
          <t>DOS 004/2026</t>
        </is>
      </c>
      <c r="E110" s="9" t="inlineStr">
        <is>
          <t>BS MOTOR GTS2406321-C 54383.20</t>
        </is>
      </c>
      <c r="F110" s="9" t="inlineStr">
        <is>
          <t>40102</t>
        </is>
      </c>
      <c r="G110" s="9" t="inlineStr">
        <is>
          <t>FOURNSSEURS ETRANGERS</t>
        </is>
      </c>
      <c r="H110" s="9" t="inlineStr">
        <is>
          <t>FE001</t>
        </is>
      </c>
      <c r="I110" s="9" t="inlineStr">
        <is>
          <t>BS MOTORS</t>
        </is>
      </c>
      <c r="J110" s="10" t="n"/>
      <c r="K110" s="10" t="n">
        <v>7229738</v>
      </c>
    </row>
    <row r="111">
      <c r="A111" s="9" t="inlineStr">
        <is>
          <t>05001</t>
        </is>
      </c>
      <c r="B111" s="9" t="inlineStr">
        <is>
          <t>000004</t>
        </is>
      </c>
      <c r="C111" s="9" t="inlineStr">
        <is>
          <t>21/06/2026</t>
        </is>
      </c>
      <c r="D111" s="9" t="inlineStr">
        <is>
          <t>DOS 004/2026</t>
        </is>
      </c>
      <c r="E111" s="9" t="inlineStr">
        <is>
          <t>DOUANE N°15629I DD CS RPS</t>
        </is>
      </c>
      <c r="F111" s="9" t="inlineStr">
        <is>
          <t>38002</t>
        </is>
      </c>
      <c r="G111" s="9" t="inlineStr">
        <is>
          <t>ACHATS IMPORTATION</t>
        </is>
      </c>
      <c r="H111" s="9" t="inlineStr"/>
      <c r="I111" s="9" t="inlineStr"/>
      <c r="J111" s="10" t="n">
        <v>1074448</v>
      </c>
      <c r="K111" s="10" t="n"/>
    </row>
    <row r="112">
      <c r="A112" s="9" t="inlineStr">
        <is>
          <t>05001</t>
        </is>
      </c>
      <c r="B112" s="9" t="inlineStr">
        <is>
          <t>000004</t>
        </is>
      </c>
      <c r="C112" s="9" t="inlineStr">
        <is>
          <t>21/06/2026</t>
        </is>
      </c>
      <c r="D112" s="9" t="inlineStr">
        <is>
          <t>DOS 004/2026</t>
        </is>
      </c>
      <c r="E112" s="9" t="inlineStr">
        <is>
          <t>DOUANE N°15629I TVA</t>
        </is>
      </c>
      <c r="F112" s="9" t="inlineStr">
        <is>
          <t>44557</t>
        </is>
      </c>
      <c r="G112" s="9" t="inlineStr">
        <is>
          <t>TVA RECUPERABLES</t>
        </is>
      </c>
      <c r="H112" s="9" t="inlineStr"/>
      <c r="I112" s="9" t="inlineStr"/>
      <c r="J112" s="10" t="n">
        <v>1577035</v>
      </c>
      <c r="K112" s="10" t="n"/>
    </row>
    <row r="113">
      <c r="A113" s="9" t="inlineStr">
        <is>
          <t>05001</t>
        </is>
      </c>
      <c r="B113" s="9" t="inlineStr">
        <is>
          <t>000004</t>
        </is>
      </c>
      <c r="C113" s="9" t="inlineStr">
        <is>
          <t>21/06/2026</t>
        </is>
      </c>
      <c r="D113" s="9" t="inlineStr">
        <is>
          <t>DOS 004/2026</t>
        </is>
      </c>
      <c r="E113" s="9" t="inlineStr">
        <is>
          <t>DOUANE N°15629I PRCT</t>
        </is>
      </c>
      <c r="F113" s="9" t="inlineStr">
        <is>
          <t>44410</t>
        </is>
      </c>
      <c r="G113" s="9" t="inlineStr">
        <is>
          <t>AVANCES ET ACOMPTES SUR IBS</t>
        </is>
      </c>
      <c r="H113" s="9" t="inlineStr"/>
      <c r="I113" s="9" t="inlineStr"/>
      <c r="J113" s="10" t="n">
        <v>197544</v>
      </c>
      <c r="K113" s="10" t="n"/>
    </row>
    <row r="114">
      <c r="A114" s="9" t="inlineStr">
        <is>
          <t>05001</t>
        </is>
      </c>
      <c r="B114" s="9" t="inlineStr">
        <is>
          <t>000004</t>
        </is>
      </c>
      <c r="C114" s="9" t="inlineStr">
        <is>
          <t>21/06/2026</t>
        </is>
      </c>
      <c r="D114" s="9" t="inlineStr">
        <is>
          <t>DOS 004/2026</t>
        </is>
      </c>
      <c r="E114" s="9" t="inlineStr">
        <is>
          <t>DOUANE N°15629I</t>
        </is>
      </c>
      <c r="F114" s="9" t="inlineStr">
        <is>
          <t>40100</t>
        </is>
      </c>
      <c r="G114" s="9" t="inlineStr">
        <is>
          <t>Fournisseurs de stocks et serv</t>
        </is>
      </c>
      <c r="H114" s="9" t="inlineStr">
        <is>
          <t>FL009</t>
        </is>
      </c>
      <c r="I114" s="9" t="inlineStr">
        <is>
          <t>DOUANES BEJAIA</t>
        </is>
      </c>
      <c r="J114" s="10" t="n"/>
      <c r="K114" s="10" t="n">
        <v>2849027</v>
      </c>
    </row>
    <row r="115">
      <c r="A115" s="9" t="inlineStr">
        <is>
          <t>05001</t>
        </is>
      </c>
      <c r="B115" s="9" t="inlineStr">
        <is>
          <t>000004</t>
        </is>
      </c>
      <c r="C115" s="9" t="inlineStr">
        <is>
          <t>21/06/2026</t>
        </is>
      </c>
      <c r="D115" s="9" t="inlineStr">
        <is>
          <t>DOS 004/2026</t>
        </is>
      </c>
      <c r="E115" s="9" t="inlineStr">
        <is>
          <t>TRANSIT 441BIS</t>
        </is>
      </c>
      <c r="F115" s="9" t="inlineStr">
        <is>
          <t>38002</t>
        </is>
      </c>
      <c r="G115" s="9" t="inlineStr">
        <is>
          <t>ACHATS IMPORTATION</t>
        </is>
      </c>
      <c r="H115" s="9" t="inlineStr"/>
      <c r="I115" s="9" t="inlineStr"/>
      <c r="J115" s="10" t="n">
        <v>52000</v>
      </c>
      <c r="K115" s="10" t="n"/>
    </row>
    <row r="116">
      <c r="A116" s="9" t="inlineStr">
        <is>
          <t>05001</t>
        </is>
      </c>
      <c r="B116" s="9" t="inlineStr">
        <is>
          <t>000004</t>
        </is>
      </c>
      <c r="C116" s="9" t="inlineStr">
        <is>
          <t>21/06/2026</t>
        </is>
      </c>
      <c r="D116" s="9" t="inlineStr">
        <is>
          <t>DOS 004/2026</t>
        </is>
      </c>
      <c r="E116" s="9" t="inlineStr">
        <is>
          <t>TRANSIT 441BIS</t>
        </is>
      </c>
      <c r="F116" s="9" t="inlineStr">
        <is>
          <t>40100</t>
        </is>
      </c>
      <c r="G116" s="9" t="inlineStr">
        <is>
          <t>Fournisseurs de stocks et serv</t>
        </is>
      </c>
      <c r="H116" s="9" t="inlineStr">
        <is>
          <t>FL078</t>
        </is>
      </c>
      <c r="I116" s="9" t="inlineStr">
        <is>
          <t>TRANSIT HAMMACHE DJAMEL</t>
        </is>
      </c>
      <c r="J116" s="10" t="n"/>
      <c r="K116" s="10" t="n">
        <v>52000</v>
      </c>
    </row>
    <row r="117">
      <c r="A117" s="9" t="inlineStr">
        <is>
          <t>05001</t>
        </is>
      </c>
      <c r="B117" s="9" t="inlineStr">
        <is>
          <t>000004</t>
        </is>
      </c>
      <c r="C117" s="9" t="inlineStr">
        <is>
          <t>21/06/2026</t>
        </is>
      </c>
      <c r="D117" s="9" t="inlineStr">
        <is>
          <t>DOS 004/2026</t>
        </is>
      </c>
      <c r="E117" s="9" t="inlineStr">
        <is>
          <t>MSC BJAI2604127</t>
        </is>
      </c>
      <c r="F117" s="9" t="inlineStr">
        <is>
          <t>38002</t>
        </is>
      </c>
      <c r="G117" s="9" t="inlineStr">
        <is>
          <t>ACHATS IMPORTATION</t>
        </is>
      </c>
      <c r="H117" s="9" t="inlineStr"/>
      <c r="I117" s="9" t="inlineStr"/>
      <c r="J117" s="10" t="n">
        <v>35029.76</v>
      </c>
      <c r="K117" s="10" t="n"/>
    </row>
    <row r="118">
      <c r="A118" s="9" t="inlineStr">
        <is>
          <t>05001</t>
        </is>
      </c>
      <c r="B118" s="9" t="inlineStr">
        <is>
          <t>000004</t>
        </is>
      </c>
      <c r="C118" s="9" t="inlineStr">
        <is>
          <t>21/06/2026</t>
        </is>
      </c>
      <c r="D118" s="9" t="inlineStr">
        <is>
          <t>DOS 004/2026</t>
        </is>
      </c>
      <c r="E118" s="9" t="inlineStr">
        <is>
          <t>MSC BJAI2604127</t>
        </is>
      </c>
      <c r="F118" s="9" t="inlineStr">
        <is>
          <t>44557</t>
        </is>
      </c>
      <c r="G118" s="9" t="inlineStr">
        <is>
          <t>TVA RECUPERABLES</t>
        </is>
      </c>
      <c r="H118" s="9" t="inlineStr"/>
      <c r="I118" s="9" t="inlineStr"/>
      <c r="J118" s="10" t="n">
        <v>6365</v>
      </c>
      <c r="K118" s="10" t="n"/>
    </row>
    <row r="119">
      <c r="A119" s="9" t="inlineStr">
        <is>
          <t>05001</t>
        </is>
      </c>
      <c r="B119" s="9" t="inlineStr">
        <is>
          <t>000004</t>
        </is>
      </c>
      <c r="C119" s="9" t="inlineStr">
        <is>
          <t>21/06/2026</t>
        </is>
      </c>
      <c r="D119" s="9" t="inlineStr">
        <is>
          <t>DOS 004/2026</t>
        </is>
      </c>
      <c r="E119" s="9" t="inlineStr">
        <is>
          <t>MSC BJAI2604127</t>
        </is>
      </c>
      <c r="F119" s="9" t="inlineStr">
        <is>
          <t>40100</t>
        </is>
      </c>
      <c r="G119" s="9" t="inlineStr">
        <is>
          <t>Fournisseurs de stocks et serv</t>
        </is>
      </c>
      <c r="H119" s="9" t="inlineStr">
        <is>
          <t>FL008</t>
        </is>
      </c>
      <c r="I119" s="9" t="inlineStr">
        <is>
          <t>MSCA</t>
        </is>
      </c>
      <c r="J119" s="10" t="n"/>
      <c r="K119" s="10" t="n">
        <v>41394.76</v>
      </c>
    </row>
    <row r="120">
      <c r="A120" s="9" t="inlineStr">
        <is>
          <t>05001</t>
        </is>
      </c>
      <c r="B120" s="9" t="inlineStr">
        <is>
          <t>000004</t>
        </is>
      </c>
      <c r="C120" s="9" t="inlineStr">
        <is>
          <t>21/06/2026</t>
        </is>
      </c>
      <c r="D120" s="9" t="inlineStr">
        <is>
          <t>DOS 004/2026</t>
        </is>
      </c>
      <c r="E120" s="9" t="inlineStr">
        <is>
          <t>DEB EPB 44441</t>
        </is>
      </c>
      <c r="F120" s="9" t="inlineStr">
        <is>
          <t>38002</t>
        </is>
      </c>
      <c r="G120" s="9" t="inlineStr">
        <is>
          <t>ACHATS IMPORTATION</t>
        </is>
      </c>
      <c r="H120" s="9" t="inlineStr"/>
      <c r="I120" s="9" t="inlineStr"/>
      <c r="J120" s="10" t="n">
        <v>6000</v>
      </c>
      <c r="K120" s="10" t="n"/>
    </row>
    <row r="121">
      <c r="A121" s="9" t="inlineStr">
        <is>
          <t>05001</t>
        </is>
      </c>
      <c r="B121" s="9" t="inlineStr">
        <is>
          <t>000004</t>
        </is>
      </c>
      <c r="C121" s="9" t="inlineStr">
        <is>
          <t>21/06/2026</t>
        </is>
      </c>
      <c r="D121" s="9" t="inlineStr">
        <is>
          <t>DOS 004/2026</t>
        </is>
      </c>
      <c r="E121" s="9" t="inlineStr">
        <is>
          <t>DEB EPB 44441</t>
        </is>
      </c>
      <c r="F121" s="9" t="inlineStr">
        <is>
          <t>44557</t>
        </is>
      </c>
      <c r="G121" s="9" t="inlineStr">
        <is>
          <t>TVA RECUPERABLES</t>
        </is>
      </c>
      <c r="H121" s="9" t="inlineStr"/>
      <c r="I121" s="9" t="inlineStr"/>
      <c r="J121" s="10" t="n">
        <v>1140</v>
      </c>
      <c r="K121" s="10" t="n"/>
    </row>
    <row r="122">
      <c r="A122" s="9" t="inlineStr">
        <is>
          <t>05001</t>
        </is>
      </c>
      <c r="B122" s="9" t="inlineStr">
        <is>
          <t>000004</t>
        </is>
      </c>
      <c r="C122" s="9" t="inlineStr">
        <is>
          <t>21/06/2026</t>
        </is>
      </c>
      <c r="D122" s="9" t="inlineStr">
        <is>
          <t>DOS 004/2026</t>
        </is>
      </c>
      <c r="E122" s="9" t="inlineStr">
        <is>
          <t>DEB EPB 44441</t>
        </is>
      </c>
      <c r="F122" s="9" t="inlineStr">
        <is>
          <t>40100</t>
        </is>
      </c>
      <c r="G122" s="9" t="inlineStr">
        <is>
          <t>Fournisseurs de stocks et serv</t>
        </is>
      </c>
      <c r="H122" s="9" t="inlineStr">
        <is>
          <t>FL078</t>
        </is>
      </c>
      <c r="I122" s="9" t="inlineStr">
        <is>
          <t>TRANSIT HAMMACHE DJAMEL</t>
        </is>
      </c>
      <c r="J122" s="10" t="n"/>
      <c r="K122" s="10" t="n">
        <v>7140</v>
      </c>
    </row>
    <row r="123">
      <c r="A123" s="9" t="inlineStr">
        <is>
          <t>05001</t>
        </is>
      </c>
      <c r="B123" s="9" t="inlineStr">
        <is>
          <t>000004</t>
        </is>
      </c>
      <c r="C123" s="9" t="inlineStr">
        <is>
          <t>21/06/2026</t>
        </is>
      </c>
      <c r="D123" s="9" t="inlineStr">
        <is>
          <t>DOS 004/2026</t>
        </is>
      </c>
      <c r="E123" s="9" t="inlineStr">
        <is>
          <t>DEB EPB 45915</t>
        </is>
      </c>
      <c r="F123" s="9" t="inlineStr">
        <is>
          <t>38002</t>
        </is>
      </c>
      <c r="G123" s="9" t="inlineStr">
        <is>
          <t>ACHATS IMPORTATION</t>
        </is>
      </c>
      <c r="H123" s="9" t="inlineStr"/>
      <c r="I123" s="9" t="inlineStr"/>
      <c r="J123" s="10" t="n">
        <v>214.5</v>
      </c>
      <c r="K123" s="10" t="n"/>
    </row>
    <row r="124">
      <c r="A124" s="9" t="inlineStr">
        <is>
          <t>05001</t>
        </is>
      </c>
      <c r="B124" s="9" t="inlineStr">
        <is>
          <t>000004</t>
        </is>
      </c>
      <c r="C124" s="9" t="inlineStr">
        <is>
          <t>21/06/2026</t>
        </is>
      </c>
      <c r="D124" s="9" t="inlineStr">
        <is>
          <t>DOS 004/2026</t>
        </is>
      </c>
      <c r="E124" s="9" t="inlineStr">
        <is>
          <t>DEB EPB 45915</t>
        </is>
      </c>
      <c r="F124" s="9" t="inlineStr">
        <is>
          <t>44557</t>
        </is>
      </c>
      <c r="G124" s="9" t="inlineStr">
        <is>
          <t>TVA RECUPERABLES</t>
        </is>
      </c>
      <c r="H124" s="9" t="inlineStr"/>
      <c r="I124" s="9" t="inlineStr"/>
      <c r="J124" s="10" t="n">
        <v>40.76</v>
      </c>
      <c r="K124" s="10" t="n"/>
    </row>
    <row r="125">
      <c r="A125" s="9" t="inlineStr">
        <is>
          <t>05001</t>
        </is>
      </c>
      <c r="B125" s="9" t="inlineStr">
        <is>
          <t>000004</t>
        </is>
      </c>
      <c r="C125" s="9" t="inlineStr">
        <is>
          <t>21/06/2026</t>
        </is>
      </c>
      <c r="D125" s="9" t="inlineStr">
        <is>
          <t>DOS 004/2026</t>
        </is>
      </c>
      <c r="E125" s="9" t="inlineStr">
        <is>
          <t>DEB EPB 45915</t>
        </is>
      </c>
      <c r="F125" s="9" t="inlineStr">
        <is>
          <t>40100</t>
        </is>
      </c>
      <c r="G125" s="9" t="inlineStr">
        <is>
          <t>Fournisseurs de stocks et serv</t>
        </is>
      </c>
      <c r="H125" s="9" t="inlineStr">
        <is>
          <t>FL078</t>
        </is>
      </c>
      <c r="I125" s="9" t="inlineStr">
        <is>
          <t>TRANSIT HAMMACHE DJAMEL</t>
        </is>
      </c>
      <c r="J125" s="10" t="n"/>
      <c r="K125" s="10" t="n">
        <v>255.26</v>
      </c>
    </row>
    <row r="126">
      <c r="A126" s="9" t="inlineStr">
        <is>
          <t>05001</t>
        </is>
      </c>
      <c r="B126" s="9" t="inlineStr">
        <is>
          <t>000004</t>
        </is>
      </c>
      <c r="C126" s="9" t="inlineStr">
        <is>
          <t>21/06/2026</t>
        </is>
      </c>
      <c r="D126" s="9" t="inlineStr">
        <is>
          <t>DOS 004/2026</t>
        </is>
      </c>
      <c r="E126" s="9" t="inlineStr">
        <is>
          <t>DEB EPB 44852</t>
        </is>
      </c>
      <c r="F126" s="9" t="inlineStr">
        <is>
          <t>38002</t>
        </is>
      </c>
      <c r="G126" s="9" t="inlineStr">
        <is>
          <t>ACHATS IMPORTATION</t>
        </is>
      </c>
      <c r="H126" s="9" t="inlineStr"/>
      <c r="I126" s="9" t="inlineStr"/>
      <c r="J126" s="10" t="n">
        <v>150</v>
      </c>
      <c r="K126" s="10" t="n"/>
    </row>
    <row r="127">
      <c r="A127" s="9" t="inlineStr">
        <is>
          <t>05001</t>
        </is>
      </c>
      <c r="B127" s="9" t="inlineStr">
        <is>
          <t>000004</t>
        </is>
      </c>
      <c r="C127" s="9" t="inlineStr">
        <is>
          <t>21/06/2026</t>
        </is>
      </c>
      <c r="D127" s="9" t="inlineStr">
        <is>
          <t>DOS 004/2026</t>
        </is>
      </c>
      <c r="E127" s="9" t="inlineStr">
        <is>
          <t>DEB EPB 44852</t>
        </is>
      </c>
      <c r="F127" s="9" t="inlineStr">
        <is>
          <t>44557</t>
        </is>
      </c>
      <c r="G127" s="9" t="inlineStr">
        <is>
          <t>TVA RECUPERABLES</t>
        </is>
      </c>
      <c r="H127" s="9" t="inlineStr"/>
      <c r="I127" s="9" t="inlineStr"/>
      <c r="J127" s="10" t="n">
        <v>28.5</v>
      </c>
      <c r="K127" s="10" t="n"/>
    </row>
    <row r="128">
      <c r="A128" s="9" t="inlineStr">
        <is>
          <t>05001</t>
        </is>
      </c>
      <c r="B128" s="9" t="inlineStr">
        <is>
          <t>000004</t>
        </is>
      </c>
      <c r="C128" s="9" t="inlineStr">
        <is>
          <t>21/06/2026</t>
        </is>
      </c>
      <c r="D128" s="9" t="inlineStr">
        <is>
          <t>DOS 004/2026</t>
        </is>
      </c>
      <c r="E128" s="9" t="inlineStr">
        <is>
          <t>DEB EPB 44852</t>
        </is>
      </c>
      <c r="F128" s="9" t="inlineStr">
        <is>
          <t>40100</t>
        </is>
      </c>
      <c r="G128" s="9" t="inlineStr">
        <is>
          <t>Fournisseurs de stocks et serv</t>
        </is>
      </c>
      <c r="H128" s="9" t="inlineStr">
        <is>
          <t>FL078</t>
        </is>
      </c>
      <c r="I128" s="9" t="inlineStr">
        <is>
          <t>TRANSIT HAMMACHE DJAMEL</t>
        </is>
      </c>
      <c r="J128" s="10" t="n"/>
      <c r="K128" s="10" t="n">
        <v>178.5</v>
      </c>
    </row>
    <row r="129">
      <c r="A129" s="9" t="inlineStr">
        <is>
          <t>05001</t>
        </is>
      </c>
      <c r="B129" s="9" t="inlineStr">
        <is>
          <t>000004</t>
        </is>
      </c>
      <c r="C129" s="9" t="inlineStr">
        <is>
          <t>21/06/2026</t>
        </is>
      </c>
      <c r="D129" s="9" t="inlineStr">
        <is>
          <t>DOS 004/2026</t>
        </is>
      </c>
      <c r="E129" s="9" t="inlineStr">
        <is>
          <t>DEB MTA RVS001619/26</t>
        </is>
      </c>
      <c r="F129" s="9" t="inlineStr">
        <is>
          <t>38002</t>
        </is>
      </c>
      <c r="G129" s="9" t="inlineStr">
        <is>
          <t>ACHATS IMPORTATION</t>
        </is>
      </c>
      <c r="H129" s="9" t="inlineStr"/>
      <c r="I129" s="9" t="inlineStr"/>
      <c r="J129" s="10" t="n">
        <v>5000</v>
      </c>
      <c r="K129" s="10" t="n"/>
    </row>
    <row r="130">
      <c r="A130" s="9" t="inlineStr">
        <is>
          <t>05001</t>
        </is>
      </c>
      <c r="B130" s="9" t="inlineStr">
        <is>
          <t>000004</t>
        </is>
      </c>
      <c r="C130" s="9" t="inlineStr">
        <is>
          <t>21/06/2026</t>
        </is>
      </c>
      <c r="D130" s="9" t="inlineStr">
        <is>
          <t>DOS 004/2026</t>
        </is>
      </c>
      <c r="E130" s="9" t="inlineStr">
        <is>
          <t>DEB MTA RVS001619/26</t>
        </is>
      </c>
      <c r="F130" s="9" t="inlineStr">
        <is>
          <t>44557</t>
        </is>
      </c>
      <c r="G130" s="9" t="inlineStr">
        <is>
          <t>TVA RECUPERABLES</t>
        </is>
      </c>
      <c r="H130" s="9" t="inlineStr"/>
      <c r="I130" s="9" t="inlineStr"/>
      <c r="J130" s="10" t="n">
        <v>950</v>
      </c>
      <c r="K130" s="10" t="n"/>
    </row>
    <row r="131">
      <c r="A131" s="9" t="inlineStr">
        <is>
          <t>05001</t>
        </is>
      </c>
      <c r="B131" s="9" t="inlineStr">
        <is>
          <t>000004</t>
        </is>
      </c>
      <c r="C131" s="9" t="inlineStr">
        <is>
          <t>21/06/2026</t>
        </is>
      </c>
      <c r="D131" s="9" t="inlineStr">
        <is>
          <t>DOS 004/2026</t>
        </is>
      </c>
      <c r="E131" s="9" t="inlineStr">
        <is>
          <t>DEB MTA RVS001619/26</t>
        </is>
      </c>
      <c r="F131" s="9" t="inlineStr">
        <is>
          <t>40100</t>
        </is>
      </c>
      <c r="G131" s="9" t="inlineStr">
        <is>
          <t>Fournisseurs de stocks et serv</t>
        </is>
      </c>
      <c r="H131" s="9" t="inlineStr">
        <is>
          <t>FL078</t>
        </is>
      </c>
      <c r="I131" s="9" t="inlineStr">
        <is>
          <t>TRANSIT HAMMACHE DJAMEL</t>
        </is>
      </c>
      <c r="J131" s="10" t="n"/>
      <c r="K131" s="10" t="n">
        <v>5950</v>
      </c>
    </row>
    <row r="132">
      <c r="A132" s="9" t="inlineStr">
        <is>
          <t>05001</t>
        </is>
      </c>
      <c r="B132" s="9" t="inlineStr">
        <is>
          <t>000004</t>
        </is>
      </c>
      <c r="C132" s="9" t="inlineStr">
        <is>
          <t>21/06/2026</t>
        </is>
      </c>
      <c r="D132" s="9" t="inlineStr">
        <is>
          <t>DOS 004/2026</t>
        </is>
      </c>
      <c r="E132" s="9" t="inlineStr">
        <is>
          <t>DEB BMT 17507/26</t>
        </is>
      </c>
      <c r="F132" s="9" t="inlineStr">
        <is>
          <t>38002</t>
        </is>
      </c>
      <c r="G132" s="9" t="inlineStr">
        <is>
          <t>ACHATS IMPORTATION</t>
        </is>
      </c>
      <c r="H132" s="9" t="inlineStr"/>
      <c r="I132" s="9" t="inlineStr"/>
      <c r="J132" s="10" t="n">
        <v>9700</v>
      </c>
      <c r="K132" s="10" t="n"/>
    </row>
    <row r="133">
      <c r="A133" s="9" t="inlineStr">
        <is>
          <t>05001</t>
        </is>
      </c>
      <c r="B133" s="9" t="inlineStr">
        <is>
          <t>000004</t>
        </is>
      </c>
      <c r="C133" s="9" t="inlineStr">
        <is>
          <t>21/06/2026</t>
        </is>
      </c>
      <c r="D133" s="9" t="inlineStr">
        <is>
          <t>DOS 004/2026</t>
        </is>
      </c>
      <c r="E133" s="9" t="inlineStr">
        <is>
          <t>DEB BMT 17507/26</t>
        </is>
      </c>
      <c r="F133" s="9" t="inlineStr">
        <is>
          <t>44557</t>
        </is>
      </c>
      <c r="G133" s="9" t="inlineStr">
        <is>
          <t>TVA RECUPERABLES</t>
        </is>
      </c>
      <c r="H133" s="9" t="inlineStr"/>
      <c r="I133" s="9" t="inlineStr"/>
      <c r="J133" s="10" t="n">
        <v>1843</v>
      </c>
      <c r="K133" s="10" t="n"/>
    </row>
    <row r="134">
      <c r="A134" s="9" t="inlineStr">
        <is>
          <t>05001</t>
        </is>
      </c>
      <c r="B134" s="9" t="inlineStr">
        <is>
          <t>000004</t>
        </is>
      </c>
      <c r="C134" s="9" t="inlineStr">
        <is>
          <t>21/06/2026</t>
        </is>
      </c>
      <c r="D134" s="9" t="inlineStr">
        <is>
          <t>DOS 004/2026</t>
        </is>
      </c>
      <c r="E134" s="9" t="inlineStr">
        <is>
          <t>DEB BMT 17507/26</t>
        </is>
      </c>
      <c r="F134" s="9" t="inlineStr">
        <is>
          <t>40100</t>
        </is>
      </c>
      <c r="G134" s="9" t="inlineStr">
        <is>
          <t>Fournisseurs de stocks et serv</t>
        </is>
      </c>
      <c r="H134" s="9" t="inlineStr">
        <is>
          <t>FL078</t>
        </is>
      </c>
      <c r="I134" s="9" t="inlineStr">
        <is>
          <t>TRANSIT HAMMACHE DJAMEL</t>
        </is>
      </c>
      <c r="J134" s="10" t="n"/>
      <c r="K134" s="10" t="n">
        <v>11543</v>
      </c>
    </row>
    <row r="135">
      <c r="A135" s="9" t="inlineStr">
        <is>
          <t>05001</t>
        </is>
      </c>
      <c r="B135" s="9" t="inlineStr">
        <is>
          <t>000004</t>
        </is>
      </c>
      <c r="C135" s="9" t="inlineStr">
        <is>
          <t>21/06/2026</t>
        </is>
      </c>
      <c r="D135" s="9" t="inlineStr">
        <is>
          <t>DOS 004/2026</t>
        </is>
      </c>
      <c r="E135" s="9" t="inlineStr">
        <is>
          <t>DEB BMT 18442/26</t>
        </is>
      </c>
      <c r="F135" s="9" t="inlineStr">
        <is>
          <t>38002</t>
        </is>
      </c>
      <c r="G135" s="9" t="inlineStr">
        <is>
          <t>ACHATS IMPORTATION</t>
        </is>
      </c>
      <c r="H135" s="9" t="inlineStr"/>
      <c r="I135" s="9" t="inlineStr"/>
      <c r="J135" s="10" t="n">
        <v>17550</v>
      </c>
      <c r="K135" s="10" t="n"/>
    </row>
    <row r="136">
      <c r="A136" s="9" t="inlineStr">
        <is>
          <t>05001</t>
        </is>
      </c>
      <c r="B136" s="9" t="inlineStr">
        <is>
          <t>000004</t>
        </is>
      </c>
      <c r="C136" s="9" t="inlineStr">
        <is>
          <t>21/06/2026</t>
        </is>
      </c>
      <c r="D136" s="9" t="inlineStr">
        <is>
          <t>DOS 004/2026</t>
        </is>
      </c>
      <c r="E136" s="9" t="inlineStr">
        <is>
          <t>DEB BMT 18442/26</t>
        </is>
      </c>
      <c r="F136" s="9" t="inlineStr">
        <is>
          <t>44557</t>
        </is>
      </c>
      <c r="G136" s="9" t="inlineStr">
        <is>
          <t>TVA RECUPERABLES</t>
        </is>
      </c>
      <c r="H136" s="9" t="inlineStr"/>
      <c r="I136" s="9" t="inlineStr"/>
      <c r="J136" s="10" t="n">
        <v>3334.5</v>
      </c>
      <c r="K136" s="10" t="n"/>
    </row>
    <row r="137">
      <c r="A137" s="9" t="inlineStr">
        <is>
          <t>05001</t>
        </is>
      </c>
      <c r="B137" s="9" t="inlineStr">
        <is>
          <t>000004</t>
        </is>
      </c>
      <c r="C137" s="9" t="inlineStr">
        <is>
          <t>21/06/2026</t>
        </is>
      </c>
      <c r="D137" s="9" t="inlineStr">
        <is>
          <t>DOS 004/2026</t>
        </is>
      </c>
      <c r="E137" s="9" t="inlineStr">
        <is>
          <t>DEB BMT 18442/26</t>
        </is>
      </c>
      <c r="F137" s="9" t="inlineStr">
        <is>
          <t>40100</t>
        </is>
      </c>
      <c r="G137" s="9" t="inlineStr">
        <is>
          <t>Fournisseurs de stocks et serv</t>
        </is>
      </c>
      <c r="H137" s="9" t="inlineStr">
        <is>
          <t>FL078</t>
        </is>
      </c>
      <c r="I137" s="9" t="inlineStr">
        <is>
          <t>TRANSIT HAMMACHE DJAMEL</t>
        </is>
      </c>
      <c r="J137" s="10" t="n"/>
      <c r="K137" s="10" t="n">
        <v>20884.5</v>
      </c>
    </row>
    <row r="138">
      <c r="A138" s="9" t="inlineStr">
        <is>
          <t>05001</t>
        </is>
      </c>
      <c r="B138" s="9" t="inlineStr">
        <is>
          <t>000004</t>
        </is>
      </c>
      <c r="C138" s="9" t="inlineStr">
        <is>
          <t>21/06/2026</t>
        </is>
      </c>
      <c r="D138" s="9" t="inlineStr">
        <is>
          <t>DOS 004/2026</t>
        </is>
      </c>
      <c r="E138" s="9" t="inlineStr">
        <is>
          <t>DEB BMT 17584/26</t>
        </is>
      </c>
      <c r="F138" s="9" t="inlineStr">
        <is>
          <t>38002</t>
        </is>
      </c>
      <c r="G138" s="9" t="inlineStr">
        <is>
          <t>ACHATS IMPORTATION</t>
        </is>
      </c>
      <c r="H138" s="9" t="inlineStr"/>
      <c r="I138" s="9" t="inlineStr"/>
      <c r="J138" s="10" t="n">
        <v>15750</v>
      </c>
      <c r="K138" s="10" t="n"/>
    </row>
    <row r="139">
      <c r="A139" s="9" t="inlineStr">
        <is>
          <t>05001</t>
        </is>
      </c>
      <c r="B139" s="9" t="inlineStr">
        <is>
          <t>000004</t>
        </is>
      </c>
      <c r="C139" s="9" t="inlineStr">
        <is>
          <t>21/06/2026</t>
        </is>
      </c>
      <c r="D139" s="9" t="inlineStr">
        <is>
          <t>DOS 004/2026</t>
        </is>
      </c>
      <c r="E139" s="9" t="inlineStr">
        <is>
          <t>DEB BMT 17584/26</t>
        </is>
      </c>
      <c r="F139" s="9" t="inlineStr">
        <is>
          <t>44557</t>
        </is>
      </c>
      <c r="G139" s="9" t="inlineStr">
        <is>
          <t>TVA RECUPERABLES</t>
        </is>
      </c>
      <c r="H139" s="9" t="inlineStr"/>
      <c r="I139" s="9" t="inlineStr"/>
      <c r="J139" s="10" t="n">
        <v>2992.5</v>
      </c>
      <c r="K139" s="10" t="n"/>
    </row>
    <row r="140">
      <c r="A140" s="9" t="inlineStr">
        <is>
          <t>05001</t>
        </is>
      </c>
      <c r="B140" s="9" t="inlineStr">
        <is>
          <t>000004</t>
        </is>
      </c>
      <c r="C140" s="9" t="inlineStr">
        <is>
          <t>21/06/2026</t>
        </is>
      </c>
      <c r="D140" s="9" t="inlineStr">
        <is>
          <t>DOS 004/2026</t>
        </is>
      </c>
      <c r="E140" s="9" t="inlineStr">
        <is>
          <t>DEB BMT 17584/26</t>
        </is>
      </c>
      <c r="F140" s="9" t="inlineStr">
        <is>
          <t>40100</t>
        </is>
      </c>
      <c r="G140" s="9" t="inlineStr">
        <is>
          <t>Fournisseurs de stocks et serv</t>
        </is>
      </c>
      <c r="H140" s="9" t="inlineStr">
        <is>
          <t>FL078</t>
        </is>
      </c>
      <c r="I140" s="9" t="inlineStr">
        <is>
          <t>TRANSIT HAMMACHE DJAMEL</t>
        </is>
      </c>
      <c r="J140" s="10" t="n"/>
      <c r="K140" s="10" t="n">
        <v>18742.5</v>
      </c>
    </row>
    <row r="141">
      <c r="A141" s="9" t="inlineStr">
        <is>
          <t>05001</t>
        </is>
      </c>
      <c r="B141" s="9" t="inlineStr">
        <is>
          <t>000004</t>
        </is>
      </c>
      <c r="C141" s="9" t="inlineStr">
        <is>
          <t>21/06/2026</t>
        </is>
      </c>
      <c r="D141" s="9" t="inlineStr">
        <is>
          <t>DOS 004/2026</t>
        </is>
      </c>
      <c r="E141" s="9" t="inlineStr">
        <is>
          <t>DOUANE N°15629I TEL</t>
        </is>
      </c>
      <c r="F141" s="9" t="inlineStr">
        <is>
          <t>38002</t>
        </is>
      </c>
      <c r="G141" s="9" t="inlineStr">
        <is>
          <t>ACHATS IMPORTATION</t>
        </is>
      </c>
      <c r="H141" s="9" t="inlineStr"/>
      <c r="I141" s="9" t="inlineStr"/>
      <c r="J141" s="10" t="n">
        <v>2000</v>
      </c>
      <c r="K141" s="10" t="n"/>
    </row>
    <row r="142">
      <c r="A142" s="9" t="inlineStr">
        <is>
          <t>05001</t>
        </is>
      </c>
      <c r="B142" s="9" t="inlineStr">
        <is>
          <t>000004</t>
        </is>
      </c>
      <c r="C142" s="9" t="inlineStr">
        <is>
          <t>21/06/2026</t>
        </is>
      </c>
      <c r="D142" s="9" t="inlineStr">
        <is>
          <t>DOS 004/2026</t>
        </is>
      </c>
      <c r="E142" s="9" t="inlineStr">
        <is>
          <t>DOUANE N°15629I TEL</t>
        </is>
      </c>
      <c r="F142" s="9" t="inlineStr">
        <is>
          <t>40100</t>
        </is>
      </c>
      <c r="G142" s="9" t="inlineStr">
        <is>
          <t>Fournisseurs de stocks et serv</t>
        </is>
      </c>
      <c r="H142" s="9" t="inlineStr">
        <is>
          <t>FL009</t>
        </is>
      </c>
      <c r="I142" s="9" t="inlineStr">
        <is>
          <t>DOUANES BEJAIA</t>
        </is>
      </c>
      <c r="J142" s="10" t="n"/>
      <c r="K142" s="10" t="n">
        <v>2000</v>
      </c>
    </row>
    <row r="143">
      <c r="A143" s="9" t="inlineStr">
        <is>
          <t>10001</t>
        </is>
      </c>
      <c r="B143" s="9" t="inlineStr">
        <is>
          <t>000004</t>
        </is>
      </c>
      <c r="C143" s="9" t="inlineStr">
        <is>
          <t>21/06/2026</t>
        </is>
      </c>
      <c r="D143" s="9" t="inlineStr">
        <is>
          <t>DOS 004/2026</t>
        </is>
      </c>
      <c r="E143" s="9" t="inlineStr">
        <is>
          <t>ENTREE STOCK DOS 004/2026</t>
        </is>
      </c>
      <c r="F143" s="9" t="inlineStr">
        <is>
          <t>38002</t>
        </is>
      </c>
      <c r="G143" s="9" t="inlineStr">
        <is>
          <t>ACHATS IMPORTATION</t>
        </is>
      </c>
      <c r="H143" s="9" t="inlineStr"/>
      <c r="I143" s="9" t="inlineStr"/>
      <c r="J143" s="10" t="n"/>
      <c r="K143" s="10" t="n">
        <v>8447580.26</v>
      </c>
    </row>
    <row r="144">
      <c r="A144" s="9" t="inlineStr">
        <is>
          <t>10001</t>
        </is>
      </c>
      <c r="B144" s="9" t="inlineStr">
        <is>
          <t>000004</t>
        </is>
      </c>
      <c r="C144" s="9" t="inlineStr">
        <is>
          <t>21/06/2026</t>
        </is>
      </c>
      <c r="D144" s="9" t="inlineStr">
        <is>
          <t>DOS 004/2026</t>
        </is>
      </c>
      <c r="E144" s="9" t="inlineStr">
        <is>
          <t>ENTREE STOCK DOS 004/2026</t>
        </is>
      </c>
      <c r="F144" s="9" t="inlineStr">
        <is>
          <t>30002</t>
        </is>
      </c>
      <c r="G144" s="9" t="inlineStr">
        <is>
          <t>ST IMPORTATION</t>
        </is>
      </c>
      <c r="H144" s="9" t="inlineStr"/>
      <c r="I144" s="9" t="inlineStr"/>
      <c r="J144" s="10" t="n">
        <v>8447580.26</v>
      </c>
      <c r="K144" s="10" t="n"/>
    </row>
    <row r="145">
      <c r="I145" s="7" t="inlineStr">
        <is>
          <t>Total</t>
        </is>
      </c>
      <c r="J145" s="8">
        <f>SUM(J2:J144)</f>
        <v/>
      </c>
      <c r="K145" s="8">
        <f>SUM(K2:K144)</f>
        <v/>
      </c>
    </row>
    <row r="146">
      <c r="I146" t="inlineStr">
        <is>
          <t>Écart</t>
        </is>
      </c>
      <c r="J146" s="11">
        <f>J145-K145</f>
        <v/>
      </c>
    </row>
  </sheetData>
  <autoFilter ref="A1:K1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6" customWidth="1" min="3" max="3"/>
    <col width="7" customWidth="1" min="4" max="4"/>
    <col width="36" customWidth="1" min="5" max="5"/>
    <col width="7" customWidth="1" min="6" max="6"/>
    <col width="6" customWidth="1" min="7" max="7"/>
    <col width="10" customWidth="1" min="8" max="8"/>
    <col width="12" customWidth="1" min="9" max="9"/>
    <col width="15" customWidth="1" min="10" max="10"/>
    <col width="7" customWidth="1" min="11" max="11"/>
    <col width="13" customWidth="1" min="12" max="12"/>
    <col width="12" customWidth="1" min="13" max="13"/>
    <col width="12" customWidth="1" min="14" max="14"/>
    <col width="12" customWidth="1" min="15" max="15"/>
    <col width="15" customWidth="1" min="16" max="16"/>
    <col width="13" customWidth="1" min="17" max="17"/>
    <col width="7" customWidth="1" min="18" max="18"/>
  </cols>
  <sheetData>
    <row r="1">
      <c r="A1" s="2" t="inlineStr">
        <is>
          <t>Dossier</t>
        </is>
      </c>
      <c r="B1" s="2" t="inlineStr">
        <is>
          <t>Facture</t>
        </is>
      </c>
      <c r="C1" s="2" t="inlineStr">
        <is>
          <t>Ordre</t>
        </is>
      </c>
      <c r="D1" s="2" t="inlineStr">
        <is>
          <t>Art. D10</t>
        </is>
      </c>
      <c r="E1" s="2" t="inlineStr">
        <is>
          <t>Désignation</t>
        </is>
      </c>
      <c r="F1" s="2" t="inlineStr">
        <is>
          <t>Qté</t>
        </is>
      </c>
      <c r="G1" s="2" t="inlineStr">
        <is>
          <t>Devise</t>
        </is>
      </c>
      <c r="H1" s="2" t="inlineStr">
        <is>
          <t>P.U devise</t>
        </is>
      </c>
      <c r="I1" s="2" t="inlineStr">
        <is>
          <t>Montant devise</t>
        </is>
      </c>
      <c r="J1" s="2" t="inlineStr">
        <is>
          <t>Valeur en douane DA</t>
        </is>
      </c>
      <c r="K1" s="2" t="inlineStr">
        <is>
          <t>Taux DD</t>
        </is>
      </c>
      <c r="L1" s="2" t="inlineStr">
        <is>
          <t>D.D</t>
        </is>
      </c>
      <c r="M1" s="2" t="inlineStr">
        <is>
          <t>C.S</t>
        </is>
      </c>
      <c r="N1" s="2" t="inlineStr">
        <is>
          <t>P.R.C.T (info)</t>
        </is>
      </c>
      <c r="O1" s="2" t="inlineStr">
        <is>
          <t>Frais &amp; charges</t>
        </is>
      </c>
      <c r="P1" s="2" t="inlineStr">
        <is>
          <t>Coût de revient HT</t>
        </is>
      </c>
      <c r="Q1" s="2" t="inlineStr">
        <is>
          <t>Coût unitaire HT</t>
        </is>
      </c>
      <c r="R1" s="2" t="inlineStr">
        <is>
          <t>Coef.</t>
        </is>
      </c>
    </row>
    <row r="2">
      <c r="A2" s="9" t="inlineStr">
        <is>
          <t>001</t>
        </is>
      </c>
      <c r="B2" s="9" t="inlineStr">
        <is>
          <t>SAMPA OTOMOTIV IH72025000002686-3005</t>
        </is>
      </c>
      <c r="C2" s="9" t="n">
        <v>1</v>
      </c>
      <c r="D2" s="9" t="n">
        <v>1</v>
      </c>
      <c r="E2" s="9" t="inlineStr">
        <is>
          <t>AIR BELLOW, WITH SHOCK ABSORBER, CAB</t>
        </is>
      </c>
      <c r="F2" s="9" t="n">
        <v>97</v>
      </c>
      <c r="G2" s="9" t="inlineStr">
        <is>
          <t>USD</t>
        </is>
      </c>
      <c r="H2" s="10" t="n">
        <v>20.9</v>
      </c>
      <c r="I2" s="10" t="n">
        <v>2027.3</v>
      </c>
      <c r="J2" s="10" t="n">
        <v>269606.584849064</v>
      </c>
      <c r="K2" s="12" t="n">
        <v>0.15</v>
      </c>
      <c r="L2" s="10" t="n">
        <v>40440.9877273596</v>
      </c>
      <c r="M2" s="10" t="n">
        <v>8088.19754547193</v>
      </c>
      <c r="N2" s="10" t="n">
        <v>7571.63157999863</v>
      </c>
      <c r="O2" s="10" t="n">
        <v>7741.77393236582</v>
      </c>
      <c r="P2" s="10" t="n">
        <v>325877.544054262</v>
      </c>
      <c r="Q2" s="10">
        <f>P2/F2</f>
        <v/>
      </c>
      <c r="R2" s="13" t="n">
        <v>1.24328820833033</v>
      </c>
    </row>
    <row r="3">
      <c r="A3" s="9" t="inlineStr">
        <is>
          <t>001</t>
        </is>
      </c>
      <c r="B3" s="9" t="inlineStr">
        <is>
          <t>SAMPA OTOMOTIV IH72025000002686-3005</t>
        </is>
      </c>
      <c r="C3" s="9" t="n">
        <v>2</v>
      </c>
      <c r="D3" s="9" t="n">
        <v>1</v>
      </c>
      <c r="E3" s="9" t="inlineStr">
        <is>
          <t>AIR BELLOW, WITH SHOCK ABSORBER, CAB</t>
        </is>
      </c>
      <c r="F3" s="9" t="n">
        <v>1</v>
      </c>
      <c r="G3" s="9" t="inlineStr">
        <is>
          <t>USD</t>
        </is>
      </c>
      <c r="H3" s="10" t="n">
        <v>24.2</v>
      </c>
      <c r="I3" s="10" t="n">
        <v>24.2</v>
      </c>
      <c r="J3" s="10" t="n">
        <v>3218.30974860522</v>
      </c>
      <c r="K3" s="12" t="n">
        <v>0.15</v>
      </c>
      <c r="L3" s="10" t="n">
        <v>482.746462290783</v>
      </c>
      <c r="M3" s="10" t="n">
        <v>96.5492924581565</v>
      </c>
      <c r="N3" s="10" t="n">
        <v>90.38301397719469</v>
      </c>
      <c r="O3" s="10" t="n">
        <v>92.4140133000804</v>
      </c>
      <c r="P3" s="10" t="n">
        <v>3890.01951665424</v>
      </c>
      <c r="Q3" s="10">
        <f>P3/F3</f>
        <v/>
      </c>
      <c r="R3" s="13" t="n">
        <v>1.24328820833033</v>
      </c>
    </row>
    <row r="4">
      <c r="A4" s="9" t="inlineStr">
        <is>
          <t>001</t>
        </is>
      </c>
      <c r="B4" s="9" t="inlineStr">
        <is>
          <t>SAMPA OTOMOTIV IH72025000002686-3005</t>
        </is>
      </c>
      <c r="C4" s="9" t="n">
        <v>3</v>
      </c>
      <c r="D4" s="9" t="n">
        <v>1</v>
      </c>
      <c r="E4" s="9" t="inlineStr">
        <is>
          <t>AIR BELLOW, WITH SHOCK ABSORBER, CAB</t>
        </is>
      </c>
      <c r="F4" s="9" t="n">
        <v>13</v>
      </c>
      <c r="G4" s="9" t="inlineStr">
        <is>
          <t>USD</t>
        </is>
      </c>
      <c r="H4" s="10" t="n">
        <v>24.15</v>
      </c>
      <c r="I4" s="10" t="n">
        <v>313.95</v>
      </c>
      <c r="J4" s="10" t="n">
        <v>41751.5845278764</v>
      </c>
      <c r="K4" s="12" t="n">
        <v>0.15</v>
      </c>
      <c r="L4" s="10" t="n">
        <v>6262.73767918145</v>
      </c>
      <c r="M4" s="10" t="n">
        <v>1252.54753583629</v>
      </c>
      <c r="N4" s="10" t="n">
        <v>1172.55153876613</v>
      </c>
      <c r="O4" s="10" t="n">
        <v>1198.89997832894</v>
      </c>
      <c r="P4" s="10" t="n">
        <v>50465.769721223</v>
      </c>
      <c r="Q4" s="10">
        <f>P4/F4</f>
        <v/>
      </c>
      <c r="R4" s="13" t="n">
        <v>1.24328820833033</v>
      </c>
    </row>
    <row r="5">
      <c r="A5" s="9" t="inlineStr">
        <is>
          <t>001</t>
        </is>
      </c>
      <c r="B5" s="9" t="inlineStr">
        <is>
          <t>SAMPA OTOMOTIV IH72025000002686-3005</t>
        </is>
      </c>
      <c r="C5" s="9" t="n">
        <v>4</v>
      </c>
      <c r="D5" s="9" t="n">
        <v>2</v>
      </c>
      <c r="E5" s="9" t="inlineStr">
        <is>
          <t>SEAL RING, INJECTION PUMP</t>
        </is>
      </c>
      <c r="F5" s="9" t="n">
        <v>30</v>
      </c>
      <c r="G5" s="9" t="inlineStr">
        <is>
          <t>USD</t>
        </is>
      </c>
      <c r="H5" s="10" t="n">
        <v>4.1</v>
      </c>
      <c r="I5" s="10" t="n">
        <v>123</v>
      </c>
      <c r="J5" s="10" t="n">
        <v>19781</v>
      </c>
      <c r="K5" s="12" t="n">
        <v>0.05</v>
      </c>
      <c r="L5" s="10" t="n">
        <v>989.05</v>
      </c>
      <c r="M5" s="10" t="n">
        <v>593.4299999999999</v>
      </c>
      <c r="N5" s="10" t="n">
        <v>508.44</v>
      </c>
      <c r="O5" s="10" t="n">
        <v>568.0129446462209</v>
      </c>
      <c r="P5" s="10" t="n">
        <v>21931.4929446462</v>
      </c>
      <c r="Q5" s="10">
        <f>P5/F5</f>
        <v/>
      </c>
      <c r="R5" s="13" t="n">
        <v>1.37910865959507</v>
      </c>
    </row>
    <row r="6">
      <c r="A6" s="9" t="inlineStr">
        <is>
          <t>001</t>
        </is>
      </c>
      <c r="B6" s="9" t="inlineStr">
        <is>
          <t>SAMPA OTOMOTIV IH72025000002686-3005</t>
        </is>
      </c>
      <c r="C6" s="9" t="n">
        <v>5</v>
      </c>
      <c r="D6" s="9" t="n">
        <v>3</v>
      </c>
      <c r="E6" s="9" t="inlineStr">
        <is>
          <t>TENSION ROLLER, FAN</t>
        </is>
      </c>
      <c r="F6" s="9" t="n">
        <v>6</v>
      </c>
      <c r="G6" s="9" t="inlineStr">
        <is>
          <t>USD</t>
        </is>
      </c>
      <c r="H6" s="10" t="n">
        <v>7.03</v>
      </c>
      <c r="I6" s="10" t="n">
        <v>42.18</v>
      </c>
      <c r="J6" s="10" t="n">
        <v>9332</v>
      </c>
      <c r="K6" s="12" t="n">
        <v>0.3</v>
      </c>
      <c r="L6" s="10" t="n">
        <v>2799.6</v>
      </c>
      <c r="M6" s="10" t="n">
        <v>279.96</v>
      </c>
      <c r="N6" s="10" t="n">
        <v>295.4</v>
      </c>
      <c r="O6" s="10" t="n">
        <v>267.969101634828</v>
      </c>
      <c r="P6" s="10" t="n">
        <v>12679.5291016348</v>
      </c>
      <c r="Q6" s="10">
        <f>P6/F6</f>
        <v/>
      </c>
      <c r="R6" s="13" t="n">
        <v>2.32504814265868</v>
      </c>
    </row>
    <row r="7">
      <c r="A7" s="9" t="inlineStr">
        <is>
          <t>001</t>
        </is>
      </c>
      <c r="B7" s="9" t="inlineStr">
        <is>
          <t>SAMPA OTOMOTIV IH72025000002686-3005</t>
        </is>
      </c>
      <c r="C7" s="9" t="n">
        <v>6</v>
      </c>
      <c r="D7" s="9" t="n">
        <v>4</v>
      </c>
      <c r="E7" s="9" t="inlineStr">
        <is>
          <t>JOINT CROSS</t>
        </is>
      </c>
      <c r="F7" s="9" t="n">
        <v>11</v>
      </c>
      <c r="G7" s="9" t="inlineStr">
        <is>
          <t>USD</t>
        </is>
      </c>
      <c r="H7" s="10" t="n">
        <v>19.04</v>
      </c>
      <c r="I7" s="10" t="n">
        <v>209.44</v>
      </c>
      <c r="J7" s="10" t="n">
        <v>30957</v>
      </c>
      <c r="K7" s="12" t="n">
        <v>0.15</v>
      </c>
      <c r="L7" s="10" t="n">
        <v>4643.55</v>
      </c>
      <c r="M7" s="10" t="n">
        <v>928.71</v>
      </c>
      <c r="N7" s="10" t="n">
        <v>869.4</v>
      </c>
      <c r="O7" s="10" t="n">
        <v>888.9326488758441</v>
      </c>
      <c r="P7" s="10" t="n">
        <v>37418.1926488759</v>
      </c>
      <c r="Q7" s="10">
        <f>P7/F7</f>
        <v/>
      </c>
      <c r="R7" s="13" t="n">
        <v>1.38184260230846</v>
      </c>
    </row>
    <row r="8">
      <c r="A8" s="9" t="inlineStr">
        <is>
          <t>001</t>
        </is>
      </c>
      <c r="B8" s="9" t="inlineStr">
        <is>
          <t>SAMPA OTOMOTIV IH72025000002686-3005</t>
        </is>
      </c>
      <c r="C8" s="9" t="n">
        <v>7</v>
      </c>
      <c r="D8" s="9" t="n">
        <v>5</v>
      </c>
      <c r="E8" s="9" t="inlineStr">
        <is>
          <t>TENSION ROLLER, FAN</t>
        </is>
      </c>
      <c r="F8" s="9" t="n">
        <v>9</v>
      </c>
      <c r="G8" s="9" t="inlineStr">
        <is>
          <t>USD</t>
        </is>
      </c>
      <c r="H8" s="10" t="n">
        <v>6</v>
      </c>
      <c r="I8" s="10" t="n">
        <v>54</v>
      </c>
      <c r="J8" s="10" t="n">
        <v>10860</v>
      </c>
      <c r="K8" s="12" t="n">
        <v>0.3</v>
      </c>
      <c r="L8" s="10" t="n">
        <v>3258</v>
      </c>
      <c r="M8" s="10" t="n">
        <v>325.8</v>
      </c>
      <c r="N8" s="10" t="n">
        <v>343.76</v>
      </c>
      <c r="O8" s="10" t="n">
        <v>311.845739793639</v>
      </c>
      <c r="P8" s="10" t="n">
        <v>14755.6457397936</v>
      </c>
      <c r="Q8" s="10">
        <f>P8/F8</f>
        <v/>
      </c>
      <c r="R8" s="13" t="n">
        <v>2.11348836131103</v>
      </c>
    </row>
    <row r="9">
      <c r="A9" s="9" t="inlineStr">
        <is>
          <t>001</t>
        </is>
      </c>
      <c r="B9" s="9" t="inlineStr">
        <is>
          <t>SAMPA OTOMOTIV IH72025000002686-3005</t>
        </is>
      </c>
      <c r="C9" s="9" t="n">
        <v>8</v>
      </c>
      <c r="D9" s="9" t="n">
        <v>1</v>
      </c>
      <c r="E9" s="9" t="inlineStr">
        <is>
          <t>AIR BELLOW, WITH SHOCK ABSORBER, CAB</t>
        </is>
      </c>
      <c r="F9" s="9" t="n">
        <v>21</v>
      </c>
      <c r="G9" s="9" t="inlineStr">
        <is>
          <t>USD</t>
        </is>
      </c>
      <c r="H9" s="10" t="n">
        <v>69.5</v>
      </c>
      <c r="I9" s="10" t="n">
        <v>1459.5</v>
      </c>
      <c r="J9" s="10" t="n">
        <v>194095.994962368</v>
      </c>
      <c r="K9" s="12" t="n">
        <v>0.15</v>
      </c>
      <c r="L9" s="10" t="n">
        <v>29114.3992443553</v>
      </c>
      <c r="M9" s="10" t="n">
        <v>5822.87984887105</v>
      </c>
      <c r="N9" s="10" t="n">
        <v>5450.99210329403</v>
      </c>
      <c r="O9" s="10" t="n">
        <v>5573.48150460609</v>
      </c>
      <c r="P9" s="10" t="n">
        <v>234606.755560201</v>
      </c>
      <c r="Q9" s="10">
        <f>P9/F9</f>
        <v/>
      </c>
      <c r="R9" s="13" t="n">
        <v>1.24328820833033</v>
      </c>
    </row>
    <row r="10">
      <c r="A10" s="9" t="inlineStr">
        <is>
          <t>001</t>
        </is>
      </c>
      <c r="B10" s="9" t="inlineStr">
        <is>
          <t>SAMPA OTOMOTIV IH72025000002686-3005</t>
        </is>
      </c>
      <c r="C10" s="9" t="n">
        <v>9</v>
      </c>
      <c r="D10" s="9" t="n">
        <v>1</v>
      </c>
      <c r="E10" s="9" t="inlineStr">
        <is>
          <t>AIR BELLOW, WITH SHOCK ABSORBER, CAB</t>
        </is>
      </c>
      <c r="F10" s="9" t="n">
        <v>91</v>
      </c>
      <c r="G10" s="9" t="inlineStr">
        <is>
          <t>USD</t>
        </is>
      </c>
      <c r="H10" s="10" t="n">
        <v>61.75</v>
      </c>
      <c r="I10" s="10" t="n">
        <v>5619.25</v>
      </c>
      <c r="J10" s="10" t="n">
        <v>747292.853506193</v>
      </c>
      <c r="K10" s="12" t="n">
        <v>0.15</v>
      </c>
      <c r="L10" s="10" t="n">
        <v>112093.928025929</v>
      </c>
      <c r="M10" s="10" t="n">
        <v>22418.7856051858</v>
      </c>
      <c r="N10" s="10" t="n">
        <v>20986.9731938575</v>
      </c>
      <c r="O10" s="10" t="n">
        <v>21458.5720758875</v>
      </c>
      <c r="P10" s="10" t="n">
        <v>903264.139213195</v>
      </c>
      <c r="Q10" s="10">
        <f>P10/F10</f>
        <v/>
      </c>
      <c r="R10" s="13" t="n">
        <v>1.24328820833033</v>
      </c>
    </row>
    <row r="11">
      <c r="A11" s="9" t="inlineStr">
        <is>
          <t>001</t>
        </is>
      </c>
      <c r="B11" s="9" t="inlineStr">
        <is>
          <t>SAMPA OTOMOTIV IH72025000002686-3005</t>
        </is>
      </c>
      <c r="C11" s="9" t="n">
        <v>10</v>
      </c>
      <c r="D11" s="9" t="n">
        <v>6</v>
      </c>
      <c r="E11" s="9" t="inlineStr">
        <is>
          <t>KNOB, GEAR SHIFT CONTROL</t>
        </is>
      </c>
      <c r="F11" s="9" t="n">
        <v>5</v>
      </c>
      <c r="G11" s="9" t="inlineStr">
        <is>
          <t>USD</t>
        </is>
      </c>
      <c r="H11" s="10" t="n">
        <v>26.68</v>
      </c>
      <c r="I11" s="10" t="n">
        <v>133.4</v>
      </c>
      <c r="J11" s="10" t="n">
        <v>21125</v>
      </c>
      <c r="K11" s="12" t="n">
        <v>0.15</v>
      </c>
      <c r="L11" s="10" t="n">
        <v>3168.75</v>
      </c>
      <c r="M11" s="10" t="n">
        <v>633.75</v>
      </c>
      <c r="N11" s="10" t="n">
        <v>593.28</v>
      </c>
      <c r="O11" s="10" t="n">
        <v>606.606008576484</v>
      </c>
      <c r="P11" s="10" t="n">
        <v>25534.1060085765</v>
      </c>
      <c r="Q11" s="10">
        <f>P11/F11</f>
        <v/>
      </c>
      <c r="R11" s="13" t="n">
        <v>1.48047210199183</v>
      </c>
    </row>
    <row r="12">
      <c r="A12" s="9" t="inlineStr">
        <is>
          <t>001</t>
        </is>
      </c>
      <c r="B12" s="9" t="inlineStr">
        <is>
          <t>SAMPA OTOMOTIV IH72025000002686-3005</t>
        </is>
      </c>
      <c r="C12" s="9" t="n">
        <v>11</v>
      </c>
      <c r="D12" s="9" t="n">
        <v>7</v>
      </c>
      <c r="E12" s="9" t="inlineStr">
        <is>
          <t>PRESSURE SENSOR</t>
        </is>
      </c>
      <c r="F12" s="9" t="n">
        <v>6</v>
      </c>
      <c r="G12" s="9" t="inlineStr">
        <is>
          <t>USD</t>
        </is>
      </c>
      <c r="H12" s="10" t="n">
        <v>4.9</v>
      </c>
      <c r="I12" s="10" t="n">
        <v>29.4</v>
      </c>
      <c r="J12" s="10" t="n">
        <v>7679</v>
      </c>
      <c r="K12" s="12" t="n">
        <v>0.05</v>
      </c>
      <c r="L12" s="10" t="n">
        <v>383.95</v>
      </c>
      <c r="M12" s="10" t="n">
        <v>230.37</v>
      </c>
      <c r="N12" s="10" t="n">
        <v>197.38</v>
      </c>
      <c r="O12" s="10" t="n">
        <v>220.503078809885</v>
      </c>
      <c r="P12" s="10" t="n">
        <v>8513.823078809881</v>
      </c>
      <c r="Q12" s="10">
        <f>P12/F12</f>
        <v/>
      </c>
      <c r="R12" s="13" t="n">
        <v>2.23981779711438</v>
      </c>
    </row>
    <row r="13">
      <c r="A13" s="9" t="inlineStr">
        <is>
          <t>001</t>
        </is>
      </c>
      <c r="B13" s="9" t="inlineStr">
        <is>
          <t>SAMPA OTOMOTIV IH72025000002686-3005</t>
        </is>
      </c>
      <c r="C13" s="9" t="n">
        <v>12</v>
      </c>
      <c r="D13" s="9" t="n">
        <v>1</v>
      </c>
      <c r="E13" s="9" t="inlineStr">
        <is>
          <t>AIR BELLOW, SEAL</t>
        </is>
      </c>
      <c r="F13" s="9" t="n">
        <v>15</v>
      </c>
      <c r="G13" s="9" t="inlineStr">
        <is>
          <t>USD</t>
        </is>
      </c>
      <c r="H13" s="10" t="n">
        <v>7.5</v>
      </c>
      <c r="I13" s="10" t="n">
        <v>112.5</v>
      </c>
      <c r="J13" s="10" t="n">
        <v>14961.15069083</v>
      </c>
      <c r="K13" s="12" t="n">
        <v>0.15</v>
      </c>
      <c r="L13" s="10" t="n">
        <v>2244.17260362451</v>
      </c>
      <c r="M13" s="10" t="n">
        <v>448.834520724901</v>
      </c>
      <c r="N13" s="10" t="n">
        <v>420.168969935306</v>
      </c>
      <c r="O13" s="10" t="n">
        <v>429.610599018969</v>
      </c>
      <c r="P13" s="10" t="n">
        <v>18083.7684141984</v>
      </c>
      <c r="Q13" s="10">
        <f>P13/F13</f>
        <v/>
      </c>
      <c r="R13" s="13" t="n">
        <v>1.24328820833033</v>
      </c>
    </row>
    <row r="14">
      <c r="A14" s="9" t="inlineStr">
        <is>
          <t>001</t>
        </is>
      </c>
      <c r="B14" s="9" t="inlineStr">
        <is>
          <t>SAMPA OTOMOTIV IH72025000002686-3005</t>
        </is>
      </c>
      <c r="C14" s="9" t="n">
        <v>13</v>
      </c>
      <c r="D14" s="9" t="n">
        <v>1</v>
      </c>
      <c r="E14" s="9" t="inlineStr">
        <is>
          <t>AIR BELLOW, WITHOUT SHOCK ABSORBER, CAB</t>
        </is>
      </c>
      <c r="F14" s="9" t="n">
        <v>46</v>
      </c>
      <c r="G14" s="9" t="inlineStr">
        <is>
          <t>USD</t>
        </is>
      </c>
      <c r="H14" s="10" t="n">
        <v>7.98</v>
      </c>
      <c r="I14" s="10" t="n">
        <v>367.08</v>
      </c>
      <c r="J14" s="10" t="n">
        <v>48817.2372941324</v>
      </c>
      <c r="K14" s="12" t="n">
        <v>0.15</v>
      </c>
      <c r="L14" s="10" t="n">
        <v>7322.58559411985</v>
      </c>
      <c r="M14" s="10" t="n">
        <v>1464.51711882397</v>
      </c>
      <c r="N14" s="10" t="n">
        <v>1370.98333763424</v>
      </c>
      <c r="O14" s="10" t="n">
        <v>1401.79074389229</v>
      </c>
      <c r="P14" s="10" t="n">
        <v>59006.1307509685</v>
      </c>
      <c r="Q14" s="10">
        <f>P14/F14</f>
        <v/>
      </c>
      <c r="R14" s="13" t="n">
        <v>1.24328820833033</v>
      </c>
    </row>
    <row r="15">
      <c r="A15" s="9" t="inlineStr">
        <is>
          <t>001</t>
        </is>
      </c>
      <c r="B15" s="9" t="inlineStr">
        <is>
          <t>SAMPA OTOMOTIV IH72025000002686-3005</t>
        </is>
      </c>
      <c r="C15" s="9" t="n">
        <v>14</v>
      </c>
      <c r="D15" s="9" t="n">
        <v>1</v>
      </c>
      <c r="E15" s="9" t="inlineStr">
        <is>
          <t>AIR BELLOW, WITH SHOCK ABSORBER, CAB</t>
        </is>
      </c>
      <c r="F15" s="9" t="n">
        <v>21</v>
      </c>
      <c r="G15" s="9" t="inlineStr">
        <is>
          <t>USD</t>
        </is>
      </c>
      <c r="H15" s="10" t="n">
        <v>19</v>
      </c>
      <c r="I15" s="10" t="n">
        <v>399</v>
      </c>
      <c r="J15" s="10" t="n">
        <v>53062.2144501439</v>
      </c>
      <c r="K15" s="12" t="n">
        <v>0.15</v>
      </c>
      <c r="L15" s="10" t="n">
        <v>7959.33216752158</v>
      </c>
      <c r="M15" s="10" t="n">
        <v>1591.86643350432</v>
      </c>
      <c r="N15" s="10" t="n">
        <v>1490.19928003722</v>
      </c>
      <c r="O15" s="10" t="n">
        <v>1523.68559118728</v>
      </c>
      <c r="P15" s="10" t="n">
        <v>64137.098642357</v>
      </c>
      <c r="Q15" s="10">
        <f>P15/F15</f>
        <v/>
      </c>
      <c r="R15" s="13" t="n">
        <v>1.24328820833033</v>
      </c>
    </row>
    <row r="16">
      <c r="A16" s="9" t="inlineStr">
        <is>
          <t>001</t>
        </is>
      </c>
      <c r="B16" s="9" t="inlineStr">
        <is>
          <t>SAMPA OTOMOTIV IH72025000002686-3005</t>
        </is>
      </c>
      <c r="C16" s="9" t="n">
        <v>15</v>
      </c>
      <c r="D16" s="9" t="n">
        <v>1</v>
      </c>
      <c r="E16" s="9" t="inlineStr">
        <is>
          <t>AIR BELLOW, WITH SHOCK ABSORBER, CAB</t>
        </is>
      </c>
      <c r="F16" s="9" t="n">
        <v>3</v>
      </c>
      <c r="G16" s="9" t="inlineStr">
        <is>
          <t>USD</t>
        </is>
      </c>
      <c r="H16" s="10" t="n">
        <v>19</v>
      </c>
      <c r="I16" s="10" t="n">
        <v>57</v>
      </c>
      <c r="J16" s="10" t="n">
        <v>7580.31635002055</v>
      </c>
      <c r="K16" s="12" t="n">
        <v>0.15</v>
      </c>
      <c r="L16" s="10" t="n">
        <v>1137.04745250308</v>
      </c>
      <c r="M16" s="10" t="n">
        <v>227.409490500617</v>
      </c>
      <c r="N16" s="10" t="n">
        <v>212.885611433888</v>
      </c>
      <c r="O16" s="10" t="n">
        <v>217.669370169611</v>
      </c>
      <c r="P16" s="10" t="n">
        <v>9162.44266319386</v>
      </c>
      <c r="Q16" s="10">
        <f>P16/F16</f>
        <v/>
      </c>
      <c r="R16" s="13" t="n">
        <v>1.24328820833033</v>
      </c>
    </row>
    <row r="17">
      <c r="A17" s="9" t="inlineStr">
        <is>
          <t>001</t>
        </is>
      </c>
      <c r="B17" s="9" t="inlineStr">
        <is>
          <t>SAMPA OTOMOTIV IH72025000002686-3005</t>
        </is>
      </c>
      <c r="C17" s="9" t="n">
        <v>16</v>
      </c>
      <c r="D17" s="9" t="n">
        <v>8</v>
      </c>
      <c r="E17" s="9" t="inlineStr">
        <is>
          <t>WHEEL HUB</t>
        </is>
      </c>
      <c r="F17" s="9" t="n">
        <v>43</v>
      </c>
      <c r="G17" s="9" t="inlineStr">
        <is>
          <t>USD</t>
        </is>
      </c>
      <c r="H17" s="10" t="n">
        <v>147.95</v>
      </c>
      <c r="I17" s="10" t="n">
        <v>6361.85</v>
      </c>
      <c r="J17" s="10" t="n">
        <v>826408</v>
      </c>
      <c r="K17" s="12" t="n">
        <v>0.15</v>
      </c>
      <c r="L17" s="10" t="n">
        <v>123961.2</v>
      </c>
      <c r="M17" s="10" t="n">
        <v>24792.24</v>
      </c>
      <c r="N17" s="10" t="n">
        <v>23208.84</v>
      </c>
      <c r="O17" s="10" t="n">
        <v>23730.3696253574</v>
      </c>
      <c r="P17" s="10" t="n">
        <v>998891.809625357</v>
      </c>
      <c r="Q17" s="10">
        <f>P17/F17</f>
        <v/>
      </c>
      <c r="R17" s="13" t="n">
        <v>1.21442424098053</v>
      </c>
    </row>
    <row r="18">
      <c r="A18" s="9" t="inlineStr">
        <is>
          <t>001</t>
        </is>
      </c>
      <c r="B18" s="9" t="inlineStr">
        <is>
          <t>SAMPA OTOMOTIV IH72025000002686-3005</t>
        </is>
      </c>
      <c r="C18" s="9" t="n">
        <v>17</v>
      </c>
      <c r="D18" s="9" t="n">
        <v>9</v>
      </c>
      <c r="E18" s="9" t="inlineStr">
        <is>
          <t>FEED PUMP</t>
        </is>
      </c>
      <c r="F18" s="9" t="n">
        <v>16</v>
      </c>
      <c r="G18" s="9" t="inlineStr">
        <is>
          <t>USD</t>
        </is>
      </c>
      <c r="H18" s="10" t="n">
        <v>57.03</v>
      </c>
      <c r="I18" s="10" t="n">
        <v>912.48</v>
      </c>
      <c r="J18" s="10" t="n">
        <v>121853</v>
      </c>
      <c r="K18" s="12" t="n">
        <v>0.05</v>
      </c>
      <c r="L18" s="10" t="n">
        <v>6092.65</v>
      </c>
      <c r="M18" s="10" t="n">
        <v>3655.59</v>
      </c>
      <c r="N18" s="10" t="n">
        <v>3132.1</v>
      </c>
      <c r="O18" s="10" t="n">
        <v>3499.01831777848</v>
      </c>
      <c r="P18" s="10" t="n">
        <v>135100.258317778</v>
      </c>
      <c r="Q18" s="10">
        <f>P18/F18</f>
        <v/>
      </c>
      <c r="R18" s="13" t="n">
        <v>1.14516542067437</v>
      </c>
    </row>
    <row r="19">
      <c r="A19" s="9" t="inlineStr">
        <is>
          <t>001</t>
        </is>
      </c>
      <c r="B19" s="9" t="inlineStr">
        <is>
          <t>SAMPA OTOMOTIV IH72025000002686-3005</t>
        </is>
      </c>
      <c r="C19" s="9" t="n">
        <v>18</v>
      </c>
      <c r="D19" s="9" t="n">
        <v>10</v>
      </c>
      <c r="E19" s="9" t="inlineStr">
        <is>
          <t>FLASHER RELAY, CENTRAL ELECTRIC UNIT</t>
        </is>
      </c>
      <c r="F19" s="9" t="n">
        <v>27</v>
      </c>
      <c r="G19" s="9" t="inlineStr">
        <is>
          <t>USD</t>
        </is>
      </c>
      <c r="H19" s="10" t="n">
        <v>6</v>
      </c>
      <c r="I19" s="10" t="n">
        <v>162</v>
      </c>
      <c r="J19" s="10" t="n">
        <v>24823</v>
      </c>
      <c r="K19" s="12" t="n">
        <v>0.3</v>
      </c>
      <c r="L19" s="10" t="n">
        <v>7446.9</v>
      </c>
      <c r="M19" s="10" t="n">
        <v>744.6900000000001</v>
      </c>
      <c r="N19" s="10" t="n">
        <v>785.76</v>
      </c>
      <c r="O19" s="10" t="n">
        <v>712.794364539364</v>
      </c>
      <c r="P19" s="10" t="n">
        <v>33727.3843645394</v>
      </c>
      <c r="Q19" s="10">
        <f>P19/F19</f>
        <v/>
      </c>
      <c r="R19" s="13" t="n">
        <v>1.61028611396021</v>
      </c>
    </row>
    <row r="20">
      <c r="A20" s="9" t="inlineStr">
        <is>
          <t>001</t>
        </is>
      </c>
      <c r="B20" s="9" t="inlineStr">
        <is>
          <t>SAMPA OTOMOTIV IH72025000002686-3005</t>
        </is>
      </c>
      <c r="C20" s="9" t="n">
        <v>19</v>
      </c>
      <c r="D20" s="9" t="n">
        <v>1</v>
      </c>
      <c r="E20" s="9" t="inlineStr">
        <is>
          <t>AIR BELLOW, WITHOUT SHOCK ABSORBER, CAB</t>
        </is>
      </c>
      <c r="F20" s="9" t="n">
        <v>15</v>
      </c>
      <c r="G20" s="9" t="inlineStr">
        <is>
          <t>USD</t>
        </is>
      </c>
      <c r="H20" s="10" t="n">
        <v>7.5</v>
      </c>
      <c r="I20" s="10" t="n">
        <v>112.5</v>
      </c>
      <c r="J20" s="10" t="n">
        <v>14961.15069083</v>
      </c>
      <c r="K20" s="12" t="n">
        <v>0.15</v>
      </c>
      <c r="L20" s="10" t="n">
        <v>2244.17260362451</v>
      </c>
      <c r="M20" s="10" t="n">
        <v>448.834520724901</v>
      </c>
      <c r="N20" s="10" t="n">
        <v>420.168969935306</v>
      </c>
      <c r="O20" s="10" t="n">
        <v>429.610599018969</v>
      </c>
      <c r="P20" s="10" t="n">
        <v>18083.7684141984</v>
      </c>
      <c r="Q20" s="10">
        <f>P20/F20</f>
        <v/>
      </c>
      <c r="R20" s="13" t="n">
        <v>1.24328820833033</v>
      </c>
    </row>
    <row r="21">
      <c r="A21" s="9" t="inlineStr">
        <is>
          <t>001</t>
        </is>
      </c>
      <c r="B21" s="9" t="inlineStr">
        <is>
          <t>SAMPA OTOMOTIV IH72025000002686-3005</t>
        </is>
      </c>
      <c r="C21" s="9" t="n">
        <v>20</v>
      </c>
      <c r="D21" s="9" t="n">
        <v>1</v>
      </c>
      <c r="E21" s="9" t="inlineStr">
        <is>
          <t>AIR BELLOW, WITHOUT SHOCK ABSORBER, CAB</t>
        </is>
      </c>
      <c r="F21" s="9" t="n">
        <v>8</v>
      </c>
      <c r="G21" s="9" t="inlineStr">
        <is>
          <t>USD</t>
        </is>
      </c>
      <c r="H21" s="10" t="n">
        <v>7.15</v>
      </c>
      <c r="I21" s="10" t="n">
        <v>57.2</v>
      </c>
      <c r="J21" s="10" t="n">
        <v>7606.91395124869</v>
      </c>
      <c r="K21" s="12" t="n">
        <v>0.15</v>
      </c>
      <c r="L21" s="10" t="n">
        <v>1141.0370926873</v>
      </c>
      <c r="M21" s="10" t="n">
        <v>228.207418537461</v>
      </c>
      <c r="N21" s="10" t="n">
        <v>213.632578491551</v>
      </c>
      <c r="O21" s="10" t="n">
        <v>218.433122345645</v>
      </c>
      <c r="P21" s="10" t="n">
        <v>9194.5915848191</v>
      </c>
      <c r="Q21" s="10">
        <f>P21/F21</f>
        <v/>
      </c>
      <c r="R21" s="13" t="n">
        <v>1.24328820833033</v>
      </c>
    </row>
    <row r="22">
      <c r="A22" s="9" t="inlineStr">
        <is>
          <t>001</t>
        </is>
      </c>
      <c r="B22" s="9" t="inlineStr">
        <is>
          <t>SAMPA OTOMOTIV IH72025000002686-3005</t>
        </is>
      </c>
      <c r="C22" s="9" t="n">
        <v>21</v>
      </c>
      <c r="D22" s="9" t="n">
        <v>11</v>
      </c>
      <c r="E22" s="9" t="inlineStr">
        <is>
          <t>STEERING PUMP</t>
        </is>
      </c>
      <c r="F22" s="9" t="n">
        <v>29</v>
      </c>
      <c r="G22" s="9" t="inlineStr">
        <is>
          <t>USD</t>
        </is>
      </c>
      <c r="H22" s="10" t="n">
        <v>127.07</v>
      </c>
      <c r="I22" s="10" t="n">
        <v>3685.03</v>
      </c>
      <c r="J22" s="10" t="n">
        <v>480311</v>
      </c>
      <c r="K22" s="12" t="n">
        <v>0.05</v>
      </c>
      <c r="L22" s="10" t="n">
        <v>24015.55</v>
      </c>
      <c r="M22" s="10" t="n">
        <v>14409.33</v>
      </c>
      <c r="N22" s="10" t="n">
        <v>12345.92</v>
      </c>
      <c r="O22" s="10" t="n">
        <v>13792.1675070002</v>
      </c>
      <c r="P22" s="10" t="n">
        <v>532528.047507</v>
      </c>
      <c r="Q22" s="10">
        <f>P22/F22</f>
        <v/>
      </c>
      <c r="R22" s="13" t="n">
        <v>1.11772987498878</v>
      </c>
    </row>
    <row r="23">
      <c r="A23" s="9" t="inlineStr">
        <is>
          <t>001</t>
        </is>
      </c>
      <c r="B23" s="9" t="inlineStr">
        <is>
          <t>SAMPA OTOMOTIV IH72025000002686-3005</t>
        </is>
      </c>
      <c r="C23" s="9" t="n">
        <v>22</v>
      </c>
      <c r="D23" s="9" t="n">
        <v>1</v>
      </c>
      <c r="E23" s="9" t="inlineStr">
        <is>
          <t>AIR BELLOW, WITH SHOCK ABSORBER, CAB</t>
        </is>
      </c>
      <c r="F23" s="9" t="n">
        <v>125</v>
      </c>
      <c r="G23" s="9" t="inlineStr">
        <is>
          <t>USD</t>
        </is>
      </c>
      <c r="H23" s="10" t="n">
        <v>22.9</v>
      </c>
      <c r="I23" s="10" t="n">
        <v>2862.5</v>
      </c>
      <c r="J23" s="10" t="n">
        <v>380678.167577787</v>
      </c>
      <c r="K23" s="12" t="n">
        <v>0.15</v>
      </c>
      <c r="L23" s="10" t="n">
        <v>57101.725136668</v>
      </c>
      <c r="M23" s="10" t="n">
        <v>11420.3450273336</v>
      </c>
      <c r="N23" s="10" t="n">
        <v>10690.9660127983</v>
      </c>
      <c r="O23" s="10" t="n">
        <v>10931.2030194826</v>
      </c>
      <c r="P23" s="10" t="n">
        <v>460131.440761271</v>
      </c>
      <c r="Q23" s="10">
        <f>P23/F23</f>
        <v/>
      </c>
      <c r="R23" s="13" t="n">
        <v>1.24328820833033</v>
      </c>
    </row>
    <row r="24">
      <c r="A24" s="9" t="inlineStr">
        <is>
          <t>001</t>
        </is>
      </c>
      <c r="B24" s="9" t="inlineStr">
        <is>
          <t>SAMPA OTOMOTIV IH72025000002686-3005</t>
        </is>
      </c>
      <c r="C24" s="9" t="n">
        <v>23</v>
      </c>
      <c r="D24" s="9" t="n">
        <v>1</v>
      </c>
      <c r="E24" s="9" t="inlineStr">
        <is>
          <t>AIR BELLOW, WITH SHOCK ABSORBER, CAB</t>
        </is>
      </c>
      <c r="F24" s="9" t="n">
        <v>70</v>
      </c>
      <c r="G24" s="9" t="inlineStr">
        <is>
          <t>USD</t>
        </is>
      </c>
      <c r="H24" s="10" t="n">
        <v>29</v>
      </c>
      <c r="I24" s="10" t="n">
        <v>2030</v>
      </c>
      <c r="J24" s="10" t="n">
        <v>269965.652465644</v>
      </c>
      <c r="K24" s="12" t="n">
        <v>0.15</v>
      </c>
      <c r="L24" s="10" t="n">
        <v>40494.8478698466</v>
      </c>
      <c r="M24" s="10" t="n">
        <v>8098.96957396933</v>
      </c>
      <c r="N24" s="10" t="n">
        <v>7581.71563527707</v>
      </c>
      <c r="O24" s="10" t="n">
        <v>7752.08458674228</v>
      </c>
      <c r="P24" s="10" t="n">
        <v>326311.554496202</v>
      </c>
      <c r="Q24" s="10">
        <f>P24/F24</f>
        <v/>
      </c>
      <c r="R24" s="13" t="n">
        <v>1.24328820833033</v>
      </c>
    </row>
    <row r="25">
      <c r="A25" s="9" t="inlineStr">
        <is>
          <t>001</t>
        </is>
      </c>
      <c r="B25" s="9" t="inlineStr">
        <is>
          <t>SAMPA OTOMOTIV IH72025000002686-3005</t>
        </is>
      </c>
      <c r="C25" s="9" t="n">
        <v>24</v>
      </c>
      <c r="D25" s="9" t="n">
        <v>1</v>
      </c>
      <c r="E25" s="9" t="inlineStr">
        <is>
          <t>AIR BELLOW, WITH SHOCK ABSORBER, CAB</t>
        </is>
      </c>
      <c r="F25" s="9" t="n">
        <v>24</v>
      </c>
      <c r="G25" s="9" t="inlineStr">
        <is>
          <t>USD</t>
        </is>
      </c>
      <c r="H25" s="10" t="n">
        <v>24.7</v>
      </c>
      <c r="I25" s="10" t="n">
        <v>592.8</v>
      </c>
      <c r="J25" s="10" t="n">
        <v>78835.2900402137</v>
      </c>
      <c r="K25" s="12" t="n">
        <v>0.15</v>
      </c>
      <c r="L25" s="10" t="n">
        <v>11825.2935060321</v>
      </c>
      <c r="M25" s="10" t="n">
        <v>2365.05870120641</v>
      </c>
      <c r="N25" s="10" t="n">
        <v>2214.01035891244</v>
      </c>
      <c r="O25" s="10" t="n">
        <v>2263.76144976395</v>
      </c>
      <c r="P25" s="10" t="n">
        <v>95289.4036972162</v>
      </c>
      <c r="Q25" s="10">
        <f>P25/F25</f>
        <v/>
      </c>
      <c r="R25" s="13" t="n">
        <v>1.24328820833033</v>
      </c>
    </row>
    <row r="26">
      <c r="A26" s="9" t="inlineStr">
        <is>
          <t>001</t>
        </is>
      </c>
      <c r="B26" s="9" t="inlineStr">
        <is>
          <t>SAMPA OTOMOTIV IH72025000002686-3005</t>
        </is>
      </c>
      <c r="C26" s="9" t="n">
        <v>25</v>
      </c>
      <c r="D26" s="9" t="n">
        <v>12</v>
      </c>
      <c r="E26" s="9" t="inlineStr">
        <is>
          <t>SEAL RING, INPUT SHAFT</t>
        </is>
      </c>
      <c r="F26" s="9" t="n">
        <v>57</v>
      </c>
      <c r="G26" s="9" t="inlineStr">
        <is>
          <t>USD</t>
        </is>
      </c>
      <c r="H26" s="10" t="n">
        <v>2.04</v>
      </c>
      <c r="I26" s="10" t="n">
        <v>116.28</v>
      </c>
      <c r="J26" s="10" t="n">
        <v>15515.8064640246</v>
      </c>
      <c r="K26" s="12" t="n">
        <v>0.15</v>
      </c>
      <c r="L26" s="10" t="n">
        <v>2327.37096960369</v>
      </c>
      <c r="M26" s="10" t="n">
        <v>465.474193920739</v>
      </c>
      <c r="N26" s="10" t="n">
        <v>435.745517506733</v>
      </c>
      <c r="O26" s="10" t="n">
        <v>445.537582437263</v>
      </c>
      <c r="P26" s="10" t="n">
        <v>18754.1892099863</v>
      </c>
      <c r="Q26" s="10">
        <f>P26/F26</f>
        <v/>
      </c>
      <c r="R26" s="13" t="n">
        <v>1.24746586491278</v>
      </c>
    </row>
    <row r="27">
      <c r="A27" s="9" t="inlineStr">
        <is>
          <t>001</t>
        </is>
      </c>
      <c r="B27" s="9" t="inlineStr">
        <is>
          <t>SAMPA OTOMOTIV IH72025000002686-3005</t>
        </is>
      </c>
      <c r="C27" s="9" t="n">
        <v>26</v>
      </c>
      <c r="D27" s="9" t="n">
        <v>12</v>
      </c>
      <c r="E27" s="9" t="inlineStr">
        <is>
          <t>PROPELLER SHAFT BEARING</t>
        </is>
      </c>
      <c r="F27" s="9" t="n">
        <v>117</v>
      </c>
      <c r="G27" s="9" t="inlineStr">
        <is>
          <t>USD</t>
        </is>
      </c>
      <c r="H27" s="10" t="n">
        <v>15</v>
      </c>
      <c r="I27" s="10" t="n">
        <v>1755</v>
      </c>
      <c r="J27" s="10" t="n">
        <v>234178.193535975</v>
      </c>
      <c r="K27" s="12" t="n">
        <v>0.15</v>
      </c>
      <c r="L27" s="10" t="n">
        <v>35126.7290303963</v>
      </c>
      <c r="M27" s="10" t="n">
        <v>7025.34580607926</v>
      </c>
      <c r="N27" s="10" t="n">
        <v>6576.65448249327</v>
      </c>
      <c r="O27" s="10" t="n">
        <v>6724.44493616612</v>
      </c>
      <c r="P27" s="10" t="n">
        <v>283054.713308617</v>
      </c>
      <c r="Q27" s="10">
        <f>P27/F27</f>
        <v/>
      </c>
      <c r="R27" s="13" t="n">
        <v>1.24746586491278</v>
      </c>
    </row>
    <row r="28">
      <c r="A28" s="9" t="inlineStr">
        <is>
          <t>001</t>
        </is>
      </c>
      <c r="B28" s="9" t="inlineStr">
        <is>
          <t>SAMPA OTOMOTIV IH72025000002686-3005</t>
        </is>
      </c>
      <c r="C28" s="9" t="n">
        <v>27</v>
      </c>
      <c r="D28" s="9" t="n">
        <v>1</v>
      </c>
      <c r="E28" s="9" t="inlineStr">
        <is>
          <t>AIR BELLOW, WITHOUT SHOCK ABSORBER, CAB</t>
        </is>
      </c>
      <c r="F28" s="9" t="n">
        <v>1</v>
      </c>
      <c r="G28" s="9" t="inlineStr">
        <is>
          <t>USD</t>
        </is>
      </c>
      <c r="H28" s="10" t="n">
        <v>5.35</v>
      </c>
      <c r="I28" s="10" t="n">
        <v>5.35</v>
      </c>
      <c r="J28" s="10" t="n">
        <v>711.485832852806</v>
      </c>
      <c r="K28" s="12" t="n">
        <v>0.15</v>
      </c>
      <c r="L28" s="10" t="n">
        <v>106.722874927921</v>
      </c>
      <c r="M28" s="10" t="n">
        <v>21.3445749855842</v>
      </c>
      <c r="N28" s="10" t="n">
        <v>19.981368792479</v>
      </c>
      <c r="O28" s="10" t="n">
        <v>20.4303707089021</v>
      </c>
      <c r="P28" s="10" t="n">
        <v>859.983653475213</v>
      </c>
      <c r="Q28" s="10">
        <f>P28/F28</f>
        <v/>
      </c>
      <c r="R28" s="13" t="n">
        <v>1.24328820833033</v>
      </c>
    </row>
    <row r="29">
      <c r="A29" s="9" t="inlineStr">
        <is>
          <t>001</t>
        </is>
      </c>
      <c r="B29" s="9" t="inlineStr">
        <is>
          <t>SAMPA OTOMOTIV IH72025000002686-3005</t>
        </is>
      </c>
      <c r="C29" s="9" t="n">
        <v>28</v>
      </c>
      <c r="D29" s="9" t="n">
        <v>1</v>
      </c>
      <c r="E29" s="9" t="inlineStr">
        <is>
          <t>AIR BELLOW, WITHOUT SHOCK ABSORBER, CAB</t>
        </is>
      </c>
      <c r="F29" s="9" t="n">
        <v>63</v>
      </c>
      <c r="G29" s="9" t="inlineStr">
        <is>
          <t>USD</t>
        </is>
      </c>
      <c r="H29" s="10" t="n">
        <v>14</v>
      </c>
      <c r="I29" s="10" t="n">
        <v>882</v>
      </c>
      <c r="J29" s="10" t="n">
        <v>117295.421416107</v>
      </c>
      <c r="K29" s="12" t="n">
        <v>0.15</v>
      </c>
      <c r="L29" s="10" t="n">
        <v>17594.3132124161</v>
      </c>
      <c r="M29" s="10" t="n">
        <v>3518.86264248322</v>
      </c>
      <c r="N29" s="10" t="n">
        <v>3294.1247242928</v>
      </c>
      <c r="O29" s="10" t="n">
        <v>3368.14709630871</v>
      </c>
      <c r="P29" s="10" t="n">
        <v>141776.744367316</v>
      </c>
      <c r="Q29" s="10">
        <f>P29/F29</f>
        <v/>
      </c>
      <c r="R29" s="13" t="n">
        <v>1.24328820833033</v>
      </c>
    </row>
    <row r="30">
      <c r="A30" s="9" t="inlineStr">
        <is>
          <t>001</t>
        </is>
      </c>
      <c r="B30" s="9" t="inlineStr">
        <is>
          <t>SAMPA OTOMOTIV IH72025000002686-3005</t>
        </is>
      </c>
      <c r="C30" s="9" t="n">
        <v>29</v>
      </c>
      <c r="D30" s="9" t="n">
        <v>1</v>
      </c>
      <c r="E30" s="9" t="inlineStr">
        <is>
          <t>AIR BELLOW, WITH SHOCK ABSORBER, CAB</t>
        </is>
      </c>
      <c r="F30" s="9" t="n">
        <v>115</v>
      </c>
      <c r="G30" s="9" t="inlineStr">
        <is>
          <t>USD</t>
        </is>
      </c>
      <c r="H30" s="10" t="n">
        <v>18.9</v>
      </c>
      <c r="I30" s="10" t="n">
        <v>2173.5</v>
      </c>
      <c r="J30" s="10" t="n">
        <v>289049.431346836</v>
      </c>
      <c r="K30" s="12" t="n">
        <v>0.15</v>
      </c>
      <c r="L30" s="10" t="n">
        <v>43357.4147020254</v>
      </c>
      <c r="M30" s="10" t="n">
        <v>8671.482940405091</v>
      </c>
      <c r="N30" s="10" t="n">
        <v>8117.66449915011</v>
      </c>
      <c r="O30" s="10" t="n">
        <v>8300.07677304647</v>
      </c>
      <c r="P30" s="10" t="n">
        <v>349378.405762313</v>
      </c>
      <c r="Q30" s="10">
        <f>P30/F30</f>
        <v/>
      </c>
      <c r="R30" s="13" t="n">
        <v>1.24328820833033</v>
      </c>
    </row>
    <row r="31">
      <c r="A31" s="9" t="inlineStr">
        <is>
          <t>001</t>
        </is>
      </c>
      <c r="B31" s="9" t="inlineStr">
        <is>
          <t>SAMPA OTOMOTIV IH72025000002686-3005</t>
        </is>
      </c>
      <c r="C31" s="9" t="n">
        <v>30</v>
      </c>
      <c r="D31" s="9" t="n">
        <v>1</v>
      </c>
      <c r="E31" s="9" t="inlineStr">
        <is>
          <t>SHOCK ABSORBER, CAB</t>
        </is>
      </c>
      <c r="F31" s="9" t="n">
        <v>22</v>
      </c>
      <c r="G31" s="9" t="inlineStr">
        <is>
          <t>USD</t>
        </is>
      </c>
      <c r="H31" s="10" t="n">
        <v>12.7</v>
      </c>
      <c r="I31" s="10" t="n">
        <v>279.4</v>
      </c>
      <c r="J31" s="10" t="n">
        <v>37156.8489157148</v>
      </c>
      <c r="K31" s="12" t="n">
        <v>0.15</v>
      </c>
      <c r="L31" s="10" t="n">
        <v>5573.52733735722</v>
      </c>
      <c r="M31" s="10" t="n">
        <v>1114.70546747144</v>
      </c>
      <c r="N31" s="10" t="n">
        <v>1043.51297955488</v>
      </c>
      <c r="O31" s="10" t="n">
        <v>1066.96178991911</v>
      </c>
      <c r="P31" s="10" t="n">
        <v>44912.0435104625</v>
      </c>
      <c r="Q31" s="10">
        <f>P31/F31</f>
        <v/>
      </c>
      <c r="R31" s="13" t="n">
        <v>1.24328820833033</v>
      </c>
    </row>
    <row r="32">
      <c r="A32" s="9" t="inlineStr">
        <is>
          <t>001</t>
        </is>
      </c>
      <c r="B32" s="9" t="inlineStr">
        <is>
          <t>SAMPA OTOMOTIV IH72025000002686-3005</t>
        </is>
      </c>
      <c r="C32" s="9" t="n">
        <v>31</v>
      </c>
      <c r="D32" s="9" t="n">
        <v>13</v>
      </c>
      <c r="E32" s="9" t="inlineStr">
        <is>
          <t>BRAKE SHOE, BRAKE DRUM</t>
        </is>
      </c>
      <c r="F32" s="9" t="n">
        <v>32</v>
      </c>
      <c r="G32" s="9" t="inlineStr">
        <is>
          <t>USD</t>
        </is>
      </c>
      <c r="H32" s="10" t="n">
        <v>12</v>
      </c>
      <c r="I32" s="10" t="n">
        <v>384</v>
      </c>
      <c r="J32" s="10" t="n">
        <v>53526</v>
      </c>
      <c r="K32" s="12" t="n">
        <v>0.15</v>
      </c>
      <c r="L32" s="10" t="n">
        <v>8028.9</v>
      </c>
      <c r="M32" s="10" t="n">
        <v>1605.78</v>
      </c>
      <c r="N32" s="10" t="n">
        <v>1503.24</v>
      </c>
      <c r="O32" s="10" t="n">
        <v>1537.0032291155</v>
      </c>
      <c r="P32" s="10" t="n">
        <v>64697.6832291155</v>
      </c>
      <c r="Q32" s="10">
        <f>P32/F32</f>
        <v/>
      </c>
      <c r="R32" s="13" t="n">
        <v>1.30314548990928</v>
      </c>
    </row>
    <row r="33">
      <c r="A33" s="9" t="inlineStr">
        <is>
          <t>001</t>
        </is>
      </c>
      <c r="B33" s="9" t="inlineStr">
        <is>
          <t>SAMPA OTOMOTIV IH72025000002686-3005</t>
        </is>
      </c>
      <c r="C33" s="9" t="n">
        <v>32</v>
      </c>
      <c r="D33" s="9" t="n">
        <v>14</v>
      </c>
      <c r="E33" s="9" t="inlineStr">
        <is>
          <t>CLUTCH SERVO</t>
        </is>
      </c>
      <c r="F33" s="9" t="n">
        <v>9</v>
      </c>
      <c r="G33" s="9" t="inlineStr">
        <is>
          <t>USD</t>
        </is>
      </c>
      <c r="H33" s="10" t="n">
        <v>47.5</v>
      </c>
      <c r="I33" s="10" t="n">
        <v>427.5</v>
      </c>
      <c r="J33" s="10" t="n">
        <v>58809.6830985916</v>
      </c>
      <c r="K33" s="12" t="n">
        <v>0.15</v>
      </c>
      <c r="L33" s="10" t="n">
        <v>8821.45246478873</v>
      </c>
      <c r="M33" s="10" t="n">
        <v>1764.29049295775</v>
      </c>
      <c r="N33" s="10" t="n">
        <v>1651.60723431498</v>
      </c>
      <c r="O33" s="10" t="n">
        <v>1688.72459787382</v>
      </c>
      <c r="P33" s="10" t="n">
        <v>71084.1506542119</v>
      </c>
      <c r="Q33" s="10">
        <f>P33/F33</f>
        <v/>
      </c>
      <c r="R33" s="13" t="n">
        <v>1.28609206891345</v>
      </c>
    </row>
    <row r="34">
      <c r="A34" s="9" t="inlineStr">
        <is>
          <t>001</t>
        </is>
      </c>
      <c r="B34" s="9" t="inlineStr">
        <is>
          <t>SAMPA OTOMOTIV IH72025000002686-3005</t>
        </is>
      </c>
      <c r="C34" s="9" t="n">
        <v>33</v>
      </c>
      <c r="D34" s="9" t="n">
        <v>14</v>
      </c>
      <c r="E34" s="9" t="inlineStr">
        <is>
          <t>CLUTCH SERVO</t>
        </is>
      </c>
      <c r="F34" s="9" t="n">
        <v>4</v>
      </c>
      <c r="G34" s="9" t="inlineStr">
        <is>
          <t>USD</t>
        </is>
      </c>
      <c r="H34" s="10" t="n">
        <v>36.78</v>
      </c>
      <c r="I34" s="10" t="n">
        <v>147.12</v>
      </c>
      <c r="J34" s="10" t="n">
        <v>20238.7849765258</v>
      </c>
      <c r="K34" s="12" t="n">
        <v>0.15</v>
      </c>
      <c r="L34" s="10" t="n">
        <v>3035.81774647887</v>
      </c>
      <c r="M34" s="10" t="n">
        <v>607.1635492957751</v>
      </c>
      <c r="N34" s="10" t="n">
        <v>568.384693128468</v>
      </c>
      <c r="O34" s="10" t="n">
        <v>581.158275647244</v>
      </c>
      <c r="P34" s="10" t="n">
        <v>24462.9245479477</v>
      </c>
      <c r="Q34" s="10">
        <f>P34/F34</f>
        <v/>
      </c>
      <c r="R34" s="13" t="n">
        <v>1.28609206891345</v>
      </c>
    </row>
    <row r="35">
      <c r="A35" s="9" t="inlineStr">
        <is>
          <t>001</t>
        </is>
      </c>
      <c r="B35" s="9" t="inlineStr">
        <is>
          <t>SAMPA OTOMOTIV IH72025000002686-3005</t>
        </is>
      </c>
      <c r="C35" s="9" t="n">
        <v>34</v>
      </c>
      <c r="D35" s="9" t="n">
        <v>14</v>
      </c>
      <c r="E35" s="9" t="inlineStr">
        <is>
          <t>CLUTCH SERVO</t>
        </is>
      </c>
      <c r="F35" s="9" t="n">
        <v>21</v>
      </c>
      <c r="G35" s="9" t="inlineStr">
        <is>
          <t>USD</t>
        </is>
      </c>
      <c r="H35" s="10" t="n">
        <v>39.58</v>
      </c>
      <c r="I35" s="10" t="n">
        <v>831.1799999999999</v>
      </c>
      <c r="J35" s="10" t="n">
        <v>114342.531924883</v>
      </c>
      <c r="K35" s="12" t="n">
        <v>0.15</v>
      </c>
      <c r="L35" s="10" t="n">
        <v>17151.3797887324</v>
      </c>
      <c r="M35" s="10" t="n">
        <v>3430.27595774648</v>
      </c>
      <c r="N35" s="10" t="n">
        <v>3211.18807255655</v>
      </c>
      <c r="O35" s="10" t="n">
        <v>3283.35464622401</v>
      </c>
      <c r="P35" s="10" t="n">
        <v>138207.542317586</v>
      </c>
      <c r="Q35" s="10">
        <f>P35/F35</f>
        <v/>
      </c>
      <c r="R35" s="13" t="n">
        <v>1.28609206891345</v>
      </c>
    </row>
    <row r="36">
      <c r="A36" s="9" t="inlineStr">
        <is>
          <t>001</t>
        </is>
      </c>
      <c r="B36" s="9" t="inlineStr">
        <is>
          <t>SAMPA OTOMOTIV IH72025000002686-3005</t>
        </is>
      </c>
      <c r="C36" s="9" t="n">
        <v>35</v>
      </c>
      <c r="D36" s="9" t="n">
        <v>15</v>
      </c>
      <c r="E36" s="9" t="inlineStr">
        <is>
          <t>SOLENOID VALVE</t>
        </is>
      </c>
      <c r="F36" s="9" t="n">
        <v>37</v>
      </c>
      <c r="G36" s="9" t="inlineStr">
        <is>
          <t>USD</t>
        </is>
      </c>
      <c r="H36" s="10" t="n">
        <v>73.11</v>
      </c>
      <c r="I36" s="10" t="n">
        <v>2705.07</v>
      </c>
      <c r="J36" s="10" t="n">
        <v>353620</v>
      </c>
      <c r="K36" s="12" t="n">
        <v>0.15</v>
      </c>
      <c r="L36" s="10" t="n">
        <v>53043</v>
      </c>
      <c r="M36" s="10" t="n">
        <v>10608.6</v>
      </c>
      <c r="N36" s="10" t="n">
        <v>9931.08</v>
      </c>
      <c r="O36" s="10" t="n">
        <v>10154.2256451037</v>
      </c>
      <c r="P36" s="10" t="n">
        <v>427425.825645104</v>
      </c>
      <c r="Q36" s="10">
        <f>P36/F36</f>
        <v/>
      </c>
      <c r="R36" s="13" t="n">
        <v>1.22213069442847</v>
      </c>
    </row>
    <row r="37">
      <c r="A37" s="9" t="inlineStr">
        <is>
          <t>001</t>
        </is>
      </c>
      <c r="B37" s="9" t="inlineStr">
        <is>
          <t>SAMPA OTOMOTIV IH72025000002686-3005</t>
        </is>
      </c>
      <c r="C37" s="9" t="n">
        <v>36</v>
      </c>
      <c r="D37" s="9" t="n">
        <v>16</v>
      </c>
      <c r="E37" s="9" t="inlineStr">
        <is>
          <t>BALLON D'AIR</t>
        </is>
      </c>
      <c r="F37" s="9" t="n">
        <v>8</v>
      </c>
      <c r="G37" s="9" t="inlineStr">
        <is>
          <t>USD</t>
        </is>
      </c>
      <c r="H37" s="10" t="n">
        <v>50</v>
      </c>
      <c r="I37" s="10" t="n">
        <v>400</v>
      </c>
      <c r="J37" s="10" t="n">
        <v>57256.4285714286</v>
      </c>
      <c r="K37" s="12" t="n">
        <v>0.15</v>
      </c>
      <c r="L37" s="10" t="n">
        <v>8588.46428571429</v>
      </c>
      <c r="M37" s="10" t="n">
        <v>1717.69285714286</v>
      </c>
      <c r="N37" s="10" t="n">
        <v>1608</v>
      </c>
      <c r="O37" s="10" t="n">
        <v>1644.12277401462</v>
      </c>
      <c r="P37" s="10" t="n">
        <v>69206.7084883003</v>
      </c>
      <c r="Q37" s="10">
        <f>P37/F37</f>
        <v/>
      </c>
      <c r="R37" s="13" t="n">
        <v>1.33820794370443</v>
      </c>
    </row>
    <row r="38">
      <c r="A38" s="9" t="inlineStr">
        <is>
          <t>001</t>
        </is>
      </c>
      <c r="B38" s="9" t="inlineStr">
        <is>
          <t>SAMPA OTOMOTIV IH72025000002686-3005</t>
        </is>
      </c>
      <c r="C38" s="9" t="n">
        <v>37</v>
      </c>
      <c r="D38" s="9" t="n">
        <v>16</v>
      </c>
      <c r="E38" s="9" t="inlineStr">
        <is>
          <t>BALLON D'AIR</t>
        </is>
      </c>
      <c r="F38" s="9" t="n">
        <v>4</v>
      </c>
      <c r="G38" s="9" t="inlineStr">
        <is>
          <t>USD</t>
        </is>
      </c>
      <c r="H38" s="10" t="n">
        <v>40</v>
      </c>
      <c r="I38" s="10" t="n">
        <v>160</v>
      </c>
      <c r="J38" s="10" t="n">
        <v>22902.5714285714</v>
      </c>
      <c r="K38" s="12" t="n">
        <v>0.15</v>
      </c>
      <c r="L38" s="10" t="n">
        <v>3435.38571428571</v>
      </c>
      <c r="M38" s="10" t="n">
        <v>687.077142857143</v>
      </c>
      <c r="N38" s="10" t="n">
        <v>643.2</v>
      </c>
      <c r="O38" s="10" t="n">
        <v>657.649109605848</v>
      </c>
      <c r="P38" s="10" t="n">
        <v>27682.6833953201</v>
      </c>
      <c r="Q38" s="10">
        <f>P38/F38</f>
        <v/>
      </c>
      <c r="R38" s="13" t="n">
        <v>1.33820794370443</v>
      </c>
    </row>
    <row r="39">
      <c r="A39" s="9" t="inlineStr">
        <is>
          <t>001</t>
        </is>
      </c>
      <c r="B39" s="9" t="inlineStr">
        <is>
          <t>SAMPA OTOMOTIV IH72025000002686-3005</t>
        </is>
      </c>
      <c r="C39" s="9" t="n">
        <v>38</v>
      </c>
      <c r="D39" s="9" t="n">
        <v>17</v>
      </c>
      <c r="E39" s="9" t="inlineStr">
        <is>
          <t>NUT, DIFFERENTIAL</t>
        </is>
      </c>
      <c r="F39" s="9" t="n">
        <v>22</v>
      </c>
      <c r="G39" s="9" t="inlineStr">
        <is>
          <t>USD</t>
        </is>
      </c>
      <c r="H39" s="10" t="n">
        <v>1.7</v>
      </c>
      <c r="I39" s="10" t="n">
        <v>37.4</v>
      </c>
      <c r="J39" s="10" t="n">
        <v>8714</v>
      </c>
      <c r="K39" s="12" t="n">
        <v>0.15</v>
      </c>
      <c r="L39" s="10" t="n">
        <v>1307.1</v>
      </c>
      <c r="M39" s="10" t="n">
        <v>261.42</v>
      </c>
      <c r="N39" s="10" t="n">
        <v>244.74</v>
      </c>
      <c r="O39" s="10" t="n">
        <v>250.223183845467</v>
      </c>
      <c r="P39" s="10" t="n">
        <v>10532.7431838455</v>
      </c>
      <c r="Q39" s="10">
        <f>P39/F39</f>
        <v/>
      </c>
      <c r="R39" s="13" t="n">
        <v>2.17823781517876</v>
      </c>
    </row>
    <row r="40">
      <c r="A40" s="9" t="inlineStr">
        <is>
          <t>001</t>
        </is>
      </c>
      <c r="B40" s="9" t="inlineStr">
        <is>
          <t>SAMPA OTOMOTIV IH72025000002686-3005</t>
        </is>
      </c>
      <c r="C40" s="9" t="n">
        <v>39</v>
      </c>
      <c r="D40" s="9" t="n">
        <v>18</v>
      </c>
      <c r="E40" s="9" t="inlineStr">
        <is>
          <t>SPIRAL CARRIER, STEERING LOCK</t>
        </is>
      </c>
      <c r="F40" s="9" t="n">
        <v>16</v>
      </c>
      <c r="G40" s="9" t="inlineStr">
        <is>
          <t>USD</t>
        </is>
      </c>
      <c r="H40" s="10" t="n">
        <v>16.86</v>
      </c>
      <c r="I40" s="10" t="n">
        <v>269.76</v>
      </c>
      <c r="J40" s="10" t="n">
        <v>38755</v>
      </c>
      <c r="K40" s="12" t="n">
        <v>0.15</v>
      </c>
      <c r="L40" s="10" t="n">
        <v>5813.25</v>
      </c>
      <c r="M40" s="10" t="n">
        <v>1162.65</v>
      </c>
      <c r="N40" s="10" t="n">
        <v>1088.4</v>
      </c>
      <c r="O40" s="10" t="n">
        <v>1112.85282188789</v>
      </c>
      <c r="P40" s="10" t="n">
        <v>46843.7528218879</v>
      </c>
      <c r="Q40" s="10">
        <f>P40/F40</f>
        <v/>
      </c>
      <c r="R40" s="13" t="n">
        <v>1.34310364647836</v>
      </c>
    </row>
    <row r="41">
      <c r="A41" s="9" t="inlineStr">
        <is>
          <t>001</t>
        </is>
      </c>
      <c r="B41" s="9" t="inlineStr">
        <is>
          <t>SAMPA OTOMOTIV IH72025000002686-3005</t>
        </is>
      </c>
      <c r="C41" s="9" t="n">
        <v>40</v>
      </c>
      <c r="D41" s="9" t="n">
        <v>1</v>
      </c>
      <c r="E41" s="9" t="inlineStr">
        <is>
          <t>AIR BELLOW, WITH SHOCK ABSORBER, CAB</t>
        </is>
      </c>
      <c r="F41" s="9" t="n">
        <v>19</v>
      </c>
      <c r="G41" s="9" t="inlineStr">
        <is>
          <t>USD</t>
        </is>
      </c>
      <c r="H41" s="10" t="n">
        <v>29</v>
      </c>
      <c r="I41" s="10" t="n">
        <v>551</v>
      </c>
      <c r="J41" s="10" t="n">
        <v>73276.391383532</v>
      </c>
      <c r="K41" s="12" t="n">
        <v>0.15</v>
      </c>
      <c r="L41" s="10" t="n">
        <v>10991.4587075298</v>
      </c>
      <c r="M41" s="10" t="n">
        <v>2198.29174150596</v>
      </c>
      <c r="N41" s="10" t="n">
        <v>2057.89424386092</v>
      </c>
      <c r="O41" s="10" t="n">
        <v>2104.1372449729</v>
      </c>
      <c r="P41" s="10" t="n">
        <v>88570.2790775407</v>
      </c>
      <c r="Q41" s="10">
        <f>P41/F41</f>
        <v/>
      </c>
      <c r="R41" s="13" t="n">
        <v>1.24328820833033</v>
      </c>
    </row>
    <row r="42">
      <c r="A42" s="9" t="inlineStr">
        <is>
          <t>002</t>
        </is>
      </c>
      <c r="B42" s="9" t="inlineStr">
        <is>
          <t>BS MOTOR GTS2406321-B</t>
        </is>
      </c>
      <c r="C42" s="9" t="n">
        <v>1</v>
      </c>
      <c r="D42" s="9" t="n">
        <v>1</v>
      </c>
      <c r="E42" s="9" t="inlineStr">
        <is>
          <t>POMPE A EAU</t>
        </is>
      </c>
      <c r="F42" s="9" t="n">
        <v>160</v>
      </c>
      <c r="G42" s="9" t="inlineStr">
        <is>
          <t>USD</t>
        </is>
      </c>
      <c r="H42" s="10" t="n">
        <v>28.6</v>
      </c>
      <c r="I42" s="10" t="n">
        <v>4576</v>
      </c>
      <c r="J42" s="10" t="n">
        <v>610751</v>
      </c>
      <c r="K42" s="12" t="n">
        <v>0.05</v>
      </c>
      <c r="L42" s="10" t="n">
        <v>30537.55</v>
      </c>
      <c r="M42" s="10" t="n">
        <v>18322.53</v>
      </c>
      <c r="N42" s="10" t="n">
        <v>15698.74</v>
      </c>
      <c r="O42" s="10" t="n">
        <v>8624.950587202149</v>
      </c>
      <c r="P42" s="10" t="n">
        <v>668236.0305872021</v>
      </c>
      <c r="Q42" s="10">
        <f>P42/F42</f>
        <v/>
      </c>
      <c r="R42" s="13" t="n">
        <v>1.11731320364398</v>
      </c>
    </row>
    <row r="43">
      <c r="A43" s="9" t="inlineStr">
        <is>
          <t>002</t>
        </is>
      </c>
      <c r="B43" s="9" t="inlineStr">
        <is>
          <t>BS MOTOR GTS2406321-B</t>
        </is>
      </c>
      <c r="C43" s="9" t="n">
        <v>2</v>
      </c>
      <c r="D43" s="9" t="n">
        <v>2</v>
      </c>
      <c r="E43" s="9" t="inlineStr">
        <is>
          <t>ALTERNATEUR</t>
        </is>
      </c>
      <c r="F43" s="9" t="n">
        <v>40</v>
      </c>
      <c r="G43" s="9" t="inlineStr">
        <is>
          <t>USD</t>
        </is>
      </c>
      <c r="H43" s="10" t="n">
        <v>77.2</v>
      </c>
      <c r="I43" s="10" t="n">
        <v>3088</v>
      </c>
      <c r="J43" s="10" t="n">
        <v>421081.773399015</v>
      </c>
      <c r="K43" s="12" t="n">
        <v>0.15</v>
      </c>
      <c r="L43" s="10" t="n">
        <v>63162.2660098522</v>
      </c>
      <c r="M43" s="10" t="n">
        <v>12632.4532019704</v>
      </c>
      <c r="N43" s="10" t="n">
        <v>11825.6591133005</v>
      </c>
      <c r="O43" s="10" t="n">
        <v>5946.46507126137</v>
      </c>
      <c r="P43" s="10" t="n">
        <v>502822.957682099</v>
      </c>
      <c r="Q43" s="10">
        <f>P43/F43</f>
        <v/>
      </c>
      <c r="R43" s="13" t="n">
        <v>1.24585891658201</v>
      </c>
    </row>
    <row r="44">
      <c r="A44" s="9" t="inlineStr">
        <is>
          <t>002</t>
        </is>
      </c>
      <c r="B44" s="9" t="inlineStr">
        <is>
          <t>BS MOTOR GTS2406321-B</t>
        </is>
      </c>
      <c r="C44" s="9" t="n">
        <v>3</v>
      </c>
      <c r="D44" s="9" t="n">
        <v>2</v>
      </c>
      <c r="E44" s="9" t="inlineStr">
        <is>
          <t>ALTERNATEUR</t>
        </is>
      </c>
      <c r="F44" s="9" t="n">
        <v>12</v>
      </c>
      <c r="G44" s="9" t="inlineStr">
        <is>
          <t>USD</t>
        </is>
      </c>
      <c r="H44" s="10" t="n">
        <v>65</v>
      </c>
      <c r="I44" s="10" t="n">
        <v>780</v>
      </c>
      <c r="J44" s="10" t="n">
        <v>106361.328773067</v>
      </c>
      <c r="K44" s="12" t="n">
        <v>0.15</v>
      </c>
      <c r="L44" s="10" t="n">
        <v>15954.1993159601</v>
      </c>
      <c r="M44" s="10" t="n">
        <v>3190.83986319202</v>
      </c>
      <c r="N44" s="10" t="n">
        <v>2987.05120089844</v>
      </c>
      <c r="O44" s="10" t="n">
        <v>1502.02161774089</v>
      </c>
      <c r="P44" s="10" t="n">
        <v>127008.38956996</v>
      </c>
      <c r="Q44" s="10">
        <f>P44/F44</f>
        <v/>
      </c>
      <c r="R44" s="13" t="n">
        <v>1.24585891658201</v>
      </c>
    </row>
    <row r="45">
      <c r="A45" s="9" t="inlineStr">
        <is>
          <t>002</t>
        </is>
      </c>
      <c r="B45" s="9" t="inlineStr">
        <is>
          <t>BS MOTOR GTS2406321-B</t>
        </is>
      </c>
      <c r="C45" s="9" t="n">
        <v>4</v>
      </c>
      <c r="D45" s="9" t="n">
        <v>3</v>
      </c>
      <c r="E45" s="9" t="inlineStr">
        <is>
          <t>REGULATEUR ALTERNATEUR (generator)</t>
        </is>
      </c>
      <c r="F45" s="9" t="n">
        <v>32</v>
      </c>
      <c r="G45" s="9" t="inlineStr">
        <is>
          <t>USD</t>
        </is>
      </c>
      <c r="H45" s="10" t="n">
        <v>6.5</v>
      </c>
      <c r="I45" s="10" t="n">
        <v>208</v>
      </c>
      <c r="J45" s="10" t="n">
        <v>31739.3989637306</v>
      </c>
      <c r="K45" s="12" t="n">
        <v>0.15</v>
      </c>
      <c r="L45" s="10" t="n">
        <v>4760.90984455959</v>
      </c>
      <c r="M45" s="10" t="n">
        <v>952.181968911917</v>
      </c>
      <c r="N45" s="10" t="n">
        <v>891.371606217617</v>
      </c>
      <c r="O45" s="10" t="n">
        <v>448.21989277082</v>
      </c>
      <c r="P45" s="10" t="n">
        <v>37900.7106699729</v>
      </c>
      <c r="Q45" s="10">
        <f>P45/F45</f>
        <v/>
      </c>
      <c r="R45" s="13" t="n">
        <v>1.39416789196545</v>
      </c>
    </row>
    <row r="46">
      <c r="A46" s="9" t="inlineStr">
        <is>
          <t>002</t>
        </is>
      </c>
      <c r="B46" s="9" t="inlineStr">
        <is>
          <t>BS MOTOR GTS2406321-B</t>
        </is>
      </c>
      <c r="C46" s="9" t="n">
        <v>5</v>
      </c>
      <c r="D46" s="9" t="n">
        <v>3</v>
      </c>
      <c r="E46" s="9" t="inlineStr">
        <is>
          <t>REGULATEUR</t>
        </is>
      </c>
      <c r="F46" s="9" t="n">
        <v>40</v>
      </c>
      <c r="G46" s="9" t="inlineStr">
        <is>
          <t>USD</t>
        </is>
      </c>
      <c r="H46" s="10" t="n">
        <v>23.75</v>
      </c>
      <c r="I46" s="10" t="n">
        <v>950</v>
      </c>
      <c r="J46" s="10" t="n">
        <v>144963.601036269</v>
      </c>
      <c r="K46" s="12" t="n">
        <v>0.15</v>
      </c>
      <c r="L46" s="10" t="n">
        <v>21744.5401554404</v>
      </c>
      <c r="M46" s="10" t="n">
        <v>4348.90803108808</v>
      </c>
      <c r="N46" s="10" t="n">
        <v>4071.16839378238</v>
      </c>
      <c r="O46" s="10" t="n">
        <v>2047.1581640975</v>
      </c>
      <c r="P46" s="10" t="n">
        <v>173104.207386895</v>
      </c>
      <c r="Q46" s="10">
        <f>P46/F46</f>
        <v/>
      </c>
      <c r="R46" s="13" t="n">
        <v>1.39416789196545</v>
      </c>
    </row>
    <row r="47">
      <c r="A47" s="9" t="inlineStr">
        <is>
          <t>002</t>
        </is>
      </c>
      <c r="B47" s="9" t="inlineStr">
        <is>
          <t>BS MOTOR GTS2406321-B</t>
        </is>
      </c>
      <c r="C47" s="9" t="n">
        <v>6</v>
      </c>
      <c r="D47" s="9" t="n">
        <v>2</v>
      </c>
      <c r="E47" s="9" t="inlineStr">
        <is>
          <t>ALTERNATEUR</t>
        </is>
      </c>
      <c r="F47" s="9" t="n">
        <v>20</v>
      </c>
      <c r="G47" s="9" t="inlineStr">
        <is>
          <t>USD</t>
        </is>
      </c>
      <c r="H47" s="10" t="n">
        <v>77</v>
      </c>
      <c r="I47" s="10" t="n">
        <v>1540</v>
      </c>
      <c r="J47" s="10" t="n">
        <v>209995.443987851</v>
      </c>
      <c r="K47" s="12" t="n">
        <v>0.15</v>
      </c>
      <c r="L47" s="10" t="n">
        <v>31499.3165981776</v>
      </c>
      <c r="M47" s="10" t="n">
        <v>6299.86331963552</v>
      </c>
      <c r="N47" s="10" t="n">
        <v>5897.51134536359</v>
      </c>
      <c r="O47" s="10" t="n">
        <v>2965.52986066791</v>
      </c>
      <c r="P47" s="10" t="n">
        <v>250760.153766332</v>
      </c>
      <c r="Q47" s="10">
        <f>P47/F47</f>
        <v/>
      </c>
      <c r="R47" s="13" t="n">
        <v>1.24585891658201</v>
      </c>
    </row>
    <row r="48">
      <c r="A48" s="9" t="inlineStr">
        <is>
          <t>002</t>
        </is>
      </c>
      <c r="B48" s="9" t="inlineStr">
        <is>
          <t>BS MOTOR GTS2406321-B</t>
        </is>
      </c>
      <c r="C48" s="9" t="n">
        <v>7</v>
      </c>
      <c r="D48" s="9" t="n">
        <v>2</v>
      </c>
      <c r="E48" s="9" t="inlineStr">
        <is>
          <t>ALTERNATEUR</t>
        </is>
      </c>
      <c r="F48" s="9" t="n">
        <v>20</v>
      </c>
      <c r="G48" s="9" t="inlineStr">
        <is>
          <t>USD</t>
        </is>
      </c>
      <c r="H48" s="10" t="n">
        <v>156.75</v>
      </c>
      <c r="I48" s="10" t="n">
        <v>3135</v>
      </c>
      <c r="J48" s="10" t="n">
        <v>427490.725260982</v>
      </c>
      <c r="K48" s="12" t="n">
        <v>0.15</v>
      </c>
      <c r="L48" s="10" t="n">
        <v>64123.6087891473</v>
      </c>
      <c r="M48" s="10" t="n">
        <v>12824.7217578295</v>
      </c>
      <c r="N48" s="10" t="n">
        <v>12005.6480959187</v>
      </c>
      <c r="O48" s="10" t="n">
        <v>6036.97150207396</v>
      </c>
      <c r="P48" s="10" t="n">
        <v>510476.027310032</v>
      </c>
      <c r="Q48" s="10">
        <f>P48/F48</f>
        <v/>
      </c>
      <c r="R48" s="13" t="n">
        <v>1.24585891658201</v>
      </c>
    </row>
    <row r="49">
      <c r="A49" s="9" t="inlineStr">
        <is>
          <t>002</t>
        </is>
      </c>
      <c r="B49" s="9" t="inlineStr">
        <is>
          <t>BS MOTOR GTS2406321-B</t>
        </is>
      </c>
      <c r="C49" s="9" t="n">
        <v>8</v>
      </c>
      <c r="D49" s="9" t="n">
        <v>2</v>
      </c>
      <c r="E49" s="9" t="inlineStr">
        <is>
          <t>ALTERNATEUR</t>
        </is>
      </c>
      <c r="F49" s="9" t="n">
        <v>60</v>
      </c>
      <c r="G49" s="9" t="inlineStr">
        <is>
          <t>USD</t>
        </is>
      </c>
      <c r="H49" s="10" t="n">
        <v>72</v>
      </c>
      <c r="I49" s="10" t="n">
        <v>4320</v>
      </c>
      <c r="J49" s="10" t="n">
        <v>589078.128589295</v>
      </c>
      <c r="K49" s="12" t="n">
        <v>0.15</v>
      </c>
      <c r="L49" s="10" t="n">
        <v>88361.71928839431</v>
      </c>
      <c r="M49" s="10" t="n">
        <v>17672.3438576789</v>
      </c>
      <c r="N49" s="10" t="n">
        <v>16543.6681895914</v>
      </c>
      <c r="O49" s="10" t="n">
        <v>8318.8889597957</v>
      </c>
      <c r="P49" s="10" t="n">
        <v>703431.080695164</v>
      </c>
      <c r="Q49" s="10">
        <f>P49/F49</f>
        <v/>
      </c>
      <c r="R49" s="13" t="n">
        <v>1.24585891658201</v>
      </c>
    </row>
    <row r="50">
      <c r="A50" s="9" t="inlineStr">
        <is>
          <t>002</t>
        </is>
      </c>
      <c r="B50" s="9" t="inlineStr">
        <is>
          <t>BS MOTOR GTS2406321-B</t>
        </is>
      </c>
      <c r="C50" s="9" t="n">
        <v>9</v>
      </c>
      <c r="D50" s="9" t="n">
        <v>2</v>
      </c>
      <c r="E50" s="9" t="inlineStr">
        <is>
          <t>ALTERNATEUR</t>
        </is>
      </c>
      <c r="F50" s="9" t="n">
        <v>12</v>
      </c>
      <c r="G50" s="9" t="inlineStr">
        <is>
          <t>USD</t>
        </is>
      </c>
      <c r="H50" s="10" t="n">
        <v>94.05</v>
      </c>
      <c r="I50" s="10" t="n">
        <v>1128.6</v>
      </c>
      <c r="J50" s="10" t="n">
        <v>153896.661093953</v>
      </c>
      <c r="K50" s="12" t="n">
        <v>0.15</v>
      </c>
      <c r="L50" s="10" t="n">
        <v>23084.499164093</v>
      </c>
      <c r="M50" s="10" t="n">
        <v>4616.8998328186</v>
      </c>
      <c r="N50" s="10" t="n">
        <v>4322.03331453074</v>
      </c>
      <c r="O50" s="10" t="n">
        <v>2173.30974074663</v>
      </c>
      <c r="P50" s="10" t="n">
        <v>183771.369831612</v>
      </c>
      <c r="Q50" s="10">
        <f>P50/F50</f>
        <v/>
      </c>
      <c r="R50" s="13" t="n">
        <v>1.24585891658201</v>
      </c>
    </row>
    <row r="51">
      <c r="A51" s="9" t="inlineStr">
        <is>
          <t>002</t>
        </is>
      </c>
      <c r="B51" s="9" t="inlineStr">
        <is>
          <t>BS MOTOR GTS2406321-B</t>
        </is>
      </c>
      <c r="C51" s="9" t="n">
        <v>10</v>
      </c>
      <c r="D51" s="9" t="n">
        <v>2</v>
      </c>
      <c r="E51" s="9" t="inlineStr">
        <is>
          <t>ALTERNATEUR</t>
        </is>
      </c>
      <c r="F51" s="9" t="n">
        <v>24</v>
      </c>
      <c r="G51" s="9" t="inlineStr">
        <is>
          <t>USD</t>
        </is>
      </c>
      <c r="H51" s="10" t="n">
        <v>70</v>
      </c>
      <c r="I51" s="10" t="n">
        <v>1680</v>
      </c>
      <c r="J51" s="10" t="n">
        <v>229085.938895837</v>
      </c>
      <c r="K51" s="12" t="n">
        <v>0.15</v>
      </c>
      <c r="L51" s="10" t="n">
        <v>34362.8908343756</v>
      </c>
      <c r="M51" s="10" t="n">
        <v>6872.57816687511</v>
      </c>
      <c r="N51" s="10" t="n">
        <v>6433.64874039664</v>
      </c>
      <c r="O51" s="10" t="n">
        <v>3235.123484365</v>
      </c>
      <c r="P51" s="10" t="n">
        <v>273556.531381453</v>
      </c>
      <c r="Q51" s="10">
        <f>P51/F51</f>
        <v/>
      </c>
      <c r="R51" s="13" t="n">
        <v>1.24585891658201</v>
      </c>
    </row>
    <row r="52">
      <c r="A52" s="9" t="inlineStr">
        <is>
          <t>002</t>
        </is>
      </c>
      <c r="B52" s="9" t="inlineStr">
        <is>
          <t>BS MOTOR GTS2406321-B</t>
        </is>
      </c>
      <c r="C52" s="9" t="n">
        <v>11</v>
      </c>
      <c r="D52" s="9" t="n">
        <v>4</v>
      </c>
      <c r="E52" s="9" t="inlineStr">
        <is>
          <t>COMMODO</t>
        </is>
      </c>
      <c r="F52" s="9" t="n">
        <v>160</v>
      </c>
      <c r="G52" s="9" t="inlineStr">
        <is>
          <t>USD</t>
        </is>
      </c>
      <c r="H52" s="10" t="n">
        <v>24.5</v>
      </c>
      <c r="I52" s="10" t="n">
        <v>3920</v>
      </c>
      <c r="J52" s="10" t="n">
        <v>525013</v>
      </c>
      <c r="K52" s="12" t="n">
        <v>0.15</v>
      </c>
      <c r="L52" s="10" t="n">
        <v>78751.95</v>
      </c>
      <c r="M52" s="10" t="n">
        <v>15750.39</v>
      </c>
      <c r="N52" s="10" t="n">
        <v>14744.46</v>
      </c>
      <c r="O52" s="10" t="n">
        <v>7414.16908468224</v>
      </c>
      <c r="P52" s="10" t="n">
        <v>626929.509084682</v>
      </c>
      <c r="Q52" s="10">
        <f>P52/F52</f>
        <v/>
      </c>
      <c r="R52" s="13" t="n">
        <v>1.22366828272414</v>
      </c>
    </row>
    <row r="53">
      <c r="A53" s="9" t="inlineStr">
        <is>
          <t>002</t>
        </is>
      </c>
      <c r="B53" s="9" t="inlineStr">
        <is>
          <t>BS MOTOR GTS2406321-B</t>
        </is>
      </c>
      <c r="C53" s="9" t="n">
        <v>12</v>
      </c>
      <c r="D53" s="9" t="n">
        <v>5</v>
      </c>
      <c r="E53" s="9" t="inlineStr">
        <is>
          <t>LANCEUR DEMARREUR</t>
        </is>
      </c>
      <c r="F53" s="9" t="n">
        <v>210</v>
      </c>
      <c r="G53" s="9" t="inlineStr">
        <is>
          <t>USD</t>
        </is>
      </c>
      <c r="H53" s="10" t="n">
        <v>10.5</v>
      </c>
      <c r="I53" s="10" t="n">
        <v>2205</v>
      </c>
      <c r="J53" s="10" t="n">
        <v>300866</v>
      </c>
      <c r="K53" s="12" t="n">
        <v>0.15</v>
      </c>
      <c r="L53" s="10" t="n">
        <v>45129.9</v>
      </c>
      <c r="M53" s="10" t="n">
        <v>9025.98</v>
      </c>
      <c r="N53" s="10" t="n">
        <v>8449.52</v>
      </c>
      <c r="O53" s="10" t="n">
        <v>4248.79268862296</v>
      </c>
      <c r="P53" s="10" t="n">
        <v>359270.672688623</v>
      </c>
      <c r="Q53" s="10">
        <f>P53/F53</f>
        <v/>
      </c>
      <c r="R53" s="13" t="n">
        <v>1.24664911044559</v>
      </c>
    </row>
    <row r="54">
      <c r="A54" s="9" t="inlineStr">
        <is>
          <t>002</t>
        </is>
      </c>
      <c r="B54" s="9" t="inlineStr">
        <is>
          <t>BS MOTOR GTS2406321-B</t>
        </is>
      </c>
      <c r="C54" s="9" t="n">
        <v>13</v>
      </c>
      <c r="D54" s="9" t="n">
        <v>6</v>
      </c>
      <c r="E54" s="9" t="inlineStr">
        <is>
          <t>MOTEUR ESSUIE GLACE</t>
        </is>
      </c>
      <c r="F54" s="9" t="n">
        <v>260</v>
      </c>
      <c r="G54" s="9" t="inlineStr">
        <is>
          <t>USD</t>
        </is>
      </c>
      <c r="H54" s="10" t="n">
        <v>13.5</v>
      </c>
      <c r="I54" s="10" t="n">
        <v>3510</v>
      </c>
      <c r="J54" s="10" t="n">
        <v>471427</v>
      </c>
      <c r="K54" s="12" t="n">
        <v>0.15</v>
      </c>
      <c r="L54" s="10" t="n">
        <v>70714.05</v>
      </c>
      <c r="M54" s="10" t="n">
        <v>14142.81</v>
      </c>
      <c r="N54" s="10" t="n">
        <v>13239.56</v>
      </c>
      <c r="O54" s="10" t="n">
        <v>6657.43417607658</v>
      </c>
      <c r="P54" s="10" t="n">
        <v>562941.294176077</v>
      </c>
      <c r="Q54" s="10">
        <f>P54/F54</f>
        <v/>
      </c>
      <c r="R54" s="13" t="n">
        <v>1.22712004080322</v>
      </c>
    </row>
    <row r="55">
      <c r="A55" s="9" t="inlineStr">
        <is>
          <t>002</t>
        </is>
      </c>
      <c r="B55" s="9" t="inlineStr">
        <is>
          <t>BS MOTOR GTS2406321-B</t>
        </is>
      </c>
      <c r="C55" s="9" t="n">
        <v>14</v>
      </c>
      <c r="D55" s="9" t="n">
        <v>7</v>
      </c>
      <c r="E55" s="9" t="inlineStr">
        <is>
          <t>POMPE A HUILE</t>
        </is>
      </c>
      <c r="F55" s="9" t="n">
        <v>300</v>
      </c>
      <c r="G55" s="9" t="inlineStr">
        <is>
          <t>USD</t>
        </is>
      </c>
      <c r="H55" s="10" t="n">
        <v>22.45</v>
      </c>
      <c r="I55" s="10" t="n">
        <v>6735</v>
      </c>
      <c r="J55" s="10" t="n">
        <v>895383.187416925</v>
      </c>
      <c r="K55" s="12" t="n">
        <v>0.05</v>
      </c>
      <c r="L55" s="10" t="n">
        <v>44769.1593708463</v>
      </c>
      <c r="M55" s="10" t="n">
        <v>26861.4956225078</v>
      </c>
      <c r="N55" s="10" t="n">
        <v>23014.9362959681</v>
      </c>
      <c r="O55" s="10" t="n">
        <v>12644.4913689581</v>
      </c>
      <c r="P55" s="10" t="n">
        <v>979658.333779237</v>
      </c>
      <c r="Q55" s="10">
        <f>P55/F55</f>
        <v/>
      </c>
      <c r="R55" s="13" t="n">
        <v>1.11293063045804</v>
      </c>
    </row>
    <row r="56">
      <c r="A56" s="9" t="inlineStr">
        <is>
          <t>002</t>
        </is>
      </c>
      <c r="B56" s="9" t="inlineStr">
        <is>
          <t>BS MOTOR GTS2406321-B</t>
        </is>
      </c>
      <c r="C56" s="9" t="n">
        <v>15</v>
      </c>
      <c r="D56" s="9" t="n">
        <v>8</v>
      </c>
      <c r="E56" s="9" t="inlineStr">
        <is>
          <t>CASSETTE</t>
        </is>
      </c>
      <c r="F56" s="9" t="n">
        <v>770</v>
      </c>
      <c r="G56" s="9" t="inlineStr">
        <is>
          <t>USD</t>
        </is>
      </c>
      <c r="H56" s="10" t="n">
        <v>8.300000000000001</v>
      </c>
      <c r="I56" s="10" t="n">
        <v>6391</v>
      </c>
      <c r="J56" s="10" t="n">
        <v>855279.299864315</v>
      </c>
      <c r="K56" s="12" t="n">
        <v>0.15</v>
      </c>
      <c r="L56" s="10" t="n">
        <v>128291.894979647</v>
      </c>
      <c r="M56" s="10" t="n">
        <v>25658.3789959294</v>
      </c>
      <c r="N56" s="10" t="n">
        <v>24019.6594301221</v>
      </c>
      <c r="O56" s="10" t="n">
        <v>12078.1491959679</v>
      </c>
      <c r="P56" s="10" t="n">
        <v>1021307.72303586</v>
      </c>
      <c r="Q56" s="10">
        <f>P56/F56</f>
        <v/>
      </c>
      <c r="R56" s="13" t="n">
        <v>1.22269702809801</v>
      </c>
    </row>
    <row r="57">
      <c r="A57" s="9" t="inlineStr">
        <is>
          <t>002</t>
        </is>
      </c>
      <c r="B57" s="9" t="inlineStr">
        <is>
          <t>BS MOTOR GTS2406321-B</t>
        </is>
      </c>
      <c r="C57" s="9" t="n">
        <v>16</v>
      </c>
      <c r="D57" s="9" t="n">
        <v>8</v>
      </c>
      <c r="E57" s="9" t="inlineStr">
        <is>
          <t>CASSETTE</t>
        </is>
      </c>
      <c r="F57" s="9" t="n">
        <v>220</v>
      </c>
      <c r="G57" s="9" t="inlineStr">
        <is>
          <t>USD</t>
        </is>
      </c>
      <c r="H57" s="10" t="n">
        <v>7.8</v>
      </c>
      <c r="I57" s="10" t="n">
        <v>1716</v>
      </c>
      <c r="J57" s="10" t="n">
        <v>229644.700135685</v>
      </c>
      <c r="K57" s="12" t="n">
        <v>0.15</v>
      </c>
      <c r="L57" s="10" t="n">
        <v>34446.7050203528</v>
      </c>
      <c r="M57" s="10" t="n">
        <v>6889.34100407056</v>
      </c>
      <c r="N57" s="10" t="n">
        <v>6449.34056987788</v>
      </c>
      <c r="O57" s="10" t="n">
        <v>3243.01424194662</v>
      </c>
      <c r="P57" s="10" t="n">
        <v>274223.760402055</v>
      </c>
      <c r="Q57" s="10">
        <f>P57/F57</f>
        <v/>
      </c>
      <c r="R57" s="13" t="n">
        <v>1.22269702809801</v>
      </c>
    </row>
    <row r="58">
      <c r="A58" s="9" t="inlineStr">
        <is>
          <t>002</t>
        </is>
      </c>
      <c r="B58" s="9" t="inlineStr">
        <is>
          <t>BS MOTOR GTS2406321-B</t>
        </is>
      </c>
      <c r="C58" s="9" t="n">
        <v>17</v>
      </c>
      <c r="D58" s="9" t="n">
        <v>7</v>
      </c>
      <c r="E58" s="9" t="inlineStr">
        <is>
          <t>POMPE DIRECTION</t>
        </is>
      </c>
      <c r="F58" s="9" t="n">
        <v>70</v>
      </c>
      <c r="G58" s="9" t="inlineStr">
        <is>
          <t>USD</t>
        </is>
      </c>
      <c r="H58" s="10" t="n">
        <v>65</v>
      </c>
      <c r="I58" s="10" t="n">
        <v>4550</v>
      </c>
      <c r="J58" s="10" t="n">
        <v>604898.812583075</v>
      </c>
      <c r="K58" s="12" t="n">
        <v>0.05</v>
      </c>
      <c r="L58" s="10" t="n">
        <v>30244.9406291537</v>
      </c>
      <c r="M58" s="10" t="n">
        <v>18146.9643774922</v>
      </c>
      <c r="N58" s="10" t="n">
        <v>15548.3237040319</v>
      </c>
      <c r="O58" s="10" t="n">
        <v>8542.306715480239</v>
      </c>
      <c r="P58" s="10" t="n">
        <v>661833.024305201</v>
      </c>
      <c r="Q58" s="10">
        <f>P58/F58</f>
        <v/>
      </c>
      <c r="R58" s="13" t="n">
        <v>1.11293063045804</v>
      </c>
    </row>
    <row r="59">
      <c r="A59" s="9" t="inlineStr">
        <is>
          <t>002</t>
        </is>
      </c>
      <c r="B59" s="9" t="inlineStr">
        <is>
          <t>BS MOTOR GTS2406321-B</t>
        </is>
      </c>
      <c r="C59" s="9" t="n">
        <v>18</v>
      </c>
      <c r="D59" s="9" t="n">
        <v>9</v>
      </c>
      <c r="E59" s="9" t="inlineStr">
        <is>
          <t>CRIC HYDRAULIQUE</t>
        </is>
      </c>
      <c r="F59" s="9" t="n">
        <v>200</v>
      </c>
      <c r="G59" s="9" t="inlineStr">
        <is>
          <t>USD</t>
        </is>
      </c>
      <c r="H59" s="10" t="n">
        <v>48.2</v>
      </c>
      <c r="I59" s="10" t="n">
        <v>9640</v>
      </c>
      <c r="J59" s="10" t="n">
        <v>1275089</v>
      </c>
      <c r="K59" s="12" t="n">
        <v>0.05</v>
      </c>
      <c r="L59" s="10" t="n">
        <v>63754.45</v>
      </c>
      <c r="M59" s="10" t="n">
        <v>38252.67</v>
      </c>
      <c r="N59" s="10" t="n">
        <v>32774.88</v>
      </c>
      <c r="O59" s="10" t="n">
        <v>18006.6502048871</v>
      </c>
      <c r="P59" s="10" t="n">
        <v>1395102.77020489</v>
      </c>
      <c r="Q59" s="10">
        <f>P59/F59</f>
        <v/>
      </c>
      <c r="R59" s="13" t="n">
        <v>1.10728706160844</v>
      </c>
    </row>
    <row r="60">
      <c r="A60" s="9" t="inlineStr">
        <is>
          <t>002</t>
        </is>
      </c>
      <c r="B60" s="9" t="inlineStr">
        <is>
          <t>BS MOTOR GTS2406321-B</t>
        </is>
      </c>
      <c r="C60" s="9" t="n">
        <v>19</v>
      </c>
      <c r="D60" s="9" t="n">
        <v>10</v>
      </c>
      <c r="E60" s="9" t="inlineStr">
        <is>
          <t>PALIER CENTRAL</t>
        </is>
      </c>
      <c r="F60" s="9" t="n">
        <v>500</v>
      </c>
      <c r="G60" s="9" t="inlineStr">
        <is>
          <t>USD</t>
        </is>
      </c>
      <c r="H60" s="10" t="n">
        <v>13</v>
      </c>
      <c r="I60" s="10" t="n">
        <v>6500</v>
      </c>
      <c r="J60" s="10" t="n">
        <v>875287.96875</v>
      </c>
      <c r="K60" s="12" t="n">
        <v>0.15</v>
      </c>
      <c r="L60" s="10" t="n">
        <v>131293.1953125</v>
      </c>
      <c r="M60" s="10" t="n">
        <v>26258.6390625</v>
      </c>
      <c r="N60" s="10" t="n">
        <v>24581.5916666667</v>
      </c>
      <c r="O60" s="10" t="n">
        <v>12360.7091597743</v>
      </c>
      <c r="P60" s="10" t="n">
        <v>1045200.51228477</v>
      </c>
      <c r="Q60" s="10">
        <f>P60/F60</f>
        <v/>
      </c>
      <c r="R60" s="13" t="n">
        <v>1.23031782286678</v>
      </c>
    </row>
    <row r="61">
      <c r="A61" s="9" t="inlineStr">
        <is>
          <t>002</t>
        </is>
      </c>
      <c r="B61" s="9" t="inlineStr">
        <is>
          <t>BS MOTOR GTS2406321-B</t>
        </is>
      </c>
      <c r="C61" s="9" t="n">
        <v>20</v>
      </c>
      <c r="D61" s="9" t="n">
        <v>10</v>
      </c>
      <c r="E61" s="9" t="inlineStr">
        <is>
          <t>PALIER CENTRAL</t>
        </is>
      </c>
      <c r="F61" s="9" t="n">
        <v>200</v>
      </c>
      <c r="G61" s="9" t="inlineStr">
        <is>
          <t>USD</t>
        </is>
      </c>
      <c r="H61" s="10" t="n">
        <v>6.5</v>
      </c>
      <c r="I61" s="10" t="n">
        <v>1300</v>
      </c>
      <c r="J61" s="10" t="n">
        <v>175057.59375</v>
      </c>
      <c r="K61" s="12" t="n">
        <v>0.15</v>
      </c>
      <c r="L61" s="10" t="n">
        <v>26258.6390625</v>
      </c>
      <c r="M61" s="10" t="n">
        <v>5251.7278125</v>
      </c>
      <c r="N61" s="10" t="n">
        <v>4916.31833333333</v>
      </c>
      <c r="O61" s="10" t="n">
        <v>2472.14183195485</v>
      </c>
      <c r="P61" s="10" t="n">
        <v>209040.102456955</v>
      </c>
      <c r="Q61" s="10">
        <f>P61/F61</f>
        <v/>
      </c>
      <c r="R61" s="13" t="n">
        <v>1.23031782286678</v>
      </c>
    </row>
    <row r="62">
      <c r="A62" s="9" t="inlineStr">
        <is>
          <t>002</t>
        </is>
      </c>
      <c r="B62" s="9" t="inlineStr">
        <is>
          <t>BS MOTOR GTS2406321-B</t>
        </is>
      </c>
      <c r="C62" s="9" t="n">
        <v>21</v>
      </c>
      <c r="D62" s="9" t="n">
        <v>10</v>
      </c>
      <c r="E62" s="9" t="inlineStr">
        <is>
          <t>PALIER CENTRAL</t>
        </is>
      </c>
      <c r="F62" s="9" t="n">
        <v>200</v>
      </c>
      <c r="G62" s="9" t="inlineStr">
        <is>
          <t>USD</t>
        </is>
      </c>
      <c r="H62" s="10" t="n">
        <v>9</v>
      </c>
      <c r="I62" s="10" t="n">
        <v>1800</v>
      </c>
      <c r="J62" s="10" t="n">
        <v>242387.4375</v>
      </c>
      <c r="K62" s="12" t="n">
        <v>0.15</v>
      </c>
      <c r="L62" s="10" t="n">
        <v>36358.115625</v>
      </c>
      <c r="M62" s="10" t="n">
        <v>7271.623125</v>
      </c>
      <c r="N62" s="10" t="n">
        <v>6807.21</v>
      </c>
      <c r="O62" s="10" t="n">
        <v>3422.96561347595</v>
      </c>
      <c r="P62" s="10" t="n">
        <v>289440.141863476</v>
      </c>
      <c r="Q62" s="10">
        <f>P62/F62</f>
        <v/>
      </c>
      <c r="R62" s="13" t="n">
        <v>1.23031782286678</v>
      </c>
    </row>
    <row r="63">
      <c r="A63" s="9" t="inlineStr">
        <is>
          <t>002</t>
        </is>
      </c>
      <c r="B63" s="9" t="inlineStr">
        <is>
          <t>BS MOTOR GTS2406321-B</t>
        </is>
      </c>
      <c r="C63" s="9" t="n">
        <v>22</v>
      </c>
      <c r="D63" s="9" t="n">
        <v>11</v>
      </c>
      <c r="E63" s="9" t="inlineStr">
        <is>
          <t>SERVO EMBRAYAGE</t>
        </is>
      </c>
      <c r="F63" s="9" t="n">
        <v>50</v>
      </c>
      <c r="G63" s="9" t="inlineStr">
        <is>
          <t>USD</t>
        </is>
      </c>
      <c r="H63" s="10" t="n">
        <v>29</v>
      </c>
      <c r="I63" s="10" t="n">
        <v>1450</v>
      </c>
      <c r="J63" s="10" t="n">
        <v>196383.934579439</v>
      </c>
      <c r="K63" s="12" t="n">
        <v>0.15</v>
      </c>
      <c r="L63" s="10" t="n">
        <v>29457.5901869159</v>
      </c>
      <c r="M63" s="10" t="n">
        <v>5891.51803738318</v>
      </c>
      <c r="N63" s="10" t="n">
        <v>5515.24710280374</v>
      </c>
      <c r="O63" s="10" t="n">
        <v>2773.30979706624</v>
      </c>
      <c r="P63" s="10" t="n">
        <v>234506.352600805</v>
      </c>
      <c r="Q63" s="10">
        <f>P63/F63</f>
        <v/>
      </c>
      <c r="R63" s="13" t="n">
        <v>1.23742152928918</v>
      </c>
    </row>
    <row r="64">
      <c r="A64" s="9" t="inlineStr">
        <is>
          <t>002</t>
        </is>
      </c>
      <c r="B64" s="9" t="inlineStr">
        <is>
          <t>BS MOTOR GTS2406321-B</t>
        </is>
      </c>
      <c r="C64" s="9" t="n">
        <v>23</v>
      </c>
      <c r="D64" s="9" t="n">
        <v>11</v>
      </c>
      <c r="E64" s="9" t="inlineStr">
        <is>
          <t>SERVO EMBRAYAGE</t>
        </is>
      </c>
      <c r="F64" s="9" t="n">
        <v>150</v>
      </c>
      <c r="G64" s="9" t="inlineStr">
        <is>
          <t>USD</t>
        </is>
      </c>
      <c r="H64" s="10" t="n">
        <v>26</v>
      </c>
      <c r="I64" s="10" t="n">
        <v>3900</v>
      </c>
      <c r="J64" s="10" t="n">
        <v>528205.065420561</v>
      </c>
      <c r="K64" s="12" t="n">
        <v>0.15</v>
      </c>
      <c r="L64" s="10" t="n">
        <v>79230.75981308411</v>
      </c>
      <c r="M64" s="10" t="n">
        <v>15846.1519626168</v>
      </c>
      <c r="N64" s="10" t="n">
        <v>14834.1128971963</v>
      </c>
      <c r="O64" s="10" t="n">
        <v>7459.24704038506</v>
      </c>
      <c r="P64" s="10" t="n">
        <v>630741.224236647</v>
      </c>
      <c r="Q64" s="10">
        <f>P64/F64</f>
        <v/>
      </c>
      <c r="R64" s="13" t="n">
        <v>1.23742152928918</v>
      </c>
    </row>
    <row r="65">
      <c r="A65" s="9" t="inlineStr">
        <is>
          <t>003</t>
        </is>
      </c>
      <c r="B65" s="9" t="inlineStr">
        <is>
          <t>MS MOTORSERVICE 2330421560</t>
        </is>
      </c>
      <c r="C65" s="9" t="n">
        <v>1</v>
      </c>
      <c r="D65" s="9" t="n">
        <v>1</v>
      </c>
      <c r="E65" s="9" t="inlineStr">
        <is>
          <t>POMPE A EAU</t>
        </is>
      </c>
      <c r="F65" s="9" t="n">
        <v>123</v>
      </c>
      <c r="G65" s="9" t="inlineStr">
        <is>
          <t>EUR</t>
        </is>
      </c>
      <c r="H65" s="10" t="n">
        <v>17</v>
      </c>
      <c r="I65" s="10" t="n">
        <v>2091</v>
      </c>
      <c r="J65" s="10" t="n">
        <v>331082.934553132</v>
      </c>
      <c r="K65" s="12" t="n">
        <v>0</v>
      </c>
      <c r="L65" s="10" t="n">
        <v>0</v>
      </c>
      <c r="M65" s="10" t="n">
        <v>9932.48803659395</v>
      </c>
      <c r="N65" s="10" t="n">
        <v>8116.16495425756</v>
      </c>
      <c r="O65" s="10" t="n">
        <v>2799.30703549904</v>
      </c>
      <c r="P65" s="10" t="n">
        <v>343814.729625225</v>
      </c>
      <c r="Q65" s="10">
        <f>P65/F65</f>
        <v/>
      </c>
      <c r="R65" s="13" t="n">
        <v>1.05950037762336</v>
      </c>
    </row>
    <row r="66">
      <c r="A66" s="9" t="inlineStr">
        <is>
          <t>003</t>
        </is>
      </c>
      <c r="B66" s="9" t="inlineStr">
        <is>
          <t>MS MOTORSERVICE 2330421560</t>
        </is>
      </c>
      <c r="C66" s="9" t="n">
        <v>2</v>
      </c>
      <c r="D66" s="9" t="n">
        <v>2</v>
      </c>
      <c r="E66" s="9" t="inlineStr">
        <is>
          <t>POMPE A VIDE</t>
        </is>
      </c>
      <c r="F66" s="9" t="n">
        <v>24</v>
      </c>
      <c r="G66" s="9" t="inlineStr">
        <is>
          <t>EUR</t>
        </is>
      </c>
      <c r="H66" s="10" t="n">
        <v>64.7</v>
      </c>
      <c r="I66" s="10" t="n">
        <v>1552.8</v>
      </c>
      <c r="J66" s="10" t="n">
        <v>245793</v>
      </c>
      <c r="K66" s="12" t="n">
        <v>0</v>
      </c>
      <c r="L66" s="10" t="n">
        <v>0</v>
      </c>
      <c r="M66" s="10" t="n">
        <v>7373.79</v>
      </c>
      <c r="N66" s="10" t="n">
        <v>6025.38</v>
      </c>
      <c r="O66" s="10" t="n">
        <v>2078.18042662056</v>
      </c>
      <c r="P66" s="10" t="n">
        <v>255244.970426621</v>
      </c>
      <c r="Q66" s="10">
        <f>P66/F66</f>
        <v/>
      </c>
      <c r="R66" s="13" t="n">
        <v>1.05918626570694</v>
      </c>
    </row>
    <row r="67">
      <c r="A67" s="9" t="inlineStr">
        <is>
          <t>003</t>
        </is>
      </c>
      <c r="B67" s="9" t="inlineStr">
        <is>
          <t>MS MOTORSERVICE 2330421560</t>
        </is>
      </c>
      <c r="C67" s="9" t="n">
        <v>3</v>
      </c>
      <c r="D67" s="9" t="n">
        <v>3</v>
      </c>
      <c r="E67" s="9" t="inlineStr">
        <is>
          <t>VALVE DE REGLAGE</t>
        </is>
      </c>
      <c r="F67" s="9" t="n">
        <v>60</v>
      </c>
      <c r="G67" s="9" t="inlineStr">
        <is>
          <t>EUR</t>
        </is>
      </c>
      <c r="H67" s="10" t="n">
        <v>83.90000000000001</v>
      </c>
      <c r="I67" s="10" t="n">
        <v>5034</v>
      </c>
      <c r="J67" s="10" t="n">
        <v>786047</v>
      </c>
      <c r="K67" s="12" t="n">
        <v>0</v>
      </c>
      <c r="L67" s="10" t="n">
        <v>0</v>
      </c>
      <c r="M67" s="10" t="n">
        <v>23581.41</v>
      </c>
      <c r="N67" s="10" t="n">
        <v>19269.14</v>
      </c>
      <c r="O67" s="10" t="n">
        <v>6646.02934096501</v>
      </c>
      <c r="P67" s="10" t="n">
        <v>816274.439340965</v>
      </c>
      <c r="Q67" s="10">
        <f>P67/F67</f>
        <v/>
      </c>
      <c r="R67" s="13" t="n">
        <v>1.04484929990494</v>
      </c>
    </row>
    <row r="68">
      <c r="A68" s="9" t="inlineStr">
        <is>
          <t>003</t>
        </is>
      </c>
      <c r="B68" s="9" t="inlineStr">
        <is>
          <t>MS MOTORSERVICE 2330421560</t>
        </is>
      </c>
      <c r="C68" s="9" t="n">
        <v>4</v>
      </c>
      <c r="D68" s="9" t="n">
        <v>4</v>
      </c>
      <c r="E68" s="9" t="inlineStr">
        <is>
          <t>MODULE D'ENTRAINEMENT</t>
        </is>
      </c>
      <c r="F68" s="9" t="n">
        <v>30</v>
      </c>
      <c r="G68" s="9" t="inlineStr">
        <is>
          <t>EUR</t>
        </is>
      </c>
      <c r="H68" s="10" t="n">
        <v>58</v>
      </c>
      <c r="I68" s="10" t="n">
        <v>1740</v>
      </c>
      <c r="J68" s="10" t="n">
        <v>274845</v>
      </c>
      <c r="K68" s="12" t="n">
        <v>0.05</v>
      </c>
      <c r="L68" s="10" t="n">
        <v>13742.25</v>
      </c>
      <c r="M68" s="10" t="n">
        <v>8245.35</v>
      </c>
      <c r="N68" s="10" t="n">
        <v>7064.62</v>
      </c>
      <c r="O68" s="10" t="n">
        <v>2323.81515891229</v>
      </c>
      <c r="P68" s="10" t="n">
        <v>299156.415158912</v>
      </c>
      <c r="Q68" s="10">
        <f>P68/F68</f>
        <v/>
      </c>
      <c r="R68" s="13" t="n">
        <v>1.10784688791471</v>
      </c>
    </row>
    <row r="69">
      <c r="A69" s="9" t="inlineStr">
        <is>
          <t>003</t>
        </is>
      </c>
      <c r="B69" s="9" t="inlineStr">
        <is>
          <t>MS MOTORSERVICE 2330421560</t>
        </is>
      </c>
      <c r="C69" s="9" t="n">
        <v>5</v>
      </c>
      <c r="D69" s="9" t="n">
        <v>5</v>
      </c>
      <c r="E69" s="9" t="inlineStr">
        <is>
          <t>POMPE A VIDE</t>
        </is>
      </c>
      <c r="F69" s="9" t="n">
        <v>6</v>
      </c>
      <c r="G69" s="9" t="inlineStr">
        <is>
          <t>EUR</t>
        </is>
      </c>
      <c r="H69" s="10" t="n">
        <v>64.7</v>
      </c>
      <c r="I69" s="10" t="n">
        <v>388.2</v>
      </c>
      <c r="J69" s="10" t="n">
        <v>65056</v>
      </c>
      <c r="K69" s="12" t="n">
        <v>0</v>
      </c>
      <c r="L69" s="10" t="n">
        <v>0</v>
      </c>
      <c r="M69" s="10" t="n">
        <v>1951.68</v>
      </c>
      <c r="N69" s="10" t="n">
        <v>1594.8</v>
      </c>
      <c r="O69" s="10" t="n">
        <v>550.048641882508</v>
      </c>
      <c r="P69" s="10" t="n">
        <v>67557.7286418825</v>
      </c>
      <c r="Q69" s="10">
        <f>P69/F69</f>
        <v/>
      </c>
      <c r="R69" s="13" t="n">
        <v>1.12137321570315</v>
      </c>
    </row>
    <row r="70">
      <c r="A70" s="9" t="inlineStr">
        <is>
          <t>003</t>
        </is>
      </c>
      <c r="B70" s="9" t="inlineStr">
        <is>
          <t>MS MOTORSERVICE 2330421560</t>
        </is>
      </c>
      <c r="C70" s="9" t="n">
        <v>6</v>
      </c>
      <c r="D70" s="9" t="n">
        <v>6</v>
      </c>
      <c r="E70" s="9" t="inlineStr">
        <is>
          <t>TUBULURE D'ASPIRATION</t>
        </is>
      </c>
      <c r="F70" s="9" t="n">
        <v>15</v>
      </c>
      <c r="G70" s="9" t="inlineStr">
        <is>
          <t>EUR</t>
        </is>
      </c>
      <c r="H70" s="10" t="n">
        <v>71.23999999999999</v>
      </c>
      <c r="I70" s="10" t="n">
        <v>1068.6</v>
      </c>
      <c r="J70" s="10" t="n">
        <v>170649</v>
      </c>
      <c r="K70" s="12" t="n">
        <v>0.15</v>
      </c>
      <c r="L70" s="10" t="n">
        <v>25597.35</v>
      </c>
      <c r="M70" s="10" t="n">
        <v>5119.47</v>
      </c>
      <c r="N70" s="10" t="n">
        <v>4792.52</v>
      </c>
      <c r="O70" s="10" t="n">
        <v>1442.83771963552</v>
      </c>
      <c r="P70" s="10" t="n">
        <v>202808.657719636</v>
      </c>
      <c r="Q70" s="10">
        <f>P70/F70</f>
        <v/>
      </c>
      <c r="R70" s="13" t="n">
        <v>1.22293110356993</v>
      </c>
    </row>
    <row r="71">
      <c r="A71" s="9" t="inlineStr">
        <is>
          <t>003</t>
        </is>
      </c>
      <c r="B71" s="9" t="inlineStr">
        <is>
          <t>MS MOTORSERVICE 2330421560</t>
        </is>
      </c>
      <c r="C71" s="9" t="n">
        <v>7</v>
      </c>
      <c r="D71" s="9" t="n">
        <v>7</v>
      </c>
      <c r="E71" s="9" t="inlineStr">
        <is>
          <t>TUBULURE D'ASPIRATION</t>
        </is>
      </c>
      <c r="F71" s="9" t="n">
        <v>15</v>
      </c>
      <c r="G71" s="9" t="inlineStr">
        <is>
          <t>EUR</t>
        </is>
      </c>
      <c r="H71" s="10" t="n">
        <v>65.52</v>
      </c>
      <c r="I71" s="10" t="n">
        <v>982.8</v>
      </c>
      <c r="J71" s="10" t="n">
        <v>157333</v>
      </c>
      <c r="K71" s="12" t="n">
        <v>0.15</v>
      </c>
      <c r="L71" s="10" t="n">
        <v>23599.95</v>
      </c>
      <c r="M71" s="10" t="n">
        <v>4719.99</v>
      </c>
      <c r="N71" s="10" t="n">
        <v>4418.54</v>
      </c>
      <c r="O71" s="10" t="n">
        <v>1330.25090650056</v>
      </c>
      <c r="P71" s="10" t="n">
        <v>186983.190906501</v>
      </c>
      <c r="Q71" s="10">
        <f>P71/F71</f>
        <v/>
      </c>
      <c r="R71" s="13" t="n">
        <v>1.22593682021593</v>
      </c>
    </row>
    <row r="72">
      <c r="A72" s="9" t="inlineStr">
        <is>
          <t>003</t>
        </is>
      </c>
      <c r="B72" s="9" t="inlineStr">
        <is>
          <t>MS MOTORSERVICE 2330421560</t>
        </is>
      </c>
      <c r="C72" s="9" t="n">
        <v>8</v>
      </c>
      <c r="D72" s="9" t="n">
        <v>32</v>
      </c>
      <c r="E72" s="9" t="inlineStr">
        <is>
          <t>PAPILLON</t>
        </is>
      </c>
      <c r="F72" s="9" t="n">
        <v>40</v>
      </c>
      <c r="G72" s="9" t="inlineStr">
        <is>
          <t>EUR</t>
        </is>
      </c>
      <c r="H72" s="10" t="n">
        <v>52.5</v>
      </c>
      <c r="I72" s="10" t="n">
        <v>2100</v>
      </c>
      <c r="J72" s="10" t="n">
        <v>330714</v>
      </c>
      <c r="K72" s="12" t="n">
        <v>0.15</v>
      </c>
      <c r="L72" s="10" t="n">
        <v>49607.1</v>
      </c>
      <c r="M72" s="10" t="n">
        <v>9921.42</v>
      </c>
      <c r="N72" s="10" t="n">
        <v>9287.780000000001</v>
      </c>
      <c r="O72" s="10" t="n">
        <v>2796.18769293427</v>
      </c>
      <c r="P72" s="10" t="n">
        <v>393038.707692934</v>
      </c>
      <c r="Q72" s="10">
        <f>P72/F72</f>
        <v/>
      </c>
      <c r="R72" s="13" t="n">
        <v>1.20599830775805</v>
      </c>
    </row>
    <row r="73">
      <c r="A73" s="9" t="inlineStr">
        <is>
          <t>003</t>
        </is>
      </c>
      <c r="B73" s="9" t="inlineStr">
        <is>
          <t>MS MOTORSERVICE 2330421560</t>
        </is>
      </c>
      <c r="C73" s="9" t="n">
        <v>9</v>
      </c>
      <c r="D73" s="9" t="n">
        <v>8</v>
      </c>
      <c r="E73" s="9" t="inlineStr">
        <is>
          <t>VANNE EGR</t>
        </is>
      </c>
      <c r="F73" s="9" t="n">
        <v>20</v>
      </c>
      <c r="G73" s="9" t="inlineStr">
        <is>
          <t>EUR</t>
        </is>
      </c>
      <c r="H73" s="10" t="n">
        <v>61</v>
      </c>
      <c r="I73" s="10" t="n">
        <v>1220</v>
      </c>
      <c r="J73" s="10" t="n">
        <v>194145</v>
      </c>
      <c r="K73" s="12" t="n">
        <v>0</v>
      </c>
      <c r="L73" s="10" t="n">
        <v>0</v>
      </c>
      <c r="M73" s="10" t="n">
        <v>5824.35</v>
      </c>
      <c r="N73" s="10" t="n">
        <v>4759.26</v>
      </c>
      <c r="O73" s="10" t="n">
        <v>1641.49645810194</v>
      </c>
      <c r="P73" s="10" t="n">
        <v>201610.846458102</v>
      </c>
      <c r="Q73" s="10">
        <f>P73/F73</f>
        <v/>
      </c>
      <c r="R73" s="13" t="n">
        <v>1.06484092078697</v>
      </c>
    </row>
    <row r="74">
      <c r="A74" s="9" t="inlineStr">
        <is>
          <t>003</t>
        </is>
      </c>
      <c r="B74" s="9" t="inlineStr">
        <is>
          <t>MS MOTORSERVICE 2330421560</t>
        </is>
      </c>
      <c r="C74" s="9" t="n">
        <v>10</v>
      </c>
      <c r="D74" s="9" t="n">
        <v>9</v>
      </c>
      <c r="E74" s="9" t="inlineStr">
        <is>
          <t>MODULE D'ENTRAINEMENT</t>
        </is>
      </c>
      <c r="F74" s="9" t="n">
        <v>10</v>
      </c>
      <c r="G74" s="9" t="inlineStr">
        <is>
          <t>EUR</t>
        </is>
      </c>
      <c r="H74" s="10" t="n">
        <v>59.8</v>
      </c>
      <c r="I74" s="10" t="n">
        <v>598</v>
      </c>
      <c r="J74" s="10" t="n">
        <v>97615</v>
      </c>
      <c r="K74" s="12" t="n">
        <v>0</v>
      </c>
      <c r="L74" s="10" t="n">
        <v>0</v>
      </c>
      <c r="M74" s="10" t="n">
        <v>2928.45</v>
      </c>
      <c r="N74" s="10" t="n">
        <v>2392.92</v>
      </c>
      <c r="O74" s="10" t="n">
        <v>825.335067900901</v>
      </c>
      <c r="P74" s="10" t="n">
        <v>101368.785067901</v>
      </c>
      <c r="Q74" s="10">
        <f>P74/F74</f>
        <v/>
      </c>
      <c r="R74" s="13" t="n">
        <v>1.09227936045798</v>
      </c>
    </row>
    <row r="75">
      <c r="A75" s="9" t="inlineStr">
        <is>
          <t>003</t>
        </is>
      </c>
      <c r="B75" s="9" t="inlineStr">
        <is>
          <t>MS MOTORSERVICE 2330421560</t>
        </is>
      </c>
      <c r="C75" s="9" t="n">
        <v>11</v>
      </c>
      <c r="D75" s="9" t="n">
        <v>1</v>
      </c>
      <c r="E75" s="9" t="inlineStr">
        <is>
          <t>POMPE A EAU ADDITIONNELLE</t>
        </is>
      </c>
      <c r="F75" s="9" t="n">
        <v>50</v>
      </c>
      <c r="G75" s="9" t="inlineStr">
        <is>
          <t>EUR</t>
        </is>
      </c>
      <c r="H75" s="10" t="n">
        <v>39.5</v>
      </c>
      <c r="I75" s="10" t="n">
        <v>1975</v>
      </c>
      <c r="J75" s="10" t="n">
        <v>312715.827710394</v>
      </c>
      <c r="K75" s="12" t="n">
        <v>0</v>
      </c>
      <c r="L75" s="10" t="n">
        <v>0</v>
      </c>
      <c r="M75" s="10" t="n">
        <v>9381.474831311831</v>
      </c>
      <c r="N75" s="10" t="n">
        <v>7665.91381380138</v>
      </c>
      <c r="O75" s="10" t="n">
        <v>2644.01310143979</v>
      </c>
      <c r="P75" s="10" t="n">
        <v>324741.315643146</v>
      </c>
      <c r="Q75" s="10">
        <f>P75/F75</f>
        <v/>
      </c>
      <c r="R75" s="13" t="n">
        <v>1.05950037762336</v>
      </c>
    </row>
    <row r="76">
      <c r="A76" s="9" t="inlineStr">
        <is>
          <t>003</t>
        </is>
      </c>
      <c r="B76" s="9" t="inlineStr">
        <is>
          <t>MS MOTORSERVICE 2330421560</t>
        </is>
      </c>
      <c r="C76" s="9" t="n">
        <v>12</v>
      </c>
      <c r="D76" s="9" t="n">
        <v>1</v>
      </c>
      <c r="E76" s="9" t="inlineStr">
        <is>
          <t>POMPE A EAU ADDITIONNELLE</t>
        </is>
      </c>
      <c r="F76" s="9" t="n">
        <v>40</v>
      </c>
      <c r="G76" s="9" t="inlineStr">
        <is>
          <t>EUR</t>
        </is>
      </c>
      <c r="H76" s="10" t="n">
        <v>38.63</v>
      </c>
      <c r="I76" s="10" t="n">
        <v>1545.2</v>
      </c>
      <c r="J76" s="10" t="n">
        <v>244662.530115494</v>
      </c>
      <c r="K76" s="12" t="n">
        <v>0</v>
      </c>
      <c r="L76" s="10" t="n">
        <v>0</v>
      </c>
      <c r="M76" s="10" t="n">
        <v>7339.87590346484</v>
      </c>
      <c r="N76" s="10" t="n">
        <v>5997.65570890425</v>
      </c>
      <c r="O76" s="10" t="n">
        <v>2068.62230093406</v>
      </c>
      <c r="P76" s="10" t="n">
        <v>254071.028319893</v>
      </c>
      <c r="Q76" s="10">
        <f>P76/F76</f>
        <v/>
      </c>
      <c r="R76" s="13" t="n">
        <v>1.05950037762336</v>
      </c>
    </row>
    <row r="77">
      <c r="A77" s="9" t="inlineStr">
        <is>
          <t>003</t>
        </is>
      </c>
      <c r="B77" s="9" t="inlineStr">
        <is>
          <t>MS MOTORSERVICE 2330421560</t>
        </is>
      </c>
      <c r="C77" s="9" t="n">
        <v>13</v>
      </c>
      <c r="D77" s="9" t="n">
        <v>1</v>
      </c>
      <c r="E77" s="9" t="inlineStr">
        <is>
          <t>POMPE A EAU ADDITIONNELLE</t>
        </is>
      </c>
      <c r="F77" s="9" t="n">
        <v>20</v>
      </c>
      <c r="G77" s="9" t="inlineStr">
        <is>
          <t>EUR</t>
        </is>
      </c>
      <c r="H77" s="10" t="n">
        <v>59.4</v>
      </c>
      <c r="I77" s="10" t="n">
        <v>1188</v>
      </c>
      <c r="J77" s="10" t="n">
        <v>188104.508010101</v>
      </c>
      <c r="K77" s="12" t="n">
        <v>0</v>
      </c>
      <c r="L77" s="10" t="n">
        <v>0</v>
      </c>
      <c r="M77" s="10" t="n">
        <v>5643.13524030302</v>
      </c>
      <c r="N77" s="10" t="n">
        <v>4611.19271432711</v>
      </c>
      <c r="O77" s="10" t="n">
        <v>1590.42408329644</v>
      </c>
      <c r="P77" s="10" t="n">
        <v>195338.0673337</v>
      </c>
      <c r="Q77" s="10">
        <f>P77/F77</f>
        <v/>
      </c>
      <c r="R77" s="13" t="n">
        <v>1.05950037762336</v>
      </c>
    </row>
    <row r="78">
      <c r="A78" s="9" t="inlineStr">
        <is>
          <t>003</t>
        </is>
      </c>
      <c r="B78" s="9" t="inlineStr">
        <is>
          <t>MS MOTORSERVICE 2330421560</t>
        </is>
      </c>
      <c r="C78" s="9" t="n">
        <v>14</v>
      </c>
      <c r="D78" s="9" t="n">
        <v>10</v>
      </c>
      <c r="E78" s="9" t="inlineStr">
        <is>
          <t>CONVERTISSEUR DE PRESSION</t>
        </is>
      </c>
      <c r="F78" s="9" t="n">
        <v>200</v>
      </c>
      <c r="G78" s="9" t="inlineStr">
        <is>
          <t>EUR</t>
        </is>
      </c>
      <c r="H78" s="10" t="n">
        <v>17.34</v>
      </c>
      <c r="I78" s="10" t="n">
        <v>3468</v>
      </c>
      <c r="J78" s="10" t="n">
        <v>543016</v>
      </c>
      <c r="K78" s="12" t="n">
        <v>0.05</v>
      </c>
      <c r="L78" s="10" t="n">
        <v>27150.8</v>
      </c>
      <c r="M78" s="10" t="n">
        <v>16290.48</v>
      </c>
      <c r="N78" s="10" t="n">
        <v>13957.68</v>
      </c>
      <c r="O78" s="10" t="n">
        <v>4591.20163121729</v>
      </c>
      <c r="P78" s="10" t="n">
        <v>591048.4816312169</v>
      </c>
      <c r="Q78" s="10">
        <f>P78/F78</f>
        <v/>
      </c>
      <c r="R78" s="13" t="n">
        <v>1.09818292581197</v>
      </c>
    </row>
    <row r="79">
      <c r="A79" s="9" t="inlineStr">
        <is>
          <t>003</t>
        </is>
      </c>
      <c r="B79" s="9" t="inlineStr">
        <is>
          <t>MS MOTORSERVICE 2330421560</t>
        </is>
      </c>
      <c r="C79" s="9" t="n">
        <v>15</v>
      </c>
      <c r="D79" s="9" t="n">
        <v>11</v>
      </c>
      <c r="E79" s="9" t="inlineStr">
        <is>
          <t>POMPE A CARBURANT ET A VIDE</t>
        </is>
      </c>
      <c r="F79" s="9" t="n">
        <v>50</v>
      </c>
      <c r="G79" s="9" t="inlineStr">
        <is>
          <t>EUR</t>
        </is>
      </c>
      <c r="H79" s="10" t="n">
        <v>86</v>
      </c>
      <c r="I79" s="10" t="n">
        <v>4300</v>
      </c>
      <c r="J79" s="10" t="n">
        <v>672136</v>
      </c>
      <c r="K79" s="12" t="n">
        <v>0.05</v>
      </c>
      <c r="L79" s="10" t="n">
        <v>33606.8</v>
      </c>
      <c r="M79" s="10" t="n">
        <v>20164.08</v>
      </c>
      <c r="N79" s="10" t="n">
        <v>17276.58</v>
      </c>
      <c r="O79" s="10" t="n">
        <v>5682.91155251386</v>
      </c>
      <c r="P79" s="10" t="n">
        <v>731589.791552514</v>
      </c>
      <c r="Q79" s="10">
        <f>P79/F79</f>
        <v/>
      </c>
      <c r="R79" s="13" t="n">
        <v>1.09630110331825</v>
      </c>
    </row>
    <row r="80">
      <c r="A80" s="9" t="inlineStr">
        <is>
          <t>003</t>
        </is>
      </c>
      <c r="B80" s="9" t="inlineStr">
        <is>
          <t>MS MOTORSERVICE 2330421560</t>
        </is>
      </c>
      <c r="C80" s="9" t="n">
        <v>16</v>
      </c>
      <c r="D80" s="9" t="n">
        <v>12</v>
      </c>
      <c r="E80" s="9" t="inlineStr">
        <is>
          <t>POMPE A CARBURANT ET A VIDE</t>
        </is>
      </c>
      <c r="F80" s="9" t="n">
        <v>100</v>
      </c>
      <c r="G80" s="9" t="inlineStr">
        <is>
          <t>EUR</t>
        </is>
      </c>
      <c r="H80" s="10" t="n">
        <v>98</v>
      </c>
      <c r="I80" s="10" t="n">
        <v>9800</v>
      </c>
      <c r="J80" s="10" t="n">
        <v>1525692</v>
      </c>
      <c r="K80" s="12" t="n">
        <v>0</v>
      </c>
      <c r="L80" s="10" t="n">
        <v>0</v>
      </c>
      <c r="M80" s="10" t="n">
        <v>45770.76</v>
      </c>
      <c r="N80" s="10" t="n">
        <v>37400.82</v>
      </c>
      <c r="O80" s="10" t="n">
        <v>12899.7296564653</v>
      </c>
      <c r="P80" s="10" t="n">
        <v>1584362.48965647</v>
      </c>
      <c r="Q80" s="10">
        <f>P80/F80</f>
        <v/>
      </c>
      <c r="R80" s="13" t="n">
        <v>1.04173953426517</v>
      </c>
    </row>
    <row r="81">
      <c r="A81" s="9" t="inlineStr">
        <is>
          <t>003</t>
        </is>
      </c>
      <c r="B81" s="9" t="inlineStr">
        <is>
          <t>MS MOTORSERVICE 2330421560</t>
        </is>
      </c>
      <c r="C81" s="9" t="n">
        <v>17</v>
      </c>
      <c r="D81" s="9" t="n">
        <v>13</v>
      </c>
      <c r="E81" s="9" t="inlineStr">
        <is>
          <t>POMPE A EAU</t>
        </is>
      </c>
      <c r="F81" s="9" t="n">
        <v>170</v>
      </c>
      <c r="G81" s="9" t="inlineStr">
        <is>
          <t>EUR</t>
        </is>
      </c>
      <c r="H81" s="10" t="n">
        <v>44.76</v>
      </c>
      <c r="I81" s="10" t="n">
        <v>7609.2</v>
      </c>
      <c r="J81" s="10" t="n">
        <v>1185666</v>
      </c>
      <c r="K81" s="12" t="n">
        <v>0</v>
      </c>
      <c r="L81" s="10" t="n">
        <v>0</v>
      </c>
      <c r="M81" s="10" t="n">
        <v>35569.98</v>
      </c>
      <c r="N81" s="10" t="n">
        <v>29065.42</v>
      </c>
      <c r="O81" s="10" t="n">
        <v>10024.8089803595</v>
      </c>
      <c r="P81" s="10" t="n">
        <v>1231260.78898036</v>
      </c>
      <c r="Q81" s="10">
        <f>P81/F81</f>
        <v/>
      </c>
      <c r="R81" s="13" t="n">
        <v>1.04265761585457</v>
      </c>
    </row>
    <row r="82">
      <c r="A82" s="9" t="inlineStr">
        <is>
          <t>003</t>
        </is>
      </c>
      <c r="B82" s="9" t="inlineStr">
        <is>
          <t>MS MOTORSERVICE 2330421560</t>
        </is>
      </c>
      <c r="C82" s="9" t="n">
        <v>18</v>
      </c>
      <c r="D82" s="9" t="n">
        <v>14</v>
      </c>
      <c r="E82" s="9" t="inlineStr">
        <is>
          <t>MODULE D'ALIMENTATION DE CARBURANT</t>
        </is>
      </c>
      <c r="F82" s="9" t="n">
        <v>15</v>
      </c>
      <c r="G82" s="9" t="inlineStr">
        <is>
          <t>EUR</t>
        </is>
      </c>
      <c r="H82" s="10" t="n">
        <v>131.3</v>
      </c>
      <c r="I82" s="10" t="n">
        <v>1969.5</v>
      </c>
      <c r="J82" s="10" t="n">
        <v>310461</v>
      </c>
      <c r="K82" s="12" t="n">
        <v>0</v>
      </c>
      <c r="L82" s="10" t="n">
        <v>0</v>
      </c>
      <c r="M82" s="10" t="n">
        <v>9313.83</v>
      </c>
      <c r="N82" s="10" t="n">
        <v>7610.64</v>
      </c>
      <c r="O82" s="10" t="n">
        <v>2624.94852753759</v>
      </c>
      <c r="P82" s="10" t="n">
        <v>322399.778527538</v>
      </c>
      <c r="Q82" s="10">
        <f>P82/F82</f>
        <v/>
      </c>
      <c r="R82" s="13" t="n">
        <v>1.05479829621278</v>
      </c>
    </row>
    <row r="83">
      <c r="A83" s="9" t="inlineStr">
        <is>
          <t>003</t>
        </is>
      </c>
      <c r="B83" s="9" t="inlineStr">
        <is>
          <t>MS MOTORSERVICE 2330421560</t>
        </is>
      </c>
      <c r="C83" s="9" t="n">
        <v>19</v>
      </c>
      <c r="D83" s="9" t="n">
        <v>15</v>
      </c>
      <c r="E83" s="9" t="inlineStr">
        <is>
          <t>POMPE A VIDE</t>
        </is>
      </c>
      <c r="F83" s="9" t="n">
        <v>40</v>
      </c>
      <c r="G83" s="9" t="inlineStr">
        <is>
          <t>EUR</t>
        </is>
      </c>
      <c r="H83" s="10" t="n">
        <v>55</v>
      </c>
      <c r="I83" s="10" t="n">
        <v>2200</v>
      </c>
      <c r="J83" s="10" t="n">
        <v>346233</v>
      </c>
      <c r="K83" s="12" t="n">
        <v>0</v>
      </c>
      <c r="L83" s="10" t="n">
        <v>0</v>
      </c>
      <c r="M83" s="10" t="n">
        <v>10386.99</v>
      </c>
      <c r="N83" s="10" t="n">
        <v>8487.559999999999</v>
      </c>
      <c r="O83" s="10" t="n">
        <v>2927.40087655107</v>
      </c>
      <c r="P83" s="10" t="n">
        <v>359547.390876551</v>
      </c>
      <c r="Q83" s="10">
        <f>P83/F83</f>
        <v/>
      </c>
      <c r="R83" s="13" t="n">
        <v>1.05308670689606</v>
      </c>
    </row>
    <row r="84">
      <c r="A84" s="9" t="inlineStr">
        <is>
          <t>003</t>
        </is>
      </c>
      <c r="B84" s="9" t="inlineStr">
        <is>
          <t>MS MOTORSERVICE 2330421560</t>
        </is>
      </c>
      <c r="C84" s="9" t="n">
        <v>20</v>
      </c>
      <c r="D84" s="9" t="n">
        <v>16</v>
      </c>
      <c r="E84" s="9" t="inlineStr">
        <is>
          <t>POMPE A VIDE</t>
        </is>
      </c>
      <c r="F84" s="9" t="n">
        <v>40</v>
      </c>
      <c r="G84" s="9" t="inlineStr">
        <is>
          <t>EUR</t>
        </is>
      </c>
      <c r="H84" s="10" t="n">
        <v>56.5</v>
      </c>
      <c r="I84" s="10" t="n">
        <v>2260</v>
      </c>
      <c r="J84" s="10" t="n">
        <v>355544</v>
      </c>
      <c r="K84" s="12" t="n">
        <v>0</v>
      </c>
      <c r="L84" s="10" t="n">
        <v>0</v>
      </c>
      <c r="M84" s="10" t="n">
        <v>10666.32</v>
      </c>
      <c r="N84" s="10" t="n">
        <v>8715.799999999999</v>
      </c>
      <c r="O84" s="10" t="n">
        <v>3006.12540472016</v>
      </c>
      <c r="P84" s="10" t="n">
        <v>369216.44540472</v>
      </c>
      <c r="Q84" s="10">
        <f>P84/F84</f>
        <v/>
      </c>
      <c r="R84" s="13" t="n">
        <v>1.05269671494767</v>
      </c>
    </row>
    <row r="85">
      <c r="A85" s="9" t="inlineStr">
        <is>
          <t>003</t>
        </is>
      </c>
      <c r="B85" s="9" t="inlineStr">
        <is>
          <t>MS MOTORSERVICE 2330421560</t>
        </is>
      </c>
      <c r="C85" s="9" t="n">
        <v>21</v>
      </c>
      <c r="D85" s="9" t="n">
        <v>17</v>
      </c>
      <c r="E85" s="9" t="inlineStr">
        <is>
          <t>POMPE A EAU</t>
        </is>
      </c>
      <c r="F85" s="9" t="n">
        <v>20</v>
      </c>
      <c r="G85" s="9" t="inlineStr">
        <is>
          <t>EUR</t>
        </is>
      </c>
      <c r="H85" s="10" t="n">
        <v>88</v>
      </c>
      <c r="I85" s="10" t="n">
        <v>1760</v>
      </c>
      <c r="J85" s="10" t="n">
        <v>277948</v>
      </c>
      <c r="K85" s="12" t="n">
        <v>0</v>
      </c>
      <c r="L85" s="10" t="n">
        <v>0</v>
      </c>
      <c r="M85" s="10" t="n">
        <v>8338.440000000001</v>
      </c>
      <c r="N85" s="10" t="n">
        <v>6813.6</v>
      </c>
      <c r="O85" s="10" t="n">
        <v>2350.05103163366</v>
      </c>
      <c r="P85" s="10" t="n">
        <v>288636.491031634</v>
      </c>
      <c r="Q85" s="10">
        <f>P85/F85</f>
        <v/>
      </c>
      <c r="R85" s="13" t="n">
        <v>1.05674265598725</v>
      </c>
    </row>
    <row r="86">
      <c r="A86" s="9" t="inlineStr">
        <is>
          <t>003</t>
        </is>
      </c>
      <c r="B86" s="9" t="inlineStr">
        <is>
          <t>MS MOTORSERVICE 2330421560</t>
        </is>
      </c>
      <c r="C86" s="9" t="n">
        <v>22</v>
      </c>
      <c r="D86" s="9" t="n">
        <v>18</v>
      </c>
      <c r="E86" s="9" t="inlineStr">
        <is>
          <t>MODULE D'ALIMENTATION DE CARBURANT</t>
        </is>
      </c>
      <c r="F86" s="9" t="n">
        <v>20</v>
      </c>
      <c r="G86" s="9" t="inlineStr">
        <is>
          <t>EUR</t>
        </is>
      </c>
      <c r="H86" s="10" t="n">
        <v>62.62</v>
      </c>
      <c r="I86" s="10" t="n">
        <v>1252.4</v>
      </c>
      <c r="J86" s="10" t="n">
        <v>199173</v>
      </c>
      <c r="K86" s="12" t="n">
        <v>0.05</v>
      </c>
      <c r="L86" s="10" t="n">
        <v>9958.65</v>
      </c>
      <c r="M86" s="10" t="n">
        <v>5975.19</v>
      </c>
      <c r="N86" s="10" t="n">
        <v>5119.54</v>
      </c>
      <c r="O86" s="10" t="n">
        <v>1684.00821061339</v>
      </c>
      <c r="P86" s="10" t="n">
        <v>216790.848210613</v>
      </c>
      <c r="Q86" s="10">
        <f>P86/F86</f>
        <v/>
      </c>
      <c r="R86" s="13" t="n">
        <v>1.11539464626193</v>
      </c>
    </row>
    <row r="87">
      <c r="A87" s="9" t="inlineStr">
        <is>
          <t>003</t>
        </is>
      </c>
      <c r="B87" s="9" t="inlineStr">
        <is>
          <t>MS MOTORSERVICE 2330421560</t>
        </is>
      </c>
      <c r="C87" s="9" t="n">
        <v>23</v>
      </c>
      <c r="D87" s="9" t="n">
        <v>19</v>
      </c>
      <c r="E87" s="9" t="inlineStr">
        <is>
          <t>POMPE A HUILE</t>
        </is>
      </c>
      <c r="F87" s="9" t="n">
        <v>150</v>
      </c>
      <c r="G87" s="9" t="inlineStr">
        <is>
          <t>EUR</t>
        </is>
      </c>
      <c r="H87" s="10" t="n">
        <v>21.5</v>
      </c>
      <c r="I87" s="10" t="n">
        <v>3225</v>
      </c>
      <c r="J87" s="10" t="n">
        <v>505305</v>
      </c>
      <c r="K87" s="12" t="n">
        <v>0.05</v>
      </c>
      <c r="L87" s="10" t="n">
        <v>25265.25</v>
      </c>
      <c r="M87" s="10" t="n">
        <v>15159.15</v>
      </c>
      <c r="N87" s="10" t="n">
        <v>12988.36</v>
      </c>
      <c r="O87" s="10" t="n">
        <v>4272.35503237888</v>
      </c>
      <c r="P87" s="10" t="n">
        <v>550001.7550323789</v>
      </c>
      <c r="Q87" s="10">
        <f>P87/F87</f>
        <v/>
      </c>
      <c r="R87" s="13" t="n">
        <v>1.09891734016574</v>
      </c>
    </row>
    <row r="88">
      <c r="A88" s="9" t="inlineStr">
        <is>
          <t>003</t>
        </is>
      </c>
      <c r="B88" s="9" t="inlineStr">
        <is>
          <t>MS MOTORSERVICE 2330421560</t>
        </is>
      </c>
      <c r="C88" s="9" t="n">
        <v>24</v>
      </c>
      <c r="D88" s="9" t="n">
        <v>1</v>
      </c>
      <c r="E88" s="9" t="inlineStr">
        <is>
          <t>POMPE A EAU VARIABLE</t>
        </is>
      </c>
      <c r="F88" s="9" t="n">
        <v>40</v>
      </c>
      <c r="G88" s="9" t="inlineStr">
        <is>
          <t>EUR</t>
        </is>
      </c>
      <c r="H88" s="10" t="n">
        <v>71.59</v>
      </c>
      <c r="I88" s="10" t="n">
        <v>2863.6</v>
      </c>
      <c r="J88" s="10" t="n">
        <v>453414.199610879</v>
      </c>
      <c r="K88" s="12" t="n">
        <v>0</v>
      </c>
      <c r="L88" s="10" t="n">
        <v>0</v>
      </c>
      <c r="M88" s="10" t="n">
        <v>13602.4259883264</v>
      </c>
      <c r="N88" s="10" t="n">
        <v>11114.9928087097</v>
      </c>
      <c r="O88" s="10" t="n">
        <v>3833.61818596606</v>
      </c>
      <c r="P88" s="10" t="n">
        <v>470850.243785171</v>
      </c>
      <c r="Q88" s="10">
        <f>P88/F88</f>
        <v/>
      </c>
      <c r="R88" s="13" t="n">
        <v>1.05950037762336</v>
      </c>
    </row>
    <row r="89">
      <c r="A89" s="9" t="inlineStr">
        <is>
          <t>003</t>
        </is>
      </c>
      <c r="B89" s="9" t="inlineStr">
        <is>
          <t>MS MOTORSERVICE 2330421560</t>
        </is>
      </c>
      <c r="C89" s="9" t="n">
        <v>25</v>
      </c>
      <c r="D89" s="9" t="n">
        <v>20</v>
      </c>
      <c r="E89" s="9" t="inlineStr">
        <is>
          <t>POMPE A EAU</t>
        </is>
      </c>
      <c r="F89" s="9" t="n">
        <v>100</v>
      </c>
      <c r="G89" s="9" t="inlineStr">
        <is>
          <t>EUR</t>
        </is>
      </c>
      <c r="H89" s="10" t="n">
        <v>41.72</v>
      </c>
      <c r="I89" s="10" t="n">
        <v>4172</v>
      </c>
      <c r="J89" s="10" t="n">
        <v>652271</v>
      </c>
      <c r="K89" s="12" t="n">
        <v>0.05</v>
      </c>
      <c r="L89" s="10" t="n">
        <v>32613.55</v>
      </c>
      <c r="M89" s="10" t="n">
        <v>19568.13</v>
      </c>
      <c r="N89" s="10" t="n">
        <v>16765.98</v>
      </c>
      <c r="O89" s="10" t="n">
        <v>5514.95292808266</v>
      </c>
      <c r="P89" s="10" t="n">
        <v>709967.632928083</v>
      </c>
      <c r="Q89" s="10">
        <f>P89/F89</f>
        <v/>
      </c>
      <c r="R89" s="13" t="n">
        <v>1.09654111461709</v>
      </c>
    </row>
    <row r="90">
      <c r="A90" s="9" t="inlineStr">
        <is>
          <t>003</t>
        </is>
      </c>
      <c r="B90" s="9" t="inlineStr">
        <is>
          <t>MS MOTORSERVICE 2330421560</t>
        </is>
      </c>
      <c r="C90" s="9" t="n">
        <v>26</v>
      </c>
      <c r="D90" s="9" t="n">
        <v>21</v>
      </c>
      <c r="E90" s="9" t="inlineStr">
        <is>
          <t>POMPE A EAU VARIABLE</t>
        </is>
      </c>
      <c r="F90" s="9" t="n">
        <v>20</v>
      </c>
      <c r="G90" s="9" t="inlineStr">
        <is>
          <t>EUR</t>
        </is>
      </c>
      <c r="H90" s="10" t="n">
        <v>52.55</v>
      </c>
      <c r="I90" s="10" t="n">
        <v>1051</v>
      </c>
      <c r="J90" s="10" t="n">
        <v>167917</v>
      </c>
      <c r="K90" s="12" t="n">
        <v>0</v>
      </c>
      <c r="L90" s="10" t="n">
        <v>0</v>
      </c>
      <c r="M90" s="10" t="n">
        <v>5037.51</v>
      </c>
      <c r="N90" s="10" t="n">
        <v>4116.32</v>
      </c>
      <c r="O90" s="10" t="n">
        <v>1419.73865283733</v>
      </c>
      <c r="P90" s="10" t="n">
        <v>174374.248652837</v>
      </c>
      <c r="Q90" s="10">
        <f>P90/F90</f>
        <v/>
      </c>
      <c r="R90" s="13" t="n">
        <v>1.06908024193644</v>
      </c>
    </row>
    <row r="91">
      <c r="A91" s="9" t="inlineStr">
        <is>
          <t>003</t>
        </is>
      </c>
      <c r="B91" s="9" t="inlineStr">
        <is>
          <t>MS MOTORSERVICE 2330421560</t>
        </is>
      </c>
      <c r="C91" s="9" t="n">
        <v>27</v>
      </c>
      <c r="D91" s="9" t="n">
        <v>22</v>
      </c>
      <c r="E91" s="9" t="inlineStr">
        <is>
          <t>POMPE A CARBURANT</t>
        </is>
      </c>
      <c r="F91" s="9" t="n">
        <v>12</v>
      </c>
      <c r="G91" s="9" t="inlineStr">
        <is>
          <t>EUR</t>
        </is>
      </c>
      <c r="H91" s="10" t="n">
        <v>51.95</v>
      </c>
      <c r="I91" s="10" t="n">
        <v>623.4</v>
      </c>
      <c r="J91" s="10" t="n">
        <v>101557</v>
      </c>
      <c r="K91" s="12" t="n">
        <v>0</v>
      </c>
      <c r="L91" s="10" t="n">
        <v>0</v>
      </c>
      <c r="M91" s="10" t="n">
        <v>3046.71</v>
      </c>
      <c r="N91" s="10" t="n">
        <v>2489.58</v>
      </c>
      <c r="O91" s="10" t="n">
        <v>858.664687710002</v>
      </c>
      <c r="P91" s="10" t="n">
        <v>105462.37468771</v>
      </c>
      <c r="Q91" s="10">
        <f>P91/F91</f>
        <v/>
      </c>
      <c r="R91" s="13" t="n">
        <v>1.09008764677597</v>
      </c>
    </row>
    <row r="92">
      <c r="A92" s="9" t="inlineStr">
        <is>
          <t>003</t>
        </is>
      </c>
      <c r="B92" s="9" t="inlineStr">
        <is>
          <t>MS MOTORSERVICE 2330421560</t>
        </is>
      </c>
      <c r="C92" s="9" t="n">
        <v>28</v>
      </c>
      <c r="D92" s="9" t="n">
        <v>23</v>
      </c>
      <c r="E92" s="9" t="inlineStr">
        <is>
          <t>UNITE DE COMMANDE POUR POMPE A CARBURANT</t>
        </is>
      </c>
      <c r="F92" s="9" t="n">
        <v>29</v>
      </c>
      <c r="G92" s="9" t="inlineStr">
        <is>
          <t>EUR</t>
        </is>
      </c>
      <c r="H92" s="10" t="n">
        <v>41.41</v>
      </c>
      <c r="I92" s="10" t="n">
        <v>1200.89</v>
      </c>
      <c r="J92" s="10" t="n">
        <v>191179</v>
      </c>
      <c r="K92" s="12" t="n">
        <v>0</v>
      </c>
      <c r="L92" s="10" t="n">
        <v>0</v>
      </c>
      <c r="M92" s="10" t="n">
        <v>5735.37</v>
      </c>
      <c r="N92" s="10" t="n">
        <v>4686.56</v>
      </c>
      <c r="O92" s="10" t="n">
        <v>1616.41892072147</v>
      </c>
      <c r="P92" s="10" t="n">
        <v>198530.788920721</v>
      </c>
      <c r="Q92" s="10">
        <f>P92/F92</f>
        <v/>
      </c>
      <c r="R92" s="13" t="n">
        <v>1.06525924004383</v>
      </c>
    </row>
    <row r="93">
      <c r="A93" s="9" t="inlineStr">
        <is>
          <t>003</t>
        </is>
      </c>
      <c r="B93" s="9" t="inlineStr">
        <is>
          <t>MS MOTORSERVICE 2330421560</t>
        </is>
      </c>
      <c r="C93" s="9" t="n">
        <v>29</v>
      </c>
      <c r="D93" s="9" t="n">
        <v>24</v>
      </c>
      <c r="E93" s="9" t="inlineStr">
        <is>
          <t>UNITE DE COMMANDE POUR POMPE A CARBURANT</t>
        </is>
      </c>
      <c r="F93" s="9" t="n">
        <v>21</v>
      </c>
      <c r="G93" s="9" t="inlineStr">
        <is>
          <t>EUR</t>
        </is>
      </c>
      <c r="H93" s="10" t="n">
        <v>40</v>
      </c>
      <c r="I93" s="10" t="n">
        <v>840</v>
      </c>
      <c r="J93" s="10" t="n">
        <v>135172</v>
      </c>
      <c r="K93" s="12" t="n">
        <v>0.05</v>
      </c>
      <c r="L93" s="10" t="n">
        <v>6758.6</v>
      </c>
      <c r="M93" s="10" t="n">
        <v>4055.16</v>
      </c>
      <c r="N93" s="10" t="n">
        <v>3474.46</v>
      </c>
      <c r="O93" s="10" t="n">
        <v>1142.8795963561</v>
      </c>
      <c r="P93" s="10" t="n">
        <v>147128.639596356</v>
      </c>
      <c r="Q93" s="10">
        <f>P93/F93</f>
        <v/>
      </c>
      <c r="R93" s="13" t="n">
        <v>1.12862223810902</v>
      </c>
    </row>
    <row r="94">
      <c r="A94" s="9" t="inlineStr">
        <is>
          <t>003</t>
        </is>
      </c>
      <c r="B94" s="9" t="inlineStr">
        <is>
          <t>MS MOTORSERVICE 2330421560</t>
        </is>
      </c>
      <c r="C94" s="9" t="n">
        <v>30</v>
      </c>
      <c r="D94" s="9" t="n">
        <v>26</v>
      </c>
      <c r="E94" s="9" t="inlineStr">
        <is>
          <t>POMPE A HUILE</t>
        </is>
      </c>
      <c r="F94" s="9" t="n">
        <v>300</v>
      </c>
      <c r="G94" s="9" t="inlineStr">
        <is>
          <t>EUR</t>
        </is>
      </c>
      <c r="H94" s="10" t="n">
        <v>27.8</v>
      </c>
      <c r="I94" s="10" t="n">
        <v>8340</v>
      </c>
      <c r="J94" s="10" t="n">
        <v>1301332.85777385</v>
      </c>
      <c r="K94" s="12" t="n">
        <v>0.05</v>
      </c>
      <c r="L94" s="10" t="n">
        <v>65066.6428886926</v>
      </c>
      <c r="M94" s="10" t="n">
        <v>39039.9857332155</v>
      </c>
      <c r="N94" s="10" t="n">
        <v>33449.4634452297</v>
      </c>
      <c r="O94" s="10" t="n">
        <v>11002.7725506577</v>
      </c>
      <c r="P94" s="10" t="n">
        <v>1416442.25894642</v>
      </c>
      <c r="Q94" s="10">
        <f>P94/F94</f>
        <v/>
      </c>
      <c r="R94" s="13" t="n">
        <v>1.09436827486288</v>
      </c>
    </row>
    <row r="95">
      <c r="A95" s="9" t="inlineStr">
        <is>
          <t>003</t>
        </is>
      </c>
      <c r="B95" s="9" t="inlineStr">
        <is>
          <t>MS MOTORSERVICE 2330421560</t>
        </is>
      </c>
      <c r="C95" s="9" t="n">
        <v>31</v>
      </c>
      <c r="D95" s="9" t="n">
        <v>26</v>
      </c>
      <c r="E95" s="9" t="inlineStr">
        <is>
          <t>POMPE A HUILE</t>
        </is>
      </c>
      <c r="F95" s="9" t="n">
        <v>88</v>
      </c>
      <c r="G95" s="9" t="inlineStr">
        <is>
          <t>EUR</t>
        </is>
      </c>
      <c r="H95" s="10" t="n">
        <v>43</v>
      </c>
      <c r="I95" s="10" t="n">
        <v>3784</v>
      </c>
      <c r="J95" s="10" t="n">
        <v>590436.874558304</v>
      </c>
      <c r="K95" s="12" t="n">
        <v>0.05</v>
      </c>
      <c r="L95" s="10" t="n">
        <v>29521.8437279152</v>
      </c>
      <c r="M95" s="10" t="n">
        <v>17713.1062367491</v>
      </c>
      <c r="N95" s="10" t="n">
        <v>15176.5910883392</v>
      </c>
      <c r="O95" s="10" t="n">
        <v>4992.14524360778</v>
      </c>
      <c r="P95" s="10" t="n">
        <v>642663.969766576</v>
      </c>
      <c r="Q95" s="10">
        <f>P95/F95</f>
        <v/>
      </c>
      <c r="R95" s="13" t="n">
        <v>1.09436827486288</v>
      </c>
    </row>
    <row r="96">
      <c r="A96" s="9" t="inlineStr">
        <is>
          <t>003</t>
        </is>
      </c>
      <c r="B96" s="9" t="inlineStr">
        <is>
          <t>MS MOTORSERVICE 2330421560</t>
        </is>
      </c>
      <c r="C96" s="9" t="n">
        <v>32</v>
      </c>
      <c r="D96" s="9" t="n">
        <v>26</v>
      </c>
      <c r="E96" s="9" t="inlineStr">
        <is>
          <t>POMPE A HUILE</t>
        </is>
      </c>
      <c r="F96" s="9" t="n">
        <v>200</v>
      </c>
      <c r="G96" s="9" t="inlineStr">
        <is>
          <t>EUR</t>
        </is>
      </c>
      <c r="H96" s="10" t="n">
        <v>18</v>
      </c>
      <c r="I96" s="10" t="n">
        <v>3600</v>
      </c>
      <c r="J96" s="10" t="n">
        <v>561726.413427562</v>
      </c>
      <c r="K96" s="12" t="n">
        <v>0.05</v>
      </c>
      <c r="L96" s="10" t="n">
        <v>28086.3206713781</v>
      </c>
      <c r="M96" s="10" t="n">
        <v>16851.7924028269</v>
      </c>
      <c r="N96" s="10" t="n">
        <v>14438.6173144876</v>
      </c>
      <c r="O96" s="10" t="n">
        <v>4749.3982233055</v>
      </c>
      <c r="P96" s="10" t="n">
        <v>611413.924725072</v>
      </c>
      <c r="Q96" s="10">
        <f>P96/F96</f>
        <v/>
      </c>
      <c r="R96" s="13" t="n">
        <v>1.09436827486288</v>
      </c>
    </row>
    <row r="97">
      <c r="A97" s="9" t="inlineStr">
        <is>
          <t>003</t>
        </is>
      </c>
      <c r="B97" s="9" t="inlineStr">
        <is>
          <t>MS MOTORSERVICE 2330421560</t>
        </is>
      </c>
      <c r="C97" s="9" t="n">
        <v>33</v>
      </c>
      <c r="D97" s="9" t="n">
        <v>26</v>
      </c>
      <c r="E97" s="9" t="inlineStr">
        <is>
          <t>POMPE A HUILE</t>
        </is>
      </c>
      <c r="F97" s="9" t="n">
        <v>52</v>
      </c>
      <c r="G97" s="9" t="inlineStr">
        <is>
          <t>EUR</t>
        </is>
      </c>
      <c r="H97" s="10" t="n">
        <v>133</v>
      </c>
      <c r="I97" s="10" t="n">
        <v>6916</v>
      </c>
      <c r="J97" s="10" t="n">
        <v>1079138.85424028</v>
      </c>
      <c r="K97" s="12" t="n">
        <v>0.05</v>
      </c>
      <c r="L97" s="10" t="n">
        <v>53956.9427120141</v>
      </c>
      <c r="M97" s="10" t="n">
        <v>32374.1656272085</v>
      </c>
      <c r="N97" s="10" t="n">
        <v>27738.1881519435</v>
      </c>
      <c r="O97" s="10" t="n">
        <v>9124.121697883569</v>
      </c>
      <c r="P97" s="10" t="n">
        <v>1174594.08427739</v>
      </c>
      <c r="Q97" s="10">
        <f>P97/F97</f>
        <v/>
      </c>
      <c r="R97" s="13" t="n">
        <v>1.09436827486288</v>
      </c>
    </row>
    <row r="98">
      <c r="A98" s="9" t="inlineStr">
        <is>
          <t>003</t>
        </is>
      </c>
      <c r="B98" s="9" t="inlineStr">
        <is>
          <t>MS MOTORSERVICE 2330421560</t>
        </is>
      </c>
      <c r="C98" s="9" t="n">
        <v>34</v>
      </c>
      <c r="D98" s="9" t="n">
        <v>25</v>
      </c>
      <c r="E98" s="9" t="inlineStr">
        <is>
          <t>POMPE A HUILE</t>
        </is>
      </c>
      <c r="F98" s="9" t="n">
        <v>17</v>
      </c>
      <c r="G98" s="9" t="inlineStr">
        <is>
          <t>EUR</t>
        </is>
      </c>
      <c r="H98" s="10" t="n">
        <v>41.2</v>
      </c>
      <c r="I98" s="10" t="n">
        <v>700.4</v>
      </c>
      <c r="J98" s="10" t="n">
        <v>113507</v>
      </c>
      <c r="K98" s="12" t="n">
        <v>0</v>
      </c>
      <c r="L98" s="10" t="n">
        <v>0</v>
      </c>
      <c r="M98" s="10" t="n">
        <v>3405.21</v>
      </c>
      <c r="N98" s="10" t="n">
        <v>2782.5</v>
      </c>
      <c r="O98" s="10" t="n">
        <v>959.70196744586</v>
      </c>
      <c r="P98" s="10" t="n">
        <v>117871.911967446</v>
      </c>
      <c r="Q98" s="10">
        <f>P98/F98</f>
        <v/>
      </c>
      <c r="R98" s="13" t="n">
        <v>1.08441336313346</v>
      </c>
    </row>
    <row r="99">
      <c r="A99" s="9" t="inlineStr">
        <is>
          <t>003</t>
        </is>
      </c>
      <c r="B99" s="9" t="inlineStr">
        <is>
          <t>MS MOTORSERVICE 2330421560</t>
        </is>
      </c>
      <c r="C99" s="9" t="n">
        <v>35</v>
      </c>
      <c r="D99" s="9" t="n">
        <v>27</v>
      </c>
      <c r="E99" s="9" t="inlineStr">
        <is>
          <t>POMPE A EAU ADDITIONNELLE</t>
        </is>
      </c>
      <c r="F99" s="9" t="n">
        <v>98</v>
      </c>
      <c r="G99" s="9" t="inlineStr">
        <is>
          <t>EUR</t>
        </is>
      </c>
      <c r="H99" s="10" t="n">
        <v>53.5</v>
      </c>
      <c r="I99" s="10" t="n">
        <v>5243</v>
      </c>
      <c r="J99" s="10" t="n">
        <v>818482</v>
      </c>
      <c r="K99" s="12" t="n">
        <v>0.05</v>
      </c>
      <c r="L99" s="10" t="n">
        <v>40924.1</v>
      </c>
      <c r="M99" s="10" t="n">
        <v>24554.46</v>
      </c>
      <c r="N99" s="10" t="n">
        <v>21038.28</v>
      </c>
      <c r="O99" s="10" t="n">
        <v>6920.26734667485</v>
      </c>
      <c r="P99" s="10" t="n">
        <v>890880.827346675</v>
      </c>
      <c r="Q99" s="10">
        <f>P99/F99</f>
        <v/>
      </c>
      <c r="R99" s="13" t="n">
        <v>1.09488983766036</v>
      </c>
    </row>
    <row r="100">
      <c r="A100" s="9" t="inlineStr">
        <is>
          <t>003</t>
        </is>
      </c>
      <c r="B100" s="9" t="inlineStr">
        <is>
          <t>MS MOTORSERVICE 2330421560</t>
        </is>
      </c>
      <c r="C100" s="9" t="n">
        <v>36</v>
      </c>
      <c r="D100" s="9" t="n">
        <v>28</v>
      </c>
      <c r="E100" s="9" t="inlineStr">
        <is>
          <t>RADIATEUR HUILE</t>
        </is>
      </c>
      <c r="F100" s="9" t="n">
        <v>11</v>
      </c>
      <c r="G100" s="9" t="inlineStr">
        <is>
          <t>EUR</t>
        </is>
      </c>
      <c r="H100" s="10" t="n">
        <v>19.57</v>
      </c>
      <c r="I100" s="10" t="n">
        <v>215.27</v>
      </c>
      <c r="J100" s="10" t="n">
        <v>36748.8078535945</v>
      </c>
      <c r="K100" s="12" t="n">
        <v>0.15</v>
      </c>
      <c r="L100" s="10" t="n">
        <v>5512.32117803918</v>
      </c>
      <c r="M100" s="10" t="n">
        <v>1102.46423560784</v>
      </c>
      <c r="N100" s="10" t="n">
        <v>1032.05625663964</v>
      </c>
      <c r="O100" s="10" t="n">
        <v>310.71126184627</v>
      </c>
      <c r="P100" s="10" t="n">
        <v>43674.3045290878</v>
      </c>
      <c r="Q100" s="10">
        <f>P100/F100</f>
        <v/>
      </c>
      <c r="R100" s="13" t="n">
        <v>1.30729366651124</v>
      </c>
    </row>
    <row r="101">
      <c r="A101" s="9" t="inlineStr">
        <is>
          <t>003</t>
        </is>
      </c>
      <c r="B101" s="9" t="inlineStr">
        <is>
          <t>MS MOTORSERVICE 2330421560</t>
        </is>
      </c>
      <c r="C101" s="9" t="n">
        <v>37</v>
      </c>
      <c r="D101" s="9" t="n">
        <v>28</v>
      </c>
      <c r="E101" s="9" t="inlineStr">
        <is>
          <t>RADIATEUR HUILE</t>
        </is>
      </c>
      <c r="F101" s="9" t="n">
        <v>39</v>
      </c>
      <c r="G101" s="9" t="inlineStr">
        <is>
          <t>EUR</t>
        </is>
      </c>
      <c r="H101" s="10" t="n">
        <v>14.95</v>
      </c>
      <c r="I101" s="10" t="n">
        <v>583.05</v>
      </c>
      <c r="J101" s="10" t="n">
        <v>99532.6446743081</v>
      </c>
      <c r="K101" s="12" t="n">
        <v>0.15</v>
      </c>
      <c r="L101" s="10" t="n">
        <v>14929.8967011462</v>
      </c>
      <c r="M101" s="10" t="n">
        <v>2985.97934022924</v>
      </c>
      <c r="N101" s="10" t="n">
        <v>2795.28220575902</v>
      </c>
      <c r="O101" s="10" t="n">
        <v>841.548758393959</v>
      </c>
      <c r="P101" s="10" t="n">
        <v>118290.069474077</v>
      </c>
      <c r="Q101" s="10">
        <f>P101/F101</f>
        <v/>
      </c>
      <c r="R101" s="13" t="n">
        <v>1.30729366651124</v>
      </c>
    </row>
    <row r="102">
      <c r="A102" s="9" t="inlineStr">
        <is>
          <t>003</t>
        </is>
      </c>
      <c r="B102" s="9" t="inlineStr">
        <is>
          <t>MS MOTORSERVICE 2330421560</t>
        </is>
      </c>
      <c r="C102" s="9" t="n">
        <v>38</v>
      </c>
      <c r="D102" s="9" t="n">
        <v>28</v>
      </c>
      <c r="E102" s="9" t="inlineStr">
        <is>
          <t>RADIATEUR HUILE</t>
        </is>
      </c>
      <c r="F102" s="9" t="n">
        <v>6</v>
      </c>
      <c r="G102" s="9" t="inlineStr">
        <is>
          <t>EUR</t>
        </is>
      </c>
      <c r="H102" s="10" t="n">
        <v>21.95</v>
      </c>
      <c r="I102" s="10" t="n">
        <v>131.7</v>
      </c>
      <c r="J102" s="10" t="n">
        <v>22482.5474720974</v>
      </c>
      <c r="K102" s="12" t="n">
        <v>0.15</v>
      </c>
      <c r="L102" s="10" t="n">
        <v>3372.38212081461</v>
      </c>
      <c r="M102" s="10" t="n">
        <v>674.476424162921</v>
      </c>
      <c r="N102" s="10" t="n">
        <v>631.4015376013421</v>
      </c>
      <c r="O102" s="10" t="n">
        <v>190.089994821172</v>
      </c>
      <c r="P102" s="10" t="n">
        <v>26719.4960118961</v>
      </c>
      <c r="Q102" s="10">
        <f>P102/F102</f>
        <v/>
      </c>
      <c r="R102" s="13" t="n">
        <v>1.30729366651124</v>
      </c>
    </row>
    <row r="103">
      <c r="A103" s="9" t="inlineStr">
        <is>
          <t>003</t>
        </is>
      </c>
      <c r="B103" s="9" t="inlineStr">
        <is>
          <t>MS MOTORSERVICE 2330421560</t>
        </is>
      </c>
      <c r="C103" s="9" t="n">
        <v>39</v>
      </c>
      <c r="D103" s="9" t="n">
        <v>29</v>
      </c>
      <c r="E103" s="9" t="inlineStr">
        <is>
          <t>MODULE REFROIDISSEUR EGR</t>
        </is>
      </c>
      <c r="F103" s="9" t="n">
        <v>160</v>
      </c>
      <c r="G103" s="9" t="inlineStr">
        <is>
          <t>EUR</t>
        </is>
      </c>
      <c r="H103" s="10" t="n">
        <v>105</v>
      </c>
      <c r="I103" s="10" t="n">
        <v>16800</v>
      </c>
      <c r="J103" s="10" t="n">
        <v>2612036</v>
      </c>
      <c r="K103" s="12" t="n">
        <v>0</v>
      </c>
      <c r="L103" s="10" t="n">
        <v>0</v>
      </c>
      <c r="M103" s="10" t="n">
        <v>78361.08</v>
      </c>
      <c r="N103" s="10" t="n">
        <v>64031.44</v>
      </c>
      <c r="O103" s="10" t="n">
        <v>22084.7708796763</v>
      </c>
      <c r="P103" s="10" t="n">
        <v>2712481.85087968</v>
      </c>
      <c r="Q103" s="10">
        <f>P103/F103</f>
        <v/>
      </c>
      <c r="R103" s="13" t="n">
        <v>1.04037097935816</v>
      </c>
    </row>
    <row r="104">
      <c r="A104" s="9" t="inlineStr">
        <is>
          <t>003</t>
        </is>
      </c>
      <c r="B104" s="9" t="inlineStr">
        <is>
          <t>MS MOTORSERVICE 2330421560</t>
        </is>
      </c>
      <c r="C104" s="9" t="n">
        <v>40</v>
      </c>
      <c r="D104" s="9" t="n">
        <v>30</v>
      </c>
      <c r="E104" s="9" t="inlineStr">
        <is>
          <t>POMPE A EAU ADDITIONNELLE</t>
        </is>
      </c>
      <c r="F104" s="9" t="n">
        <v>19</v>
      </c>
      <c r="G104" s="9" t="inlineStr">
        <is>
          <t>EUR</t>
        </is>
      </c>
      <c r="H104" s="10" t="n">
        <v>71.06999999999999</v>
      </c>
      <c r="I104" s="10" t="n">
        <v>1350.33</v>
      </c>
      <c r="J104" s="10" t="n">
        <v>214371</v>
      </c>
      <c r="K104" s="12" t="n">
        <v>0</v>
      </c>
      <c r="L104" s="10" t="n">
        <v>0</v>
      </c>
      <c r="M104" s="10" t="n">
        <v>6431.13</v>
      </c>
      <c r="N104" s="10" t="n">
        <v>5255.08</v>
      </c>
      <c r="O104" s="10" t="n">
        <v>1812.50733843143</v>
      </c>
      <c r="P104" s="10" t="n">
        <v>222614.637338431</v>
      </c>
      <c r="Q104" s="10">
        <f>P104/F104</f>
        <v/>
      </c>
      <c r="R104" s="13" t="n">
        <v>1.06229336814681</v>
      </c>
    </row>
    <row r="105">
      <c r="A105" s="9" t="inlineStr">
        <is>
          <t>003</t>
        </is>
      </c>
      <c r="B105" s="9" t="inlineStr">
        <is>
          <t>MS MOTORSERVICE 2330421560</t>
        </is>
      </c>
      <c r="C105" s="9" t="n">
        <v>41</v>
      </c>
      <c r="D105" s="9" t="n">
        <v>31</v>
      </c>
      <c r="E105" s="9" t="inlineStr">
        <is>
          <t>POMPE A CARBURANT</t>
        </is>
      </c>
      <c r="F105" s="9" t="n">
        <v>80</v>
      </c>
      <c r="G105" s="9" t="inlineStr">
        <is>
          <t>EUR</t>
        </is>
      </c>
      <c r="H105" s="10" t="n">
        <v>49.49</v>
      </c>
      <c r="I105" s="10" t="n">
        <v>3959.2</v>
      </c>
      <c r="J105" s="10" t="n">
        <v>620220.957055215</v>
      </c>
      <c r="K105" s="12" t="n">
        <v>0.05</v>
      </c>
      <c r="L105" s="10" t="n">
        <v>31011.0478527607</v>
      </c>
      <c r="M105" s="10" t="n">
        <v>18606.6287116564</v>
      </c>
      <c r="N105" s="10" t="n">
        <v>15942.1590184049</v>
      </c>
      <c r="O105" s="10" t="n">
        <v>5243.96973523257</v>
      </c>
      <c r="P105" s="10" t="n">
        <v>675082.6033548641</v>
      </c>
      <c r="Q105" s="10">
        <f>P105/F105</f>
        <v/>
      </c>
      <c r="R105" s="13" t="n">
        <v>1.09870258339478</v>
      </c>
    </row>
    <row r="106">
      <c r="A106" s="9" t="inlineStr">
        <is>
          <t>003</t>
        </is>
      </c>
      <c r="B106" s="9" t="inlineStr">
        <is>
          <t>MS MOTORSERVICE 2330421560</t>
        </is>
      </c>
      <c r="C106" s="9" t="n">
        <v>42</v>
      </c>
      <c r="D106" s="9" t="n">
        <v>31</v>
      </c>
      <c r="E106" s="9" t="inlineStr">
        <is>
          <t>POMPE A CARBURANT</t>
        </is>
      </c>
      <c r="F106" s="9" t="n">
        <v>50</v>
      </c>
      <c r="G106" s="9" t="inlineStr">
        <is>
          <t>EUR</t>
        </is>
      </c>
      <c r="H106" s="10" t="n">
        <v>52.52</v>
      </c>
      <c r="I106" s="10" t="n">
        <v>2626</v>
      </c>
      <c r="J106" s="10" t="n">
        <v>411371.042944785</v>
      </c>
      <c r="K106" s="12" t="n">
        <v>0.05</v>
      </c>
      <c r="L106" s="10" t="n">
        <v>20568.5521472393</v>
      </c>
      <c r="M106" s="10" t="n">
        <v>12341.1312883436</v>
      </c>
      <c r="N106" s="10" t="n">
        <v>10573.8809815951</v>
      </c>
      <c r="O106" s="10" t="n">
        <v>3478.14319173589</v>
      </c>
      <c r="P106" s="10" t="n">
        <v>447758.869572104</v>
      </c>
      <c r="Q106" s="10">
        <f>P106/F106</f>
        <v/>
      </c>
      <c r="R106" s="13" t="n">
        <v>1.09870258339478</v>
      </c>
    </row>
    <row r="107">
      <c r="A107" s="9" t="inlineStr">
        <is>
          <t>004</t>
        </is>
      </c>
      <c r="B107" s="9" t="inlineStr">
        <is>
          <t>BS MOTOR GTS2406321-C</t>
        </is>
      </c>
      <c r="C107" s="9" t="n">
        <v>1</v>
      </c>
      <c r="D107" s="9" t="n">
        <v>1</v>
      </c>
      <c r="E107" s="9" t="inlineStr">
        <is>
          <t>POMPE A EAU</t>
        </is>
      </c>
      <c r="F107" s="9" t="n">
        <v>40</v>
      </c>
      <c r="G107" s="9" t="inlineStr">
        <is>
          <t>USD</t>
        </is>
      </c>
      <c r="H107" s="10" t="n">
        <v>28.6</v>
      </c>
      <c r="I107" s="10" t="n">
        <v>1144</v>
      </c>
      <c r="J107" s="10" t="n">
        <v>172025</v>
      </c>
      <c r="K107" s="12" t="n">
        <v>0.05</v>
      </c>
      <c r="L107" s="10" t="n">
        <v>8601.25</v>
      </c>
      <c r="M107" s="10" t="n">
        <v>5160.75</v>
      </c>
      <c r="N107" s="10" t="n">
        <v>4421.74</v>
      </c>
      <c r="O107" s="10" t="n">
        <v>3507.11154076399</v>
      </c>
      <c r="P107" s="10" t="n">
        <v>189294.111540764</v>
      </c>
      <c r="Q107" s="10">
        <f>P107/F107</f>
        <v/>
      </c>
      <c r="R107" s="13" t="n">
        <v>1.24466683805224</v>
      </c>
    </row>
    <row r="108">
      <c r="A108" s="9" t="inlineStr">
        <is>
          <t>004</t>
        </is>
      </c>
      <c r="B108" s="9" t="inlineStr">
        <is>
          <t>BS MOTOR GTS2406321-C</t>
        </is>
      </c>
      <c r="C108" s="9" t="n">
        <v>2</v>
      </c>
      <c r="D108" s="9" t="n">
        <v>2</v>
      </c>
      <c r="E108" s="9" t="inlineStr">
        <is>
          <t>PLATEAU EMB ANC</t>
        </is>
      </c>
      <c r="F108" s="9" t="n">
        <v>150</v>
      </c>
      <c r="G108" s="9" t="inlineStr">
        <is>
          <t>USD</t>
        </is>
      </c>
      <c r="H108" s="10" t="n">
        <v>26.3</v>
      </c>
      <c r="I108" s="10" t="n">
        <v>3945</v>
      </c>
      <c r="J108" s="10" t="n">
        <v>542498.227116311</v>
      </c>
      <c r="K108" s="12" t="n">
        <v>0.15</v>
      </c>
      <c r="L108" s="10" t="n">
        <v>81374.7340674467</v>
      </c>
      <c r="M108" s="10" t="n">
        <v>16274.9468134893</v>
      </c>
      <c r="N108" s="10" t="n">
        <v>15235.5230282175</v>
      </c>
      <c r="O108" s="10" t="n">
        <v>11060.0307697348</v>
      </c>
      <c r="P108" s="10" t="n">
        <v>651207.9387669821</v>
      </c>
      <c r="Q108" s="10">
        <f>P108/F108</f>
        <v/>
      </c>
      <c r="R108" s="13" t="n">
        <v>1.24169438594412</v>
      </c>
    </row>
    <row r="109">
      <c r="A109" s="9" t="inlineStr">
        <is>
          <t>004</t>
        </is>
      </c>
      <c r="B109" s="9" t="inlineStr">
        <is>
          <t>BS MOTOR GTS2406321-C</t>
        </is>
      </c>
      <c r="C109" s="9" t="n">
        <v>3</v>
      </c>
      <c r="D109" s="9" t="n">
        <v>2</v>
      </c>
      <c r="E109" s="9" t="inlineStr">
        <is>
          <t>PLATEAU EMB NV</t>
        </is>
      </c>
      <c r="F109" s="9" t="n">
        <v>150</v>
      </c>
      <c r="G109" s="9" t="inlineStr">
        <is>
          <t>USD</t>
        </is>
      </c>
      <c r="H109" s="10" t="n">
        <v>37.3</v>
      </c>
      <c r="I109" s="10" t="n">
        <v>5595</v>
      </c>
      <c r="J109" s="10" t="n">
        <v>769398.626290434</v>
      </c>
      <c r="K109" s="12" t="n">
        <v>0.15</v>
      </c>
      <c r="L109" s="10" t="n">
        <v>115409.793943565</v>
      </c>
      <c r="M109" s="10" t="n">
        <v>23081.958788713</v>
      </c>
      <c r="N109" s="10" t="n">
        <v>21607.7950172058</v>
      </c>
      <c r="O109" s="10" t="n">
        <v>15685.8991525136</v>
      </c>
      <c r="P109" s="10" t="n">
        <v>923576.278175225</v>
      </c>
      <c r="Q109" s="10">
        <f>P109/F109</f>
        <v/>
      </c>
      <c r="R109" s="13" t="n">
        <v>1.24169438594412</v>
      </c>
    </row>
    <row r="110">
      <c r="A110" s="9" t="inlineStr">
        <is>
          <t>004</t>
        </is>
      </c>
      <c r="B110" s="9" t="inlineStr">
        <is>
          <t>BS MOTOR GTS2406321-C</t>
        </is>
      </c>
      <c r="C110" s="9" t="n">
        <v>4</v>
      </c>
      <c r="D110" s="9" t="n">
        <v>2</v>
      </c>
      <c r="E110" s="9" t="inlineStr">
        <is>
          <t>PLATEAU ANC</t>
        </is>
      </c>
      <c r="F110" s="9" t="n">
        <v>150</v>
      </c>
      <c r="G110" s="9" t="inlineStr">
        <is>
          <t>USD</t>
        </is>
      </c>
      <c r="H110" s="10" t="n">
        <v>37.3</v>
      </c>
      <c r="I110" s="10" t="n">
        <v>5595</v>
      </c>
      <c r="J110" s="10" t="n">
        <v>769398.626290434</v>
      </c>
      <c r="K110" s="12" t="n">
        <v>0.15</v>
      </c>
      <c r="L110" s="10" t="n">
        <v>115409.793943565</v>
      </c>
      <c r="M110" s="10" t="n">
        <v>23081.958788713</v>
      </c>
      <c r="N110" s="10" t="n">
        <v>21607.7950172058</v>
      </c>
      <c r="O110" s="10" t="n">
        <v>15685.8991525136</v>
      </c>
      <c r="P110" s="10" t="n">
        <v>923576.278175225</v>
      </c>
      <c r="Q110" s="10">
        <f>P110/F110</f>
        <v/>
      </c>
      <c r="R110" s="13" t="n">
        <v>1.24169438594412</v>
      </c>
    </row>
    <row r="111">
      <c r="A111" s="9" t="inlineStr">
        <is>
          <t>004</t>
        </is>
      </c>
      <c r="B111" s="9" t="inlineStr">
        <is>
          <t>BS MOTOR GTS2406321-C</t>
        </is>
      </c>
      <c r="C111" s="9" t="n">
        <v>5</v>
      </c>
      <c r="D111" s="9" t="n">
        <v>2</v>
      </c>
      <c r="E111" s="9" t="inlineStr">
        <is>
          <t>DISQUE EMB ANC</t>
        </is>
      </c>
      <c r="F111" s="9" t="n">
        <v>200</v>
      </c>
      <c r="G111" s="9" t="inlineStr">
        <is>
          <t>USD</t>
        </is>
      </c>
      <c r="H111" s="10" t="n">
        <v>14.8</v>
      </c>
      <c r="I111" s="10" t="n">
        <v>2960</v>
      </c>
      <c r="J111" s="10" t="n">
        <v>407045.564579032</v>
      </c>
      <c r="K111" s="12" t="n">
        <v>0.15</v>
      </c>
      <c r="L111" s="10" t="n">
        <v>61056.8346868548</v>
      </c>
      <c r="M111" s="10" t="n">
        <v>12211.366937371</v>
      </c>
      <c r="N111" s="10" t="n">
        <v>11431.4697499426</v>
      </c>
      <c r="O111" s="10" t="n">
        <v>8298.527523045601</v>
      </c>
      <c r="P111" s="10" t="n">
        <v>488612.293726303</v>
      </c>
      <c r="Q111" s="10">
        <f>P111/F111</f>
        <v/>
      </c>
      <c r="R111" s="13" t="n">
        <v>1.24169438594412</v>
      </c>
    </row>
    <row r="112">
      <c r="A112" s="9" t="inlineStr">
        <is>
          <t>004</t>
        </is>
      </c>
      <c r="B112" s="9" t="inlineStr">
        <is>
          <t>BS MOTOR GTS2406321-C</t>
        </is>
      </c>
      <c r="C112" s="9" t="n">
        <v>6</v>
      </c>
      <c r="D112" s="9" t="n">
        <v>2</v>
      </c>
      <c r="E112" s="9" t="inlineStr">
        <is>
          <t>DISQUE EMB</t>
        </is>
      </c>
      <c r="F112" s="9" t="n">
        <v>200</v>
      </c>
      <c r="G112" s="9" t="inlineStr">
        <is>
          <t>USD</t>
        </is>
      </c>
      <c r="H112" s="10" t="n">
        <v>18.5</v>
      </c>
      <c r="I112" s="10" t="n">
        <v>3700</v>
      </c>
      <c r="J112" s="10" t="n">
        <v>508806.95572379</v>
      </c>
      <c r="K112" s="12" t="n">
        <v>0.15</v>
      </c>
      <c r="L112" s="10" t="n">
        <v>76321.0433585685</v>
      </c>
      <c r="M112" s="10" t="n">
        <v>15264.2086717137</v>
      </c>
      <c r="N112" s="10" t="n">
        <v>14289.3371874283</v>
      </c>
      <c r="O112" s="10" t="n">
        <v>10373.159403807</v>
      </c>
      <c r="P112" s="10" t="n">
        <v>610765.3671578791</v>
      </c>
      <c r="Q112" s="10">
        <f>P112/F112</f>
        <v/>
      </c>
      <c r="R112" s="13" t="n">
        <v>1.24169438594412</v>
      </c>
    </row>
    <row r="113">
      <c r="A113" s="9" t="inlineStr">
        <is>
          <t>004</t>
        </is>
      </c>
      <c r="B113" s="9" t="inlineStr">
        <is>
          <t>BS MOTOR GTS2406321-C</t>
        </is>
      </c>
      <c r="C113" s="9" t="n">
        <v>7</v>
      </c>
      <c r="D113" s="9" t="n">
        <v>3</v>
      </c>
      <c r="E113" s="9" t="inlineStr">
        <is>
          <t>COMMODO NV</t>
        </is>
      </c>
      <c r="F113" s="9" t="n">
        <v>40</v>
      </c>
      <c r="G113" s="9" t="inlineStr">
        <is>
          <t>USD</t>
        </is>
      </c>
      <c r="H113" s="10" t="n">
        <v>24.5</v>
      </c>
      <c r="I113" s="10" t="n">
        <v>980</v>
      </c>
      <c r="J113" s="10" t="n">
        <v>136906.33220339</v>
      </c>
      <c r="K113" s="12" t="n">
        <v>0.15</v>
      </c>
      <c r="L113" s="10" t="n">
        <v>20535.9498305085</v>
      </c>
      <c r="M113" s="10" t="n">
        <v>4107.1899661017</v>
      </c>
      <c r="N113" s="10" t="n">
        <v>3844.87884745763</v>
      </c>
      <c r="O113" s="10" t="n">
        <v>2791.13953015072</v>
      </c>
      <c r="P113" s="10" t="n">
        <v>164340.611530151</v>
      </c>
      <c r="Q113" s="10">
        <f>P113/F113</f>
        <v/>
      </c>
      <c r="R113" s="13" t="n">
        <v>1.26142333808516</v>
      </c>
    </row>
    <row r="114">
      <c r="A114" s="9" t="inlineStr">
        <is>
          <t>004</t>
        </is>
      </c>
      <c r="B114" s="9" t="inlineStr">
        <is>
          <t>BS MOTOR GTS2406321-C</t>
        </is>
      </c>
      <c r="C114" s="9" t="n">
        <v>8</v>
      </c>
      <c r="D114" s="9" t="n">
        <v>3</v>
      </c>
      <c r="E114" s="9" t="inlineStr">
        <is>
          <t>COMMODO LUMIER ANC</t>
        </is>
      </c>
      <c r="F114" s="9" t="n">
        <v>600</v>
      </c>
      <c r="G114" s="9" t="inlineStr">
        <is>
          <t>USD</t>
        </is>
      </c>
      <c r="H114" s="10" t="n">
        <v>8.199999999999999</v>
      </c>
      <c r="I114" s="10" t="n">
        <v>4920</v>
      </c>
      <c r="J114" s="10" t="n">
        <v>687325.66779661</v>
      </c>
      <c r="K114" s="12" t="n">
        <v>0.15</v>
      </c>
      <c r="L114" s="10" t="n">
        <v>103098.850169492</v>
      </c>
      <c r="M114" s="10" t="n">
        <v>20619.7700338983</v>
      </c>
      <c r="N114" s="10" t="n">
        <v>19302.8611525424</v>
      </c>
      <c r="O114" s="10" t="n">
        <v>14012.6596819812</v>
      </c>
      <c r="P114" s="10" t="n">
        <v>825056.947681981</v>
      </c>
      <c r="Q114" s="10">
        <f>P114/F114</f>
        <v/>
      </c>
      <c r="R114" s="13" t="n">
        <v>1.26142333808516</v>
      </c>
    </row>
    <row r="115">
      <c r="A115" s="9" t="inlineStr">
        <is>
          <t>004</t>
        </is>
      </c>
      <c r="B115" s="9" t="inlineStr">
        <is>
          <t>BS MOTOR GTS2406321-C</t>
        </is>
      </c>
      <c r="C115" s="9" t="n">
        <v>9</v>
      </c>
      <c r="D115" s="9" t="n">
        <v>4</v>
      </c>
      <c r="E115" s="9" t="inlineStr">
        <is>
          <t>CYLINDRE DE ROUE AR NV</t>
        </is>
      </c>
      <c r="F115" s="9" t="n">
        <v>300</v>
      </c>
      <c r="G115" s="9" t="inlineStr">
        <is>
          <t>USD</t>
        </is>
      </c>
      <c r="H115" s="10" t="n">
        <v>10.1</v>
      </c>
      <c r="I115" s="10" t="n">
        <v>3030</v>
      </c>
      <c r="J115" s="10" t="n">
        <v>422751</v>
      </c>
      <c r="K115" s="12" t="n">
        <v>0.15</v>
      </c>
      <c r="L115" s="10" t="n">
        <v>63412.65</v>
      </c>
      <c r="M115" s="10" t="n">
        <v>12682.53</v>
      </c>
      <c r="N115" s="10" t="n">
        <v>11872.54</v>
      </c>
      <c r="O115" s="10" t="n">
        <v>8618.717692018719</v>
      </c>
      <c r="P115" s="10" t="n">
        <v>507464.897692019</v>
      </c>
      <c r="Q115" s="10">
        <f>P115/F115</f>
        <v/>
      </c>
      <c r="R115" s="13" t="n">
        <v>1.25981106053144</v>
      </c>
    </row>
    <row r="116">
      <c r="A116" s="9" t="inlineStr">
        <is>
          <t>004</t>
        </is>
      </c>
      <c r="B116" s="9" t="inlineStr">
        <is>
          <t>BS MOTOR GTS2406321-C</t>
        </is>
      </c>
      <c r="C116" s="9" t="n">
        <v>10</v>
      </c>
      <c r="D116" s="9" t="n">
        <v>5</v>
      </c>
      <c r="E116" s="9" t="inlineStr">
        <is>
          <t>POMPE EMB INF</t>
        </is>
      </c>
      <c r="F116" s="9" t="n">
        <v>300</v>
      </c>
      <c r="G116" s="9" t="inlineStr">
        <is>
          <t>USD</t>
        </is>
      </c>
      <c r="H116" s="10" t="n">
        <v>6.1</v>
      </c>
      <c r="I116" s="10" t="n">
        <v>1830</v>
      </c>
      <c r="J116" s="10" t="n">
        <v>261451.87219917</v>
      </c>
      <c r="K116" s="12" t="n">
        <v>0.05</v>
      </c>
      <c r="L116" s="10" t="n">
        <v>13072.5936099585</v>
      </c>
      <c r="M116" s="10" t="n">
        <v>7843.5561659751</v>
      </c>
      <c r="N116" s="10" t="n">
        <v>6720.35531950207</v>
      </c>
      <c r="O116" s="10" t="n">
        <v>5330.27686873456</v>
      </c>
      <c r="P116" s="10" t="n">
        <v>287698.298843838</v>
      </c>
      <c r="Q116" s="10">
        <f>P116/F116</f>
        <v/>
      </c>
      <c r="R116" s="13" t="n">
        <v>1.18257377282177</v>
      </c>
    </row>
    <row r="117">
      <c r="A117" s="9" t="inlineStr">
        <is>
          <t>004</t>
        </is>
      </c>
      <c r="B117" s="9" t="inlineStr">
        <is>
          <t>BS MOTOR GTS2406321-C</t>
        </is>
      </c>
      <c r="C117" s="9" t="n">
        <v>11</v>
      </c>
      <c r="D117" s="9" t="n">
        <v>6</v>
      </c>
      <c r="E117" s="9" t="inlineStr">
        <is>
          <t>REFROIDISSEUR PRM</t>
        </is>
      </c>
      <c r="F117" s="9" t="n">
        <v>50</v>
      </c>
      <c r="G117" s="9" t="inlineStr">
        <is>
          <t>USD</t>
        </is>
      </c>
      <c r="H117" s="10" t="n">
        <v>89.5</v>
      </c>
      <c r="I117" s="10" t="n">
        <v>4475</v>
      </c>
      <c r="J117" s="10" t="n">
        <v>614099.919354839</v>
      </c>
      <c r="K117" s="12" t="n">
        <v>0.05</v>
      </c>
      <c r="L117" s="10" t="n">
        <v>30704.9959677419</v>
      </c>
      <c r="M117" s="10" t="n">
        <v>18422.9975806452</v>
      </c>
      <c r="N117" s="10" t="n">
        <v>15784.8166666667</v>
      </c>
      <c r="O117" s="10" t="n">
        <v>12519.7902302084</v>
      </c>
      <c r="P117" s="10" t="n">
        <v>675747.7031334341</v>
      </c>
      <c r="Q117" s="10">
        <f>P117/F117</f>
        <v/>
      </c>
      <c r="R117" s="13" t="n">
        <v>1.13588294123551</v>
      </c>
    </row>
    <row r="118">
      <c r="A118" s="9" t="inlineStr">
        <is>
          <t>004</t>
        </is>
      </c>
      <c r="B118" s="9" t="inlineStr">
        <is>
          <t>BS MOTOR GTS2406321-C</t>
        </is>
      </c>
      <c r="C118" s="9" t="n">
        <v>12</v>
      </c>
      <c r="D118" s="9" t="n">
        <v>6</v>
      </c>
      <c r="E118" s="9" t="inlineStr">
        <is>
          <t>REFROIDISSEUR PRM</t>
        </is>
      </c>
      <c r="F118" s="9" t="n">
        <v>50</v>
      </c>
      <c r="G118" s="9" t="inlineStr">
        <is>
          <t>USD</t>
        </is>
      </c>
      <c r="H118" s="10" t="n">
        <v>96.5</v>
      </c>
      <c r="I118" s="10" t="n">
        <v>4825</v>
      </c>
      <c r="J118" s="10" t="n">
        <v>662130.080645161</v>
      </c>
      <c r="K118" s="12" t="n">
        <v>0.05</v>
      </c>
      <c r="L118" s="10" t="n">
        <v>33106.5040322581</v>
      </c>
      <c r="M118" s="10" t="n">
        <v>19863.9024193548</v>
      </c>
      <c r="N118" s="10" t="n">
        <v>17019.3833333333</v>
      </c>
      <c r="O118" s="10" t="n">
        <v>13498.9917007275</v>
      </c>
      <c r="P118" s="10" t="n">
        <v>728599.478797502</v>
      </c>
      <c r="Q118" s="10">
        <f>P118/F118</f>
        <v/>
      </c>
      <c r="R118" s="13" t="n">
        <v>1.13588294123551</v>
      </c>
    </row>
    <row r="119">
      <c r="A119" s="9" t="inlineStr">
        <is>
          <t>004</t>
        </is>
      </c>
      <c r="B119" s="9" t="inlineStr">
        <is>
          <t>BS MOTOR GTS2406321-C</t>
        </is>
      </c>
      <c r="C119" s="9" t="n">
        <v>13</v>
      </c>
      <c r="D119" s="9" t="n">
        <v>5</v>
      </c>
      <c r="E119" s="9" t="inlineStr">
        <is>
          <t>POMPE A HUILE</t>
        </is>
      </c>
      <c r="F119" s="9" t="n">
        <v>100</v>
      </c>
      <c r="G119" s="9" t="inlineStr">
        <is>
          <t>USD</t>
        </is>
      </c>
      <c r="H119" s="10" t="n">
        <v>22.45</v>
      </c>
      <c r="I119" s="10" t="n">
        <v>2245</v>
      </c>
      <c r="J119" s="10" t="n">
        <v>320742.870539419</v>
      </c>
      <c r="K119" s="12" t="n">
        <v>0.05</v>
      </c>
      <c r="L119" s="10" t="n">
        <v>16037.143526971</v>
      </c>
      <c r="M119" s="10" t="n">
        <v>9622.286116182569</v>
      </c>
      <c r="N119" s="10" t="n">
        <v>8244.37032365145</v>
      </c>
      <c r="O119" s="10" t="n">
        <v>6539.05550290114</v>
      </c>
      <c r="P119" s="10" t="n">
        <v>352941.355685474</v>
      </c>
      <c r="Q119" s="10">
        <f>P119/F119</f>
        <v/>
      </c>
      <c r="R119" s="13" t="n">
        <v>1.18257377282177</v>
      </c>
    </row>
    <row r="120">
      <c r="A120" s="9" t="inlineStr">
        <is>
          <t>004</t>
        </is>
      </c>
      <c r="B120" s="9" t="inlineStr">
        <is>
          <t>BS MOTOR GTS2406321-C</t>
        </is>
      </c>
      <c r="C120" s="9" t="n">
        <v>14</v>
      </c>
      <c r="D120" s="9" t="n">
        <v>5</v>
      </c>
      <c r="E120" s="9" t="inlineStr">
        <is>
          <t>POMPE DIRECTION</t>
        </is>
      </c>
      <c r="F120" s="9" t="n">
        <v>30</v>
      </c>
      <c r="G120" s="9" t="inlineStr">
        <is>
          <t>USD</t>
        </is>
      </c>
      <c r="H120" s="10" t="n">
        <v>65</v>
      </c>
      <c r="I120" s="10" t="n">
        <v>1950</v>
      </c>
      <c r="J120" s="10" t="n">
        <v>278596.257261411</v>
      </c>
      <c r="K120" s="12" t="n">
        <v>0.05</v>
      </c>
      <c r="L120" s="10" t="n">
        <v>13929.8128630705</v>
      </c>
      <c r="M120" s="10" t="n">
        <v>8357.887717842321</v>
      </c>
      <c r="N120" s="10" t="n">
        <v>7161.03435684647</v>
      </c>
      <c r="O120" s="10" t="n">
        <v>5679.80322078273</v>
      </c>
      <c r="P120" s="10" t="n">
        <v>306563.761063106</v>
      </c>
      <c r="Q120" s="10">
        <f>P120/F120</f>
        <v/>
      </c>
      <c r="R120" s="13" t="n">
        <v>1.18257377282177</v>
      </c>
    </row>
    <row r="121">
      <c r="A121" s="9" t="inlineStr">
        <is>
          <t>004</t>
        </is>
      </c>
      <c r="B121" s="9" t="inlineStr">
        <is>
          <t>BS MOTOR GTS2406321-C</t>
        </is>
      </c>
      <c r="C121" s="9" t="n">
        <v>15</v>
      </c>
      <c r="D121" s="9" t="n">
        <v>7</v>
      </c>
      <c r="E121" s="9" t="inlineStr">
        <is>
          <t>ROULEMENT</t>
        </is>
      </c>
      <c r="F121" s="9" t="n">
        <v>504</v>
      </c>
      <c r="G121" s="9" t="inlineStr">
        <is>
          <t>USD</t>
        </is>
      </c>
      <c r="H121" s="10" t="n">
        <v>9.800000000000001</v>
      </c>
      <c r="I121" s="10" t="n">
        <v>4939.2</v>
      </c>
      <c r="J121" s="10" t="n">
        <v>676561</v>
      </c>
      <c r="K121" s="12" t="n">
        <v>0.15</v>
      </c>
      <c r="L121" s="10" t="n">
        <v>101484.15</v>
      </c>
      <c r="M121" s="10" t="n">
        <v>20296.83</v>
      </c>
      <c r="N121" s="10" t="n">
        <v>19000.54</v>
      </c>
      <c r="O121" s="10" t="n">
        <v>13793.1980301167</v>
      </c>
      <c r="P121" s="10" t="n">
        <v>812135.1780301169</v>
      </c>
      <c r="Q121" s="10">
        <f>P121/F121</f>
        <v/>
      </c>
      <c r="R121" s="13" t="n">
        <v>1.23684064681741</v>
      </c>
    </row>
    <row r="122">
      <c r="E122" s="7" t="inlineStr">
        <is>
          <t>Total</t>
        </is>
      </c>
      <c r="J122" s="8">
        <f>SUM(J2:J121)</f>
        <v/>
      </c>
      <c r="L122" s="8">
        <f>SUM(L2:L121)</f>
        <v/>
      </c>
      <c r="M122" s="8">
        <f>SUM(M2:M121)</f>
        <v/>
      </c>
      <c r="N122" s="8">
        <f>SUM(N2:N121)</f>
        <v/>
      </c>
      <c r="O122" s="8">
        <f>SUM(O2:O121)</f>
        <v/>
      </c>
      <c r="P122" s="8">
        <f>SUM(P2:P121)</f>
        <v/>
      </c>
    </row>
  </sheetData>
  <autoFilter ref="A1:R1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22" customWidth="1" min="3" max="3"/>
    <col width="12" customWidth="1" min="4" max="4"/>
    <col width="80" customWidth="1" min="5" max="5"/>
  </cols>
  <sheetData>
    <row r="1">
      <c r="A1" s="2" t="inlineStr">
        <is>
          <t>Contrôle</t>
        </is>
      </c>
      <c r="B1" s="2" t="inlineStr">
        <is>
          <t>Montant pièces</t>
        </is>
      </c>
      <c r="C1" s="2" t="inlineStr">
        <is>
          <t>Montant banque / déclaration</t>
        </is>
      </c>
      <c r="D1" s="2" t="inlineStr">
        <is>
          <t>Écart</t>
        </is>
      </c>
      <c r="E1" s="2" t="inlineStr">
        <is>
          <t>Conclusion</t>
        </is>
      </c>
    </row>
    <row r="2">
      <c r="A2" s="6" t="inlineStr">
        <is>
          <t>Quittance D10 4755I + TEL = chèque de banque 4288181</t>
        </is>
      </c>
      <c r="B2" s="14" t="n">
        <v>2177395</v>
      </c>
      <c r="C2" s="14" t="n">
        <v>2177395</v>
      </c>
      <c r="D2" s="14">
        <f>C2-B2</f>
        <v/>
      </c>
      <c r="E2" s="6" t="inlineStr">
        <is>
          <t>Concordant</t>
        </is>
      </c>
    </row>
    <row r="3">
      <c r="A3" s="6" t="inlineStr">
        <is>
          <t>TVA douane D10 4755I = TVA déductible G50 01/2026</t>
        </is>
      </c>
      <c r="B3" s="14" t="n">
        <v>1150880</v>
      </c>
      <c r="C3" s="14" t="n">
        <v>1150880</v>
      </c>
      <c r="D3" s="14">
        <f>C3-B3</f>
        <v/>
      </c>
      <c r="E3" s="6" t="inlineStr">
        <is>
          <t>Concordant</t>
        </is>
      </c>
    </row>
    <row r="4">
      <c r="A4" s="6" t="inlineStr">
        <is>
          <t>Transit 112 (débours EPB/BMT + 52 000) = chèque CPA 2125741</t>
        </is>
      </c>
      <c r="B4" s="14" t="n">
        <v>110029.76</v>
      </c>
      <c r="C4" s="14" t="n">
        <v>110029.76</v>
      </c>
      <c r="D4" s="14">
        <f>C4-B4</f>
        <v/>
      </c>
      <c r="E4" s="6" t="inlineStr">
        <is>
          <t>Concordant</t>
        </is>
      </c>
    </row>
    <row r="5">
      <c r="A5" s="6" t="inlineStr">
        <is>
          <t>CMA DZIM1948565 = chèque CPA 2125733</t>
        </is>
      </c>
      <c r="B5" s="14" t="n">
        <v>41762.91</v>
      </c>
      <c r="C5" s="14" t="n">
        <v>41762.91</v>
      </c>
      <c r="D5" s="14">
        <f>C5-B5</f>
        <v/>
      </c>
      <c r="E5" s="6" t="inlineStr">
        <is>
          <t>Concordant</t>
        </is>
      </c>
    </row>
    <row r="6">
      <c r="A6" s="6" t="inlineStr">
        <is>
          <t>Quittance D10 6727I (droits + TVA + PRCT) + TEL = chèque de banque 4288232</t>
        </is>
      </c>
      <c r="B6" s="14" t="n">
        <v>3960785</v>
      </c>
      <c r="C6" s="14" t="n">
        <v>3960785</v>
      </c>
      <c r="D6" s="14">
        <f>C6-B6</f>
        <v/>
      </c>
      <c r="E6" s="6" t="inlineStr">
        <is>
          <t>Concordant</t>
        </is>
      </c>
    </row>
    <row r="7">
      <c r="A7" s="6" t="inlineStr">
        <is>
          <t>Quittance D10 13883I + TEL = chèque de banque 4288440</t>
        </is>
      </c>
      <c r="B7" s="14" t="n">
        <v>5546364</v>
      </c>
      <c r="C7" s="14" t="n">
        <v>5546364</v>
      </c>
      <c r="D7" s="14">
        <f>C7-B7</f>
        <v/>
      </c>
      <c r="E7" s="6" t="inlineStr">
        <is>
          <t>Concordant</t>
        </is>
      </c>
    </row>
    <row r="8">
      <c r="A8" s="6" t="inlineStr">
        <is>
          <t>Quittance D10 15629I + TEL = chèque de banque 4288475</t>
        </is>
      </c>
      <c r="B8" s="14" t="n">
        <v>2851027</v>
      </c>
      <c r="C8" s="14" t="n">
        <v>2851027</v>
      </c>
      <c r="D8" s="14">
        <f>C8-B8</f>
        <v/>
      </c>
      <c r="E8" s="6" t="inlineStr">
        <is>
          <t>Concordant</t>
        </is>
      </c>
    </row>
    <row r="9">
      <c r="A9" s="6" t="inlineStr">
        <is>
          <t>TVA douane D10 6727I = TVA déductible G50 02/2026</t>
        </is>
      </c>
      <c r="B9" s="14" t="n">
        <v>2199941</v>
      </c>
      <c r="C9" s="14" t="n">
        <v>2199941</v>
      </c>
      <c r="D9" s="14">
        <f>C9-B9</f>
        <v/>
      </c>
      <c r="E9" s="6" t="inlineStr">
        <is>
          <t>Concordant</t>
        </is>
      </c>
    </row>
    <row r="10">
      <c r="A10" s="6" t="inlineStr">
        <is>
          <t>TVA douane D10 13883I = TVA déductible G50 04/2026</t>
        </is>
      </c>
      <c r="B10" s="14" t="n">
        <v>3919465</v>
      </c>
      <c r="C10" s="14" t="n">
        <v>3919465</v>
      </c>
      <c r="D10" s="14">
        <f>C10-B10</f>
        <v/>
      </c>
      <c r="E10" s="6" t="inlineStr">
        <is>
          <t>Concordant</t>
        </is>
      </c>
    </row>
    <row r="11">
      <c r="A11" s="6" t="inlineStr">
        <is>
          <t>Transit 251BIS = chèque CPA 2125740</t>
        </is>
      </c>
      <c r="B11" s="14" t="n">
        <v>100160.76</v>
      </c>
      <c r="C11" s="14" t="n">
        <v>100160.76</v>
      </c>
      <c r="D11" s="14">
        <f>C11-B11</f>
        <v/>
      </c>
      <c r="E11" s="6" t="inlineStr">
        <is>
          <t>Concordant</t>
        </is>
      </c>
    </row>
    <row r="12">
      <c r="A12" s="6" t="inlineStr">
        <is>
          <t>Transit 402BIS = chèque SG 7106655</t>
        </is>
      </c>
      <c r="B12" s="14" t="n">
        <v>182401.26</v>
      </c>
      <c r="C12" s="14" t="n">
        <v>182401.26</v>
      </c>
      <c r="D12" s="14">
        <f>C12-B12</f>
        <v/>
      </c>
      <c r="E12" s="6" t="inlineStr">
        <is>
          <t>Concordant</t>
        </is>
      </c>
    </row>
    <row r="13">
      <c r="A13" s="6" t="inlineStr">
        <is>
          <t>Transit 441BIS = chèque SG 7106656</t>
        </is>
      </c>
      <c r="B13" s="14" t="n">
        <v>116693.76</v>
      </c>
      <c r="C13" s="14" t="n">
        <v>116693.76</v>
      </c>
      <c r="D13" s="14">
        <f>C13-B13</f>
        <v/>
      </c>
      <c r="E13" s="6" t="inlineStr">
        <is>
          <t>Concordant</t>
        </is>
      </c>
    </row>
    <row r="14">
      <c r="A14" s="6" t="inlineStr">
        <is>
          <t>MSC BJAI2601916 = VRT ORD SARL MSCA du 09/03/2026</t>
        </is>
      </c>
      <c r="B14" s="14" t="n">
        <v>41322.52</v>
      </c>
      <c r="C14" s="14" t="n">
        <v>41322.52</v>
      </c>
      <c r="D14" s="14">
        <f>C14-B14</f>
        <v/>
      </c>
      <c r="E14" s="6" t="inlineStr">
        <is>
          <t>Concordant</t>
        </is>
      </c>
    </row>
    <row r="15">
      <c r="A15" s="6" t="inlineStr">
        <is>
          <t>MSC BJAI2604127 = VRT ORD SARL MSCA du 25/05/2026</t>
        </is>
      </c>
      <c r="B15" s="14" t="n">
        <v>41394.76</v>
      </c>
      <c r="C15" s="14" t="n">
        <v>41394.76</v>
      </c>
      <c r="D15" s="14">
        <f>C15-B15</f>
        <v/>
      </c>
      <c r="E15" s="6" t="inlineStr">
        <is>
          <t>Concordant</t>
        </is>
      </c>
    </row>
    <row r="16">
      <c r="A16" s="6" t="inlineStr">
        <is>
          <t>CMA DZIM1984785 = chèque CPA 2125744 (était au 47000, désormais CMA CGM)</t>
        </is>
      </c>
      <c r="B16" s="14" t="n">
        <v>41855.09</v>
      </c>
      <c r="C16" s="14" t="n">
        <v>41855.09</v>
      </c>
      <c r="D16" s="14">
        <f>C16-B16</f>
        <v/>
      </c>
      <c r="E16" s="6" t="inlineStr">
        <is>
          <t>Concordant</t>
        </is>
      </c>
    </row>
    <row r="17">
      <c r="A17" s="6" t="inlineStr">
        <is>
          <t>CMA DZIM1956872 surestaries = chèque CPA 2125737</t>
        </is>
      </c>
      <c r="B17" s="14" t="n">
        <v>6751.21</v>
      </c>
      <c r="C17" s="14" t="n">
        <v>6751.21</v>
      </c>
      <c r="D17" s="14">
        <f>C17-B17</f>
        <v/>
      </c>
      <c r="E17" s="6" t="inlineStr">
        <is>
          <t>Concordant</t>
        </is>
      </c>
    </row>
    <row r="18">
      <c r="A18" s="6" t="inlineStr">
        <is>
          <t>Transit 402BIS : somme des factures BMT/EPB + amende + 52 000 / montant facturé</t>
        </is>
      </c>
      <c r="B18" s="14" t="n">
        <v>182401.76</v>
      </c>
      <c r="C18" s="14" t="n">
        <v>182401.26</v>
      </c>
      <c r="D18" s="14">
        <f>C18-B18</f>
        <v/>
      </c>
      <c r="E18" s="6" t="inlineStr">
        <is>
          <t>Écart 0,50 de la facture transitaire : imputé en moins du coût (38002)</t>
        </is>
      </c>
    </row>
    <row r="19">
      <c r="A19" s="6" t="inlineStr">
        <is>
          <t>EPB 20279 scanning (dossier 002) retenue au coût mais non refacturée sur 251BIS</t>
        </is>
      </c>
      <c r="B19" s="14" t="n">
        <v>7140</v>
      </c>
      <c r="C19" s="14" t="n">
        <v>0</v>
      </c>
      <c r="D19" s="14">
        <f>C19-B19</f>
        <v/>
      </c>
      <c r="E19" s="6" t="inlineStr">
        <is>
          <t>Passée au 40800 factures non parvenues : à confirmer avec le transitaire</t>
        </is>
      </c>
    </row>
    <row r="20">
      <c r="A20" s="6" t="inlineStr">
        <is>
          <t>Chèque de banque douane 4288306 (05/04/2026) : quittance absente</t>
        </is>
      </c>
      <c r="B20" s="14" t="n">
        <v>0</v>
      </c>
      <c r="C20" s="14" t="n">
        <v>3397533.3</v>
      </c>
      <c r="D20" s="14">
        <f>C20-B20</f>
        <v/>
      </c>
      <c r="E20" s="6" t="inlineStr">
        <is>
          <t>Dossier non fourni (solde débiteur FL009)</t>
        </is>
      </c>
    </row>
    <row r="21">
      <c r="A21" s="6" t="inlineStr">
        <is>
          <t>Règlement MS Motorservice : PTI67673 provision 10/05 + règlement 80 % 20/05</t>
        </is>
      </c>
      <c r="B21" s="14" t="n">
        <v>19502834</v>
      </c>
      <c r="C21" s="14" t="n">
        <v>19558175.01</v>
      </c>
      <c r="D21" s="14">
        <f>C21-B21</f>
        <v/>
      </c>
      <c r="E21" s="6" t="inlineStr">
        <is>
          <t>Différence = perte de change à constater (666) lors du lettrage 40102 / 54200</t>
        </is>
      </c>
    </row>
    <row r="23">
      <c r="A23" t="inlineStr">
        <is>
          <t>Les règlements bancaires aux fournisseurs étrangers sont au 40102 sans code tiers : lettrer avec FE001 (BS MOTOR) et FE022 (MS MOTORSERVICE) et solder les provisions 54200 du même dossier.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2026-10-05T17:47:46Z</dcterms:created>
  <dcterms:modified xsi:type="dcterms:W3CDTF">2026-10-05T17:47:47Z</dcterms:modified>
</cp:coreProperties>
</file>