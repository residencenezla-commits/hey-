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 dossiers" sheetId="1" state="visible" r:id="rId1"/>
    <sheet name="Écritures" sheetId="2" state="visible" r:id="rId2"/>
    <sheet name="Coût de revient articles" sheetId="3" state="visible" r:id="rId3"/>
    <sheet name="Contrôles et pièces" sheetId="4" state="visible" r:id="rId4"/>
  </sheets>
  <definedNames>
    <definedName name="_xlnm._FilterDatabase" localSheetId="1" hidden="1">'Écritures'!$A$1:$K$52</definedName>
    <definedName name="_xlnm._FilterDatabase" localSheetId="2" hidden="1">'Coût de revient articles'!$A$1:$J$81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4" fontId="3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3" customWidth="1" min="4" max="4"/>
    <col width="40" customWidth="1" min="5" max="5"/>
    <col width="17" customWidth="1" min="6" max="6"/>
    <col width="15" customWidth="1" min="7" max="7"/>
    <col width="17" customWidth="1" min="8" max="8"/>
    <col width="18" customWidth="1" min="9" max="9"/>
    <col width="12" customWidth="1" min="10" max="10"/>
    <col width="16" customWidth="1" min="11" max="11"/>
    <col width="14" customWidth="1" min="12" max="12"/>
    <col width="24" customWidth="1" min="13" max="13"/>
    <col width="110" customWidth="1" min="14" max="14"/>
  </cols>
  <sheetData>
    <row r="1">
      <c r="A1" s="1" t="inlineStr">
        <is>
          <t>Dossiers d'importation 2026 — coût de revient et écritures (journaux 05001 ACHATS IMPORTATION et 10001 STOCKS)</t>
        </is>
      </c>
    </row>
    <row r="3">
      <c r="A3" s="2" t="inlineStr">
        <is>
          <t>Dossier</t>
        </is>
      </c>
      <c r="B3" s="2" t="inlineStr">
        <is>
          <t>Pièce</t>
        </is>
      </c>
      <c r="C3" s="2" t="inlineStr">
        <is>
          <t>Date écriture</t>
        </is>
      </c>
      <c r="D3" s="2" t="inlineStr">
        <is>
          <t>Référence</t>
        </is>
      </c>
      <c r="E3" s="2" t="inlineStr">
        <is>
          <t>Intitulé</t>
        </is>
      </c>
      <c r="F3" s="2" t="inlineStr">
        <is>
          <t>Valeur en douane (DA)</t>
        </is>
      </c>
      <c r="G3" s="2" t="inlineStr">
        <is>
          <t>Droits + TEL</t>
        </is>
      </c>
      <c r="H3" s="2" t="inlineStr">
        <is>
          <t>Fret, port, transit HT</t>
        </is>
      </c>
      <c r="I3" s="2" t="inlineStr">
        <is>
          <t>Coût de revient (DA)</t>
        </is>
      </c>
      <c r="J3" s="2" t="inlineStr">
        <is>
          <t>Coefficient de revient</t>
        </is>
      </c>
      <c r="K3" s="2" t="inlineStr">
        <is>
          <t>TVA récupérable</t>
        </is>
      </c>
      <c r="L3" s="2" t="inlineStr">
        <is>
          <t>PRCT (44410)</t>
        </is>
      </c>
      <c r="M3" s="2" t="inlineStr">
        <is>
          <t>Statut</t>
        </is>
      </c>
      <c r="N3" s="2" t="inlineStr">
        <is>
          <t>Observations</t>
        </is>
      </c>
    </row>
    <row r="4">
      <c r="A4" s="3" t="inlineStr">
        <is>
          <t>A</t>
        </is>
      </c>
      <c r="B4" s="3" t="inlineStr">
        <is>
          <t>000001</t>
        </is>
      </c>
      <c r="C4" s="3" t="inlineStr">
        <is>
          <t>15/04/2026</t>
        </is>
      </c>
      <c r="D4" s="3" t="inlineStr">
        <is>
          <t>BL ISB1867028</t>
        </is>
      </c>
      <c r="E4" s="3" t="inlineStr">
        <is>
          <t>CMA CGM HANSA ROTENBURG (MARCHANDISE NON FOURNIE)</t>
        </is>
      </c>
      <c r="F4" s="4" t="n"/>
      <c r="G4" s="4" t="n"/>
      <c r="H4" s="4" t="n">
        <v>116780.97</v>
      </c>
      <c r="I4" s="4">
        <f>SUM(F4:H4)</f>
        <v/>
      </c>
      <c r="J4" s="5">
        <f>IF(F4&gt;0,I4/F4,"")</f>
        <v/>
      </c>
      <c r="K4" s="4" t="n">
        <v>0</v>
      </c>
      <c r="L4" s="4" t="n">
        <v>0</v>
      </c>
      <c r="M4" s="3" t="inlineStr">
        <is>
          <t>Coûts en attente au 38002</t>
        </is>
      </c>
      <c r="N4" s="6" t="inlineStr">
        <is>
          <t>Débours du transit = BMT 4990, 5041, 5522 + EPB 14747, 14651, 15900 (58 029,76) + prestation 52 000 = 110 029,76, montant exact du chèque 2125741 ; facture du transitaire non fournie. Manquent : facture du fournisseur, D10 et quittance (probablement le chèque de banque 4288181 du 18/02/2026, 2 177 395), facture CMA du chèque 2125733 (41 762,91). Coûts laissés au 38002 en attente de la marchandise.</t>
        </is>
      </c>
    </row>
    <row r="5">
      <c r="A5" s="3" t="inlineStr">
        <is>
          <t>B</t>
        </is>
      </c>
      <c r="B5" s="3" t="inlineStr">
        <is>
          <t>000002</t>
        </is>
      </c>
      <c r="C5" s="3" t="inlineStr">
        <is>
          <t>09/04/2026</t>
        </is>
      </c>
      <c r="D5" s="3" t="inlineStr">
        <is>
          <t>D10 6727I</t>
        </is>
      </c>
      <c r="E5" s="3" t="inlineStr">
        <is>
          <t>BS MOTOR GTS2406321-B (MSC ELOANE)</t>
        </is>
      </c>
      <c r="F5" s="4" t="n">
        <v>10099367</v>
      </c>
      <c r="G5" s="4" t="n">
        <v>1485273</v>
      </c>
      <c r="H5" s="4" t="n">
        <v>135118.28</v>
      </c>
      <c r="I5" s="4">
        <f>SUM(F5:H5)</f>
        <v/>
      </c>
      <c r="J5" s="5">
        <f>IF(F5&gt;0,I5/F5,"")</f>
        <v/>
      </c>
      <c r="K5" s="4" t="n">
        <v>2206306</v>
      </c>
      <c r="L5" s="4" t="n">
        <v>275571</v>
      </c>
      <c r="M5" s="3" t="inlineStr">
        <is>
          <t>Entré en stock 30002</t>
        </is>
      </c>
      <c r="N5" s="6" t="inlineStr">
        <is>
          <t>Transit 251BIS = débours BMT 7939 (10 234), BMT 7474 (11 543), EPB 20436 et 22973, MTA 730 (5 950), mobilisation 20 000 + prestation 52 000. EPB 20279 (scanning 7 140) non refacturé par le transitaire. TVA douane = TVA déductible de la G50 02/2026.</t>
        </is>
      </c>
    </row>
    <row r="6">
      <c r="A6" s="3" t="inlineStr">
        <is>
          <t>C</t>
        </is>
      </c>
      <c r="B6" s="3" t="inlineStr">
        <is>
          <t>000003</t>
        </is>
      </c>
      <c r="C6" s="3" t="inlineStr">
        <is>
          <t>14/06/2026</t>
        </is>
      </c>
      <c r="D6" s="3" t="inlineStr">
        <is>
          <t>D10 13883I</t>
        </is>
      </c>
      <c r="E6" s="3" t="inlineStr">
        <is>
          <t>MS MOTORSERVICE 2330421560 (MARTI WIND)</t>
        </is>
      </c>
      <c r="F6" s="4" t="n">
        <v>19502834</v>
      </c>
      <c r="G6" s="4" t="n">
        <v>1135935</v>
      </c>
      <c r="H6" s="4" t="n">
        <v>167733.27</v>
      </c>
      <c r="I6" s="4">
        <f>SUM(F6:H6)</f>
        <v/>
      </c>
      <c r="J6" s="5">
        <f>IF(F6&gt;0,I6/F6,"")</f>
        <v/>
      </c>
      <c r="K6" s="4" t="n">
        <v>3925988.08</v>
      </c>
      <c r="L6" s="4" t="n">
        <v>490964</v>
      </c>
      <c r="M6" s="3" t="inlineStr">
        <is>
          <t>Entré en stock 30002</t>
        </is>
      </c>
      <c r="N6" s="6" t="inlineStr">
        <is>
          <t>Transit 402BIS (182 401,26) = débours scanner, redevances, accès, visites, magasinage (80 401,26) + amende douane 50 000 (marchandise ayant dépassé le délai de séjour, payée par le transitaire) + prestation 52 000. L'amende va au 65600 et n'entre pas dans le coût. TVA douane = TVA déductible de la G50 04/2026. Paiement fournisseur : PTI67673 (provision 4 000 000 le 10/05 + 15 558 175,01 le 20/05).</t>
        </is>
      </c>
    </row>
    <row r="7">
      <c r="A7" s="3" t="inlineStr">
        <is>
          <t>D</t>
        </is>
      </c>
      <c r="B7" s="3" t="inlineStr">
        <is>
          <t>000004</t>
        </is>
      </c>
      <c r="C7" s="3" t="inlineStr">
        <is>
          <t>21/06/2026</t>
        </is>
      </c>
      <c r="D7" s="3" t="inlineStr">
        <is>
          <t>D10 15629I</t>
        </is>
      </c>
      <c r="E7" s="3" t="inlineStr">
        <is>
          <t>BS MOTOR GTS2406321-C (MSC AMELIA)</t>
        </is>
      </c>
      <c r="F7" s="4" t="n">
        <v>7229738</v>
      </c>
      <c r="G7" s="4" t="n">
        <v>1076448</v>
      </c>
      <c r="H7" s="4" t="n">
        <v>151723.52</v>
      </c>
      <c r="I7" s="4">
        <f>SUM(F7:H7)</f>
        <v/>
      </c>
      <c r="J7" s="5">
        <f>IF(F7&gt;0,I7/F7,"")</f>
        <v/>
      </c>
      <c r="K7" s="4" t="n">
        <v>1583400</v>
      </c>
      <c r="L7" s="4" t="n">
        <v>197544</v>
      </c>
      <c r="M7" s="3" t="inlineStr">
        <is>
          <t>Entré en stock 30002</t>
        </is>
      </c>
      <c r="N7" s="6" t="inlineStr">
        <is>
          <t>Transit 441BIS = débours EPB 44441, 45913, 44852, MTA RVS001619 (5 950), BMT 17507, 17584, 18442 (64 693,76) + prestation 52 000. Licence d'entrée produit n° 210398 (contrôle aux frontières).</t>
        </is>
      </c>
    </row>
    <row r="8">
      <c r="E8" s="7" t="inlineStr">
        <is>
          <t>Total</t>
        </is>
      </c>
      <c r="F8" s="8">
        <f>SUM(F4:F7)</f>
        <v/>
      </c>
      <c r="G8" s="8">
        <f>SUM(G4:G7)</f>
        <v/>
      </c>
      <c r="H8" s="8">
        <f>SUM(H4:H7)</f>
        <v/>
      </c>
      <c r="I8" s="8">
        <f>SUM(I4:I7)</f>
        <v/>
      </c>
      <c r="K8" s="8">
        <f>SUM(K4:K7)</f>
        <v/>
      </c>
      <c r="L8" s="8">
        <f>SUM(L4:L7)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1" customWidth="1" min="3" max="3"/>
    <col width="13" customWidth="1" min="4" max="4"/>
    <col width="34" customWidth="1" min="5" max="5"/>
    <col width="9" customWidth="1" min="6" max="6"/>
    <col width="30" customWidth="1" min="7" max="7"/>
    <col width="8" customWidth="1" min="8" max="8"/>
    <col width="28" customWidth="1" min="9" max="9"/>
    <col width="16" customWidth="1" min="10" max="10"/>
    <col width="16" customWidth="1" min="11" max="11"/>
  </cols>
  <sheetData>
    <row r="1">
      <c r="A1" s="2" t="inlineStr">
        <is>
          <t>Journal</t>
        </is>
      </c>
      <c r="B1" s="2" t="inlineStr">
        <is>
          <t>Pièce</t>
        </is>
      </c>
      <c r="C1" s="2" t="inlineStr">
        <is>
          <t>Date</t>
        </is>
      </c>
      <c r="D1" s="2" t="inlineStr">
        <is>
          <t>Référence</t>
        </is>
      </c>
      <c r="E1" s="2" t="inlineStr">
        <is>
          <t>Libellé</t>
        </is>
      </c>
      <c r="F1" s="2" t="inlineStr">
        <is>
          <t>Compte</t>
        </is>
      </c>
      <c r="G1" s="2" t="inlineStr">
        <is>
          <t>Intitulé compte</t>
        </is>
      </c>
      <c r="H1" s="2" t="inlineStr">
        <is>
          <t>Tiers</t>
        </is>
      </c>
      <c r="I1" s="2" t="inlineStr">
        <is>
          <t>Nom tiers</t>
        </is>
      </c>
      <c r="J1" s="2" t="inlineStr">
        <is>
          <t>Débit</t>
        </is>
      </c>
      <c r="K1" s="2" t="inlineStr">
        <is>
          <t>Crédit</t>
        </is>
      </c>
    </row>
    <row r="2">
      <c r="A2" s="9" t="inlineStr">
        <is>
          <t>05001</t>
        </is>
      </c>
      <c r="B2" s="9" t="inlineStr">
        <is>
          <t>000001</t>
        </is>
      </c>
      <c r="C2" s="9" t="inlineStr">
        <is>
          <t>15/04/2026</t>
        </is>
      </c>
      <c r="D2" s="9" t="inlineStr">
        <is>
          <t>BL ISB1867028</t>
        </is>
      </c>
      <c r="E2" s="9" t="inlineStr">
        <is>
          <t>CMA CGM SUREST DZIM1956872</t>
        </is>
      </c>
      <c r="F2" s="9" t="inlineStr">
        <is>
          <t>38002</t>
        </is>
      </c>
      <c r="G2" s="9" t="inlineStr">
        <is>
          <t>ACHATS IMPORTATION</t>
        </is>
      </c>
      <c r="H2" s="9" t="inlineStr"/>
      <c r="I2" s="9" t="inlineStr"/>
      <c r="J2" s="10" t="n">
        <v>6751.21</v>
      </c>
      <c r="K2" s="10" t="n"/>
    </row>
    <row r="3">
      <c r="A3" s="9" t="inlineStr">
        <is>
          <t>05001</t>
        </is>
      </c>
      <c r="B3" s="9" t="inlineStr">
        <is>
          <t>000001</t>
        </is>
      </c>
      <c r="C3" s="9" t="inlineStr">
        <is>
          <t>15/04/2026</t>
        </is>
      </c>
      <c r="D3" s="9" t="inlineStr">
        <is>
          <t>BL ISB1867028</t>
        </is>
      </c>
      <c r="E3" s="9" t="inlineStr">
        <is>
          <t>CMA CGM SUREST DZIM1956872</t>
        </is>
      </c>
      <c r="F3" s="9" t="inlineStr">
        <is>
          <t>40100</t>
        </is>
      </c>
      <c r="G3" s="9" t="inlineStr">
        <is>
          <t>Fournisseurs de stocks et serv</t>
        </is>
      </c>
      <c r="H3" s="9" t="inlineStr">
        <is>
          <t>FL004</t>
        </is>
      </c>
      <c r="I3" s="9" t="inlineStr">
        <is>
          <t>CMA CGM</t>
        </is>
      </c>
      <c r="J3" s="10" t="n"/>
      <c r="K3" s="10" t="n">
        <v>6751.21</v>
      </c>
    </row>
    <row r="4">
      <c r="A4" s="9" t="inlineStr">
        <is>
          <t>05001</t>
        </is>
      </c>
      <c r="B4" s="9" t="inlineStr">
        <is>
          <t>000001</t>
        </is>
      </c>
      <c r="C4" s="9" t="inlineStr">
        <is>
          <t>15/04/2026</t>
        </is>
      </c>
      <c r="D4" s="9" t="inlineStr">
        <is>
          <t>BL ISB1867028</t>
        </is>
      </c>
      <c r="E4" s="9" t="inlineStr">
        <is>
          <t>TRANSIT HAMMACHE (CHQ 2125741)</t>
        </is>
      </c>
      <c r="F4" s="9" t="inlineStr">
        <is>
          <t>38002</t>
        </is>
      </c>
      <c r="G4" s="9" t="inlineStr">
        <is>
          <t>ACHATS IMPORTATION</t>
        </is>
      </c>
      <c r="H4" s="9" t="inlineStr"/>
      <c r="I4" s="9" t="inlineStr"/>
      <c r="J4" s="10" t="n">
        <v>110029.76</v>
      </c>
      <c r="K4" s="10" t="n"/>
    </row>
    <row r="5">
      <c r="A5" s="9" t="inlineStr">
        <is>
          <t>05001</t>
        </is>
      </c>
      <c r="B5" s="9" t="inlineStr">
        <is>
          <t>000001</t>
        </is>
      </c>
      <c r="C5" s="9" t="inlineStr">
        <is>
          <t>15/04/2026</t>
        </is>
      </c>
      <c r="D5" s="9" t="inlineStr">
        <is>
          <t>BL ISB1867028</t>
        </is>
      </c>
      <c r="E5" s="9" t="inlineStr">
        <is>
          <t>TRANSIT HAMMACHE (CHQ 2125741)</t>
        </is>
      </c>
      <c r="F5" s="9" t="inlineStr">
        <is>
          <t>40100</t>
        </is>
      </c>
      <c r="G5" s="9" t="inlineStr">
        <is>
          <t>Fournisseurs de stocks et serv</t>
        </is>
      </c>
      <c r="H5" s="9" t="inlineStr">
        <is>
          <t>FL078</t>
        </is>
      </c>
      <c r="I5" s="9" t="inlineStr">
        <is>
          <t>TRANSIT HAMMACHE DJAMEL</t>
        </is>
      </c>
      <c r="J5" s="10" t="n"/>
      <c r="K5" s="10" t="n">
        <v>110029.76</v>
      </c>
    </row>
    <row r="6">
      <c r="A6" s="9" t="inlineStr">
        <is>
          <t>05001</t>
        </is>
      </c>
      <c r="B6" s="9" t="inlineStr">
        <is>
          <t>000002</t>
        </is>
      </c>
      <c r="C6" s="9" t="inlineStr">
        <is>
          <t>09/04/2026</t>
        </is>
      </c>
      <c r="D6" s="9" t="inlineStr">
        <is>
          <t>D10 6727I</t>
        </is>
      </c>
      <c r="E6" s="9" t="inlineStr">
        <is>
          <t>BS MOTOR GTS2406321-B (77272.6</t>
        </is>
      </c>
      <c r="F6" s="9" t="inlineStr">
        <is>
          <t>38002</t>
        </is>
      </c>
      <c r="G6" s="9" t="inlineStr">
        <is>
          <t>ACHATS IMPORTATION</t>
        </is>
      </c>
      <c r="H6" s="9" t="inlineStr"/>
      <c r="I6" s="9" t="inlineStr"/>
      <c r="J6" s="10" t="n">
        <v>10099367</v>
      </c>
      <c r="K6" s="10" t="n"/>
    </row>
    <row r="7">
      <c r="A7" s="9" t="inlineStr">
        <is>
          <t>05001</t>
        </is>
      </c>
      <c r="B7" s="9" t="inlineStr">
        <is>
          <t>000002</t>
        </is>
      </c>
      <c r="C7" s="9" t="inlineStr">
        <is>
          <t>09/04/2026</t>
        </is>
      </c>
      <c r="D7" s="9" t="inlineStr">
        <is>
          <t>D10 6727I</t>
        </is>
      </c>
      <c r="E7" s="9" t="inlineStr">
        <is>
          <t>BS MOTOR GTS2406321-B (77272.6</t>
        </is>
      </c>
      <c r="F7" s="9" t="inlineStr">
        <is>
          <t>40102</t>
        </is>
      </c>
      <c r="G7" s="9" t="inlineStr">
        <is>
          <t>FOURNSSEURS ETRANGERS</t>
        </is>
      </c>
      <c r="H7" s="9" t="inlineStr">
        <is>
          <t>FE001</t>
        </is>
      </c>
      <c r="I7" s="9" t="inlineStr">
        <is>
          <t>BS MOTORS</t>
        </is>
      </c>
      <c r="J7" s="10" t="n"/>
      <c r="K7" s="10" t="n">
        <v>10099367</v>
      </c>
    </row>
    <row r="8">
      <c r="A8" s="9" t="inlineStr">
        <is>
          <t>05001</t>
        </is>
      </c>
      <c r="B8" s="9" t="inlineStr">
        <is>
          <t>000002</t>
        </is>
      </c>
      <c r="C8" s="9" t="inlineStr">
        <is>
          <t>09/04/2026</t>
        </is>
      </c>
      <c r="D8" s="9" t="inlineStr">
        <is>
          <t>D10 6727I</t>
        </is>
      </c>
      <c r="E8" s="9" t="inlineStr">
        <is>
          <t>DOUANE N°06727I</t>
        </is>
      </c>
      <c r="F8" s="9" t="inlineStr">
        <is>
          <t>38002</t>
        </is>
      </c>
      <c r="G8" s="9" t="inlineStr">
        <is>
          <t>ACHATS IMPORTATION</t>
        </is>
      </c>
      <c r="H8" s="9" t="inlineStr"/>
      <c r="I8" s="9" t="inlineStr"/>
      <c r="J8" s="10" t="n">
        <v>1483273</v>
      </c>
      <c r="K8" s="10" t="n"/>
    </row>
    <row r="9">
      <c r="A9" s="9" t="inlineStr">
        <is>
          <t>05001</t>
        </is>
      </c>
      <c r="B9" s="9" t="inlineStr">
        <is>
          <t>000002</t>
        </is>
      </c>
      <c r="C9" s="9" t="inlineStr">
        <is>
          <t>09/04/2026</t>
        </is>
      </c>
      <c r="D9" s="9" t="inlineStr">
        <is>
          <t>D10 6727I</t>
        </is>
      </c>
      <c r="E9" s="9" t="inlineStr">
        <is>
          <t>DOUANE N°06727I</t>
        </is>
      </c>
      <c r="F9" s="9" t="inlineStr">
        <is>
          <t>44557</t>
        </is>
      </c>
      <c r="G9" s="9" t="inlineStr">
        <is>
          <t>TVA RECUPERABLES</t>
        </is>
      </c>
      <c r="H9" s="9" t="inlineStr"/>
      <c r="I9" s="9" t="inlineStr"/>
      <c r="J9" s="10" t="n">
        <v>2199941</v>
      </c>
      <c r="K9" s="10" t="n"/>
    </row>
    <row r="10">
      <c r="A10" s="9" t="inlineStr">
        <is>
          <t>05001</t>
        </is>
      </c>
      <c r="B10" s="9" t="inlineStr">
        <is>
          <t>000002</t>
        </is>
      </c>
      <c r="C10" s="9" t="inlineStr">
        <is>
          <t>09/04/2026</t>
        </is>
      </c>
      <c r="D10" s="9" t="inlineStr">
        <is>
          <t>D10 6727I</t>
        </is>
      </c>
      <c r="E10" s="9" t="inlineStr">
        <is>
          <t>DOUANE N°06727I PRCT</t>
        </is>
      </c>
      <c r="F10" s="9" t="inlineStr">
        <is>
          <t>44410</t>
        </is>
      </c>
      <c r="G10" s="9" t="inlineStr">
        <is>
          <t>AVANCES ET ACOMPTES SUR IBS</t>
        </is>
      </c>
      <c r="H10" s="9" t="inlineStr"/>
      <c r="I10" s="9" t="inlineStr"/>
      <c r="J10" s="10" t="n">
        <v>275571</v>
      </c>
      <c r="K10" s="10" t="n"/>
    </row>
    <row r="11">
      <c r="A11" s="9" t="inlineStr">
        <is>
          <t>05001</t>
        </is>
      </c>
      <c r="B11" s="9" t="inlineStr">
        <is>
          <t>000002</t>
        </is>
      </c>
      <c r="C11" s="9" t="inlineStr">
        <is>
          <t>09/04/2026</t>
        </is>
      </c>
      <c r="D11" s="9" t="inlineStr">
        <is>
          <t>D10 6727I</t>
        </is>
      </c>
      <c r="E11" s="9" t="inlineStr">
        <is>
          <t>DOUANE N°06727I</t>
        </is>
      </c>
      <c r="F11" s="9" t="inlineStr">
        <is>
          <t>40100</t>
        </is>
      </c>
      <c r="G11" s="9" t="inlineStr">
        <is>
          <t>Fournisseurs de stocks et serv</t>
        </is>
      </c>
      <c r="H11" s="9" t="inlineStr">
        <is>
          <t>FL009</t>
        </is>
      </c>
      <c r="I11" s="9" t="inlineStr">
        <is>
          <t>DOUANES BEJAIA</t>
        </is>
      </c>
      <c r="J11" s="10" t="n"/>
      <c r="K11" s="10" t="n">
        <v>3958785</v>
      </c>
    </row>
    <row r="12">
      <c r="A12" s="9" t="inlineStr">
        <is>
          <t>05001</t>
        </is>
      </c>
      <c r="B12" s="9" t="inlineStr">
        <is>
          <t>000002</t>
        </is>
      </c>
      <c r="C12" s="9" t="inlineStr">
        <is>
          <t>09/04/2026</t>
        </is>
      </c>
      <c r="D12" s="9" t="inlineStr">
        <is>
          <t>D10 6727I</t>
        </is>
      </c>
      <c r="E12" s="9" t="inlineStr">
        <is>
          <t>DOUANE N°06727I TEL</t>
        </is>
      </c>
      <c r="F12" s="9" t="inlineStr">
        <is>
          <t>38002</t>
        </is>
      </c>
      <c r="G12" s="9" t="inlineStr">
        <is>
          <t>ACHATS IMPORTATION</t>
        </is>
      </c>
      <c r="H12" s="9" t="inlineStr"/>
      <c r="I12" s="9" t="inlineStr"/>
      <c r="J12" s="10" t="n">
        <v>2000</v>
      </c>
      <c r="K12" s="10" t="n"/>
    </row>
    <row r="13">
      <c r="A13" s="9" t="inlineStr">
        <is>
          <t>05001</t>
        </is>
      </c>
      <c r="B13" s="9" t="inlineStr">
        <is>
          <t>000002</t>
        </is>
      </c>
      <c r="C13" s="9" t="inlineStr">
        <is>
          <t>09/04/2026</t>
        </is>
      </c>
      <c r="D13" s="9" t="inlineStr">
        <is>
          <t>D10 6727I</t>
        </is>
      </c>
      <c r="E13" s="9" t="inlineStr">
        <is>
          <t>DOUANE N°06727I TEL</t>
        </is>
      </c>
      <c r="F13" s="9" t="inlineStr">
        <is>
          <t>40100</t>
        </is>
      </c>
      <c r="G13" s="9" t="inlineStr">
        <is>
          <t>Fournisseurs de stocks et serv</t>
        </is>
      </c>
      <c r="H13" s="9" t="inlineStr">
        <is>
          <t>FL009</t>
        </is>
      </c>
      <c r="I13" s="9" t="inlineStr">
        <is>
          <t>DOUANES BEJAIA</t>
        </is>
      </c>
      <c r="J13" s="10" t="n"/>
      <c r="K13" s="10" t="n">
        <v>2000</v>
      </c>
    </row>
    <row r="14">
      <c r="A14" s="9" t="inlineStr">
        <is>
          <t>05001</t>
        </is>
      </c>
      <c r="B14" s="9" t="inlineStr">
        <is>
          <t>000002</t>
        </is>
      </c>
      <c r="C14" s="9" t="inlineStr">
        <is>
          <t>09/04/2026</t>
        </is>
      </c>
      <c r="D14" s="9" t="inlineStr">
        <is>
          <t>D10 6727I</t>
        </is>
      </c>
      <c r="E14" s="9" t="inlineStr">
        <is>
          <t>SARL MSCA BJAI2601916</t>
        </is>
      </c>
      <c r="F14" s="9" t="inlineStr">
        <is>
          <t>38002</t>
        </is>
      </c>
      <c r="G14" s="9" t="inlineStr">
        <is>
          <t>ACHATS IMPORTATION</t>
        </is>
      </c>
      <c r="H14" s="9" t="inlineStr"/>
      <c r="I14" s="9" t="inlineStr"/>
      <c r="J14" s="10" t="n">
        <v>34957.52</v>
      </c>
      <c r="K14" s="10" t="n"/>
    </row>
    <row r="15">
      <c r="A15" s="9" t="inlineStr">
        <is>
          <t>05001</t>
        </is>
      </c>
      <c r="B15" s="9" t="inlineStr">
        <is>
          <t>000002</t>
        </is>
      </c>
      <c r="C15" s="9" t="inlineStr">
        <is>
          <t>09/04/2026</t>
        </is>
      </c>
      <c r="D15" s="9" t="inlineStr">
        <is>
          <t>D10 6727I</t>
        </is>
      </c>
      <c r="E15" s="9" t="inlineStr">
        <is>
          <t>SARL MSCA BJAI2601916</t>
        </is>
      </c>
      <c r="F15" s="9" t="inlineStr">
        <is>
          <t>44557</t>
        </is>
      </c>
      <c r="G15" s="9" t="inlineStr">
        <is>
          <t>TVA RECUPERABLES</t>
        </is>
      </c>
      <c r="H15" s="9" t="inlineStr"/>
      <c r="I15" s="9" t="inlineStr"/>
      <c r="J15" s="10" t="n">
        <v>6365</v>
      </c>
      <c r="K15" s="10" t="n"/>
    </row>
    <row r="16">
      <c r="A16" s="9" t="inlineStr">
        <is>
          <t>05001</t>
        </is>
      </c>
      <c r="B16" s="9" t="inlineStr">
        <is>
          <t>000002</t>
        </is>
      </c>
      <c r="C16" s="9" t="inlineStr">
        <is>
          <t>09/04/2026</t>
        </is>
      </c>
      <c r="D16" s="9" t="inlineStr">
        <is>
          <t>D10 6727I</t>
        </is>
      </c>
      <c r="E16" s="9" t="inlineStr">
        <is>
          <t>SARL MSCA BJAI2601916</t>
        </is>
      </c>
      <c r="F16" s="9" t="inlineStr">
        <is>
          <t>40100</t>
        </is>
      </c>
      <c r="G16" s="9" t="inlineStr">
        <is>
          <t>Fournisseurs de stocks et serv</t>
        </is>
      </c>
      <c r="H16" s="9" t="inlineStr">
        <is>
          <t>FL008</t>
        </is>
      </c>
      <c r="I16" s="9" t="inlineStr">
        <is>
          <t>MSCA</t>
        </is>
      </c>
      <c r="J16" s="10" t="n"/>
      <c r="K16" s="10" t="n">
        <v>41322.52</v>
      </c>
    </row>
    <row r="17">
      <c r="A17" s="9" t="inlineStr">
        <is>
          <t>05001</t>
        </is>
      </c>
      <c r="B17" s="9" t="inlineStr">
        <is>
          <t>000002</t>
        </is>
      </c>
      <c r="C17" s="9" t="inlineStr">
        <is>
          <t>09/04/2026</t>
        </is>
      </c>
      <c r="D17" s="9" t="inlineStr">
        <is>
          <t>D10 6727I</t>
        </is>
      </c>
      <c r="E17" s="9" t="inlineStr">
        <is>
          <t>TRANSIT HAMMACHE N°251BIS</t>
        </is>
      </c>
      <c r="F17" s="9" t="inlineStr">
        <is>
          <t>38002</t>
        </is>
      </c>
      <c r="G17" s="9" t="inlineStr">
        <is>
          <t>ACHATS IMPORTATION</t>
        </is>
      </c>
      <c r="H17" s="9" t="inlineStr"/>
      <c r="I17" s="9" t="inlineStr"/>
      <c r="J17" s="10" t="n">
        <v>100160.76</v>
      </c>
      <c r="K17" s="10" t="n"/>
    </row>
    <row r="18">
      <c r="A18" s="9" t="inlineStr">
        <is>
          <t>05001</t>
        </is>
      </c>
      <c r="B18" s="9" t="inlineStr">
        <is>
          <t>000002</t>
        </is>
      </c>
      <c r="C18" s="9" t="inlineStr">
        <is>
          <t>09/04/2026</t>
        </is>
      </c>
      <c r="D18" s="9" t="inlineStr">
        <is>
          <t>D10 6727I</t>
        </is>
      </c>
      <c r="E18" s="9" t="inlineStr">
        <is>
          <t>TRANSIT HAMMACHE N°251BIS</t>
        </is>
      </c>
      <c r="F18" s="9" t="inlineStr">
        <is>
          <t>40100</t>
        </is>
      </c>
      <c r="G18" s="9" t="inlineStr">
        <is>
          <t>Fournisseurs de stocks et serv</t>
        </is>
      </c>
      <c r="H18" s="9" t="inlineStr">
        <is>
          <t>FL078</t>
        </is>
      </c>
      <c r="I18" s="9" t="inlineStr">
        <is>
          <t>TRANSIT HAMMACHE DJAMEL</t>
        </is>
      </c>
      <c r="J18" s="10" t="n"/>
      <c r="K18" s="10" t="n">
        <v>100160.76</v>
      </c>
    </row>
    <row r="19">
      <c r="A19" s="9" t="inlineStr">
        <is>
          <t>10001</t>
        </is>
      </c>
      <c r="B19" s="9" t="inlineStr">
        <is>
          <t>000002</t>
        </is>
      </c>
      <c r="C19" s="9" t="inlineStr">
        <is>
          <t>09/04/2026</t>
        </is>
      </c>
      <c r="D19" s="9" t="inlineStr">
        <is>
          <t>D10 6727I</t>
        </is>
      </c>
      <c r="E19" s="9" t="inlineStr">
        <is>
          <t>ENTREE STOCK BS MOTOR GTS24063</t>
        </is>
      </c>
      <c r="F19" s="9" t="inlineStr">
        <is>
          <t>38002</t>
        </is>
      </c>
      <c r="G19" s="9" t="inlineStr">
        <is>
          <t>ACHATS IMPORTATION</t>
        </is>
      </c>
      <c r="H19" s="9" t="inlineStr"/>
      <c r="I19" s="9" t="inlineStr"/>
      <c r="J19" s="10" t="n"/>
      <c r="K19" s="10" t="n">
        <v>11719758.28</v>
      </c>
    </row>
    <row r="20">
      <c r="A20" s="9" t="inlineStr">
        <is>
          <t>10001</t>
        </is>
      </c>
      <c r="B20" s="9" t="inlineStr">
        <is>
          <t>000002</t>
        </is>
      </c>
      <c r="C20" s="9" t="inlineStr">
        <is>
          <t>09/04/2026</t>
        </is>
      </c>
      <c r="D20" s="9" t="inlineStr">
        <is>
          <t>D10 6727I</t>
        </is>
      </c>
      <c r="E20" s="9" t="inlineStr">
        <is>
          <t>ENTREE STOCK BS MOTOR GTS24063</t>
        </is>
      </c>
      <c r="F20" s="9" t="inlineStr">
        <is>
          <t>30002</t>
        </is>
      </c>
      <c r="G20" s="9" t="inlineStr">
        <is>
          <t>ST IMPORTATION</t>
        </is>
      </c>
      <c r="H20" s="9" t="inlineStr"/>
      <c r="I20" s="9" t="inlineStr"/>
      <c r="J20" s="10" t="n">
        <v>11719758.28</v>
      </c>
      <c r="K20" s="10" t="n"/>
    </row>
    <row r="21">
      <c r="A21" s="9" t="inlineStr">
        <is>
          <t>05001</t>
        </is>
      </c>
      <c r="B21" s="9" t="inlineStr">
        <is>
          <t>000003</t>
        </is>
      </c>
      <c r="C21" s="9" t="inlineStr">
        <is>
          <t>14/06/2026</t>
        </is>
      </c>
      <c r="D21" s="9" t="inlineStr">
        <is>
          <t>D10 13883I</t>
        </is>
      </c>
      <c r="E21" s="9" t="inlineStr">
        <is>
          <t>MS MOTORSERVICE 2330421560 (12</t>
        </is>
      </c>
      <c r="F21" s="9" t="inlineStr">
        <is>
          <t>38002</t>
        </is>
      </c>
      <c r="G21" s="9" t="inlineStr">
        <is>
          <t>ACHATS IMPORTATION</t>
        </is>
      </c>
      <c r="H21" s="9" t="inlineStr"/>
      <c r="I21" s="9" t="inlineStr"/>
      <c r="J21" s="10" t="n">
        <v>19502834</v>
      </c>
      <c r="K21" s="10" t="n"/>
    </row>
    <row r="22">
      <c r="A22" s="9" t="inlineStr">
        <is>
          <t>05001</t>
        </is>
      </c>
      <c r="B22" s="9" t="inlineStr">
        <is>
          <t>000003</t>
        </is>
      </c>
      <c r="C22" s="9" t="inlineStr">
        <is>
          <t>14/06/2026</t>
        </is>
      </c>
      <c r="D22" s="9" t="inlineStr">
        <is>
          <t>D10 13883I</t>
        </is>
      </c>
      <c r="E22" s="9" t="inlineStr">
        <is>
          <t>MS MOTORSERVICE 2330421560 (12</t>
        </is>
      </c>
      <c r="F22" s="9" t="inlineStr">
        <is>
          <t>40102</t>
        </is>
      </c>
      <c r="G22" s="9" t="inlineStr">
        <is>
          <t>FOURNSSEURS ETRANGERS</t>
        </is>
      </c>
      <c r="H22" s="9" t="inlineStr">
        <is>
          <t>FE022</t>
        </is>
      </c>
      <c r="I22" s="9" t="inlineStr">
        <is>
          <t>MS MOTORSERVICE</t>
        </is>
      </c>
      <c r="J22" s="10" t="n"/>
      <c r="K22" s="10" t="n">
        <v>19502834</v>
      </c>
    </row>
    <row r="23">
      <c r="A23" s="9" t="inlineStr">
        <is>
          <t>05001</t>
        </is>
      </c>
      <c r="B23" s="9" t="inlineStr">
        <is>
          <t>000003</t>
        </is>
      </c>
      <c r="C23" s="9" t="inlineStr">
        <is>
          <t>14/06/2026</t>
        </is>
      </c>
      <c r="D23" s="9" t="inlineStr">
        <is>
          <t>D10 13883I</t>
        </is>
      </c>
      <c r="E23" s="9" t="inlineStr">
        <is>
          <t>DOUANE N°13883I</t>
        </is>
      </c>
      <c r="F23" s="9" t="inlineStr">
        <is>
          <t>38002</t>
        </is>
      </c>
      <c r="G23" s="9" t="inlineStr">
        <is>
          <t>ACHATS IMPORTATION</t>
        </is>
      </c>
      <c r="H23" s="9" t="inlineStr"/>
      <c r="I23" s="9" t="inlineStr"/>
      <c r="J23" s="10" t="n">
        <v>1133935</v>
      </c>
      <c r="K23" s="10" t="n"/>
    </row>
    <row r="24">
      <c r="A24" s="9" t="inlineStr">
        <is>
          <t>05001</t>
        </is>
      </c>
      <c r="B24" s="9" t="inlineStr">
        <is>
          <t>000003</t>
        </is>
      </c>
      <c r="C24" s="9" t="inlineStr">
        <is>
          <t>14/06/2026</t>
        </is>
      </c>
      <c r="D24" s="9" t="inlineStr">
        <is>
          <t>D10 13883I</t>
        </is>
      </c>
      <c r="E24" s="9" t="inlineStr">
        <is>
          <t>DOUANE N°13883I</t>
        </is>
      </c>
      <c r="F24" s="9" t="inlineStr">
        <is>
          <t>44557</t>
        </is>
      </c>
      <c r="G24" s="9" t="inlineStr">
        <is>
          <t>TVA RECUPERABLES</t>
        </is>
      </c>
      <c r="H24" s="9" t="inlineStr"/>
      <c r="I24" s="9" t="inlineStr"/>
      <c r="J24" s="10" t="n">
        <v>3919465</v>
      </c>
      <c r="K24" s="10" t="n"/>
    </row>
    <row r="25">
      <c r="A25" s="9" t="inlineStr">
        <is>
          <t>05001</t>
        </is>
      </c>
      <c r="B25" s="9" t="inlineStr">
        <is>
          <t>000003</t>
        </is>
      </c>
      <c r="C25" s="9" t="inlineStr">
        <is>
          <t>14/06/2026</t>
        </is>
      </c>
      <c r="D25" s="9" t="inlineStr">
        <is>
          <t>D10 13883I</t>
        </is>
      </c>
      <c r="E25" s="9" t="inlineStr">
        <is>
          <t>DOUANE N°13883I PRCT</t>
        </is>
      </c>
      <c r="F25" s="9" t="inlineStr">
        <is>
          <t>44410</t>
        </is>
      </c>
      <c r="G25" s="9" t="inlineStr">
        <is>
          <t>AVANCES ET ACOMPTES SUR IBS</t>
        </is>
      </c>
      <c r="H25" s="9" t="inlineStr"/>
      <c r="I25" s="9" t="inlineStr"/>
      <c r="J25" s="10" t="n">
        <v>490964</v>
      </c>
      <c r="K25" s="10" t="n"/>
    </row>
    <row r="26">
      <c r="A26" s="9" t="inlineStr">
        <is>
          <t>05001</t>
        </is>
      </c>
      <c r="B26" s="9" t="inlineStr">
        <is>
          <t>000003</t>
        </is>
      </c>
      <c r="C26" s="9" t="inlineStr">
        <is>
          <t>14/06/2026</t>
        </is>
      </c>
      <c r="D26" s="9" t="inlineStr">
        <is>
          <t>D10 13883I</t>
        </is>
      </c>
      <c r="E26" s="9" t="inlineStr">
        <is>
          <t>DOUANE N°13883I</t>
        </is>
      </c>
      <c r="F26" s="9" t="inlineStr">
        <is>
          <t>40100</t>
        </is>
      </c>
      <c r="G26" s="9" t="inlineStr">
        <is>
          <t>Fournisseurs de stocks et serv</t>
        </is>
      </c>
      <c r="H26" s="9" t="inlineStr">
        <is>
          <t>FL009</t>
        </is>
      </c>
      <c r="I26" s="9" t="inlineStr">
        <is>
          <t>DOUANES BEJAIA</t>
        </is>
      </c>
      <c r="J26" s="10" t="n"/>
      <c r="K26" s="10" t="n">
        <v>5544364</v>
      </c>
    </row>
    <row r="27">
      <c r="A27" s="9" t="inlineStr">
        <is>
          <t>05001</t>
        </is>
      </c>
      <c r="B27" s="9" t="inlineStr">
        <is>
          <t>000003</t>
        </is>
      </c>
      <c r="C27" s="9" t="inlineStr">
        <is>
          <t>14/06/2026</t>
        </is>
      </c>
      <c r="D27" s="9" t="inlineStr">
        <is>
          <t>D10 13883I</t>
        </is>
      </c>
      <c r="E27" s="9" t="inlineStr">
        <is>
          <t>DOUANE N°13883I TEL</t>
        </is>
      </c>
      <c r="F27" s="9" t="inlineStr">
        <is>
          <t>38002</t>
        </is>
      </c>
      <c r="G27" s="9" t="inlineStr">
        <is>
          <t>ACHATS IMPORTATION</t>
        </is>
      </c>
      <c r="H27" s="9" t="inlineStr"/>
      <c r="I27" s="9" t="inlineStr"/>
      <c r="J27" s="10" t="n">
        <v>2000</v>
      </c>
      <c r="K27" s="10" t="n"/>
    </row>
    <row r="28">
      <c r="A28" s="9" t="inlineStr">
        <is>
          <t>05001</t>
        </is>
      </c>
      <c r="B28" s="9" t="inlineStr">
        <is>
          <t>000003</t>
        </is>
      </c>
      <c r="C28" s="9" t="inlineStr">
        <is>
          <t>14/06/2026</t>
        </is>
      </c>
      <c r="D28" s="9" t="inlineStr">
        <is>
          <t>D10 13883I</t>
        </is>
      </c>
      <c r="E28" s="9" t="inlineStr">
        <is>
          <t>DOUANE N°13883I TEL</t>
        </is>
      </c>
      <c r="F28" s="9" t="inlineStr">
        <is>
          <t>40100</t>
        </is>
      </c>
      <c r="G28" s="9" t="inlineStr">
        <is>
          <t>Fournisseurs de stocks et serv</t>
        </is>
      </c>
      <c r="H28" s="9" t="inlineStr">
        <is>
          <t>FL009</t>
        </is>
      </c>
      <c r="I28" s="9" t="inlineStr">
        <is>
          <t>DOUANES BEJAIA</t>
        </is>
      </c>
      <c r="J28" s="10" t="n"/>
      <c r="K28" s="10" t="n">
        <v>2000</v>
      </c>
    </row>
    <row r="29">
      <c r="A29" s="9" t="inlineStr">
        <is>
          <t>05001</t>
        </is>
      </c>
      <c r="B29" s="9" t="inlineStr">
        <is>
          <t>000003</t>
        </is>
      </c>
      <c r="C29" s="9" t="inlineStr">
        <is>
          <t>14/06/2026</t>
        </is>
      </c>
      <c r="D29" s="9" t="inlineStr">
        <is>
          <t>D10 13883I</t>
        </is>
      </c>
      <c r="E29" s="9" t="inlineStr">
        <is>
          <t>CMA CGM DZIM1984785</t>
        </is>
      </c>
      <c r="F29" s="9" t="inlineStr">
        <is>
          <t>38002</t>
        </is>
      </c>
      <c r="G29" s="9" t="inlineStr">
        <is>
          <t>ACHATS IMPORTATION</t>
        </is>
      </c>
      <c r="H29" s="9" t="inlineStr"/>
      <c r="I29" s="9" t="inlineStr"/>
      <c r="J29" s="10" t="n">
        <v>35332.01</v>
      </c>
      <c r="K29" s="10" t="n"/>
    </row>
    <row r="30">
      <c r="A30" s="9" t="inlineStr">
        <is>
          <t>05001</t>
        </is>
      </c>
      <c r="B30" s="9" t="inlineStr">
        <is>
          <t>000003</t>
        </is>
      </c>
      <c r="C30" s="9" t="inlineStr">
        <is>
          <t>14/06/2026</t>
        </is>
      </c>
      <c r="D30" s="9" t="inlineStr">
        <is>
          <t>D10 13883I</t>
        </is>
      </c>
      <c r="E30" s="9" t="inlineStr">
        <is>
          <t>CMA CGM DZIM1984785</t>
        </is>
      </c>
      <c r="F30" s="9" t="inlineStr">
        <is>
          <t>44557</t>
        </is>
      </c>
      <c r="G30" s="9" t="inlineStr">
        <is>
          <t>TVA RECUPERABLES</t>
        </is>
      </c>
      <c r="H30" s="9" t="inlineStr"/>
      <c r="I30" s="9" t="inlineStr"/>
      <c r="J30" s="10" t="n">
        <v>6523.08</v>
      </c>
      <c r="K30" s="10" t="n"/>
    </row>
    <row r="31">
      <c r="A31" s="9" t="inlineStr">
        <is>
          <t>05001</t>
        </is>
      </c>
      <c r="B31" s="9" t="inlineStr">
        <is>
          <t>000003</t>
        </is>
      </c>
      <c r="C31" s="9" t="inlineStr">
        <is>
          <t>14/06/2026</t>
        </is>
      </c>
      <c r="D31" s="9" t="inlineStr">
        <is>
          <t>D10 13883I</t>
        </is>
      </c>
      <c r="E31" s="9" t="inlineStr">
        <is>
          <t>CMA CGM DZIM1984785</t>
        </is>
      </c>
      <c r="F31" s="9" t="inlineStr">
        <is>
          <t>40100</t>
        </is>
      </c>
      <c r="G31" s="9" t="inlineStr">
        <is>
          <t>Fournisseurs de stocks et serv</t>
        </is>
      </c>
      <c r="H31" s="9" t="inlineStr">
        <is>
          <t>FL004</t>
        </is>
      </c>
      <c r="I31" s="9" t="inlineStr">
        <is>
          <t>CMA CGM</t>
        </is>
      </c>
      <c r="J31" s="10" t="n"/>
      <c r="K31" s="10" t="n">
        <v>41855.09</v>
      </c>
    </row>
    <row r="32">
      <c r="A32" s="9" t="inlineStr">
        <is>
          <t>05001</t>
        </is>
      </c>
      <c r="B32" s="9" t="inlineStr">
        <is>
          <t>000003</t>
        </is>
      </c>
      <c r="C32" s="9" t="inlineStr">
        <is>
          <t>14/06/2026</t>
        </is>
      </c>
      <c r="D32" s="9" t="inlineStr">
        <is>
          <t>D10 13883I</t>
        </is>
      </c>
      <c r="E32" s="9" t="inlineStr">
        <is>
          <t>TRANSIT HAMMACHE N°402BIS</t>
        </is>
      </c>
      <c r="F32" s="9" t="inlineStr">
        <is>
          <t>38002</t>
        </is>
      </c>
      <c r="G32" s="9" t="inlineStr">
        <is>
          <t>ACHATS IMPORTATION</t>
        </is>
      </c>
      <c r="H32" s="9" t="inlineStr"/>
      <c r="I32" s="9" t="inlineStr"/>
      <c r="J32" s="10" t="n">
        <v>132401.26</v>
      </c>
      <c r="K32" s="10" t="n"/>
    </row>
    <row r="33">
      <c r="A33" s="9" t="inlineStr">
        <is>
          <t>05001</t>
        </is>
      </c>
      <c r="B33" s="9" t="inlineStr">
        <is>
          <t>000003</t>
        </is>
      </c>
      <c r="C33" s="9" t="inlineStr">
        <is>
          <t>14/06/2026</t>
        </is>
      </c>
      <c r="D33" s="9" t="inlineStr">
        <is>
          <t>D10 13883I</t>
        </is>
      </c>
      <c r="E33" s="9" t="inlineStr">
        <is>
          <t>TRANSIT HAMMACHE N°402BIS</t>
        </is>
      </c>
      <c r="F33" s="9" t="inlineStr">
        <is>
          <t>40100</t>
        </is>
      </c>
      <c r="G33" s="9" t="inlineStr">
        <is>
          <t>Fournisseurs de stocks et serv</t>
        </is>
      </c>
      <c r="H33" s="9" t="inlineStr">
        <is>
          <t>FL078</t>
        </is>
      </c>
      <c r="I33" s="9" t="inlineStr">
        <is>
          <t>TRANSIT HAMMACHE DJAMEL</t>
        </is>
      </c>
      <c r="J33" s="10" t="n"/>
      <c r="K33" s="10" t="n">
        <v>132401.26</v>
      </c>
    </row>
    <row r="34">
      <c r="A34" s="9" t="inlineStr">
        <is>
          <t>05001</t>
        </is>
      </c>
      <c r="B34" s="9" t="inlineStr">
        <is>
          <t>000003</t>
        </is>
      </c>
      <c r="C34" s="9" t="inlineStr">
        <is>
          <t>14/06/2026</t>
        </is>
      </c>
      <c r="D34" s="9" t="inlineStr">
        <is>
          <t>D10 13883I</t>
        </is>
      </c>
      <c r="E34" s="9" t="inlineStr">
        <is>
          <t>AMENDE DOUANE 26H0601ZPR000103</t>
        </is>
      </c>
      <c r="F34" s="9" t="inlineStr">
        <is>
          <t>65600</t>
        </is>
      </c>
      <c r="G34" s="9" t="inlineStr">
        <is>
          <t>AMENDES ET PENALITES,SUBVENTIO</t>
        </is>
      </c>
      <c r="H34" s="9" t="inlineStr"/>
      <c r="I34" s="9" t="inlineStr"/>
      <c r="J34" s="10" t="n">
        <v>50000</v>
      </c>
      <c r="K34" s="10" t="n"/>
    </row>
    <row r="35">
      <c r="A35" s="9" t="inlineStr">
        <is>
          <t>05001</t>
        </is>
      </c>
      <c r="B35" s="9" t="inlineStr">
        <is>
          <t>000003</t>
        </is>
      </c>
      <c r="C35" s="9" t="inlineStr">
        <is>
          <t>14/06/2026</t>
        </is>
      </c>
      <c r="D35" s="9" t="inlineStr">
        <is>
          <t>D10 13883I</t>
        </is>
      </c>
      <c r="E35" s="9" t="inlineStr">
        <is>
          <t>AMENDE DOUANE 26H0601ZPR000103</t>
        </is>
      </c>
      <c r="F35" s="9" t="inlineStr">
        <is>
          <t>40100</t>
        </is>
      </c>
      <c r="G35" s="9" t="inlineStr">
        <is>
          <t>Fournisseurs de stocks et serv</t>
        </is>
      </c>
      <c r="H35" s="9" t="inlineStr">
        <is>
          <t>FL078</t>
        </is>
      </c>
      <c r="I35" s="9" t="inlineStr">
        <is>
          <t>TRANSIT HAMMACHE DJAMEL</t>
        </is>
      </c>
      <c r="J35" s="10" t="n"/>
      <c r="K35" s="10" t="n">
        <v>50000</v>
      </c>
    </row>
    <row r="36">
      <c r="A36" s="9" t="inlineStr">
        <is>
          <t>10001</t>
        </is>
      </c>
      <c r="B36" s="9" t="inlineStr">
        <is>
          <t>000003</t>
        </is>
      </c>
      <c r="C36" s="9" t="inlineStr">
        <is>
          <t>14/06/2026</t>
        </is>
      </c>
      <c r="D36" s="9" t="inlineStr">
        <is>
          <t>D10 13883I</t>
        </is>
      </c>
      <c r="E36" s="9" t="inlineStr">
        <is>
          <t>ENTREE STOCK MS MOTORSERVICE 2</t>
        </is>
      </c>
      <c r="F36" s="9" t="inlineStr">
        <is>
          <t>38002</t>
        </is>
      </c>
      <c r="G36" s="9" t="inlineStr">
        <is>
          <t>ACHATS IMPORTATION</t>
        </is>
      </c>
      <c r="H36" s="9" t="inlineStr"/>
      <c r="I36" s="9" t="inlineStr"/>
      <c r="J36" s="10" t="n"/>
      <c r="K36" s="10" t="n">
        <v>20806502.27</v>
      </c>
    </row>
    <row r="37">
      <c r="A37" s="9" t="inlineStr">
        <is>
          <t>10001</t>
        </is>
      </c>
      <c r="B37" s="9" t="inlineStr">
        <is>
          <t>000003</t>
        </is>
      </c>
      <c r="C37" s="9" t="inlineStr">
        <is>
          <t>14/06/2026</t>
        </is>
      </c>
      <c r="D37" s="9" t="inlineStr">
        <is>
          <t>D10 13883I</t>
        </is>
      </c>
      <c r="E37" s="9" t="inlineStr">
        <is>
          <t>ENTREE STOCK MS MOTORSERVICE 2</t>
        </is>
      </c>
      <c r="F37" s="9" t="inlineStr">
        <is>
          <t>30002</t>
        </is>
      </c>
      <c r="G37" s="9" t="inlineStr">
        <is>
          <t>ST IMPORTATION</t>
        </is>
      </c>
      <c r="H37" s="9" t="inlineStr"/>
      <c r="I37" s="9" t="inlineStr"/>
      <c r="J37" s="10" t="n">
        <v>20806502.27</v>
      </c>
      <c r="K37" s="10" t="n"/>
    </row>
    <row r="38">
      <c r="A38" s="9" t="inlineStr">
        <is>
          <t>05001</t>
        </is>
      </c>
      <c r="B38" s="9" t="inlineStr">
        <is>
          <t>000004</t>
        </is>
      </c>
      <c r="C38" s="9" t="inlineStr">
        <is>
          <t>21/06/2026</t>
        </is>
      </c>
      <c r="D38" s="9" t="inlineStr">
        <is>
          <t>D10 15629I</t>
        </is>
      </c>
      <c r="E38" s="9" t="inlineStr">
        <is>
          <t>BS MOTOR GTS2406321-C (54383.2</t>
        </is>
      </c>
      <c r="F38" s="9" t="inlineStr">
        <is>
          <t>38002</t>
        </is>
      </c>
      <c r="G38" s="9" t="inlineStr">
        <is>
          <t>ACHATS IMPORTATION</t>
        </is>
      </c>
      <c r="H38" s="9" t="inlineStr"/>
      <c r="I38" s="9" t="inlineStr"/>
      <c r="J38" s="10" t="n">
        <v>7229738</v>
      </c>
      <c r="K38" s="10" t="n"/>
    </row>
    <row r="39">
      <c r="A39" s="9" t="inlineStr">
        <is>
          <t>05001</t>
        </is>
      </c>
      <c r="B39" s="9" t="inlineStr">
        <is>
          <t>000004</t>
        </is>
      </c>
      <c r="C39" s="9" t="inlineStr">
        <is>
          <t>21/06/2026</t>
        </is>
      </c>
      <c r="D39" s="9" t="inlineStr">
        <is>
          <t>D10 15629I</t>
        </is>
      </c>
      <c r="E39" s="9" t="inlineStr">
        <is>
          <t>BS MOTOR GTS2406321-C (54383.2</t>
        </is>
      </c>
      <c r="F39" s="9" t="inlineStr">
        <is>
          <t>40102</t>
        </is>
      </c>
      <c r="G39" s="9" t="inlineStr">
        <is>
          <t>FOURNSSEURS ETRANGERS</t>
        </is>
      </c>
      <c r="H39" s="9" t="inlineStr">
        <is>
          <t>FE001</t>
        </is>
      </c>
      <c r="I39" s="9" t="inlineStr">
        <is>
          <t>BS MOTORS</t>
        </is>
      </c>
      <c r="J39" s="10" t="n"/>
      <c r="K39" s="10" t="n">
        <v>7229738</v>
      </c>
    </row>
    <row r="40">
      <c r="A40" s="9" t="inlineStr">
        <is>
          <t>05001</t>
        </is>
      </c>
      <c r="B40" s="9" t="inlineStr">
        <is>
          <t>000004</t>
        </is>
      </c>
      <c r="C40" s="9" t="inlineStr">
        <is>
          <t>21/06/2026</t>
        </is>
      </c>
      <c r="D40" s="9" t="inlineStr">
        <is>
          <t>D10 15629I</t>
        </is>
      </c>
      <c r="E40" s="9" t="inlineStr">
        <is>
          <t>DOUANE N°15629I</t>
        </is>
      </c>
      <c r="F40" s="9" t="inlineStr">
        <is>
          <t>38002</t>
        </is>
      </c>
      <c r="G40" s="9" t="inlineStr">
        <is>
          <t>ACHATS IMPORTATION</t>
        </is>
      </c>
      <c r="H40" s="9" t="inlineStr"/>
      <c r="I40" s="9" t="inlineStr"/>
      <c r="J40" s="10" t="n">
        <v>1074448</v>
      </c>
      <c r="K40" s="10" t="n"/>
    </row>
    <row r="41">
      <c r="A41" s="9" t="inlineStr">
        <is>
          <t>05001</t>
        </is>
      </c>
      <c r="B41" s="9" t="inlineStr">
        <is>
          <t>000004</t>
        </is>
      </c>
      <c r="C41" s="9" t="inlineStr">
        <is>
          <t>21/06/2026</t>
        </is>
      </c>
      <c r="D41" s="9" t="inlineStr">
        <is>
          <t>D10 15629I</t>
        </is>
      </c>
      <c r="E41" s="9" t="inlineStr">
        <is>
          <t>DOUANE N°15629I</t>
        </is>
      </c>
      <c r="F41" s="9" t="inlineStr">
        <is>
          <t>44557</t>
        </is>
      </c>
      <c r="G41" s="9" t="inlineStr">
        <is>
          <t>TVA RECUPERABLES</t>
        </is>
      </c>
      <c r="H41" s="9" t="inlineStr"/>
      <c r="I41" s="9" t="inlineStr"/>
      <c r="J41" s="10" t="n">
        <v>1577035</v>
      </c>
      <c r="K41" s="10" t="n"/>
    </row>
    <row r="42">
      <c r="A42" s="9" t="inlineStr">
        <is>
          <t>05001</t>
        </is>
      </c>
      <c r="B42" s="9" t="inlineStr">
        <is>
          <t>000004</t>
        </is>
      </c>
      <c r="C42" s="9" t="inlineStr">
        <is>
          <t>21/06/2026</t>
        </is>
      </c>
      <c r="D42" s="9" t="inlineStr">
        <is>
          <t>D10 15629I</t>
        </is>
      </c>
      <c r="E42" s="9" t="inlineStr">
        <is>
          <t>DOUANE N°15629I PRCT</t>
        </is>
      </c>
      <c r="F42" s="9" t="inlineStr">
        <is>
          <t>44410</t>
        </is>
      </c>
      <c r="G42" s="9" t="inlineStr">
        <is>
          <t>AVANCES ET ACOMPTES SUR IBS</t>
        </is>
      </c>
      <c r="H42" s="9" t="inlineStr"/>
      <c r="I42" s="9" t="inlineStr"/>
      <c r="J42" s="10" t="n">
        <v>197544</v>
      </c>
      <c r="K42" s="10" t="n"/>
    </row>
    <row r="43">
      <c r="A43" s="9" t="inlineStr">
        <is>
          <t>05001</t>
        </is>
      </c>
      <c r="B43" s="9" t="inlineStr">
        <is>
          <t>000004</t>
        </is>
      </c>
      <c r="C43" s="9" t="inlineStr">
        <is>
          <t>21/06/2026</t>
        </is>
      </c>
      <c r="D43" s="9" t="inlineStr">
        <is>
          <t>D10 15629I</t>
        </is>
      </c>
      <c r="E43" s="9" t="inlineStr">
        <is>
          <t>DOUANE N°15629I</t>
        </is>
      </c>
      <c r="F43" s="9" t="inlineStr">
        <is>
          <t>40100</t>
        </is>
      </c>
      <c r="G43" s="9" t="inlineStr">
        <is>
          <t>Fournisseurs de stocks et serv</t>
        </is>
      </c>
      <c r="H43" s="9" t="inlineStr">
        <is>
          <t>FL009</t>
        </is>
      </c>
      <c r="I43" s="9" t="inlineStr">
        <is>
          <t>DOUANES BEJAIA</t>
        </is>
      </c>
      <c r="J43" s="10" t="n"/>
      <c r="K43" s="10" t="n">
        <v>2849027</v>
      </c>
    </row>
    <row r="44">
      <c r="A44" s="9" t="inlineStr">
        <is>
          <t>05001</t>
        </is>
      </c>
      <c r="B44" s="9" t="inlineStr">
        <is>
          <t>000004</t>
        </is>
      </c>
      <c r="C44" s="9" t="inlineStr">
        <is>
          <t>21/06/2026</t>
        </is>
      </c>
      <c r="D44" s="9" t="inlineStr">
        <is>
          <t>D10 15629I</t>
        </is>
      </c>
      <c r="E44" s="9" t="inlineStr">
        <is>
          <t>DOUANE N°15629I TEL</t>
        </is>
      </c>
      <c r="F44" s="9" t="inlineStr">
        <is>
          <t>38002</t>
        </is>
      </c>
      <c r="G44" s="9" t="inlineStr">
        <is>
          <t>ACHATS IMPORTATION</t>
        </is>
      </c>
      <c r="H44" s="9" t="inlineStr"/>
      <c r="I44" s="9" t="inlineStr"/>
      <c r="J44" s="10" t="n">
        <v>2000</v>
      </c>
      <c r="K44" s="10" t="n"/>
    </row>
    <row r="45">
      <c r="A45" s="9" t="inlineStr">
        <is>
          <t>05001</t>
        </is>
      </c>
      <c r="B45" s="9" t="inlineStr">
        <is>
          <t>000004</t>
        </is>
      </c>
      <c r="C45" s="9" t="inlineStr">
        <is>
          <t>21/06/2026</t>
        </is>
      </c>
      <c r="D45" s="9" t="inlineStr">
        <is>
          <t>D10 15629I</t>
        </is>
      </c>
      <c r="E45" s="9" t="inlineStr">
        <is>
          <t>DOUANE N°15629I TEL</t>
        </is>
      </c>
      <c r="F45" s="9" t="inlineStr">
        <is>
          <t>40100</t>
        </is>
      </c>
      <c r="G45" s="9" t="inlineStr">
        <is>
          <t>Fournisseurs de stocks et serv</t>
        </is>
      </c>
      <c r="H45" s="9" t="inlineStr">
        <is>
          <t>FL009</t>
        </is>
      </c>
      <c r="I45" s="9" t="inlineStr">
        <is>
          <t>DOUANES BEJAIA</t>
        </is>
      </c>
      <c r="J45" s="10" t="n"/>
      <c r="K45" s="10" t="n">
        <v>2000</v>
      </c>
    </row>
    <row r="46">
      <c r="A46" s="9" t="inlineStr">
        <is>
          <t>05001</t>
        </is>
      </c>
      <c r="B46" s="9" t="inlineStr">
        <is>
          <t>000004</t>
        </is>
      </c>
      <c r="C46" s="9" t="inlineStr">
        <is>
          <t>21/06/2026</t>
        </is>
      </c>
      <c r="D46" s="9" t="inlineStr">
        <is>
          <t>D10 15629I</t>
        </is>
      </c>
      <c r="E46" s="9" t="inlineStr">
        <is>
          <t>SARL MSCA BJAI2604127</t>
        </is>
      </c>
      <c r="F46" s="9" t="inlineStr">
        <is>
          <t>38002</t>
        </is>
      </c>
      <c r="G46" s="9" t="inlineStr">
        <is>
          <t>ACHATS IMPORTATION</t>
        </is>
      </c>
      <c r="H46" s="9" t="inlineStr"/>
      <c r="I46" s="9" t="inlineStr"/>
      <c r="J46" s="10" t="n">
        <v>35029.76</v>
      </c>
      <c r="K46" s="10" t="n"/>
    </row>
    <row r="47">
      <c r="A47" s="9" t="inlineStr">
        <is>
          <t>05001</t>
        </is>
      </c>
      <c r="B47" s="9" t="inlineStr">
        <is>
          <t>000004</t>
        </is>
      </c>
      <c r="C47" s="9" t="inlineStr">
        <is>
          <t>21/06/2026</t>
        </is>
      </c>
      <c r="D47" s="9" t="inlineStr">
        <is>
          <t>D10 15629I</t>
        </is>
      </c>
      <c r="E47" s="9" t="inlineStr">
        <is>
          <t>SARL MSCA BJAI2604127</t>
        </is>
      </c>
      <c r="F47" s="9" t="inlineStr">
        <is>
          <t>44557</t>
        </is>
      </c>
      <c r="G47" s="9" t="inlineStr">
        <is>
          <t>TVA RECUPERABLES</t>
        </is>
      </c>
      <c r="H47" s="9" t="inlineStr"/>
      <c r="I47" s="9" t="inlineStr"/>
      <c r="J47" s="10" t="n">
        <v>6365</v>
      </c>
      <c r="K47" s="10" t="n"/>
    </row>
    <row r="48">
      <c r="A48" s="9" t="inlineStr">
        <is>
          <t>05001</t>
        </is>
      </c>
      <c r="B48" s="9" t="inlineStr">
        <is>
          <t>000004</t>
        </is>
      </c>
      <c r="C48" s="9" t="inlineStr">
        <is>
          <t>21/06/2026</t>
        </is>
      </c>
      <c r="D48" s="9" t="inlineStr">
        <is>
          <t>D10 15629I</t>
        </is>
      </c>
      <c r="E48" s="9" t="inlineStr">
        <is>
          <t>SARL MSCA BJAI2604127</t>
        </is>
      </c>
      <c r="F48" s="9" t="inlineStr">
        <is>
          <t>40100</t>
        </is>
      </c>
      <c r="G48" s="9" t="inlineStr">
        <is>
          <t>Fournisseurs de stocks et serv</t>
        </is>
      </c>
      <c r="H48" s="9" t="inlineStr">
        <is>
          <t>FL008</t>
        </is>
      </c>
      <c r="I48" s="9" t="inlineStr">
        <is>
          <t>MSCA</t>
        </is>
      </c>
      <c r="J48" s="10" t="n"/>
      <c r="K48" s="10" t="n">
        <v>41394.76</v>
      </c>
    </row>
    <row r="49">
      <c r="A49" s="9" t="inlineStr">
        <is>
          <t>05001</t>
        </is>
      </c>
      <c r="B49" s="9" t="inlineStr">
        <is>
          <t>000004</t>
        </is>
      </c>
      <c r="C49" s="9" t="inlineStr">
        <is>
          <t>21/06/2026</t>
        </is>
      </c>
      <c r="D49" s="9" t="inlineStr">
        <is>
          <t>D10 15629I</t>
        </is>
      </c>
      <c r="E49" s="9" t="inlineStr">
        <is>
          <t>TRANSIT HAMMACHE N°441BIS</t>
        </is>
      </c>
      <c r="F49" s="9" t="inlineStr">
        <is>
          <t>38002</t>
        </is>
      </c>
      <c r="G49" s="9" t="inlineStr">
        <is>
          <t>ACHATS IMPORTATION</t>
        </is>
      </c>
      <c r="H49" s="9" t="inlineStr"/>
      <c r="I49" s="9" t="inlineStr"/>
      <c r="J49" s="10" t="n">
        <v>116693.76</v>
      </c>
      <c r="K49" s="10" t="n"/>
    </row>
    <row r="50">
      <c r="A50" s="9" t="inlineStr">
        <is>
          <t>05001</t>
        </is>
      </c>
      <c r="B50" s="9" t="inlineStr">
        <is>
          <t>000004</t>
        </is>
      </c>
      <c r="C50" s="9" t="inlineStr">
        <is>
          <t>21/06/2026</t>
        </is>
      </c>
      <c r="D50" s="9" t="inlineStr">
        <is>
          <t>D10 15629I</t>
        </is>
      </c>
      <c r="E50" s="9" t="inlineStr">
        <is>
          <t>TRANSIT HAMMACHE N°441BIS</t>
        </is>
      </c>
      <c r="F50" s="9" t="inlineStr">
        <is>
          <t>40100</t>
        </is>
      </c>
      <c r="G50" s="9" t="inlineStr">
        <is>
          <t>Fournisseurs de stocks et serv</t>
        </is>
      </c>
      <c r="H50" s="9" t="inlineStr">
        <is>
          <t>FL078</t>
        </is>
      </c>
      <c r="I50" s="9" t="inlineStr">
        <is>
          <t>TRANSIT HAMMACHE DJAMEL</t>
        </is>
      </c>
      <c r="J50" s="10" t="n"/>
      <c r="K50" s="10" t="n">
        <v>116693.76</v>
      </c>
    </row>
    <row r="51">
      <c r="A51" s="9" t="inlineStr">
        <is>
          <t>10001</t>
        </is>
      </c>
      <c r="B51" s="9" t="inlineStr">
        <is>
          <t>000004</t>
        </is>
      </c>
      <c r="C51" s="9" t="inlineStr">
        <is>
          <t>21/06/2026</t>
        </is>
      </c>
      <c r="D51" s="9" t="inlineStr">
        <is>
          <t>D10 15629I</t>
        </is>
      </c>
      <c r="E51" s="9" t="inlineStr">
        <is>
          <t>ENTREE STOCK BS MOTOR GTS24063</t>
        </is>
      </c>
      <c r="F51" s="9" t="inlineStr">
        <is>
          <t>38002</t>
        </is>
      </c>
      <c r="G51" s="9" t="inlineStr">
        <is>
          <t>ACHATS IMPORTATION</t>
        </is>
      </c>
      <c r="H51" s="9" t="inlineStr"/>
      <c r="I51" s="9" t="inlineStr"/>
      <c r="J51" s="10" t="n"/>
      <c r="K51" s="10" t="n">
        <v>8457909.52</v>
      </c>
    </row>
    <row r="52">
      <c r="A52" s="9" t="inlineStr">
        <is>
          <t>10001</t>
        </is>
      </c>
      <c r="B52" s="9" t="inlineStr">
        <is>
          <t>000004</t>
        </is>
      </c>
      <c r="C52" s="9" t="inlineStr">
        <is>
          <t>21/06/2026</t>
        </is>
      </c>
      <c r="D52" s="9" t="inlineStr">
        <is>
          <t>D10 15629I</t>
        </is>
      </c>
      <c r="E52" s="9" t="inlineStr">
        <is>
          <t>ENTREE STOCK BS MOTOR GTS24063</t>
        </is>
      </c>
      <c r="F52" s="9" t="inlineStr">
        <is>
          <t>30002</t>
        </is>
      </c>
      <c r="G52" s="9" t="inlineStr">
        <is>
          <t>ST IMPORTATION</t>
        </is>
      </c>
      <c r="H52" s="9" t="inlineStr"/>
      <c r="I52" s="9" t="inlineStr"/>
      <c r="J52" s="10" t="n">
        <v>8457909.52</v>
      </c>
      <c r="K52" s="10" t="n"/>
    </row>
    <row r="53">
      <c r="I53" s="7" t="inlineStr">
        <is>
          <t>Total</t>
        </is>
      </c>
      <c r="J53" s="8">
        <f>SUM(J2:J52)</f>
        <v/>
      </c>
      <c r="K53" s="8">
        <f>SUM(K2:K52)</f>
        <v/>
      </c>
    </row>
    <row r="54">
      <c r="I54" t="inlineStr">
        <is>
          <t>Écart</t>
        </is>
      </c>
      <c r="J54" s="11">
        <f>J53-K53</f>
        <v/>
      </c>
    </row>
  </sheetData>
  <autoFilter ref="A1:K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7" customWidth="1" min="3" max="3"/>
    <col width="38" customWidth="1" min="4" max="4"/>
    <col width="10" customWidth="1" min="5" max="5"/>
    <col width="7" customWidth="1" min="6" max="6"/>
    <col width="11" customWidth="1" min="7" max="7"/>
    <col width="14" customWidth="1" min="8" max="8"/>
    <col width="16" customWidth="1" min="9" max="9"/>
    <col width="16" customWidth="1" min="10" max="10"/>
  </cols>
  <sheetData>
    <row r="1">
      <c r="A1" s="2" t="inlineStr">
        <is>
          <t>Dossier</t>
        </is>
      </c>
      <c r="B1" s="2" t="inlineStr">
        <is>
          <t>Facture</t>
        </is>
      </c>
      <c r="C1" s="2" t="inlineStr">
        <is>
          <t>Ligne</t>
        </is>
      </c>
      <c r="D1" s="2" t="inlineStr">
        <is>
          <t>Désignation</t>
        </is>
      </c>
      <c r="E1" s="2" t="inlineStr">
        <is>
          <t>Quantité</t>
        </is>
      </c>
      <c r="F1" s="2" t="inlineStr">
        <is>
          <t>Devise</t>
        </is>
      </c>
      <c r="G1" s="2" t="inlineStr">
        <is>
          <t>PU devise</t>
        </is>
      </c>
      <c r="H1" s="2" t="inlineStr">
        <is>
          <t>Montant devise</t>
        </is>
      </c>
      <c r="I1" s="2" t="inlineStr">
        <is>
          <t>Coût unitaire DA</t>
        </is>
      </c>
      <c r="J1" s="2" t="inlineStr">
        <is>
          <t>Coût total DA</t>
        </is>
      </c>
    </row>
    <row r="2">
      <c r="A2" s="9" t="inlineStr">
        <is>
          <t>B</t>
        </is>
      </c>
      <c r="B2" s="9" t="inlineStr">
        <is>
          <t>BS MOTOR GTS2406321-B (MSC ELOANE)</t>
        </is>
      </c>
      <c r="C2" s="9" t="n">
        <v>1</v>
      </c>
      <c r="D2" s="9" t="inlineStr">
        <is>
          <t>POMPE A EAU</t>
        </is>
      </c>
      <c r="E2" s="9" t="n">
        <v>160</v>
      </c>
      <c r="F2" s="9" t="inlineStr">
        <is>
          <t>USD</t>
        </is>
      </c>
      <c r="G2" s="10" t="n">
        <v>28.6</v>
      </c>
      <c r="H2" s="10">
        <f>E2*G2</f>
        <v/>
      </c>
      <c r="I2" s="10" t="n">
        <v>4467.79</v>
      </c>
      <c r="J2" s="10">
        <f>E2*I2</f>
        <v/>
      </c>
    </row>
    <row r="3">
      <c r="A3" s="9" t="inlineStr">
        <is>
          <t>B</t>
        </is>
      </c>
      <c r="B3" s="9" t="inlineStr">
        <is>
          <t>BS MOTOR GTS2406321-B (MSC ELOANE)</t>
        </is>
      </c>
      <c r="C3" s="9" t="n">
        <v>2</v>
      </c>
      <c r="D3" s="9" t="inlineStr">
        <is>
          <t>ALTERNATEUR</t>
        </is>
      </c>
      <c r="E3" s="9" t="n">
        <v>40</v>
      </c>
      <c r="F3" s="9" t="inlineStr">
        <is>
          <t>USD</t>
        </is>
      </c>
      <c r="G3" s="10" t="n">
        <v>77.2</v>
      </c>
      <c r="H3" s="10">
        <f>E3*G3</f>
        <v/>
      </c>
      <c r="I3" s="10" t="n">
        <v>12059.9</v>
      </c>
      <c r="J3" s="10">
        <f>E3*I3</f>
        <v/>
      </c>
    </row>
    <row r="4">
      <c r="A4" s="9" t="inlineStr">
        <is>
          <t>B</t>
        </is>
      </c>
      <c r="B4" s="9" t="inlineStr">
        <is>
          <t>BS MOTOR GTS2406321-B (MSC ELOANE)</t>
        </is>
      </c>
      <c r="C4" s="9" t="n">
        <v>3</v>
      </c>
      <c r="D4" s="9" t="inlineStr">
        <is>
          <t>ALTERNATEUR</t>
        </is>
      </c>
      <c r="E4" s="9" t="n">
        <v>12</v>
      </c>
      <c r="F4" s="9" t="inlineStr">
        <is>
          <t>USD</t>
        </is>
      </c>
      <c r="G4" s="10" t="n">
        <v>65</v>
      </c>
      <c r="H4" s="10">
        <f>E4*G4</f>
        <v/>
      </c>
      <c r="I4" s="10" t="n">
        <v>10154.06</v>
      </c>
      <c r="J4" s="10">
        <f>E4*I4</f>
        <v/>
      </c>
    </row>
    <row r="5">
      <c r="A5" s="9" t="inlineStr">
        <is>
          <t>B</t>
        </is>
      </c>
      <c r="B5" s="9" t="inlineStr">
        <is>
          <t>BS MOTOR GTS2406321-B (MSC ELOANE)</t>
        </is>
      </c>
      <c r="C5" s="9" t="n">
        <v>4</v>
      </c>
      <c r="D5" s="9" t="inlineStr">
        <is>
          <t>REGULATEUR ALTERNATEUR</t>
        </is>
      </c>
      <c r="E5" s="9" t="n">
        <v>32</v>
      </c>
      <c r="F5" s="9" t="inlineStr">
        <is>
          <t>USD</t>
        </is>
      </c>
      <c r="G5" s="10" t="n">
        <v>6.5</v>
      </c>
      <c r="H5" s="10">
        <f>E5*G5</f>
        <v/>
      </c>
      <c r="I5" s="10" t="n">
        <v>1015.41</v>
      </c>
      <c r="J5" s="10">
        <f>E5*I5</f>
        <v/>
      </c>
    </row>
    <row r="6">
      <c r="A6" s="9" t="inlineStr">
        <is>
          <t>B</t>
        </is>
      </c>
      <c r="B6" s="9" t="inlineStr">
        <is>
          <t>BS MOTOR GTS2406321-B (MSC ELOANE)</t>
        </is>
      </c>
      <c r="C6" s="9" t="n">
        <v>5</v>
      </c>
      <c r="D6" s="9" t="inlineStr">
        <is>
          <t>REGULATEUR</t>
        </is>
      </c>
      <c r="E6" s="9" t="n">
        <v>40</v>
      </c>
      <c r="F6" s="9" t="inlineStr">
        <is>
          <t>USD</t>
        </is>
      </c>
      <c r="G6" s="10" t="n">
        <v>23.75</v>
      </c>
      <c r="H6" s="10">
        <f>E6*G6</f>
        <v/>
      </c>
      <c r="I6" s="10" t="n">
        <v>3710.14</v>
      </c>
      <c r="J6" s="10">
        <f>E6*I6</f>
        <v/>
      </c>
    </row>
    <row r="7">
      <c r="A7" s="9" t="inlineStr">
        <is>
          <t>B</t>
        </is>
      </c>
      <c r="B7" s="9" t="inlineStr">
        <is>
          <t>BS MOTOR GTS2406321-B (MSC ELOANE)</t>
        </is>
      </c>
      <c r="C7" s="9" t="n">
        <v>6</v>
      </c>
      <c r="D7" s="9" t="inlineStr">
        <is>
          <t>ALTERNATEUR</t>
        </is>
      </c>
      <c r="E7" s="9" t="n">
        <v>20</v>
      </c>
      <c r="F7" s="9" t="inlineStr">
        <is>
          <t>USD</t>
        </is>
      </c>
      <c r="G7" s="10" t="n">
        <v>77</v>
      </c>
      <c r="H7" s="10">
        <f>E7*G7</f>
        <v/>
      </c>
      <c r="I7" s="10" t="n">
        <v>12028.66</v>
      </c>
      <c r="J7" s="10">
        <f>E7*I7</f>
        <v/>
      </c>
    </row>
    <row r="8">
      <c r="A8" s="9" t="inlineStr">
        <is>
          <t>B</t>
        </is>
      </c>
      <c r="B8" s="9" t="inlineStr">
        <is>
          <t>BS MOTOR GTS2406321-B (MSC ELOANE)</t>
        </is>
      </c>
      <c r="C8" s="9" t="n">
        <v>7</v>
      </c>
      <c r="D8" s="9" t="inlineStr">
        <is>
          <t>ALTERNATEUR</t>
        </is>
      </c>
      <c r="E8" s="9" t="n">
        <v>20</v>
      </c>
      <c r="F8" s="9" t="inlineStr">
        <is>
          <t>USD</t>
        </is>
      </c>
      <c r="G8" s="10" t="n">
        <v>156.75</v>
      </c>
      <c r="H8" s="10">
        <f>E8*G8</f>
        <v/>
      </c>
      <c r="I8" s="10" t="n">
        <v>24486.92</v>
      </c>
      <c r="J8" s="10">
        <f>E8*I8</f>
        <v/>
      </c>
    </row>
    <row r="9">
      <c r="A9" s="9" t="inlineStr">
        <is>
          <t>B</t>
        </is>
      </c>
      <c r="B9" s="9" t="inlineStr">
        <is>
          <t>BS MOTOR GTS2406321-B (MSC ELOANE)</t>
        </is>
      </c>
      <c r="C9" s="9" t="n">
        <v>8</v>
      </c>
      <c r="D9" s="9" t="inlineStr">
        <is>
          <t>ALTERNATEUR</t>
        </is>
      </c>
      <c r="E9" s="9" t="n">
        <v>60</v>
      </c>
      <c r="F9" s="9" t="inlineStr">
        <is>
          <t>USD</t>
        </is>
      </c>
      <c r="G9" s="10" t="n">
        <v>72</v>
      </c>
      <c r="H9" s="10">
        <f>E9*G9</f>
        <v/>
      </c>
      <c r="I9" s="10" t="n">
        <v>11247.58</v>
      </c>
      <c r="J9" s="10">
        <f>E9*I9</f>
        <v/>
      </c>
    </row>
    <row r="10">
      <c r="A10" s="9" t="inlineStr">
        <is>
          <t>B</t>
        </is>
      </c>
      <c r="B10" s="9" t="inlineStr">
        <is>
          <t>BS MOTOR GTS2406321-B (MSC ELOANE)</t>
        </is>
      </c>
      <c r="C10" s="9" t="n">
        <v>9</v>
      </c>
      <c r="D10" s="9" t="inlineStr">
        <is>
          <t>ALTERNATEUR</t>
        </is>
      </c>
      <c r="E10" s="9" t="n">
        <v>12</v>
      </c>
      <c r="F10" s="9" t="inlineStr">
        <is>
          <t>USD</t>
        </is>
      </c>
      <c r="G10" s="10" t="n">
        <v>94.05</v>
      </c>
      <c r="H10" s="10">
        <f>E10*G10</f>
        <v/>
      </c>
      <c r="I10" s="10" t="n">
        <v>14692.15</v>
      </c>
      <c r="J10" s="10">
        <f>E10*I10</f>
        <v/>
      </c>
    </row>
    <row r="11">
      <c r="A11" s="9" t="inlineStr">
        <is>
          <t>B</t>
        </is>
      </c>
      <c r="B11" s="9" t="inlineStr">
        <is>
          <t>BS MOTOR GTS2406321-B (MSC ELOANE)</t>
        </is>
      </c>
      <c r="C11" s="9" t="n">
        <v>10</v>
      </c>
      <c r="D11" s="9" t="inlineStr">
        <is>
          <t>ALTERNATEUR</t>
        </is>
      </c>
      <c r="E11" s="9" t="n">
        <v>24</v>
      </c>
      <c r="F11" s="9" t="inlineStr">
        <is>
          <t>USD</t>
        </is>
      </c>
      <c r="G11" s="10" t="n">
        <v>70</v>
      </c>
      <c r="H11" s="10">
        <f>E11*G11</f>
        <v/>
      </c>
      <c r="I11" s="10" t="n">
        <v>10935.15</v>
      </c>
      <c r="J11" s="10">
        <f>E11*I11</f>
        <v/>
      </c>
    </row>
    <row r="12">
      <c r="A12" s="9" t="inlineStr">
        <is>
          <t>B</t>
        </is>
      </c>
      <c r="B12" s="9" t="inlineStr">
        <is>
          <t>BS MOTOR GTS2406321-B (MSC ELOANE)</t>
        </is>
      </c>
      <c r="C12" s="9" t="n">
        <v>11</v>
      </c>
      <c r="D12" s="9" t="inlineStr">
        <is>
          <t>COMMODO</t>
        </is>
      </c>
      <c r="E12" s="9" t="n">
        <v>160</v>
      </c>
      <c r="F12" s="9" t="inlineStr">
        <is>
          <t>USD</t>
        </is>
      </c>
      <c r="G12" s="10" t="n">
        <v>24.5</v>
      </c>
      <c r="H12" s="10">
        <f>E12*G12</f>
        <v/>
      </c>
      <c r="I12" s="10" t="n">
        <v>3827.3</v>
      </c>
      <c r="J12" s="10">
        <f>E12*I12</f>
        <v/>
      </c>
    </row>
    <row r="13">
      <c r="A13" s="9" t="inlineStr">
        <is>
          <t>B</t>
        </is>
      </c>
      <c r="B13" s="9" t="inlineStr">
        <is>
          <t>BS MOTOR GTS2406321-B (MSC ELOANE)</t>
        </is>
      </c>
      <c r="C13" s="9" t="n">
        <v>12</v>
      </c>
      <c r="D13" s="9" t="inlineStr">
        <is>
          <t>LANCEUR DEMARREUR</t>
        </is>
      </c>
      <c r="E13" s="9" t="n">
        <v>210</v>
      </c>
      <c r="F13" s="9" t="inlineStr">
        <is>
          <t>USD</t>
        </is>
      </c>
      <c r="G13" s="10" t="n">
        <v>10.5</v>
      </c>
      <c r="H13" s="10">
        <f>E13*G13</f>
        <v/>
      </c>
      <c r="I13" s="10" t="n">
        <v>1640.27</v>
      </c>
      <c r="J13" s="10">
        <f>E13*I13</f>
        <v/>
      </c>
    </row>
    <row r="14">
      <c r="A14" s="9" t="inlineStr">
        <is>
          <t>B</t>
        </is>
      </c>
      <c r="B14" s="9" t="inlineStr">
        <is>
          <t>BS MOTOR GTS2406321-B (MSC ELOANE)</t>
        </is>
      </c>
      <c r="C14" s="9" t="n">
        <v>13</v>
      </c>
      <c r="D14" s="9" t="inlineStr">
        <is>
          <t>MOTEUR ESSUIE GLACE</t>
        </is>
      </c>
      <c r="E14" s="9" t="n">
        <v>260</v>
      </c>
      <c r="F14" s="9" t="inlineStr">
        <is>
          <t>USD</t>
        </is>
      </c>
      <c r="G14" s="10" t="n">
        <v>13.5</v>
      </c>
      <c r="H14" s="10">
        <f>E14*G14</f>
        <v/>
      </c>
      <c r="I14" s="10" t="n">
        <v>2108.92</v>
      </c>
      <c r="J14" s="10">
        <f>E14*I14</f>
        <v/>
      </c>
    </row>
    <row r="15">
      <c r="A15" s="9" t="inlineStr">
        <is>
          <t>B</t>
        </is>
      </c>
      <c r="B15" s="9" t="inlineStr">
        <is>
          <t>BS MOTOR GTS2406321-B (MSC ELOANE)</t>
        </is>
      </c>
      <c r="C15" s="9" t="n">
        <v>14</v>
      </c>
      <c r="D15" s="9" t="inlineStr">
        <is>
          <t>POMPE A HUILE</t>
        </is>
      </c>
      <c r="E15" s="9" t="n">
        <v>300</v>
      </c>
      <c r="F15" s="9" t="inlineStr">
        <is>
          <t>USD</t>
        </is>
      </c>
      <c r="G15" s="10" t="n">
        <v>22.45</v>
      </c>
      <c r="H15" s="10">
        <f>E15*G15</f>
        <v/>
      </c>
      <c r="I15" s="10" t="n">
        <v>3507.06</v>
      </c>
      <c r="J15" s="10">
        <f>E15*I15</f>
        <v/>
      </c>
    </row>
    <row r="16">
      <c r="A16" s="9" t="inlineStr">
        <is>
          <t>B</t>
        </is>
      </c>
      <c r="B16" s="9" t="inlineStr">
        <is>
          <t>BS MOTOR GTS2406321-B (MSC ELOANE)</t>
        </is>
      </c>
      <c r="C16" s="9" t="n">
        <v>15</v>
      </c>
      <c r="D16" s="9" t="inlineStr">
        <is>
          <t>CASSETTE</t>
        </is>
      </c>
      <c r="E16" s="9" t="n">
        <v>770</v>
      </c>
      <c r="F16" s="9" t="inlineStr">
        <is>
          <t>USD</t>
        </is>
      </c>
      <c r="G16" s="10" t="n">
        <v>8.300000000000001</v>
      </c>
      <c r="H16" s="10">
        <f>E16*G16</f>
        <v/>
      </c>
      <c r="I16" s="10" t="n">
        <v>1296.6</v>
      </c>
      <c r="J16" s="10">
        <f>E16*I16</f>
        <v/>
      </c>
    </row>
    <row r="17">
      <c r="A17" s="9" t="inlineStr">
        <is>
          <t>B</t>
        </is>
      </c>
      <c r="B17" s="9" t="inlineStr">
        <is>
          <t>BS MOTOR GTS2406321-B (MSC ELOANE)</t>
        </is>
      </c>
      <c r="C17" s="9" t="n">
        <v>16</v>
      </c>
      <c r="D17" s="9" t="inlineStr">
        <is>
          <t>CASSETTE</t>
        </is>
      </c>
      <c r="E17" s="9" t="n">
        <v>220</v>
      </c>
      <c r="F17" s="9" t="inlineStr">
        <is>
          <t>USD</t>
        </is>
      </c>
      <c r="G17" s="10" t="n">
        <v>7.8</v>
      </c>
      <c r="H17" s="10">
        <f>E17*G17</f>
        <v/>
      </c>
      <c r="I17" s="10" t="n">
        <v>1218.49</v>
      </c>
      <c r="J17" s="10">
        <f>E17*I17</f>
        <v/>
      </c>
    </row>
    <row r="18">
      <c r="A18" s="9" t="inlineStr">
        <is>
          <t>B</t>
        </is>
      </c>
      <c r="B18" s="9" t="inlineStr">
        <is>
          <t>BS MOTOR GTS2406321-B (MSC ELOANE)</t>
        </is>
      </c>
      <c r="C18" s="9" t="n">
        <v>17</v>
      </c>
      <c r="D18" s="9" t="inlineStr">
        <is>
          <t>POMPE DIRECTION</t>
        </is>
      </c>
      <c r="E18" s="9" t="n">
        <v>70</v>
      </c>
      <c r="F18" s="9" t="inlineStr">
        <is>
          <t>USD</t>
        </is>
      </c>
      <c r="G18" s="10" t="n">
        <v>65</v>
      </c>
      <c r="H18" s="10">
        <f>E18*G18</f>
        <v/>
      </c>
      <c r="I18" s="10" t="n">
        <v>10154.06</v>
      </c>
      <c r="J18" s="10">
        <f>E18*I18</f>
        <v/>
      </c>
    </row>
    <row r="19">
      <c r="A19" s="9" t="inlineStr">
        <is>
          <t>B</t>
        </is>
      </c>
      <c r="B19" s="9" t="inlineStr">
        <is>
          <t>BS MOTOR GTS2406321-B (MSC ELOANE)</t>
        </is>
      </c>
      <c r="C19" s="9" t="n">
        <v>18</v>
      </c>
      <c r="D19" s="9" t="inlineStr">
        <is>
          <t>CRIC HYDRAULIQUE</t>
        </is>
      </c>
      <c r="E19" s="9" t="n">
        <v>200</v>
      </c>
      <c r="F19" s="9" t="inlineStr">
        <is>
          <t>USD</t>
        </is>
      </c>
      <c r="G19" s="10" t="n">
        <v>48.2</v>
      </c>
      <c r="H19" s="10">
        <f>E19*G19</f>
        <v/>
      </c>
      <c r="I19" s="10" t="n">
        <v>7529.63</v>
      </c>
      <c r="J19" s="10">
        <f>E19*I19</f>
        <v/>
      </c>
    </row>
    <row r="20">
      <c r="A20" s="9" t="inlineStr">
        <is>
          <t>B</t>
        </is>
      </c>
      <c r="B20" s="9" t="inlineStr">
        <is>
          <t>BS MOTOR GTS2406321-B (MSC ELOANE)</t>
        </is>
      </c>
      <c r="C20" s="9" t="n">
        <v>19</v>
      </c>
      <c r="D20" s="9" t="inlineStr">
        <is>
          <t>PALIER CENTRAL</t>
        </is>
      </c>
      <c r="E20" s="9" t="n">
        <v>500</v>
      </c>
      <c r="F20" s="9" t="inlineStr">
        <is>
          <t>USD</t>
        </is>
      </c>
      <c r="G20" s="10" t="n">
        <v>13</v>
      </c>
      <c r="H20" s="10">
        <f>E20*G20</f>
        <v/>
      </c>
      <c r="I20" s="10" t="n">
        <v>2030.81</v>
      </c>
      <c r="J20" s="10">
        <f>E20*I20</f>
        <v/>
      </c>
    </row>
    <row r="21">
      <c r="A21" s="9" t="inlineStr">
        <is>
          <t>B</t>
        </is>
      </c>
      <c r="B21" s="9" t="inlineStr">
        <is>
          <t>BS MOTOR GTS2406321-B (MSC ELOANE)</t>
        </is>
      </c>
      <c r="C21" s="9" t="n">
        <v>20</v>
      </c>
      <c r="D21" s="9" t="inlineStr">
        <is>
          <t>PALIER CENTRAL</t>
        </is>
      </c>
      <c r="E21" s="9" t="n">
        <v>200</v>
      </c>
      <c r="F21" s="9" t="inlineStr">
        <is>
          <t>USD</t>
        </is>
      </c>
      <c r="G21" s="10" t="n">
        <v>6.5</v>
      </c>
      <c r="H21" s="10">
        <f>E21*G21</f>
        <v/>
      </c>
      <c r="I21" s="10" t="n">
        <v>1015.41</v>
      </c>
      <c r="J21" s="10">
        <f>E21*I21</f>
        <v/>
      </c>
    </row>
    <row r="22">
      <c r="A22" s="9" t="inlineStr">
        <is>
          <t>B</t>
        </is>
      </c>
      <c r="B22" s="9" t="inlineStr">
        <is>
          <t>BS MOTOR GTS2406321-B (MSC ELOANE)</t>
        </is>
      </c>
      <c r="C22" s="9" t="n">
        <v>21</v>
      </c>
      <c r="D22" s="9" t="inlineStr">
        <is>
          <t>PALIER CENTRAL</t>
        </is>
      </c>
      <c r="E22" s="9" t="n">
        <v>200</v>
      </c>
      <c r="F22" s="9" t="inlineStr">
        <is>
          <t>USD</t>
        </is>
      </c>
      <c r="G22" s="10" t="n">
        <v>9</v>
      </c>
      <c r="H22" s="10">
        <f>E22*G22</f>
        <v/>
      </c>
      <c r="I22" s="10" t="n">
        <v>1405.95</v>
      </c>
      <c r="J22" s="10">
        <f>E22*I22</f>
        <v/>
      </c>
    </row>
    <row r="23">
      <c r="A23" s="9" t="inlineStr">
        <is>
          <t>B</t>
        </is>
      </c>
      <c r="B23" s="9" t="inlineStr">
        <is>
          <t>BS MOTOR GTS2406321-B (MSC ELOANE)</t>
        </is>
      </c>
      <c r="C23" s="9" t="n">
        <v>22</v>
      </c>
      <c r="D23" s="9" t="inlineStr">
        <is>
          <t>SERVO EMBRAYAGE</t>
        </is>
      </c>
      <c r="E23" s="9" t="n">
        <v>50</v>
      </c>
      <c r="F23" s="9" t="inlineStr">
        <is>
          <t>USD</t>
        </is>
      </c>
      <c r="G23" s="10" t="n">
        <v>29</v>
      </c>
      <c r="H23" s="10">
        <f>E23*G23</f>
        <v/>
      </c>
      <c r="I23" s="10" t="n">
        <v>4530.27</v>
      </c>
      <c r="J23" s="10">
        <f>E23*I23</f>
        <v/>
      </c>
    </row>
    <row r="24">
      <c r="A24" s="9" t="inlineStr">
        <is>
          <t>B</t>
        </is>
      </c>
      <c r="B24" s="9" t="inlineStr">
        <is>
          <t>BS MOTOR GTS2406321-B (MSC ELOANE)</t>
        </is>
      </c>
      <c r="C24" s="9" t="n">
        <v>23</v>
      </c>
      <c r="D24" s="9" t="inlineStr">
        <is>
          <t>SERVO EMBRAYAGE</t>
        </is>
      </c>
      <c r="E24" s="9" t="n">
        <v>150</v>
      </c>
      <c r="F24" s="9" t="inlineStr">
        <is>
          <t>USD</t>
        </is>
      </c>
      <c r="G24" s="10" t="n">
        <v>26</v>
      </c>
      <c r="H24" s="10">
        <f>E24*G24</f>
        <v/>
      </c>
      <c r="I24" s="10" t="n">
        <v>4061.63</v>
      </c>
      <c r="J24" s="10">
        <f>E24*I24</f>
        <v/>
      </c>
    </row>
    <row r="25">
      <c r="A25" s="9" t="inlineStr">
        <is>
          <t>C</t>
        </is>
      </c>
      <c r="B25" s="9" t="inlineStr">
        <is>
          <t>MS MOTORSERVICE 2330421560 (MARTI WIND)</t>
        </is>
      </c>
      <c r="C25" s="9" t="n">
        <v>1</v>
      </c>
      <c r="D25" s="9" t="inlineStr">
        <is>
          <t>POMPE A EAU</t>
        </is>
      </c>
      <c r="E25" s="9" t="n">
        <v>123</v>
      </c>
      <c r="F25" s="9" t="inlineStr">
        <is>
          <t>EUR</t>
        </is>
      </c>
      <c r="G25" s="10" t="n">
        <v>17</v>
      </c>
      <c r="H25" s="10">
        <f>E25*G25</f>
        <v/>
      </c>
      <c r="I25" s="10" t="n">
        <v>2844.99</v>
      </c>
      <c r="J25" s="10">
        <f>E25*I25</f>
        <v/>
      </c>
    </row>
    <row r="26">
      <c r="A26" s="9" t="inlineStr">
        <is>
          <t>C</t>
        </is>
      </c>
      <c r="B26" s="9" t="inlineStr">
        <is>
          <t>MS MOTORSERVICE 2330421560 (MARTI WIND)</t>
        </is>
      </c>
      <c r="C26" s="9" t="n">
        <v>2</v>
      </c>
      <c r="D26" s="9" t="inlineStr">
        <is>
          <t>POMPE A VIDE</t>
        </is>
      </c>
      <c r="E26" s="9" t="n">
        <v>24</v>
      </c>
      <c r="F26" s="9" t="inlineStr">
        <is>
          <t>EUR</t>
        </is>
      </c>
      <c r="G26" s="10" t="n">
        <v>64.7</v>
      </c>
      <c r="H26" s="10">
        <f>E26*G26</f>
        <v/>
      </c>
      <c r="I26" s="10" t="n">
        <v>10827.7</v>
      </c>
      <c r="J26" s="10">
        <f>E26*I26</f>
        <v/>
      </c>
    </row>
    <row r="27">
      <c r="A27" s="9" t="inlineStr">
        <is>
          <t>C</t>
        </is>
      </c>
      <c r="B27" s="9" t="inlineStr">
        <is>
          <t>MS MOTORSERVICE 2330421560 (MARTI WIND)</t>
        </is>
      </c>
      <c r="C27" s="9" t="n">
        <v>3</v>
      </c>
      <c r="D27" s="9" t="inlineStr">
        <is>
          <t>VALVE DE REGLAGE</t>
        </is>
      </c>
      <c r="E27" s="9" t="n">
        <v>60</v>
      </c>
      <c r="F27" s="9" t="inlineStr">
        <is>
          <t>EUR</t>
        </is>
      </c>
      <c r="G27" s="10" t="n">
        <v>83.90000000000001</v>
      </c>
      <c r="H27" s="10">
        <f>E27*G27</f>
        <v/>
      </c>
      <c r="I27" s="10" t="n">
        <v>14040.86</v>
      </c>
      <c r="J27" s="10">
        <f>E27*I27</f>
        <v/>
      </c>
    </row>
    <row r="28">
      <c r="A28" s="9" t="inlineStr">
        <is>
          <t>C</t>
        </is>
      </c>
      <c r="B28" s="9" t="inlineStr">
        <is>
          <t>MS MOTORSERVICE 2330421560 (MARTI WIND)</t>
        </is>
      </c>
      <c r="C28" s="9" t="n">
        <v>4</v>
      </c>
      <c r="D28" s="9" t="inlineStr">
        <is>
          <t>MODULE D'ENTRAINEMENT</t>
        </is>
      </c>
      <c r="E28" s="9" t="n">
        <v>30</v>
      </c>
      <c r="F28" s="9" t="inlineStr">
        <is>
          <t>EUR</t>
        </is>
      </c>
      <c r="G28" s="10" t="n">
        <v>58</v>
      </c>
      <c r="H28" s="10">
        <f>E28*G28</f>
        <v/>
      </c>
      <c r="I28" s="10" t="n">
        <v>9706.43</v>
      </c>
      <c r="J28" s="10">
        <f>E28*I28</f>
        <v/>
      </c>
    </row>
    <row r="29">
      <c r="A29" s="9" t="inlineStr">
        <is>
          <t>C</t>
        </is>
      </c>
      <c r="B29" s="9" t="inlineStr">
        <is>
          <t>MS MOTORSERVICE 2330421560 (MARTI WIND)</t>
        </is>
      </c>
      <c r="C29" s="9" t="n">
        <v>5</v>
      </c>
      <c r="D29" s="9" t="inlineStr">
        <is>
          <t>POMPE A VIDE</t>
        </is>
      </c>
      <c r="E29" s="9" t="n">
        <v>6</v>
      </c>
      <c r="F29" s="9" t="inlineStr">
        <is>
          <t>EUR</t>
        </is>
      </c>
      <c r="G29" s="10" t="n">
        <v>64.7</v>
      </c>
      <c r="H29" s="10">
        <f>E29*G29</f>
        <v/>
      </c>
      <c r="I29" s="10" t="n">
        <v>10827.7</v>
      </c>
      <c r="J29" s="10">
        <f>E29*I29</f>
        <v/>
      </c>
    </row>
    <row r="30">
      <c r="A30" s="9" t="inlineStr">
        <is>
          <t>C</t>
        </is>
      </c>
      <c r="B30" s="9" t="inlineStr">
        <is>
          <t>MS MOTORSERVICE 2330421560 (MARTI WIND)</t>
        </is>
      </c>
      <c r="C30" s="9" t="n">
        <v>6</v>
      </c>
      <c r="D30" s="9" t="inlineStr">
        <is>
          <t>TUBULURE D'ASPIRATION</t>
        </is>
      </c>
      <c r="E30" s="9" t="n">
        <v>15</v>
      </c>
      <c r="F30" s="9" t="inlineStr">
        <is>
          <t>EUR</t>
        </is>
      </c>
      <c r="G30" s="10" t="n">
        <v>71.23999999999999</v>
      </c>
      <c r="H30" s="10">
        <f>E30*G30</f>
        <v/>
      </c>
      <c r="I30" s="10" t="n">
        <v>11922.18</v>
      </c>
      <c r="J30" s="10">
        <f>E30*I30</f>
        <v/>
      </c>
    </row>
    <row r="31">
      <c r="A31" s="9" t="inlineStr">
        <is>
          <t>C</t>
        </is>
      </c>
      <c r="B31" s="9" t="inlineStr">
        <is>
          <t>MS MOTORSERVICE 2330421560 (MARTI WIND)</t>
        </is>
      </c>
      <c r="C31" s="9" t="n">
        <v>7</v>
      </c>
      <c r="D31" s="9" t="inlineStr">
        <is>
          <t>TUBULURE D'ASPIRATION</t>
        </is>
      </c>
      <c r="E31" s="9" t="n">
        <v>15</v>
      </c>
      <c r="F31" s="9" t="inlineStr">
        <is>
          <t>EUR</t>
        </is>
      </c>
      <c r="G31" s="10" t="n">
        <v>65.52</v>
      </c>
      <c r="H31" s="10">
        <f>E31*G31</f>
        <v/>
      </c>
      <c r="I31" s="10" t="n">
        <v>10964.92</v>
      </c>
      <c r="J31" s="10">
        <f>E31*I31</f>
        <v/>
      </c>
    </row>
    <row r="32">
      <c r="A32" s="9" t="inlineStr">
        <is>
          <t>C</t>
        </is>
      </c>
      <c r="B32" s="9" t="inlineStr">
        <is>
          <t>MS MOTORSERVICE 2330421560 (MARTI WIND)</t>
        </is>
      </c>
      <c r="C32" s="9" t="n">
        <v>8</v>
      </c>
      <c r="D32" s="9" t="inlineStr">
        <is>
          <t>PAPILLON</t>
        </is>
      </c>
      <c r="E32" s="9" t="n">
        <v>40</v>
      </c>
      <c r="F32" s="9" t="inlineStr">
        <is>
          <t>EUR</t>
        </is>
      </c>
      <c r="G32" s="10" t="n">
        <v>52.5</v>
      </c>
      <c r="H32" s="10">
        <f>E32*G32</f>
        <v/>
      </c>
      <c r="I32" s="10" t="n">
        <v>8786</v>
      </c>
      <c r="J32" s="10">
        <f>E32*I32</f>
        <v/>
      </c>
    </row>
    <row r="33">
      <c r="A33" s="9" t="inlineStr">
        <is>
          <t>C</t>
        </is>
      </c>
      <c r="B33" s="9" t="inlineStr">
        <is>
          <t>MS MOTORSERVICE 2330421560 (MARTI WIND)</t>
        </is>
      </c>
      <c r="C33" s="9" t="n">
        <v>9</v>
      </c>
      <c r="D33" s="9" t="inlineStr">
        <is>
          <t>VANNE EGR</t>
        </is>
      </c>
      <c r="E33" s="9" t="n">
        <v>20</v>
      </c>
      <c r="F33" s="9" t="inlineStr">
        <is>
          <t>EUR</t>
        </is>
      </c>
      <c r="G33" s="10" t="n">
        <v>61</v>
      </c>
      <c r="H33" s="10">
        <f>E33*G33</f>
        <v/>
      </c>
      <c r="I33" s="10" t="n">
        <v>10208.49</v>
      </c>
      <c r="J33" s="10">
        <f>E33*I33</f>
        <v/>
      </c>
    </row>
    <row r="34">
      <c r="A34" s="9" t="inlineStr">
        <is>
          <t>C</t>
        </is>
      </c>
      <c r="B34" s="9" t="inlineStr">
        <is>
          <t>MS MOTORSERVICE 2330421560 (MARTI WIND)</t>
        </is>
      </c>
      <c r="C34" s="9" t="n">
        <v>10</v>
      </c>
      <c r="D34" s="9" t="inlineStr">
        <is>
          <t>MODULE D'ENTRAINEMENT</t>
        </is>
      </c>
      <c r="E34" s="9" t="n">
        <v>10</v>
      </c>
      <c r="F34" s="9" t="inlineStr">
        <is>
          <t>EUR</t>
        </is>
      </c>
      <c r="G34" s="10" t="n">
        <v>59.8</v>
      </c>
      <c r="H34" s="10">
        <f>E34*G34</f>
        <v/>
      </c>
      <c r="I34" s="10" t="n">
        <v>10007.67</v>
      </c>
      <c r="J34" s="10">
        <f>E34*I34</f>
        <v/>
      </c>
    </row>
    <row r="35">
      <c r="A35" s="9" t="inlineStr">
        <is>
          <t>C</t>
        </is>
      </c>
      <c r="B35" s="9" t="inlineStr">
        <is>
          <t>MS MOTORSERVICE 2330421560 (MARTI WIND)</t>
        </is>
      </c>
      <c r="C35" s="9" t="n">
        <v>11</v>
      </c>
      <c r="D35" s="9" t="inlineStr">
        <is>
          <t>POMPE A EAU ADDITIONNELLE</t>
        </is>
      </c>
      <c r="E35" s="9" t="n">
        <v>50</v>
      </c>
      <c r="F35" s="9" t="inlineStr">
        <is>
          <t>EUR</t>
        </is>
      </c>
      <c r="G35" s="10" t="n">
        <v>39.5</v>
      </c>
      <c r="H35" s="10">
        <f>E35*G35</f>
        <v/>
      </c>
      <c r="I35" s="10" t="n">
        <v>6610.42</v>
      </c>
      <c r="J35" s="10">
        <f>E35*I35</f>
        <v/>
      </c>
    </row>
    <row r="36">
      <c r="A36" s="9" t="inlineStr">
        <is>
          <t>C</t>
        </is>
      </c>
      <c r="B36" s="9" t="inlineStr">
        <is>
          <t>MS MOTORSERVICE 2330421560 (MARTI WIND)</t>
        </is>
      </c>
      <c r="C36" s="9" t="n">
        <v>12</v>
      </c>
      <c r="D36" s="9" t="inlineStr">
        <is>
          <t>POMPE A EAU ADDITIONNELLE</t>
        </is>
      </c>
      <c r="E36" s="9" t="n">
        <v>40</v>
      </c>
      <c r="F36" s="9" t="inlineStr">
        <is>
          <t>EUR</t>
        </is>
      </c>
      <c r="G36" s="10" t="n">
        <v>38.63</v>
      </c>
      <c r="H36" s="10">
        <f>E36*G36</f>
        <v/>
      </c>
      <c r="I36" s="10" t="n">
        <v>6464.82</v>
      </c>
      <c r="J36" s="10">
        <f>E36*I36</f>
        <v/>
      </c>
    </row>
    <row r="37">
      <c r="A37" s="9" t="inlineStr">
        <is>
          <t>C</t>
        </is>
      </c>
      <c r="B37" s="9" t="inlineStr">
        <is>
          <t>MS MOTORSERVICE 2330421560 (MARTI WIND)</t>
        </is>
      </c>
      <c r="C37" s="9" t="n">
        <v>13</v>
      </c>
      <c r="D37" s="9" t="inlineStr">
        <is>
          <t>POMPE A EAU ADDITIONNELLE</t>
        </is>
      </c>
      <c r="E37" s="9" t="n">
        <v>20</v>
      </c>
      <c r="F37" s="9" t="inlineStr">
        <is>
          <t>EUR</t>
        </is>
      </c>
      <c r="G37" s="10" t="n">
        <v>59.4</v>
      </c>
      <c r="H37" s="10">
        <f>E37*G37</f>
        <v/>
      </c>
      <c r="I37" s="10" t="n">
        <v>9940.73</v>
      </c>
      <c r="J37" s="10">
        <f>E37*I37</f>
        <v/>
      </c>
    </row>
    <row r="38">
      <c r="A38" s="9" t="inlineStr">
        <is>
          <t>C</t>
        </is>
      </c>
      <c r="B38" s="9" t="inlineStr">
        <is>
          <t>MS MOTORSERVICE 2330421560 (MARTI WIND)</t>
        </is>
      </c>
      <c r="C38" s="9" t="n">
        <v>14</v>
      </c>
      <c r="D38" s="9" t="inlineStr">
        <is>
          <t>CONVERTISSEUR DE PRESSION</t>
        </is>
      </c>
      <c r="E38" s="9" t="n">
        <v>200</v>
      </c>
      <c r="F38" s="9" t="inlineStr">
        <is>
          <t>EUR</t>
        </is>
      </c>
      <c r="G38" s="10" t="n">
        <v>17.34</v>
      </c>
      <c r="H38" s="10">
        <f>E38*G38</f>
        <v/>
      </c>
      <c r="I38" s="10" t="n">
        <v>2901.89</v>
      </c>
      <c r="J38" s="10">
        <f>E38*I38</f>
        <v/>
      </c>
    </row>
    <row r="39">
      <c r="A39" s="9" t="inlineStr">
        <is>
          <t>C</t>
        </is>
      </c>
      <c r="B39" s="9" t="inlineStr">
        <is>
          <t>MS MOTORSERVICE 2330421560 (MARTI WIND)</t>
        </is>
      </c>
      <c r="C39" s="9" t="n">
        <v>15</v>
      </c>
      <c r="D39" s="9" t="inlineStr">
        <is>
          <t>POMPE A CARBURANT ET A VIDE</t>
        </is>
      </c>
      <c r="E39" s="9" t="n">
        <v>50</v>
      </c>
      <c r="F39" s="9" t="inlineStr">
        <is>
          <t>EUR</t>
        </is>
      </c>
      <c r="G39" s="10" t="n">
        <v>86</v>
      </c>
      <c r="H39" s="10">
        <f>E39*G39</f>
        <v/>
      </c>
      <c r="I39" s="10" t="n">
        <v>14392.3</v>
      </c>
      <c r="J39" s="10">
        <f>E39*I39</f>
        <v/>
      </c>
    </row>
    <row r="40">
      <c r="A40" s="9" t="inlineStr">
        <is>
          <t>C</t>
        </is>
      </c>
      <c r="B40" s="9" t="inlineStr">
        <is>
          <t>MS MOTORSERVICE 2330421560 (MARTI WIND)</t>
        </is>
      </c>
      <c r="C40" s="9" t="n">
        <v>16</v>
      </c>
      <c r="D40" s="9" t="inlineStr">
        <is>
          <t>POMPE A CARBURANT ET A VIDE</t>
        </is>
      </c>
      <c r="E40" s="9" t="n">
        <v>100</v>
      </c>
      <c r="F40" s="9" t="inlineStr">
        <is>
          <t>EUR</t>
        </is>
      </c>
      <c r="G40" s="10" t="n">
        <v>98</v>
      </c>
      <c r="H40" s="10">
        <f>E40*G40</f>
        <v/>
      </c>
      <c r="I40" s="10" t="n">
        <v>16400.53</v>
      </c>
      <c r="J40" s="10">
        <f>E40*I40</f>
        <v/>
      </c>
    </row>
    <row r="41">
      <c r="A41" s="9" t="inlineStr">
        <is>
          <t>C</t>
        </is>
      </c>
      <c r="B41" s="9" t="inlineStr">
        <is>
          <t>MS MOTORSERVICE 2330421560 (MARTI WIND)</t>
        </is>
      </c>
      <c r="C41" s="9" t="n">
        <v>17</v>
      </c>
      <c r="D41" s="9" t="inlineStr">
        <is>
          <t>POMPE A EAU</t>
        </is>
      </c>
      <c r="E41" s="9" t="n">
        <v>170</v>
      </c>
      <c r="F41" s="9" t="inlineStr">
        <is>
          <t>EUR</t>
        </is>
      </c>
      <c r="G41" s="10" t="n">
        <v>44.76</v>
      </c>
      <c r="H41" s="10">
        <f>E41*G41</f>
        <v/>
      </c>
      <c r="I41" s="10" t="n">
        <v>7490.69</v>
      </c>
      <c r="J41" s="10">
        <f>E41*I41</f>
        <v/>
      </c>
    </row>
    <row r="42">
      <c r="A42" s="9" t="inlineStr">
        <is>
          <t>C</t>
        </is>
      </c>
      <c r="B42" s="9" t="inlineStr">
        <is>
          <t>MS MOTORSERVICE 2330421560 (MARTI WIND)</t>
        </is>
      </c>
      <c r="C42" s="9" t="n">
        <v>18</v>
      </c>
      <c r="D42" s="9" t="inlineStr">
        <is>
          <t>MODULE D'ALIMENTATION DE CARBURANT</t>
        </is>
      </c>
      <c r="E42" s="9" t="n">
        <v>15</v>
      </c>
      <c r="F42" s="9" t="inlineStr">
        <is>
          <t>EUR</t>
        </is>
      </c>
      <c r="G42" s="10" t="n">
        <v>131.3</v>
      </c>
      <c r="H42" s="10">
        <f>E42*G42</f>
        <v/>
      </c>
      <c r="I42" s="10" t="n">
        <v>21973.36</v>
      </c>
      <c r="J42" s="10">
        <f>E42*I42</f>
        <v/>
      </c>
    </row>
    <row r="43">
      <c r="A43" s="9" t="inlineStr">
        <is>
          <t>C</t>
        </is>
      </c>
      <c r="B43" s="9" t="inlineStr">
        <is>
          <t>MS MOTORSERVICE 2330421560 (MARTI WIND)</t>
        </is>
      </c>
      <c r="C43" s="9" t="n">
        <v>19</v>
      </c>
      <c r="D43" s="9" t="inlineStr">
        <is>
          <t>POMPE A VIDE</t>
        </is>
      </c>
      <c r="E43" s="9" t="n">
        <v>40</v>
      </c>
      <c r="F43" s="9" t="inlineStr">
        <is>
          <t>EUR</t>
        </is>
      </c>
      <c r="G43" s="10" t="n">
        <v>55</v>
      </c>
      <c r="H43" s="10">
        <f>E43*G43</f>
        <v/>
      </c>
      <c r="I43" s="10" t="n">
        <v>9204.379999999999</v>
      </c>
      <c r="J43" s="10">
        <f>E43*I43</f>
        <v/>
      </c>
    </row>
    <row r="44">
      <c r="A44" s="9" t="inlineStr">
        <is>
          <t>C</t>
        </is>
      </c>
      <c r="B44" s="9" t="inlineStr">
        <is>
          <t>MS MOTORSERVICE 2330421560 (MARTI WIND)</t>
        </is>
      </c>
      <c r="C44" s="9" t="n">
        <v>20</v>
      </c>
      <c r="D44" s="9" t="inlineStr">
        <is>
          <t>POMPE A VIDE</t>
        </is>
      </c>
      <c r="E44" s="9" t="n">
        <v>40</v>
      </c>
      <c r="F44" s="9" t="inlineStr">
        <is>
          <t>EUR</t>
        </is>
      </c>
      <c r="G44" s="10" t="n">
        <v>56.5</v>
      </c>
      <c r="H44" s="10">
        <f>E44*G44</f>
        <v/>
      </c>
      <c r="I44" s="10" t="n">
        <v>9455.41</v>
      </c>
      <c r="J44" s="10">
        <f>E44*I44</f>
        <v/>
      </c>
    </row>
    <row r="45">
      <c r="A45" s="9" t="inlineStr">
        <is>
          <t>C</t>
        </is>
      </c>
      <c r="B45" s="9" t="inlineStr">
        <is>
          <t>MS MOTORSERVICE 2330421560 (MARTI WIND)</t>
        </is>
      </c>
      <c r="C45" s="9" t="n">
        <v>21</v>
      </c>
      <c r="D45" s="9" t="inlineStr">
        <is>
          <t>POMPE A EAU</t>
        </is>
      </c>
      <c r="E45" s="9" t="n">
        <v>20</v>
      </c>
      <c r="F45" s="9" t="inlineStr">
        <is>
          <t>EUR</t>
        </is>
      </c>
      <c r="G45" s="10" t="n">
        <v>88</v>
      </c>
      <c r="H45" s="10">
        <f>E45*G45</f>
        <v/>
      </c>
      <c r="I45" s="10" t="n">
        <v>14727</v>
      </c>
      <c r="J45" s="10">
        <f>E45*I45</f>
        <v/>
      </c>
    </row>
    <row r="46">
      <c r="A46" s="9" t="inlineStr">
        <is>
          <t>C</t>
        </is>
      </c>
      <c r="B46" s="9" t="inlineStr">
        <is>
          <t>MS MOTORSERVICE 2330421560 (MARTI WIND)</t>
        </is>
      </c>
      <c r="C46" s="9" t="n">
        <v>22</v>
      </c>
      <c r="D46" s="9" t="inlineStr">
        <is>
          <t>MODULE D'ALIMENTATION DE CARBURANT</t>
        </is>
      </c>
      <c r="E46" s="9" t="n">
        <v>20</v>
      </c>
      <c r="F46" s="9" t="inlineStr">
        <is>
          <t>EUR</t>
        </is>
      </c>
      <c r="G46" s="10" t="n">
        <v>62.62</v>
      </c>
      <c r="H46" s="10">
        <f>E46*G46</f>
        <v/>
      </c>
      <c r="I46" s="10" t="n">
        <v>10479.6</v>
      </c>
      <c r="J46" s="10">
        <f>E46*I46</f>
        <v/>
      </c>
    </row>
    <row r="47">
      <c r="A47" s="9" t="inlineStr">
        <is>
          <t>C</t>
        </is>
      </c>
      <c r="B47" s="9" t="inlineStr">
        <is>
          <t>MS MOTORSERVICE 2330421560 (MARTI WIND)</t>
        </is>
      </c>
      <c r="C47" s="9" t="n">
        <v>23</v>
      </c>
      <c r="D47" s="9" t="inlineStr">
        <is>
          <t>POMPE A HUILE</t>
        </is>
      </c>
      <c r="E47" s="9" t="n">
        <v>150</v>
      </c>
      <c r="F47" s="9" t="inlineStr">
        <is>
          <t>EUR</t>
        </is>
      </c>
      <c r="G47" s="10" t="n">
        <v>21.5</v>
      </c>
      <c r="H47" s="10">
        <f>E47*G47</f>
        <v/>
      </c>
      <c r="I47" s="10" t="n">
        <v>3598.07</v>
      </c>
      <c r="J47" s="10">
        <f>E47*I47</f>
        <v/>
      </c>
    </row>
    <row r="48">
      <c r="A48" s="9" t="inlineStr">
        <is>
          <t>C</t>
        </is>
      </c>
      <c r="B48" s="9" t="inlineStr">
        <is>
          <t>MS MOTORSERVICE 2330421560 (MARTI WIND)</t>
        </is>
      </c>
      <c r="C48" s="9" t="n">
        <v>24</v>
      </c>
      <c r="D48" s="9" t="inlineStr">
        <is>
          <t>POMPE A EAU VARIABLE</t>
        </is>
      </c>
      <c r="E48" s="9" t="n">
        <v>40</v>
      </c>
      <c r="F48" s="9" t="inlineStr">
        <is>
          <t>EUR</t>
        </is>
      </c>
      <c r="G48" s="10" t="n">
        <v>71.59</v>
      </c>
      <c r="H48" s="10">
        <f>E48*G48</f>
        <v/>
      </c>
      <c r="I48" s="10" t="n">
        <v>11980.75</v>
      </c>
      <c r="J48" s="10">
        <f>E48*I48</f>
        <v/>
      </c>
    </row>
    <row r="49">
      <c r="A49" s="9" t="inlineStr">
        <is>
          <t>C</t>
        </is>
      </c>
      <c r="B49" s="9" t="inlineStr">
        <is>
          <t>MS MOTORSERVICE 2330421560 (MARTI WIND)</t>
        </is>
      </c>
      <c r="C49" s="9" t="n">
        <v>25</v>
      </c>
      <c r="D49" s="9" t="inlineStr">
        <is>
          <t>POMPE A EAU</t>
        </is>
      </c>
      <c r="E49" s="9" t="n">
        <v>100</v>
      </c>
      <c r="F49" s="9" t="inlineStr">
        <is>
          <t>EUR</t>
        </is>
      </c>
      <c r="G49" s="10" t="n">
        <v>41.72</v>
      </c>
      <c r="H49" s="10">
        <f>E49*G49</f>
        <v/>
      </c>
      <c r="I49" s="10" t="n">
        <v>6981.94</v>
      </c>
      <c r="J49" s="10">
        <f>E49*I49</f>
        <v/>
      </c>
    </row>
    <row r="50">
      <c r="A50" s="9" t="inlineStr">
        <is>
          <t>C</t>
        </is>
      </c>
      <c r="B50" s="9" t="inlineStr">
        <is>
          <t>MS MOTORSERVICE 2330421560 (MARTI WIND)</t>
        </is>
      </c>
      <c r="C50" s="9" t="n">
        <v>26</v>
      </c>
      <c r="D50" s="9" t="inlineStr">
        <is>
          <t>POMPE A EAU VARIABLE</t>
        </is>
      </c>
      <c r="E50" s="9" t="n">
        <v>20</v>
      </c>
      <c r="F50" s="9" t="inlineStr">
        <is>
          <t>EUR</t>
        </is>
      </c>
      <c r="G50" s="10" t="n">
        <v>52.55</v>
      </c>
      <c r="H50" s="10">
        <f>E50*G50</f>
        <v/>
      </c>
      <c r="I50" s="10" t="n">
        <v>8794.360000000001</v>
      </c>
      <c r="J50" s="10">
        <f>E50*I50</f>
        <v/>
      </c>
    </row>
    <row r="51">
      <c r="A51" s="9" t="inlineStr">
        <is>
          <t>C</t>
        </is>
      </c>
      <c r="B51" s="9" t="inlineStr">
        <is>
          <t>MS MOTORSERVICE 2330421560 (MARTI WIND)</t>
        </is>
      </c>
      <c r="C51" s="9" t="n">
        <v>27</v>
      </c>
      <c r="D51" s="9" t="inlineStr">
        <is>
          <t>POMPE A CARBURANT</t>
        </is>
      </c>
      <c r="E51" s="9" t="n">
        <v>12</v>
      </c>
      <c r="F51" s="9" t="inlineStr">
        <is>
          <t>EUR</t>
        </is>
      </c>
      <c r="G51" s="10" t="n">
        <v>51.95</v>
      </c>
      <c r="H51" s="10">
        <f>E51*G51</f>
        <v/>
      </c>
      <c r="I51" s="10" t="n">
        <v>8693.950000000001</v>
      </c>
      <c r="J51" s="10">
        <f>E51*I51</f>
        <v/>
      </c>
    </row>
    <row r="52">
      <c r="A52" s="9" t="inlineStr">
        <is>
          <t>C</t>
        </is>
      </c>
      <c r="B52" s="9" t="inlineStr">
        <is>
          <t>MS MOTORSERVICE 2330421560 (MARTI WIND)</t>
        </is>
      </c>
      <c r="C52" s="9" t="n">
        <v>28</v>
      </c>
      <c r="D52" s="9" t="inlineStr">
        <is>
          <t>UNITE DE COMMANDE POMPE A CARBURANT</t>
        </is>
      </c>
      <c r="E52" s="9" t="n">
        <v>29</v>
      </c>
      <c r="F52" s="9" t="inlineStr">
        <is>
          <t>EUR</t>
        </is>
      </c>
      <c r="G52" s="10" t="n">
        <v>41.41</v>
      </c>
      <c r="H52" s="10">
        <f>E52*G52</f>
        <v/>
      </c>
      <c r="I52" s="10" t="n">
        <v>6930.06</v>
      </c>
      <c r="J52" s="10">
        <f>E52*I52</f>
        <v/>
      </c>
    </row>
    <row r="53">
      <c r="A53" s="9" t="inlineStr">
        <is>
          <t>C</t>
        </is>
      </c>
      <c r="B53" s="9" t="inlineStr">
        <is>
          <t>MS MOTORSERVICE 2330421560 (MARTI WIND)</t>
        </is>
      </c>
      <c r="C53" s="9" t="n">
        <v>29</v>
      </c>
      <c r="D53" s="9" t="inlineStr">
        <is>
          <t>UNITE DE COMMANDE POMPE A CARBURANT</t>
        </is>
      </c>
      <c r="E53" s="9" t="n">
        <v>21</v>
      </c>
      <c r="F53" s="9" t="inlineStr">
        <is>
          <t>EUR</t>
        </is>
      </c>
      <c r="G53" s="10" t="n">
        <v>40</v>
      </c>
      <c r="H53" s="10">
        <f>E53*G53</f>
        <v/>
      </c>
      <c r="I53" s="10" t="n">
        <v>6694.09</v>
      </c>
      <c r="J53" s="10">
        <f>E53*I53</f>
        <v/>
      </c>
    </row>
    <row r="54">
      <c r="A54" s="9" t="inlineStr">
        <is>
          <t>C</t>
        </is>
      </c>
      <c r="B54" s="9" t="inlineStr">
        <is>
          <t>MS MOTORSERVICE 2330421560 (MARTI WIND)</t>
        </is>
      </c>
      <c r="C54" s="9" t="n">
        <v>30</v>
      </c>
      <c r="D54" s="9" t="inlineStr">
        <is>
          <t>POMPE A HUILE</t>
        </is>
      </c>
      <c r="E54" s="9" t="n">
        <v>300</v>
      </c>
      <c r="F54" s="9" t="inlineStr">
        <is>
          <t>EUR</t>
        </is>
      </c>
      <c r="G54" s="10" t="n">
        <v>27.8</v>
      </c>
      <c r="H54" s="10">
        <f>E54*G54</f>
        <v/>
      </c>
      <c r="I54" s="10" t="n">
        <v>4652.39</v>
      </c>
      <c r="J54" s="10">
        <f>E54*I54</f>
        <v/>
      </c>
    </row>
    <row r="55">
      <c r="A55" s="9" t="inlineStr">
        <is>
          <t>C</t>
        </is>
      </c>
      <c r="B55" s="9" t="inlineStr">
        <is>
          <t>MS MOTORSERVICE 2330421560 (MARTI WIND)</t>
        </is>
      </c>
      <c r="C55" s="9" t="n">
        <v>31</v>
      </c>
      <c r="D55" s="9" t="inlineStr">
        <is>
          <t>POMPE A HUILE</t>
        </is>
      </c>
      <c r="E55" s="9" t="n">
        <v>88</v>
      </c>
      <c r="F55" s="9" t="inlineStr">
        <is>
          <t>EUR</t>
        </is>
      </c>
      <c r="G55" s="10" t="n">
        <v>43</v>
      </c>
      <c r="H55" s="10">
        <f>E55*G55</f>
        <v/>
      </c>
      <c r="I55" s="10" t="n">
        <v>7196.15</v>
      </c>
      <c r="J55" s="10">
        <f>E55*I55</f>
        <v/>
      </c>
    </row>
    <row r="56">
      <c r="A56" s="9" t="inlineStr">
        <is>
          <t>C</t>
        </is>
      </c>
      <c r="B56" s="9" t="inlineStr">
        <is>
          <t>MS MOTORSERVICE 2330421560 (MARTI WIND)</t>
        </is>
      </c>
      <c r="C56" s="9" t="n">
        <v>32</v>
      </c>
      <c r="D56" s="9" t="inlineStr">
        <is>
          <t>POMPE A HUILE</t>
        </is>
      </c>
      <c r="E56" s="9" t="n">
        <v>200</v>
      </c>
      <c r="F56" s="9" t="inlineStr">
        <is>
          <t>EUR</t>
        </is>
      </c>
      <c r="G56" s="10" t="n">
        <v>18</v>
      </c>
      <c r="H56" s="10">
        <f>E56*G56</f>
        <v/>
      </c>
      <c r="I56" s="10" t="n">
        <v>3012.34</v>
      </c>
      <c r="J56" s="10">
        <f>E56*I56</f>
        <v/>
      </c>
    </row>
    <row r="57">
      <c r="A57" s="9" t="inlineStr">
        <is>
          <t>C</t>
        </is>
      </c>
      <c r="B57" s="9" t="inlineStr">
        <is>
          <t>MS MOTORSERVICE 2330421560 (MARTI WIND)</t>
        </is>
      </c>
      <c r="C57" s="9" t="n">
        <v>33</v>
      </c>
      <c r="D57" s="9" t="inlineStr">
        <is>
          <t>POMPE A HUILE</t>
        </is>
      </c>
      <c r="E57" s="9" t="n">
        <v>52</v>
      </c>
      <c r="F57" s="9" t="inlineStr">
        <is>
          <t>EUR</t>
        </is>
      </c>
      <c r="G57" s="10" t="n">
        <v>133</v>
      </c>
      <c r="H57" s="10">
        <f>E57*G57</f>
        <v/>
      </c>
      <c r="I57" s="10" t="n">
        <v>22257.86</v>
      </c>
      <c r="J57" s="10">
        <f>E57*I57</f>
        <v/>
      </c>
    </row>
    <row r="58">
      <c r="A58" s="9" t="inlineStr">
        <is>
          <t>C</t>
        </is>
      </c>
      <c r="B58" s="9" t="inlineStr">
        <is>
          <t>MS MOTORSERVICE 2330421560 (MARTI WIND)</t>
        </is>
      </c>
      <c r="C58" s="9" t="n">
        <v>34</v>
      </c>
      <c r="D58" s="9" t="inlineStr">
        <is>
          <t>POMPE A HUILE</t>
        </is>
      </c>
      <c r="E58" s="9" t="n">
        <v>17</v>
      </c>
      <c r="F58" s="9" t="inlineStr">
        <is>
          <t>EUR</t>
        </is>
      </c>
      <c r="G58" s="10" t="n">
        <v>41.2</v>
      </c>
      <c r="H58" s="10">
        <f>E58*G58</f>
        <v/>
      </c>
      <c r="I58" s="10" t="n">
        <v>6894.92</v>
      </c>
      <c r="J58" s="10">
        <f>E58*I58</f>
        <v/>
      </c>
    </row>
    <row r="59">
      <c r="A59" s="9" t="inlineStr">
        <is>
          <t>C</t>
        </is>
      </c>
      <c r="B59" s="9" t="inlineStr">
        <is>
          <t>MS MOTORSERVICE 2330421560 (MARTI WIND)</t>
        </is>
      </c>
      <c r="C59" s="9" t="n">
        <v>35</v>
      </c>
      <c r="D59" s="9" t="inlineStr">
        <is>
          <t>POMPE A EAU ADDITIONNELLE</t>
        </is>
      </c>
      <c r="E59" s="9" t="n">
        <v>98</v>
      </c>
      <c r="F59" s="9" t="inlineStr">
        <is>
          <t>EUR</t>
        </is>
      </c>
      <c r="G59" s="10" t="n">
        <v>53.5</v>
      </c>
      <c r="H59" s="10">
        <f>E59*G59</f>
        <v/>
      </c>
      <c r="I59" s="10" t="n">
        <v>8953.35</v>
      </c>
      <c r="J59" s="10">
        <f>E59*I59</f>
        <v/>
      </c>
    </row>
    <row r="60">
      <c r="A60" s="9" t="inlineStr">
        <is>
          <t>C</t>
        </is>
      </c>
      <c r="B60" s="9" t="inlineStr">
        <is>
          <t>MS MOTORSERVICE 2330421560 (MARTI WIND)</t>
        </is>
      </c>
      <c r="C60" s="9" t="n">
        <v>36</v>
      </c>
      <c r="D60" s="9" t="inlineStr">
        <is>
          <t>RADIATEUR HUILE</t>
        </is>
      </c>
      <c r="E60" s="9" t="n">
        <v>11</v>
      </c>
      <c r="F60" s="9" t="inlineStr">
        <is>
          <t>EUR</t>
        </is>
      </c>
      <c r="G60" s="10" t="n">
        <v>19.57</v>
      </c>
      <c r="H60" s="10">
        <f>E60*G60</f>
        <v/>
      </c>
      <c r="I60" s="10" t="n">
        <v>3275.08</v>
      </c>
      <c r="J60" s="10">
        <f>E60*I60</f>
        <v/>
      </c>
    </row>
    <row r="61">
      <c r="A61" s="9" t="inlineStr">
        <is>
          <t>C</t>
        </is>
      </c>
      <c r="B61" s="9" t="inlineStr">
        <is>
          <t>MS MOTORSERVICE 2330421560 (MARTI WIND)</t>
        </is>
      </c>
      <c r="C61" s="9" t="n">
        <v>37</v>
      </c>
      <c r="D61" s="9" t="inlineStr">
        <is>
          <t>RADIATEUR HUILE</t>
        </is>
      </c>
      <c r="E61" s="9" t="n">
        <v>39</v>
      </c>
      <c r="F61" s="9" t="inlineStr">
        <is>
          <t>EUR</t>
        </is>
      </c>
      <c r="G61" s="10" t="n">
        <v>14.95</v>
      </c>
      <c r="H61" s="10">
        <f>E61*G61</f>
        <v/>
      </c>
      <c r="I61" s="10" t="n">
        <v>2501.92</v>
      </c>
      <c r="J61" s="10">
        <f>E61*I61</f>
        <v/>
      </c>
    </row>
    <row r="62">
      <c r="A62" s="9" t="inlineStr">
        <is>
          <t>C</t>
        </is>
      </c>
      <c r="B62" s="9" t="inlineStr">
        <is>
          <t>MS MOTORSERVICE 2330421560 (MARTI WIND)</t>
        </is>
      </c>
      <c r="C62" s="9" t="n">
        <v>38</v>
      </c>
      <c r="D62" s="9" t="inlineStr">
        <is>
          <t>RADIATEUR HUILE</t>
        </is>
      </c>
      <c r="E62" s="9" t="n">
        <v>6</v>
      </c>
      <c r="F62" s="9" t="inlineStr">
        <is>
          <t>EUR</t>
        </is>
      </c>
      <c r="G62" s="10" t="n">
        <v>21.95</v>
      </c>
      <c r="H62" s="10">
        <f>E62*G62</f>
        <v/>
      </c>
      <c r="I62" s="10" t="n">
        <v>3673.38</v>
      </c>
      <c r="J62" s="10">
        <f>E62*I62</f>
        <v/>
      </c>
    </row>
    <row r="63">
      <c r="A63" s="9" t="inlineStr">
        <is>
          <t>C</t>
        </is>
      </c>
      <c r="B63" s="9" t="inlineStr">
        <is>
          <t>MS MOTORSERVICE 2330421560 (MARTI WIND)</t>
        </is>
      </c>
      <c r="C63" s="9" t="n">
        <v>39</v>
      </c>
      <c r="D63" s="9" t="inlineStr">
        <is>
          <t>MODULE REFROIDISSEUR EGR</t>
        </is>
      </c>
      <c r="E63" s="9" t="n">
        <v>160</v>
      </c>
      <c r="F63" s="9" t="inlineStr">
        <is>
          <t>EUR</t>
        </is>
      </c>
      <c r="G63" s="10" t="n">
        <v>105</v>
      </c>
      <c r="H63" s="10">
        <f>E63*G63</f>
        <v/>
      </c>
      <c r="I63" s="10" t="n">
        <v>17571.99</v>
      </c>
      <c r="J63" s="10">
        <f>E63*I63</f>
        <v/>
      </c>
    </row>
    <row r="64">
      <c r="A64" s="9" t="inlineStr">
        <is>
          <t>C</t>
        </is>
      </c>
      <c r="B64" s="9" t="inlineStr">
        <is>
          <t>MS MOTORSERVICE 2330421560 (MARTI WIND)</t>
        </is>
      </c>
      <c r="C64" s="9" t="n">
        <v>40</v>
      </c>
      <c r="D64" s="9" t="inlineStr">
        <is>
          <t>POMPE A EAU ADDITIONNELLE</t>
        </is>
      </c>
      <c r="E64" s="9" t="n">
        <v>19</v>
      </c>
      <c r="F64" s="9" t="inlineStr">
        <is>
          <t>EUR</t>
        </is>
      </c>
      <c r="G64" s="10" t="n">
        <v>71.06999999999999</v>
      </c>
      <c r="H64" s="10">
        <f>E64*G64</f>
        <v/>
      </c>
      <c r="I64" s="10" t="n">
        <v>11893.73</v>
      </c>
      <c r="J64" s="10">
        <f>E64*I64</f>
        <v/>
      </c>
    </row>
    <row r="65">
      <c r="A65" s="9" t="inlineStr">
        <is>
          <t>C</t>
        </is>
      </c>
      <c r="B65" s="9" t="inlineStr">
        <is>
          <t>MS MOTORSERVICE 2330421560 (MARTI WIND)</t>
        </is>
      </c>
      <c r="C65" s="9" t="n">
        <v>41</v>
      </c>
      <c r="D65" s="9" t="inlineStr">
        <is>
          <t>POMPE A CARBURANT</t>
        </is>
      </c>
      <c r="E65" s="9" t="n">
        <v>80</v>
      </c>
      <c r="F65" s="9" t="inlineStr">
        <is>
          <t>EUR</t>
        </is>
      </c>
      <c r="G65" s="10" t="n">
        <v>49.49</v>
      </c>
      <c r="H65" s="10">
        <f>E65*G65</f>
        <v/>
      </c>
      <c r="I65" s="10" t="n">
        <v>8282.27</v>
      </c>
      <c r="J65" s="10">
        <f>E65*I65</f>
        <v/>
      </c>
    </row>
    <row r="66">
      <c r="A66" s="9" t="inlineStr">
        <is>
          <t>C</t>
        </is>
      </c>
      <c r="B66" s="9" t="inlineStr">
        <is>
          <t>MS MOTORSERVICE 2330421560 (MARTI WIND)</t>
        </is>
      </c>
      <c r="C66" s="9" t="n">
        <v>42</v>
      </c>
      <c r="D66" s="9" t="inlineStr">
        <is>
          <t>POMPE A CARBURANT</t>
        </is>
      </c>
      <c r="E66" s="9" t="n">
        <v>50</v>
      </c>
      <c r="F66" s="9" t="inlineStr">
        <is>
          <t>EUR</t>
        </is>
      </c>
      <c r="G66" s="10" t="n">
        <v>52.52</v>
      </c>
      <c r="H66" s="10">
        <f>E66*G66</f>
        <v/>
      </c>
      <c r="I66" s="10" t="n">
        <v>8789.34</v>
      </c>
      <c r="J66" s="10">
        <f>E66*I66</f>
        <v/>
      </c>
    </row>
    <row r="67">
      <c r="A67" s="9" t="inlineStr">
        <is>
          <t>D</t>
        </is>
      </c>
      <c r="B67" s="9" t="inlineStr">
        <is>
          <t>BS MOTOR GTS2406321-C (MSC AMELIA)</t>
        </is>
      </c>
      <c r="C67" s="9" t="n">
        <v>1</v>
      </c>
      <c r="D67" s="9" t="inlineStr">
        <is>
          <t>POMPE A EAU</t>
        </is>
      </c>
      <c r="E67" s="9" t="n">
        <v>40</v>
      </c>
      <c r="F67" s="9" t="inlineStr">
        <is>
          <t>USD</t>
        </is>
      </c>
      <c r="G67" s="10" t="n">
        <v>28.6</v>
      </c>
      <c r="H67" s="10">
        <f>E67*G67</f>
        <v/>
      </c>
      <c r="I67" s="10" t="n">
        <v>4639.96</v>
      </c>
      <c r="J67" s="10">
        <f>E67*I67</f>
        <v/>
      </c>
    </row>
    <row r="68">
      <c r="A68" s="9" t="inlineStr">
        <is>
          <t>D</t>
        </is>
      </c>
      <c r="B68" s="9" t="inlineStr">
        <is>
          <t>BS MOTOR GTS2406321-C (MSC AMELIA)</t>
        </is>
      </c>
      <c r="C68" s="9" t="n">
        <v>2</v>
      </c>
      <c r="D68" s="9" t="inlineStr">
        <is>
          <t>PLATEAU EMB ANC</t>
        </is>
      </c>
      <c r="E68" s="9" t="n">
        <v>150</v>
      </c>
      <c r="F68" s="9" t="inlineStr">
        <is>
          <t>USD</t>
        </is>
      </c>
      <c r="G68" s="10" t="n">
        <v>26.3</v>
      </c>
      <c r="H68" s="10">
        <f>E68*G68</f>
        <v/>
      </c>
      <c r="I68" s="10" t="n">
        <v>4266.82</v>
      </c>
      <c r="J68" s="10">
        <f>E68*I68</f>
        <v/>
      </c>
    </row>
    <row r="69">
      <c r="A69" s="9" t="inlineStr">
        <is>
          <t>D</t>
        </is>
      </c>
      <c r="B69" s="9" t="inlineStr">
        <is>
          <t>BS MOTOR GTS2406321-C (MSC AMELIA)</t>
        </is>
      </c>
      <c r="C69" s="9" t="n">
        <v>3</v>
      </c>
      <c r="D69" s="9" t="inlineStr">
        <is>
          <t>PLATEAU EMB NV</t>
        </is>
      </c>
      <c r="E69" s="9" t="n">
        <v>150</v>
      </c>
      <c r="F69" s="9" t="inlineStr">
        <is>
          <t>USD</t>
        </is>
      </c>
      <c r="G69" s="10" t="n">
        <v>37.3</v>
      </c>
      <c r="H69" s="10">
        <f>E69*G69</f>
        <v/>
      </c>
      <c r="I69" s="10" t="n">
        <v>6051.42</v>
      </c>
      <c r="J69" s="10">
        <f>E69*I69</f>
        <v/>
      </c>
    </row>
    <row r="70">
      <c r="A70" s="9" t="inlineStr">
        <is>
          <t>D</t>
        </is>
      </c>
      <c r="B70" s="9" t="inlineStr">
        <is>
          <t>BS MOTOR GTS2406321-C (MSC AMELIA)</t>
        </is>
      </c>
      <c r="C70" s="9" t="n">
        <v>4</v>
      </c>
      <c r="D70" s="9" t="inlineStr">
        <is>
          <t>PLATEAU ANC</t>
        </is>
      </c>
      <c r="E70" s="9" t="n">
        <v>150</v>
      </c>
      <c r="F70" s="9" t="inlineStr">
        <is>
          <t>USD</t>
        </is>
      </c>
      <c r="G70" s="10" t="n">
        <v>37.3</v>
      </c>
      <c r="H70" s="10">
        <f>E70*G70</f>
        <v/>
      </c>
      <c r="I70" s="10" t="n">
        <v>6051.42</v>
      </c>
      <c r="J70" s="10">
        <f>E70*I70</f>
        <v/>
      </c>
    </row>
    <row r="71">
      <c r="A71" s="9" t="inlineStr">
        <is>
          <t>D</t>
        </is>
      </c>
      <c r="B71" s="9" t="inlineStr">
        <is>
          <t>BS MOTOR GTS2406321-C (MSC AMELIA)</t>
        </is>
      </c>
      <c r="C71" s="9" t="n">
        <v>5</v>
      </c>
      <c r="D71" s="9" t="inlineStr">
        <is>
          <t>DISQUE EMB ANC</t>
        </is>
      </c>
      <c r="E71" s="9" t="n">
        <v>200</v>
      </c>
      <c r="F71" s="9" t="inlineStr">
        <is>
          <t>USD</t>
        </is>
      </c>
      <c r="G71" s="10" t="n">
        <v>14.8</v>
      </c>
      <c r="H71" s="10">
        <f>E71*G71</f>
        <v/>
      </c>
      <c r="I71" s="10" t="n">
        <v>2401.1</v>
      </c>
      <c r="J71" s="10">
        <f>E71*I71</f>
        <v/>
      </c>
    </row>
    <row r="72">
      <c r="A72" s="9" t="inlineStr">
        <is>
          <t>D</t>
        </is>
      </c>
      <c r="B72" s="9" t="inlineStr">
        <is>
          <t>BS MOTOR GTS2406321-C (MSC AMELIA)</t>
        </is>
      </c>
      <c r="C72" s="9" t="n">
        <v>6</v>
      </c>
      <c r="D72" s="9" t="inlineStr">
        <is>
          <t>DISQUE EMB ANC</t>
        </is>
      </c>
      <c r="E72" s="9" t="n">
        <v>200</v>
      </c>
      <c r="F72" s="9" t="inlineStr">
        <is>
          <t>USD</t>
        </is>
      </c>
      <c r="G72" s="10" t="n">
        <v>18.5</v>
      </c>
      <c r="H72" s="10">
        <f>E72*G72</f>
        <v/>
      </c>
      <c r="I72" s="10" t="n">
        <v>3001.38</v>
      </c>
      <c r="J72" s="10">
        <f>E72*I72</f>
        <v/>
      </c>
    </row>
    <row r="73">
      <c r="A73" s="9" t="inlineStr">
        <is>
          <t>D</t>
        </is>
      </c>
      <c r="B73" s="9" t="inlineStr">
        <is>
          <t>BS MOTOR GTS2406321-C (MSC AMELIA)</t>
        </is>
      </c>
      <c r="C73" s="9" t="n">
        <v>7</v>
      </c>
      <c r="D73" s="9" t="inlineStr">
        <is>
          <t>COMMODO NV</t>
        </is>
      </c>
      <c r="E73" s="9" t="n">
        <v>40</v>
      </c>
      <c r="F73" s="9" t="inlineStr">
        <is>
          <t>USD</t>
        </is>
      </c>
      <c r="G73" s="10" t="n">
        <v>24.5</v>
      </c>
      <c r="H73" s="10">
        <f>E73*G73</f>
        <v/>
      </c>
      <c r="I73" s="10" t="n">
        <v>3974.8</v>
      </c>
      <c r="J73" s="10">
        <f>E73*I73</f>
        <v/>
      </c>
    </row>
    <row r="74">
      <c r="A74" s="9" t="inlineStr">
        <is>
          <t>D</t>
        </is>
      </c>
      <c r="B74" s="9" t="inlineStr">
        <is>
          <t>BS MOTOR GTS2406321-C (MSC AMELIA)</t>
        </is>
      </c>
      <c r="C74" s="9" t="n">
        <v>8</v>
      </c>
      <c r="D74" s="9" t="inlineStr">
        <is>
          <t>COMMODO LUMIERE ANC</t>
        </is>
      </c>
      <c r="E74" s="9" t="n">
        <v>600</v>
      </c>
      <c r="F74" s="9" t="inlineStr">
        <is>
          <t>USD</t>
        </is>
      </c>
      <c r="G74" s="10" t="n">
        <v>8.199999999999999</v>
      </c>
      <c r="H74" s="10">
        <f>E74*G74</f>
        <v/>
      </c>
      <c r="I74" s="10" t="n">
        <v>1330.34</v>
      </c>
      <c r="J74" s="10">
        <f>E74*I74</f>
        <v/>
      </c>
    </row>
    <row r="75">
      <c r="A75" s="9" t="inlineStr">
        <is>
          <t>D</t>
        </is>
      </c>
      <c r="B75" s="9" t="inlineStr">
        <is>
          <t>BS MOTOR GTS2406321-C (MSC AMELIA)</t>
        </is>
      </c>
      <c r="C75" s="9" t="n">
        <v>9</v>
      </c>
      <c r="D75" s="9" t="inlineStr">
        <is>
          <t>CYLINDRE DE ROUE AR NV</t>
        </is>
      </c>
      <c r="E75" s="9" t="n">
        <v>300</v>
      </c>
      <c r="F75" s="9" t="inlineStr">
        <is>
          <t>USD</t>
        </is>
      </c>
      <c r="G75" s="10" t="n">
        <v>10.1</v>
      </c>
      <c r="H75" s="10">
        <f>E75*G75</f>
        <v/>
      </c>
      <c r="I75" s="10" t="n">
        <v>1638.59</v>
      </c>
      <c r="J75" s="10">
        <f>E75*I75</f>
        <v/>
      </c>
    </row>
    <row r="76">
      <c r="A76" s="9" t="inlineStr">
        <is>
          <t>D</t>
        </is>
      </c>
      <c r="B76" s="9" t="inlineStr">
        <is>
          <t>BS MOTOR GTS2406321-C (MSC AMELIA)</t>
        </is>
      </c>
      <c r="C76" s="9" t="n">
        <v>10</v>
      </c>
      <c r="D76" s="9" t="inlineStr">
        <is>
          <t>POMPE EMB INF</t>
        </is>
      </c>
      <c r="E76" s="9" t="n">
        <v>300</v>
      </c>
      <c r="F76" s="9" t="inlineStr">
        <is>
          <t>USD</t>
        </is>
      </c>
      <c r="G76" s="10" t="n">
        <v>6.1</v>
      </c>
      <c r="H76" s="10">
        <f>E76*G76</f>
        <v/>
      </c>
      <c r="I76" s="10" t="n">
        <v>989.64</v>
      </c>
      <c r="J76" s="10">
        <f>E76*I76</f>
        <v/>
      </c>
    </row>
    <row r="77">
      <c r="A77" s="9" t="inlineStr">
        <is>
          <t>D</t>
        </is>
      </c>
      <c r="B77" s="9" t="inlineStr">
        <is>
          <t>BS MOTOR GTS2406321-C (MSC AMELIA)</t>
        </is>
      </c>
      <c r="C77" s="9" t="n">
        <v>11</v>
      </c>
      <c r="D77" s="9" t="inlineStr">
        <is>
          <t>REFROIDISSEUR HUILE PRM</t>
        </is>
      </c>
      <c r="E77" s="9" t="n">
        <v>50</v>
      </c>
      <c r="F77" s="9" t="inlineStr">
        <is>
          <t>USD</t>
        </is>
      </c>
      <c r="G77" s="10" t="n">
        <v>89.5</v>
      </c>
      <c r="H77" s="10">
        <f>E77*G77</f>
        <v/>
      </c>
      <c r="I77" s="10" t="n">
        <v>14520.17</v>
      </c>
      <c r="J77" s="10">
        <f>E77*I77</f>
        <v/>
      </c>
    </row>
    <row r="78">
      <c r="A78" s="9" t="inlineStr">
        <is>
          <t>D</t>
        </is>
      </c>
      <c r="B78" s="9" t="inlineStr">
        <is>
          <t>BS MOTOR GTS2406321-C (MSC AMELIA)</t>
        </is>
      </c>
      <c r="C78" s="9" t="n">
        <v>12</v>
      </c>
      <c r="D78" s="9" t="inlineStr">
        <is>
          <t>REFROIDISSEUR PRM</t>
        </is>
      </c>
      <c r="E78" s="9" t="n">
        <v>50</v>
      </c>
      <c r="F78" s="9" t="inlineStr">
        <is>
          <t>USD</t>
        </is>
      </c>
      <c r="G78" s="10" t="n">
        <v>96.5</v>
      </c>
      <c r="H78" s="10">
        <f>E78*G78</f>
        <v/>
      </c>
      <c r="I78" s="10" t="n">
        <v>15655.83</v>
      </c>
      <c r="J78" s="10">
        <f>E78*I78</f>
        <v/>
      </c>
    </row>
    <row r="79">
      <c r="A79" s="9" t="inlineStr">
        <is>
          <t>D</t>
        </is>
      </c>
      <c r="B79" s="9" t="inlineStr">
        <is>
          <t>BS MOTOR GTS2406321-C (MSC AMELIA)</t>
        </is>
      </c>
      <c r="C79" s="9" t="n">
        <v>13</v>
      </c>
      <c r="D79" s="9" t="inlineStr">
        <is>
          <t>POMPE A HUILE</t>
        </is>
      </c>
      <c r="E79" s="9" t="n">
        <v>100</v>
      </c>
      <c r="F79" s="9" t="inlineStr">
        <is>
          <t>USD</t>
        </is>
      </c>
      <c r="G79" s="10" t="n">
        <v>22.45</v>
      </c>
      <c r="H79" s="10">
        <f>E79*G79</f>
        <v/>
      </c>
      <c r="I79" s="10" t="n">
        <v>3642.21</v>
      </c>
      <c r="J79" s="10">
        <f>E79*I79</f>
        <v/>
      </c>
    </row>
    <row r="80">
      <c r="A80" s="9" t="inlineStr">
        <is>
          <t>D</t>
        </is>
      </c>
      <c r="B80" s="9" t="inlineStr">
        <is>
          <t>BS MOTOR GTS2406321-C (MSC AMELIA)</t>
        </is>
      </c>
      <c r="C80" s="9" t="n">
        <v>14</v>
      </c>
      <c r="D80" s="9" t="inlineStr">
        <is>
          <t>POMPE DIRECTION</t>
        </is>
      </c>
      <c r="E80" s="9" t="n">
        <v>30</v>
      </c>
      <c r="F80" s="9" t="inlineStr">
        <is>
          <t>USD</t>
        </is>
      </c>
      <c r="G80" s="10" t="n">
        <v>65</v>
      </c>
      <c r="H80" s="10">
        <f>E80*G80</f>
        <v/>
      </c>
      <c r="I80" s="10" t="n">
        <v>10545.37</v>
      </c>
      <c r="J80" s="10">
        <f>E80*I80</f>
        <v/>
      </c>
    </row>
    <row r="81">
      <c r="A81" s="9" t="inlineStr">
        <is>
          <t>D</t>
        </is>
      </c>
      <c r="B81" s="9" t="inlineStr">
        <is>
          <t>BS MOTOR GTS2406321-C (MSC AMELIA)</t>
        </is>
      </c>
      <c r="C81" s="9" t="n">
        <v>15</v>
      </c>
      <c r="D81" s="9" t="inlineStr">
        <is>
          <t>ROULEMENT</t>
        </is>
      </c>
      <c r="E81" s="9" t="n">
        <v>504</v>
      </c>
      <c r="F81" s="9" t="inlineStr">
        <is>
          <t>USD</t>
        </is>
      </c>
      <c r="G81" s="10" t="n">
        <v>9.800000000000001</v>
      </c>
      <c r="H81" s="10">
        <f>E81*G81</f>
        <v/>
      </c>
      <c r="I81" s="10" t="n">
        <v>1589.92</v>
      </c>
      <c r="J81" s="10">
        <f>E81*I81</f>
        <v/>
      </c>
    </row>
    <row r="83">
      <c r="D83" t="inlineStr">
        <is>
          <t>Méthode : coût unitaire = PU devise × (valeur en douane / montant CFR facture) × (CFR / FOB, fret réparti au prorata) × coefficient de revient du dossier.</t>
        </is>
      </c>
    </row>
  </sheetData>
  <autoFilter ref="A1:J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70" customWidth="1" min="1" max="1"/>
    <col width="18" customWidth="1" min="2" max="2"/>
    <col width="22" customWidth="1" min="3" max="3"/>
    <col width="12" customWidth="1" min="4" max="4"/>
    <col width="80" customWidth="1" min="5" max="5"/>
  </cols>
  <sheetData>
    <row r="1">
      <c r="A1" s="2" t="inlineStr">
        <is>
          <t>Contrôle</t>
        </is>
      </c>
      <c r="B1" s="2" t="inlineStr">
        <is>
          <t>Montant pièces</t>
        </is>
      </c>
      <c r="C1" s="2" t="inlineStr">
        <is>
          <t>Montant banque / déclaration</t>
        </is>
      </c>
      <c r="D1" s="2" t="inlineStr">
        <is>
          <t>Écart</t>
        </is>
      </c>
      <c r="E1" s="2" t="inlineStr">
        <is>
          <t>Conclusion</t>
        </is>
      </c>
    </row>
    <row r="2">
      <c r="A2" s="6" t="inlineStr">
        <is>
          <t>Quittance D10 6727I (droits + TVA + PRCT) + TEL = chèque de banque 4288232</t>
        </is>
      </c>
      <c r="B2" s="12" t="n">
        <v>3960785</v>
      </c>
      <c r="C2" s="12" t="n">
        <v>3960785</v>
      </c>
      <c r="D2" s="12">
        <f>C2-B2</f>
        <v/>
      </c>
      <c r="E2" s="6" t="inlineStr">
        <is>
          <t>Concordant</t>
        </is>
      </c>
    </row>
    <row r="3">
      <c r="A3" s="6" t="inlineStr">
        <is>
          <t>Quittance D10 13883I + TEL = chèque de banque 4288440</t>
        </is>
      </c>
      <c r="B3" s="12" t="n">
        <v>5546364</v>
      </c>
      <c r="C3" s="12" t="n">
        <v>5546364</v>
      </c>
      <c r="D3" s="12">
        <f>C3-B3</f>
        <v/>
      </c>
      <c r="E3" s="6" t="inlineStr">
        <is>
          <t>Concordant</t>
        </is>
      </c>
    </row>
    <row r="4">
      <c r="A4" s="6" t="inlineStr">
        <is>
          <t>Quittance D10 15629I + TEL = chèque de banque 4288475</t>
        </is>
      </c>
      <c r="B4" s="12" t="n">
        <v>2851027</v>
      </c>
      <c r="C4" s="12" t="n">
        <v>2851027</v>
      </c>
      <c r="D4" s="12">
        <f>C4-B4</f>
        <v/>
      </c>
      <c r="E4" s="6" t="inlineStr">
        <is>
          <t>Concordant</t>
        </is>
      </c>
    </row>
    <row r="5">
      <c r="A5" s="6" t="inlineStr">
        <is>
          <t>TVA douane D10 6727I = TVA déductible G50 02/2026</t>
        </is>
      </c>
      <c r="B5" s="12" t="n">
        <v>2199941</v>
      </c>
      <c r="C5" s="12" t="n">
        <v>2199941</v>
      </c>
      <c r="D5" s="12">
        <f>C5-B5</f>
        <v/>
      </c>
      <c r="E5" s="6" t="inlineStr">
        <is>
          <t>Concordant</t>
        </is>
      </c>
    </row>
    <row r="6">
      <c r="A6" s="6" t="inlineStr">
        <is>
          <t>TVA douane D10 13883I = TVA déductible G50 04/2026</t>
        </is>
      </c>
      <c r="B6" s="12" t="n">
        <v>3919465</v>
      </c>
      <c r="C6" s="12" t="n">
        <v>3919465</v>
      </c>
      <c r="D6" s="12">
        <f>C6-B6</f>
        <v/>
      </c>
      <c r="E6" s="6" t="inlineStr">
        <is>
          <t>Concordant</t>
        </is>
      </c>
    </row>
    <row r="7">
      <c r="A7" s="6" t="inlineStr">
        <is>
          <t>Transit 251BIS = chèque CPA 2125740</t>
        </is>
      </c>
      <c r="B7" s="12" t="n">
        <v>100160.76</v>
      </c>
      <c r="C7" s="12" t="n">
        <v>100160.76</v>
      </c>
      <c r="D7" s="12">
        <f>C7-B7</f>
        <v/>
      </c>
      <c r="E7" s="6" t="inlineStr">
        <is>
          <t>Concordant</t>
        </is>
      </c>
    </row>
    <row r="8">
      <c r="A8" s="6" t="inlineStr">
        <is>
          <t>Débours BMT/EPB Hansa Rotenburg + prestation 52 000 = chèque CPA 2125741</t>
        </is>
      </c>
      <c r="B8" s="12" t="n">
        <v>110029.76</v>
      </c>
      <c r="C8" s="12" t="n">
        <v>110029.76</v>
      </c>
      <c r="D8" s="12">
        <f>C8-B8</f>
        <v/>
      </c>
      <c r="E8" s="6" t="inlineStr">
        <is>
          <t>Concordant : facture du transitaire à récupérer</t>
        </is>
      </c>
    </row>
    <row r="9">
      <c r="A9" s="6" t="inlineStr">
        <is>
          <t>Transit 402BIS = chèque SG 7106655</t>
        </is>
      </c>
      <c r="B9" s="12" t="n">
        <v>182401.26</v>
      </c>
      <c r="C9" s="12" t="n">
        <v>182401.26</v>
      </c>
      <c r="D9" s="12">
        <f>C9-B9</f>
        <v/>
      </c>
      <c r="E9" s="6" t="inlineStr">
        <is>
          <t>Concordant</t>
        </is>
      </c>
    </row>
    <row r="10">
      <c r="A10" s="6" t="inlineStr">
        <is>
          <t>Transit 441BIS = chèque SG 7106656</t>
        </is>
      </c>
      <c r="B10" s="12" t="n">
        <v>116693.76</v>
      </c>
      <c r="C10" s="12" t="n">
        <v>116693.76</v>
      </c>
      <c r="D10" s="12">
        <f>C10-B10</f>
        <v/>
      </c>
      <c r="E10" s="6" t="inlineStr">
        <is>
          <t>Concordant</t>
        </is>
      </c>
    </row>
    <row r="11">
      <c r="A11" s="6" t="inlineStr">
        <is>
          <t>MSC BJAI2601916 = VRT ORD SARL MSCA du 09/03/2026</t>
        </is>
      </c>
      <c r="B11" s="12" t="n">
        <v>41322.52</v>
      </c>
      <c r="C11" s="12" t="n">
        <v>41322.52</v>
      </c>
      <c r="D11" s="12">
        <f>C11-B11</f>
        <v/>
      </c>
      <c r="E11" s="6" t="inlineStr">
        <is>
          <t>Concordant</t>
        </is>
      </c>
    </row>
    <row r="12">
      <c r="A12" s="6" t="inlineStr">
        <is>
          <t>MSC BJAI2604127 = VRT ORD SARL MSCA du 25/05/2026</t>
        </is>
      </c>
      <c r="B12" s="12" t="n">
        <v>41394.76</v>
      </c>
      <c r="C12" s="12" t="n">
        <v>41394.76</v>
      </c>
      <c r="D12" s="12">
        <f>C12-B12</f>
        <v/>
      </c>
      <c r="E12" s="6" t="inlineStr">
        <is>
          <t>Concordant</t>
        </is>
      </c>
    </row>
    <row r="13">
      <c r="A13" s="6" t="inlineStr">
        <is>
          <t>CMA DZIM1984785 = chèque CPA 2125744 (était au 47000, désormais CMA CGM)</t>
        </is>
      </c>
      <c r="B13" s="12" t="n">
        <v>41855.09</v>
      </c>
      <c r="C13" s="12" t="n">
        <v>41855.09</v>
      </c>
      <c r="D13" s="12">
        <f>C13-B13</f>
        <v/>
      </c>
      <c r="E13" s="6" t="inlineStr">
        <is>
          <t>Concordant</t>
        </is>
      </c>
    </row>
    <row r="14">
      <c r="A14" s="6" t="inlineStr">
        <is>
          <t>CMA DZIM1956872 surestaries = chèque CPA 2125737</t>
        </is>
      </c>
      <c r="B14" s="12" t="n">
        <v>6751.21</v>
      </c>
      <c r="C14" s="12" t="n">
        <v>6751.21</v>
      </c>
      <c r="D14" s="12">
        <f>C14-B14</f>
        <v/>
      </c>
      <c r="E14" s="6" t="inlineStr">
        <is>
          <t>Concordant</t>
        </is>
      </c>
    </row>
    <row r="15">
      <c r="A15" s="6" t="inlineStr">
        <is>
          <t>Chèque CPA 2125733 CMA CGM (11/02/2026) : facture absente</t>
        </is>
      </c>
      <c r="B15" s="12" t="n">
        <v>0</v>
      </c>
      <c r="C15" s="12" t="n">
        <v>41762.91</v>
      </c>
      <c r="D15" s="12">
        <f>C15-B15</f>
        <v/>
      </c>
      <c r="E15" s="6" t="inlineStr">
        <is>
          <t>Facture CMA à fournir (solde débiteur FL004)</t>
        </is>
      </c>
    </row>
    <row r="16">
      <c r="A16" s="6" t="inlineStr">
        <is>
          <t>Chèques de banque douane 4288181 (18/02) et 4288306 (05/04) : quittances absentes</t>
        </is>
      </c>
      <c r="B16" s="12" t="n">
        <v>0</v>
      </c>
      <c r="C16" s="12" t="n">
        <v>5574928.3</v>
      </c>
      <c r="D16" s="12">
        <f>C16-B16</f>
        <v/>
      </c>
      <c r="E16" s="6" t="inlineStr">
        <is>
          <t>D10, quittances et factures fournisseurs de 2 autres dossiers à fournir (solde débiteur FL009)</t>
        </is>
      </c>
    </row>
    <row r="17">
      <c r="A17" s="6" t="inlineStr">
        <is>
          <t>Règlement MS Motorservice : PTI67673 provision 10/05 + règlement 80 % 20/05</t>
        </is>
      </c>
      <c r="B17" s="12" t="n">
        <v>19502834</v>
      </c>
      <c r="C17" s="12" t="n">
        <v>19558175.01</v>
      </c>
      <c r="D17" s="12">
        <f>C17-B17</f>
        <v/>
      </c>
      <c r="E17" s="6" t="inlineStr">
        <is>
          <t>Différence = perte de change à constater (666) lors du lettrage 40102 / 54200</t>
        </is>
      </c>
    </row>
    <row r="19">
      <c r="A19" t="inlineStr">
        <is>
          <t>Les règlements bancaires aux fournisseurs étrangers sont au 40102 sans code tiers : lettrer avec FE001 (BS MOTOR) et FE022 (MS MOTORSERVICE) et solder les provisions 54200 du même dossier.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2026-10-05T17:22:29Z</dcterms:created>
  <dcterms:modified xsi:type="dcterms:W3CDTF">2026-10-05T17:22:29Z</dcterms:modified>
</cp:coreProperties>
</file>