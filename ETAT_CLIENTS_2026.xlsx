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AT CLIENTS" sheetId="1" state="visible" r:id="rId1"/>
    <sheet name="PAR MOIS" sheetId="2" state="visible" r:id="rId2"/>
    <sheet name="SITUATION COMPTES 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1"/>
    </font>
    <font>
      <sz val="9"/>
    </font>
    <font>
      <b val="1"/>
      <sz val="14"/>
    </font>
    <font>
      <i val="1"/>
      <sz val="9"/>
    </font>
    <font>
      <b val="1"/>
      <color rgb="00FFFFFF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9" fontId="0" fillId="0" borderId="1" pivotButton="0" quotePrefix="0" xfId="0"/>
    <xf numFmtId="4" fontId="0" fillId="0" borderId="1" pivotButton="0" quotePrefix="0" xfId="0"/>
    <xf numFmtId="49" fontId="0" fillId="3" borderId="1" pivotButton="0" quotePrefix="0" xfId="0"/>
    <xf numFmtId="0" fontId="6" fillId="0" borderId="0" pivotButton="0" quotePrefix="0" xfId="0"/>
    <xf numFmtId="4" fontId="6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2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34" customWidth="1" min="3" max="3"/>
    <col width="18" customWidth="1" min="4" max="4"/>
    <col width="18" customWidth="1" min="5" max="5"/>
    <col width="14" customWidth="1" min="6" max="6"/>
    <col width="30" customWidth="1" min="7" max="7"/>
    <col width="9" customWidth="1" min="8" max="8"/>
    <col width="16" customWidth="1" min="9" max="9"/>
    <col width="14" customWidth="1" min="10" max="10"/>
    <col width="16" customWidth="1" min="11" max="11"/>
    <col width="15" customWidth="1" min="12" max="12"/>
    <col width="16" customWidth="1" min="13" max="13"/>
  </cols>
  <sheetData>
    <row r="1">
      <c r="A1" s="1" t="inlineStr">
        <is>
          <t>SARL DPR COMPAGNY</t>
        </is>
      </c>
    </row>
    <row r="2">
      <c r="A2" s="2" t="inlineStr">
        <is>
          <t>Village Tizi, commune de Semaoun — Béjaïa</t>
        </is>
      </c>
    </row>
    <row r="3">
      <c r="A3" s="2" t="inlineStr">
        <is>
          <t>NIF 000306018423274 — RC 06/01-0184232B03 — Art. 06120024511</t>
        </is>
      </c>
    </row>
    <row r="5">
      <c r="A5" s="3" t="inlineStr">
        <is>
          <t>ÉTAT DES CLIENTS — EXERCICE 2026 (support magnétique)</t>
        </is>
      </c>
    </row>
    <row r="6">
      <c r="A6" s="4" t="inlineStr">
        <is>
          <t>Ventes facturées du 01/01/2026 au 04/10/2026 (gros siège + détail Fenaia), d'après les journaux de factures. Cellules jaunes : identifiant fiscal à compléter.</t>
        </is>
      </c>
    </row>
    <row r="8" ht="30" customHeight="1">
      <c r="A8" s="5" t="inlineStr">
        <is>
          <t>N°</t>
        </is>
      </c>
      <c r="B8" s="5" t="inlineStr">
        <is>
          <t>Code</t>
        </is>
      </c>
      <c r="C8" s="5" t="inlineStr">
        <is>
          <t>Raison sociale / Nom</t>
        </is>
      </c>
      <c r="D8" s="5" t="inlineStr">
        <is>
          <t>NIF</t>
        </is>
      </c>
      <c r="E8" s="5" t="inlineStr">
        <is>
          <t>N° RC</t>
        </is>
      </c>
      <c r="F8" s="5" t="inlineStr">
        <is>
          <t>Art. imposition</t>
        </is>
      </c>
      <c r="G8" s="5" t="inlineStr">
        <is>
          <t>Adresse</t>
        </is>
      </c>
      <c r="H8" s="5" t="inlineStr">
        <is>
          <t>Nb factures</t>
        </is>
      </c>
      <c r="I8" s="5" t="inlineStr">
        <is>
          <t>Montant HT taxable</t>
        </is>
      </c>
      <c r="J8" s="5" t="inlineStr">
        <is>
          <t>Montant HT exonéré</t>
        </is>
      </c>
      <c r="K8" s="5" t="inlineStr">
        <is>
          <t>Total HT</t>
        </is>
      </c>
      <c r="L8" s="5" t="inlineStr">
        <is>
          <t>TVA</t>
        </is>
      </c>
      <c r="M8" s="5" t="inlineStr">
        <is>
          <t>Total TTC</t>
        </is>
      </c>
    </row>
    <row r="9">
      <c r="A9" s="6" t="n">
        <v>1</v>
      </c>
      <c r="B9" s="7" t="inlineStr">
        <is>
          <t>C708</t>
        </is>
      </c>
      <c r="C9" s="6" t="inlineStr">
        <is>
          <t>SARL BEJAIA LOGISTIQUE</t>
        </is>
      </c>
      <c r="D9" s="7" t="inlineStr">
        <is>
          <t>000706018566374</t>
        </is>
      </c>
      <c r="E9" s="7" t="inlineStr">
        <is>
          <t>06/00-7B0185663</t>
        </is>
      </c>
      <c r="F9" s="7" t="inlineStr">
        <is>
          <t>06366064621</t>
        </is>
      </c>
      <c r="G9" s="6" t="inlineStr">
        <is>
          <t>IGHZER AMOKRANE IFRI CNE OUZELLAGUEN BEJAIA</t>
        </is>
      </c>
      <c r="H9" s="6" t="n">
        <v>26</v>
      </c>
      <c r="I9" s="8" t="n">
        <v>14314200</v>
      </c>
      <c r="J9" s="8" t="n">
        <v>0</v>
      </c>
      <c r="K9" s="8">
        <f>I9+J9</f>
        <v/>
      </c>
      <c r="L9" s="8" t="n">
        <v>2719698</v>
      </c>
      <c r="M9" s="8">
        <f>K9+L9</f>
        <v/>
      </c>
    </row>
    <row r="10">
      <c r="A10" s="6" t="n">
        <v>2</v>
      </c>
      <c r="B10" s="7" t="inlineStr">
        <is>
          <t>C004</t>
        </is>
      </c>
      <c r="C10" s="6" t="inlineStr">
        <is>
          <t>DJENNADI ABDELKRIM</t>
        </is>
      </c>
      <c r="D10" s="7" t="inlineStr">
        <is>
          <t>197506120022837</t>
        </is>
      </c>
      <c r="E10" s="7" t="inlineStr">
        <is>
          <t>00A0930178-00/31</t>
        </is>
      </c>
      <c r="F10" s="7" t="inlineStr">
        <is>
          <t>31038009011</t>
        </is>
      </c>
      <c r="G10" s="6" t="inlineStr">
        <is>
          <t>BIR EL DJIR ORAN</t>
        </is>
      </c>
      <c r="H10" s="6" t="n">
        <v>6</v>
      </c>
      <c r="I10" s="8" t="n">
        <v>12739948.24</v>
      </c>
      <c r="J10" s="8" t="n">
        <v>0</v>
      </c>
      <c r="K10" s="8">
        <f>I10+J10</f>
        <v/>
      </c>
      <c r="L10" s="8" t="n">
        <v>2420590.17</v>
      </c>
      <c r="M10" s="8">
        <f>K10+L10</f>
        <v/>
      </c>
    </row>
    <row r="11">
      <c r="A11" s="6" t="n">
        <v>3</v>
      </c>
      <c r="B11" s="7" t="inlineStr">
        <is>
          <t>C959</t>
        </is>
      </c>
      <c r="C11" s="6" t="inlineStr">
        <is>
          <t>EURL TERRENO TRANS</t>
        </is>
      </c>
      <c r="D11" s="7" t="inlineStr">
        <is>
          <t>000806018612572</t>
        </is>
      </c>
      <c r="E11" s="7" t="inlineStr">
        <is>
          <t>08 B 0186125-00/06</t>
        </is>
      </c>
      <c r="F11" s="7" t="inlineStr">
        <is>
          <t>06252479112</t>
        </is>
      </c>
      <c r="G11" s="6" t="inlineStr">
        <is>
          <t>RN26 TAHARACHT CNE AKBOU W BEJAIA</t>
        </is>
      </c>
      <c r="H11" s="6" t="n">
        <v>16</v>
      </c>
      <c r="I11" s="8" t="n">
        <v>10223100</v>
      </c>
      <c r="J11" s="8" t="n">
        <v>0</v>
      </c>
      <c r="K11" s="8">
        <f>I11+J11</f>
        <v/>
      </c>
      <c r="L11" s="8" t="n">
        <v>1942389</v>
      </c>
      <c r="M11" s="8">
        <f>K11+L11</f>
        <v/>
      </c>
    </row>
    <row r="12">
      <c r="A12" s="6" t="n">
        <v>4</v>
      </c>
      <c r="B12" s="7" t="inlineStr">
        <is>
          <t>C671</t>
        </is>
      </c>
      <c r="C12" s="6" t="inlineStr">
        <is>
          <t>SPA TMF LOGISTICS</t>
        </is>
      </c>
      <c r="D12" s="7" t="inlineStr">
        <is>
          <t>000406018472857</t>
        </is>
      </c>
      <c r="E12" s="7" t="inlineStr">
        <is>
          <t>04B0184728</t>
        </is>
      </c>
      <c r="F12" s="7" t="inlineStr">
        <is>
          <t>06252486133</t>
        </is>
      </c>
      <c r="G12" s="6" t="inlineStr">
        <is>
          <t>ZAC TAHARACHT AKBOU</t>
        </is>
      </c>
      <c r="H12" s="6" t="n">
        <v>9</v>
      </c>
      <c r="I12" s="8" t="n">
        <v>7608600</v>
      </c>
      <c r="J12" s="8" t="n">
        <v>0</v>
      </c>
      <c r="K12" s="8">
        <f>I12+J12</f>
        <v/>
      </c>
      <c r="L12" s="8" t="n">
        <v>1445634</v>
      </c>
      <c r="M12" s="8">
        <f>K12+L12</f>
        <v/>
      </c>
    </row>
    <row r="13">
      <c r="A13" s="6" t="n">
        <v>5</v>
      </c>
      <c r="B13" s="7" t="inlineStr">
        <is>
          <t>C556</t>
        </is>
      </c>
      <c r="C13" s="6" t="inlineStr">
        <is>
          <t>LAOUEDJ MOHAMMED SALAH</t>
        </is>
      </c>
      <c r="D13" s="7" t="inlineStr">
        <is>
          <t>198739170001530</t>
        </is>
      </c>
      <c r="E13" s="7" t="inlineStr">
        <is>
          <t>01/00-4427635A13</t>
        </is>
      </c>
      <c r="F13" s="7" t="inlineStr">
        <is>
          <t>01011120060</t>
        </is>
      </c>
      <c r="G13" s="6" t="inlineStr">
        <is>
          <t>CITE OUEST N°02 ADRAR</t>
        </is>
      </c>
      <c r="H13" s="6" t="n">
        <v>7</v>
      </c>
      <c r="I13" s="8" t="n">
        <v>5940541.02</v>
      </c>
      <c r="J13" s="8" t="n">
        <v>0</v>
      </c>
      <c r="K13" s="8">
        <f>I13+J13</f>
        <v/>
      </c>
      <c r="L13" s="8" t="n">
        <v>1128702.79</v>
      </c>
      <c r="M13" s="8">
        <f>K13+L13</f>
        <v/>
      </c>
    </row>
    <row r="14">
      <c r="A14" s="6" t="n">
        <v>6</v>
      </c>
      <c r="B14" s="7" t="inlineStr">
        <is>
          <t>C740</t>
        </is>
      </c>
      <c r="C14" s="6" t="inlineStr">
        <is>
          <t>EURL B.S. COMMERCE</t>
        </is>
      </c>
      <c r="D14" s="7" t="inlineStr">
        <is>
          <t>000308019001852</t>
        </is>
      </c>
      <c r="E14" s="7" t="inlineStr">
        <is>
          <t>03B0942693</t>
        </is>
      </c>
      <c r="F14" s="7" t="inlineStr">
        <is>
          <t>08017201165</t>
        </is>
      </c>
      <c r="G14" s="6" t="inlineStr">
        <is>
          <t>HAI EL NOR N°321 W BECHAR</t>
        </is>
      </c>
      <c r="H14" s="6" t="n">
        <v>5</v>
      </c>
      <c r="I14" s="8" t="n">
        <v>4826688.66</v>
      </c>
      <c r="J14" s="8" t="n">
        <v>0</v>
      </c>
      <c r="K14" s="8">
        <f>I14+J14</f>
        <v/>
      </c>
      <c r="L14" s="8" t="n">
        <v>917070.84</v>
      </c>
      <c r="M14" s="8">
        <f>K14+L14</f>
        <v/>
      </c>
    </row>
    <row r="15">
      <c r="A15" s="6" t="n">
        <v>7</v>
      </c>
      <c r="B15" s="7" t="inlineStr">
        <is>
          <t>C668</t>
        </is>
      </c>
      <c r="C15" s="6" t="inlineStr">
        <is>
          <t>SARL SERVICES POIDS LOURDS</t>
        </is>
      </c>
      <c r="D15" s="7" t="inlineStr">
        <is>
          <t>001823019005646</t>
        </is>
      </c>
      <c r="E15" s="7" t="inlineStr">
        <is>
          <t>18B0366781 00/23</t>
        </is>
      </c>
      <c r="F15" s="7" t="inlineStr">
        <is>
          <t>23018576429</t>
        </is>
      </c>
      <c r="G15" s="6" t="inlineStr">
        <is>
          <t>OUED EDDEHB KARDOSO BT A N°17 ANNABA</t>
        </is>
      </c>
      <c r="H15" s="6" t="n">
        <v>3</v>
      </c>
      <c r="I15" s="8" t="n">
        <v>4497100.85</v>
      </c>
      <c r="J15" s="8" t="n">
        <v>0</v>
      </c>
      <c r="K15" s="8">
        <f>I15+J15</f>
        <v/>
      </c>
      <c r="L15" s="8" t="n">
        <v>854449.16</v>
      </c>
      <c r="M15" s="8">
        <f>K15+L15</f>
        <v/>
      </c>
    </row>
    <row r="16">
      <c r="A16" s="6" t="n">
        <v>8</v>
      </c>
      <c r="B16" s="7" t="inlineStr">
        <is>
          <t>C916</t>
        </is>
      </c>
      <c r="C16" s="6" t="inlineStr">
        <is>
          <t>ZIANI LAKHDAR</t>
        </is>
      </c>
      <c r="D16" s="7" t="inlineStr">
        <is>
          <t>191063901660102</t>
        </is>
      </c>
      <c r="E16" s="7" t="inlineStr">
        <is>
          <t>235818244-00/06</t>
        </is>
      </c>
      <c r="F16" s="7" t="inlineStr">
        <is>
          <t>06400285539</t>
        </is>
      </c>
      <c r="G16" s="6" t="inlineStr">
        <is>
          <t>LOTS AKAL ABERKANE ELKSEUR BEJAIA</t>
        </is>
      </c>
      <c r="H16" s="6" t="n">
        <v>4</v>
      </c>
      <c r="I16" s="8" t="n">
        <v>3531092.44</v>
      </c>
      <c r="J16" s="8" t="n">
        <v>0</v>
      </c>
      <c r="K16" s="8">
        <f>I16+J16</f>
        <v/>
      </c>
      <c r="L16" s="8" t="n">
        <v>670907.5600000001</v>
      </c>
      <c r="M16" s="8">
        <f>K16+L16</f>
        <v/>
      </c>
    </row>
    <row r="17">
      <c r="A17" s="6" t="n">
        <v>9</v>
      </c>
      <c r="B17" s="7" t="inlineStr">
        <is>
          <t>C098</t>
        </is>
      </c>
      <c r="C17" s="6" t="inlineStr">
        <is>
          <t>HEMMAR ABDELHAMID</t>
        </is>
      </c>
      <c r="D17" s="7" t="inlineStr">
        <is>
          <t>197606170019336</t>
        </is>
      </c>
      <c r="E17" s="7" t="inlineStr">
        <is>
          <t>06A0560499</t>
        </is>
      </c>
      <c r="F17" s="7" t="inlineStr">
        <is>
          <t>31598211021</t>
        </is>
      </c>
      <c r="G17" s="6" t="inlineStr">
        <is>
          <t>10 CITE DJAMEL EDDINE ORAN</t>
        </is>
      </c>
      <c r="H17" s="6" t="n">
        <v>2</v>
      </c>
      <c r="I17" s="8" t="n">
        <v>3361344.54</v>
      </c>
      <c r="J17" s="8" t="n">
        <v>0</v>
      </c>
      <c r="K17" s="8">
        <f>I17+J17</f>
        <v/>
      </c>
      <c r="L17" s="8" t="n">
        <v>638655.46</v>
      </c>
      <c r="M17" s="8">
        <f>K17+L17</f>
        <v/>
      </c>
    </row>
    <row r="18">
      <c r="A18" s="6" t="n">
        <v>10</v>
      </c>
      <c r="B18" s="7" t="inlineStr">
        <is>
          <t>C1047</t>
        </is>
      </c>
      <c r="C18" s="6" t="inlineStr">
        <is>
          <t>SARL ATELIER SERVICES TRUCKS</t>
        </is>
      </c>
      <c r="D18" s="9" t="inlineStr"/>
      <c r="E18" s="9" t="inlineStr"/>
      <c r="F18" s="7" t="inlineStr"/>
      <c r="G18" s="6" t="inlineStr"/>
      <c r="H18" s="6" t="n">
        <v>1</v>
      </c>
      <c r="I18" s="8" t="n">
        <v>3128235.29</v>
      </c>
      <c r="J18" s="8" t="n">
        <v>0</v>
      </c>
      <c r="K18" s="8">
        <f>I18+J18</f>
        <v/>
      </c>
      <c r="L18" s="8" t="n">
        <v>594364.71</v>
      </c>
      <c r="M18" s="8">
        <f>K18+L18</f>
        <v/>
      </c>
    </row>
    <row r="19">
      <c r="A19" s="6" t="n">
        <v>11</v>
      </c>
      <c r="B19" s="7" t="inlineStr">
        <is>
          <t>C986</t>
        </is>
      </c>
      <c r="C19" s="6" t="inlineStr">
        <is>
          <t>SARL LAITERIE SOUMMAM</t>
        </is>
      </c>
      <c r="D19" s="7" t="inlineStr">
        <is>
          <t>099706018203932</t>
        </is>
      </c>
      <c r="E19" s="7" t="inlineStr">
        <is>
          <t>97B0182039-06/00</t>
        </is>
      </c>
      <c r="F19" s="7" t="inlineStr">
        <is>
          <t>06251722061</t>
        </is>
      </c>
      <c r="G19" s="6" t="inlineStr">
        <is>
          <t>ZAC TAHARACHT AKBOU W BEJAIA</t>
        </is>
      </c>
      <c r="H19" s="6" t="n">
        <v>9</v>
      </c>
      <c r="I19" s="8" t="n">
        <v>2640000</v>
      </c>
      <c r="J19" s="8" t="n">
        <v>0</v>
      </c>
      <c r="K19" s="8">
        <f>I19+J19</f>
        <v/>
      </c>
      <c r="L19" s="8" t="n">
        <v>501600</v>
      </c>
      <c r="M19" s="8">
        <f>K19+L19</f>
        <v/>
      </c>
    </row>
    <row r="20">
      <c r="A20" s="6" t="n">
        <v>12</v>
      </c>
      <c r="B20" s="7" t="inlineStr">
        <is>
          <t>C831</t>
        </is>
      </c>
      <c r="C20" s="6" t="inlineStr">
        <is>
          <t>DERDOURI FAROUK AFAK AUTO PARTS</t>
        </is>
      </c>
      <c r="D20" s="7" t="inlineStr">
        <is>
          <t>183300700207150</t>
        </is>
      </c>
      <c r="E20" s="7" t="inlineStr">
        <is>
          <t>30/00-0652778A19</t>
        </is>
      </c>
      <c r="F20" s="7" t="inlineStr">
        <is>
          <t>30075701658</t>
        </is>
      </c>
      <c r="G20" s="6" t="inlineStr">
        <is>
          <t>CITE LEBDOUAAT TEBESBEST OUARGLA</t>
        </is>
      </c>
      <c r="H20" s="6" t="n">
        <v>4</v>
      </c>
      <c r="I20" s="8" t="n">
        <v>2253193.35</v>
      </c>
      <c r="J20" s="8" t="n">
        <v>0</v>
      </c>
      <c r="K20" s="8">
        <f>I20+J20</f>
        <v/>
      </c>
      <c r="L20" s="8" t="n">
        <v>428106.74</v>
      </c>
      <c r="M20" s="8">
        <f>K20+L20</f>
        <v/>
      </c>
    </row>
    <row r="21">
      <c r="A21" s="6" t="n">
        <v>13</v>
      </c>
      <c r="B21" s="7" t="inlineStr">
        <is>
          <t>C1084</t>
        </is>
      </c>
      <c r="C21" s="6" t="inlineStr">
        <is>
          <t>SARL POIDS LOURDS SERVICE</t>
        </is>
      </c>
      <c r="D21" s="9" t="inlineStr"/>
      <c r="E21" s="9" t="inlineStr"/>
      <c r="F21" s="7" t="inlineStr"/>
      <c r="G21" s="6" t="inlineStr"/>
      <c r="H21" s="6" t="n">
        <v>4</v>
      </c>
      <c r="I21" s="8" t="n">
        <v>2111000</v>
      </c>
      <c r="J21" s="8" t="n">
        <v>0</v>
      </c>
      <c r="K21" s="8">
        <f>I21+J21</f>
        <v/>
      </c>
      <c r="L21" s="8" t="n">
        <v>401090</v>
      </c>
      <c r="M21" s="8">
        <f>K21+L21</f>
        <v/>
      </c>
    </row>
    <row r="22">
      <c r="A22" s="6" t="n">
        <v>14</v>
      </c>
      <c r="B22" s="7" t="inlineStr">
        <is>
          <t>C164</t>
        </is>
      </c>
      <c r="C22" s="6" t="inlineStr">
        <is>
          <t>DJENNADI REYAD</t>
        </is>
      </c>
      <c r="D22" s="7" t="inlineStr">
        <is>
          <t>197806436801237</t>
        </is>
      </c>
      <c r="E22" s="7" t="inlineStr">
        <is>
          <t>01 A 0931527</t>
        </is>
      </c>
      <c r="F22" s="7" t="inlineStr">
        <is>
          <t>06251703012</t>
        </is>
      </c>
      <c r="G22" s="6" t="inlineStr">
        <is>
          <t>N° 26 ARAFOU AKBOU BEJAIA</t>
        </is>
      </c>
      <c r="H22" s="6" t="n">
        <v>28</v>
      </c>
      <c r="I22" s="8" t="n">
        <v>2051588.97</v>
      </c>
      <c r="J22" s="8" t="n">
        <v>0</v>
      </c>
      <c r="K22" s="8">
        <f>I22+J22</f>
        <v/>
      </c>
      <c r="L22" s="8" t="n">
        <v>389801.9</v>
      </c>
      <c r="M22" s="8">
        <f>K22+L22</f>
        <v/>
      </c>
    </row>
    <row r="23">
      <c r="A23" s="6" t="n">
        <v>15</v>
      </c>
      <c r="B23" s="7" t="inlineStr">
        <is>
          <t>C1050</t>
        </is>
      </c>
      <c r="C23" s="6" t="inlineStr">
        <is>
          <t>EURL MEHTAR SERVICES</t>
        </is>
      </c>
      <c r="D23" s="7" t="inlineStr">
        <is>
          <t>002513026624258</t>
        </is>
      </c>
      <c r="E23" s="7" t="inlineStr">
        <is>
          <t>25B0266242-00/13</t>
        </is>
      </c>
      <c r="F23" s="7" t="inlineStr">
        <is>
          <t>1304852713</t>
        </is>
      </c>
      <c r="G23" s="6" t="inlineStr">
        <is>
          <t>ZI GP N°067 CLASSE 075 LOCAL N°01 REMCHI W TLEMCEN</t>
        </is>
      </c>
      <c r="H23" s="6" t="n">
        <v>7</v>
      </c>
      <c r="I23" s="8" t="n">
        <v>1890756.32</v>
      </c>
      <c r="J23" s="8" t="n">
        <v>0</v>
      </c>
      <c r="K23" s="8">
        <f>I23+J23</f>
        <v/>
      </c>
      <c r="L23" s="8" t="n">
        <v>359243.7</v>
      </c>
      <c r="M23" s="8">
        <f>K23+L23</f>
        <v/>
      </c>
    </row>
    <row r="24">
      <c r="A24" s="6" t="n">
        <v>16</v>
      </c>
      <c r="B24" s="7" t="inlineStr">
        <is>
          <t>C1076</t>
        </is>
      </c>
      <c r="C24" s="6" t="inlineStr">
        <is>
          <t>SARL ECI  BOUDIAB</t>
        </is>
      </c>
      <c r="D24" s="9" t="inlineStr"/>
      <c r="E24" s="9" t="inlineStr"/>
      <c r="F24" s="7" t="inlineStr"/>
      <c r="G24" s="6" t="inlineStr"/>
      <c r="H24" s="6" t="n">
        <v>7</v>
      </c>
      <c r="I24" s="8" t="n">
        <v>1446200</v>
      </c>
      <c r="J24" s="8" t="n">
        <v>0</v>
      </c>
      <c r="K24" s="8">
        <f>I24+J24</f>
        <v/>
      </c>
      <c r="L24" s="8" t="n">
        <v>274778</v>
      </c>
      <c r="M24" s="8">
        <f>K24+L24</f>
        <v/>
      </c>
    </row>
    <row r="25">
      <c r="A25" s="6" t="n">
        <v>17</v>
      </c>
      <c r="B25" s="7" t="inlineStr">
        <is>
          <t>C1026</t>
        </is>
      </c>
      <c r="C25" s="6" t="inlineStr">
        <is>
          <t>EURL LOGISTIQUE TRANSPORT EL SALEM</t>
        </is>
      </c>
      <c r="D25" s="7" t="inlineStr">
        <is>
          <t>002431112548907</t>
        </is>
      </c>
      <c r="E25" s="7" t="inlineStr">
        <is>
          <t>24B1125489-00/31</t>
        </is>
      </c>
      <c r="F25" s="7" t="inlineStr">
        <is>
          <t>31198518981</t>
        </is>
      </c>
      <c r="G25" s="6" t="inlineStr">
        <is>
          <t>RUE MUSTAPHA ALI KHODJA N°25 CNE HASSI BEN OKBA W ORAN</t>
        </is>
      </c>
      <c r="H25" s="6" t="n">
        <v>1</v>
      </c>
      <c r="I25" s="8" t="n">
        <v>1260504.2</v>
      </c>
      <c r="J25" s="8" t="n">
        <v>0</v>
      </c>
      <c r="K25" s="8">
        <f>I25+J25</f>
        <v/>
      </c>
      <c r="L25" s="8" t="n">
        <v>239495.8</v>
      </c>
      <c r="M25" s="8">
        <f>K25+L25</f>
        <v/>
      </c>
    </row>
    <row r="26">
      <c r="A26" s="6" t="n">
        <v>18</v>
      </c>
      <c r="B26" s="7" t="inlineStr">
        <is>
          <t>C612</t>
        </is>
      </c>
      <c r="C26" s="6" t="inlineStr">
        <is>
          <t>ZIANI AMIR</t>
        </is>
      </c>
      <c r="D26" s="7" t="inlineStr">
        <is>
          <t>198506070004638</t>
        </is>
      </c>
      <c r="E26" s="7" t="inlineStr">
        <is>
          <t>06/02 0969142A11</t>
        </is>
      </c>
      <c r="F26" s="7" t="inlineStr">
        <is>
          <t>06390350892</t>
        </is>
      </c>
      <c r="G26" s="6" t="inlineStr">
        <is>
          <t>REMILA CNE SIDI AICH BEJAIA</t>
        </is>
      </c>
      <c r="H26" s="6" t="n">
        <v>1</v>
      </c>
      <c r="I26" s="8" t="n">
        <v>1260504.2</v>
      </c>
      <c r="J26" s="8" t="n">
        <v>0</v>
      </c>
      <c r="K26" s="8">
        <f>I26+J26</f>
        <v/>
      </c>
      <c r="L26" s="8" t="n">
        <v>239495.8</v>
      </c>
      <c r="M26" s="8">
        <f>K26+L26</f>
        <v/>
      </c>
    </row>
    <row r="27">
      <c r="A27" s="6" t="n">
        <v>19</v>
      </c>
      <c r="B27" s="7" t="inlineStr">
        <is>
          <t>C1041</t>
        </is>
      </c>
      <c r="C27" s="6" t="inlineStr">
        <is>
          <t>SNC AVI BOUDEDJA ET CIE</t>
        </is>
      </c>
      <c r="D27" s="9" t="inlineStr"/>
      <c r="E27" s="9" t="inlineStr"/>
      <c r="F27" s="7" t="inlineStr"/>
      <c r="G27" s="6" t="inlineStr"/>
      <c r="H27" s="6" t="n">
        <v>2</v>
      </c>
      <c r="I27" s="8" t="n">
        <v>1143865.55</v>
      </c>
      <c r="J27" s="8" t="n">
        <v>0</v>
      </c>
      <c r="K27" s="8">
        <f>I27+J27</f>
        <v/>
      </c>
      <c r="L27" s="8" t="n">
        <v>217334.46</v>
      </c>
      <c r="M27" s="8">
        <f>K27+L27</f>
        <v/>
      </c>
    </row>
    <row r="28">
      <c r="A28" s="6" t="n">
        <v>20</v>
      </c>
      <c r="B28" s="7" t="inlineStr">
        <is>
          <t>C975</t>
        </is>
      </c>
      <c r="C28" s="6" t="inlineStr">
        <is>
          <t>SAHRAOUI BECHAGHA</t>
        </is>
      </c>
      <c r="D28" s="7" t="inlineStr">
        <is>
          <t>178430800388156</t>
        </is>
      </c>
      <c r="E28" s="7" t="inlineStr">
        <is>
          <t>23A5343396-19/00</t>
        </is>
      </c>
      <c r="F28" s="7" t="inlineStr">
        <is>
          <t>19017893089</t>
        </is>
      </c>
      <c r="G28" s="6" t="inlineStr">
        <is>
          <t>LAID DAHOUI PART 275 N°05 RDC N°03 SETIF</t>
        </is>
      </c>
      <c r="H28" s="6" t="n">
        <v>4</v>
      </c>
      <c r="I28" s="8" t="n">
        <v>1042857.15</v>
      </c>
      <c r="J28" s="8" t="n">
        <v>0</v>
      </c>
      <c r="K28" s="8">
        <f>I28+J28</f>
        <v/>
      </c>
      <c r="L28" s="8" t="n">
        <v>198142.86</v>
      </c>
      <c r="M28" s="8">
        <f>K28+L28</f>
        <v/>
      </c>
    </row>
    <row r="29">
      <c r="A29" s="6" t="n">
        <v>21</v>
      </c>
      <c r="B29" s="7" t="inlineStr">
        <is>
          <t>C505</t>
        </is>
      </c>
      <c r="C29" s="6" t="inlineStr">
        <is>
          <t>EURL TRANSPORT FLY</t>
        </is>
      </c>
      <c r="D29" s="7" t="inlineStr">
        <is>
          <t>000606018534002</t>
        </is>
      </c>
      <c r="E29" s="7" t="inlineStr">
        <is>
          <t>06B0185340-00/06</t>
        </is>
      </c>
      <c r="F29" s="7" t="inlineStr">
        <is>
          <t>06430681759</t>
        </is>
      </c>
      <c r="G29" s="6" t="inlineStr">
        <is>
          <t>CNE EL-FLAY W BEJAIA</t>
        </is>
      </c>
      <c r="H29" s="6" t="n">
        <v>2</v>
      </c>
      <c r="I29" s="8" t="n">
        <v>1000819.33</v>
      </c>
      <c r="J29" s="8" t="n">
        <v>0</v>
      </c>
      <c r="K29" s="8">
        <f>I29+J29</f>
        <v/>
      </c>
      <c r="L29" s="8" t="n">
        <v>190155.67</v>
      </c>
      <c r="M29" s="8">
        <f>K29+L29</f>
        <v/>
      </c>
    </row>
    <row r="30">
      <c r="A30" s="6" t="n">
        <v>22</v>
      </c>
      <c r="B30" s="7" t="inlineStr">
        <is>
          <t>C1091</t>
        </is>
      </c>
      <c r="C30" s="6" t="inlineStr">
        <is>
          <t>MANSOURI ZOUHEYR</t>
        </is>
      </c>
      <c r="D30" s="9" t="inlineStr"/>
      <c r="E30" s="9" t="inlineStr"/>
      <c r="F30" s="7" t="inlineStr"/>
      <c r="G30" s="6" t="inlineStr"/>
      <c r="H30" s="6" t="n">
        <v>2</v>
      </c>
      <c r="I30" s="8" t="n">
        <v>931657.1800000001</v>
      </c>
      <c r="J30" s="8" t="n">
        <v>42327.96</v>
      </c>
      <c r="K30" s="8">
        <f>I30+J30</f>
        <v/>
      </c>
      <c r="L30" s="8" t="n">
        <v>177014.87</v>
      </c>
      <c r="M30" s="8">
        <f>K30+L30</f>
        <v/>
      </c>
    </row>
    <row r="31">
      <c r="A31" s="6" t="n">
        <v>23</v>
      </c>
      <c r="B31" s="7" t="inlineStr">
        <is>
          <t>C441</t>
        </is>
      </c>
      <c r="C31" s="6" t="inlineStr">
        <is>
          <t>TICHAT HALIM</t>
        </is>
      </c>
      <c r="D31" s="7" t="inlineStr">
        <is>
          <t>197435150077815</t>
        </is>
      </c>
      <c r="E31" s="7" t="inlineStr">
        <is>
          <t>35/00 3645834A09</t>
        </is>
      </c>
      <c r="F31" s="7" t="inlineStr">
        <is>
          <t>35025245005</t>
        </is>
      </c>
      <c r="G31" s="6" t="inlineStr">
        <is>
          <t>HAI HAMDI SLIMANE BOUDOUAOU BOUMERDES</t>
        </is>
      </c>
      <c r="H31" s="6" t="n">
        <v>1</v>
      </c>
      <c r="I31" s="8" t="n">
        <v>966386.64</v>
      </c>
      <c r="J31" s="8" t="n">
        <v>0</v>
      </c>
      <c r="K31" s="8">
        <f>I31+J31</f>
        <v/>
      </c>
      <c r="L31" s="8" t="n">
        <v>183613.46</v>
      </c>
      <c r="M31" s="8">
        <f>K31+L31</f>
        <v/>
      </c>
    </row>
    <row r="32">
      <c r="A32" s="6" t="n">
        <v>24</v>
      </c>
      <c r="B32" s="7" t="inlineStr">
        <is>
          <t>C934</t>
        </is>
      </c>
      <c r="C32" s="6" t="inlineStr">
        <is>
          <t>SARL ROYAL MATERIAUX  DE CONSTRUCTION</t>
        </is>
      </c>
      <c r="D32" s="7" t="inlineStr">
        <is>
          <t>001406018830850</t>
        </is>
      </c>
      <c r="E32" s="7" t="inlineStr">
        <is>
          <t>14B0188308-06/00</t>
        </is>
      </c>
      <c r="F32" s="7" t="inlineStr">
        <is>
          <t>06070160192</t>
        </is>
      </c>
      <c r="G32" s="6" t="inlineStr">
        <is>
          <t>CITE IDERAKENE CNE TIMEZRIT BEJAIA</t>
        </is>
      </c>
      <c r="H32" s="6" t="n">
        <v>11</v>
      </c>
      <c r="I32" s="8" t="n">
        <v>957394.98</v>
      </c>
      <c r="J32" s="8" t="n">
        <v>0</v>
      </c>
      <c r="K32" s="8">
        <f>I32+J32</f>
        <v/>
      </c>
      <c r="L32" s="8" t="n">
        <v>181905.04</v>
      </c>
      <c r="M32" s="8">
        <f>K32+L32</f>
        <v/>
      </c>
    </row>
    <row r="33">
      <c r="A33" s="6" t="n">
        <v>25</v>
      </c>
      <c r="B33" s="7" t="inlineStr">
        <is>
          <t>C1075</t>
        </is>
      </c>
      <c r="C33" s="6" t="inlineStr">
        <is>
          <t>SARL PETRO BARAKA</t>
        </is>
      </c>
      <c r="D33" s="9" t="inlineStr"/>
      <c r="E33" s="9" t="inlineStr"/>
      <c r="F33" s="7" t="inlineStr"/>
      <c r="G33" s="6" t="inlineStr"/>
      <c r="H33" s="6" t="n">
        <v>2</v>
      </c>
      <c r="I33" s="8" t="n">
        <v>951000</v>
      </c>
      <c r="J33" s="8" t="n">
        <v>0</v>
      </c>
      <c r="K33" s="8">
        <f>I33+J33</f>
        <v/>
      </c>
      <c r="L33" s="8" t="n">
        <v>180690</v>
      </c>
      <c r="M33" s="8">
        <f>K33+L33</f>
        <v/>
      </c>
    </row>
    <row r="34">
      <c r="A34" s="6" t="n">
        <v>26</v>
      </c>
      <c r="B34" s="7" t="inlineStr">
        <is>
          <t>C1099</t>
        </is>
      </c>
      <c r="C34" s="6" t="inlineStr">
        <is>
          <t>SARL GUERROUF AUTO</t>
        </is>
      </c>
      <c r="D34" s="9" t="inlineStr"/>
      <c r="E34" s="9" t="inlineStr"/>
      <c r="F34" s="7" t="inlineStr"/>
      <c r="G34" s="6" t="inlineStr"/>
      <c r="H34" s="6" t="n">
        <v>3</v>
      </c>
      <c r="I34" s="8" t="n">
        <v>905000</v>
      </c>
      <c r="J34" s="8" t="n">
        <v>0</v>
      </c>
      <c r="K34" s="8">
        <f>I34+J34</f>
        <v/>
      </c>
      <c r="L34" s="8" t="n">
        <v>171950</v>
      </c>
      <c r="M34" s="8">
        <f>K34+L34</f>
        <v/>
      </c>
    </row>
    <row r="35">
      <c r="A35" s="6" t="n">
        <v>27</v>
      </c>
      <c r="B35" s="7" t="inlineStr">
        <is>
          <t>C1092</t>
        </is>
      </c>
      <c r="C35" s="6" t="inlineStr">
        <is>
          <t>SARL GEURROUF AUTO</t>
        </is>
      </c>
      <c r="D35" s="9" t="inlineStr"/>
      <c r="E35" s="9" t="inlineStr"/>
      <c r="F35" s="7" t="inlineStr"/>
      <c r="G35" s="6" t="inlineStr"/>
      <c r="H35" s="6" t="n">
        <v>3</v>
      </c>
      <c r="I35" s="8" t="n">
        <v>905000</v>
      </c>
      <c r="J35" s="8" t="n">
        <v>0</v>
      </c>
      <c r="K35" s="8">
        <f>I35+J35</f>
        <v/>
      </c>
      <c r="L35" s="8" t="n">
        <v>171950</v>
      </c>
      <c r="M35" s="8">
        <f>K35+L35</f>
        <v/>
      </c>
    </row>
    <row r="36">
      <c r="A36" s="6" t="n">
        <v>28</v>
      </c>
      <c r="B36" s="7" t="inlineStr">
        <is>
          <t>C1093</t>
        </is>
      </c>
      <c r="C36" s="6" t="inlineStr">
        <is>
          <t>FAROUKHI KAMAL</t>
        </is>
      </c>
      <c r="D36" s="9" t="inlineStr"/>
      <c r="E36" s="9" t="inlineStr"/>
      <c r="F36" s="7" t="inlineStr"/>
      <c r="G36" s="6" t="inlineStr"/>
      <c r="H36" s="6" t="n">
        <v>1</v>
      </c>
      <c r="I36" s="8" t="n">
        <v>882353.01</v>
      </c>
      <c r="J36" s="8" t="n">
        <v>0</v>
      </c>
      <c r="K36" s="8">
        <f>I36+J36</f>
        <v/>
      </c>
      <c r="L36" s="8" t="n">
        <v>167647.07</v>
      </c>
      <c r="M36" s="8">
        <f>K36+L36</f>
        <v/>
      </c>
    </row>
    <row r="37">
      <c r="A37" s="6" t="n">
        <v>29</v>
      </c>
      <c r="B37" s="7" t="inlineStr">
        <is>
          <t>C1039</t>
        </is>
      </c>
      <c r="C37" s="6" t="inlineStr">
        <is>
          <t>BOUHAMMA DJAMEL EDDINE</t>
        </is>
      </c>
      <c r="D37" s="7" t="inlineStr">
        <is>
          <t>179410400422117</t>
        </is>
      </c>
      <c r="E37" s="7" t="inlineStr">
        <is>
          <t>06A2522410-00/41</t>
        </is>
      </c>
      <c r="F37" s="7" t="inlineStr">
        <is>
          <t>41040050681</t>
        </is>
      </c>
      <c r="G37" s="6" t="inlineStr">
        <is>
          <t>LOTS TELIDJANE SALAH N°29 CNE MECHROHA W SOUK-AHRAS</t>
        </is>
      </c>
      <c r="H37" s="6" t="n">
        <v>1</v>
      </c>
      <c r="I37" s="8" t="n">
        <v>840336.15</v>
      </c>
      <c r="J37" s="8" t="n">
        <v>0</v>
      </c>
      <c r="K37" s="8">
        <f>I37+J37</f>
        <v/>
      </c>
      <c r="L37" s="8" t="n">
        <v>159663.87</v>
      </c>
      <c r="M37" s="8">
        <f>K37+L37</f>
        <v/>
      </c>
    </row>
    <row r="38">
      <c r="A38" s="6" t="n">
        <v>30</v>
      </c>
      <c r="B38" s="7" t="inlineStr">
        <is>
          <t>C631</t>
        </is>
      </c>
      <c r="C38" s="6" t="inlineStr">
        <is>
          <t>BENAMARA SOFIANE</t>
        </is>
      </c>
      <c r="D38" s="7" t="inlineStr">
        <is>
          <t>197291589114010</t>
        </is>
      </c>
      <c r="E38" s="7" t="inlineStr">
        <is>
          <t>03A0547336</t>
        </is>
      </c>
      <c r="F38" s="7" t="inlineStr">
        <is>
          <t>31598320054</t>
        </is>
      </c>
      <c r="G38" s="6" t="inlineStr">
        <is>
          <t>CITE DJAMEL ORAN</t>
        </is>
      </c>
      <c r="H38" s="6" t="n">
        <v>1</v>
      </c>
      <c r="I38" s="8" t="n">
        <v>838871.99</v>
      </c>
      <c r="J38" s="8" t="n">
        <v>0</v>
      </c>
      <c r="K38" s="8">
        <f>I38+J38</f>
        <v/>
      </c>
      <c r="L38" s="8" t="n">
        <v>159385.68</v>
      </c>
      <c r="M38" s="8">
        <f>K38+L38</f>
        <v/>
      </c>
    </row>
    <row r="39">
      <c r="A39" s="6" t="n">
        <v>31</v>
      </c>
      <c r="B39" s="7" t="inlineStr">
        <is>
          <t>C900</t>
        </is>
      </c>
      <c r="C39" s="6" t="inlineStr">
        <is>
          <t>BENAMARA MOHAMMED</t>
        </is>
      </c>
      <c r="D39" s="7" t="inlineStr">
        <is>
          <t>186390200108152</t>
        </is>
      </c>
      <c r="E39" s="7" t="inlineStr">
        <is>
          <t>19A0652500</t>
        </is>
      </c>
      <c r="F39" s="7" t="inlineStr">
        <is>
          <t>30040232677</t>
        </is>
      </c>
      <c r="G39" s="6" t="inlineStr">
        <is>
          <t>ZONE INDUSTRIELLE HASSI MESSAOUD 30500 OUARGLA</t>
        </is>
      </c>
      <c r="H39" s="6" t="n">
        <v>1</v>
      </c>
      <c r="I39" s="8" t="n">
        <v>836191.16</v>
      </c>
      <c r="J39" s="8" t="n">
        <v>0</v>
      </c>
      <c r="K39" s="8">
        <f>I39+J39</f>
        <v/>
      </c>
      <c r="L39" s="8" t="n">
        <v>158876.32</v>
      </c>
      <c r="M39" s="8">
        <f>K39+L39</f>
        <v/>
      </c>
    </row>
    <row r="40">
      <c r="A40" s="6" t="n">
        <v>32</v>
      </c>
      <c r="B40" s="7" t="inlineStr">
        <is>
          <t>C278</t>
        </is>
      </c>
      <c r="C40" s="6" t="inlineStr">
        <is>
          <t>BENAMARA AYOUB</t>
        </is>
      </c>
      <c r="D40" s="7" t="inlineStr">
        <is>
          <t>198039020039530</t>
        </is>
      </c>
      <c r="E40" s="7" t="inlineStr">
        <is>
          <t>11 A 0640213-00/30</t>
        </is>
      </c>
      <c r="F40" s="7" t="inlineStr">
        <is>
          <t>30050350600</t>
        </is>
      </c>
      <c r="G40" s="6" t="inlineStr">
        <is>
          <t>CITE SOKRA RUISSAT OUARGALA</t>
        </is>
      </c>
      <c r="H40" s="6" t="n">
        <v>1</v>
      </c>
      <c r="I40" s="8" t="n">
        <v>823623.49</v>
      </c>
      <c r="J40" s="8" t="n">
        <v>0</v>
      </c>
      <c r="K40" s="8">
        <f>I40+J40</f>
        <v/>
      </c>
      <c r="L40" s="8" t="n">
        <v>156488.46</v>
      </c>
      <c r="M40" s="8">
        <f>K40+L40</f>
        <v/>
      </c>
    </row>
    <row r="41">
      <c r="A41" s="6" t="n">
        <v>33</v>
      </c>
      <c r="B41" s="7" t="inlineStr">
        <is>
          <t>C1096</t>
        </is>
      </c>
      <c r="C41" s="6" t="inlineStr">
        <is>
          <t>EURL EZZAHRA LOCATION DE MATERIEL</t>
        </is>
      </c>
      <c r="D41" s="9" t="inlineStr"/>
      <c r="E41" s="9" t="inlineStr"/>
      <c r="F41" s="7" t="inlineStr"/>
      <c r="G41" s="6" t="inlineStr"/>
      <c r="H41" s="6" t="n">
        <v>1</v>
      </c>
      <c r="I41" s="8" t="n">
        <v>798319.33</v>
      </c>
      <c r="J41" s="8" t="n">
        <v>0</v>
      </c>
      <c r="K41" s="8">
        <f>I41+J41</f>
        <v/>
      </c>
      <c r="L41" s="8" t="n">
        <v>151680.67</v>
      </c>
      <c r="M41" s="8">
        <f>K41+L41</f>
        <v/>
      </c>
    </row>
    <row r="42">
      <c r="A42" s="6" t="n">
        <v>34</v>
      </c>
      <c r="B42" s="7" t="inlineStr">
        <is>
          <t>C014</t>
        </is>
      </c>
      <c r="C42" s="6" t="inlineStr">
        <is>
          <t>KOUICI MILOUD</t>
        </is>
      </c>
      <c r="D42" s="7" t="inlineStr">
        <is>
          <t>196305010223450</t>
        </is>
      </c>
      <c r="E42" s="7" t="inlineStr">
        <is>
          <t>12 A 1164872-05/00</t>
        </is>
      </c>
      <c r="F42" s="7" t="inlineStr">
        <is>
          <t>05715801044</t>
        </is>
      </c>
      <c r="G42" s="6" t="inlineStr">
        <is>
          <t>CITE KECHIDA BATNA</t>
        </is>
      </c>
      <c r="H42" s="6" t="n">
        <v>1</v>
      </c>
      <c r="I42" s="8" t="n">
        <v>756016.8199999999</v>
      </c>
      <c r="J42" s="8" t="n">
        <v>0</v>
      </c>
      <c r="K42" s="8">
        <f>I42+J42</f>
        <v/>
      </c>
      <c r="L42" s="8" t="n">
        <v>143643.2</v>
      </c>
      <c r="M42" s="8">
        <f>K42+L42</f>
        <v/>
      </c>
    </row>
    <row r="43">
      <c r="A43" s="6" t="n">
        <v>35</v>
      </c>
      <c r="B43" s="7" t="inlineStr">
        <is>
          <t>C599</t>
        </is>
      </c>
      <c r="C43" s="6" t="inlineStr">
        <is>
          <t>MOHELLEBI MOHAMMED</t>
        </is>
      </c>
      <c r="D43" s="7" t="inlineStr">
        <is>
          <t>171151800624149</t>
        </is>
      </c>
      <c r="E43" s="7" t="inlineStr">
        <is>
          <t>15/01 0253982A06</t>
        </is>
      </c>
      <c r="F43" s="7" t="inlineStr">
        <is>
          <t>15181300427</t>
        </is>
      </c>
      <c r="G43" s="6" t="inlineStr">
        <is>
          <t>AZAZGA W DE TIZI OUZOU</t>
        </is>
      </c>
      <c r="H43" s="6" t="n">
        <v>3</v>
      </c>
      <c r="I43" s="8" t="n">
        <v>754903.23</v>
      </c>
      <c r="J43" s="8" t="n">
        <v>0</v>
      </c>
      <c r="K43" s="8">
        <f>I43+J43</f>
        <v/>
      </c>
      <c r="L43" s="8" t="n">
        <v>143431.61</v>
      </c>
      <c r="M43" s="8">
        <f>K43+L43</f>
        <v/>
      </c>
    </row>
    <row r="44">
      <c r="A44" s="6" t="n">
        <v>36</v>
      </c>
      <c r="B44" s="7" t="inlineStr">
        <is>
          <t>C980</t>
        </is>
      </c>
      <c r="C44" s="6" t="inlineStr">
        <is>
          <t>BOUHAMED ABDERRAHIM</t>
        </is>
      </c>
      <c r="D44" s="7" t="inlineStr">
        <is>
          <t>156130100279116</t>
        </is>
      </c>
      <c r="E44" s="7" t="inlineStr">
        <is>
          <t>15A1384520-13/00</t>
        </is>
      </c>
      <c r="F44" s="7" t="inlineStr">
        <is>
          <t>13502392963</t>
        </is>
      </c>
      <c r="G44" s="6" t="inlineStr">
        <is>
          <t>CITE MIMOUZA BAT A2 CNE CHETOUANE W TLEMCEN</t>
        </is>
      </c>
      <c r="H44" s="6" t="n">
        <v>3</v>
      </c>
      <c r="I44" s="8" t="n">
        <v>720410.9300000001</v>
      </c>
      <c r="J44" s="8" t="n">
        <v>0</v>
      </c>
      <c r="K44" s="8">
        <f>I44+J44</f>
        <v/>
      </c>
      <c r="L44" s="8" t="n">
        <v>136878.07</v>
      </c>
      <c r="M44" s="8">
        <f>K44+L44</f>
        <v/>
      </c>
    </row>
    <row r="45">
      <c r="A45" s="6" t="n">
        <v>37</v>
      </c>
      <c r="B45" s="7" t="inlineStr">
        <is>
          <t>C1012</t>
        </is>
      </c>
      <c r="C45" s="6" t="inlineStr">
        <is>
          <t>SARL META GRAIN</t>
        </is>
      </c>
      <c r="D45" s="9" t="inlineStr"/>
      <c r="E45" s="9" t="inlineStr"/>
      <c r="F45" s="7" t="inlineStr"/>
      <c r="G45" s="6" t="inlineStr"/>
      <c r="H45" s="6" t="n">
        <v>1</v>
      </c>
      <c r="I45" s="8" t="n">
        <v>705882.35</v>
      </c>
      <c r="J45" s="8" t="n">
        <v>0</v>
      </c>
      <c r="K45" s="8">
        <f>I45+J45</f>
        <v/>
      </c>
      <c r="L45" s="8" t="n">
        <v>134117.65</v>
      </c>
      <c r="M45" s="8">
        <f>K45+L45</f>
        <v/>
      </c>
    </row>
    <row r="46">
      <c r="A46" s="6" t="n">
        <v>38</v>
      </c>
      <c r="B46" s="7" t="inlineStr">
        <is>
          <t>C1094</t>
        </is>
      </c>
      <c r="C46" s="6" t="inlineStr">
        <is>
          <t>SARL EL ZIBANE TRANSPORT</t>
        </is>
      </c>
      <c r="D46" s="9" t="inlineStr"/>
      <c r="E46" s="9" t="inlineStr"/>
      <c r="F46" s="7" t="inlineStr"/>
      <c r="G46" s="6" t="inlineStr"/>
      <c r="H46" s="6" t="n">
        <v>3</v>
      </c>
      <c r="I46" s="8" t="n">
        <v>641500</v>
      </c>
      <c r="J46" s="8" t="n">
        <v>0</v>
      </c>
      <c r="K46" s="8">
        <f>I46+J46</f>
        <v/>
      </c>
      <c r="L46" s="8" t="n">
        <v>121885</v>
      </c>
      <c r="M46" s="8">
        <f>K46+L46</f>
        <v/>
      </c>
    </row>
    <row r="47">
      <c r="A47" s="6" t="n">
        <v>39</v>
      </c>
      <c r="B47" s="7" t="inlineStr">
        <is>
          <t>C907</t>
        </is>
      </c>
      <c r="C47" s="6" t="inlineStr">
        <is>
          <t>SARL EURODAX TRUCKS</t>
        </is>
      </c>
      <c r="D47" s="7" t="inlineStr">
        <is>
          <t>002243032482760</t>
        </is>
      </c>
      <c r="E47" s="7" t="inlineStr">
        <is>
          <t>22B0324827 43/00</t>
        </is>
      </c>
      <c r="F47" s="7" t="inlineStr">
        <is>
          <t>43031017031</t>
        </is>
      </c>
      <c r="G47" s="6" t="inlineStr">
        <is>
          <t>CHELGHOUM LAID MILA</t>
        </is>
      </c>
      <c r="H47" s="6" t="n">
        <v>1</v>
      </c>
      <c r="I47" s="8" t="n">
        <v>639159.6800000001</v>
      </c>
      <c r="J47" s="8" t="n">
        <v>0</v>
      </c>
      <c r="K47" s="8">
        <f>I47+J47</f>
        <v/>
      </c>
      <c r="L47" s="8" t="n">
        <v>121440.34</v>
      </c>
      <c r="M47" s="8">
        <f>K47+L47</f>
        <v/>
      </c>
    </row>
    <row r="48">
      <c r="A48" s="6" t="n">
        <v>40</v>
      </c>
      <c r="B48" s="7" t="inlineStr">
        <is>
          <t>C918</t>
        </is>
      </c>
      <c r="C48" s="6" t="inlineStr">
        <is>
          <t>TILKOUT AHCEN</t>
        </is>
      </c>
      <c r="D48" s="7" t="inlineStr">
        <is>
          <t>189063901908114</t>
        </is>
      </c>
      <c r="E48" s="7" t="inlineStr">
        <is>
          <t>06/00-5813783A22</t>
        </is>
      </c>
      <c r="F48" s="7" t="inlineStr">
        <is>
          <t>06400135317</t>
        </is>
      </c>
      <c r="G48" s="6" t="inlineStr">
        <is>
          <t>ZONE INDUSTRIELLE EL KSEUR BEJAIA</t>
        </is>
      </c>
      <c r="H48" s="6" t="n">
        <v>3</v>
      </c>
      <c r="I48" s="8" t="n">
        <v>615546.22</v>
      </c>
      <c r="J48" s="8" t="n">
        <v>0</v>
      </c>
      <c r="K48" s="8">
        <f>I48+J48</f>
        <v/>
      </c>
      <c r="L48" s="8" t="n">
        <v>116953.78</v>
      </c>
      <c r="M48" s="8">
        <f>K48+L48</f>
        <v/>
      </c>
    </row>
    <row r="49">
      <c r="A49" s="6" t="n">
        <v>41</v>
      </c>
      <c r="B49" s="7" t="inlineStr">
        <is>
          <t>C816</t>
        </is>
      </c>
      <c r="C49" s="6" t="inlineStr">
        <is>
          <t>SPA EPE FERROVIAL</t>
        </is>
      </c>
      <c r="D49" s="7" t="inlineStr">
        <is>
          <t>099923036261046</t>
        </is>
      </c>
      <c r="E49" s="7" t="inlineStr">
        <is>
          <t>23/00-0362610B99</t>
        </is>
      </c>
      <c r="F49" s="7" t="inlineStr">
        <is>
          <t>23057604011</t>
        </is>
      </c>
      <c r="G49" s="6" t="inlineStr">
        <is>
          <t>BP 63 ANNABA ROUTE D'EL HADJAR EL BOUNI ANNABA</t>
        </is>
      </c>
      <c r="H49" s="6" t="n">
        <v>1</v>
      </c>
      <c r="I49" s="8" t="n">
        <v>600000</v>
      </c>
      <c r="J49" s="8" t="n">
        <v>0</v>
      </c>
      <c r="K49" s="8">
        <f>I49+J49</f>
        <v/>
      </c>
      <c r="L49" s="8" t="n">
        <v>114000</v>
      </c>
      <c r="M49" s="8">
        <f>K49+L49</f>
        <v/>
      </c>
    </row>
    <row r="50">
      <c r="A50" s="6" t="n">
        <v>42</v>
      </c>
      <c r="B50" s="7" t="inlineStr">
        <is>
          <t>C1085</t>
        </is>
      </c>
      <c r="C50" s="6" t="inlineStr">
        <is>
          <t>CHERRAHI ABDELKAMEL</t>
        </is>
      </c>
      <c r="D50" s="9" t="inlineStr"/>
      <c r="E50" s="9" t="inlineStr"/>
      <c r="F50" s="7" t="inlineStr"/>
      <c r="G50" s="6" t="inlineStr"/>
      <c r="H50" s="6" t="n">
        <v>1</v>
      </c>
      <c r="I50" s="8" t="n">
        <v>588235.29</v>
      </c>
      <c r="J50" s="8" t="n">
        <v>0</v>
      </c>
      <c r="K50" s="8">
        <f>I50+J50</f>
        <v/>
      </c>
      <c r="L50" s="8" t="n">
        <v>111764.71</v>
      </c>
      <c r="M50" s="8">
        <f>K50+L50</f>
        <v/>
      </c>
    </row>
    <row r="51">
      <c r="A51" s="6" t="n">
        <v>43</v>
      </c>
      <c r="B51" s="7" t="inlineStr">
        <is>
          <t>C1098</t>
        </is>
      </c>
      <c r="C51" s="6" t="inlineStr">
        <is>
          <t>EURL ULTRA TRADING SERVICES</t>
        </is>
      </c>
      <c r="D51" s="9" t="inlineStr"/>
      <c r="E51" s="9" t="inlineStr"/>
      <c r="F51" s="7" t="inlineStr"/>
      <c r="G51" s="6" t="inlineStr"/>
      <c r="H51" s="6" t="n">
        <v>1</v>
      </c>
      <c r="I51" s="8" t="n">
        <v>495798.33</v>
      </c>
      <c r="J51" s="8" t="n">
        <v>0</v>
      </c>
      <c r="K51" s="8">
        <f>I51+J51</f>
        <v/>
      </c>
      <c r="L51" s="8" t="n">
        <v>94201.67999999999</v>
      </c>
      <c r="M51" s="8">
        <f>K51+L51</f>
        <v/>
      </c>
    </row>
    <row r="52">
      <c r="A52" s="6" t="n">
        <v>44</v>
      </c>
      <c r="B52" s="7" t="inlineStr">
        <is>
          <t>C1088</t>
        </is>
      </c>
      <c r="C52" s="6" t="inlineStr">
        <is>
          <t>SARL PROVIDING ARPRO</t>
        </is>
      </c>
      <c r="D52" s="9" t="inlineStr"/>
      <c r="E52" s="9" t="inlineStr"/>
      <c r="F52" s="7" t="inlineStr"/>
      <c r="G52" s="6" t="inlineStr"/>
      <c r="H52" s="6" t="n">
        <v>1</v>
      </c>
      <c r="I52" s="8" t="n">
        <v>466386.56</v>
      </c>
      <c r="J52" s="8" t="n">
        <v>0</v>
      </c>
      <c r="K52" s="8">
        <f>I52+J52</f>
        <v/>
      </c>
      <c r="L52" s="8" t="n">
        <v>88613.45</v>
      </c>
      <c r="M52" s="8">
        <f>K52+L52</f>
        <v/>
      </c>
    </row>
    <row r="53">
      <c r="A53" s="6" t="n">
        <v>45</v>
      </c>
      <c r="B53" s="7" t="inlineStr">
        <is>
          <t>C1071</t>
        </is>
      </c>
      <c r="C53" s="6" t="inlineStr">
        <is>
          <t>SARL TRANS BAOUCHI</t>
        </is>
      </c>
      <c r="D53" s="7" t="inlineStr">
        <is>
          <t>099630010051538</t>
        </is>
      </c>
      <c r="E53" s="7" t="inlineStr">
        <is>
          <t>98B0122360</t>
        </is>
      </c>
      <c r="F53" s="7" t="inlineStr">
        <is>
          <t>30040210288</t>
        </is>
      </c>
      <c r="G53" s="6" t="inlineStr">
        <is>
          <t>CARRFOUR 24 FEVRIER RN03 BP501 HASSI MESSAOUD W OUARGLA</t>
        </is>
      </c>
      <c r="H53" s="6" t="n">
        <v>2</v>
      </c>
      <c r="I53" s="8" t="n">
        <v>457600</v>
      </c>
      <c r="J53" s="8" t="n">
        <v>0</v>
      </c>
      <c r="K53" s="8">
        <f>I53+J53</f>
        <v/>
      </c>
      <c r="L53" s="8" t="n">
        <v>86944</v>
      </c>
      <c r="M53" s="8">
        <f>K53+L53</f>
        <v/>
      </c>
    </row>
    <row r="54">
      <c r="A54" s="6" t="n">
        <v>46</v>
      </c>
      <c r="B54" s="7" t="inlineStr">
        <is>
          <t>C1086</t>
        </is>
      </c>
      <c r="C54" s="6" t="inlineStr">
        <is>
          <t>BAHI RIDHA</t>
        </is>
      </c>
      <c r="D54" s="9" t="inlineStr"/>
      <c r="E54" s="9" t="inlineStr"/>
      <c r="F54" s="7" t="inlineStr"/>
      <c r="G54" s="6" t="inlineStr"/>
      <c r="H54" s="6" t="n">
        <v>1</v>
      </c>
      <c r="I54" s="8" t="n">
        <v>453781.51</v>
      </c>
      <c r="J54" s="8" t="n">
        <v>0</v>
      </c>
      <c r="K54" s="8">
        <f>I54+J54</f>
        <v/>
      </c>
      <c r="L54" s="8" t="n">
        <v>86218.49000000001</v>
      </c>
      <c r="M54" s="8">
        <f>K54+L54</f>
        <v/>
      </c>
    </row>
    <row r="55">
      <c r="A55" s="6" t="n">
        <v>47</v>
      </c>
      <c r="B55" s="7" t="inlineStr">
        <is>
          <t>C248</t>
        </is>
      </c>
      <c r="C55" s="6" t="inlineStr">
        <is>
          <t>SNC ECOTP MOUHALI ET FRERES</t>
        </is>
      </c>
      <c r="D55" s="7" t="inlineStr">
        <is>
          <t>099906260052133</t>
        </is>
      </c>
      <c r="E55" s="7" t="inlineStr">
        <is>
          <t>99 B 0182808-00/06</t>
        </is>
      </c>
      <c r="F55" s="7" t="inlineStr">
        <is>
          <t>06260100275</t>
        </is>
      </c>
      <c r="G55" s="6" t="inlineStr">
        <is>
          <t>LAAZIB MOUHLI SEDDOUK BEJAIA</t>
        </is>
      </c>
      <c r="H55" s="6" t="n">
        <v>4</v>
      </c>
      <c r="I55" s="8" t="n">
        <v>390000</v>
      </c>
      <c r="J55" s="8" t="n">
        <v>0</v>
      </c>
      <c r="K55" s="8">
        <f>I55+J55</f>
        <v/>
      </c>
      <c r="L55" s="8" t="n">
        <v>74100</v>
      </c>
      <c r="M55" s="8">
        <f>K55+L55</f>
        <v/>
      </c>
    </row>
    <row r="56">
      <c r="A56" s="6" t="n">
        <v>48</v>
      </c>
      <c r="B56" s="7" t="inlineStr">
        <is>
          <t>C1040</t>
        </is>
      </c>
      <c r="C56" s="6" t="inlineStr">
        <is>
          <t>BENLEDRA DJAHID</t>
        </is>
      </c>
      <c r="D56" s="7" t="inlineStr">
        <is>
          <t>17736160001217503600</t>
        </is>
      </c>
      <c r="E56" s="7" t="inlineStr">
        <is>
          <t>98A3411627-00/36</t>
        </is>
      </c>
      <c r="F56" s="7" t="inlineStr">
        <is>
          <t>36160320506</t>
        </is>
      </c>
      <c r="G56" s="6" t="inlineStr">
        <is>
          <t>SIDI RUHANE LOCAL N°02 BESBES W.EL TAREF</t>
        </is>
      </c>
      <c r="H56" s="6" t="n">
        <v>2</v>
      </c>
      <c r="I56" s="8" t="n">
        <v>367563.06</v>
      </c>
      <c r="J56" s="8" t="n">
        <v>0</v>
      </c>
      <c r="K56" s="8">
        <f>I56+J56</f>
        <v/>
      </c>
      <c r="L56" s="8" t="n">
        <v>69836.98</v>
      </c>
      <c r="M56" s="8">
        <f>K56+L56</f>
        <v/>
      </c>
    </row>
    <row r="57">
      <c r="A57" s="6" t="n">
        <v>49</v>
      </c>
      <c r="B57" s="7" t="inlineStr">
        <is>
          <t>C1053</t>
        </is>
      </c>
      <c r="C57" s="6" t="inlineStr">
        <is>
          <t>SPA BRASSERIE STAR D'ALGERIE</t>
        </is>
      </c>
      <c r="D57" s="7" t="inlineStr">
        <is>
          <t>000506018482593</t>
        </is>
      </c>
      <c r="E57" s="7" t="inlineStr">
        <is>
          <t>05B0184825-00/06</t>
        </is>
      </c>
      <c r="F57" s="7" t="inlineStr">
        <is>
          <t>06400135331</t>
        </is>
      </c>
      <c r="G57" s="6" t="inlineStr">
        <is>
          <t>ZONE INDUSTRIELLE D'ELKSEUR W BEJAIA</t>
        </is>
      </c>
      <c r="H57" s="6" t="n">
        <v>7</v>
      </c>
      <c r="I57" s="8" t="n">
        <v>352500</v>
      </c>
      <c r="J57" s="8" t="n">
        <v>0</v>
      </c>
      <c r="K57" s="8">
        <f>I57+J57</f>
        <v/>
      </c>
      <c r="L57" s="8" t="n">
        <v>66975</v>
      </c>
      <c r="M57" s="8">
        <f>K57+L57</f>
        <v/>
      </c>
    </row>
    <row r="58">
      <c r="A58" s="6" t="n">
        <v>50</v>
      </c>
      <c r="B58" s="7" t="inlineStr">
        <is>
          <t>C1100</t>
        </is>
      </c>
      <c r="C58" s="6" t="inlineStr">
        <is>
          <t>SARL ZIBANE</t>
        </is>
      </c>
      <c r="D58" s="9" t="inlineStr"/>
      <c r="E58" s="9" t="inlineStr"/>
      <c r="F58" s="7" t="inlineStr"/>
      <c r="G58" s="6" t="inlineStr"/>
      <c r="H58" s="6" t="n">
        <v>1</v>
      </c>
      <c r="I58" s="8" t="n">
        <v>340000</v>
      </c>
      <c r="J58" s="8" t="n">
        <v>0</v>
      </c>
      <c r="K58" s="8">
        <f>I58+J58</f>
        <v/>
      </c>
      <c r="L58" s="8" t="n">
        <v>64600</v>
      </c>
      <c r="M58" s="8">
        <f>K58+L58</f>
        <v/>
      </c>
    </row>
    <row r="59">
      <c r="A59" s="6" t="n">
        <v>51</v>
      </c>
      <c r="B59" s="7" t="inlineStr">
        <is>
          <t>C910</t>
        </is>
      </c>
      <c r="C59" s="6" t="inlineStr">
        <is>
          <t>SASSANE RAMDANE</t>
        </is>
      </c>
      <c r="D59" s="7" t="inlineStr">
        <is>
          <t>173191901307164</t>
        </is>
      </c>
      <c r="E59" s="7" t="inlineStr">
        <is>
          <t>08 A 0953277-01/06</t>
        </is>
      </c>
      <c r="F59" s="7" t="inlineStr">
        <is>
          <t>06017304522</t>
        </is>
      </c>
      <c r="G59" s="6" t="inlineStr">
        <is>
          <t>IHEDDADEN OUFELLA BEJAIA</t>
        </is>
      </c>
      <c r="H59" s="6" t="n">
        <v>4</v>
      </c>
      <c r="I59" s="8" t="n">
        <v>328872.28</v>
      </c>
      <c r="J59" s="8" t="n">
        <v>0</v>
      </c>
      <c r="K59" s="8">
        <f>I59+J59</f>
        <v/>
      </c>
      <c r="L59" s="8" t="n">
        <v>62485.73</v>
      </c>
      <c r="M59" s="8">
        <f>K59+L59</f>
        <v/>
      </c>
    </row>
    <row r="60">
      <c r="A60" s="6" t="n">
        <v>52</v>
      </c>
      <c r="B60" s="7" t="inlineStr">
        <is>
          <t>C359</t>
        </is>
      </c>
      <c r="C60" s="6" t="inlineStr">
        <is>
          <t>SELLAH LYES</t>
        </is>
      </c>
      <c r="D60" s="7" t="inlineStr">
        <is>
          <t>197906250175912</t>
        </is>
      </c>
      <c r="E60" s="7" t="inlineStr">
        <is>
          <t>99 A 0926602-01/06</t>
        </is>
      </c>
      <c r="F60" s="7" t="inlineStr">
        <is>
          <t>062600102651</t>
        </is>
      </c>
      <c r="G60" s="6" t="inlineStr">
        <is>
          <t>VGE AKHENAK SEDDOUK W BEJAIA BEJAIA</t>
        </is>
      </c>
      <c r="H60" s="6" t="n">
        <v>2</v>
      </c>
      <c r="I60" s="8" t="n">
        <v>317529.41</v>
      </c>
      <c r="J60" s="8" t="n">
        <v>0</v>
      </c>
      <c r="K60" s="8">
        <f>I60+J60</f>
        <v/>
      </c>
      <c r="L60" s="8" t="n">
        <v>60330.59</v>
      </c>
      <c r="M60" s="8">
        <f>K60+L60</f>
        <v/>
      </c>
    </row>
    <row r="61">
      <c r="A61" s="6" t="n">
        <v>53</v>
      </c>
      <c r="B61" s="7" t="inlineStr">
        <is>
          <t>C1080</t>
        </is>
      </c>
      <c r="C61" s="6" t="inlineStr">
        <is>
          <t>BOUAMARA HICHAM</t>
        </is>
      </c>
      <c r="D61" s="9" t="inlineStr"/>
      <c r="E61" s="9" t="inlineStr"/>
      <c r="F61" s="7" t="inlineStr"/>
      <c r="G61" s="6" t="inlineStr"/>
      <c r="H61" s="6" t="n">
        <v>3</v>
      </c>
      <c r="I61" s="8" t="n">
        <v>304407.57</v>
      </c>
      <c r="J61" s="8" t="n">
        <v>0</v>
      </c>
      <c r="K61" s="8">
        <f>I61+J61</f>
        <v/>
      </c>
      <c r="L61" s="8" t="n">
        <v>57837.44</v>
      </c>
      <c r="M61" s="8">
        <f>K61+L61</f>
        <v/>
      </c>
    </row>
    <row r="62">
      <c r="A62" s="6" t="n">
        <v>54</v>
      </c>
      <c r="B62" s="7" t="inlineStr">
        <is>
          <t>C1028</t>
        </is>
      </c>
      <c r="C62" s="6" t="inlineStr">
        <is>
          <t>BOUAICHI HANAFI</t>
        </is>
      </c>
      <c r="D62" s="7" t="inlineStr">
        <is>
          <t>17606070035717500600</t>
        </is>
      </c>
      <c r="E62" s="7" t="inlineStr">
        <is>
          <t>98A0915901-00/06</t>
        </is>
      </c>
      <c r="F62" s="7" t="inlineStr">
        <is>
          <t>06070413453</t>
        </is>
      </c>
      <c r="G62" s="6" t="inlineStr">
        <is>
          <t>AKABIOU CNE TIMEZRIT W BEJAIA</t>
        </is>
      </c>
      <c r="H62" s="6" t="n">
        <v>3</v>
      </c>
      <c r="I62" s="8" t="n">
        <v>281939.52</v>
      </c>
      <c r="J62" s="8" t="n">
        <v>0</v>
      </c>
      <c r="K62" s="8">
        <f>I62+J62</f>
        <v/>
      </c>
      <c r="L62" s="8" t="n">
        <v>53568.52</v>
      </c>
      <c r="M62" s="8">
        <f>K62+L62</f>
        <v/>
      </c>
    </row>
    <row r="63">
      <c r="A63" s="6" t="n">
        <v>55</v>
      </c>
      <c r="B63" s="7" t="inlineStr">
        <is>
          <t>C616</t>
        </is>
      </c>
      <c r="C63" s="6" t="inlineStr">
        <is>
          <t>SPA NUMILOG</t>
        </is>
      </c>
      <c r="D63" s="7" t="inlineStr">
        <is>
          <t>000716097652674</t>
        </is>
      </c>
      <c r="E63" s="7" t="inlineStr">
        <is>
          <t>16/00 0976526 B 07</t>
        </is>
      </c>
      <c r="F63" s="7" t="inlineStr">
        <is>
          <t>16186671141</t>
        </is>
      </c>
      <c r="G63" s="6" t="inlineStr">
        <is>
          <t>LOT D N°6 ZHUN GARIDI KOUBA ALGER</t>
        </is>
      </c>
      <c r="H63" s="6" t="n">
        <v>1</v>
      </c>
      <c r="I63" s="8" t="n">
        <v>280000</v>
      </c>
      <c r="J63" s="8" t="n">
        <v>0</v>
      </c>
      <c r="K63" s="8">
        <f>I63+J63</f>
        <v/>
      </c>
      <c r="L63" s="8" t="n">
        <v>53200</v>
      </c>
      <c r="M63" s="8">
        <f>K63+L63</f>
        <v/>
      </c>
    </row>
    <row r="64">
      <c r="A64" s="6" t="n">
        <v>56</v>
      </c>
      <c r="B64" s="7" t="inlineStr">
        <is>
          <t>C978</t>
        </is>
      </c>
      <c r="C64" s="6" t="inlineStr">
        <is>
          <t>SPA AGGLOMERES DE L'ESTE</t>
        </is>
      </c>
      <c r="D64" s="7" t="inlineStr">
        <is>
          <t>001206018758814</t>
        </is>
      </c>
      <c r="E64" s="7" t="inlineStr">
        <is>
          <t>12B0187588-06/00</t>
        </is>
      </c>
      <c r="F64" s="7" t="inlineStr">
        <is>
          <t>06256000045</t>
        </is>
      </c>
      <c r="G64" s="6" t="inlineStr">
        <is>
          <t>ZAC TAHARACHT AKBOU BEJAIA</t>
        </is>
      </c>
      <c r="H64" s="6" t="n">
        <v>3</v>
      </c>
      <c r="I64" s="8" t="n">
        <v>268000</v>
      </c>
      <c r="J64" s="8" t="n">
        <v>0</v>
      </c>
      <c r="K64" s="8">
        <f>I64+J64</f>
        <v/>
      </c>
      <c r="L64" s="8" t="n">
        <v>50920</v>
      </c>
      <c r="M64" s="8">
        <f>K64+L64</f>
        <v/>
      </c>
    </row>
    <row r="65">
      <c r="A65" s="6" t="n">
        <v>57</v>
      </c>
      <c r="B65" s="7" t="inlineStr">
        <is>
          <t>C596</t>
        </is>
      </c>
      <c r="C65" s="6" t="inlineStr">
        <is>
          <t>COSIDER OUVRAGES D'ART SPA</t>
        </is>
      </c>
      <c r="D65" s="7" t="inlineStr">
        <is>
          <t>000516097048217</t>
        </is>
      </c>
      <c r="E65" s="7" t="inlineStr">
        <is>
          <t>05B0970482-00/16</t>
        </is>
      </c>
      <c r="F65" s="7" t="inlineStr">
        <is>
          <t>16151598041</t>
        </is>
      </c>
      <c r="G65" s="6" t="inlineStr">
        <is>
          <t>POLE A 32 BENI MANSOUR W BEJAIA</t>
        </is>
      </c>
      <c r="H65" s="6" t="n">
        <v>1</v>
      </c>
      <c r="I65" s="8" t="n">
        <v>256000</v>
      </c>
      <c r="J65" s="8" t="n">
        <v>0</v>
      </c>
      <c r="K65" s="8">
        <f>I65+J65</f>
        <v/>
      </c>
      <c r="L65" s="8" t="n">
        <v>48640</v>
      </c>
      <c r="M65" s="8">
        <f>K65+L65</f>
        <v/>
      </c>
    </row>
    <row r="66">
      <c r="A66" s="6" t="n">
        <v>58</v>
      </c>
      <c r="B66" s="7" t="inlineStr">
        <is>
          <t>C494</t>
        </is>
      </c>
      <c r="C66" s="6" t="inlineStr">
        <is>
          <t>DOGGA TAHA</t>
        </is>
      </c>
      <c r="D66" s="7" t="inlineStr">
        <is>
          <t>197739110081424</t>
        </is>
      </c>
      <c r="E66" s="7" t="inlineStr">
        <is>
          <t>08 A 0632931-00/30</t>
        </is>
      </c>
      <c r="F66" s="7" t="inlineStr">
        <is>
          <t>30010232132</t>
        </is>
      </c>
      <c r="G66" s="6" t="inlineStr">
        <is>
          <t>CITE BOUZID BENI THOUR OUARGLA</t>
        </is>
      </c>
      <c r="H66" s="6" t="n">
        <v>1</v>
      </c>
      <c r="I66" s="8" t="n">
        <v>252100.84</v>
      </c>
      <c r="J66" s="8" t="n">
        <v>0</v>
      </c>
      <c r="K66" s="8">
        <f>I66+J66</f>
        <v/>
      </c>
      <c r="L66" s="8" t="n">
        <v>47899.16</v>
      </c>
      <c r="M66" s="8">
        <f>K66+L66</f>
        <v/>
      </c>
    </row>
    <row r="67">
      <c r="A67" s="6" t="n">
        <v>59</v>
      </c>
      <c r="B67" s="7" t="inlineStr">
        <is>
          <t>C186</t>
        </is>
      </c>
      <c r="C67" s="6" t="inlineStr">
        <is>
          <t>DJOUDI SMAIL</t>
        </is>
      </c>
      <c r="D67" s="7" t="inlineStr">
        <is>
          <t>198419300092031</t>
        </is>
      </c>
      <c r="E67" s="7" t="inlineStr">
        <is>
          <t>11 A 0972895-06/00</t>
        </is>
      </c>
      <c r="F67" s="7" t="inlineStr">
        <is>
          <t>06510741141</t>
        </is>
      </c>
      <c r="G67" s="6" t="inlineStr">
        <is>
          <t>SEROUAL OUED GHIR BEJAIA</t>
        </is>
      </c>
      <c r="H67" s="6" t="n">
        <v>2</v>
      </c>
      <c r="I67" s="8" t="n">
        <v>195360.5</v>
      </c>
      <c r="J67" s="8" t="n">
        <v>0</v>
      </c>
      <c r="K67" s="8">
        <f>I67+J67</f>
        <v/>
      </c>
      <c r="L67" s="8" t="n">
        <v>37118.5</v>
      </c>
      <c r="M67" s="8">
        <f>K67+L67</f>
        <v/>
      </c>
    </row>
    <row r="68">
      <c r="A68" s="6" t="n">
        <v>60</v>
      </c>
      <c r="B68" s="7" t="inlineStr">
        <is>
          <t>C1102</t>
        </is>
      </c>
      <c r="C68" s="6" t="inlineStr">
        <is>
          <t>COSIDER T131/DTF HELLOUANE BEJAIA</t>
        </is>
      </c>
      <c r="D68" s="9" t="inlineStr"/>
      <c r="E68" s="9" t="inlineStr"/>
      <c r="F68" s="7" t="inlineStr"/>
      <c r="G68" s="6" t="inlineStr"/>
      <c r="H68" s="6" t="n">
        <v>2</v>
      </c>
      <c r="I68" s="8" t="n">
        <v>170000</v>
      </c>
      <c r="J68" s="8" t="n">
        <v>0</v>
      </c>
      <c r="K68" s="8">
        <f>I68+J68</f>
        <v/>
      </c>
      <c r="L68" s="8" t="n">
        <v>32300</v>
      </c>
      <c r="M68" s="8">
        <f>K68+L68</f>
        <v/>
      </c>
    </row>
    <row r="69">
      <c r="A69" s="6" t="n">
        <v>61</v>
      </c>
      <c r="B69" s="7" t="inlineStr">
        <is>
          <t>C891</t>
        </is>
      </c>
      <c r="C69" s="6" t="inlineStr">
        <is>
          <t>SACI MOUSSA</t>
        </is>
      </c>
      <c r="D69" s="7" t="inlineStr">
        <is>
          <t>198606010548136</t>
        </is>
      </c>
      <c r="E69" s="7" t="inlineStr">
        <is>
          <t>17A0997778</t>
        </is>
      </c>
      <c r="F69" s="7" t="inlineStr">
        <is>
          <t>06180740845</t>
        </is>
      </c>
      <c r="G69" s="6" t="inlineStr">
        <is>
          <t>VGE REKADA FENAIA BEJAIA</t>
        </is>
      </c>
      <c r="H69" s="6" t="n">
        <v>1</v>
      </c>
      <c r="I69" s="8" t="n">
        <v>161764.7</v>
      </c>
      <c r="J69" s="8" t="n">
        <v>0</v>
      </c>
      <c r="K69" s="8">
        <f>I69+J69</f>
        <v/>
      </c>
      <c r="L69" s="8" t="n">
        <v>30735.29</v>
      </c>
      <c r="M69" s="8">
        <f>K69+L69</f>
        <v/>
      </c>
    </row>
    <row r="70">
      <c r="A70" s="6" t="n">
        <v>62</v>
      </c>
      <c r="B70" s="7" t="inlineStr">
        <is>
          <t>C928</t>
        </is>
      </c>
      <c r="C70" s="6" t="inlineStr">
        <is>
          <t>SARL YAYA LOUNIS ET FRERES TRANSPORT</t>
        </is>
      </c>
      <c r="D70" s="7" t="inlineStr">
        <is>
          <t>002106019056349</t>
        </is>
      </c>
      <c r="E70" s="7" t="inlineStr">
        <is>
          <t>21B0190563-06/00</t>
        </is>
      </c>
      <c r="F70" s="7" t="inlineStr">
        <is>
          <t>06330501061</t>
        </is>
      </c>
      <c r="G70" s="6" t="inlineStr">
        <is>
          <t>LIEU DIT MAALA CNE SIDI AICH BEJAIA</t>
        </is>
      </c>
      <c r="H70" s="6" t="n">
        <v>1</v>
      </c>
      <c r="I70" s="8" t="n">
        <v>142857.14</v>
      </c>
      <c r="J70" s="8" t="n">
        <v>0</v>
      </c>
      <c r="K70" s="8">
        <f>I70+J70</f>
        <v/>
      </c>
      <c r="L70" s="8" t="n">
        <v>27142.86</v>
      </c>
      <c r="M70" s="8">
        <f>K70+L70</f>
        <v/>
      </c>
    </row>
    <row r="71">
      <c r="A71" s="6" t="n">
        <v>63</v>
      </c>
      <c r="B71" s="7" t="inlineStr">
        <is>
          <t>C1087</t>
        </is>
      </c>
      <c r="C71" s="6" t="inlineStr">
        <is>
          <t>DIVERS</t>
        </is>
      </c>
      <c r="D71" s="9" t="inlineStr"/>
      <c r="E71" s="9" t="inlineStr"/>
      <c r="F71" s="7" t="inlineStr"/>
      <c r="G71" s="6" t="inlineStr"/>
      <c r="H71" s="6" t="n">
        <v>2</v>
      </c>
      <c r="I71" s="8" t="n">
        <v>142754.62</v>
      </c>
      <c r="J71" s="8" t="n">
        <v>0</v>
      </c>
      <c r="K71" s="8">
        <f>I71+J71</f>
        <v/>
      </c>
      <c r="L71" s="8" t="n">
        <v>27123.38</v>
      </c>
      <c r="M71" s="8">
        <f>K71+L71</f>
        <v/>
      </c>
    </row>
    <row r="72">
      <c r="A72" s="6" t="n">
        <v>64</v>
      </c>
      <c r="B72" s="7" t="inlineStr">
        <is>
          <t>C1082</t>
        </is>
      </c>
      <c r="C72" s="6" t="inlineStr">
        <is>
          <t>CO.MA.PH</t>
        </is>
      </c>
      <c r="D72" s="9" t="inlineStr"/>
      <c r="E72" s="9" t="inlineStr"/>
      <c r="F72" s="7" t="inlineStr"/>
      <c r="G72" s="6" t="inlineStr"/>
      <c r="H72" s="6" t="n">
        <v>1</v>
      </c>
      <c r="I72" s="8" t="n">
        <v>134453.84</v>
      </c>
      <c r="J72" s="8" t="n">
        <v>0</v>
      </c>
      <c r="K72" s="8">
        <f>I72+J72</f>
        <v/>
      </c>
      <c r="L72" s="8" t="n">
        <v>25546.23</v>
      </c>
      <c r="M72" s="8">
        <f>K72+L72</f>
        <v/>
      </c>
    </row>
    <row r="73">
      <c r="A73" s="6" t="n">
        <v>65</v>
      </c>
      <c r="B73" s="7" t="inlineStr">
        <is>
          <t>C1089</t>
        </is>
      </c>
      <c r="C73" s="6" t="inlineStr">
        <is>
          <t>BEKHOUS RABAH</t>
        </is>
      </c>
      <c r="D73" s="9" t="inlineStr"/>
      <c r="E73" s="9" t="inlineStr"/>
      <c r="F73" s="7" t="inlineStr"/>
      <c r="G73" s="6" t="inlineStr"/>
      <c r="H73" s="6" t="n">
        <v>2</v>
      </c>
      <c r="I73" s="8" t="n">
        <v>130252.11</v>
      </c>
      <c r="J73" s="8" t="n">
        <v>0</v>
      </c>
      <c r="K73" s="8">
        <f>I73+J73</f>
        <v/>
      </c>
      <c r="L73" s="8" t="n">
        <v>24747.91</v>
      </c>
      <c r="M73" s="8">
        <f>K73+L73</f>
        <v/>
      </c>
    </row>
    <row r="74">
      <c r="A74" s="6" t="n">
        <v>66</v>
      </c>
      <c r="B74" s="7" t="inlineStr">
        <is>
          <t>C1034</t>
        </is>
      </c>
      <c r="C74" s="6" t="inlineStr">
        <is>
          <t>CHELDA BELKACEM</t>
        </is>
      </c>
      <c r="D74" s="7" t="inlineStr">
        <is>
          <t>176130102208194</t>
        </is>
      </c>
      <c r="E74" s="7" t="inlineStr">
        <is>
          <t>18A1397405-00/13</t>
        </is>
      </c>
      <c r="F74" s="7" t="inlineStr">
        <is>
          <t>13505207031</t>
        </is>
      </c>
      <c r="G74" s="6" t="inlineStr">
        <is>
          <t>14 AIN DEFLA COOP ELFETH LOCAL N°01 CNE CHETOUANE W TLEMCEN</t>
        </is>
      </c>
      <c r="H74" s="6" t="n">
        <v>1</v>
      </c>
      <c r="I74" s="8" t="n">
        <v>126050.42</v>
      </c>
      <c r="J74" s="8" t="n">
        <v>0</v>
      </c>
      <c r="K74" s="8">
        <f>I74+J74</f>
        <v/>
      </c>
      <c r="L74" s="8" t="n">
        <v>23949.58</v>
      </c>
      <c r="M74" s="8">
        <f>K74+L74</f>
        <v/>
      </c>
    </row>
    <row r="75">
      <c r="A75" s="6" t="n">
        <v>67</v>
      </c>
      <c r="B75" s="7" t="inlineStr">
        <is>
          <t>C676</t>
        </is>
      </c>
      <c r="C75" s="6" t="inlineStr">
        <is>
          <t>MADI AHMED</t>
        </is>
      </c>
      <c r="D75" s="7" t="inlineStr">
        <is>
          <t>796606130004141</t>
        </is>
      </c>
      <c r="E75" s="7" t="inlineStr">
        <is>
          <t>01/0919808 A 98</t>
        </is>
      </c>
      <c r="F75" s="7" t="inlineStr">
        <is>
          <t>06017503042</t>
        </is>
      </c>
      <c r="G75" s="6" t="inlineStr">
        <is>
          <t>VGE IGHIL OUAZZOUG BEJAIA</t>
        </is>
      </c>
      <c r="H75" s="6" t="n">
        <v>1</v>
      </c>
      <c r="I75" s="8" t="n">
        <v>118639.97</v>
      </c>
      <c r="J75" s="8" t="n">
        <v>0</v>
      </c>
      <c r="K75" s="8">
        <f>I75+J75</f>
        <v/>
      </c>
      <c r="L75" s="8" t="n">
        <v>22541.59</v>
      </c>
      <c r="M75" s="8">
        <f>K75+L75</f>
        <v/>
      </c>
    </row>
    <row r="76">
      <c r="A76" s="6" t="n">
        <v>68</v>
      </c>
      <c r="B76" s="7" t="inlineStr">
        <is>
          <t>C023</t>
        </is>
      </c>
      <c r="C76" s="6" t="inlineStr">
        <is>
          <t>MEZGHICH YOUCEF</t>
        </is>
      </c>
      <c r="D76" s="7" t="inlineStr">
        <is>
          <t>197806020015639</t>
        </is>
      </c>
      <c r="E76" s="7" t="inlineStr">
        <is>
          <t>09A0959673</t>
        </is>
      </c>
      <c r="F76" s="7" t="inlineStr">
        <is>
          <t>06020390643</t>
        </is>
      </c>
      <c r="G76" s="6" t="inlineStr">
        <is>
          <t>VGE MERDJ OUAMANE AMIZOUR BEJAIA</t>
        </is>
      </c>
      <c r="H76" s="6" t="n">
        <v>1</v>
      </c>
      <c r="I76" s="8" t="n">
        <v>118487.4</v>
      </c>
      <c r="J76" s="8" t="n">
        <v>0</v>
      </c>
      <c r="K76" s="8">
        <f>I76+J76</f>
        <v/>
      </c>
      <c r="L76" s="8" t="n">
        <v>22512.61</v>
      </c>
      <c r="M76" s="8">
        <f>K76+L76</f>
        <v/>
      </c>
    </row>
    <row r="77">
      <c r="A77" s="6" t="n">
        <v>69</v>
      </c>
      <c r="B77" s="7" t="inlineStr">
        <is>
          <t>C051</t>
        </is>
      </c>
      <c r="C77" s="6" t="inlineStr">
        <is>
          <t>HENNOUNI ALI</t>
        </is>
      </c>
      <c r="D77" s="7" t="inlineStr">
        <is>
          <t>195944020027240</t>
        </is>
      </c>
      <c r="E77" s="7" t="inlineStr">
        <is>
          <t>00A4520295</t>
        </is>
      </c>
      <c r="F77" s="7" t="inlineStr">
        <is>
          <t>02011212081</t>
        </is>
      </c>
      <c r="G77" s="6" t="inlineStr">
        <is>
          <t>HAY KARMILA N°10 CHLEF</t>
        </is>
      </c>
      <c r="H77" s="6" t="n">
        <v>1</v>
      </c>
      <c r="I77" s="8" t="n">
        <v>117647.06</v>
      </c>
      <c r="J77" s="8" t="n">
        <v>0</v>
      </c>
      <c r="K77" s="8">
        <f>I77+J77</f>
        <v/>
      </c>
      <c r="L77" s="8" t="n">
        <v>22352.94</v>
      </c>
      <c r="M77" s="8">
        <f>K77+L77</f>
        <v/>
      </c>
    </row>
    <row r="78">
      <c r="A78" s="6" t="n">
        <v>70</v>
      </c>
      <c r="B78" s="7" t="inlineStr">
        <is>
          <t>C759</t>
        </is>
      </c>
      <c r="C78" s="6" t="inlineStr">
        <is>
          <t>HANIFI SALAH</t>
        </is>
      </c>
      <c r="D78" s="7" t="inlineStr">
        <is>
          <t>796106140004145</t>
        </is>
      </c>
      <c r="E78" s="7" t="inlineStr">
        <is>
          <t>98A0911957/03</t>
        </is>
      </c>
      <c r="F78" s="7" t="inlineStr">
        <is>
          <t>06140821201</t>
        </is>
      </c>
      <c r="G78" s="6" t="inlineStr">
        <is>
          <t>LA MISSION SIDI AICH BEJAIA</t>
        </is>
      </c>
      <c r="H78" s="6" t="n">
        <v>3</v>
      </c>
      <c r="I78" s="8" t="n">
        <v>117428.57</v>
      </c>
      <c r="J78" s="8" t="n">
        <v>0</v>
      </c>
      <c r="K78" s="8">
        <f>I78+J78</f>
        <v/>
      </c>
      <c r="L78" s="8" t="n">
        <v>22311.43</v>
      </c>
      <c r="M78" s="8">
        <f>K78+L78</f>
        <v/>
      </c>
    </row>
    <row r="79">
      <c r="A79" s="6" t="n">
        <v>71</v>
      </c>
      <c r="B79" s="7" t="inlineStr">
        <is>
          <t>C1079</t>
        </is>
      </c>
      <c r="C79" s="6" t="inlineStr">
        <is>
          <t>ENTREPRISE NAFTAL AGENCE COM ORAN</t>
        </is>
      </c>
      <c r="D79" s="9" t="inlineStr"/>
      <c r="E79" s="9" t="inlineStr"/>
      <c r="F79" s="7" t="inlineStr"/>
      <c r="G79" s="6" t="inlineStr"/>
      <c r="H79" s="6" t="n">
        <v>1</v>
      </c>
      <c r="I79" s="8" t="n">
        <v>102252.1</v>
      </c>
      <c r="J79" s="8" t="n">
        <v>0</v>
      </c>
      <c r="K79" s="8">
        <f>I79+J79</f>
        <v/>
      </c>
      <c r="L79" s="8" t="n">
        <v>19427.9</v>
      </c>
      <c r="M79" s="8">
        <f>K79+L79</f>
        <v/>
      </c>
    </row>
    <row r="80">
      <c r="A80" s="6" t="n">
        <v>72</v>
      </c>
      <c r="B80" s="7" t="inlineStr">
        <is>
          <t>C1090</t>
        </is>
      </c>
      <c r="C80" s="6" t="inlineStr">
        <is>
          <t>LASSAKEUR RIAD GPROS</t>
        </is>
      </c>
      <c r="D80" s="9" t="inlineStr"/>
      <c r="E80" s="9" t="inlineStr"/>
      <c r="F80" s="7" t="inlineStr"/>
      <c r="G80" s="6" t="inlineStr"/>
      <c r="H80" s="6" t="n">
        <v>1</v>
      </c>
      <c r="I80" s="8" t="n">
        <v>101680.67</v>
      </c>
      <c r="J80" s="8" t="n">
        <v>0</v>
      </c>
      <c r="K80" s="8">
        <f>I80+J80</f>
        <v/>
      </c>
      <c r="L80" s="8" t="n">
        <v>19319.33</v>
      </c>
      <c r="M80" s="8">
        <f>K80+L80</f>
        <v/>
      </c>
    </row>
    <row r="81">
      <c r="A81" s="6" t="n">
        <v>73</v>
      </c>
      <c r="B81" s="7" t="inlineStr">
        <is>
          <t>C1097</t>
        </is>
      </c>
      <c r="C81" s="6" t="inlineStr">
        <is>
          <t>SARL GENI MAT</t>
        </is>
      </c>
      <c r="D81" s="9" t="inlineStr"/>
      <c r="E81" s="9" t="inlineStr"/>
      <c r="F81" s="7" t="inlineStr"/>
      <c r="G81" s="6" t="inlineStr"/>
      <c r="H81" s="6" t="n">
        <v>1</v>
      </c>
      <c r="I81" s="8" t="n">
        <v>91428.57000000001</v>
      </c>
      <c r="J81" s="8" t="n">
        <v>0</v>
      </c>
      <c r="K81" s="8">
        <f>I81+J81</f>
        <v/>
      </c>
      <c r="L81" s="8" t="n">
        <v>17371.43</v>
      </c>
      <c r="M81" s="8">
        <f>K81+L81</f>
        <v/>
      </c>
    </row>
    <row r="82">
      <c r="A82" s="6" t="n">
        <v>74</v>
      </c>
      <c r="B82" s="7" t="inlineStr">
        <is>
          <t>C1095</t>
        </is>
      </c>
      <c r="C82" s="6" t="inlineStr">
        <is>
          <t>MOUDJEB DJAFFAR</t>
        </is>
      </c>
      <c r="D82" s="9" t="inlineStr"/>
      <c r="E82" s="9" t="inlineStr"/>
      <c r="F82" s="7" t="inlineStr"/>
      <c r="G82" s="6" t="inlineStr"/>
      <c r="H82" s="6" t="n">
        <v>1</v>
      </c>
      <c r="I82" s="8" t="n">
        <v>77310.92999999999</v>
      </c>
      <c r="J82" s="8" t="n">
        <v>0</v>
      </c>
      <c r="K82" s="8">
        <f>I82+J82</f>
        <v/>
      </c>
      <c r="L82" s="8" t="n">
        <v>14689.08</v>
      </c>
      <c r="M82" s="8">
        <f>K82+L82</f>
        <v/>
      </c>
    </row>
    <row r="83">
      <c r="A83" s="6" t="n">
        <v>75</v>
      </c>
      <c r="B83" s="7" t="inlineStr">
        <is>
          <t>C009</t>
        </is>
      </c>
      <c r="C83" s="6" t="inlineStr">
        <is>
          <t>NAFTAL DMR ORAN</t>
        </is>
      </c>
      <c r="D83" s="7" t="inlineStr">
        <is>
          <t>098042880008839</t>
        </is>
      </c>
      <c r="E83" s="7" t="inlineStr">
        <is>
          <t>99B9691</t>
        </is>
      </c>
      <c r="F83" s="7" t="inlineStr">
        <is>
          <t>31053407021</t>
        </is>
      </c>
      <c r="G83" s="6" t="inlineStr">
        <is>
          <t>DMR BP 151 ZI NII ES-SENIA ORAN</t>
        </is>
      </c>
      <c r="H83" s="6" t="n">
        <v>1</v>
      </c>
      <c r="I83" s="8" t="n">
        <v>73000</v>
      </c>
      <c r="J83" s="8" t="n">
        <v>0</v>
      </c>
      <c r="K83" s="8">
        <f>I83+J83</f>
        <v/>
      </c>
      <c r="L83" s="8" t="n">
        <v>13870</v>
      </c>
      <c r="M83" s="8">
        <f>K83+L83</f>
        <v/>
      </c>
    </row>
    <row r="84">
      <c r="A84" s="6" t="n">
        <v>76</v>
      </c>
      <c r="B84" s="7" t="inlineStr">
        <is>
          <t>C1083</t>
        </is>
      </c>
      <c r="C84" s="6" t="inlineStr">
        <is>
          <t>SARL CAPROMET</t>
        </is>
      </c>
      <c r="D84" s="9" t="inlineStr"/>
      <c r="E84" s="9" t="inlineStr"/>
      <c r="F84" s="7" t="inlineStr"/>
      <c r="G84" s="6" t="inlineStr"/>
      <c r="H84" s="6" t="n">
        <v>1</v>
      </c>
      <c r="I84" s="8" t="n">
        <v>56000</v>
      </c>
      <c r="J84" s="8" t="n">
        <v>0</v>
      </c>
      <c r="K84" s="8">
        <f>I84+J84</f>
        <v/>
      </c>
      <c r="L84" s="8" t="n">
        <v>10640</v>
      </c>
      <c r="M84" s="8">
        <f>K84+L84</f>
        <v/>
      </c>
    </row>
    <row r="85">
      <c r="A85" s="6" t="n">
        <v>77</v>
      </c>
      <c r="B85" s="7" t="inlineStr">
        <is>
          <t>C622</t>
        </is>
      </c>
      <c r="C85" s="6" t="inlineStr">
        <is>
          <t>MASSIOUN HAMZA</t>
        </is>
      </c>
      <c r="D85" s="7" t="inlineStr">
        <is>
          <t>198306070013933</t>
        </is>
      </c>
      <c r="E85" s="7" t="inlineStr">
        <is>
          <t>0940573 A 04/06 00</t>
        </is>
      </c>
      <c r="F85" s="7" t="inlineStr">
        <is>
          <t>06070621001</t>
        </is>
      </c>
      <c r="G85" s="6" t="inlineStr">
        <is>
          <t>VGE AMSIOUENE TIMEZRIT BEJAIA</t>
        </is>
      </c>
      <c r="H85" s="6" t="n">
        <v>1</v>
      </c>
      <c r="I85" s="8" t="n">
        <v>52941.18</v>
      </c>
      <c r="J85" s="8" t="n">
        <v>0</v>
      </c>
      <c r="K85" s="8">
        <f>I85+J85</f>
        <v/>
      </c>
      <c r="L85" s="8" t="n">
        <v>10058.82</v>
      </c>
      <c r="M85" s="8">
        <f>K85+L85</f>
        <v/>
      </c>
    </row>
    <row r="86">
      <c r="A86" s="6" t="n">
        <v>78</v>
      </c>
      <c r="B86" s="7" t="inlineStr">
        <is>
          <t>C549</t>
        </is>
      </c>
      <c r="C86" s="6" t="inlineStr">
        <is>
          <t>SELLAH FARID</t>
        </is>
      </c>
      <c r="D86" s="7" t="inlineStr">
        <is>
          <t>198506250019727</t>
        </is>
      </c>
      <c r="E86" s="7" t="inlineStr">
        <is>
          <t>06/00-0959963 A 09</t>
        </is>
      </c>
      <c r="F86" s="7" t="inlineStr">
        <is>
          <t>06260103013</t>
        </is>
      </c>
      <c r="G86" s="6" t="inlineStr">
        <is>
          <t>VGE AKHENAK SEDOUK W BEJAIA BEJAIA</t>
        </is>
      </c>
      <c r="H86" s="6" t="n">
        <v>1</v>
      </c>
      <c r="I86" s="8" t="n">
        <v>46603.36</v>
      </c>
      <c r="J86" s="8" t="n">
        <v>0</v>
      </c>
      <c r="K86" s="8">
        <f>I86+J86</f>
        <v/>
      </c>
      <c r="L86" s="8" t="n">
        <v>8854.639999999999</v>
      </c>
      <c r="M86" s="8">
        <f>K86+L86</f>
        <v/>
      </c>
    </row>
    <row r="87">
      <c r="A87" s="6" t="n">
        <v>79</v>
      </c>
      <c r="B87" s="7" t="inlineStr">
        <is>
          <t>C1103</t>
        </is>
      </c>
      <c r="C87" s="6" t="inlineStr">
        <is>
          <t>NAFTAL LP 206G BEJAIA</t>
        </is>
      </c>
      <c r="D87" s="9" t="inlineStr"/>
      <c r="E87" s="9" t="inlineStr"/>
      <c r="F87" s="7" t="inlineStr"/>
      <c r="G87" s="6" t="inlineStr"/>
      <c r="H87" s="6" t="n">
        <v>1</v>
      </c>
      <c r="I87" s="8" t="n">
        <v>25000</v>
      </c>
      <c r="J87" s="8" t="n">
        <v>25000</v>
      </c>
      <c r="K87" s="8">
        <f>I87+J87</f>
        <v/>
      </c>
      <c r="L87" s="8" t="n">
        <v>4750</v>
      </c>
      <c r="M87" s="8">
        <f>K87+L87</f>
        <v/>
      </c>
    </row>
    <row r="88">
      <c r="A88" s="6" t="n">
        <v>80</v>
      </c>
      <c r="B88" s="7" t="inlineStr">
        <is>
          <t>C1081</t>
        </is>
      </c>
      <c r="C88" s="6" t="inlineStr">
        <is>
          <t>EURL TRANSPORT DE MARCHANDISES SERIR</t>
        </is>
      </c>
      <c r="D88" s="9" t="inlineStr"/>
      <c r="E88" s="9" t="inlineStr"/>
      <c r="F88" s="7" t="inlineStr"/>
      <c r="G88" s="6" t="inlineStr"/>
      <c r="H88" s="6" t="n">
        <v>1</v>
      </c>
      <c r="I88" s="8" t="n">
        <v>43375.5</v>
      </c>
      <c r="J88" s="8" t="n">
        <v>0</v>
      </c>
      <c r="K88" s="8">
        <f>I88+J88</f>
        <v/>
      </c>
      <c r="L88" s="8" t="n">
        <v>8241.35</v>
      </c>
      <c r="M88" s="8">
        <f>K88+L88</f>
        <v/>
      </c>
    </row>
    <row r="89">
      <c r="A89" s="6" t="n">
        <v>81</v>
      </c>
      <c r="B89" s="7" t="inlineStr">
        <is>
          <t>C1101</t>
        </is>
      </c>
      <c r="C89" s="6" t="inlineStr">
        <is>
          <t>COSIDER TP</t>
        </is>
      </c>
      <c r="D89" s="9" t="inlineStr"/>
      <c r="E89" s="9" t="inlineStr"/>
      <c r="F89" s="7" t="inlineStr"/>
      <c r="G89" s="6" t="inlineStr"/>
      <c r="H89" s="6" t="n">
        <v>1</v>
      </c>
      <c r="I89" s="8" t="n">
        <v>35000</v>
      </c>
      <c r="J89" s="8" t="n">
        <v>0</v>
      </c>
      <c r="K89" s="8">
        <f>I89+J89</f>
        <v/>
      </c>
      <c r="L89" s="8" t="n">
        <v>6650</v>
      </c>
      <c r="M89" s="8">
        <f>K89+L89</f>
        <v/>
      </c>
    </row>
    <row r="90">
      <c r="B90" s="10" t="inlineStr">
        <is>
          <t>TOTAL</t>
        </is>
      </c>
      <c r="I90" s="11">
        <f>SUM(I9:I89)</f>
        <v/>
      </c>
      <c r="J90" s="11">
        <f>SUM(J9:J89)</f>
        <v/>
      </c>
      <c r="K90" s="11">
        <f>SUM(K9:K89)</f>
        <v/>
      </c>
      <c r="L90" s="11">
        <f>SUM(L9:L89)</f>
        <v/>
      </c>
      <c r="M90" s="11">
        <f>SUM(M9:M89)</f>
        <v/>
      </c>
    </row>
    <row r="92">
      <c r="A92" s="4" t="inlineStr">
        <is>
          <t>30 clients sans NIF : ce sont surtout les nouveaux clients 2026 (codes C1079 et suivants). Le NIF est obligatoire dans l'état déposé avec la liasse.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8" customWidth="1" min="4" max="4"/>
  </cols>
  <sheetData>
    <row r="1">
      <c r="A1" s="12" t="inlineStr">
        <is>
          <t>Chiffre d'affaires facturé par mois (gros + détail)</t>
        </is>
      </c>
    </row>
    <row r="3" ht="30" customHeight="1">
      <c r="A3" s="5" t="inlineStr">
        <is>
          <t>Mois</t>
        </is>
      </c>
      <c r="B3" s="5" t="inlineStr">
        <is>
          <t>Total HT</t>
        </is>
      </c>
      <c r="C3" s="5" t="inlineStr">
        <is>
          <t>TVA</t>
        </is>
      </c>
      <c r="D3" s="5" t="inlineStr">
        <is>
          <t>TTC</t>
        </is>
      </c>
    </row>
    <row r="4">
      <c r="A4" s="6" t="inlineStr">
        <is>
          <t>2026-01</t>
        </is>
      </c>
      <c r="B4" s="8" t="n">
        <v>11994522.36</v>
      </c>
      <c r="C4" s="8" t="n">
        <v>2278959.25</v>
      </c>
      <c r="D4" s="8" t="n">
        <v>14273481.61</v>
      </c>
    </row>
    <row r="5">
      <c r="A5" s="6" t="inlineStr">
        <is>
          <t>2026-02</t>
        </is>
      </c>
      <c r="B5" s="8" t="n">
        <v>27896239.2</v>
      </c>
      <c r="C5" s="8" t="n">
        <v>5300285.48</v>
      </c>
      <c r="D5" s="8" t="n">
        <v>33196524.68</v>
      </c>
    </row>
    <row r="6">
      <c r="A6" s="6" t="inlineStr">
        <is>
          <t>2026-03</t>
        </is>
      </c>
      <c r="B6" s="8" t="n">
        <v>27006870.27</v>
      </c>
      <c r="C6" s="8" t="n">
        <v>5131305.35</v>
      </c>
      <c r="D6" s="8" t="n">
        <v>32138175.62</v>
      </c>
    </row>
    <row r="7">
      <c r="A7" s="6" t="inlineStr">
        <is>
          <t>2026-04</t>
        </is>
      </c>
      <c r="B7" s="8" t="n">
        <v>10830412.75</v>
      </c>
      <c r="C7" s="8" t="n">
        <v>2049736.12</v>
      </c>
      <c r="D7" s="8" t="n">
        <v>12880148.87</v>
      </c>
    </row>
    <row r="8">
      <c r="A8" s="6" t="inlineStr">
        <is>
          <t>2026-05</t>
        </is>
      </c>
      <c r="B8" s="8" t="n">
        <v>6267522.32</v>
      </c>
      <c r="C8" s="8" t="n">
        <v>1190829.24</v>
      </c>
      <c r="D8" s="8" t="n">
        <v>7458351.56</v>
      </c>
    </row>
    <row r="9">
      <c r="A9" s="6" t="inlineStr">
        <is>
          <t>2026-06</t>
        </is>
      </c>
      <c r="B9" s="8" t="n">
        <v>10481894.15</v>
      </c>
      <c r="C9" s="8" t="n">
        <v>1991559.88</v>
      </c>
      <c r="D9" s="8" t="n">
        <v>12473454.03</v>
      </c>
    </row>
    <row r="10">
      <c r="A10" s="6" t="inlineStr">
        <is>
          <t>2026-07</t>
        </is>
      </c>
      <c r="B10" s="8" t="n">
        <v>7079617.69</v>
      </c>
      <c r="C10" s="8" t="n">
        <v>1345127.36</v>
      </c>
      <c r="D10" s="8" t="n">
        <v>8424745.050000001</v>
      </c>
    </row>
    <row r="11">
      <c r="A11" s="6" t="inlineStr">
        <is>
          <t>2026-08</t>
        </is>
      </c>
      <c r="B11" s="8" t="n">
        <v>4413684.11</v>
      </c>
      <c r="C11" s="8" t="n">
        <v>833849.99</v>
      </c>
      <c r="D11" s="8" t="n">
        <v>5247534.1</v>
      </c>
    </row>
    <row r="12">
      <c r="A12" s="6" t="inlineStr">
        <is>
          <t>2026-09</t>
        </is>
      </c>
      <c r="B12" s="8" t="n">
        <v>4680261.39</v>
      </c>
      <c r="C12" s="8" t="n">
        <v>889249.66</v>
      </c>
      <c r="D12" s="8" t="n">
        <v>5569511.05</v>
      </c>
    </row>
    <row r="13">
      <c r="A13" s="6" t="inlineStr">
        <is>
          <t>2026-10</t>
        </is>
      </c>
      <c r="B13" s="8" t="n">
        <v>2339000</v>
      </c>
      <c r="C13" s="8" t="n">
        <v>444410</v>
      </c>
      <c r="D13" s="8" t="n">
        <v>2783410</v>
      </c>
    </row>
    <row r="14">
      <c r="B14" s="11">
        <f>SUM(B4:B13)</f>
        <v/>
      </c>
      <c r="C14" s="11">
        <f>SUM(C4:C13)</f>
        <v/>
      </c>
      <c r="D14" s="11">
        <f>SUM(D4:D13)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H28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9" customWidth="1" min="3" max="3"/>
    <col width="26" customWidth="1" min="4" max="4"/>
    <col width="18" customWidth="1" min="5" max="5"/>
    <col width="18" customWidth="1" min="6" max="6"/>
    <col width="18" customWidth="1" min="7" max="7"/>
    <col width="20" customWidth="1" min="8" max="8"/>
  </cols>
  <sheetData>
    <row r="2">
      <c r="A2" s="12" t="inlineStr">
        <is>
          <t>Situation des comptes clients au 04/10/2026 (journal comptable 2026)</t>
        </is>
      </c>
    </row>
    <row r="3" ht="30" customHeight="1">
      <c r="A3" s="5" t="inlineStr">
        <is>
          <t>Code tiers</t>
        </is>
      </c>
      <c r="B3" s="5" t="inlineStr">
        <is>
          <t>Nom</t>
        </is>
      </c>
      <c r="C3" s="5" t="inlineStr">
        <is>
          <t>Compte</t>
        </is>
      </c>
      <c r="D3" s="5" t="inlineStr">
        <is>
          <t>Intitulé</t>
        </is>
      </c>
      <c r="E3" s="5" t="inlineStr">
        <is>
          <t>Solde au 01/01/2026</t>
        </is>
      </c>
      <c r="F3" s="5" t="inlineStr">
        <is>
          <t>Débit 2026</t>
        </is>
      </c>
      <c r="G3" s="5" t="inlineStr">
        <is>
          <t>Crédit 2026</t>
        </is>
      </c>
      <c r="H3" s="5" t="inlineStr">
        <is>
          <t>Solde (débiteur + / créditeur −)</t>
        </is>
      </c>
    </row>
    <row r="4">
      <c r="A4" s="7" t="inlineStr">
        <is>
          <t>C004</t>
        </is>
      </c>
      <c r="B4" s="6" t="inlineStr">
        <is>
          <t>DJENNADI ABDELKRIM</t>
        </is>
      </c>
      <c r="C4" s="7" t="inlineStr">
        <is>
          <t>41100</t>
        </is>
      </c>
      <c r="D4" s="6" t="inlineStr">
        <is>
          <t>Clients</t>
        </is>
      </c>
      <c r="E4" s="8" t="n">
        <v>-9699999.99</v>
      </c>
      <c r="F4" s="8" t="n">
        <v>15160538.41</v>
      </c>
      <c r="G4" s="8" t="n">
        <v>5231741.6</v>
      </c>
      <c r="H4" s="8">
        <f>E4+F4-G4</f>
        <v/>
      </c>
    </row>
    <row r="5">
      <c r="A5" s="7" t="inlineStr">
        <is>
          <t>C009</t>
        </is>
      </c>
      <c r="B5" s="6" t="inlineStr">
        <is>
          <t>NAFTAL DMR ORAN</t>
        </is>
      </c>
      <c r="C5" s="7" t="inlineStr">
        <is>
          <t>41100</t>
        </is>
      </c>
      <c r="D5" s="6" t="inlineStr">
        <is>
          <t>Clients</t>
        </is>
      </c>
      <c r="E5" s="8" t="n">
        <v>393890</v>
      </c>
      <c r="F5" s="8" t="n">
        <v>86870</v>
      </c>
      <c r="G5" s="8" t="n">
        <v>121680</v>
      </c>
      <c r="H5" s="8">
        <f>E5+F5-G5</f>
        <v/>
      </c>
    </row>
    <row r="6">
      <c r="A6" s="7" t="inlineStr">
        <is>
          <t>C014</t>
        </is>
      </c>
      <c r="B6" s="6" t="inlineStr">
        <is>
          <t>KOUICI MILOUD</t>
        </is>
      </c>
      <c r="C6" s="7" t="inlineStr">
        <is>
          <t>41100</t>
        </is>
      </c>
      <c r="D6" s="6" t="inlineStr">
        <is>
          <t>Clients</t>
        </is>
      </c>
      <c r="E6" s="8" t="n">
        <v>0</v>
      </c>
      <c r="F6" s="8" t="n">
        <v>899660.02</v>
      </c>
      <c r="G6" s="8" t="n">
        <v>0</v>
      </c>
      <c r="H6" s="8">
        <f>E6+F6-G6</f>
        <v/>
      </c>
    </row>
    <row r="7">
      <c r="A7" s="7" t="inlineStr">
        <is>
          <t>C023</t>
        </is>
      </c>
      <c r="B7" s="6" t="inlineStr">
        <is>
          <t>MEZGHICHE YOUCEF</t>
        </is>
      </c>
      <c r="C7" s="7" t="inlineStr">
        <is>
          <t>41100</t>
        </is>
      </c>
      <c r="D7" s="6" t="inlineStr">
        <is>
          <t>Clients</t>
        </is>
      </c>
      <c r="E7" s="8" t="n">
        <v>0</v>
      </c>
      <c r="F7" s="8" t="n">
        <v>141000.01</v>
      </c>
      <c r="G7" s="8" t="n">
        <v>0</v>
      </c>
      <c r="H7" s="8">
        <f>E7+F7-G7</f>
        <v/>
      </c>
    </row>
    <row r="8">
      <c r="A8" s="7" t="inlineStr">
        <is>
          <t>C051</t>
        </is>
      </c>
      <c r="B8" s="6" t="inlineStr">
        <is>
          <t>HENNOUNI ALI</t>
        </is>
      </c>
      <c r="C8" s="7" t="inlineStr">
        <is>
          <t>41100</t>
        </is>
      </c>
      <c r="D8" s="6" t="inlineStr">
        <is>
          <t>Clients</t>
        </is>
      </c>
      <c r="E8" s="8" t="n">
        <v>0</v>
      </c>
      <c r="F8" s="8" t="n">
        <v>140000</v>
      </c>
      <c r="G8" s="8" t="n">
        <v>0</v>
      </c>
      <c r="H8" s="8">
        <f>E8+F8-G8</f>
        <v/>
      </c>
    </row>
    <row r="9">
      <c r="A9" s="7" t="inlineStr">
        <is>
          <t>C075</t>
        </is>
      </c>
      <c r="B9" s="6" t="inlineStr">
        <is>
          <t>SAIDOUN YACINE</t>
        </is>
      </c>
      <c r="C9" s="7" t="inlineStr">
        <is>
          <t>41100</t>
        </is>
      </c>
      <c r="D9" s="6" t="inlineStr">
        <is>
          <t>Clients</t>
        </is>
      </c>
      <c r="E9" s="8" t="n">
        <v>400000</v>
      </c>
      <c r="F9" s="8" t="n">
        <v>0</v>
      </c>
      <c r="G9" s="8" t="n">
        <v>0</v>
      </c>
      <c r="H9" s="8">
        <f>E9+F9-G9</f>
        <v/>
      </c>
    </row>
    <row r="10">
      <c r="A10" s="7" t="inlineStr">
        <is>
          <t>C098</t>
        </is>
      </c>
      <c r="B10" s="6" t="inlineStr">
        <is>
          <t>HEMMAR ABDELHAMID</t>
        </is>
      </c>
      <c r="C10" s="7" t="inlineStr">
        <is>
          <t>41100</t>
        </is>
      </c>
      <c r="D10" s="6" t="inlineStr">
        <is>
          <t>Clients</t>
        </is>
      </c>
      <c r="E10" s="8" t="n">
        <v>0</v>
      </c>
      <c r="F10" s="8" t="n">
        <v>4000000</v>
      </c>
      <c r="G10" s="8" t="n">
        <v>0</v>
      </c>
      <c r="H10" s="8">
        <f>E10+F10-G10</f>
        <v/>
      </c>
    </row>
    <row r="11">
      <c r="A11" s="7" t="inlineStr">
        <is>
          <t>C1012</t>
        </is>
      </c>
      <c r="B11" s="6" t="inlineStr">
        <is>
          <t>SARL META GRAIN</t>
        </is>
      </c>
      <c r="C11" s="7" t="inlineStr">
        <is>
          <t>41100</t>
        </is>
      </c>
      <c r="D11" s="6" t="inlineStr">
        <is>
          <t>Clients</t>
        </is>
      </c>
      <c r="E11" s="8" t="n">
        <v>0</v>
      </c>
      <c r="F11" s="8" t="n">
        <v>840000</v>
      </c>
      <c r="G11" s="8" t="n">
        <v>0</v>
      </c>
      <c r="H11" s="8">
        <f>E11+F11-G11</f>
        <v/>
      </c>
    </row>
    <row r="12">
      <c r="A12" s="7" t="inlineStr">
        <is>
          <t>C1026</t>
        </is>
      </c>
      <c r="B12" s="6" t="inlineStr">
        <is>
          <t>EURL LOGISTIQUE TRANS EL SALEM</t>
        </is>
      </c>
      <c r="C12" s="7" t="inlineStr">
        <is>
          <t>41100</t>
        </is>
      </c>
      <c r="D12" s="6" t="inlineStr">
        <is>
          <t>Clients</t>
        </is>
      </c>
      <c r="E12" s="8" t="n">
        <v>0</v>
      </c>
      <c r="F12" s="8" t="n">
        <v>1500000</v>
      </c>
      <c r="G12" s="8" t="n">
        <v>0</v>
      </c>
      <c r="H12" s="8">
        <f>E12+F12-G12</f>
        <v/>
      </c>
    </row>
    <row r="13">
      <c r="A13" s="7" t="inlineStr">
        <is>
          <t>C1028</t>
        </is>
      </c>
      <c r="B13" s="6" t="inlineStr">
        <is>
          <t>BOUAICHI HANAFI</t>
        </is>
      </c>
      <c r="C13" s="7" t="inlineStr">
        <is>
          <t>41100</t>
        </is>
      </c>
      <c r="D13" s="6" t="inlineStr">
        <is>
          <t>Clients</t>
        </is>
      </c>
      <c r="E13" s="8" t="n">
        <v>0</v>
      </c>
      <c r="F13" s="8" t="n">
        <v>335508.04</v>
      </c>
      <c r="G13" s="8" t="n">
        <v>0</v>
      </c>
      <c r="H13" s="8">
        <f>E13+F13-G13</f>
        <v/>
      </c>
    </row>
    <row r="14">
      <c r="A14" s="7" t="inlineStr">
        <is>
          <t>C1032</t>
        </is>
      </c>
      <c r="B14" s="6" t="inlineStr">
        <is>
          <t>EURL STE EZZAHRA LOC.MAT.ENT.</t>
        </is>
      </c>
      <c r="C14" s="7" t="inlineStr">
        <is>
          <t>41100</t>
        </is>
      </c>
      <c r="D14" s="6" t="inlineStr">
        <is>
          <t>Clients</t>
        </is>
      </c>
      <c r="E14" s="8" t="n">
        <v>0</v>
      </c>
      <c r="F14" s="8" t="n">
        <v>0</v>
      </c>
      <c r="G14" s="8" t="n">
        <v>950000</v>
      </c>
      <c r="H14" s="8">
        <f>E14+F14-G14</f>
        <v/>
      </c>
    </row>
    <row r="15">
      <c r="A15" s="7" t="inlineStr">
        <is>
          <t>C1034</t>
        </is>
      </c>
      <c r="B15" s="6" t="inlineStr">
        <is>
          <t>CHELDA BELKACEM</t>
        </is>
      </c>
      <c r="C15" s="7" t="inlineStr">
        <is>
          <t>41100</t>
        </is>
      </c>
      <c r="D15" s="6" t="inlineStr">
        <is>
          <t>Clients</t>
        </is>
      </c>
      <c r="E15" s="8" t="n">
        <v>0</v>
      </c>
      <c r="F15" s="8" t="n">
        <v>150000</v>
      </c>
      <c r="G15" s="8" t="n">
        <v>0</v>
      </c>
      <c r="H15" s="8">
        <f>E15+F15-G15</f>
        <v/>
      </c>
    </row>
    <row r="16">
      <c r="A16" s="7" t="inlineStr">
        <is>
          <t>C1039</t>
        </is>
      </c>
      <c r="B16" s="6" t="inlineStr">
        <is>
          <t>BOUHAMMA DJAMEL EDDINE</t>
        </is>
      </c>
      <c r="C16" s="7" t="inlineStr">
        <is>
          <t>41100</t>
        </is>
      </c>
      <c r="D16" s="6" t="inlineStr">
        <is>
          <t>Clients</t>
        </is>
      </c>
      <c r="E16" s="8" t="n">
        <v>0</v>
      </c>
      <c r="F16" s="8" t="n">
        <v>1000000.02</v>
      </c>
      <c r="G16" s="8" t="n">
        <v>0</v>
      </c>
      <c r="H16" s="8">
        <f>E16+F16-G16</f>
        <v/>
      </c>
    </row>
    <row r="17">
      <c r="A17" s="7" t="inlineStr">
        <is>
          <t>C1040</t>
        </is>
      </c>
      <c r="B17" s="6" t="inlineStr">
        <is>
          <t>BENLEDRA DJAHID</t>
        </is>
      </c>
      <c r="C17" s="7" t="inlineStr">
        <is>
          <t>41100</t>
        </is>
      </c>
      <c r="D17" s="6" t="inlineStr">
        <is>
          <t>Clients</t>
        </is>
      </c>
      <c r="E17" s="8" t="n">
        <v>0</v>
      </c>
      <c r="F17" s="8" t="n">
        <v>437400.04</v>
      </c>
      <c r="G17" s="8" t="n">
        <v>437400</v>
      </c>
      <c r="H17" s="8">
        <f>E17+F17-G17</f>
        <v/>
      </c>
    </row>
    <row r="18">
      <c r="A18" s="7" t="inlineStr">
        <is>
          <t>C1041</t>
        </is>
      </c>
      <c r="B18" s="6" t="inlineStr">
        <is>
          <t>SNC AVI BOUDEDJA ET CIE</t>
        </is>
      </c>
      <c r="C18" s="7" t="inlineStr">
        <is>
          <t>41100</t>
        </is>
      </c>
      <c r="D18" s="6" t="inlineStr">
        <is>
          <t>Clients</t>
        </is>
      </c>
      <c r="E18" s="8" t="n">
        <v>-1361200</v>
      </c>
      <c r="F18" s="8" t="n">
        <v>1361200.01</v>
      </c>
      <c r="G18" s="8" t="n">
        <v>0</v>
      </c>
      <c r="H18" s="8">
        <f>E18+F18-G18</f>
        <v/>
      </c>
    </row>
    <row r="19">
      <c r="A19" s="7" t="inlineStr">
        <is>
          <t>C1047</t>
        </is>
      </c>
      <c r="B19" s="6" t="inlineStr">
        <is>
          <t>SARL ATELIER SERVICES TRUCKS</t>
        </is>
      </c>
      <c r="C19" s="7" t="inlineStr">
        <is>
          <t>41100</t>
        </is>
      </c>
      <c r="D19" s="6" t="inlineStr">
        <is>
          <t>Clients</t>
        </is>
      </c>
      <c r="E19" s="8" t="n">
        <v>1154000.03</v>
      </c>
      <c r="F19" s="8" t="n">
        <v>3722600</v>
      </c>
      <c r="G19" s="8" t="n">
        <v>1920200</v>
      </c>
      <c r="H19" s="8">
        <f>E19+F19-G19</f>
        <v/>
      </c>
    </row>
    <row r="20">
      <c r="A20" s="7" t="inlineStr">
        <is>
          <t>C1050</t>
        </is>
      </c>
      <c r="B20" s="6" t="inlineStr">
        <is>
          <t>EURL MEHTAR SERVICES</t>
        </is>
      </c>
      <c r="C20" s="7" t="inlineStr">
        <is>
          <t>41100</t>
        </is>
      </c>
      <c r="D20" s="6" t="inlineStr">
        <is>
          <t>Clients</t>
        </is>
      </c>
      <c r="E20" s="8" t="n">
        <v>-350000</v>
      </c>
      <c r="F20" s="8" t="n">
        <v>2250000.02</v>
      </c>
      <c r="G20" s="8" t="n">
        <v>900000</v>
      </c>
      <c r="H20" s="8">
        <f>E20+F20-G20</f>
        <v/>
      </c>
    </row>
    <row r="21">
      <c r="A21" s="7" t="inlineStr">
        <is>
          <t>C1053</t>
        </is>
      </c>
      <c r="B21" s="6" t="inlineStr">
        <is>
          <t>BRASSERIE STAR D'ALGERIE SPA</t>
        </is>
      </c>
      <c r="C21" s="7" t="inlineStr">
        <is>
          <t>41100</t>
        </is>
      </c>
      <c r="D21" s="6" t="inlineStr">
        <is>
          <t>Clients</t>
        </is>
      </c>
      <c r="E21" s="8" t="n">
        <v>389725</v>
      </c>
      <c r="F21" s="8" t="n">
        <v>419475</v>
      </c>
      <c r="G21" s="8" t="n">
        <v>0</v>
      </c>
      <c r="H21" s="8">
        <f>E21+F21-G21</f>
        <v/>
      </c>
    </row>
    <row r="22">
      <c r="A22" s="7" t="inlineStr">
        <is>
          <t>C1063</t>
        </is>
      </c>
      <c r="B22" s="6" t="inlineStr">
        <is>
          <t>DIB AHMED</t>
        </is>
      </c>
      <c r="C22" s="7" t="inlineStr">
        <is>
          <t>41100</t>
        </is>
      </c>
      <c r="D22" s="6" t="inlineStr">
        <is>
          <t>Clients</t>
        </is>
      </c>
      <c r="E22" s="8" t="n">
        <v>107159.5</v>
      </c>
      <c r="F22" s="8" t="n">
        <v>0</v>
      </c>
      <c r="G22" s="8" t="n">
        <v>0</v>
      </c>
      <c r="H22" s="8">
        <f>E22+F22-G22</f>
        <v/>
      </c>
    </row>
    <row r="23">
      <c r="A23" s="7" t="inlineStr">
        <is>
          <t>C1064</t>
        </is>
      </c>
      <c r="B23" s="6" t="inlineStr">
        <is>
          <t>EURL UNIVERSAL FOOD</t>
        </is>
      </c>
      <c r="C23" s="7" t="inlineStr">
        <is>
          <t>41100</t>
        </is>
      </c>
      <c r="D23" s="6" t="inlineStr">
        <is>
          <t>Clients</t>
        </is>
      </c>
      <c r="E23" s="8" t="n">
        <v>961450</v>
      </c>
      <c r="F23" s="8" t="n">
        <v>0</v>
      </c>
      <c r="G23" s="8" t="n">
        <v>0</v>
      </c>
      <c r="H23" s="8">
        <f>E23+F23-G23</f>
        <v/>
      </c>
    </row>
    <row r="24">
      <c r="A24" s="7" t="inlineStr">
        <is>
          <t>C1067</t>
        </is>
      </c>
      <c r="B24" s="6" t="inlineStr">
        <is>
          <t>MOSTEFAOUI MAHMOUD YACINE</t>
        </is>
      </c>
      <c r="C24" s="7" t="inlineStr">
        <is>
          <t>41100</t>
        </is>
      </c>
      <c r="D24" s="6" t="inlineStr">
        <is>
          <t>Clients</t>
        </is>
      </c>
      <c r="E24" s="8" t="n">
        <v>0</v>
      </c>
      <c r="F24" s="8" t="n">
        <v>0</v>
      </c>
      <c r="G24" s="8" t="n">
        <v>700000</v>
      </c>
      <c r="H24" s="8">
        <f>E24+F24-G24</f>
        <v/>
      </c>
    </row>
    <row r="25">
      <c r="A25" s="7" t="inlineStr">
        <is>
          <t>C1069</t>
        </is>
      </c>
      <c r="B25" s="6" t="inlineStr">
        <is>
          <t>GROUPE AVICOLE ELKSEUR ORAC</t>
        </is>
      </c>
      <c r="C25" s="7" t="inlineStr">
        <is>
          <t>41100</t>
        </is>
      </c>
      <c r="D25" s="6" t="inlineStr">
        <is>
          <t>Clients</t>
        </is>
      </c>
      <c r="E25" s="8" t="n">
        <v>41650</v>
      </c>
      <c r="F25" s="8" t="n">
        <v>0</v>
      </c>
      <c r="G25" s="8" t="n">
        <v>0</v>
      </c>
      <c r="H25" s="8">
        <f>E25+F25-G25</f>
        <v/>
      </c>
    </row>
    <row r="26">
      <c r="A26" s="7" t="inlineStr">
        <is>
          <t>C1071</t>
        </is>
      </c>
      <c r="B26" s="6" t="inlineStr">
        <is>
          <t>SARL TRANS BAOUCHI</t>
        </is>
      </c>
      <c r="C26" s="7" t="inlineStr">
        <is>
          <t>41100</t>
        </is>
      </c>
      <c r="D26" s="6" t="inlineStr">
        <is>
          <t>Clients</t>
        </is>
      </c>
      <c r="E26" s="8" t="n">
        <v>0</v>
      </c>
      <c r="F26" s="8" t="n">
        <v>544544</v>
      </c>
      <c r="G26" s="8" t="n">
        <v>0</v>
      </c>
      <c r="H26" s="8">
        <f>E26+F26-G26</f>
        <v/>
      </c>
    </row>
    <row r="27">
      <c r="A27" s="7" t="inlineStr">
        <is>
          <t>C1075</t>
        </is>
      </c>
      <c r="B27" s="6" t="inlineStr">
        <is>
          <t>SARL PETRO BARAKA</t>
        </is>
      </c>
      <c r="C27" s="7" t="inlineStr">
        <is>
          <t>41100</t>
        </is>
      </c>
      <c r="D27" s="6" t="inlineStr">
        <is>
          <t>Clients</t>
        </is>
      </c>
      <c r="E27" s="8" t="n">
        <v>228480</v>
      </c>
      <c r="F27" s="8" t="n">
        <v>1131690</v>
      </c>
      <c r="G27" s="8" t="n">
        <v>228480</v>
      </c>
      <c r="H27" s="8">
        <f>E27+F27-G27</f>
        <v/>
      </c>
    </row>
    <row r="28">
      <c r="A28" s="7" t="inlineStr">
        <is>
          <t>C1076</t>
        </is>
      </c>
      <c r="B28" s="6" t="inlineStr">
        <is>
          <t>SARL ECI BOUDIAB</t>
        </is>
      </c>
      <c r="C28" s="7" t="inlineStr">
        <is>
          <t>41100</t>
        </is>
      </c>
      <c r="D28" s="6" t="inlineStr">
        <is>
          <t>Clients</t>
        </is>
      </c>
      <c r="E28" s="8" t="n">
        <v>734706</v>
      </c>
      <c r="F28" s="8" t="n">
        <v>1720978</v>
      </c>
      <c r="G28" s="8" t="n">
        <v>0</v>
      </c>
      <c r="H28" s="8">
        <f>E28+F28-G28</f>
        <v/>
      </c>
    </row>
    <row r="29">
      <c r="A29" s="7" t="inlineStr">
        <is>
          <t>C1079</t>
        </is>
      </c>
      <c r="B29" s="6" t="inlineStr">
        <is>
          <t>ENTREPRISE NAFTAL AGENCE COM O</t>
        </is>
      </c>
      <c r="C29" s="7" t="inlineStr">
        <is>
          <t>41100</t>
        </is>
      </c>
      <c r="D29" s="6" t="inlineStr">
        <is>
          <t>Clients</t>
        </is>
      </c>
      <c r="E29" s="8" t="n">
        <v>0</v>
      </c>
      <c r="F29" s="8" t="n">
        <v>121680</v>
      </c>
      <c r="G29" s="8" t="n">
        <v>0</v>
      </c>
      <c r="H29" s="8">
        <f>E29+F29-G29</f>
        <v/>
      </c>
    </row>
    <row r="30">
      <c r="A30" s="7" t="inlineStr">
        <is>
          <t>C1080</t>
        </is>
      </c>
      <c r="B30" s="6" t="inlineStr">
        <is>
          <t>BOUAMARA HICHAM</t>
        </is>
      </c>
      <c r="C30" s="7" t="inlineStr">
        <is>
          <t>41100</t>
        </is>
      </c>
      <c r="D30" s="6" t="inlineStr">
        <is>
          <t>Clients</t>
        </is>
      </c>
      <c r="E30" s="8" t="n">
        <v>0</v>
      </c>
      <c r="F30" s="8" t="n">
        <v>362245.01</v>
      </c>
      <c r="G30" s="8" t="n">
        <v>0</v>
      </c>
      <c r="H30" s="8">
        <f>E30+F30-G30</f>
        <v/>
      </c>
    </row>
    <row r="31">
      <c r="A31" s="7" t="inlineStr">
        <is>
          <t>C1081</t>
        </is>
      </c>
      <c r="B31" s="6" t="inlineStr">
        <is>
          <t>EURL TRANSPORT DE MARCHANDISES</t>
        </is>
      </c>
      <c r="C31" s="7" t="inlineStr">
        <is>
          <t>41100</t>
        </is>
      </c>
      <c r="D31" s="6" t="inlineStr">
        <is>
          <t>Clients</t>
        </is>
      </c>
      <c r="E31" s="8" t="n">
        <v>0</v>
      </c>
      <c r="F31" s="8" t="n">
        <v>51616.85</v>
      </c>
      <c r="G31" s="8" t="n">
        <v>0</v>
      </c>
      <c r="H31" s="8">
        <f>E31+F31-G31</f>
        <v/>
      </c>
    </row>
    <row r="32">
      <c r="A32" s="7" t="inlineStr">
        <is>
          <t>C1082</t>
        </is>
      </c>
      <c r="B32" s="6" t="inlineStr">
        <is>
          <t>CO.MA.PH</t>
        </is>
      </c>
      <c r="C32" s="7" t="inlineStr">
        <is>
          <t>41100</t>
        </is>
      </c>
      <c r="D32" s="6" t="inlineStr">
        <is>
          <t>Clients</t>
        </is>
      </c>
      <c r="E32" s="8" t="n">
        <v>0</v>
      </c>
      <c r="F32" s="8" t="n">
        <v>160000.07</v>
      </c>
      <c r="G32" s="8" t="n">
        <v>0</v>
      </c>
      <c r="H32" s="8">
        <f>E32+F32-G32</f>
        <v/>
      </c>
    </row>
    <row r="33">
      <c r="A33" s="7" t="inlineStr">
        <is>
          <t>C1083</t>
        </is>
      </c>
      <c r="B33" s="6" t="inlineStr">
        <is>
          <t>SARL CAPROMET</t>
        </is>
      </c>
      <c r="C33" s="7" t="inlineStr">
        <is>
          <t>41100</t>
        </is>
      </c>
      <c r="D33" s="6" t="inlineStr">
        <is>
          <t>Clients</t>
        </is>
      </c>
      <c r="E33" s="8" t="n">
        <v>0</v>
      </c>
      <c r="F33" s="8" t="n">
        <v>66640</v>
      </c>
      <c r="G33" s="8" t="n">
        <v>0</v>
      </c>
      <c r="H33" s="8">
        <f>E33+F33-G33</f>
        <v/>
      </c>
    </row>
    <row r="34">
      <c r="A34" s="7" t="inlineStr">
        <is>
          <t>C1084</t>
        </is>
      </c>
      <c r="B34" s="6" t="inlineStr">
        <is>
          <t>SARL POIDS LOURDS SERVICE</t>
        </is>
      </c>
      <c r="C34" s="7" t="inlineStr">
        <is>
          <t>41100</t>
        </is>
      </c>
      <c r="D34" s="6" t="inlineStr">
        <is>
          <t>Clients</t>
        </is>
      </c>
      <c r="E34" s="8" t="n">
        <v>0</v>
      </c>
      <c r="F34" s="8" t="n">
        <v>2512090</v>
      </c>
      <c r="G34" s="8" t="n">
        <v>0</v>
      </c>
      <c r="H34" s="8">
        <f>E34+F34-G34</f>
        <v/>
      </c>
    </row>
    <row r="35">
      <c r="A35" s="7" t="inlineStr">
        <is>
          <t>C1085</t>
        </is>
      </c>
      <c r="B35" s="6" t="inlineStr">
        <is>
          <t>CHERRAHI ABDELKAMEL</t>
        </is>
      </c>
      <c r="C35" s="7" t="inlineStr">
        <is>
          <t>41100</t>
        </is>
      </c>
      <c r="D35" s="6" t="inlineStr">
        <is>
          <t>Clients</t>
        </is>
      </c>
      <c r="E35" s="8" t="n">
        <v>0</v>
      </c>
      <c r="F35" s="8" t="n">
        <v>700000</v>
      </c>
      <c r="G35" s="8" t="n">
        <v>0</v>
      </c>
      <c r="H35" s="8">
        <f>E35+F35-G35</f>
        <v/>
      </c>
    </row>
    <row r="36">
      <c r="A36" s="7" t="inlineStr">
        <is>
          <t>C1086</t>
        </is>
      </c>
      <c r="B36" s="6" t="inlineStr">
        <is>
          <t>BAHI RIDHA</t>
        </is>
      </c>
      <c r="C36" s="7" t="inlineStr">
        <is>
          <t>41100</t>
        </is>
      </c>
      <c r="D36" s="6" t="inlineStr">
        <is>
          <t>Clients</t>
        </is>
      </c>
      <c r="E36" s="8" t="n">
        <v>0</v>
      </c>
      <c r="F36" s="8" t="n">
        <v>540000</v>
      </c>
      <c r="G36" s="8" t="n">
        <v>0</v>
      </c>
      <c r="H36" s="8">
        <f>E36+F36-G36</f>
        <v/>
      </c>
    </row>
    <row r="37">
      <c r="A37" s="7" t="inlineStr">
        <is>
          <t>C1087</t>
        </is>
      </c>
      <c r="B37" s="6" t="inlineStr">
        <is>
          <t>DIVERS</t>
        </is>
      </c>
      <c r="C37" s="7" t="inlineStr">
        <is>
          <t>41100</t>
        </is>
      </c>
      <c r="D37" s="6" t="inlineStr">
        <is>
          <t>Clients</t>
        </is>
      </c>
      <c r="E37" s="8" t="n">
        <v>0</v>
      </c>
      <c r="F37" s="8" t="n">
        <v>169878</v>
      </c>
      <c r="G37" s="8" t="n">
        <v>0</v>
      </c>
      <c r="H37" s="8">
        <f>E37+F37-G37</f>
        <v/>
      </c>
    </row>
    <row r="38">
      <c r="A38" s="7" t="inlineStr">
        <is>
          <t>C1088</t>
        </is>
      </c>
      <c r="B38" s="6" t="inlineStr">
        <is>
          <t>SARL PROVIDING ARPRO</t>
        </is>
      </c>
      <c r="C38" s="7" t="inlineStr">
        <is>
          <t>41100</t>
        </is>
      </c>
      <c r="D38" s="6" t="inlineStr">
        <is>
          <t>Clients</t>
        </is>
      </c>
      <c r="E38" s="8" t="n">
        <v>0</v>
      </c>
      <c r="F38" s="8" t="n">
        <v>555000.01</v>
      </c>
      <c r="G38" s="8" t="n">
        <v>0</v>
      </c>
      <c r="H38" s="8">
        <f>E38+F38-G38</f>
        <v/>
      </c>
    </row>
    <row r="39">
      <c r="A39" s="7" t="inlineStr">
        <is>
          <t>C1089</t>
        </is>
      </c>
      <c r="B39" s="6" t="inlineStr">
        <is>
          <t>BEKHOUS RABAH</t>
        </is>
      </c>
      <c r="C39" s="7" t="inlineStr">
        <is>
          <t>41100</t>
        </is>
      </c>
      <c r="D39" s="6" t="inlineStr">
        <is>
          <t>Clients</t>
        </is>
      </c>
      <c r="E39" s="8" t="n">
        <v>0</v>
      </c>
      <c r="F39" s="8" t="n">
        <v>155000.02</v>
      </c>
      <c r="G39" s="8" t="n">
        <v>0</v>
      </c>
      <c r="H39" s="8">
        <f>E39+F39-G39</f>
        <v/>
      </c>
    </row>
    <row r="40">
      <c r="A40" s="7" t="inlineStr">
        <is>
          <t>C1090</t>
        </is>
      </c>
      <c r="B40" s="6" t="inlineStr">
        <is>
          <t>LASSAKEUR RIAD GPROS</t>
        </is>
      </c>
      <c r="C40" s="7" t="inlineStr">
        <is>
          <t>41100</t>
        </is>
      </c>
      <c r="D40" s="6" t="inlineStr">
        <is>
          <t>Clients</t>
        </is>
      </c>
      <c r="E40" s="8" t="n">
        <v>0</v>
      </c>
      <c r="F40" s="8" t="n">
        <v>121000</v>
      </c>
      <c r="G40" s="8" t="n">
        <v>0</v>
      </c>
      <c r="H40" s="8">
        <f>E40+F40-G40</f>
        <v/>
      </c>
    </row>
    <row r="41">
      <c r="A41" s="7" t="inlineStr">
        <is>
          <t>C1091</t>
        </is>
      </c>
      <c r="B41" s="6" t="inlineStr">
        <is>
          <t>MANSOURI ZOUHEYR</t>
        </is>
      </c>
      <c r="C41" s="7" t="inlineStr">
        <is>
          <t>41100</t>
        </is>
      </c>
      <c r="D41" s="6" t="inlineStr">
        <is>
          <t>Clients</t>
        </is>
      </c>
      <c r="E41" s="8" t="n">
        <v>0</v>
      </c>
      <c r="F41" s="8" t="n">
        <v>1151000.01</v>
      </c>
      <c r="G41" s="8" t="n">
        <v>0</v>
      </c>
      <c r="H41" s="8">
        <f>E41+F41-G41</f>
        <v/>
      </c>
    </row>
    <row r="42">
      <c r="A42" s="7" t="inlineStr">
        <is>
          <t>C1092</t>
        </is>
      </c>
      <c r="B42" s="6" t="inlineStr">
        <is>
          <t>SARL GEURROUF AUTO</t>
        </is>
      </c>
      <c r="C42" s="7" t="inlineStr">
        <is>
          <t>41100</t>
        </is>
      </c>
      <c r="D42" s="6" t="inlineStr">
        <is>
          <t>Clients</t>
        </is>
      </c>
      <c r="E42" s="8" t="n">
        <v>0</v>
      </c>
      <c r="F42" s="8" t="n">
        <v>1076950</v>
      </c>
      <c r="G42" s="8" t="n">
        <v>0</v>
      </c>
      <c r="H42" s="8">
        <f>E42+F42-G42</f>
        <v/>
      </c>
    </row>
    <row r="43">
      <c r="A43" s="7" t="inlineStr">
        <is>
          <t>C1093</t>
        </is>
      </c>
      <c r="B43" s="6" t="inlineStr">
        <is>
          <t>FAROUKHI KAMAL</t>
        </is>
      </c>
      <c r="C43" s="7" t="inlineStr">
        <is>
          <t>41100</t>
        </is>
      </c>
      <c r="D43" s="6" t="inlineStr">
        <is>
          <t>Clients</t>
        </is>
      </c>
      <c r="E43" s="8" t="n">
        <v>0</v>
      </c>
      <c r="F43" s="8" t="n">
        <v>1050000.08</v>
      </c>
      <c r="G43" s="8" t="n">
        <v>0</v>
      </c>
      <c r="H43" s="8">
        <f>E43+F43-G43</f>
        <v/>
      </c>
    </row>
    <row r="44">
      <c r="A44" s="7" t="inlineStr">
        <is>
          <t>C1094</t>
        </is>
      </c>
      <c r="B44" s="6" t="inlineStr">
        <is>
          <t>SARL EL ZIBANE TRANSPORT</t>
        </is>
      </c>
      <c r="C44" s="7" t="inlineStr">
        <is>
          <t>41100</t>
        </is>
      </c>
      <c r="D44" s="6" t="inlineStr">
        <is>
          <t>Clients</t>
        </is>
      </c>
      <c r="E44" s="8" t="n">
        <v>0</v>
      </c>
      <c r="F44" s="8" t="n">
        <v>763385</v>
      </c>
      <c r="G44" s="8" t="n">
        <v>0</v>
      </c>
      <c r="H44" s="8">
        <f>E44+F44-G44</f>
        <v/>
      </c>
    </row>
    <row r="45">
      <c r="A45" s="7" t="inlineStr">
        <is>
          <t>C1095</t>
        </is>
      </c>
      <c r="B45" s="6" t="inlineStr">
        <is>
          <t>MOUDJEB DJAFFAR</t>
        </is>
      </c>
      <c r="C45" s="7" t="inlineStr">
        <is>
          <t>41100</t>
        </is>
      </c>
      <c r="D45" s="6" t="inlineStr">
        <is>
          <t>Clients</t>
        </is>
      </c>
      <c r="E45" s="8" t="n">
        <v>0</v>
      </c>
      <c r="F45" s="8" t="n">
        <v>92000.00999999999</v>
      </c>
      <c r="G45" s="8" t="n">
        <v>0</v>
      </c>
      <c r="H45" s="8">
        <f>E45+F45-G45</f>
        <v/>
      </c>
    </row>
    <row r="46">
      <c r="A46" s="7" t="inlineStr">
        <is>
          <t>C1096</t>
        </is>
      </c>
      <c r="B46" s="6" t="inlineStr">
        <is>
          <t>EURL EZZAHRA LOCATION DE MATER</t>
        </is>
      </c>
      <c r="C46" s="7" t="inlineStr">
        <is>
          <t>41100</t>
        </is>
      </c>
      <c r="D46" s="6" t="inlineStr">
        <is>
          <t>Clients</t>
        </is>
      </c>
      <c r="E46" s="8" t="n">
        <v>0</v>
      </c>
      <c r="F46" s="8" t="n">
        <v>950000</v>
      </c>
      <c r="G46" s="8" t="n">
        <v>0</v>
      </c>
      <c r="H46" s="8">
        <f>E46+F46-G46</f>
        <v/>
      </c>
    </row>
    <row r="47">
      <c r="A47" s="7" t="inlineStr">
        <is>
          <t>C1097</t>
        </is>
      </c>
      <c r="B47" s="6" t="inlineStr">
        <is>
          <t>SARL GENI MAT</t>
        </is>
      </c>
      <c r="C47" s="7" t="inlineStr">
        <is>
          <t>41100</t>
        </is>
      </c>
      <c r="D47" s="6" t="inlineStr">
        <is>
          <t>Clients</t>
        </is>
      </c>
      <c r="E47" s="8" t="n">
        <v>0</v>
      </c>
      <c r="F47" s="8" t="n">
        <v>108800</v>
      </c>
      <c r="G47" s="8" t="n">
        <v>0</v>
      </c>
      <c r="H47" s="8">
        <f>E47+F47-G47</f>
        <v/>
      </c>
    </row>
    <row r="48">
      <c r="A48" s="7" t="inlineStr">
        <is>
          <t>C1098</t>
        </is>
      </c>
      <c r="B48" s="6" t="inlineStr">
        <is>
          <t>EURL ULTRA TRADING SERVICES</t>
        </is>
      </c>
      <c r="C48" s="7" t="inlineStr">
        <is>
          <t>41100</t>
        </is>
      </c>
      <c r="D48" s="6" t="inlineStr">
        <is>
          <t>Clients</t>
        </is>
      </c>
      <c r="E48" s="8" t="n">
        <v>0</v>
      </c>
      <c r="F48" s="8" t="n">
        <v>590000.01</v>
      </c>
      <c r="G48" s="8" t="n">
        <v>0</v>
      </c>
      <c r="H48" s="8">
        <f>E48+F48-G48</f>
        <v/>
      </c>
    </row>
    <row r="49">
      <c r="A49" s="7" t="inlineStr">
        <is>
          <t>C1099</t>
        </is>
      </c>
      <c r="B49" s="6" t="inlineStr">
        <is>
          <t>SARL GUERROUF AUTO</t>
        </is>
      </c>
      <c r="C49" s="7" t="inlineStr">
        <is>
          <t>41100</t>
        </is>
      </c>
      <c r="D49" s="6" t="inlineStr">
        <is>
          <t>Clients</t>
        </is>
      </c>
      <c r="E49" s="8" t="n">
        <v>0</v>
      </c>
      <c r="F49" s="8" t="n">
        <v>1076950</v>
      </c>
      <c r="G49" s="8" t="n">
        <v>0</v>
      </c>
      <c r="H49" s="8">
        <f>E49+F49-G49</f>
        <v/>
      </c>
    </row>
    <row r="50">
      <c r="A50" s="7" t="inlineStr">
        <is>
          <t>C1100</t>
        </is>
      </c>
      <c r="B50" s="6" t="inlineStr">
        <is>
          <t>SARL ZIBANE</t>
        </is>
      </c>
      <c r="C50" s="7" t="inlineStr">
        <is>
          <t>41100</t>
        </is>
      </c>
      <c r="D50" s="6" t="inlineStr">
        <is>
          <t>Clients</t>
        </is>
      </c>
      <c r="E50" s="8" t="n">
        <v>0</v>
      </c>
      <c r="F50" s="8" t="n">
        <v>404600</v>
      </c>
      <c r="G50" s="8" t="n">
        <v>0</v>
      </c>
      <c r="H50" s="8">
        <f>E50+F50-G50</f>
        <v/>
      </c>
    </row>
    <row r="51">
      <c r="A51" s="7" t="inlineStr">
        <is>
          <t>C1101</t>
        </is>
      </c>
      <c r="B51" s="6" t="inlineStr">
        <is>
          <t>COSIDER TP</t>
        </is>
      </c>
      <c r="C51" s="7" t="inlineStr">
        <is>
          <t>41100</t>
        </is>
      </c>
      <c r="D51" s="6" t="inlineStr">
        <is>
          <t>Clients</t>
        </is>
      </c>
      <c r="E51" s="8" t="n">
        <v>0</v>
      </c>
      <c r="F51" s="8" t="n">
        <v>41650</v>
      </c>
      <c r="G51" s="8" t="n">
        <v>0</v>
      </c>
      <c r="H51" s="8">
        <f>E51+F51-G51</f>
        <v/>
      </c>
    </row>
    <row r="52">
      <c r="A52" s="7" t="inlineStr">
        <is>
          <t>C1102</t>
        </is>
      </c>
      <c r="B52" s="6" t="inlineStr">
        <is>
          <t>COSIDER T131/DTF HELLOUANE BEJ</t>
        </is>
      </c>
      <c r="C52" s="7" t="inlineStr">
        <is>
          <t>41100</t>
        </is>
      </c>
      <c r="D52" s="6" t="inlineStr">
        <is>
          <t>Clients</t>
        </is>
      </c>
      <c r="E52" s="8" t="n">
        <v>0</v>
      </c>
      <c r="F52" s="8" t="n">
        <v>202300</v>
      </c>
      <c r="G52" s="8" t="n">
        <v>0</v>
      </c>
      <c r="H52" s="8">
        <f>E52+F52-G52</f>
        <v/>
      </c>
    </row>
    <row r="53">
      <c r="A53" s="7" t="inlineStr">
        <is>
          <t>C1103</t>
        </is>
      </c>
      <c r="B53" s="6" t="inlineStr">
        <is>
          <t>NAFTAL LP 206G BEJAIA</t>
        </is>
      </c>
      <c r="C53" s="7" t="inlineStr">
        <is>
          <t>41100</t>
        </is>
      </c>
      <c r="D53" s="6" t="inlineStr">
        <is>
          <t>Clients</t>
        </is>
      </c>
      <c r="E53" s="8" t="n">
        <v>0</v>
      </c>
      <c r="F53" s="8" t="n">
        <v>54750</v>
      </c>
      <c r="G53" s="8" t="n">
        <v>0</v>
      </c>
      <c r="H53" s="8">
        <f>E53+F53-G53</f>
        <v/>
      </c>
    </row>
    <row r="54">
      <c r="A54" s="7" t="inlineStr">
        <is>
          <t>C1104</t>
        </is>
      </c>
      <c r="B54" s="6" t="inlineStr">
        <is>
          <t>AFIA FATSAH</t>
        </is>
      </c>
      <c r="C54" s="7" t="inlineStr">
        <is>
          <t>41100</t>
        </is>
      </c>
      <c r="D54" s="6" t="inlineStr">
        <is>
          <t>Clients</t>
        </is>
      </c>
      <c r="E54" s="8" t="n">
        <v>0</v>
      </c>
      <c r="F54" s="8" t="n">
        <v>0</v>
      </c>
      <c r="G54" s="8" t="n">
        <v>1183700</v>
      </c>
      <c r="H54" s="8">
        <f>E54+F54-G54</f>
        <v/>
      </c>
    </row>
    <row r="55">
      <c r="A55" s="7" t="inlineStr">
        <is>
          <t>C1105</t>
        </is>
      </c>
      <c r="B55" s="6" t="inlineStr">
        <is>
          <t>DJAMRI ABD EL HAK</t>
        </is>
      </c>
      <c r="C55" s="7" t="inlineStr">
        <is>
          <t>41100</t>
        </is>
      </c>
      <c r="D55" s="6" t="inlineStr">
        <is>
          <t>Clients</t>
        </is>
      </c>
      <c r="E55" s="8" t="n">
        <v>0</v>
      </c>
      <c r="F55" s="8" t="n">
        <v>0</v>
      </c>
      <c r="G55" s="8" t="n">
        <v>2851200</v>
      </c>
      <c r="H55" s="8">
        <f>E55+F55-G55</f>
        <v/>
      </c>
    </row>
    <row r="56">
      <c r="A56" s="7" t="inlineStr">
        <is>
          <t>C118</t>
        </is>
      </c>
      <c r="B56" s="6" t="inlineStr">
        <is>
          <t>ABDOUNE RAFIK</t>
        </is>
      </c>
      <c r="C56" s="7" t="inlineStr">
        <is>
          <t>41100</t>
        </is>
      </c>
      <c r="D56" s="6" t="inlineStr">
        <is>
          <t>Clients</t>
        </is>
      </c>
      <c r="E56" s="8" t="n">
        <v>700700</v>
      </c>
      <c r="F56" s="8" t="n">
        <v>0</v>
      </c>
      <c r="G56" s="8" t="n">
        <v>0</v>
      </c>
      <c r="H56" s="8">
        <f>E56+F56-G56</f>
        <v/>
      </c>
    </row>
    <row r="57">
      <c r="A57" s="7" t="inlineStr">
        <is>
          <t>C132</t>
        </is>
      </c>
      <c r="B57" s="6" t="inlineStr">
        <is>
          <t>SARL POULINA</t>
        </is>
      </c>
      <c r="C57" s="7" t="inlineStr">
        <is>
          <t>41100</t>
        </is>
      </c>
      <c r="D57" s="6" t="inlineStr">
        <is>
          <t>Clients</t>
        </is>
      </c>
      <c r="E57" s="8" t="n">
        <v>42305.99</v>
      </c>
      <c r="F57" s="8" t="n">
        <v>0</v>
      </c>
      <c r="G57" s="8" t="n">
        <v>0</v>
      </c>
      <c r="H57" s="8">
        <f>E57+F57-G57</f>
        <v/>
      </c>
    </row>
    <row r="58">
      <c r="A58" s="7" t="inlineStr">
        <is>
          <t>C136</t>
        </is>
      </c>
      <c r="B58" s="6" t="inlineStr">
        <is>
          <t>RENOFLEX</t>
        </is>
      </c>
      <c r="C58" s="7" t="inlineStr">
        <is>
          <t>41100</t>
        </is>
      </c>
      <c r="D58" s="6" t="inlineStr">
        <is>
          <t>Clients</t>
        </is>
      </c>
      <c r="E58" s="8" t="n">
        <v>152000</v>
      </c>
      <c r="F58" s="8" t="n">
        <v>0</v>
      </c>
      <c r="G58" s="8" t="n">
        <v>0</v>
      </c>
      <c r="H58" s="8">
        <f>E58+F58-G58</f>
        <v/>
      </c>
    </row>
    <row r="59">
      <c r="A59" s="7" t="inlineStr">
        <is>
          <t>C137</t>
        </is>
      </c>
      <c r="B59" s="6" t="inlineStr">
        <is>
          <t>BERKANI KHELAF</t>
        </is>
      </c>
      <c r="C59" s="7" t="inlineStr">
        <is>
          <t>41100</t>
        </is>
      </c>
      <c r="D59" s="6" t="inlineStr">
        <is>
          <t>Clients</t>
        </is>
      </c>
      <c r="E59" s="8" t="n">
        <v>0</v>
      </c>
      <c r="F59" s="8" t="n">
        <v>0</v>
      </c>
      <c r="G59" s="8" t="n">
        <v>160000.06</v>
      </c>
      <c r="H59" s="8">
        <f>E59+F59-G59</f>
        <v/>
      </c>
    </row>
    <row r="60">
      <c r="A60" s="7" t="inlineStr">
        <is>
          <t>C164</t>
        </is>
      </c>
      <c r="B60" s="6" t="inlineStr">
        <is>
          <t>ETS DJENNADI REYAD</t>
        </is>
      </c>
      <c r="C60" s="7" t="inlineStr">
        <is>
          <t>41100</t>
        </is>
      </c>
      <c r="D60" s="6" t="inlineStr">
        <is>
          <t>Clients</t>
        </is>
      </c>
      <c r="E60" s="8" t="n">
        <v>-4500000</v>
      </c>
      <c r="F60" s="8" t="n">
        <v>2441390.87</v>
      </c>
      <c r="G60" s="8" t="n">
        <v>0</v>
      </c>
      <c r="H60" s="8">
        <f>E60+F60-G60</f>
        <v/>
      </c>
    </row>
    <row r="61">
      <c r="A61" s="7" t="inlineStr">
        <is>
          <t>C174</t>
        </is>
      </c>
      <c r="B61" s="6" t="inlineStr">
        <is>
          <t>HAMMAOUI LAHDI</t>
        </is>
      </c>
      <c r="C61" s="7" t="inlineStr">
        <is>
          <t>41100</t>
        </is>
      </c>
      <c r="D61" s="6" t="inlineStr">
        <is>
          <t>Clients</t>
        </is>
      </c>
      <c r="E61" s="8" t="n">
        <v>99766.25</v>
      </c>
      <c r="F61" s="8" t="n">
        <v>0</v>
      </c>
      <c r="G61" s="8" t="n">
        <v>0</v>
      </c>
      <c r="H61" s="8">
        <f>E61+F61-G61</f>
        <v/>
      </c>
    </row>
    <row r="62">
      <c r="A62" s="7" t="inlineStr">
        <is>
          <t>C186</t>
        </is>
      </c>
      <c r="B62" s="6" t="inlineStr">
        <is>
          <t>DJOUDI SMAIL</t>
        </is>
      </c>
      <c r="C62" s="7" t="inlineStr">
        <is>
          <t>41100</t>
        </is>
      </c>
      <c r="D62" s="6" t="inlineStr">
        <is>
          <t>Clients</t>
        </is>
      </c>
      <c r="E62" s="8" t="n">
        <v>0</v>
      </c>
      <c r="F62" s="8" t="n">
        <v>232479</v>
      </c>
      <c r="G62" s="8" t="n">
        <v>0</v>
      </c>
      <c r="H62" s="8">
        <f>E62+F62-G62</f>
        <v/>
      </c>
    </row>
    <row r="63">
      <c r="A63" s="7" t="inlineStr">
        <is>
          <t>C248</t>
        </is>
      </c>
      <c r="B63" s="6" t="inlineStr">
        <is>
          <t>SNC ECOTP MOUHALI ET FRERE</t>
        </is>
      </c>
      <c r="C63" s="7" t="inlineStr">
        <is>
          <t>41100</t>
        </is>
      </c>
      <c r="D63" s="6" t="inlineStr">
        <is>
          <t>Clients</t>
        </is>
      </c>
      <c r="E63" s="8" t="n">
        <v>0</v>
      </c>
      <c r="F63" s="8" t="n">
        <v>587860</v>
      </c>
      <c r="G63" s="8" t="n">
        <v>123760</v>
      </c>
      <c r="H63" s="8">
        <f>E63+F63-G63</f>
        <v/>
      </c>
    </row>
    <row r="64">
      <c r="A64" s="7" t="inlineStr">
        <is>
          <t>C258</t>
        </is>
      </c>
      <c r="B64" s="6" t="inlineStr">
        <is>
          <t>AMEUR KHELLAF</t>
        </is>
      </c>
      <c r="C64" s="7" t="inlineStr">
        <is>
          <t>41100</t>
        </is>
      </c>
      <c r="D64" s="6" t="inlineStr">
        <is>
          <t>Clients</t>
        </is>
      </c>
      <c r="E64" s="8" t="n">
        <v>99837.81</v>
      </c>
      <c r="F64" s="8" t="n">
        <v>0</v>
      </c>
      <c r="G64" s="8" t="n">
        <v>0</v>
      </c>
      <c r="H64" s="8">
        <f>E64+F64-G64</f>
        <v/>
      </c>
    </row>
    <row r="65">
      <c r="A65" s="7" t="inlineStr">
        <is>
          <t>C266</t>
        </is>
      </c>
      <c r="B65" s="6" t="inlineStr">
        <is>
          <t>BENSACI MESSAOUD</t>
        </is>
      </c>
      <c r="C65" s="7" t="inlineStr">
        <is>
          <t>41100</t>
        </is>
      </c>
      <c r="D65" s="6" t="inlineStr">
        <is>
          <t>Clients</t>
        </is>
      </c>
      <c r="E65" s="8" t="n">
        <v>0</v>
      </c>
      <c r="F65" s="8" t="n">
        <v>0</v>
      </c>
      <c r="G65" s="8" t="n">
        <v>1063860</v>
      </c>
      <c r="H65" s="8">
        <f>E65+F65-G65</f>
        <v/>
      </c>
    </row>
    <row r="66">
      <c r="A66" s="7" t="inlineStr">
        <is>
          <t>C278</t>
        </is>
      </c>
      <c r="B66" s="6" t="inlineStr">
        <is>
          <t>BENAMARA AYOUB SAHARA MOTORS</t>
        </is>
      </c>
      <c r="C66" s="7" t="inlineStr">
        <is>
          <t>41100</t>
        </is>
      </c>
      <c r="D66" s="6" t="inlineStr">
        <is>
          <t>Clients</t>
        </is>
      </c>
      <c r="E66" s="8" t="n">
        <v>-1989648</v>
      </c>
      <c r="F66" s="8" t="n">
        <v>980111.95</v>
      </c>
      <c r="G66" s="8" t="n">
        <v>0</v>
      </c>
      <c r="H66" s="8">
        <f>E66+F66-G66</f>
        <v/>
      </c>
    </row>
    <row r="67">
      <c r="A67" s="7" t="inlineStr">
        <is>
          <t>C296</t>
        </is>
      </c>
      <c r="B67" s="6" t="inlineStr">
        <is>
          <t>SARL LOCA PREST</t>
        </is>
      </c>
      <c r="C67" s="7" t="inlineStr">
        <is>
          <t>41100</t>
        </is>
      </c>
      <c r="D67" s="6" t="inlineStr">
        <is>
          <t>Clients</t>
        </is>
      </c>
      <c r="E67" s="8" t="n">
        <v>707123.6800000001</v>
      </c>
      <c r="F67" s="8" t="n">
        <v>0</v>
      </c>
      <c r="G67" s="8" t="n">
        <v>0</v>
      </c>
      <c r="H67" s="8">
        <f>E67+F67-G67</f>
        <v/>
      </c>
    </row>
    <row r="68">
      <c r="A68" s="7" t="inlineStr">
        <is>
          <t>C327</t>
        </is>
      </c>
      <c r="B68" s="6" t="inlineStr">
        <is>
          <t>HAMOUMOU ABDELLAH</t>
        </is>
      </c>
      <c r="C68" s="7" t="inlineStr">
        <is>
          <t>41100</t>
        </is>
      </c>
      <c r="D68" s="6" t="inlineStr">
        <is>
          <t>Clients</t>
        </is>
      </c>
      <c r="E68" s="8" t="n">
        <v>600000.01</v>
      </c>
      <c r="F68" s="8" t="n">
        <v>0</v>
      </c>
      <c r="G68" s="8" t="n">
        <v>0</v>
      </c>
      <c r="H68" s="8">
        <f>E68+F68-G68</f>
        <v/>
      </c>
    </row>
    <row r="69">
      <c r="A69" s="7" t="inlineStr">
        <is>
          <t>C359</t>
        </is>
      </c>
      <c r="B69" s="6" t="inlineStr">
        <is>
          <t>SELLAH LYES</t>
        </is>
      </c>
      <c r="C69" s="7" t="inlineStr">
        <is>
          <t>41100</t>
        </is>
      </c>
      <c r="D69" s="6" t="inlineStr">
        <is>
          <t>Clients</t>
        </is>
      </c>
      <c r="E69" s="8" t="n">
        <v>0</v>
      </c>
      <c r="F69" s="8" t="n">
        <v>377860</v>
      </c>
      <c r="G69" s="8" t="n">
        <v>0</v>
      </c>
      <c r="H69" s="8">
        <f>E69+F69-G69</f>
        <v/>
      </c>
    </row>
    <row r="70">
      <c r="A70" s="7" t="inlineStr">
        <is>
          <t>C441</t>
        </is>
      </c>
      <c r="B70" s="6" t="inlineStr">
        <is>
          <t>TICHAT HALIM</t>
        </is>
      </c>
      <c r="C70" s="7" t="inlineStr">
        <is>
          <t>41100</t>
        </is>
      </c>
      <c r="D70" s="6" t="inlineStr">
        <is>
          <t>Clients</t>
        </is>
      </c>
      <c r="E70" s="8" t="n">
        <v>0</v>
      </c>
      <c r="F70" s="8" t="n">
        <v>1150000.1</v>
      </c>
      <c r="G70" s="8" t="n">
        <v>0</v>
      </c>
      <c r="H70" s="8">
        <f>E70+F70-G70</f>
        <v/>
      </c>
    </row>
    <row r="71">
      <c r="A71" s="7" t="inlineStr">
        <is>
          <t>C444</t>
        </is>
      </c>
      <c r="B71" s="6" t="inlineStr">
        <is>
          <t>BOUROKBA MANSOUR</t>
        </is>
      </c>
      <c r="C71" s="7" t="inlineStr">
        <is>
          <t>41100</t>
        </is>
      </c>
      <c r="D71" s="6" t="inlineStr">
        <is>
          <t>Clients</t>
        </is>
      </c>
      <c r="E71" s="8" t="n">
        <v>300000.01</v>
      </c>
      <c r="F71" s="8" t="n">
        <v>0</v>
      </c>
      <c r="G71" s="8" t="n">
        <v>0</v>
      </c>
      <c r="H71" s="8">
        <f>E71+F71-G71</f>
        <v/>
      </c>
    </row>
    <row r="72">
      <c r="A72" s="7" t="inlineStr">
        <is>
          <t>C494</t>
        </is>
      </c>
      <c r="B72" s="6" t="inlineStr">
        <is>
          <t>DOGGA TAHA</t>
        </is>
      </c>
      <c r="C72" s="7" t="inlineStr">
        <is>
          <t>41100</t>
        </is>
      </c>
      <c r="D72" s="6" t="inlineStr">
        <is>
          <t>Clients</t>
        </is>
      </c>
      <c r="E72" s="8" t="n">
        <v>0</v>
      </c>
      <c r="F72" s="8" t="n">
        <v>300000</v>
      </c>
      <c r="G72" s="8" t="n">
        <v>0</v>
      </c>
      <c r="H72" s="8">
        <f>E72+F72-G72</f>
        <v/>
      </c>
    </row>
    <row r="73">
      <c r="A73" s="7" t="inlineStr">
        <is>
          <t>C505</t>
        </is>
      </c>
      <c r="B73" s="6" t="inlineStr">
        <is>
          <t>EURL TRANSPORT FLY</t>
        </is>
      </c>
      <c r="C73" s="7" t="inlineStr">
        <is>
          <t>41100</t>
        </is>
      </c>
      <c r="D73" s="6" t="inlineStr">
        <is>
          <t>Clients</t>
        </is>
      </c>
      <c r="E73" s="8" t="n">
        <v>0</v>
      </c>
      <c r="F73" s="8" t="n">
        <v>1190975</v>
      </c>
      <c r="G73" s="8" t="n">
        <v>0</v>
      </c>
      <c r="H73" s="8">
        <f>E73+F73-G73</f>
        <v/>
      </c>
    </row>
    <row r="74">
      <c r="A74" s="7" t="inlineStr">
        <is>
          <t>C549</t>
        </is>
      </c>
      <c r="B74" s="6" t="inlineStr">
        <is>
          <t>SELLAH FARID</t>
        </is>
      </c>
      <c r="C74" s="7" t="inlineStr">
        <is>
          <t>41100</t>
        </is>
      </c>
      <c r="D74" s="6" t="inlineStr">
        <is>
          <t>Clients</t>
        </is>
      </c>
      <c r="E74" s="8" t="n">
        <v>0</v>
      </c>
      <c r="F74" s="8" t="n">
        <v>55458</v>
      </c>
      <c r="G74" s="8" t="n">
        <v>0</v>
      </c>
      <c r="H74" s="8">
        <f>E74+F74-G74</f>
        <v/>
      </c>
    </row>
    <row r="75">
      <c r="A75" s="7" t="inlineStr">
        <is>
          <t>C556</t>
        </is>
      </c>
      <c r="B75" s="6" t="inlineStr">
        <is>
          <t>LAOUEDJ MOHAMMED SALEH</t>
        </is>
      </c>
      <c r="C75" s="7" t="inlineStr">
        <is>
          <t>41100</t>
        </is>
      </c>
      <c r="D75" s="6" t="inlineStr">
        <is>
          <t>Clients</t>
        </is>
      </c>
      <c r="E75" s="8" t="n">
        <v>0</v>
      </c>
      <c r="F75" s="8" t="n">
        <v>7069243.81</v>
      </c>
      <c r="G75" s="8" t="n">
        <v>4914565.27</v>
      </c>
      <c r="H75" s="8">
        <f>E75+F75-G75</f>
        <v/>
      </c>
    </row>
    <row r="76">
      <c r="A76" s="7" t="inlineStr">
        <is>
          <t>C594</t>
        </is>
      </c>
      <c r="B76" s="6" t="inlineStr">
        <is>
          <t>SARL DPR AXXAM BRIQUETERIE</t>
        </is>
      </c>
      <c r="C76" s="7" t="inlineStr">
        <is>
          <t>41100</t>
        </is>
      </c>
      <c r="D76" s="6" t="inlineStr">
        <is>
          <t>Clients</t>
        </is>
      </c>
      <c r="E76" s="8" t="n">
        <v>371014451.28</v>
      </c>
      <c r="F76" s="8" t="n">
        <v>0</v>
      </c>
      <c r="G76" s="8" t="n">
        <v>0</v>
      </c>
      <c r="H76" s="8">
        <f>E76+F76-G76</f>
        <v/>
      </c>
    </row>
    <row r="77">
      <c r="A77" s="7" t="inlineStr">
        <is>
          <t>C596</t>
        </is>
      </c>
      <c r="B77" s="6" t="inlineStr">
        <is>
          <t>COSIDER OUVRAGES D'ART SPA</t>
        </is>
      </c>
      <c r="C77" s="7" t="inlineStr">
        <is>
          <t>41100</t>
        </is>
      </c>
      <c r="D77" s="6" t="inlineStr">
        <is>
          <t>Clients</t>
        </is>
      </c>
      <c r="E77" s="8" t="n">
        <v>0</v>
      </c>
      <c r="F77" s="8" t="n">
        <v>304640</v>
      </c>
      <c r="G77" s="8" t="n">
        <v>0</v>
      </c>
      <c r="H77" s="8">
        <f>E77+F77-G77</f>
        <v/>
      </c>
    </row>
    <row r="78">
      <c r="A78" s="7" t="inlineStr">
        <is>
          <t>C599</t>
        </is>
      </c>
      <c r="B78" s="6" t="inlineStr">
        <is>
          <t>MOHELLEBI MOHAMED</t>
        </is>
      </c>
      <c r="C78" s="7" t="inlineStr">
        <is>
          <t>41100</t>
        </is>
      </c>
      <c r="D78" s="6" t="inlineStr">
        <is>
          <t>Clients</t>
        </is>
      </c>
      <c r="E78" s="8" t="n">
        <v>0</v>
      </c>
      <c r="F78" s="8" t="n">
        <v>898334.84</v>
      </c>
      <c r="G78" s="8" t="n">
        <v>0</v>
      </c>
      <c r="H78" s="8">
        <f>E78+F78-G78</f>
        <v/>
      </c>
    </row>
    <row r="79">
      <c r="A79" s="7" t="inlineStr">
        <is>
          <t>C612</t>
        </is>
      </c>
      <c r="B79" s="6" t="inlineStr">
        <is>
          <t>ZIANI AMIR</t>
        </is>
      </c>
      <c r="C79" s="7" t="inlineStr">
        <is>
          <t>41100</t>
        </is>
      </c>
      <c r="D79" s="6" t="inlineStr">
        <is>
          <t>Clients</t>
        </is>
      </c>
      <c r="E79" s="8" t="n">
        <v>0</v>
      </c>
      <c r="F79" s="8" t="n">
        <v>1500000</v>
      </c>
      <c r="G79" s="8" t="n">
        <v>3500000</v>
      </c>
      <c r="H79" s="8">
        <f>E79+F79-G79</f>
        <v/>
      </c>
    </row>
    <row r="80">
      <c r="A80" s="7" t="inlineStr">
        <is>
          <t>C616</t>
        </is>
      </c>
      <c r="B80" s="6" t="inlineStr">
        <is>
          <t>NUMILOG SPA TRANSPORT ET LOGIS</t>
        </is>
      </c>
      <c r="C80" s="7" t="inlineStr">
        <is>
          <t>41100</t>
        </is>
      </c>
      <c r="D80" s="6" t="inlineStr">
        <is>
          <t>Clients</t>
        </is>
      </c>
      <c r="E80" s="8" t="n">
        <v>1586984</v>
      </c>
      <c r="F80" s="8" t="n">
        <v>333200</v>
      </c>
      <c r="G80" s="8" t="n">
        <v>172550</v>
      </c>
      <c r="H80" s="8">
        <f>E80+F80-G80</f>
        <v/>
      </c>
    </row>
    <row r="81">
      <c r="A81" s="7" t="inlineStr">
        <is>
          <t>C622</t>
        </is>
      </c>
      <c r="B81" s="6" t="inlineStr">
        <is>
          <t>MASSIOUN HAMZA</t>
        </is>
      </c>
      <c r="C81" s="7" t="inlineStr">
        <is>
          <t>41100</t>
        </is>
      </c>
      <c r="D81" s="6" t="inlineStr">
        <is>
          <t>Clients</t>
        </is>
      </c>
      <c r="E81" s="8" t="n">
        <v>0</v>
      </c>
      <c r="F81" s="8" t="n">
        <v>63000</v>
      </c>
      <c r="G81" s="8" t="n">
        <v>0</v>
      </c>
      <c r="H81" s="8">
        <f>E81+F81-G81</f>
        <v/>
      </c>
    </row>
    <row r="82">
      <c r="A82" s="7" t="inlineStr">
        <is>
          <t>C625</t>
        </is>
      </c>
      <c r="B82" s="6" t="inlineStr">
        <is>
          <t>AMIMER ENERGIE SPA</t>
        </is>
      </c>
      <c r="C82" s="7" t="inlineStr">
        <is>
          <t>41100</t>
        </is>
      </c>
      <c r="D82" s="6" t="inlineStr">
        <is>
          <t>Clients</t>
        </is>
      </c>
      <c r="E82" s="8" t="n">
        <v>228480</v>
      </c>
      <c r="F82" s="8" t="n">
        <v>0</v>
      </c>
      <c r="G82" s="8" t="n">
        <v>0</v>
      </c>
      <c r="H82" s="8">
        <f>E82+F82-G82</f>
        <v/>
      </c>
    </row>
    <row r="83">
      <c r="A83" s="7" t="inlineStr">
        <is>
          <t>C631</t>
        </is>
      </c>
      <c r="B83" s="6" t="inlineStr">
        <is>
          <t>BENAMMAR SOFIANE</t>
        </is>
      </c>
      <c r="C83" s="7" t="inlineStr">
        <is>
          <t>41100</t>
        </is>
      </c>
      <c r="D83" s="6" t="inlineStr">
        <is>
          <t>Clients</t>
        </is>
      </c>
      <c r="E83" s="8" t="n">
        <v>0</v>
      </c>
      <c r="F83" s="8" t="n">
        <v>998257.67</v>
      </c>
      <c r="G83" s="8" t="n">
        <v>0</v>
      </c>
      <c r="H83" s="8">
        <f>E83+F83-G83</f>
        <v/>
      </c>
    </row>
    <row r="84">
      <c r="A84" s="7" t="inlineStr">
        <is>
          <t>C659</t>
        </is>
      </c>
      <c r="B84" s="6" t="inlineStr">
        <is>
          <t>HENIA MOHAMED ELBARK</t>
        </is>
      </c>
      <c r="C84" s="7" t="inlineStr">
        <is>
          <t>41100</t>
        </is>
      </c>
      <c r="D84" s="6" t="inlineStr">
        <is>
          <t>Clients</t>
        </is>
      </c>
      <c r="E84" s="8" t="n">
        <v>226000.01</v>
      </c>
      <c r="F84" s="8" t="n">
        <v>0</v>
      </c>
      <c r="G84" s="8" t="n">
        <v>0</v>
      </c>
      <c r="H84" s="8">
        <f>E84+F84-G84</f>
        <v/>
      </c>
    </row>
    <row r="85">
      <c r="A85" s="7" t="inlineStr">
        <is>
          <t>C667</t>
        </is>
      </c>
      <c r="B85" s="6" t="inlineStr">
        <is>
          <t>SPA EVEMAC</t>
        </is>
      </c>
      <c r="C85" s="7" t="inlineStr">
        <is>
          <t>41100</t>
        </is>
      </c>
      <c r="D85" s="6" t="inlineStr">
        <is>
          <t>Clients</t>
        </is>
      </c>
      <c r="E85" s="8" t="n">
        <v>100000</v>
      </c>
      <c r="F85" s="8" t="n">
        <v>0</v>
      </c>
      <c r="G85" s="8" t="n">
        <v>0</v>
      </c>
      <c r="H85" s="8">
        <f>E85+F85-G85</f>
        <v/>
      </c>
    </row>
    <row r="86">
      <c r="A86" s="7" t="inlineStr">
        <is>
          <t>C668</t>
        </is>
      </c>
      <c r="B86" s="6" t="inlineStr">
        <is>
          <t>SARL SERVICES POIDS LOURDS</t>
        </is>
      </c>
      <c r="C86" s="7" t="inlineStr">
        <is>
          <t>41100</t>
        </is>
      </c>
      <c r="D86" s="6" t="inlineStr">
        <is>
          <t>Clients</t>
        </is>
      </c>
      <c r="E86" s="8" t="n">
        <v>0</v>
      </c>
      <c r="F86" s="8" t="n">
        <v>5351550.01</v>
      </c>
      <c r="G86" s="8" t="n">
        <v>5351550</v>
      </c>
      <c r="H86" s="8">
        <f>E86+F86-G86</f>
        <v/>
      </c>
    </row>
    <row r="87">
      <c r="A87" s="7" t="inlineStr">
        <is>
          <t>C671</t>
        </is>
      </c>
      <c r="B87" s="6" t="inlineStr">
        <is>
          <t>SPA TMF LOGISTICS</t>
        </is>
      </c>
      <c r="C87" s="7" t="inlineStr">
        <is>
          <t>41100</t>
        </is>
      </c>
      <c r="D87" s="6" t="inlineStr">
        <is>
          <t>Clients</t>
        </is>
      </c>
      <c r="E87" s="8" t="n">
        <v>9248680</v>
      </c>
      <c r="F87" s="8" t="n">
        <v>9054234</v>
      </c>
      <c r="G87" s="8" t="n">
        <v>0</v>
      </c>
      <c r="H87" s="8">
        <f>E87+F87-G87</f>
        <v/>
      </c>
    </row>
    <row r="88">
      <c r="A88" s="7" t="inlineStr">
        <is>
          <t>C676</t>
        </is>
      </c>
      <c r="B88" s="6" t="inlineStr">
        <is>
          <t>MADI AHMED</t>
        </is>
      </c>
      <c r="C88" s="7" t="inlineStr">
        <is>
          <t>41100</t>
        </is>
      </c>
      <c r="D88" s="6" t="inlineStr">
        <is>
          <t>Clients</t>
        </is>
      </c>
      <c r="E88" s="8" t="n">
        <v>0</v>
      </c>
      <c r="F88" s="8" t="n">
        <v>141181.56</v>
      </c>
      <c r="G88" s="8" t="n">
        <v>141181.56</v>
      </c>
      <c r="H88" s="8">
        <f>E88+F88-G88</f>
        <v/>
      </c>
    </row>
    <row r="89">
      <c r="A89" s="7" t="inlineStr">
        <is>
          <t>C692</t>
        </is>
      </c>
      <c r="B89" s="6" t="inlineStr">
        <is>
          <t>EURL CONPICAM</t>
        </is>
      </c>
      <c r="C89" s="7" t="inlineStr">
        <is>
          <t>41100</t>
        </is>
      </c>
      <c r="D89" s="6" t="inlineStr">
        <is>
          <t>Clients</t>
        </is>
      </c>
      <c r="E89" s="8" t="n">
        <v>584700.02</v>
      </c>
      <c r="F89" s="8" t="n">
        <v>0</v>
      </c>
      <c r="G89" s="8" t="n">
        <v>0</v>
      </c>
      <c r="H89" s="8">
        <f>E89+F89-G89</f>
        <v/>
      </c>
    </row>
    <row r="90">
      <c r="A90" s="7" t="inlineStr">
        <is>
          <t>C701</t>
        </is>
      </c>
      <c r="B90" s="6" t="inlineStr">
        <is>
          <t>BELKAID SAMIR</t>
        </is>
      </c>
      <c r="C90" s="7" t="inlineStr">
        <is>
          <t>41100</t>
        </is>
      </c>
      <c r="D90" s="6" t="inlineStr">
        <is>
          <t>Clients</t>
        </is>
      </c>
      <c r="E90" s="8" t="n">
        <v>116300</v>
      </c>
      <c r="F90" s="8" t="n">
        <v>0</v>
      </c>
      <c r="G90" s="8" t="n">
        <v>0</v>
      </c>
      <c r="H90" s="8">
        <f>E90+F90-G90</f>
        <v/>
      </c>
    </row>
    <row r="91">
      <c r="A91" s="7" t="inlineStr">
        <is>
          <t>C708</t>
        </is>
      </c>
      <c r="B91" s="6" t="inlineStr">
        <is>
          <t>BEJAIA LOGISTIQUE</t>
        </is>
      </c>
      <c r="C91" s="7" t="inlineStr">
        <is>
          <t>41100</t>
        </is>
      </c>
      <c r="D91" s="6" t="inlineStr">
        <is>
          <t>Clients</t>
        </is>
      </c>
      <c r="E91" s="8" t="n">
        <v>7842460</v>
      </c>
      <c r="F91" s="8" t="n">
        <v>17063648</v>
      </c>
      <c r="G91" s="8" t="n">
        <v>10118570</v>
      </c>
      <c r="H91" s="8">
        <f>E91+F91-G91</f>
        <v/>
      </c>
    </row>
    <row r="92">
      <c r="A92" s="7" t="inlineStr">
        <is>
          <t>C710</t>
        </is>
      </c>
      <c r="B92" s="6" t="inlineStr">
        <is>
          <t>SPA TRANS OUEST</t>
        </is>
      </c>
      <c r="C92" s="7" t="inlineStr">
        <is>
          <t>41100</t>
        </is>
      </c>
      <c r="D92" s="6" t="inlineStr">
        <is>
          <t>Clients</t>
        </is>
      </c>
      <c r="E92" s="8" t="n">
        <v>76160</v>
      </c>
      <c r="F92" s="8" t="n">
        <v>0</v>
      </c>
      <c r="G92" s="8" t="n">
        <v>0</v>
      </c>
      <c r="H92" s="8">
        <f>E92+F92-G92</f>
        <v/>
      </c>
    </row>
    <row r="93">
      <c r="A93" s="7" t="inlineStr">
        <is>
          <t>C721</t>
        </is>
      </c>
      <c r="B93" s="6" t="inlineStr">
        <is>
          <t>ENSP SPA</t>
        </is>
      </c>
      <c r="C93" s="7" t="inlineStr">
        <is>
          <t>41100</t>
        </is>
      </c>
      <c r="D93" s="6" t="inlineStr">
        <is>
          <t>Clients</t>
        </is>
      </c>
      <c r="E93" s="8" t="n">
        <v>489329.16</v>
      </c>
      <c r="F93" s="8" t="n">
        <v>0</v>
      </c>
      <c r="G93" s="8" t="n">
        <v>0</v>
      </c>
      <c r="H93" s="8">
        <f>E93+F93-G93</f>
        <v/>
      </c>
    </row>
    <row r="94">
      <c r="A94" s="7" t="inlineStr">
        <is>
          <t>C732</t>
        </is>
      </c>
      <c r="B94" s="6" t="inlineStr">
        <is>
          <t>NECHAB HACENE</t>
        </is>
      </c>
      <c r="C94" s="7" t="inlineStr">
        <is>
          <t>41100</t>
        </is>
      </c>
      <c r="D94" s="6" t="inlineStr">
        <is>
          <t>Clients</t>
        </is>
      </c>
      <c r="E94" s="8" t="n">
        <v>220150</v>
      </c>
      <c r="F94" s="8" t="n">
        <v>0</v>
      </c>
      <c r="G94" s="8" t="n">
        <v>0</v>
      </c>
      <c r="H94" s="8">
        <f>E94+F94-G94</f>
        <v/>
      </c>
    </row>
    <row r="95">
      <c r="A95" s="7" t="inlineStr">
        <is>
          <t>C740</t>
        </is>
      </c>
      <c r="B95" s="6" t="inlineStr">
        <is>
          <t>EURL BS COMMERCE</t>
        </is>
      </c>
      <c r="C95" s="7" t="inlineStr">
        <is>
          <t>41100</t>
        </is>
      </c>
      <c r="D95" s="6" t="inlineStr">
        <is>
          <t>Clients</t>
        </is>
      </c>
      <c r="E95" s="8" t="n">
        <v>0</v>
      </c>
      <c r="F95" s="8" t="n">
        <v>5743759.5</v>
      </c>
      <c r="G95" s="8" t="n">
        <v>5743700</v>
      </c>
      <c r="H95" s="8">
        <f>E95+F95-G95</f>
        <v/>
      </c>
    </row>
    <row r="96">
      <c r="A96" s="7" t="inlineStr">
        <is>
          <t>C752</t>
        </is>
      </c>
      <c r="B96" s="6" t="inlineStr">
        <is>
          <t>SPA METIDJI TRANS DE MARCHANDI</t>
        </is>
      </c>
      <c r="C96" s="7" t="inlineStr">
        <is>
          <t>41100</t>
        </is>
      </c>
      <c r="D96" s="6" t="inlineStr">
        <is>
          <t>Clients</t>
        </is>
      </c>
      <c r="E96" s="8" t="n">
        <v>29750</v>
      </c>
      <c r="F96" s="8" t="n">
        <v>0</v>
      </c>
      <c r="G96" s="8" t="n">
        <v>0</v>
      </c>
      <c r="H96" s="8">
        <f>E96+F96-G96</f>
        <v/>
      </c>
    </row>
    <row r="97">
      <c r="A97" s="7" t="inlineStr">
        <is>
          <t>C759</t>
        </is>
      </c>
      <c r="B97" s="6" t="inlineStr">
        <is>
          <t>HANIFI SALAH</t>
        </is>
      </c>
      <c r="C97" s="7" t="inlineStr">
        <is>
          <t>41100</t>
        </is>
      </c>
      <c r="D97" s="6" t="inlineStr">
        <is>
          <t>Clients</t>
        </is>
      </c>
      <c r="E97" s="8" t="n">
        <v>0</v>
      </c>
      <c r="F97" s="8" t="n">
        <v>139740</v>
      </c>
      <c r="G97" s="8" t="n">
        <v>112370</v>
      </c>
      <c r="H97" s="8">
        <f>E97+F97-G97</f>
        <v/>
      </c>
    </row>
    <row r="98">
      <c r="A98" s="7" t="inlineStr">
        <is>
          <t>C784</t>
        </is>
      </c>
      <c r="B98" s="6" t="inlineStr">
        <is>
          <t>EURL MONTE PARTS</t>
        </is>
      </c>
      <c r="C98" s="7" t="inlineStr">
        <is>
          <t>41100</t>
        </is>
      </c>
      <c r="D98" s="6" t="inlineStr">
        <is>
          <t>Clients</t>
        </is>
      </c>
      <c r="E98" s="8" t="n">
        <v>74000</v>
      </c>
      <c r="F98" s="8" t="n">
        <v>0</v>
      </c>
      <c r="G98" s="8" t="n">
        <v>0</v>
      </c>
      <c r="H98" s="8">
        <f>E98+F98-G98</f>
        <v/>
      </c>
    </row>
    <row r="99">
      <c r="A99" s="7" t="inlineStr">
        <is>
          <t>C816</t>
        </is>
      </c>
      <c r="B99" s="6" t="inlineStr">
        <is>
          <t>EPE SPA FERROVIAL</t>
        </is>
      </c>
      <c r="C99" s="7" t="inlineStr">
        <is>
          <t>41100</t>
        </is>
      </c>
      <c r="D99" s="6" t="inlineStr">
        <is>
          <t>Clients</t>
        </is>
      </c>
      <c r="E99" s="8" t="n">
        <v>1187620</v>
      </c>
      <c r="F99" s="8" t="n">
        <v>714000</v>
      </c>
      <c r="G99" s="8" t="n">
        <v>0</v>
      </c>
      <c r="H99" s="8">
        <f>E99+F99-G99</f>
        <v/>
      </c>
    </row>
    <row r="100">
      <c r="A100" s="7" t="inlineStr">
        <is>
          <t>C819</t>
        </is>
      </c>
      <c r="B100" s="6" t="inlineStr">
        <is>
          <t>SNC MOTEUR BLUE ZIANI ET CIE</t>
        </is>
      </c>
      <c r="C100" s="7" t="inlineStr">
        <is>
          <t>41100</t>
        </is>
      </c>
      <c r="D100" s="6" t="inlineStr">
        <is>
          <t>Clients</t>
        </is>
      </c>
      <c r="E100" s="8" t="n">
        <v>1000000</v>
      </c>
      <c r="F100" s="8" t="n">
        <v>0</v>
      </c>
      <c r="G100" s="8" t="n">
        <v>0</v>
      </c>
      <c r="H100" s="8">
        <f>E100+F100-G100</f>
        <v/>
      </c>
    </row>
    <row r="101">
      <c r="A101" s="7" t="inlineStr">
        <is>
          <t>C831</t>
        </is>
      </c>
      <c r="B101" s="6" t="inlineStr">
        <is>
          <t>DERDOURI FAROUK</t>
        </is>
      </c>
      <c r="C101" s="7" t="inlineStr">
        <is>
          <t>41100</t>
        </is>
      </c>
      <c r="D101" s="6" t="inlineStr">
        <is>
          <t>Clients</t>
        </is>
      </c>
      <c r="E101" s="8" t="n">
        <v>0</v>
      </c>
      <c r="F101" s="8" t="n">
        <v>2681300.09</v>
      </c>
      <c r="G101" s="8" t="n">
        <v>0</v>
      </c>
      <c r="H101" s="8">
        <f>E101+F101-G101</f>
        <v/>
      </c>
    </row>
    <row r="102">
      <c r="A102" s="7" t="inlineStr">
        <is>
          <t>C863</t>
        </is>
      </c>
      <c r="B102" s="6" t="inlineStr">
        <is>
          <t>SARL GRANIT NEGOCE TRANSPORT</t>
        </is>
      </c>
      <c r="C102" s="7" t="inlineStr">
        <is>
          <t>41100</t>
        </is>
      </c>
      <c r="D102" s="6" t="inlineStr">
        <is>
          <t>Clients</t>
        </is>
      </c>
      <c r="E102" s="8" t="n">
        <v>-32844</v>
      </c>
      <c r="F102" s="8" t="n">
        <v>0</v>
      </c>
      <c r="G102" s="8" t="n">
        <v>0</v>
      </c>
      <c r="H102" s="8">
        <f>E102+F102-G102</f>
        <v/>
      </c>
    </row>
    <row r="103">
      <c r="A103" s="7" t="inlineStr">
        <is>
          <t>C876</t>
        </is>
      </c>
      <c r="B103" s="6" t="inlineStr">
        <is>
          <t>GHENABZIA BELKACEM</t>
        </is>
      </c>
      <c r="C103" s="7" t="inlineStr">
        <is>
          <t>41100</t>
        </is>
      </c>
      <c r="D103" s="6" t="inlineStr">
        <is>
          <t>Clients</t>
        </is>
      </c>
      <c r="E103" s="8" t="n">
        <v>185540</v>
      </c>
      <c r="F103" s="8" t="n">
        <v>0</v>
      </c>
      <c r="G103" s="8" t="n">
        <v>0</v>
      </c>
      <c r="H103" s="8">
        <f>E103+F103-G103</f>
        <v/>
      </c>
    </row>
    <row r="104">
      <c r="A104" s="7" t="inlineStr">
        <is>
          <t>C887</t>
        </is>
      </c>
      <c r="B104" s="6" t="inlineStr">
        <is>
          <t>SARL COMPLEXE AGRO ALIMENTAIRE</t>
        </is>
      </c>
      <c r="C104" s="7" t="inlineStr">
        <is>
          <t>41100</t>
        </is>
      </c>
      <c r="D104" s="6" t="inlineStr">
        <is>
          <t>Clients</t>
        </is>
      </c>
      <c r="E104" s="8" t="n">
        <v>60690</v>
      </c>
      <c r="F104" s="8" t="n">
        <v>0</v>
      </c>
      <c r="G104" s="8" t="n">
        <v>0</v>
      </c>
      <c r="H104" s="8">
        <f>E104+F104-G104</f>
        <v/>
      </c>
    </row>
    <row r="105">
      <c r="A105" s="7" t="inlineStr">
        <is>
          <t>C891</t>
        </is>
      </c>
      <c r="B105" s="6" t="inlineStr">
        <is>
          <t>SACI MOUSSA</t>
        </is>
      </c>
      <c r="C105" s="7" t="inlineStr">
        <is>
          <t>41100</t>
        </is>
      </c>
      <c r="D105" s="6" t="inlineStr">
        <is>
          <t>Clients</t>
        </is>
      </c>
      <c r="E105" s="8" t="n">
        <v>0</v>
      </c>
      <c r="F105" s="8" t="n">
        <v>192499.99</v>
      </c>
      <c r="G105" s="8" t="n">
        <v>0</v>
      </c>
      <c r="H105" s="8">
        <f>E105+F105-G105</f>
        <v/>
      </c>
    </row>
    <row r="106">
      <c r="A106" s="7" t="inlineStr">
        <is>
          <t>C900</t>
        </is>
      </c>
      <c r="B106" s="6" t="inlineStr">
        <is>
          <t>BENAMARA MOHAMMED</t>
        </is>
      </c>
      <c r="C106" s="7" t="inlineStr">
        <is>
          <t>41100</t>
        </is>
      </c>
      <c r="D106" s="6" t="inlineStr">
        <is>
          <t>Clients</t>
        </is>
      </c>
      <c r="E106" s="8" t="n">
        <v>1989648</v>
      </c>
      <c r="F106" s="8" t="n">
        <v>995067.48</v>
      </c>
      <c r="G106" s="8" t="n">
        <v>0</v>
      </c>
      <c r="H106" s="8">
        <f>E106+F106-G106</f>
        <v/>
      </c>
    </row>
    <row r="107">
      <c r="A107" s="7" t="inlineStr">
        <is>
          <t>C907</t>
        </is>
      </c>
      <c r="B107" s="6" t="inlineStr">
        <is>
          <t>SARL EURODAX TRUCKS</t>
        </is>
      </c>
      <c r="C107" s="7" t="inlineStr">
        <is>
          <t>41100</t>
        </is>
      </c>
      <c r="D107" s="6" t="inlineStr">
        <is>
          <t>Clients</t>
        </is>
      </c>
      <c r="E107" s="8" t="n">
        <v>0</v>
      </c>
      <c r="F107" s="8" t="n">
        <v>760600.02</v>
      </c>
      <c r="G107" s="8" t="n">
        <v>0</v>
      </c>
      <c r="H107" s="8">
        <f>E107+F107-G107</f>
        <v/>
      </c>
    </row>
    <row r="108">
      <c r="A108" s="7" t="inlineStr">
        <is>
          <t>C910</t>
        </is>
      </c>
      <c r="B108" s="6" t="inlineStr">
        <is>
          <t>SASSANE RAMDANE</t>
        </is>
      </c>
      <c r="C108" s="7" t="inlineStr">
        <is>
          <t>41100</t>
        </is>
      </c>
      <c r="D108" s="6" t="inlineStr">
        <is>
          <t>Clients</t>
        </is>
      </c>
      <c r="E108" s="8" t="n">
        <v>0</v>
      </c>
      <c r="F108" s="8" t="n">
        <v>391358.01</v>
      </c>
      <c r="G108" s="8" t="n">
        <v>0</v>
      </c>
      <c r="H108" s="8">
        <f>E108+F108-G108</f>
        <v/>
      </c>
    </row>
    <row r="109">
      <c r="A109" s="7" t="inlineStr">
        <is>
          <t>C916</t>
        </is>
      </c>
      <c r="B109" s="6" t="inlineStr">
        <is>
          <t>ZIANI LAKHDAR</t>
        </is>
      </c>
      <c r="C109" s="7" t="inlineStr">
        <is>
          <t>41100</t>
        </is>
      </c>
      <c r="D109" s="6" t="inlineStr">
        <is>
          <t>Clients</t>
        </is>
      </c>
      <c r="E109" s="8" t="n">
        <v>0</v>
      </c>
      <c r="F109" s="8" t="n">
        <v>4202000</v>
      </c>
      <c r="G109" s="8" t="n">
        <v>1472000</v>
      </c>
      <c r="H109" s="8">
        <f>E109+F109-G109</f>
        <v/>
      </c>
    </row>
    <row r="110">
      <c r="A110" s="7" t="inlineStr">
        <is>
          <t>C918</t>
        </is>
      </c>
      <c r="B110" s="6" t="inlineStr">
        <is>
          <t>TILKOUT AHCENE</t>
        </is>
      </c>
      <c r="C110" s="7" t="inlineStr">
        <is>
          <t>41100</t>
        </is>
      </c>
      <c r="D110" s="6" t="inlineStr">
        <is>
          <t>Clients</t>
        </is>
      </c>
      <c r="E110" s="8" t="n">
        <v>0</v>
      </c>
      <c r="F110" s="8" t="n">
        <v>732500</v>
      </c>
      <c r="G110" s="8" t="n">
        <v>0</v>
      </c>
      <c r="H110" s="8">
        <f>E110+F110-G110</f>
        <v/>
      </c>
    </row>
    <row r="111">
      <c r="A111" s="7" t="inlineStr">
        <is>
          <t>C925</t>
        </is>
      </c>
      <c r="B111" s="6" t="inlineStr">
        <is>
          <t>SPA AGEFAL</t>
        </is>
      </c>
      <c r="C111" s="7" t="inlineStr">
        <is>
          <t>41100</t>
        </is>
      </c>
      <c r="D111" s="6" t="inlineStr">
        <is>
          <t>Clients</t>
        </is>
      </c>
      <c r="E111" s="8" t="n">
        <v>60214</v>
      </c>
      <c r="F111" s="8" t="n">
        <v>0</v>
      </c>
      <c r="G111" s="8" t="n">
        <v>0</v>
      </c>
      <c r="H111" s="8">
        <f>E111+F111-G111</f>
        <v/>
      </c>
    </row>
    <row r="112">
      <c r="A112" s="7" t="inlineStr">
        <is>
          <t>C928</t>
        </is>
      </c>
      <c r="B112" s="6" t="inlineStr">
        <is>
          <t>SARL YAYA LOUNIS ET FRERES TRA</t>
        </is>
      </c>
      <c r="C112" s="7" t="inlineStr">
        <is>
          <t>41100</t>
        </is>
      </c>
      <c r="D112" s="6" t="inlineStr">
        <is>
          <t>Clients</t>
        </is>
      </c>
      <c r="E112" s="8" t="n">
        <v>0</v>
      </c>
      <c r="F112" s="8" t="n">
        <v>170000</v>
      </c>
      <c r="G112" s="8" t="n">
        <v>0</v>
      </c>
      <c r="H112" s="8">
        <f>E112+F112-G112</f>
        <v/>
      </c>
    </row>
    <row r="113">
      <c r="A113" s="7" t="inlineStr">
        <is>
          <t>C934</t>
        </is>
      </c>
      <c r="B113" s="6" t="inlineStr">
        <is>
          <t>SARL ROYAL MATERIAUX DE CONST</t>
        </is>
      </c>
      <c r="C113" s="7" t="inlineStr">
        <is>
          <t>41100</t>
        </is>
      </c>
      <c r="D113" s="6" t="inlineStr">
        <is>
          <t>Clients</t>
        </is>
      </c>
      <c r="E113" s="8" t="n">
        <v>0</v>
      </c>
      <c r="F113" s="8" t="n">
        <v>1139300.02</v>
      </c>
      <c r="G113" s="8" t="n">
        <v>0</v>
      </c>
      <c r="H113" s="8">
        <f>E113+F113-G113</f>
        <v/>
      </c>
    </row>
    <row r="114">
      <c r="A114" s="7" t="inlineStr">
        <is>
          <t>C959</t>
        </is>
      </c>
      <c r="B114" s="6" t="inlineStr">
        <is>
          <t>EURL TERRENO TRANS</t>
        </is>
      </c>
      <c r="C114" s="7" t="inlineStr">
        <is>
          <t>41100</t>
        </is>
      </c>
      <c r="D114" s="6" t="inlineStr">
        <is>
          <t>Clients</t>
        </is>
      </c>
      <c r="E114" s="8" t="n">
        <v>1420860</v>
      </c>
      <c r="F114" s="8" t="n">
        <v>12165489</v>
      </c>
      <c r="G114" s="8" t="n">
        <v>0</v>
      </c>
      <c r="H114" s="8">
        <f>E114+F114-G114</f>
        <v/>
      </c>
    </row>
    <row r="115">
      <c r="A115" s="7" t="inlineStr">
        <is>
          <t>C968</t>
        </is>
      </c>
      <c r="B115" s="6" t="inlineStr">
        <is>
          <t>SARL MTA</t>
        </is>
      </c>
      <c r="C115" s="7" t="inlineStr">
        <is>
          <t>41100</t>
        </is>
      </c>
      <c r="D115" s="6" t="inlineStr">
        <is>
          <t>Clients</t>
        </is>
      </c>
      <c r="E115" s="8" t="n">
        <v>151844</v>
      </c>
      <c r="F115" s="8" t="n">
        <v>0</v>
      </c>
      <c r="G115" s="8" t="n">
        <v>0</v>
      </c>
      <c r="H115" s="8">
        <f>E115+F115-G115</f>
        <v/>
      </c>
    </row>
    <row r="116">
      <c r="A116" s="7" t="inlineStr">
        <is>
          <t>C973</t>
        </is>
      </c>
      <c r="B116" s="6" t="inlineStr">
        <is>
          <t>ZIANI BILAL</t>
        </is>
      </c>
      <c r="C116" s="7" t="inlineStr">
        <is>
          <t>41100</t>
        </is>
      </c>
      <c r="D116" s="6" t="inlineStr">
        <is>
          <t>Clients</t>
        </is>
      </c>
      <c r="E116" s="8" t="n">
        <v>0</v>
      </c>
      <c r="F116" s="8" t="n">
        <v>2000390</v>
      </c>
      <c r="G116" s="8" t="n">
        <v>0</v>
      </c>
      <c r="H116" s="8">
        <f>E116+F116-G116</f>
        <v/>
      </c>
    </row>
    <row r="117">
      <c r="A117" s="7" t="inlineStr">
        <is>
          <t>C975</t>
        </is>
      </c>
      <c r="B117" s="6" t="inlineStr">
        <is>
          <t>SAHRAOUI BECHAGHA</t>
        </is>
      </c>
      <c r="C117" s="7" t="inlineStr">
        <is>
          <t>41100</t>
        </is>
      </c>
      <c r="D117" s="6" t="inlineStr">
        <is>
          <t>Clients</t>
        </is>
      </c>
      <c r="E117" s="8" t="n">
        <v>0</v>
      </c>
      <c r="F117" s="8" t="n">
        <v>1241000.01</v>
      </c>
      <c r="G117" s="8" t="n">
        <v>887700</v>
      </c>
      <c r="H117" s="8">
        <f>E117+F117-G117</f>
        <v/>
      </c>
    </row>
    <row r="118">
      <c r="A118" s="7" t="inlineStr">
        <is>
          <t>C978</t>
        </is>
      </c>
      <c r="B118" s="6" t="inlineStr">
        <is>
          <t>SPA AGGLOMERES DE L'EST</t>
        </is>
      </c>
      <c r="C118" s="7" t="inlineStr">
        <is>
          <t>41100</t>
        </is>
      </c>
      <c r="D118" s="6" t="inlineStr">
        <is>
          <t>Clients</t>
        </is>
      </c>
      <c r="E118" s="8" t="n">
        <v>67830</v>
      </c>
      <c r="F118" s="8" t="n">
        <v>318920</v>
      </c>
      <c r="G118" s="8" t="n">
        <v>0</v>
      </c>
      <c r="H118" s="8">
        <f>E118+F118-G118</f>
        <v/>
      </c>
    </row>
    <row r="119">
      <c r="A119" s="7" t="inlineStr">
        <is>
          <t>C980</t>
        </is>
      </c>
      <c r="B119" s="6" t="inlineStr">
        <is>
          <t>BOUHAMED ABDERRAHIM</t>
        </is>
      </c>
      <c r="C119" s="7" t="inlineStr">
        <is>
          <t>41100</t>
        </is>
      </c>
      <c r="D119" s="6" t="inlineStr">
        <is>
          <t>Clients</t>
        </is>
      </c>
      <c r="E119" s="8" t="n">
        <v>0</v>
      </c>
      <c r="F119" s="8" t="n">
        <v>857289</v>
      </c>
      <c r="G119" s="8" t="n">
        <v>0</v>
      </c>
      <c r="H119" s="8">
        <f>E119+F119-G119</f>
        <v/>
      </c>
    </row>
    <row r="120">
      <c r="A120" s="7" t="inlineStr">
        <is>
          <t>C986</t>
        </is>
      </c>
      <c r="B120" s="6" t="inlineStr">
        <is>
          <t>SARL LAITERIE SOUMMAM</t>
        </is>
      </c>
      <c r="C120" s="7" t="inlineStr">
        <is>
          <t>41100</t>
        </is>
      </c>
      <c r="D120" s="6" t="inlineStr">
        <is>
          <t>Clients</t>
        </is>
      </c>
      <c r="E120" s="8" t="n">
        <v>0</v>
      </c>
      <c r="F120" s="8" t="n">
        <v>3141600</v>
      </c>
      <c r="G120" s="8" t="n">
        <v>0</v>
      </c>
      <c r="H120" s="8">
        <f>E120+F120-G120</f>
        <v/>
      </c>
    </row>
    <row r="121">
      <c r="A121" s="7" t="inlineStr">
        <is>
          <t>AC002</t>
        </is>
      </c>
      <c r="B121" s="6" t="inlineStr">
        <is>
          <t>DJENNADI AHCENE</t>
        </is>
      </c>
      <c r="C121" s="7" t="inlineStr">
        <is>
          <t>41900</t>
        </is>
      </c>
      <c r="D121" s="6" t="inlineStr">
        <is>
          <t>Clients créditeurs -avances re</t>
        </is>
      </c>
      <c r="E121" s="8" t="n">
        <v>-500000</v>
      </c>
      <c r="F121" s="8" t="n">
        <v>0</v>
      </c>
      <c r="G121" s="8" t="n">
        <v>0</v>
      </c>
      <c r="H121" s="8">
        <f>E121+F121-G121</f>
        <v/>
      </c>
    </row>
    <row r="122">
      <c r="A122" s="7" t="inlineStr">
        <is>
          <t>AC009</t>
        </is>
      </c>
      <c r="B122" s="6" t="inlineStr">
        <is>
          <t>SARL DPR AXXAM</t>
        </is>
      </c>
      <c r="C122" s="7" t="inlineStr">
        <is>
          <t>41900</t>
        </is>
      </c>
      <c r="D122" s="6" t="inlineStr">
        <is>
          <t>Clients créditeurs -avances re</t>
        </is>
      </c>
      <c r="E122" s="8" t="n">
        <v>-9821942.210000001</v>
      </c>
      <c r="F122" s="8" t="n">
        <v>0</v>
      </c>
      <c r="G122" s="8" t="n">
        <v>0</v>
      </c>
      <c r="H122" s="8">
        <f>E122+F122-G122</f>
        <v/>
      </c>
    </row>
    <row r="123">
      <c r="A123" s="7" t="inlineStr">
        <is>
          <t>AC014</t>
        </is>
      </c>
      <c r="B123" s="6" t="inlineStr">
        <is>
          <t>SARL TRANS FAID</t>
        </is>
      </c>
      <c r="C123" s="7" t="inlineStr">
        <is>
          <t>41900</t>
        </is>
      </c>
      <c r="D123" s="6" t="inlineStr">
        <is>
          <t>Clients créditeurs -avances re</t>
        </is>
      </c>
      <c r="E123" s="8" t="n">
        <v>-1843316.12</v>
      </c>
      <c r="F123" s="8" t="n">
        <v>0</v>
      </c>
      <c r="G123" s="8" t="n">
        <v>0</v>
      </c>
      <c r="H123" s="8">
        <f>E123+F123-G123</f>
        <v/>
      </c>
    </row>
    <row r="124">
      <c r="A124" s="7" t="inlineStr">
        <is>
          <t>AC048</t>
        </is>
      </c>
      <c r="B124" s="6" t="inlineStr">
        <is>
          <t>MADI ALLAOUA</t>
        </is>
      </c>
      <c r="C124" s="7" t="inlineStr">
        <is>
          <t>41900</t>
        </is>
      </c>
      <c r="D124" s="6" t="inlineStr">
        <is>
          <t>Clients créditeurs -avances re</t>
        </is>
      </c>
      <c r="E124" s="8" t="n">
        <v>-2660000</v>
      </c>
      <c r="F124" s="8" t="n">
        <v>0</v>
      </c>
      <c r="G124" s="8" t="n">
        <v>0</v>
      </c>
      <c r="H124" s="8">
        <f>E124+F124-G124</f>
        <v/>
      </c>
    </row>
    <row r="125">
      <c r="A125" s="7" t="inlineStr">
        <is>
          <t>AC067</t>
        </is>
      </c>
      <c r="B125" s="6" t="inlineStr">
        <is>
          <t>DJENNADI REYAD</t>
        </is>
      </c>
      <c r="C125" s="7" t="inlineStr">
        <is>
          <t>41900</t>
        </is>
      </c>
      <c r="D125" s="6" t="inlineStr">
        <is>
          <t>Clients créditeurs -avances re</t>
        </is>
      </c>
      <c r="E125" s="8" t="n">
        <v>-17609544.19</v>
      </c>
      <c r="F125" s="8" t="n">
        <v>0</v>
      </c>
      <c r="G125" s="8" t="n">
        <v>0</v>
      </c>
      <c r="H125" s="8">
        <f>E125+F125-G125</f>
        <v/>
      </c>
    </row>
    <row r="126">
      <c r="A126" s="7" t="inlineStr">
        <is>
          <t>AC111</t>
        </is>
      </c>
      <c r="B126" s="6" t="inlineStr">
        <is>
          <t>SNC NASAF GALOUL ET CIE</t>
        </is>
      </c>
      <c r="C126" s="7" t="inlineStr">
        <is>
          <t>41900</t>
        </is>
      </c>
      <c r="D126" s="6" t="inlineStr">
        <is>
          <t>Clients créditeurs -avances re</t>
        </is>
      </c>
      <c r="E126" s="8" t="n">
        <v>-1929169.53</v>
      </c>
      <c r="F126" s="8" t="n">
        <v>0</v>
      </c>
      <c r="G126" s="8" t="n">
        <v>0</v>
      </c>
      <c r="H126" s="8">
        <f>E126+F126-G126</f>
        <v/>
      </c>
    </row>
    <row r="127">
      <c r="A127" s="7" t="inlineStr">
        <is>
          <t>AC129</t>
        </is>
      </c>
      <c r="B127" s="6" t="inlineStr">
        <is>
          <t>HAGROUD ABD ELAZIZE</t>
        </is>
      </c>
      <c r="C127" s="7" t="inlineStr">
        <is>
          <t>41900</t>
        </is>
      </c>
      <c r="D127" s="6" t="inlineStr">
        <is>
          <t>Clients créditeurs -avances re</t>
        </is>
      </c>
      <c r="E127" s="8" t="n">
        <v>-48000</v>
      </c>
      <c r="F127" s="8" t="n">
        <v>0</v>
      </c>
      <c r="G127" s="8" t="n">
        <v>0</v>
      </c>
      <c r="H127" s="8">
        <f>E127+F127-G127</f>
        <v/>
      </c>
    </row>
    <row r="128">
      <c r="A128" s="7" t="inlineStr">
        <is>
          <t>AC144</t>
        </is>
      </c>
      <c r="B128" s="6" t="inlineStr">
        <is>
          <t>SELLAH ABD ELGHANI</t>
        </is>
      </c>
      <c r="C128" s="7" t="inlineStr">
        <is>
          <t>41900</t>
        </is>
      </c>
      <c r="D128" s="6" t="inlineStr">
        <is>
          <t>Clients créditeurs -avances re</t>
        </is>
      </c>
      <c r="E128" s="8" t="n">
        <v>-300000</v>
      </c>
      <c r="F128" s="8" t="n">
        <v>0</v>
      </c>
      <c r="G128" s="8" t="n">
        <v>0</v>
      </c>
      <c r="H128" s="8">
        <f>E128+F128-G128</f>
        <v/>
      </c>
    </row>
    <row r="129">
      <c r="A129" s="7" t="inlineStr">
        <is>
          <t>AC145</t>
        </is>
      </c>
      <c r="B129" s="6" t="inlineStr">
        <is>
          <t>EURL CARRIER LES BIBIANS</t>
        </is>
      </c>
      <c r="C129" s="7" t="inlineStr">
        <is>
          <t>41900</t>
        </is>
      </c>
      <c r="D129" s="6" t="inlineStr">
        <is>
          <t>Clients créditeurs -avances re</t>
        </is>
      </c>
      <c r="E129" s="8" t="n">
        <v>-800000</v>
      </c>
      <c r="F129" s="8" t="n">
        <v>0</v>
      </c>
      <c r="G129" s="8" t="n">
        <v>0</v>
      </c>
      <c r="H129" s="8">
        <f>E129+F129-G129</f>
        <v/>
      </c>
    </row>
    <row r="130">
      <c r="A130" s="7" t="inlineStr">
        <is>
          <t>AC189</t>
        </is>
      </c>
      <c r="B130" s="6" t="inlineStr">
        <is>
          <t>MECHREF MOUHOUB</t>
        </is>
      </c>
      <c r="C130" s="7" t="inlineStr">
        <is>
          <t>41900</t>
        </is>
      </c>
      <c r="D130" s="6" t="inlineStr">
        <is>
          <t>Clients créditeurs -avances re</t>
        </is>
      </c>
      <c r="E130" s="8" t="n">
        <v>-3509008.27</v>
      </c>
      <c r="F130" s="8" t="n">
        <v>0</v>
      </c>
      <c r="G130" s="8" t="n">
        <v>0</v>
      </c>
      <c r="H130" s="8">
        <f>E130+F130-G130</f>
        <v/>
      </c>
    </row>
    <row r="131">
      <c r="A131" s="7" t="inlineStr">
        <is>
          <t>AC191</t>
        </is>
      </c>
      <c r="B131" s="6" t="inlineStr">
        <is>
          <t>OUKHALED YASSINE</t>
        </is>
      </c>
      <c r="C131" s="7" t="inlineStr">
        <is>
          <t>41900</t>
        </is>
      </c>
      <c r="D131" s="6" t="inlineStr">
        <is>
          <t>Clients créditeurs -avances re</t>
        </is>
      </c>
      <c r="E131" s="8" t="n">
        <v>-5638.26</v>
      </c>
      <c r="F131" s="8" t="n">
        <v>0</v>
      </c>
      <c r="G131" s="8" t="n">
        <v>0</v>
      </c>
      <c r="H131" s="8">
        <f>E131+F131-G131</f>
        <v/>
      </c>
    </row>
    <row r="132">
      <c r="A132" s="7" t="inlineStr">
        <is>
          <t>AC206</t>
        </is>
      </c>
      <c r="B132" s="6" t="inlineStr">
        <is>
          <t>CHEBBAH NACER</t>
        </is>
      </c>
      <c r="C132" s="7" t="inlineStr">
        <is>
          <t>41900</t>
        </is>
      </c>
      <c r="D132" s="6" t="inlineStr">
        <is>
          <t>Clients créditeurs -avances re</t>
        </is>
      </c>
      <c r="E132" s="8" t="n">
        <v>-100000</v>
      </c>
      <c r="F132" s="8" t="n">
        <v>0</v>
      </c>
      <c r="G132" s="8" t="n">
        <v>0</v>
      </c>
      <c r="H132" s="8">
        <f>E132+F132-G132</f>
        <v/>
      </c>
    </row>
    <row r="133">
      <c r="A133" s="7" t="inlineStr">
        <is>
          <t>AC207</t>
        </is>
      </c>
      <c r="B133" s="6" t="inlineStr">
        <is>
          <t>BOUKIR KHELLAF</t>
        </is>
      </c>
      <c r="C133" s="7" t="inlineStr">
        <is>
          <t>41900</t>
        </is>
      </c>
      <c r="D133" s="6" t="inlineStr">
        <is>
          <t>Clients créditeurs -avances re</t>
        </is>
      </c>
      <c r="E133" s="8" t="n">
        <v>-565666.61</v>
      </c>
      <c r="F133" s="8" t="n">
        <v>0</v>
      </c>
      <c r="G133" s="8" t="n">
        <v>0</v>
      </c>
      <c r="H133" s="8">
        <f>E133+F133-G133</f>
        <v/>
      </c>
    </row>
    <row r="134">
      <c r="A134" s="7" t="inlineStr">
        <is>
          <t>AC211</t>
        </is>
      </c>
      <c r="B134" s="6" t="inlineStr">
        <is>
          <t>MENACERI LARBI</t>
        </is>
      </c>
      <c r="C134" s="7" t="inlineStr">
        <is>
          <t>41900</t>
        </is>
      </c>
      <c r="D134" s="6" t="inlineStr">
        <is>
          <t>Clients créditeurs -avances re</t>
        </is>
      </c>
      <c r="E134" s="8" t="n">
        <v>-280029.09</v>
      </c>
      <c r="F134" s="8" t="n">
        <v>0</v>
      </c>
      <c r="G134" s="8" t="n">
        <v>0</v>
      </c>
      <c r="H134" s="8">
        <f>E134+F134-G134</f>
        <v/>
      </c>
    </row>
    <row r="135">
      <c r="A135" s="7" t="inlineStr">
        <is>
          <t>AC212</t>
        </is>
      </c>
      <c r="B135" s="6" t="inlineStr">
        <is>
          <t>ACHOURI ABDELLATIF</t>
        </is>
      </c>
      <c r="C135" s="7" t="inlineStr">
        <is>
          <t>41900</t>
        </is>
      </c>
      <c r="D135" s="6" t="inlineStr">
        <is>
          <t>Clients créditeurs -avances re</t>
        </is>
      </c>
      <c r="E135" s="8" t="n">
        <v>-1500000</v>
      </c>
      <c r="F135" s="8" t="n">
        <v>0</v>
      </c>
      <c r="G135" s="8" t="n">
        <v>0</v>
      </c>
      <c r="H135" s="8">
        <f>E135+F135-G135</f>
        <v/>
      </c>
    </row>
    <row r="136">
      <c r="A136" s="7" t="inlineStr">
        <is>
          <t>AC213</t>
        </is>
      </c>
      <c r="B136" s="6" t="inlineStr">
        <is>
          <t>NABET NADIR</t>
        </is>
      </c>
      <c r="C136" s="7" t="inlineStr">
        <is>
          <t>41900</t>
        </is>
      </c>
      <c r="D136" s="6" t="inlineStr">
        <is>
          <t>Clients créditeurs -avances re</t>
        </is>
      </c>
      <c r="E136" s="8" t="n">
        <v>-661017.3199999999</v>
      </c>
      <c r="F136" s="8" t="n">
        <v>0</v>
      </c>
      <c r="G136" s="8" t="n">
        <v>0</v>
      </c>
      <c r="H136" s="8">
        <f>E136+F136-G136</f>
        <v/>
      </c>
    </row>
    <row r="137">
      <c r="A137" s="7" t="inlineStr">
        <is>
          <t>AC220</t>
        </is>
      </c>
      <c r="B137" s="6" t="inlineStr">
        <is>
          <t>AOUCHICHE MASSINISSA</t>
        </is>
      </c>
      <c r="C137" s="7" t="inlineStr">
        <is>
          <t>41900</t>
        </is>
      </c>
      <c r="D137" s="6" t="inlineStr">
        <is>
          <t>Clients créditeurs -avances re</t>
        </is>
      </c>
      <c r="E137" s="8" t="n">
        <v>-210129</v>
      </c>
      <c r="F137" s="8" t="n">
        <v>0</v>
      </c>
      <c r="G137" s="8" t="n">
        <v>0</v>
      </c>
      <c r="H137" s="8">
        <f>E137+F137-G137</f>
        <v/>
      </c>
    </row>
    <row r="138">
      <c r="A138" s="7" t="inlineStr">
        <is>
          <t>AC222</t>
        </is>
      </c>
      <c r="B138" s="6" t="inlineStr">
        <is>
          <t>MAHAH ACHOUR</t>
        </is>
      </c>
      <c r="C138" s="7" t="inlineStr">
        <is>
          <t>41900</t>
        </is>
      </c>
      <c r="D138" s="6" t="inlineStr">
        <is>
          <t>Clients créditeurs -avances re</t>
        </is>
      </c>
      <c r="E138" s="8" t="n">
        <v>-656638.71</v>
      </c>
      <c r="F138" s="8" t="n">
        <v>0</v>
      </c>
      <c r="G138" s="8" t="n">
        <v>0</v>
      </c>
      <c r="H138" s="8">
        <f>E138+F138-G138</f>
        <v/>
      </c>
    </row>
    <row r="139">
      <c r="A139" s="7" t="inlineStr">
        <is>
          <t>AC223</t>
        </is>
      </c>
      <c r="B139" s="6" t="inlineStr">
        <is>
          <t>AYACHE ABDELFATEH</t>
        </is>
      </c>
      <c r="C139" s="7" t="inlineStr">
        <is>
          <t>41900</t>
        </is>
      </c>
      <c r="D139" s="6" t="inlineStr">
        <is>
          <t>Clients créditeurs -avances re</t>
        </is>
      </c>
      <c r="E139" s="8" t="n">
        <v>-1259817.91</v>
      </c>
      <c r="F139" s="8" t="n">
        <v>0</v>
      </c>
      <c r="G139" s="8" t="n">
        <v>0</v>
      </c>
      <c r="H139" s="8">
        <f>E139+F139-G139</f>
        <v/>
      </c>
    </row>
    <row r="140">
      <c r="A140" s="7" t="inlineStr">
        <is>
          <t>AC224</t>
        </is>
      </c>
      <c r="B140" s="6" t="inlineStr">
        <is>
          <t>BOUKAIBA SAMIR</t>
        </is>
      </c>
      <c r="C140" s="7" t="inlineStr">
        <is>
          <t>41900</t>
        </is>
      </c>
      <c r="D140" s="6" t="inlineStr">
        <is>
          <t>Clients créditeurs -avances re</t>
        </is>
      </c>
      <c r="E140" s="8" t="n">
        <v>-999466.3199999999</v>
      </c>
      <c r="F140" s="8" t="n">
        <v>0</v>
      </c>
      <c r="G140" s="8" t="n">
        <v>0</v>
      </c>
      <c r="H140" s="8">
        <f>E140+F140-G140</f>
        <v/>
      </c>
    </row>
    <row r="141">
      <c r="A141" s="7" t="inlineStr">
        <is>
          <t>AC225</t>
        </is>
      </c>
      <c r="B141" s="6" t="inlineStr">
        <is>
          <t>AZIB AZZEDINE</t>
        </is>
      </c>
      <c r="C141" s="7" t="inlineStr">
        <is>
          <t>41900</t>
        </is>
      </c>
      <c r="D141" s="6" t="inlineStr">
        <is>
          <t>Clients créditeurs -avances re</t>
        </is>
      </c>
      <c r="E141" s="8" t="n">
        <v>-4087093.07</v>
      </c>
      <c r="F141" s="8" t="n">
        <v>0</v>
      </c>
      <c r="G141" s="8" t="n">
        <v>0</v>
      </c>
      <c r="H141" s="8">
        <f>E141+F141-G141</f>
        <v/>
      </c>
    </row>
    <row r="142">
      <c r="A142" s="7" t="inlineStr">
        <is>
          <t>AC229</t>
        </is>
      </c>
      <c r="B142" s="6" t="inlineStr">
        <is>
          <t>SARL REV ETPBH SIDANE</t>
        </is>
      </c>
      <c r="C142" s="7" t="inlineStr">
        <is>
          <t>41900</t>
        </is>
      </c>
      <c r="D142" s="6" t="inlineStr">
        <is>
          <t>Clients créditeurs -avances re</t>
        </is>
      </c>
      <c r="E142" s="8" t="n">
        <v>-393539.72</v>
      </c>
      <c r="F142" s="8" t="n">
        <v>0</v>
      </c>
      <c r="G142" s="8" t="n">
        <v>0</v>
      </c>
      <c r="H142" s="8">
        <f>E142+F142-G142</f>
        <v/>
      </c>
    </row>
    <row r="143">
      <c r="A143" s="7" t="inlineStr">
        <is>
          <t>AC230</t>
        </is>
      </c>
      <c r="B143" s="6" t="inlineStr">
        <is>
          <t>LAIDANI NABIL</t>
        </is>
      </c>
      <c r="C143" s="7" t="inlineStr">
        <is>
          <t>41900</t>
        </is>
      </c>
      <c r="D143" s="6" t="inlineStr">
        <is>
          <t>Clients créditeurs -avances re</t>
        </is>
      </c>
      <c r="E143" s="8" t="n">
        <v>-652291.4399999999</v>
      </c>
      <c r="F143" s="8" t="n">
        <v>0</v>
      </c>
      <c r="G143" s="8" t="n">
        <v>0</v>
      </c>
      <c r="H143" s="8">
        <f>E143+F143-G143</f>
        <v/>
      </c>
    </row>
    <row r="144">
      <c r="A144" s="7" t="inlineStr">
        <is>
          <t>AC233</t>
        </is>
      </c>
      <c r="B144" s="6" t="inlineStr">
        <is>
          <t>IKHLEF DJELLOUL</t>
        </is>
      </c>
      <c r="C144" s="7" t="inlineStr">
        <is>
          <t>41900</t>
        </is>
      </c>
      <c r="D144" s="6" t="inlineStr">
        <is>
          <t>Clients créditeurs -avances re</t>
        </is>
      </c>
      <c r="E144" s="8" t="n">
        <v>-298000</v>
      </c>
      <c r="F144" s="8" t="n">
        <v>0</v>
      </c>
      <c r="G144" s="8" t="n">
        <v>0</v>
      </c>
      <c r="H144" s="8">
        <f>E144+F144-G144</f>
        <v/>
      </c>
    </row>
    <row r="145">
      <c r="A145" s="7" t="inlineStr">
        <is>
          <t>AC234</t>
        </is>
      </c>
      <c r="B145" s="6" t="inlineStr">
        <is>
          <t>ABDELLI ABDENOUR</t>
        </is>
      </c>
      <c r="C145" s="7" t="inlineStr">
        <is>
          <t>41900</t>
        </is>
      </c>
      <c r="D145" s="6" t="inlineStr">
        <is>
          <t>Clients créditeurs -avances re</t>
        </is>
      </c>
      <c r="E145" s="8" t="n">
        <v>-292000</v>
      </c>
      <c r="F145" s="8" t="n">
        <v>0</v>
      </c>
      <c r="G145" s="8" t="n">
        <v>0</v>
      </c>
      <c r="H145" s="8">
        <f>E145+F145-G145</f>
        <v/>
      </c>
    </row>
    <row r="146">
      <c r="A146" s="7" t="inlineStr">
        <is>
          <t>AC238</t>
        </is>
      </c>
      <c r="B146" s="6" t="inlineStr">
        <is>
          <t>NAIT LARBI BOUALEM</t>
        </is>
      </c>
      <c r="C146" s="7" t="inlineStr">
        <is>
          <t>41900</t>
        </is>
      </c>
      <c r="D146" s="6" t="inlineStr">
        <is>
          <t>Clients créditeurs -avances re</t>
        </is>
      </c>
      <c r="E146" s="8" t="n">
        <v>-20000</v>
      </c>
      <c r="F146" s="8" t="n">
        <v>0</v>
      </c>
      <c r="G146" s="8" t="n">
        <v>0</v>
      </c>
      <c r="H146" s="8">
        <f>E146+F146-G146</f>
        <v/>
      </c>
    </row>
    <row r="147">
      <c r="A147" s="7" t="inlineStr">
        <is>
          <t>AC302</t>
        </is>
      </c>
      <c r="B147" s="6" t="inlineStr">
        <is>
          <t>ETB TCE AZIRI FARID</t>
        </is>
      </c>
      <c r="C147" s="7" t="inlineStr">
        <is>
          <t>41900</t>
        </is>
      </c>
      <c r="D147" s="6" t="inlineStr">
        <is>
          <t>Clients créditeurs -avances re</t>
        </is>
      </c>
      <c r="E147" s="8" t="n">
        <v>-9627609.779999999</v>
      </c>
      <c r="F147" s="8" t="n">
        <v>0</v>
      </c>
      <c r="G147" s="8" t="n">
        <v>0</v>
      </c>
      <c r="H147" s="8">
        <f>E147+F147-G147</f>
        <v/>
      </c>
    </row>
    <row r="148">
      <c r="A148" s="7" t="inlineStr">
        <is>
          <t>AC303</t>
        </is>
      </c>
      <c r="B148" s="6" t="inlineStr">
        <is>
          <t>DJOUADI BELKACEM</t>
        </is>
      </c>
      <c r="C148" s="7" t="inlineStr">
        <is>
          <t>41900</t>
        </is>
      </c>
      <c r="D148" s="6" t="inlineStr">
        <is>
          <t>Clients créditeurs -avances re</t>
        </is>
      </c>
      <c r="E148" s="8" t="n">
        <v>-14706831.93</v>
      </c>
      <c r="F148" s="8" t="n">
        <v>0</v>
      </c>
      <c r="G148" s="8" t="n">
        <v>0</v>
      </c>
      <c r="H148" s="8">
        <f>E148+F148-G148</f>
        <v/>
      </c>
    </row>
    <row r="149">
      <c r="A149" s="7" t="inlineStr">
        <is>
          <t>AC304</t>
        </is>
      </c>
      <c r="B149" s="6" t="inlineStr">
        <is>
          <t>ZIANI KOCEILA</t>
        </is>
      </c>
      <c r="C149" s="7" t="inlineStr">
        <is>
          <t>41900</t>
        </is>
      </c>
      <c r="D149" s="6" t="inlineStr">
        <is>
          <t>Clients créditeurs -avances re</t>
        </is>
      </c>
      <c r="E149" s="8" t="n">
        <v>-5974969.31</v>
      </c>
      <c r="F149" s="8" t="n">
        <v>0</v>
      </c>
      <c r="G149" s="8" t="n">
        <v>0</v>
      </c>
      <c r="H149" s="8">
        <f>E149+F149-G149</f>
        <v/>
      </c>
    </row>
    <row r="150">
      <c r="A150" s="7" t="inlineStr">
        <is>
          <t>AC305</t>
        </is>
      </c>
      <c r="B150" s="6" t="inlineStr">
        <is>
          <t>AIT MOUSSA HANAFI</t>
        </is>
      </c>
      <c r="C150" s="7" t="inlineStr">
        <is>
          <t>41900</t>
        </is>
      </c>
      <c r="D150" s="6" t="inlineStr">
        <is>
          <t>Clients créditeurs -avances re</t>
        </is>
      </c>
      <c r="E150" s="8" t="n">
        <v>-38000</v>
      </c>
      <c r="F150" s="8" t="n">
        <v>0</v>
      </c>
      <c r="G150" s="8" t="n">
        <v>0</v>
      </c>
      <c r="H150" s="8">
        <f>E150+F150-G150</f>
        <v/>
      </c>
    </row>
    <row r="151">
      <c r="A151" s="7" t="inlineStr">
        <is>
          <t>AC308</t>
        </is>
      </c>
      <c r="B151" s="6" t="inlineStr">
        <is>
          <t>SARL TRANS SABLE D'OR</t>
        </is>
      </c>
      <c r="C151" s="7" t="inlineStr">
        <is>
          <t>41900</t>
        </is>
      </c>
      <c r="D151" s="6" t="inlineStr">
        <is>
          <t>Clients créditeurs -avances re</t>
        </is>
      </c>
      <c r="E151" s="8" t="n">
        <v>-29298614.61</v>
      </c>
      <c r="F151" s="8" t="n">
        <v>0</v>
      </c>
      <c r="G151" s="8" t="n">
        <v>0</v>
      </c>
      <c r="H151" s="8">
        <f>E151+F151-G151</f>
        <v/>
      </c>
    </row>
    <row r="152">
      <c r="A152" s="7" t="inlineStr">
        <is>
          <t>AC310</t>
        </is>
      </c>
      <c r="B152" s="6" t="inlineStr">
        <is>
          <t>KRID FATMA ZOHRA</t>
        </is>
      </c>
      <c r="C152" s="7" t="inlineStr">
        <is>
          <t>41900</t>
        </is>
      </c>
      <c r="D152" s="6" t="inlineStr">
        <is>
          <t>Clients créditeurs -avances re</t>
        </is>
      </c>
      <c r="E152" s="8" t="n">
        <v>-550000</v>
      </c>
      <c r="F152" s="8" t="n">
        <v>0</v>
      </c>
      <c r="G152" s="8" t="n">
        <v>0</v>
      </c>
      <c r="H152" s="8">
        <f>E152+F152-G152</f>
        <v/>
      </c>
    </row>
    <row r="153">
      <c r="A153" s="7" t="inlineStr">
        <is>
          <t>AC312</t>
        </is>
      </c>
      <c r="B153" s="6" t="inlineStr">
        <is>
          <t>SARL KECHAYACHE BAT ET ROUTES</t>
        </is>
      </c>
      <c r="C153" s="7" t="inlineStr">
        <is>
          <t>41900</t>
        </is>
      </c>
      <c r="D153" s="6" t="inlineStr">
        <is>
          <t>Clients créditeurs -avances re</t>
        </is>
      </c>
      <c r="E153" s="8" t="n">
        <v>-1835871.17</v>
      </c>
      <c r="F153" s="8" t="n">
        <v>0</v>
      </c>
      <c r="G153" s="8" t="n">
        <v>0</v>
      </c>
      <c r="H153" s="8">
        <f>E153+F153-G153</f>
        <v/>
      </c>
    </row>
    <row r="154">
      <c r="A154" s="7" t="inlineStr">
        <is>
          <t>AC313</t>
        </is>
      </c>
      <c r="B154" s="6" t="inlineStr">
        <is>
          <t>SARL AHRAS ELECTRO DIESEL</t>
        </is>
      </c>
      <c r="C154" s="7" t="inlineStr">
        <is>
          <t>41900</t>
        </is>
      </c>
      <c r="D154" s="6" t="inlineStr">
        <is>
          <t>Clients créditeurs -avances re</t>
        </is>
      </c>
      <c r="E154" s="8" t="n">
        <v>-599999.99</v>
      </c>
      <c r="F154" s="8" t="n">
        <v>0</v>
      </c>
      <c r="G154" s="8" t="n">
        <v>0</v>
      </c>
      <c r="H154" s="8">
        <f>E154+F154-G154</f>
        <v/>
      </c>
    </row>
    <row r="155">
      <c r="A155" s="7" t="inlineStr">
        <is>
          <t>AC314</t>
        </is>
      </c>
      <c r="B155" s="6" t="inlineStr">
        <is>
          <t>GUENDOUZ FERHAT B/BOUZIDI</t>
        </is>
      </c>
      <c r="C155" s="7" t="inlineStr">
        <is>
          <t>41900</t>
        </is>
      </c>
      <c r="D155" s="6" t="inlineStr">
        <is>
          <t>Clients créditeurs -avances re</t>
        </is>
      </c>
      <c r="E155" s="8" t="n">
        <v>-1000000</v>
      </c>
      <c r="F155" s="8" t="n">
        <v>0</v>
      </c>
      <c r="G155" s="8" t="n">
        <v>0</v>
      </c>
      <c r="H155" s="8">
        <f>E155+F155-G155</f>
        <v/>
      </c>
    </row>
    <row r="156">
      <c r="A156" s="7" t="inlineStr">
        <is>
          <t>AC316</t>
        </is>
      </c>
      <c r="B156" s="6" t="inlineStr">
        <is>
          <t>SNC BOVA YASSA ET CIE</t>
        </is>
      </c>
      <c r="C156" s="7" t="inlineStr">
        <is>
          <t>41900</t>
        </is>
      </c>
      <c r="D156" s="6" t="inlineStr">
        <is>
          <t>Clients créditeurs -avances re</t>
        </is>
      </c>
      <c r="E156" s="8" t="n">
        <v>-802295.0699999999</v>
      </c>
      <c r="F156" s="8" t="n">
        <v>0</v>
      </c>
      <c r="G156" s="8" t="n">
        <v>0</v>
      </c>
      <c r="H156" s="8">
        <f>E156+F156-G156</f>
        <v/>
      </c>
    </row>
    <row r="157">
      <c r="A157" s="7" t="inlineStr">
        <is>
          <t>AC317</t>
        </is>
      </c>
      <c r="B157" s="6" t="inlineStr">
        <is>
          <t>ZIANI AISSA</t>
        </is>
      </c>
      <c r="C157" s="7" t="inlineStr">
        <is>
          <t>41900</t>
        </is>
      </c>
      <c r="D157" s="6" t="inlineStr">
        <is>
          <t>Clients créditeurs -avances re</t>
        </is>
      </c>
      <c r="E157" s="8" t="n">
        <v>-883362.91</v>
      </c>
      <c r="F157" s="8" t="n">
        <v>0</v>
      </c>
      <c r="G157" s="8" t="n">
        <v>0</v>
      </c>
      <c r="H157" s="8">
        <f>E157+F157-G157</f>
        <v/>
      </c>
    </row>
    <row r="158">
      <c r="A158" s="7" t="inlineStr">
        <is>
          <t>AC318</t>
        </is>
      </c>
      <c r="B158" s="6" t="inlineStr">
        <is>
          <t>LEBSIR NADIA</t>
        </is>
      </c>
      <c r="C158" s="7" t="inlineStr">
        <is>
          <t>41900</t>
        </is>
      </c>
      <c r="D158" s="6" t="inlineStr">
        <is>
          <t>Clients créditeurs -avances re</t>
        </is>
      </c>
      <c r="E158" s="8" t="n">
        <v>-400028.85</v>
      </c>
      <c r="F158" s="8" t="n">
        <v>0</v>
      </c>
      <c r="G158" s="8" t="n">
        <v>0</v>
      </c>
      <c r="H158" s="8">
        <f>E158+F158-G158</f>
        <v/>
      </c>
    </row>
    <row r="159">
      <c r="A159" s="7" t="inlineStr">
        <is>
          <t>AC319</t>
        </is>
      </c>
      <c r="B159" s="6" t="inlineStr">
        <is>
          <t>RECHRECHE YOUCEF</t>
        </is>
      </c>
      <c r="C159" s="7" t="inlineStr">
        <is>
          <t>41900</t>
        </is>
      </c>
      <c r="D159" s="6" t="inlineStr">
        <is>
          <t>Clients créditeurs -avances re</t>
        </is>
      </c>
      <c r="E159" s="8" t="n">
        <v>-800016.86</v>
      </c>
      <c r="F159" s="8" t="n">
        <v>0</v>
      </c>
      <c r="G159" s="8" t="n">
        <v>0</v>
      </c>
      <c r="H159" s="8">
        <f>E159+F159-G159</f>
        <v/>
      </c>
    </row>
    <row r="160">
      <c r="A160" s="7" t="inlineStr">
        <is>
          <t>AC320</t>
        </is>
      </c>
      <c r="B160" s="6" t="inlineStr">
        <is>
          <t>MENHANE FARIDA</t>
        </is>
      </c>
      <c r="C160" s="7" t="inlineStr">
        <is>
          <t>41900</t>
        </is>
      </c>
      <c r="D160" s="6" t="inlineStr">
        <is>
          <t>Clients créditeurs -avances re</t>
        </is>
      </c>
      <c r="E160" s="8" t="n">
        <v>-800012.53</v>
      </c>
      <c r="F160" s="8" t="n">
        <v>0</v>
      </c>
      <c r="G160" s="8" t="n">
        <v>0</v>
      </c>
      <c r="H160" s="8">
        <f>E160+F160-G160</f>
        <v/>
      </c>
    </row>
    <row r="161">
      <c r="A161" s="7" t="inlineStr">
        <is>
          <t>AC322</t>
        </is>
      </c>
      <c r="B161" s="6" t="inlineStr">
        <is>
          <t>TIGHIDET ABDELMADJID</t>
        </is>
      </c>
      <c r="C161" s="7" t="inlineStr">
        <is>
          <t>41900</t>
        </is>
      </c>
      <c r="D161" s="6" t="inlineStr">
        <is>
          <t>Clients créditeurs -avances re</t>
        </is>
      </c>
      <c r="E161" s="8" t="n">
        <v>-254124</v>
      </c>
      <c r="F161" s="8" t="n">
        <v>0</v>
      </c>
      <c r="G161" s="8" t="n">
        <v>0</v>
      </c>
      <c r="H161" s="8">
        <f>E161+F161-G161</f>
        <v/>
      </c>
    </row>
    <row r="162">
      <c r="A162" s="7" t="inlineStr">
        <is>
          <t>AC323</t>
        </is>
      </c>
      <c r="B162" s="6" t="inlineStr">
        <is>
          <t>SARL VMLI</t>
        </is>
      </c>
      <c r="C162" s="7" t="inlineStr">
        <is>
          <t>41900</t>
        </is>
      </c>
      <c r="D162" s="6" t="inlineStr">
        <is>
          <t>Clients créditeurs -avances re</t>
        </is>
      </c>
      <c r="E162" s="8" t="n">
        <v>-551850</v>
      </c>
      <c r="F162" s="8" t="n">
        <v>0</v>
      </c>
      <c r="G162" s="8" t="n">
        <v>0</v>
      </c>
      <c r="H162" s="8">
        <f>E162+F162-G162</f>
        <v/>
      </c>
    </row>
    <row r="163">
      <c r="A163" s="7" t="inlineStr">
        <is>
          <t>AC326</t>
        </is>
      </c>
      <c r="B163" s="6" t="inlineStr">
        <is>
          <t>DJOUMI LAID</t>
        </is>
      </c>
      <c r="C163" s="7" t="inlineStr">
        <is>
          <t>41900</t>
        </is>
      </c>
      <c r="D163" s="6" t="inlineStr">
        <is>
          <t>Clients créditeurs -avances re</t>
        </is>
      </c>
      <c r="E163" s="8" t="n">
        <v>-1881191.91</v>
      </c>
      <c r="F163" s="8" t="n">
        <v>0</v>
      </c>
      <c r="G163" s="8" t="n">
        <v>0</v>
      </c>
      <c r="H163" s="8">
        <f>E163+F163-G163</f>
        <v/>
      </c>
    </row>
    <row r="164">
      <c r="A164" s="7" t="inlineStr">
        <is>
          <t>AC329</t>
        </is>
      </c>
      <c r="B164" s="6" t="inlineStr">
        <is>
          <t>BOUHZILA MOURAD</t>
        </is>
      </c>
      <c r="C164" s="7" t="inlineStr">
        <is>
          <t>41900</t>
        </is>
      </c>
      <c r="D164" s="6" t="inlineStr">
        <is>
          <t>Clients créditeurs -avances re</t>
        </is>
      </c>
      <c r="E164" s="8" t="n">
        <v>-6695583.64</v>
      </c>
      <c r="F164" s="8" t="n">
        <v>0</v>
      </c>
      <c r="G164" s="8" t="n">
        <v>0</v>
      </c>
      <c r="H164" s="8">
        <f>E164+F164-G164</f>
        <v/>
      </c>
    </row>
    <row r="165">
      <c r="A165" s="7" t="inlineStr">
        <is>
          <t>AC330</t>
        </is>
      </c>
      <c r="B165" s="6" t="inlineStr">
        <is>
          <t>HENNOUNI ALI</t>
        </is>
      </c>
      <c r="C165" s="7" t="inlineStr">
        <is>
          <t>41900</t>
        </is>
      </c>
      <c r="D165" s="6" t="inlineStr">
        <is>
          <t>Clients créditeurs -avances re</t>
        </is>
      </c>
      <c r="E165" s="8" t="n">
        <v>-705000</v>
      </c>
      <c r="F165" s="8" t="n">
        <v>0</v>
      </c>
      <c r="G165" s="8" t="n">
        <v>0</v>
      </c>
      <c r="H165" s="8">
        <f>E165+F165-G165</f>
        <v/>
      </c>
    </row>
    <row r="166">
      <c r="A166" s="7" t="inlineStr">
        <is>
          <t>AC331</t>
        </is>
      </c>
      <c r="B166" s="6" t="inlineStr">
        <is>
          <t>OUASDI SAADI</t>
        </is>
      </c>
      <c r="C166" s="7" t="inlineStr">
        <is>
          <t>41900</t>
        </is>
      </c>
      <c r="D166" s="6" t="inlineStr">
        <is>
          <t>Clients créditeurs -avances re</t>
        </is>
      </c>
      <c r="E166" s="8" t="n">
        <v>-2583217.7</v>
      </c>
      <c r="F166" s="8" t="n">
        <v>0</v>
      </c>
      <c r="G166" s="8" t="n">
        <v>0</v>
      </c>
      <c r="H166" s="8">
        <f>E166+F166-G166</f>
        <v/>
      </c>
    </row>
    <row r="167">
      <c r="A167" s="7" t="inlineStr">
        <is>
          <t>AC332</t>
        </is>
      </c>
      <c r="B167" s="6" t="inlineStr">
        <is>
          <t>DJOUDI SADEK</t>
        </is>
      </c>
      <c r="C167" s="7" t="inlineStr">
        <is>
          <t>41900</t>
        </is>
      </c>
      <c r="D167" s="6" t="inlineStr">
        <is>
          <t>Clients créditeurs -avances re</t>
        </is>
      </c>
      <c r="E167" s="8" t="n">
        <v>-3643857.92</v>
      </c>
      <c r="F167" s="8" t="n">
        <v>0</v>
      </c>
      <c r="G167" s="8" t="n">
        <v>0</v>
      </c>
      <c r="H167" s="8">
        <f>E167+F167-G167</f>
        <v/>
      </c>
    </row>
    <row r="168">
      <c r="A168" s="7" t="inlineStr">
        <is>
          <t>AC333</t>
        </is>
      </c>
      <c r="B168" s="6" t="inlineStr">
        <is>
          <t>YAHIAOUI REDOUANE</t>
        </is>
      </c>
      <c r="C168" s="7" t="inlineStr">
        <is>
          <t>41900</t>
        </is>
      </c>
      <c r="D168" s="6" t="inlineStr">
        <is>
          <t>Clients créditeurs -avances re</t>
        </is>
      </c>
      <c r="E168" s="8" t="n">
        <v>-1897517.28</v>
      </c>
      <c r="F168" s="8" t="n">
        <v>0</v>
      </c>
      <c r="G168" s="8" t="n">
        <v>0</v>
      </c>
      <c r="H168" s="8">
        <f>E168+F168-G168</f>
        <v/>
      </c>
    </row>
    <row r="169">
      <c r="A169" s="7" t="inlineStr">
        <is>
          <t>AC335</t>
        </is>
      </c>
      <c r="B169" s="6" t="inlineStr">
        <is>
          <t>BOUDJIT TAHAR</t>
        </is>
      </c>
      <c r="C169" s="7" t="inlineStr">
        <is>
          <t>41900</t>
        </is>
      </c>
      <c r="D169" s="6" t="inlineStr">
        <is>
          <t>Clients créditeurs -avances re</t>
        </is>
      </c>
      <c r="E169" s="8" t="n">
        <v>-817760.04</v>
      </c>
      <c r="F169" s="8" t="n">
        <v>0</v>
      </c>
      <c r="G169" s="8" t="n">
        <v>0</v>
      </c>
      <c r="H169" s="8">
        <f>E169+F169-G169</f>
        <v/>
      </c>
    </row>
    <row r="170">
      <c r="A170" s="7" t="inlineStr">
        <is>
          <t>AC336</t>
        </is>
      </c>
      <c r="B170" s="6" t="inlineStr">
        <is>
          <t>GHANEM BRAHIM</t>
        </is>
      </c>
      <c r="C170" s="7" t="inlineStr">
        <is>
          <t>41900</t>
        </is>
      </c>
      <c r="D170" s="6" t="inlineStr">
        <is>
          <t>Clients créditeurs -avances re</t>
        </is>
      </c>
      <c r="E170" s="8" t="n">
        <v>-502131.67</v>
      </c>
      <c r="F170" s="8" t="n">
        <v>0</v>
      </c>
      <c r="G170" s="8" t="n">
        <v>0</v>
      </c>
      <c r="H170" s="8">
        <f>E170+F170-G170</f>
        <v/>
      </c>
    </row>
    <row r="171">
      <c r="A171" s="7" t="inlineStr">
        <is>
          <t>AC337</t>
        </is>
      </c>
      <c r="B171" s="6" t="inlineStr">
        <is>
          <t>IGHEMOURACENE SALIM</t>
        </is>
      </c>
      <c r="C171" s="7" t="inlineStr">
        <is>
          <t>41900</t>
        </is>
      </c>
      <c r="D171" s="6" t="inlineStr">
        <is>
          <t>Clients créditeurs -avances re</t>
        </is>
      </c>
      <c r="E171" s="8" t="n">
        <v>-10191211.8</v>
      </c>
      <c r="F171" s="8" t="n">
        <v>0</v>
      </c>
      <c r="G171" s="8" t="n">
        <v>0</v>
      </c>
      <c r="H171" s="8">
        <f>E171+F171-G171</f>
        <v/>
      </c>
    </row>
    <row r="172">
      <c r="A172" s="7" t="inlineStr">
        <is>
          <t>AC338</t>
        </is>
      </c>
      <c r="B172" s="6" t="inlineStr">
        <is>
          <t>FERROUDJ NASSIM</t>
        </is>
      </c>
      <c r="C172" s="7" t="inlineStr">
        <is>
          <t>41900</t>
        </is>
      </c>
      <c r="D172" s="6" t="inlineStr">
        <is>
          <t>Clients créditeurs -avances re</t>
        </is>
      </c>
      <c r="E172" s="8" t="n">
        <v>-497156.75</v>
      </c>
      <c r="F172" s="8" t="n">
        <v>0</v>
      </c>
      <c r="G172" s="8" t="n">
        <v>0</v>
      </c>
      <c r="H172" s="8">
        <f>E172+F172-G172</f>
        <v/>
      </c>
    </row>
    <row r="173">
      <c r="A173" s="7" t="inlineStr">
        <is>
          <t>AC339</t>
        </is>
      </c>
      <c r="B173" s="6" t="inlineStr">
        <is>
          <t>BERKANI HAMZA</t>
        </is>
      </c>
      <c r="C173" s="7" t="inlineStr">
        <is>
          <t>41900</t>
        </is>
      </c>
      <c r="D173" s="6" t="inlineStr">
        <is>
          <t>Clients créditeurs -avances re</t>
        </is>
      </c>
      <c r="E173" s="8" t="n">
        <v>-2662204.95</v>
      </c>
      <c r="F173" s="8" t="n">
        <v>0</v>
      </c>
      <c r="G173" s="8" t="n">
        <v>0</v>
      </c>
      <c r="H173" s="8">
        <f>E173+F173-G173</f>
        <v/>
      </c>
    </row>
    <row r="174">
      <c r="A174" s="7" t="inlineStr">
        <is>
          <t>AC340</t>
        </is>
      </c>
      <c r="B174" s="6" t="inlineStr">
        <is>
          <t>ZAIDANI ALI</t>
        </is>
      </c>
      <c r="C174" s="7" t="inlineStr">
        <is>
          <t>41900</t>
        </is>
      </c>
      <c r="D174" s="6" t="inlineStr">
        <is>
          <t>Clients créditeurs -avances re</t>
        </is>
      </c>
      <c r="E174" s="8" t="n">
        <v>-12329618.11</v>
      </c>
      <c r="F174" s="8" t="n">
        <v>0</v>
      </c>
      <c r="G174" s="8" t="n">
        <v>0</v>
      </c>
      <c r="H174" s="8">
        <f>E174+F174-G174</f>
        <v/>
      </c>
    </row>
    <row r="175">
      <c r="A175" s="7" t="inlineStr">
        <is>
          <t>AC341</t>
        </is>
      </c>
      <c r="B175" s="6" t="inlineStr">
        <is>
          <t>HADDAD KHELLAF</t>
        </is>
      </c>
      <c r="C175" s="7" t="inlineStr">
        <is>
          <t>41900</t>
        </is>
      </c>
      <c r="D175" s="6" t="inlineStr">
        <is>
          <t>Clients créditeurs -avances re</t>
        </is>
      </c>
      <c r="E175" s="8" t="n">
        <v>-2072726.88</v>
      </c>
      <c r="F175" s="8" t="n">
        <v>0</v>
      </c>
      <c r="G175" s="8" t="n">
        <v>0</v>
      </c>
      <c r="H175" s="8">
        <f>E175+F175-G175</f>
        <v/>
      </c>
    </row>
    <row r="176">
      <c r="A176" s="7" t="inlineStr">
        <is>
          <t>AC343</t>
        </is>
      </c>
      <c r="B176" s="6" t="inlineStr">
        <is>
          <t>YAKOUBI MEZIANE</t>
        </is>
      </c>
      <c r="C176" s="7" t="inlineStr">
        <is>
          <t>41900</t>
        </is>
      </c>
      <c r="D176" s="6" t="inlineStr">
        <is>
          <t>Clients créditeurs -avances re</t>
        </is>
      </c>
      <c r="E176" s="8" t="n">
        <v>-468398.13</v>
      </c>
      <c r="F176" s="8" t="n">
        <v>0</v>
      </c>
      <c r="G176" s="8" t="n">
        <v>0</v>
      </c>
      <c r="H176" s="8">
        <f>E176+F176-G176</f>
        <v/>
      </c>
    </row>
    <row r="177">
      <c r="A177" s="7" t="inlineStr">
        <is>
          <t>AC344</t>
        </is>
      </c>
      <c r="B177" s="6" t="inlineStr">
        <is>
          <t>BAKHA MOKHTAR</t>
        </is>
      </c>
      <c r="C177" s="7" t="inlineStr">
        <is>
          <t>41900</t>
        </is>
      </c>
      <c r="D177" s="6" t="inlineStr">
        <is>
          <t>Clients créditeurs -avances re</t>
        </is>
      </c>
      <c r="E177" s="8" t="n">
        <v>-7587989.13</v>
      </c>
      <c r="F177" s="8" t="n">
        <v>0</v>
      </c>
      <c r="G177" s="8" t="n">
        <v>0</v>
      </c>
      <c r="H177" s="8">
        <f>E177+F177-G177</f>
        <v/>
      </c>
    </row>
    <row r="178">
      <c r="A178" s="7" t="inlineStr">
        <is>
          <t>AC345</t>
        </is>
      </c>
      <c r="B178" s="6" t="inlineStr">
        <is>
          <t>SAIT ABDESLAM</t>
        </is>
      </c>
      <c r="C178" s="7" t="inlineStr">
        <is>
          <t>41900</t>
        </is>
      </c>
      <c r="D178" s="6" t="inlineStr">
        <is>
          <t>Clients créditeurs -avances re</t>
        </is>
      </c>
      <c r="E178" s="8" t="n">
        <v>-1686508.35</v>
      </c>
      <c r="F178" s="8" t="n">
        <v>0</v>
      </c>
      <c r="G178" s="8" t="n">
        <v>0</v>
      </c>
      <c r="H178" s="8">
        <f>E178+F178-G178</f>
        <v/>
      </c>
    </row>
    <row r="179">
      <c r="A179" s="7" t="inlineStr">
        <is>
          <t>AC346</t>
        </is>
      </c>
      <c r="B179" s="6" t="inlineStr">
        <is>
          <t>BOUKAIBA FAHEM</t>
        </is>
      </c>
      <c r="C179" s="7" t="inlineStr">
        <is>
          <t>41900</t>
        </is>
      </c>
      <c r="D179" s="6" t="inlineStr">
        <is>
          <t>Clients créditeurs -avances re</t>
        </is>
      </c>
      <c r="E179" s="8" t="n">
        <v>-500000</v>
      </c>
      <c r="F179" s="8" t="n">
        <v>0</v>
      </c>
      <c r="G179" s="8" t="n">
        <v>0</v>
      </c>
      <c r="H179" s="8">
        <f>E179+F179-G179</f>
        <v/>
      </c>
    </row>
    <row r="180">
      <c r="A180" s="7" t="inlineStr">
        <is>
          <t>AC347</t>
        </is>
      </c>
      <c r="B180" s="6" t="inlineStr">
        <is>
          <t>DJOUDI AMAR</t>
        </is>
      </c>
      <c r="C180" s="7" t="inlineStr">
        <is>
          <t>41900</t>
        </is>
      </c>
      <c r="D180" s="6" t="inlineStr">
        <is>
          <t>Clients créditeurs -avances re</t>
        </is>
      </c>
      <c r="E180" s="8" t="n">
        <v>-700068.67</v>
      </c>
      <c r="F180" s="8" t="n">
        <v>0</v>
      </c>
      <c r="G180" s="8" t="n">
        <v>0</v>
      </c>
      <c r="H180" s="8">
        <f>E180+F180-G180</f>
        <v/>
      </c>
    </row>
    <row r="181">
      <c r="A181" s="7" t="inlineStr">
        <is>
          <t>AC349</t>
        </is>
      </c>
      <c r="B181" s="6" t="inlineStr">
        <is>
          <t>HARBIL LAID</t>
        </is>
      </c>
      <c r="C181" s="7" t="inlineStr">
        <is>
          <t>41900</t>
        </is>
      </c>
      <c r="D181" s="6" t="inlineStr">
        <is>
          <t>Clients créditeurs -avances re</t>
        </is>
      </c>
      <c r="E181" s="8" t="n">
        <v>-770000</v>
      </c>
      <c r="F181" s="8" t="n">
        <v>0</v>
      </c>
      <c r="G181" s="8" t="n">
        <v>0</v>
      </c>
      <c r="H181" s="8">
        <f>E181+F181-G181</f>
        <v/>
      </c>
    </row>
    <row r="182">
      <c r="A182" s="7" t="inlineStr">
        <is>
          <t>AC350</t>
        </is>
      </c>
      <c r="B182" s="6" t="inlineStr">
        <is>
          <t>MAZOUZ HACENE</t>
        </is>
      </c>
      <c r="C182" s="7" t="inlineStr">
        <is>
          <t>41900</t>
        </is>
      </c>
      <c r="D182" s="6" t="inlineStr">
        <is>
          <t>Clients créditeurs -avances re</t>
        </is>
      </c>
      <c r="E182" s="8" t="n">
        <v>-480000</v>
      </c>
      <c r="F182" s="8" t="n">
        <v>0</v>
      </c>
      <c r="G182" s="8" t="n">
        <v>0</v>
      </c>
      <c r="H182" s="8">
        <f>E182+F182-G182</f>
        <v/>
      </c>
    </row>
    <row r="183">
      <c r="A183" s="7" t="inlineStr">
        <is>
          <t>AC351</t>
        </is>
      </c>
      <c r="B183" s="6" t="inlineStr">
        <is>
          <t>SELLAH BACHIR</t>
        </is>
      </c>
      <c r="C183" s="7" t="inlineStr">
        <is>
          <t>41900</t>
        </is>
      </c>
      <c r="D183" s="6" t="inlineStr">
        <is>
          <t>Clients créditeurs -avances re</t>
        </is>
      </c>
      <c r="E183" s="8" t="n">
        <v>-1359375.23</v>
      </c>
      <c r="F183" s="8" t="n">
        <v>0</v>
      </c>
      <c r="G183" s="8" t="n">
        <v>0</v>
      </c>
      <c r="H183" s="8">
        <f>E183+F183-G183</f>
        <v/>
      </c>
    </row>
    <row r="184">
      <c r="A184" s="7" t="inlineStr">
        <is>
          <t>AC352</t>
        </is>
      </c>
      <c r="B184" s="6" t="inlineStr">
        <is>
          <t>MELIZOU LYES</t>
        </is>
      </c>
      <c r="C184" s="7" t="inlineStr">
        <is>
          <t>41900</t>
        </is>
      </c>
      <c r="D184" s="6" t="inlineStr">
        <is>
          <t>Clients créditeurs -avances re</t>
        </is>
      </c>
      <c r="E184" s="8" t="n">
        <v>-814164.92</v>
      </c>
      <c r="F184" s="8" t="n">
        <v>0</v>
      </c>
      <c r="G184" s="8" t="n">
        <v>0</v>
      </c>
      <c r="H184" s="8">
        <f>E184+F184-G184</f>
        <v/>
      </c>
    </row>
    <row r="185">
      <c r="A185" s="7" t="inlineStr">
        <is>
          <t>AC353</t>
        </is>
      </c>
      <c r="B185" s="6" t="inlineStr">
        <is>
          <t>BELFADEL MALIK</t>
        </is>
      </c>
      <c r="C185" s="7" t="inlineStr">
        <is>
          <t>41900</t>
        </is>
      </c>
      <c r="D185" s="6" t="inlineStr">
        <is>
          <t>Clients créditeurs -avances re</t>
        </is>
      </c>
      <c r="E185" s="8" t="n">
        <v>-1326085.76</v>
      </c>
      <c r="F185" s="8" t="n">
        <v>0</v>
      </c>
      <c r="G185" s="8" t="n">
        <v>0</v>
      </c>
      <c r="H185" s="8">
        <f>E185+F185-G185</f>
        <v/>
      </c>
    </row>
    <row r="186">
      <c r="A186" s="7" t="inlineStr">
        <is>
          <t>AC354</t>
        </is>
      </c>
      <c r="B186" s="6" t="inlineStr">
        <is>
          <t>AIT YATA FARES</t>
        </is>
      </c>
      <c r="C186" s="7" t="inlineStr">
        <is>
          <t>41900</t>
        </is>
      </c>
      <c r="D186" s="6" t="inlineStr">
        <is>
          <t>Clients créditeurs -avances re</t>
        </is>
      </c>
      <c r="E186" s="8" t="n">
        <v>-500000</v>
      </c>
      <c r="F186" s="8" t="n">
        <v>0</v>
      </c>
      <c r="G186" s="8" t="n">
        <v>0</v>
      </c>
      <c r="H186" s="8">
        <f>E186+F186-G186</f>
        <v/>
      </c>
    </row>
    <row r="187">
      <c r="A187" s="7" t="inlineStr">
        <is>
          <t>AC355</t>
        </is>
      </c>
      <c r="B187" s="6" t="inlineStr">
        <is>
          <t>AMEUR KHELLAF</t>
        </is>
      </c>
      <c r="C187" s="7" t="inlineStr">
        <is>
          <t>41900</t>
        </is>
      </c>
      <c r="D187" s="6" t="inlineStr">
        <is>
          <t>Clients créditeurs -avances re</t>
        </is>
      </c>
      <c r="E187" s="8" t="n">
        <v>-11034657.94</v>
      </c>
      <c r="F187" s="8" t="n">
        <v>0</v>
      </c>
      <c r="G187" s="8" t="n">
        <v>0</v>
      </c>
      <c r="H187" s="8">
        <f>E187+F187-G187</f>
        <v/>
      </c>
    </row>
    <row r="188">
      <c r="A188" s="7" t="inlineStr">
        <is>
          <t>AC357</t>
        </is>
      </c>
      <c r="B188" s="6" t="inlineStr">
        <is>
          <t>YAHIAOUI ELKHIYER</t>
        </is>
      </c>
      <c r="C188" s="7" t="inlineStr">
        <is>
          <t>41900</t>
        </is>
      </c>
      <c r="D188" s="6" t="inlineStr">
        <is>
          <t>Clients créditeurs -avances re</t>
        </is>
      </c>
      <c r="E188" s="8" t="n">
        <v>-51500</v>
      </c>
      <c r="F188" s="8" t="n">
        <v>0</v>
      </c>
      <c r="G188" s="8" t="n">
        <v>0</v>
      </c>
      <c r="H188" s="8">
        <f>E188+F188-G188</f>
        <v/>
      </c>
    </row>
    <row r="189">
      <c r="A189" s="7" t="inlineStr">
        <is>
          <t>AC358</t>
        </is>
      </c>
      <c r="B189" s="6" t="inlineStr">
        <is>
          <t>IDIRI FAYCAL</t>
        </is>
      </c>
      <c r="C189" s="7" t="inlineStr">
        <is>
          <t>41900</t>
        </is>
      </c>
      <c r="D189" s="6" t="inlineStr">
        <is>
          <t>Clients créditeurs -avances re</t>
        </is>
      </c>
      <c r="E189" s="8" t="n">
        <v>-9000</v>
      </c>
      <c r="F189" s="8" t="n">
        <v>0</v>
      </c>
      <c r="G189" s="8" t="n">
        <v>0</v>
      </c>
      <c r="H189" s="8">
        <f>E189+F189-G189</f>
        <v/>
      </c>
    </row>
    <row r="190">
      <c r="A190" s="7" t="inlineStr">
        <is>
          <t>AC359</t>
        </is>
      </c>
      <c r="B190" s="6" t="inlineStr">
        <is>
          <t>KADI MOHAND AREZKI</t>
        </is>
      </c>
      <c r="C190" s="7" t="inlineStr">
        <is>
          <t>41900</t>
        </is>
      </c>
      <c r="D190" s="6" t="inlineStr">
        <is>
          <t>Clients créditeurs -avances re</t>
        </is>
      </c>
      <c r="E190" s="8" t="n">
        <v>-4333712.42</v>
      </c>
      <c r="F190" s="8" t="n">
        <v>0</v>
      </c>
      <c r="G190" s="8" t="n">
        <v>0</v>
      </c>
      <c r="H190" s="8">
        <f>E190+F190-G190</f>
        <v/>
      </c>
    </row>
    <row r="191">
      <c r="A191" s="7" t="inlineStr">
        <is>
          <t>AC360</t>
        </is>
      </c>
      <c r="B191" s="6" t="inlineStr">
        <is>
          <t>SARL FATRASKI</t>
        </is>
      </c>
      <c r="C191" s="7" t="inlineStr">
        <is>
          <t>41900</t>
        </is>
      </c>
      <c r="D191" s="6" t="inlineStr">
        <is>
          <t>Clients créditeurs -avances re</t>
        </is>
      </c>
      <c r="E191" s="8" t="n">
        <v>-351000</v>
      </c>
      <c r="F191" s="8" t="n">
        <v>0</v>
      </c>
      <c r="G191" s="8" t="n">
        <v>0</v>
      </c>
      <c r="H191" s="8">
        <f>E191+F191-G191</f>
        <v/>
      </c>
    </row>
    <row r="192">
      <c r="A192" s="7" t="inlineStr">
        <is>
          <t>AC361</t>
        </is>
      </c>
      <c r="B192" s="6" t="inlineStr">
        <is>
          <t>BENZIOUCHE THAMEUR</t>
        </is>
      </c>
      <c r="C192" s="7" t="inlineStr">
        <is>
          <t>41900</t>
        </is>
      </c>
      <c r="D192" s="6" t="inlineStr">
        <is>
          <t>Clients créditeurs -avances re</t>
        </is>
      </c>
      <c r="E192" s="8" t="n">
        <v>-183400</v>
      </c>
      <c r="F192" s="8" t="n">
        <v>0</v>
      </c>
      <c r="G192" s="8" t="n">
        <v>0</v>
      </c>
      <c r="H192" s="8">
        <f>E192+F192-G192</f>
        <v/>
      </c>
    </row>
    <row r="193">
      <c r="A193" s="7" t="inlineStr">
        <is>
          <t>AC362</t>
        </is>
      </c>
      <c r="B193" s="6" t="inlineStr">
        <is>
          <t>YOUBI NACER EDDINE</t>
        </is>
      </c>
      <c r="C193" s="7" t="inlineStr">
        <is>
          <t>41900</t>
        </is>
      </c>
      <c r="D193" s="6" t="inlineStr">
        <is>
          <t>Clients créditeurs -avances re</t>
        </is>
      </c>
      <c r="E193" s="8" t="n">
        <v>-1185856.04</v>
      </c>
      <c r="F193" s="8" t="n">
        <v>0</v>
      </c>
      <c r="G193" s="8" t="n">
        <v>0</v>
      </c>
      <c r="H193" s="8">
        <f>E193+F193-G193</f>
        <v/>
      </c>
    </row>
    <row r="194">
      <c r="A194" s="7" t="inlineStr">
        <is>
          <t>AC363</t>
        </is>
      </c>
      <c r="B194" s="6" t="inlineStr">
        <is>
          <t>GHERIS MAHMOUD</t>
        </is>
      </c>
      <c r="C194" s="7" t="inlineStr">
        <is>
          <t>41900</t>
        </is>
      </c>
      <c r="D194" s="6" t="inlineStr">
        <is>
          <t>Clients créditeurs -avances re</t>
        </is>
      </c>
      <c r="E194" s="8" t="n">
        <v>-700000</v>
      </c>
      <c r="F194" s="8" t="n">
        <v>0</v>
      </c>
      <c r="G194" s="8" t="n">
        <v>0</v>
      </c>
      <c r="H194" s="8">
        <f>E194+F194-G194</f>
        <v/>
      </c>
    </row>
    <row r="195">
      <c r="A195" s="7" t="inlineStr">
        <is>
          <t>AC364</t>
        </is>
      </c>
      <c r="B195" s="6" t="inlineStr">
        <is>
          <t>IDIR MOULOUD</t>
        </is>
      </c>
      <c r="C195" s="7" t="inlineStr">
        <is>
          <t>41900</t>
        </is>
      </c>
      <c r="D195" s="6" t="inlineStr">
        <is>
          <t>Clients créditeurs -avances re</t>
        </is>
      </c>
      <c r="E195" s="8" t="n">
        <v>-802553.67</v>
      </c>
      <c r="F195" s="8" t="n">
        <v>0</v>
      </c>
      <c r="G195" s="8" t="n">
        <v>0</v>
      </c>
      <c r="H195" s="8">
        <f>E195+F195-G195</f>
        <v/>
      </c>
    </row>
    <row r="196">
      <c r="A196" s="7" t="inlineStr">
        <is>
          <t>AC366</t>
        </is>
      </c>
      <c r="B196" s="6" t="inlineStr">
        <is>
          <t>SNC OUAMRI ET FILS</t>
        </is>
      </c>
      <c r="C196" s="7" t="inlineStr">
        <is>
          <t>41900</t>
        </is>
      </c>
      <c r="D196" s="6" t="inlineStr">
        <is>
          <t>Clients créditeurs -avances re</t>
        </is>
      </c>
      <c r="E196" s="8" t="n">
        <v>-130000</v>
      </c>
      <c r="F196" s="8" t="n">
        <v>0</v>
      </c>
      <c r="G196" s="8" t="n">
        <v>0</v>
      </c>
      <c r="H196" s="8">
        <f>E196+F196-G196</f>
        <v/>
      </c>
    </row>
    <row r="197">
      <c r="A197" s="7" t="inlineStr">
        <is>
          <t>AC368</t>
        </is>
      </c>
      <c r="B197" s="6" t="inlineStr">
        <is>
          <t>BENBERNOU MOHAMED</t>
        </is>
      </c>
      <c r="C197" s="7" t="inlineStr">
        <is>
          <t>41900</t>
        </is>
      </c>
      <c r="D197" s="6" t="inlineStr">
        <is>
          <t>Clients créditeurs -avances re</t>
        </is>
      </c>
      <c r="E197" s="8" t="n">
        <v>-300000</v>
      </c>
      <c r="F197" s="8" t="n">
        <v>0</v>
      </c>
      <c r="G197" s="8" t="n">
        <v>0</v>
      </c>
      <c r="H197" s="8">
        <f>E197+F197-G197</f>
        <v/>
      </c>
    </row>
    <row r="198">
      <c r="A198" s="7" t="inlineStr">
        <is>
          <t>AC369</t>
        </is>
      </c>
      <c r="B198" s="6" t="inlineStr">
        <is>
          <t>SARL TERGOU  M/CONSTRUCTIONS</t>
        </is>
      </c>
      <c r="C198" s="7" t="inlineStr">
        <is>
          <t>41900</t>
        </is>
      </c>
      <c r="D198" s="6" t="inlineStr">
        <is>
          <t>Clients créditeurs -avances re</t>
        </is>
      </c>
      <c r="E198" s="8" t="n">
        <v>-490000</v>
      </c>
      <c r="F198" s="8" t="n">
        <v>0</v>
      </c>
      <c r="G198" s="8" t="n">
        <v>0</v>
      </c>
      <c r="H198" s="8">
        <f>E198+F198-G198</f>
        <v/>
      </c>
    </row>
    <row r="199">
      <c r="A199" s="7" t="inlineStr">
        <is>
          <t>AC370</t>
        </is>
      </c>
      <c r="B199" s="6" t="inlineStr">
        <is>
          <t>CHEBAH ABDESSALEM</t>
        </is>
      </c>
      <c r="C199" s="7" t="inlineStr">
        <is>
          <t>41900</t>
        </is>
      </c>
      <c r="D199" s="6" t="inlineStr">
        <is>
          <t>Clients créditeurs -avances re</t>
        </is>
      </c>
      <c r="E199" s="8" t="n">
        <v>-3400200</v>
      </c>
      <c r="F199" s="8" t="n">
        <v>0</v>
      </c>
      <c r="G199" s="8" t="n">
        <v>0</v>
      </c>
      <c r="H199" s="8">
        <f>E199+F199-G199</f>
        <v/>
      </c>
    </row>
    <row r="200">
      <c r="A200" s="7" t="inlineStr">
        <is>
          <t>AC371</t>
        </is>
      </c>
      <c r="B200" s="6" t="inlineStr">
        <is>
          <t>BOUCHLAGHEM LYES</t>
        </is>
      </c>
      <c r="C200" s="7" t="inlineStr">
        <is>
          <t>41900</t>
        </is>
      </c>
      <c r="D200" s="6" t="inlineStr">
        <is>
          <t>Clients créditeurs -avances re</t>
        </is>
      </c>
      <c r="E200" s="8" t="n">
        <v>-810388.17</v>
      </c>
      <c r="F200" s="8" t="n">
        <v>0</v>
      </c>
      <c r="G200" s="8" t="n">
        <v>0</v>
      </c>
      <c r="H200" s="8">
        <f>E200+F200-G200</f>
        <v/>
      </c>
    </row>
    <row r="201">
      <c r="A201" s="7" t="inlineStr">
        <is>
          <t>AC372</t>
        </is>
      </c>
      <c r="B201" s="6" t="inlineStr">
        <is>
          <t>IDIR TOUFIK</t>
        </is>
      </c>
      <c r="C201" s="7" t="inlineStr">
        <is>
          <t>41900</t>
        </is>
      </c>
      <c r="D201" s="6" t="inlineStr">
        <is>
          <t>Clients créditeurs -avances re</t>
        </is>
      </c>
      <c r="E201" s="8" t="n">
        <v>-530808.99</v>
      </c>
      <c r="F201" s="8" t="n">
        <v>0</v>
      </c>
      <c r="G201" s="8" t="n">
        <v>0</v>
      </c>
      <c r="H201" s="8">
        <f>E201+F201-G201</f>
        <v/>
      </c>
    </row>
    <row r="202">
      <c r="A202" s="7" t="inlineStr">
        <is>
          <t>AC373</t>
        </is>
      </c>
      <c r="B202" s="6" t="inlineStr">
        <is>
          <t>BENMEZIANE ABBAS</t>
        </is>
      </c>
      <c r="C202" s="7" t="inlineStr">
        <is>
          <t>41900</t>
        </is>
      </c>
      <c r="D202" s="6" t="inlineStr">
        <is>
          <t>Clients créditeurs -avances re</t>
        </is>
      </c>
      <c r="E202" s="8" t="n">
        <v>-3133434.14</v>
      </c>
      <c r="F202" s="8" t="n">
        <v>0</v>
      </c>
      <c r="G202" s="8" t="n">
        <v>0</v>
      </c>
      <c r="H202" s="8">
        <f>E202+F202-G202</f>
        <v/>
      </c>
    </row>
    <row r="203">
      <c r="A203" s="7" t="inlineStr">
        <is>
          <t>AC374</t>
        </is>
      </c>
      <c r="B203" s="6" t="inlineStr">
        <is>
          <t>EURL BIZIOU</t>
        </is>
      </c>
      <c r="C203" s="7" t="inlineStr">
        <is>
          <t>41900</t>
        </is>
      </c>
      <c r="D203" s="6" t="inlineStr">
        <is>
          <t>Clients créditeurs -avances re</t>
        </is>
      </c>
      <c r="E203" s="8" t="n">
        <v>-4168226.83</v>
      </c>
      <c r="F203" s="8" t="n">
        <v>0</v>
      </c>
      <c r="G203" s="8" t="n">
        <v>0</v>
      </c>
      <c r="H203" s="8">
        <f>E203+F203-G203</f>
        <v/>
      </c>
    </row>
    <row r="204">
      <c r="A204" s="7" t="inlineStr">
        <is>
          <t>AC375</t>
        </is>
      </c>
      <c r="B204" s="6" t="inlineStr">
        <is>
          <t>KEZIZ KHALED</t>
        </is>
      </c>
      <c r="C204" s="7" t="inlineStr">
        <is>
          <t>41900</t>
        </is>
      </c>
      <c r="D204" s="6" t="inlineStr">
        <is>
          <t>Clients créditeurs -avances re</t>
        </is>
      </c>
      <c r="E204" s="8" t="n">
        <v>-518874.41</v>
      </c>
      <c r="F204" s="8" t="n">
        <v>0</v>
      </c>
      <c r="G204" s="8" t="n">
        <v>0</v>
      </c>
      <c r="H204" s="8">
        <f>E204+F204-G204</f>
        <v/>
      </c>
    </row>
    <row r="205">
      <c r="A205" s="7" t="inlineStr">
        <is>
          <t>AC376</t>
        </is>
      </c>
      <c r="B205" s="6" t="inlineStr">
        <is>
          <t>FERHAT SAMIR</t>
        </is>
      </c>
      <c r="C205" s="7" t="inlineStr">
        <is>
          <t>41900</t>
        </is>
      </c>
      <c r="D205" s="6" t="inlineStr">
        <is>
          <t>Clients créditeurs -avances re</t>
        </is>
      </c>
      <c r="E205" s="8" t="n">
        <v>-1302896.83</v>
      </c>
      <c r="F205" s="8" t="n">
        <v>0</v>
      </c>
      <c r="G205" s="8" t="n">
        <v>0</v>
      </c>
      <c r="H205" s="8">
        <f>E205+F205-G205</f>
        <v/>
      </c>
    </row>
    <row r="206">
      <c r="A206" s="7" t="inlineStr">
        <is>
          <t>AC377</t>
        </is>
      </c>
      <c r="B206" s="6" t="inlineStr">
        <is>
          <t>FERROUDJ REDOUANE</t>
        </is>
      </c>
      <c r="C206" s="7" t="inlineStr">
        <is>
          <t>41900</t>
        </is>
      </c>
      <c r="D206" s="6" t="inlineStr">
        <is>
          <t>Clients créditeurs -avances re</t>
        </is>
      </c>
      <c r="E206" s="8" t="n">
        <v>-1100454.46</v>
      </c>
      <c r="F206" s="8" t="n">
        <v>0</v>
      </c>
      <c r="G206" s="8" t="n">
        <v>0</v>
      </c>
      <c r="H206" s="8">
        <f>E206+F206-G206</f>
        <v/>
      </c>
    </row>
    <row r="207">
      <c r="A207" s="7" t="inlineStr">
        <is>
          <t>AC378</t>
        </is>
      </c>
      <c r="B207" s="6" t="inlineStr">
        <is>
          <t>BENYAHIA AMAR</t>
        </is>
      </c>
      <c r="C207" s="7" t="inlineStr">
        <is>
          <t>41900</t>
        </is>
      </c>
      <c r="D207" s="6" t="inlineStr">
        <is>
          <t>Clients créditeurs -avances re</t>
        </is>
      </c>
      <c r="E207" s="8" t="n">
        <v>-313100</v>
      </c>
      <c r="F207" s="8" t="n">
        <v>0</v>
      </c>
      <c r="G207" s="8" t="n">
        <v>0</v>
      </c>
      <c r="H207" s="8">
        <f>E207+F207-G207</f>
        <v/>
      </c>
    </row>
    <row r="208">
      <c r="A208" s="7" t="inlineStr">
        <is>
          <t>AC379</t>
        </is>
      </c>
      <c r="B208" s="6" t="inlineStr">
        <is>
          <t>BENDAHMANE LHACHEMI</t>
        </is>
      </c>
      <c r="C208" s="7" t="inlineStr">
        <is>
          <t>41900</t>
        </is>
      </c>
      <c r="D208" s="6" t="inlineStr">
        <is>
          <t>Clients créditeurs -avances re</t>
        </is>
      </c>
      <c r="E208" s="8" t="n">
        <v>-906661.23</v>
      </c>
      <c r="F208" s="8" t="n">
        <v>0</v>
      </c>
      <c r="G208" s="8" t="n">
        <v>0</v>
      </c>
      <c r="H208" s="8">
        <f>E208+F208-G208</f>
        <v/>
      </c>
    </row>
    <row r="209">
      <c r="A209" s="7" t="inlineStr">
        <is>
          <t>AC380</t>
        </is>
      </c>
      <c r="B209" s="6" t="inlineStr">
        <is>
          <t>BENHAMA TAHAR</t>
        </is>
      </c>
      <c r="C209" s="7" t="inlineStr">
        <is>
          <t>41900</t>
        </is>
      </c>
      <c r="D209" s="6" t="inlineStr">
        <is>
          <t>Clients créditeurs -avances re</t>
        </is>
      </c>
      <c r="E209" s="8" t="n">
        <v>-308338.53</v>
      </c>
      <c r="F209" s="8" t="n">
        <v>0</v>
      </c>
      <c r="G209" s="8" t="n">
        <v>0</v>
      </c>
      <c r="H209" s="8">
        <f>E209+F209-G209</f>
        <v/>
      </c>
    </row>
    <row r="210">
      <c r="A210" s="7" t="inlineStr">
        <is>
          <t>AC381</t>
        </is>
      </c>
      <c r="B210" s="6" t="inlineStr">
        <is>
          <t>SARL SIARI MEHLIA TPP</t>
        </is>
      </c>
      <c r="C210" s="7" t="inlineStr">
        <is>
          <t>41900</t>
        </is>
      </c>
      <c r="D210" s="6" t="inlineStr">
        <is>
          <t>Clients créditeurs -avances re</t>
        </is>
      </c>
      <c r="E210" s="8" t="n">
        <v>-2162328.3</v>
      </c>
      <c r="F210" s="8" t="n">
        <v>0</v>
      </c>
      <c r="G210" s="8" t="n">
        <v>0</v>
      </c>
      <c r="H210" s="8">
        <f>E210+F210-G210</f>
        <v/>
      </c>
    </row>
    <row r="211">
      <c r="A211" s="7" t="inlineStr">
        <is>
          <t>AC382</t>
        </is>
      </c>
      <c r="B211" s="6" t="inlineStr">
        <is>
          <t>IGHEMOURACENE SALAH</t>
        </is>
      </c>
      <c r="C211" s="7" t="inlineStr">
        <is>
          <t>41900</t>
        </is>
      </c>
      <c r="D211" s="6" t="inlineStr">
        <is>
          <t>Clients créditeurs -avances re</t>
        </is>
      </c>
      <c r="E211" s="8" t="n">
        <v>-100000</v>
      </c>
      <c r="F211" s="8" t="n">
        <v>0</v>
      </c>
      <c r="G211" s="8" t="n">
        <v>0</v>
      </c>
      <c r="H211" s="8">
        <f>E211+F211-G211</f>
        <v/>
      </c>
    </row>
    <row r="212">
      <c r="A212" s="7" t="inlineStr">
        <is>
          <t>AC383</t>
        </is>
      </c>
      <c r="B212" s="6" t="inlineStr">
        <is>
          <t>SNC L'AIGLE DES COLINES</t>
        </is>
      </c>
      <c r="C212" s="7" t="inlineStr">
        <is>
          <t>41900</t>
        </is>
      </c>
      <c r="D212" s="6" t="inlineStr">
        <is>
          <t>Clients créditeurs -avances re</t>
        </is>
      </c>
      <c r="E212" s="8" t="n">
        <v>-7453500.71</v>
      </c>
      <c r="F212" s="8" t="n">
        <v>0</v>
      </c>
      <c r="G212" s="8" t="n">
        <v>0</v>
      </c>
      <c r="H212" s="8">
        <f>E212+F212-G212</f>
        <v/>
      </c>
    </row>
    <row r="213">
      <c r="A213" s="7" t="inlineStr">
        <is>
          <t>AC384</t>
        </is>
      </c>
      <c r="B213" s="6" t="inlineStr">
        <is>
          <t>LOUALI MOHAMED</t>
        </is>
      </c>
      <c r="C213" s="7" t="inlineStr">
        <is>
          <t>41900</t>
        </is>
      </c>
      <c r="D213" s="6" t="inlineStr">
        <is>
          <t>Clients créditeurs -avances re</t>
        </is>
      </c>
      <c r="E213" s="8" t="n">
        <v>-401200</v>
      </c>
      <c r="F213" s="8" t="n">
        <v>0</v>
      </c>
      <c r="G213" s="8" t="n">
        <v>0</v>
      </c>
      <c r="H213" s="8">
        <f>E213+F213-G213</f>
        <v/>
      </c>
    </row>
    <row r="214">
      <c r="A214" s="7" t="inlineStr">
        <is>
          <t>AC385</t>
        </is>
      </c>
      <c r="B214" s="6" t="inlineStr">
        <is>
          <t>NAFTAL GPL SAIDA</t>
        </is>
      </c>
      <c r="C214" s="7" t="inlineStr">
        <is>
          <t>41900</t>
        </is>
      </c>
      <c r="D214" s="6" t="inlineStr">
        <is>
          <t>Clients créditeurs -avances re</t>
        </is>
      </c>
      <c r="E214" s="8" t="n">
        <v>-395318</v>
      </c>
      <c r="F214" s="8" t="n">
        <v>0</v>
      </c>
      <c r="G214" s="8" t="n">
        <v>0</v>
      </c>
      <c r="H214" s="8">
        <f>E214+F214-G214</f>
        <v/>
      </c>
    </row>
    <row r="215">
      <c r="A215" s="7" t="inlineStr">
        <is>
          <t>AC387</t>
        </is>
      </c>
      <c r="B215" s="6" t="inlineStr">
        <is>
          <t>SLIMANI MOULOUD</t>
        </is>
      </c>
      <c r="C215" s="7" t="inlineStr">
        <is>
          <t>41900</t>
        </is>
      </c>
      <c r="D215" s="6" t="inlineStr">
        <is>
          <t>Clients créditeurs -avances re</t>
        </is>
      </c>
      <c r="E215" s="8" t="n">
        <v>-4000</v>
      </c>
      <c r="F215" s="8" t="n">
        <v>0</v>
      </c>
      <c r="G215" s="8" t="n">
        <v>0</v>
      </c>
      <c r="H215" s="8">
        <f>E215+F215-G215</f>
        <v/>
      </c>
    </row>
    <row r="216">
      <c r="A216" s="7" t="inlineStr">
        <is>
          <t>AC389</t>
        </is>
      </c>
      <c r="B216" s="6" t="inlineStr">
        <is>
          <t>MANSOURI ZOUBIR</t>
        </is>
      </c>
      <c r="C216" s="7" t="inlineStr">
        <is>
          <t>41900</t>
        </is>
      </c>
      <c r="D216" s="6" t="inlineStr">
        <is>
          <t>Clients créditeurs -avances re</t>
        </is>
      </c>
      <c r="E216" s="8" t="n">
        <v>-9254548</v>
      </c>
      <c r="F216" s="8" t="n">
        <v>0</v>
      </c>
      <c r="G216" s="8" t="n">
        <v>0</v>
      </c>
      <c r="H216" s="8">
        <f>E216+F216-G216</f>
        <v/>
      </c>
    </row>
    <row r="217">
      <c r="A217" s="7" t="inlineStr">
        <is>
          <t>AC390</t>
        </is>
      </c>
      <c r="B217" s="6" t="inlineStr">
        <is>
          <t>SELLAH AKLI</t>
        </is>
      </c>
      <c r="C217" s="7" t="inlineStr">
        <is>
          <t>41900</t>
        </is>
      </c>
      <c r="D217" s="6" t="inlineStr">
        <is>
          <t>Clients créditeurs -avances re</t>
        </is>
      </c>
      <c r="E217" s="8" t="n">
        <v>-3702637.99</v>
      </c>
      <c r="F217" s="8" t="n">
        <v>0</v>
      </c>
      <c r="G217" s="8" t="n">
        <v>0</v>
      </c>
      <c r="H217" s="8">
        <f>E217+F217-G217</f>
        <v/>
      </c>
    </row>
    <row r="218">
      <c r="A218" s="7" t="inlineStr">
        <is>
          <t>AC391</t>
        </is>
      </c>
      <c r="B218" s="6" t="inlineStr">
        <is>
          <t>IDIR NADIR</t>
        </is>
      </c>
      <c r="C218" s="7" t="inlineStr">
        <is>
          <t>41900</t>
        </is>
      </c>
      <c r="D218" s="6" t="inlineStr">
        <is>
          <t>Clients créditeurs -avances re</t>
        </is>
      </c>
      <c r="E218" s="8" t="n">
        <v>-1537954.06</v>
      </c>
      <c r="F218" s="8" t="n">
        <v>0</v>
      </c>
      <c r="G218" s="8" t="n">
        <v>0</v>
      </c>
      <c r="H218" s="8">
        <f>E218+F218-G218</f>
        <v/>
      </c>
    </row>
    <row r="219">
      <c r="A219" s="7" t="inlineStr">
        <is>
          <t>AC392</t>
        </is>
      </c>
      <c r="B219" s="6" t="inlineStr">
        <is>
          <t>BOUAMAR HAKIM</t>
        </is>
      </c>
      <c r="C219" s="7" t="inlineStr">
        <is>
          <t>41900</t>
        </is>
      </c>
      <c r="D219" s="6" t="inlineStr">
        <is>
          <t>Clients créditeurs -avances re</t>
        </is>
      </c>
      <c r="E219" s="8" t="n">
        <v>-917300</v>
      </c>
      <c r="F219" s="8" t="n">
        <v>0</v>
      </c>
      <c r="G219" s="8" t="n">
        <v>0</v>
      </c>
      <c r="H219" s="8">
        <f>E219+F219-G219</f>
        <v/>
      </c>
    </row>
    <row r="220">
      <c r="A220" s="7" t="inlineStr">
        <is>
          <t>AC393</t>
        </is>
      </c>
      <c r="B220" s="6" t="inlineStr">
        <is>
          <t>SELLAH NOUREDINE</t>
        </is>
      </c>
      <c r="C220" s="7" t="inlineStr">
        <is>
          <t>41900</t>
        </is>
      </c>
      <c r="D220" s="6" t="inlineStr">
        <is>
          <t>Clients créditeurs -avances re</t>
        </is>
      </c>
      <c r="E220" s="8" t="n">
        <v>-504755.04</v>
      </c>
      <c r="F220" s="8" t="n">
        <v>0</v>
      </c>
      <c r="G220" s="8" t="n">
        <v>0</v>
      </c>
      <c r="H220" s="8">
        <f>E220+F220-G220</f>
        <v/>
      </c>
    </row>
    <row r="221">
      <c r="A221" s="7" t="inlineStr">
        <is>
          <t>AC394</t>
        </is>
      </c>
      <c r="B221" s="6" t="inlineStr">
        <is>
          <t>FERHAT SALIM</t>
        </is>
      </c>
      <c r="C221" s="7" t="inlineStr">
        <is>
          <t>41900</t>
        </is>
      </c>
      <c r="D221" s="6" t="inlineStr">
        <is>
          <t>Clients créditeurs -avances re</t>
        </is>
      </c>
      <c r="E221" s="8" t="n">
        <v>-1600000</v>
      </c>
      <c r="F221" s="8" t="n">
        <v>0</v>
      </c>
      <c r="G221" s="8" t="n">
        <v>0</v>
      </c>
      <c r="H221" s="8">
        <f>E221+F221-G221</f>
        <v/>
      </c>
    </row>
    <row r="222">
      <c r="A222" s="7" t="inlineStr">
        <is>
          <t>AC395</t>
        </is>
      </c>
      <c r="B222" s="6" t="inlineStr">
        <is>
          <t>SELLAH SALIM</t>
        </is>
      </c>
      <c r="C222" s="7" t="inlineStr">
        <is>
          <t>41900</t>
        </is>
      </c>
      <c r="D222" s="6" t="inlineStr">
        <is>
          <t>Clients créditeurs -avances re</t>
        </is>
      </c>
      <c r="E222" s="8" t="n">
        <v>-650000</v>
      </c>
      <c r="F222" s="8" t="n">
        <v>0</v>
      </c>
      <c r="G222" s="8" t="n">
        <v>0</v>
      </c>
      <c r="H222" s="8">
        <f>E222+F222-G222</f>
        <v/>
      </c>
    </row>
    <row r="223">
      <c r="A223" s="7" t="inlineStr">
        <is>
          <t>AC396</t>
        </is>
      </c>
      <c r="B223" s="6" t="inlineStr">
        <is>
          <t>BIBI SMAIL</t>
        </is>
      </c>
      <c r="C223" s="7" t="inlineStr">
        <is>
          <t>41900</t>
        </is>
      </c>
      <c r="D223" s="6" t="inlineStr">
        <is>
          <t>Clients créditeurs -avances re</t>
        </is>
      </c>
      <c r="E223" s="8" t="n">
        <v>-3702000</v>
      </c>
      <c r="F223" s="8" t="n">
        <v>0</v>
      </c>
      <c r="G223" s="8" t="n">
        <v>0</v>
      </c>
      <c r="H223" s="8">
        <f>E223+F223-G223</f>
        <v/>
      </c>
    </row>
    <row r="224">
      <c r="A224" s="7" t="inlineStr">
        <is>
          <t>AC397</t>
        </is>
      </c>
      <c r="B224" s="6" t="inlineStr">
        <is>
          <t>SELLAH SALAH</t>
        </is>
      </c>
      <c r="C224" s="7" t="inlineStr">
        <is>
          <t>41900</t>
        </is>
      </c>
      <c r="D224" s="6" t="inlineStr">
        <is>
          <t>Clients créditeurs -avances re</t>
        </is>
      </c>
      <c r="E224" s="8" t="n">
        <v>-820063.63</v>
      </c>
      <c r="F224" s="8" t="n">
        <v>0</v>
      </c>
      <c r="G224" s="8" t="n">
        <v>0</v>
      </c>
      <c r="H224" s="8">
        <f>E224+F224-G224</f>
        <v/>
      </c>
    </row>
    <row r="225">
      <c r="A225" s="7" t="inlineStr">
        <is>
          <t>AC398</t>
        </is>
      </c>
      <c r="B225" s="6" t="inlineStr">
        <is>
          <t>IMEDNI TARIK</t>
        </is>
      </c>
      <c r="C225" s="7" t="inlineStr">
        <is>
          <t>41900</t>
        </is>
      </c>
      <c r="D225" s="6" t="inlineStr">
        <is>
          <t>Clients créditeurs -avances re</t>
        </is>
      </c>
      <c r="E225" s="8" t="n">
        <v>-1288597.98</v>
      </c>
      <c r="F225" s="8" t="n">
        <v>0</v>
      </c>
      <c r="G225" s="8" t="n">
        <v>0</v>
      </c>
      <c r="H225" s="8">
        <f>E225+F225-G225</f>
        <v/>
      </c>
    </row>
    <row r="226">
      <c r="A226" s="7" t="inlineStr">
        <is>
          <t>AC399</t>
        </is>
      </c>
      <c r="B226" s="6" t="inlineStr">
        <is>
          <t>AIT KHEDACHE FAHIM</t>
        </is>
      </c>
      <c r="C226" s="7" t="inlineStr">
        <is>
          <t>41900</t>
        </is>
      </c>
      <c r="D226" s="6" t="inlineStr">
        <is>
          <t>Clients créditeurs -avances re</t>
        </is>
      </c>
      <c r="E226" s="8" t="n">
        <v>-1018231.82</v>
      </c>
      <c r="F226" s="8" t="n">
        <v>0</v>
      </c>
      <c r="G226" s="8" t="n">
        <v>0</v>
      </c>
      <c r="H226" s="8">
        <f>E226+F226-G226</f>
        <v/>
      </c>
    </row>
    <row r="227">
      <c r="A227" s="7" t="inlineStr">
        <is>
          <t>AC400</t>
        </is>
      </c>
      <c r="B227" s="6" t="inlineStr">
        <is>
          <t>LOUANAS AMAR</t>
        </is>
      </c>
      <c r="C227" s="7" t="inlineStr">
        <is>
          <t>41900</t>
        </is>
      </c>
      <c r="D227" s="6" t="inlineStr">
        <is>
          <t>Clients créditeurs -avances re</t>
        </is>
      </c>
      <c r="E227" s="8" t="n">
        <v>-753731.7</v>
      </c>
      <c r="F227" s="8" t="n">
        <v>0</v>
      </c>
      <c r="G227" s="8" t="n">
        <v>0</v>
      </c>
      <c r="H227" s="8">
        <f>E227+F227-G227</f>
        <v/>
      </c>
    </row>
    <row r="228">
      <c r="A228" s="7" t="inlineStr">
        <is>
          <t>AC402</t>
        </is>
      </c>
      <c r="B228" s="6" t="inlineStr">
        <is>
          <t>SAIDOUN YACINE</t>
        </is>
      </c>
      <c r="C228" s="7" t="inlineStr">
        <is>
          <t>41900</t>
        </is>
      </c>
      <c r="D228" s="6" t="inlineStr">
        <is>
          <t>Clients créditeurs -avances re</t>
        </is>
      </c>
      <c r="E228" s="8" t="n">
        <v>-9857236.42</v>
      </c>
      <c r="F228" s="8" t="n">
        <v>0</v>
      </c>
      <c r="G228" s="8" t="n">
        <v>0</v>
      </c>
      <c r="H228" s="8">
        <f>E228+F228-G228</f>
        <v/>
      </c>
    </row>
    <row r="229">
      <c r="A229" s="7" t="inlineStr">
        <is>
          <t>AC403</t>
        </is>
      </c>
      <c r="B229" s="6" t="inlineStr">
        <is>
          <t>SNC LTNC NAOUI ET CIE</t>
        </is>
      </c>
      <c r="C229" s="7" t="inlineStr">
        <is>
          <t>41900</t>
        </is>
      </c>
      <c r="D229" s="6" t="inlineStr">
        <is>
          <t>Clients créditeurs -avances re</t>
        </is>
      </c>
      <c r="E229" s="8" t="n">
        <v>-1002150.73</v>
      </c>
      <c r="F229" s="8" t="n">
        <v>0</v>
      </c>
      <c r="G229" s="8" t="n">
        <v>0</v>
      </c>
      <c r="H229" s="8">
        <f>E229+F229-G229</f>
        <v/>
      </c>
    </row>
    <row r="230">
      <c r="A230" s="7" t="inlineStr">
        <is>
          <t>AC404</t>
        </is>
      </c>
      <c r="B230" s="6" t="inlineStr">
        <is>
          <t>LARABI MADJID</t>
        </is>
      </c>
      <c r="C230" s="7" t="inlineStr">
        <is>
          <t>41900</t>
        </is>
      </c>
      <c r="D230" s="6" t="inlineStr">
        <is>
          <t>Clients créditeurs -avances re</t>
        </is>
      </c>
      <c r="E230" s="8" t="n">
        <v>-1347114.28</v>
      </c>
      <c r="F230" s="8" t="n">
        <v>0</v>
      </c>
      <c r="G230" s="8" t="n">
        <v>0</v>
      </c>
      <c r="H230" s="8">
        <f>E230+F230-G230</f>
        <v/>
      </c>
    </row>
    <row r="231">
      <c r="A231" s="7" t="inlineStr">
        <is>
          <t>AC405</t>
        </is>
      </c>
      <c r="B231" s="6" t="inlineStr">
        <is>
          <t>BOUKELA MADJID</t>
        </is>
      </c>
      <c r="C231" s="7" t="inlineStr">
        <is>
          <t>41900</t>
        </is>
      </c>
      <c r="D231" s="6" t="inlineStr">
        <is>
          <t>Clients créditeurs -avances re</t>
        </is>
      </c>
      <c r="E231" s="8" t="n">
        <v>-1500000</v>
      </c>
      <c r="F231" s="8" t="n">
        <v>0</v>
      </c>
      <c r="G231" s="8" t="n">
        <v>0</v>
      </c>
      <c r="H231" s="8">
        <f>E231+F231-G231</f>
        <v/>
      </c>
    </row>
    <row r="232">
      <c r="A232" s="7" t="inlineStr">
        <is>
          <t>AC406</t>
        </is>
      </c>
      <c r="B232" s="6" t="inlineStr">
        <is>
          <t>ATHMANE ABDELLAH</t>
        </is>
      </c>
      <c r="C232" s="7" t="inlineStr">
        <is>
          <t>41900</t>
        </is>
      </c>
      <c r="D232" s="6" t="inlineStr">
        <is>
          <t>Clients créditeurs -avances re</t>
        </is>
      </c>
      <c r="E232" s="8" t="n">
        <v>-584760</v>
      </c>
      <c r="F232" s="8" t="n">
        <v>0</v>
      </c>
      <c r="G232" s="8" t="n">
        <v>0</v>
      </c>
      <c r="H232" s="8">
        <f>E232+F232-G232</f>
        <v/>
      </c>
    </row>
    <row r="233">
      <c r="A233" s="7" t="inlineStr">
        <is>
          <t>AC407</t>
        </is>
      </c>
      <c r="B233" s="6" t="inlineStr">
        <is>
          <t>CHAABNA SLIMANE</t>
        </is>
      </c>
      <c r="C233" s="7" t="inlineStr">
        <is>
          <t>41900</t>
        </is>
      </c>
      <c r="D233" s="6" t="inlineStr">
        <is>
          <t>Clients créditeurs -avances re</t>
        </is>
      </c>
      <c r="E233" s="8" t="n">
        <v>-541673.92</v>
      </c>
      <c r="F233" s="8" t="n">
        <v>0</v>
      </c>
      <c r="G233" s="8" t="n">
        <v>0</v>
      </c>
      <c r="H233" s="8">
        <f>E233+F233-G233</f>
        <v/>
      </c>
    </row>
    <row r="234">
      <c r="A234" s="7" t="inlineStr">
        <is>
          <t>AC408</t>
        </is>
      </c>
      <c r="B234" s="6" t="inlineStr">
        <is>
          <t>LAMINE YOUCEF</t>
        </is>
      </c>
      <c r="C234" s="7" t="inlineStr">
        <is>
          <t>41900</t>
        </is>
      </c>
      <c r="D234" s="6" t="inlineStr">
        <is>
          <t>Clients créditeurs -avances re</t>
        </is>
      </c>
      <c r="E234" s="8" t="n">
        <v>-198326.8</v>
      </c>
      <c r="F234" s="8" t="n">
        <v>0</v>
      </c>
      <c r="G234" s="8" t="n">
        <v>0</v>
      </c>
      <c r="H234" s="8">
        <f>E234+F234-G234</f>
        <v/>
      </c>
    </row>
    <row r="235">
      <c r="A235" s="7" t="inlineStr">
        <is>
          <t>AC409</t>
        </is>
      </c>
      <c r="B235" s="6" t="inlineStr">
        <is>
          <t>EURL BENYAHIA CARRIERE</t>
        </is>
      </c>
      <c r="C235" s="7" t="inlineStr">
        <is>
          <t>41900</t>
        </is>
      </c>
      <c r="D235" s="6" t="inlineStr">
        <is>
          <t>Clients créditeurs -avances re</t>
        </is>
      </c>
      <c r="E235" s="8" t="n">
        <v>-800000</v>
      </c>
      <c r="F235" s="8" t="n">
        <v>0</v>
      </c>
      <c r="G235" s="8" t="n">
        <v>0</v>
      </c>
      <c r="H235" s="8">
        <f>E235+F235-G235</f>
        <v/>
      </c>
    </row>
    <row r="236">
      <c r="A236" s="7" t="inlineStr">
        <is>
          <t>AC410</t>
        </is>
      </c>
      <c r="B236" s="6" t="inlineStr">
        <is>
          <t>BECHRI FAYSSAL</t>
        </is>
      </c>
      <c r="C236" s="7" t="inlineStr">
        <is>
          <t>41900</t>
        </is>
      </c>
      <c r="D236" s="6" t="inlineStr">
        <is>
          <t>Clients créditeurs -avances re</t>
        </is>
      </c>
      <c r="E236" s="8" t="n">
        <v>-208260.39</v>
      </c>
      <c r="F236" s="8" t="n">
        <v>0</v>
      </c>
      <c r="G236" s="8" t="n">
        <v>0</v>
      </c>
      <c r="H236" s="8">
        <f>E236+F236-G236</f>
        <v/>
      </c>
    </row>
    <row r="237">
      <c r="A237" s="7" t="inlineStr">
        <is>
          <t>AC411</t>
        </is>
      </c>
      <c r="B237" s="6" t="inlineStr">
        <is>
          <t>SALHI OUALI</t>
        </is>
      </c>
      <c r="C237" s="7" t="inlineStr">
        <is>
          <t>41900</t>
        </is>
      </c>
      <c r="D237" s="6" t="inlineStr">
        <is>
          <t>Clients créditeurs -avances re</t>
        </is>
      </c>
      <c r="E237" s="8" t="n">
        <v>-210471.27</v>
      </c>
      <c r="F237" s="8" t="n">
        <v>0</v>
      </c>
      <c r="G237" s="8" t="n">
        <v>0</v>
      </c>
      <c r="H237" s="8">
        <f>E237+F237-G237</f>
        <v/>
      </c>
    </row>
    <row r="238">
      <c r="A238" s="7" t="inlineStr">
        <is>
          <t>AC412</t>
        </is>
      </c>
      <c r="B238" s="6" t="inlineStr">
        <is>
          <t>SALMI ABDESLAM</t>
        </is>
      </c>
      <c r="C238" s="7" t="inlineStr">
        <is>
          <t>41900</t>
        </is>
      </c>
      <c r="D238" s="6" t="inlineStr">
        <is>
          <t>Clients créditeurs -avances re</t>
        </is>
      </c>
      <c r="E238" s="8" t="n">
        <v>-200000</v>
      </c>
      <c r="F238" s="8" t="n">
        <v>0</v>
      </c>
      <c r="G238" s="8" t="n">
        <v>0</v>
      </c>
      <c r="H238" s="8">
        <f>E238+F238-G238</f>
        <v/>
      </c>
    </row>
    <row r="239">
      <c r="A239" s="7" t="inlineStr">
        <is>
          <t>AC413</t>
        </is>
      </c>
      <c r="B239" s="6" t="inlineStr">
        <is>
          <t>ABDOUNE RAFIK</t>
        </is>
      </c>
      <c r="C239" s="7" t="inlineStr">
        <is>
          <t>41900</t>
        </is>
      </c>
      <c r="D239" s="6" t="inlineStr">
        <is>
          <t>Clients créditeurs -avances re</t>
        </is>
      </c>
      <c r="E239" s="8" t="n">
        <v>-435515.5</v>
      </c>
      <c r="F239" s="8" t="n">
        <v>0</v>
      </c>
      <c r="G239" s="8" t="n">
        <v>0</v>
      </c>
      <c r="H239" s="8">
        <f>E239+F239-G239</f>
        <v/>
      </c>
    </row>
    <row r="240">
      <c r="A240" s="7" t="inlineStr">
        <is>
          <t>AC414</t>
        </is>
      </c>
      <c r="B240" s="6" t="inlineStr">
        <is>
          <t>FERTAL LYAZID</t>
        </is>
      </c>
      <c r="C240" s="7" t="inlineStr">
        <is>
          <t>41900</t>
        </is>
      </c>
      <c r="D240" s="6" t="inlineStr">
        <is>
          <t>Clients créditeurs -avances re</t>
        </is>
      </c>
      <c r="E240" s="8" t="n">
        <v>-655410.28</v>
      </c>
      <c r="F240" s="8" t="n">
        <v>0</v>
      </c>
      <c r="G240" s="8" t="n">
        <v>0</v>
      </c>
      <c r="H240" s="8">
        <f>E240+F240-G240</f>
        <v/>
      </c>
    </row>
    <row r="241">
      <c r="A241" s="7" t="inlineStr">
        <is>
          <t>AC415</t>
        </is>
      </c>
      <c r="B241" s="6" t="inlineStr">
        <is>
          <t>MEHDAOUI SAID</t>
        </is>
      </c>
      <c r="C241" s="7" t="inlineStr">
        <is>
          <t>41900</t>
        </is>
      </c>
      <c r="D241" s="6" t="inlineStr">
        <is>
          <t>Clients créditeurs -avances re</t>
        </is>
      </c>
      <c r="E241" s="8" t="n">
        <v>-2069100</v>
      </c>
      <c r="F241" s="8" t="n">
        <v>0</v>
      </c>
      <c r="G241" s="8" t="n">
        <v>0</v>
      </c>
      <c r="H241" s="8">
        <f>E241+F241-G241</f>
        <v/>
      </c>
    </row>
    <row r="242">
      <c r="A242" s="7" t="inlineStr">
        <is>
          <t>AC416</t>
        </is>
      </c>
      <c r="B242" s="6" t="inlineStr">
        <is>
          <t>TEI ABDELFATAH</t>
        </is>
      </c>
      <c r="C242" s="7" t="inlineStr">
        <is>
          <t>41900</t>
        </is>
      </c>
      <c r="D242" s="6" t="inlineStr">
        <is>
          <t>Clients créditeurs -avances re</t>
        </is>
      </c>
      <c r="E242" s="8" t="n">
        <v>-1399999.98</v>
      </c>
      <c r="F242" s="8" t="n">
        <v>0</v>
      </c>
      <c r="G242" s="8" t="n">
        <v>0</v>
      </c>
      <c r="H242" s="8">
        <f>E242+F242-G242</f>
        <v/>
      </c>
    </row>
    <row r="243">
      <c r="A243" s="7" t="inlineStr">
        <is>
          <t>AC417</t>
        </is>
      </c>
      <c r="B243" s="6" t="inlineStr">
        <is>
          <t>KERKADENE AMAR</t>
        </is>
      </c>
      <c r="C243" s="7" t="inlineStr">
        <is>
          <t>41900</t>
        </is>
      </c>
      <c r="D243" s="6" t="inlineStr">
        <is>
          <t>Clients créditeurs -avances re</t>
        </is>
      </c>
      <c r="E243" s="8" t="n">
        <v>-480000</v>
      </c>
      <c r="F243" s="8" t="n">
        <v>0</v>
      </c>
      <c r="G243" s="8" t="n">
        <v>0</v>
      </c>
      <c r="H243" s="8">
        <f>E243+F243-G243</f>
        <v/>
      </c>
    </row>
    <row r="244">
      <c r="A244" s="7" t="inlineStr">
        <is>
          <t>AC418</t>
        </is>
      </c>
      <c r="B244" s="6" t="inlineStr">
        <is>
          <t>SARL BOUKOUCHA SABL OUED AGRIO</t>
        </is>
      </c>
      <c r="C244" s="7" t="inlineStr">
        <is>
          <t>41900</t>
        </is>
      </c>
      <c r="D244" s="6" t="inlineStr">
        <is>
          <t>Clients créditeurs -avances re</t>
        </is>
      </c>
      <c r="E244" s="8" t="n">
        <v>-580400</v>
      </c>
      <c r="F244" s="8" t="n">
        <v>0</v>
      </c>
      <c r="G244" s="8" t="n">
        <v>0</v>
      </c>
      <c r="H244" s="8">
        <f>E244+F244-G244</f>
        <v/>
      </c>
    </row>
    <row r="245">
      <c r="A245" s="7" t="inlineStr">
        <is>
          <t>AC423</t>
        </is>
      </c>
      <c r="B245" s="6" t="inlineStr">
        <is>
          <t>DJOUMI LOUNES</t>
        </is>
      </c>
      <c r="C245" s="7" t="inlineStr">
        <is>
          <t>41900</t>
        </is>
      </c>
      <c r="D245" s="6" t="inlineStr">
        <is>
          <t>Clients créditeurs -avances re</t>
        </is>
      </c>
      <c r="E245" s="8" t="n">
        <v>-100000</v>
      </c>
      <c r="F245" s="8" t="n">
        <v>0</v>
      </c>
      <c r="G245" s="8" t="n">
        <v>0</v>
      </c>
      <c r="H245" s="8">
        <f>E245+F245-G245</f>
        <v/>
      </c>
    </row>
    <row r="246">
      <c r="A246" s="7" t="inlineStr">
        <is>
          <t>AC427</t>
        </is>
      </c>
      <c r="B246" s="6" t="inlineStr">
        <is>
          <t>EURL NET TRANSPORT</t>
        </is>
      </c>
      <c r="C246" s="7" t="inlineStr">
        <is>
          <t>41900</t>
        </is>
      </c>
      <c r="D246" s="6" t="inlineStr">
        <is>
          <t>Clients créditeurs -avances re</t>
        </is>
      </c>
      <c r="E246" s="8" t="n">
        <v>-1187441.5</v>
      </c>
      <c r="F246" s="8" t="n">
        <v>0</v>
      </c>
      <c r="G246" s="8" t="n">
        <v>0</v>
      </c>
      <c r="H246" s="8">
        <f>E246+F246-G246</f>
        <v/>
      </c>
    </row>
    <row r="247">
      <c r="A247" s="7" t="inlineStr">
        <is>
          <t>AC428</t>
        </is>
      </c>
      <c r="B247" s="6" t="inlineStr">
        <is>
          <t>SARL TITOU TPM</t>
        </is>
      </c>
      <c r="C247" s="7" t="inlineStr">
        <is>
          <t>41900</t>
        </is>
      </c>
      <c r="D247" s="6" t="inlineStr">
        <is>
          <t>Clients créditeurs -avances re</t>
        </is>
      </c>
      <c r="E247" s="8" t="n">
        <v>-811721</v>
      </c>
      <c r="F247" s="8" t="n">
        <v>0</v>
      </c>
      <c r="G247" s="8" t="n">
        <v>0</v>
      </c>
      <c r="H247" s="8">
        <f>E247+F247-G247</f>
        <v/>
      </c>
    </row>
    <row r="248">
      <c r="A248" s="7" t="inlineStr">
        <is>
          <t>AC429</t>
        </is>
      </c>
      <c r="B248" s="6" t="inlineStr">
        <is>
          <t>SAIDANI HAMOU</t>
        </is>
      </c>
      <c r="C248" s="7" t="inlineStr">
        <is>
          <t>41900</t>
        </is>
      </c>
      <c r="D248" s="6" t="inlineStr">
        <is>
          <t>Clients créditeurs -avances re</t>
        </is>
      </c>
      <c r="E248" s="8" t="n">
        <v>-351464.94</v>
      </c>
      <c r="F248" s="8" t="n">
        <v>0</v>
      </c>
      <c r="G248" s="8" t="n">
        <v>0</v>
      </c>
      <c r="H248" s="8">
        <f>E248+F248-G248</f>
        <v/>
      </c>
    </row>
    <row r="249">
      <c r="A249" s="7" t="inlineStr">
        <is>
          <t>AC430</t>
        </is>
      </c>
      <c r="B249" s="6" t="inlineStr">
        <is>
          <t>ABDOUNE ABDENACER</t>
        </is>
      </c>
      <c r="C249" s="7" t="inlineStr">
        <is>
          <t>41900</t>
        </is>
      </c>
      <c r="D249" s="6" t="inlineStr">
        <is>
          <t>Clients créditeurs -avances re</t>
        </is>
      </c>
      <c r="E249" s="8" t="n">
        <v>-250000</v>
      </c>
      <c r="F249" s="8" t="n">
        <v>0</v>
      </c>
      <c r="G249" s="8" t="n">
        <v>0</v>
      </c>
      <c r="H249" s="8">
        <f>E249+F249-G249</f>
        <v/>
      </c>
    </row>
    <row r="250">
      <c r="A250" s="7" t="inlineStr">
        <is>
          <t>AC431</t>
        </is>
      </c>
      <c r="B250" s="6" t="inlineStr">
        <is>
          <t>AZZOUG FARID</t>
        </is>
      </c>
      <c r="C250" s="7" t="inlineStr">
        <is>
          <t>41900</t>
        </is>
      </c>
      <c r="D250" s="6" t="inlineStr">
        <is>
          <t>Clients créditeurs -avances re</t>
        </is>
      </c>
      <c r="E250" s="8" t="n">
        <v>-171149.59</v>
      </c>
      <c r="F250" s="8" t="n">
        <v>0</v>
      </c>
      <c r="G250" s="8" t="n">
        <v>0</v>
      </c>
      <c r="H250" s="8">
        <f>E250+F250-G250</f>
        <v/>
      </c>
    </row>
    <row r="251">
      <c r="A251" s="7" t="inlineStr">
        <is>
          <t>AC433</t>
        </is>
      </c>
      <c r="B251" s="6" t="inlineStr">
        <is>
          <t>DEROUICHE MAHMOUD</t>
        </is>
      </c>
      <c r="C251" s="7" t="inlineStr">
        <is>
          <t>41900</t>
        </is>
      </c>
      <c r="D251" s="6" t="inlineStr">
        <is>
          <t>Clients créditeurs -avances re</t>
        </is>
      </c>
      <c r="E251" s="8" t="n">
        <v>-766458.8100000001</v>
      </c>
      <c r="F251" s="8" t="n">
        <v>0</v>
      </c>
      <c r="G251" s="8" t="n">
        <v>0</v>
      </c>
      <c r="H251" s="8">
        <f>E251+F251-G251</f>
        <v/>
      </c>
    </row>
    <row r="252">
      <c r="A252" s="7" t="inlineStr">
        <is>
          <t>AC436</t>
        </is>
      </c>
      <c r="B252" s="6" t="inlineStr">
        <is>
          <t>BENKHELIFA ABDELHAKIM</t>
        </is>
      </c>
      <c r="C252" s="7" t="inlineStr">
        <is>
          <t>41900</t>
        </is>
      </c>
      <c r="D252" s="6" t="inlineStr">
        <is>
          <t>Clients créditeurs -avances re</t>
        </is>
      </c>
      <c r="E252" s="8" t="n">
        <v>-60000</v>
      </c>
      <c r="F252" s="8" t="n">
        <v>0</v>
      </c>
      <c r="G252" s="8" t="n">
        <v>0</v>
      </c>
      <c r="H252" s="8">
        <f>E252+F252-G252</f>
        <v/>
      </c>
    </row>
    <row r="253">
      <c r="A253" s="7" t="inlineStr">
        <is>
          <t>AC439</t>
        </is>
      </c>
      <c r="B253" s="6" t="inlineStr">
        <is>
          <t>AYACHI AMOR ABDELMALEK</t>
        </is>
      </c>
      <c r="C253" s="7" t="inlineStr">
        <is>
          <t>41900</t>
        </is>
      </c>
      <c r="D253" s="6" t="inlineStr">
        <is>
          <t>Clients créditeurs -avances re</t>
        </is>
      </c>
      <c r="E253" s="8" t="n">
        <v>-315000</v>
      </c>
      <c r="F253" s="8" t="n">
        <v>0</v>
      </c>
      <c r="G253" s="8" t="n">
        <v>0</v>
      </c>
      <c r="H253" s="8">
        <f>E253+F253-G253</f>
        <v/>
      </c>
    </row>
    <row r="254">
      <c r="A254" s="7" t="inlineStr">
        <is>
          <t>AC440</t>
        </is>
      </c>
      <c r="B254" s="6" t="inlineStr">
        <is>
          <t>ZIANI AMIR</t>
        </is>
      </c>
      <c r="C254" s="7" t="inlineStr">
        <is>
          <t>41900</t>
        </is>
      </c>
      <c r="D254" s="6" t="inlineStr">
        <is>
          <t>Clients créditeurs -avances re</t>
        </is>
      </c>
      <c r="E254" s="8" t="n">
        <v>-250000</v>
      </c>
      <c r="F254" s="8" t="n">
        <v>0</v>
      </c>
      <c r="G254" s="8" t="n">
        <v>0</v>
      </c>
      <c r="H254" s="8">
        <f>E254+F254-G254</f>
        <v/>
      </c>
    </row>
    <row r="255">
      <c r="A255" s="7" t="inlineStr">
        <is>
          <t>AC441</t>
        </is>
      </c>
      <c r="B255" s="6" t="inlineStr">
        <is>
          <t>MADI KARIM</t>
        </is>
      </c>
      <c r="C255" s="7" t="inlineStr">
        <is>
          <t>41900</t>
        </is>
      </c>
      <c r="D255" s="6" t="inlineStr">
        <is>
          <t>Clients créditeurs -avances re</t>
        </is>
      </c>
      <c r="E255" s="8" t="n">
        <v>-1561986.88</v>
      </c>
      <c r="F255" s="8" t="n">
        <v>0</v>
      </c>
      <c r="G255" s="8" t="n">
        <v>0</v>
      </c>
      <c r="H255" s="8">
        <f>E255+F255-G255</f>
        <v/>
      </c>
    </row>
    <row r="256">
      <c r="A256" s="7" t="inlineStr">
        <is>
          <t>AC442</t>
        </is>
      </c>
      <c r="B256" s="6" t="inlineStr">
        <is>
          <t>ETB TCE BOUHADJELA MOHAMED</t>
        </is>
      </c>
      <c r="C256" s="7" t="inlineStr">
        <is>
          <t>41900</t>
        </is>
      </c>
      <c r="D256" s="6" t="inlineStr">
        <is>
          <t>Clients créditeurs -avances re</t>
        </is>
      </c>
      <c r="E256" s="8" t="n">
        <v>-1000000</v>
      </c>
      <c r="F256" s="8" t="n">
        <v>0</v>
      </c>
      <c r="G256" s="8" t="n">
        <v>0</v>
      </c>
      <c r="H256" s="8">
        <f>E256+F256-G256</f>
        <v/>
      </c>
    </row>
    <row r="257">
      <c r="A257" s="7" t="inlineStr">
        <is>
          <t>AC443</t>
        </is>
      </c>
      <c r="B257" s="6" t="inlineStr">
        <is>
          <t>GASSA MOULOUD</t>
        </is>
      </c>
      <c r="C257" s="7" t="inlineStr">
        <is>
          <t>41900</t>
        </is>
      </c>
      <c r="D257" s="6" t="inlineStr">
        <is>
          <t>Clients créditeurs -avances re</t>
        </is>
      </c>
      <c r="E257" s="8" t="n">
        <v>-1291995.08</v>
      </c>
      <c r="F257" s="8" t="n">
        <v>0</v>
      </c>
      <c r="G257" s="8" t="n">
        <v>0</v>
      </c>
      <c r="H257" s="8">
        <f>E257+F257-G257</f>
        <v/>
      </c>
    </row>
    <row r="258">
      <c r="A258" s="7" t="inlineStr">
        <is>
          <t>AC444</t>
        </is>
      </c>
      <c r="B258" s="6" t="inlineStr">
        <is>
          <t>EURL ALL TRANSFERT</t>
        </is>
      </c>
      <c r="C258" s="7" t="inlineStr">
        <is>
          <t>41900</t>
        </is>
      </c>
      <c r="D258" s="6" t="inlineStr">
        <is>
          <t>Clients créditeurs -avances re</t>
        </is>
      </c>
      <c r="E258" s="8" t="n">
        <v>-552778.74</v>
      </c>
      <c r="F258" s="8" t="n">
        <v>0</v>
      </c>
      <c r="G258" s="8" t="n">
        <v>0</v>
      </c>
      <c r="H258" s="8">
        <f>E258+F258-G258</f>
        <v/>
      </c>
    </row>
    <row r="259">
      <c r="A259" s="7" t="inlineStr">
        <is>
          <t>AC445</t>
        </is>
      </c>
      <c r="B259" s="6" t="inlineStr">
        <is>
          <t>HARFOUCHE REDA</t>
        </is>
      </c>
      <c r="C259" s="7" t="inlineStr">
        <is>
          <t>41900</t>
        </is>
      </c>
      <c r="D259" s="6" t="inlineStr">
        <is>
          <t>Clients créditeurs -avances re</t>
        </is>
      </c>
      <c r="E259" s="8" t="n">
        <v>-1972018.2</v>
      </c>
      <c r="F259" s="8" t="n">
        <v>0</v>
      </c>
      <c r="G259" s="8" t="n">
        <v>0</v>
      </c>
      <c r="H259" s="8">
        <f>E259+F259-G259</f>
        <v/>
      </c>
    </row>
    <row r="260">
      <c r="A260" s="7" t="inlineStr">
        <is>
          <t>AC446</t>
        </is>
      </c>
      <c r="B260" s="6" t="inlineStr">
        <is>
          <t>AMEUR LAID</t>
        </is>
      </c>
      <c r="C260" s="7" t="inlineStr">
        <is>
          <t>41900</t>
        </is>
      </c>
      <c r="D260" s="6" t="inlineStr">
        <is>
          <t>Clients créditeurs -avances re</t>
        </is>
      </c>
      <c r="E260" s="8" t="n">
        <v>-1093000</v>
      </c>
      <c r="F260" s="8" t="n">
        <v>0</v>
      </c>
      <c r="G260" s="8" t="n">
        <v>0</v>
      </c>
      <c r="H260" s="8">
        <f>E260+F260-G260</f>
        <v/>
      </c>
    </row>
    <row r="261">
      <c r="A261" s="7" t="inlineStr">
        <is>
          <t>AC447</t>
        </is>
      </c>
      <c r="B261" s="6" t="inlineStr">
        <is>
          <t>DEHAM HOCINE</t>
        </is>
      </c>
      <c r="C261" s="7" t="inlineStr">
        <is>
          <t>41900</t>
        </is>
      </c>
      <c r="D261" s="6" t="inlineStr">
        <is>
          <t>Clients créditeurs -avances re</t>
        </is>
      </c>
      <c r="E261" s="8" t="n">
        <v>-429959.39</v>
      </c>
      <c r="F261" s="8" t="n">
        <v>0</v>
      </c>
      <c r="G261" s="8" t="n">
        <v>0</v>
      </c>
      <c r="H261" s="8">
        <f>E261+F261-G261</f>
        <v/>
      </c>
    </row>
    <row r="262">
      <c r="A262" s="7" t="inlineStr">
        <is>
          <t>AC448</t>
        </is>
      </c>
      <c r="B262" s="6" t="inlineStr">
        <is>
          <t>MEZIANE KHELIFA</t>
        </is>
      </c>
      <c r="C262" s="7" t="inlineStr">
        <is>
          <t>41900</t>
        </is>
      </c>
      <c r="D262" s="6" t="inlineStr">
        <is>
          <t>Clients créditeurs -avances re</t>
        </is>
      </c>
      <c r="E262" s="8" t="n">
        <v>-500572.61</v>
      </c>
      <c r="F262" s="8" t="n">
        <v>0</v>
      </c>
      <c r="G262" s="8" t="n">
        <v>0</v>
      </c>
      <c r="H262" s="8">
        <f>E262+F262-G262</f>
        <v/>
      </c>
    </row>
    <row r="263">
      <c r="A263" s="7" t="inlineStr">
        <is>
          <t>AC449</t>
        </is>
      </c>
      <c r="B263" s="6" t="inlineStr">
        <is>
          <t>YAHIAOUI ZAID</t>
        </is>
      </c>
      <c r="C263" s="7" t="inlineStr">
        <is>
          <t>41900</t>
        </is>
      </c>
      <c r="D263" s="6" t="inlineStr">
        <is>
          <t>Clients créditeurs -avances re</t>
        </is>
      </c>
      <c r="E263" s="8" t="n">
        <v>-298900</v>
      </c>
      <c r="F263" s="8" t="n">
        <v>0</v>
      </c>
      <c r="G263" s="8" t="n">
        <v>0</v>
      </c>
      <c r="H263" s="8">
        <f>E263+F263-G263</f>
        <v/>
      </c>
    </row>
    <row r="264">
      <c r="A264" s="7" t="inlineStr">
        <is>
          <t>AC450</t>
        </is>
      </c>
      <c r="B264" s="6" t="inlineStr">
        <is>
          <t>AIT ALI HICHAM DJAMEL PIECES</t>
        </is>
      </c>
      <c r="C264" s="7" t="inlineStr">
        <is>
          <t>41900</t>
        </is>
      </c>
      <c r="D264" s="6" t="inlineStr">
        <is>
          <t>Clients créditeurs -avances re</t>
        </is>
      </c>
      <c r="E264" s="8" t="n">
        <v>-400000</v>
      </c>
      <c r="F264" s="8" t="n">
        <v>0</v>
      </c>
      <c r="G264" s="8" t="n">
        <v>0</v>
      </c>
      <c r="H264" s="8">
        <f>E264+F264-G264</f>
        <v/>
      </c>
    </row>
    <row r="265">
      <c r="A265" s="7" t="inlineStr">
        <is>
          <t>AC451</t>
        </is>
      </c>
      <c r="B265" s="6" t="inlineStr">
        <is>
          <t>IGOUCIMENE FAOUZI</t>
        </is>
      </c>
      <c r="C265" s="7" t="inlineStr">
        <is>
          <t>41900</t>
        </is>
      </c>
      <c r="D265" s="6" t="inlineStr">
        <is>
          <t>Clients créditeurs -avances re</t>
        </is>
      </c>
      <c r="E265" s="8" t="n">
        <v>-598013.55</v>
      </c>
      <c r="F265" s="8" t="n">
        <v>0</v>
      </c>
      <c r="G265" s="8" t="n">
        <v>0</v>
      </c>
      <c r="H265" s="8">
        <f>E265+F265-G265</f>
        <v/>
      </c>
    </row>
    <row r="266">
      <c r="A266" s="7" t="inlineStr">
        <is>
          <t>AC452</t>
        </is>
      </c>
      <c r="B266" s="6" t="inlineStr">
        <is>
          <t>KERROUCHE LYES</t>
        </is>
      </c>
      <c r="C266" s="7" t="inlineStr">
        <is>
          <t>41900</t>
        </is>
      </c>
      <c r="D266" s="6" t="inlineStr">
        <is>
          <t>Clients créditeurs -avances re</t>
        </is>
      </c>
      <c r="E266" s="8" t="n">
        <v>-924449.88</v>
      </c>
      <c r="F266" s="8" t="n">
        <v>0</v>
      </c>
      <c r="G266" s="8" t="n">
        <v>0</v>
      </c>
      <c r="H266" s="8">
        <f>E266+F266-G266</f>
        <v/>
      </c>
    </row>
    <row r="267">
      <c r="A267" s="7" t="inlineStr">
        <is>
          <t>AC455</t>
        </is>
      </c>
      <c r="B267" s="6" t="inlineStr">
        <is>
          <t>BENABAS FATEH</t>
        </is>
      </c>
      <c r="C267" s="7" t="inlineStr">
        <is>
          <t>41900</t>
        </is>
      </c>
      <c r="D267" s="6" t="inlineStr">
        <is>
          <t>Clients créditeurs -avances re</t>
        </is>
      </c>
      <c r="E267" s="8" t="n">
        <v>-802905.91</v>
      </c>
      <c r="F267" s="8" t="n">
        <v>0</v>
      </c>
      <c r="G267" s="8" t="n">
        <v>0</v>
      </c>
      <c r="H267" s="8">
        <f>E267+F267-G267</f>
        <v/>
      </c>
    </row>
    <row r="268">
      <c r="A268" s="7" t="inlineStr">
        <is>
          <t>AC457</t>
        </is>
      </c>
      <c r="B268" s="6" t="inlineStr">
        <is>
          <t>MESSAST ABDELOUAHAB</t>
        </is>
      </c>
      <c r="C268" s="7" t="inlineStr">
        <is>
          <t>41900</t>
        </is>
      </c>
      <c r="D268" s="6" t="inlineStr">
        <is>
          <t>Clients créditeurs -avances re</t>
        </is>
      </c>
      <c r="E268" s="8" t="n">
        <v>-9987090</v>
      </c>
      <c r="F268" s="8" t="n">
        <v>0</v>
      </c>
      <c r="G268" s="8" t="n">
        <v>0</v>
      </c>
      <c r="H268" s="8">
        <f>E268+F268-G268</f>
        <v/>
      </c>
    </row>
    <row r="269">
      <c r="A269" s="7" t="inlineStr">
        <is>
          <t>AC458</t>
        </is>
      </c>
      <c r="B269" s="6" t="inlineStr">
        <is>
          <t>HAMZAOUI AMOKRANE</t>
        </is>
      </c>
      <c r="C269" s="7" t="inlineStr">
        <is>
          <t>41900</t>
        </is>
      </c>
      <c r="D269" s="6" t="inlineStr">
        <is>
          <t>Clients créditeurs -avances re</t>
        </is>
      </c>
      <c r="E269" s="8" t="n">
        <v>-1443600</v>
      </c>
      <c r="F269" s="8" t="n">
        <v>0</v>
      </c>
      <c r="G269" s="8" t="n">
        <v>0</v>
      </c>
      <c r="H269" s="8">
        <f>E269+F269-G269</f>
        <v/>
      </c>
    </row>
    <row r="270">
      <c r="A270" s="7" t="inlineStr">
        <is>
          <t>AC459</t>
        </is>
      </c>
      <c r="B270" s="6" t="inlineStr">
        <is>
          <t>KASMI MOHAND</t>
        </is>
      </c>
      <c r="C270" s="7" t="inlineStr">
        <is>
          <t>41900</t>
        </is>
      </c>
      <c r="D270" s="6" t="inlineStr">
        <is>
          <t>Clients créditeurs -avances re</t>
        </is>
      </c>
      <c r="E270" s="8" t="n">
        <v>-564170</v>
      </c>
      <c r="F270" s="8" t="n">
        <v>0</v>
      </c>
      <c r="G270" s="8" t="n">
        <v>0</v>
      </c>
      <c r="H270" s="8">
        <f>E270+F270-G270</f>
        <v/>
      </c>
    </row>
    <row r="271">
      <c r="A271" s="7" t="inlineStr">
        <is>
          <t>AC460</t>
        </is>
      </c>
      <c r="B271" s="6" t="inlineStr">
        <is>
          <t>MOHELLEBI MOHAMED</t>
        </is>
      </c>
      <c r="C271" s="7" t="inlineStr">
        <is>
          <t>41900</t>
        </is>
      </c>
      <c r="D271" s="6" t="inlineStr">
        <is>
          <t>Clients créditeurs -avances re</t>
        </is>
      </c>
      <c r="E271" s="8" t="n">
        <v>-593500</v>
      </c>
      <c r="F271" s="8" t="n">
        <v>0</v>
      </c>
      <c r="G271" s="8" t="n">
        <v>0</v>
      </c>
      <c r="H271" s="8">
        <f>E271+F271-G271</f>
        <v/>
      </c>
    </row>
    <row r="272">
      <c r="A272" s="7" t="inlineStr">
        <is>
          <t>AC461</t>
        </is>
      </c>
      <c r="B272" s="6" t="inlineStr">
        <is>
          <t>GUERBANE NASSIMA</t>
        </is>
      </c>
      <c r="C272" s="7" t="inlineStr">
        <is>
          <t>41900</t>
        </is>
      </c>
      <c r="D272" s="6" t="inlineStr">
        <is>
          <t>Clients créditeurs -avances re</t>
        </is>
      </c>
      <c r="E272" s="8" t="n">
        <v>-894116.15</v>
      </c>
      <c r="F272" s="8" t="n">
        <v>0</v>
      </c>
      <c r="G272" s="8" t="n">
        <v>0</v>
      </c>
      <c r="H272" s="8">
        <f>E272+F272-G272</f>
        <v/>
      </c>
    </row>
    <row r="273">
      <c r="A273" s="7" t="inlineStr">
        <is>
          <t>AC462</t>
        </is>
      </c>
      <c r="B273" s="6" t="inlineStr">
        <is>
          <t>CHEGRA MOULOUD</t>
        </is>
      </c>
      <c r="C273" s="7" t="inlineStr">
        <is>
          <t>41900</t>
        </is>
      </c>
      <c r="D273" s="6" t="inlineStr">
        <is>
          <t>Clients créditeurs -avances re</t>
        </is>
      </c>
      <c r="E273" s="8" t="n">
        <v>-907634.41</v>
      </c>
      <c r="F273" s="8" t="n">
        <v>0</v>
      </c>
      <c r="G273" s="8" t="n">
        <v>0</v>
      </c>
      <c r="H273" s="8">
        <f>E273+F273-G273</f>
        <v/>
      </c>
    </row>
    <row r="274">
      <c r="A274" s="7" t="inlineStr">
        <is>
          <t>AC463</t>
        </is>
      </c>
      <c r="B274" s="6" t="inlineStr">
        <is>
          <t>SNC LASMI ET CIE HYGIENNE</t>
        </is>
      </c>
      <c r="C274" s="7" t="inlineStr">
        <is>
          <t>41900</t>
        </is>
      </c>
      <c r="D274" s="6" t="inlineStr">
        <is>
          <t>Clients créditeurs -avances re</t>
        </is>
      </c>
      <c r="E274" s="8" t="n">
        <v>-4586600</v>
      </c>
      <c r="F274" s="8" t="n">
        <v>0</v>
      </c>
      <c r="G274" s="8" t="n">
        <v>0</v>
      </c>
      <c r="H274" s="8">
        <f>E274+F274-G274</f>
        <v/>
      </c>
    </row>
    <row r="275">
      <c r="A275" s="7" t="inlineStr">
        <is>
          <t>AC466</t>
        </is>
      </c>
      <c r="B275" s="6" t="inlineStr">
        <is>
          <t>SPA EPE SODISMAC</t>
        </is>
      </c>
      <c r="C275" s="7" t="inlineStr">
        <is>
          <t>41900</t>
        </is>
      </c>
      <c r="D275" s="6" t="inlineStr">
        <is>
          <t>Clients créditeurs -avances re</t>
        </is>
      </c>
      <c r="E275" s="8" t="n">
        <v>-250000</v>
      </c>
      <c r="F275" s="8" t="n">
        <v>0</v>
      </c>
      <c r="G275" s="8" t="n">
        <v>0</v>
      </c>
      <c r="H275" s="8">
        <f>E275+F275-G275</f>
        <v/>
      </c>
    </row>
    <row r="276">
      <c r="A276" s="7" t="inlineStr">
        <is>
          <t>AC470</t>
        </is>
      </c>
      <c r="B276" s="6" t="inlineStr">
        <is>
          <t>GHENABZIA BELKACEM</t>
        </is>
      </c>
      <c r="C276" s="7" t="inlineStr">
        <is>
          <t>41900</t>
        </is>
      </c>
      <c r="D276" s="6" t="inlineStr">
        <is>
          <t>Clients créditeurs -avances re</t>
        </is>
      </c>
      <c r="E276" s="8" t="n">
        <v>-185540</v>
      </c>
      <c r="F276" s="8" t="n">
        <v>0</v>
      </c>
      <c r="G276" s="8" t="n">
        <v>0</v>
      </c>
      <c r="H276" s="8">
        <f>E276+F276-G276</f>
        <v/>
      </c>
    </row>
    <row r="277">
      <c r="A277" s="7" t="inlineStr">
        <is>
          <t>AC472</t>
        </is>
      </c>
      <c r="B277" s="6" t="inlineStr">
        <is>
          <t>HALLABI AHMED</t>
        </is>
      </c>
      <c r="C277" s="7" t="inlineStr">
        <is>
          <t>41900</t>
        </is>
      </c>
      <c r="D277" s="6" t="inlineStr">
        <is>
          <t>Clients créditeurs -avances re</t>
        </is>
      </c>
      <c r="E277" s="8" t="n">
        <v>-200000</v>
      </c>
      <c r="F277" s="8" t="n">
        <v>0</v>
      </c>
      <c r="G277" s="8" t="n">
        <v>0</v>
      </c>
      <c r="H277" s="8">
        <f>E277+F277-G277</f>
        <v/>
      </c>
    </row>
    <row r="278">
      <c r="A278" s="7" t="inlineStr">
        <is>
          <t>AC473</t>
        </is>
      </c>
      <c r="B278" s="6" t="inlineStr">
        <is>
          <t>SNC MOTEUR BLEU ZIANI ET CIE</t>
        </is>
      </c>
      <c r="C278" s="7" t="inlineStr">
        <is>
          <t>41900</t>
        </is>
      </c>
      <c r="D278" s="6" t="inlineStr">
        <is>
          <t>Clients créditeurs -avances re</t>
        </is>
      </c>
      <c r="E278" s="8" t="n">
        <v>-1000000</v>
      </c>
      <c r="F278" s="8" t="n">
        <v>0</v>
      </c>
      <c r="G278" s="8" t="n">
        <v>0</v>
      </c>
      <c r="H278" s="8">
        <f>E278+F278-G278</f>
        <v/>
      </c>
    </row>
    <row r="279">
      <c r="A279" s="7" t="inlineStr">
        <is>
          <t>AC474</t>
        </is>
      </c>
      <c r="B279" s="6" t="inlineStr">
        <is>
          <t>REDJIMI EP SELAIMIA NOURELHOUD</t>
        </is>
      </c>
      <c r="C279" s="7" t="inlineStr">
        <is>
          <t>41900</t>
        </is>
      </c>
      <c r="D279" s="6" t="inlineStr">
        <is>
          <t>Clients créditeurs -avances re</t>
        </is>
      </c>
      <c r="E279" s="8" t="n">
        <v>-1825600</v>
      </c>
      <c r="F279" s="8" t="n">
        <v>0</v>
      </c>
      <c r="G279" s="8" t="n">
        <v>0</v>
      </c>
      <c r="H279" s="8">
        <f>E279+F279-G279</f>
        <v/>
      </c>
    </row>
    <row r="280">
      <c r="A280" s="7" t="inlineStr">
        <is>
          <t>AC475</t>
        </is>
      </c>
      <c r="B280" s="6" t="inlineStr">
        <is>
          <t>KADOUR AMAR</t>
        </is>
      </c>
      <c r="C280" s="7" t="inlineStr">
        <is>
          <t>41900</t>
        </is>
      </c>
      <c r="D280" s="6" t="inlineStr">
        <is>
          <t>Clients créditeurs -avances re</t>
        </is>
      </c>
      <c r="E280" s="8" t="n">
        <v>-240000</v>
      </c>
      <c r="F280" s="8" t="n">
        <v>0</v>
      </c>
      <c r="G280" s="8" t="n">
        <v>0</v>
      </c>
      <c r="H280" s="8">
        <f>E280+F280-G280</f>
        <v/>
      </c>
    </row>
    <row r="281">
      <c r="B281" s="10" t="inlineStr">
        <is>
          <t>TOTAL</t>
        </is>
      </c>
      <c r="E281" s="11">
        <f>SUM(E4:E280)</f>
        <v/>
      </c>
      <c r="F281" s="11">
        <f>SUM(F4:F280)</f>
        <v/>
      </c>
      <c r="G281" s="11">
        <f>SUM(G4:G280)</f>
        <v/>
      </c>
      <c r="H281" s="11">
        <f>SUM(H4:H280)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2026-10-23T07:31:52Z</dcterms:created>
  <dcterms:modified xsi:type="dcterms:W3CDTF">2026-10-23T07:31:52Z</dcterms:modified>
</cp:coreProperties>
</file>