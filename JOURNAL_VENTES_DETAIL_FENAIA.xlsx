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Paramètres" sheetId="2" state="visible" r:id="rId2"/>
    <sheet name="Brouillard ventes" sheetId="3" state="visible" r:id="rId3"/>
    <sheet name="JOURNAL 15001" sheetId="4" state="visible" r:id="rId4"/>
    <sheet name="Encaissements comptant" sheetId="5" state="visible" r:id="rId5"/>
    <sheet name="Récap mensuel G50" sheetId="6" state="visible" r:id="rId6"/>
    <sheet name="Écritures types"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dd/mm/yyyy"/>
    <numFmt numFmtId="166" formatCode="#,##0.00;(#,##0.00);&quot;-&quot;"/>
  </numFmts>
  <fonts count="7">
    <font>
      <name val="Calibri"/>
      <family val="2"/>
      <color theme="1"/>
      <sz val="11"/>
      <scheme val="minor"/>
    </font>
    <font>
      <name val="Arial"/>
      <b val="1"/>
      <color rgb="001F3864"/>
      <sz val="14"/>
    </font>
    <font>
      <name val="Arial"/>
      <i val="1"/>
      <color rgb="00595959"/>
      <sz val="9"/>
    </font>
    <font>
      <name val="Arial"/>
      <b val="1"/>
      <color rgb="00FFFFFF"/>
      <sz val="10"/>
    </font>
    <font>
      <name val="Arial"/>
      <b val="1"/>
      <sz val="10"/>
    </font>
    <font>
      <name val="Arial"/>
      <color rgb="000000FF"/>
      <sz val="10"/>
    </font>
    <font>
      <name val="Arial"/>
      <sz val="10"/>
    </font>
  </fonts>
  <fills count="5">
    <fill>
      <patternFill/>
    </fill>
    <fill>
      <patternFill patternType="gray125"/>
    </fill>
    <fill>
      <patternFill patternType="solid">
        <fgColor rgb="001F3864"/>
      </patternFill>
    </fill>
    <fill>
      <patternFill patternType="solid">
        <fgColor rgb="00FFFF00"/>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6" fillId="0" borderId="1" applyAlignment="1" pivotButton="0" quotePrefix="0" xfId="0">
      <alignment vertical="top" wrapText="1"/>
    </xf>
    <xf numFmtId="0" fontId="4" fillId="0" borderId="0" pivotButton="0" quotePrefix="0" xfId="0"/>
    <xf numFmtId="0" fontId="6" fillId="0" borderId="1" pivotButton="0" quotePrefix="0" xfId="0"/>
    <xf numFmtId="0" fontId="6" fillId="0" borderId="0" applyAlignment="1" pivotButton="0" quotePrefix="0" xfId="0">
      <alignment wrapText="1"/>
    </xf>
    <xf numFmtId="0" fontId="2" fillId="0" borderId="0" pivotButton="0" quotePrefix="0" xfId="0"/>
    <xf numFmtId="164" fontId="5" fillId="3" borderId="1" pivotButton="0" quotePrefix="0" xfId="0"/>
    <xf numFmtId="0" fontId="2" fillId="0" borderId="1" applyAlignment="1" pivotButton="0" quotePrefix="0" xfId="0">
      <alignment vertical="top" wrapText="1"/>
    </xf>
    <xf numFmtId="49" fontId="5" fillId="3" borderId="1" pivotButton="0" quotePrefix="0" xfId="0"/>
    <xf numFmtId="49" fontId="6" fillId="0" borderId="1" pivotButton="0" quotePrefix="0" xfId="0"/>
    <xf numFmtId="49" fontId="4" fillId="0" borderId="1" pivotButton="0" quotePrefix="0" xfId="0"/>
    <xf numFmtId="165" fontId="5" fillId="3" borderId="1" pivotButton="0" quotePrefix="0" xfId="0"/>
    <xf numFmtId="0" fontId="5" fillId="3" borderId="1" pivotButton="0" quotePrefix="0" xfId="0"/>
    <xf numFmtId="166" fontId="5" fillId="3" borderId="1" pivotButton="0" quotePrefix="0" xfId="0"/>
    <xf numFmtId="164" fontId="6" fillId="0" borderId="1" pivotButton="0" quotePrefix="0" xfId="0"/>
    <xf numFmtId="166" fontId="6" fillId="0" borderId="1" pivotButton="0" quotePrefix="0" xfId="0"/>
    <xf numFmtId="166" fontId="4" fillId="0" borderId="1" pivotButton="0" quotePrefix="0" xfId="0"/>
    <xf numFmtId="166" fontId="4" fillId="4" borderId="1" pivotButton="0" quotePrefix="0" xfId="0"/>
    <xf numFmtId="0" fontId="3" fillId="2" borderId="0" pivotButton="0" quotePrefix="0" xfId="0"/>
    <xf numFmtId="0" fontId="6" fillId="0" borderId="0" pivotButton="0" quotePrefix="0" xfId="0"/>
    <xf numFmtId="166" fontId="6" fillId="0" borderId="0" pivotButton="0" quotePrefix="0" xfId="0"/>
    <xf numFmtId="166" fontId="0" fillId="0" borderId="0" pivotButton="0" quotePrefix="0" xfId="0"/>
    <xf numFmtId="1" fontId="5" fillId="3" borderId="1" pivotButton="0" quotePrefix="0" xfId="0"/>
    <xf numFmtId="1" fontId="6" fillId="0" borderId="1" pivotButton="0" quotePrefix="0" xfId="0"/>
    <xf numFmtId="1" fontId="4" fillId="4" borderId="1" pivotButton="0" quotePrefix="0" xfId="0"/>
    <xf numFmtId="0" fontId="2" fillId="0" borderId="0" applyAlignment="1" pivotButton="0" quotePrefix="0" xfId="0">
      <alignment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110" customWidth="1" min="2" max="2"/>
  </cols>
  <sheetData>
    <row r="1">
      <c r="A1" s="1" t="inlineStr">
        <is>
          <t>Journal des ventes au détail — SARL DPR COMPAGNY, établissement de Fenaia Il Maten</t>
        </is>
      </c>
    </row>
    <row r="3">
      <c r="A3" s="2" t="inlineStr">
        <is>
          <t>Rubrique</t>
        </is>
      </c>
      <c r="B3" s="2" t="inlineStr">
        <is>
          <t>Détail</t>
        </is>
      </c>
    </row>
    <row r="4" ht="32" customHeight="1">
      <c r="A4" s="3" t="inlineStr">
        <is>
          <t>Établissement</t>
        </is>
      </c>
      <c r="B4" s="4" t="inlineStr">
        <is>
          <t>Lieu-dit Abadou, commune de Fenaia Il Maten, wilaya de Béjaïa (cachet « Pièces détachées et Réparation mécanique »)</t>
        </is>
      </c>
    </row>
    <row r="5" ht="32" customHeight="1">
      <c r="A5" s="3" t="inlineStr">
        <is>
          <t>Registre de commerce</t>
        </is>
      </c>
      <c r="B5" s="4" t="inlineStr">
        <is>
          <t>Établissement secondaire 06/04-0184232 B 03, inscrit le 10/09/2024 (extrait n° 920064572 du 11/09/2024)</t>
        </is>
      </c>
    </row>
    <row r="6" ht="32" customHeight="1">
      <c r="A6" s="3" t="inlineStr">
        <is>
          <t>Activités inscrites</t>
        </is>
      </c>
      <c r="B6" s="4" t="inlineStr">
        <is>
          <t>506003 pièces détachées et accessoires auto, 506002 outillage, 506006 pneumatiques, 506007 batteries, 506008 huiles et graisses, 613204 réparation mécanique, 605024 salle d'exposition</t>
        </is>
      </c>
    </row>
    <row r="7" ht="32" customHeight="1">
      <c r="A7" s="3" t="inlineStr">
        <is>
          <t>Fiscalité</t>
        </is>
      </c>
      <c r="B7" s="4" t="inlineStr">
        <is>
          <t>NIF 000306018423274 ; article d'imposition 06180778071 ; déclaration d'existence du 03/03/2026 (début d'activité déclaré 10/09/2024) ; IBS</t>
        </is>
      </c>
    </row>
    <row r="8" ht="32" customHeight="1">
      <c r="A8" s="3" t="inlineStr">
        <is>
          <t>Ce qui change</t>
        </is>
      </c>
      <c r="B8" s="4" t="inlineStr">
        <is>
          <t>Un nouveau journal 15001 « VENTES DETAIL FENAIA » ; banque (51220) et caisse (53000) inchangées</t>
        </is>
      </c>
    </row>
    <row r="10">
      <c r="A10" s="5" t="inlineStr">
        <is>
          <t>Contrôles</t>
        </is>
      </c>
    </row>
    <row r="11">
      <c r="A11" s="6" t="inlineStr">
        <is>
          <t>Journal 15001 équilibré</t>
        </is>
      </c>
      <c r="B11" s="3">
        <f>IF(ABS('JOURNAL 15001'!L904)&lt;0.01,"OK","ERREUR")</f>
        <v/>
      </c>
    </row>
    <row r="12">
      <c r="A12" s="6" t="inlineStr">
        <is>
          <t>Encaissements équilibrés</t>
        </is>
      </c>
      <c r="B12" s="3">
        <f>IF(ABS('Encaissements comptant'!L603-'Encaissements comptant'!M603)&lt;0.01,"OK","ERREUR")</f>
        <v/>
      </c>
    </row>
    <row r="13">
      <c r="A13" s="6" t="inlineStr">
        <is>
          <t>CA HT du journal = brouillard</t>
        </is>
      </c>
      <c r="B13" s="3">
        <f>IF(ABS(SUMIFS('JOURNAL 15001'!M2:M901,'JOURNAL 15001'!G2:G901,Paramètres!$B$8)+SUMIFS('JOURNAL 15001'!M2:M901,'JOURNAL 15001'!G2:G901,Paramètres!$B$9)-'Brouillard ventes'!F306)&lt;0.01,"OK","ERREUR")</f>
        <v/>
      </c>
    </row>
    <row r="14">
      <c r="A14" s="6" t="inlineStr">
        <is>
          <t>Récapitulatif = brouillard (année de suivi seule)</t>
        </is>
      </c>
      <c r="B14" s="3">
        <f>IF(ABS('Récap mensuel G50'!D17-SUMIFS('Brouillard ventes'!$F$6:$F$305,'Brouillard ventes'!$A$6:$A$305,"&gt;="&amp;DATE('Récap mensuel G50'!B2,1,1),'Brouillard ventes'!$A$6:$A$305,"&lt;"&amp;DATE('Récap mensuel G50'!B2+1,1,1)))&lt;0.01,"OK","ÉCART")</f>
        <v/>
      </c>
    </row>
    <row r="16">
      <c r="A16" s="5" t="inlineStr">
        <is>
          <t>Mode d'emploi</t>
        </is>
      </c>
    </row>
    <row r="17" ht="30" customHeight="1">
      <c r="A17" s="7" t="inlineStr">
        <is>
          <t>1. Créer dans PCCOMPTA le journal et les comptes listés dans « Paramètres » (lignes 17 à 24).</t>
        </is>
      </c>
    </row>
    <row r="18" ht="30" customHeight="1">
      <c r="A18" s="7" t="inlineStr">
        <is>
          <t>2. Saisir chaque jour les ventes dans « Brouillard ventes » (une ligne par facture ou ticket ; la ligne 6 est un exemple à remplacer).</t>
        </is>
      </c>
    </row>
    <row r="19" ht="30" customHeight="1">
      <c r="A19" s="7" t="inlineStr">
        <is>
          <t>3. Copier « JOURNAL 15001 » (lignes non vides) dans PCCOMPTA ; les règlements comptant sont dans « Encaissements comptant » (journaux 04001 / 02001).</t>
        </is>
      </c>
    </row>
    <row r="20" ht="30" customHeight="1">
      <c r="A20" s="7" t="inlineStr">
        <is>
          <t>4. En fin de mois, reporter « Récap mensuel G50 » sur la G50 de l'établissement et passer la constatation de TVA (Écritures types).</t>
        </is>
      </c>
    </row>
    <row r="21" ht="30" customHeight="1">
      <c r="A21" s="7" t="inlineStr">
        <is>
          <t>5. Régulariser les ventes au détail réalisées depuis le 10/09/2024 : aucune n'apparaît dans les journaux 2024 et 2025.</t>
        </is>
      </c>
    </row>
  </sheetData>
  <mergeCells count="5">
    <mergeCell ref="A20:B20"/>
    <mergeCell ref="A21:B21"/>
    <mergeCell ref="A19:B19"/>
    <mergeCell ref="A17:B17"/>
    <mergeCell ref="A18: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6" customWidth="1" min="1" max="1"/>
    <col width="18" customWidth="1" min="2" max="2"/>
    <col width="42" customWidth="1" min="3" max="3"/>
    <col width="70" customWidth="1" min="4" max="4"/>
  </cols>
  <sheetData>
    <row r="1">
      <c r="A1" s="1" t="inlineStr">
        <is>
          <t>Paramètres et création du journal dans PCCOMPTA</t>
        </is>
      </c>
    </row>
    <row r="2">
      <c r="A2" s="8" t="inlineStr">
        <is>
          <t>Cellules jaunes = hypothèses modifiables. Banque (51220, journal 02001) et caisse (53000, journal 04001) : inchangées.</t>
        </is>
      </c>
    </row>
    <row r="4">
      <c r="A4" s="2" t="inlineStr">
        <is>
          <t>Paramètre</t>
        </is>
      </c>
      <c r="B4" s="2" t="inlineStr">
        <is>
          <t>Valeur</t>
        </is>
      </c>
      <c r="C4" s="2" t="inlineStr">
        <is>
          <t>Source / commentaire</t>
        </is>
      </c>
    </row>
    <row r="5">
      <c r="A5" s="3" t="inlineStr">
        <is>
          <t>Taux de TVA (revente en l'état et réparation)</t>
        </is>
      </c>
      <c r="B5" s="9" t="n">
        <v>0.19</v>
      </c>
      <c r="C5" s="10" t="inlineStr">
        <is>
          <t>Taux porté sur les G50 2026 (ligne E3B22)</t>
        </is>
      </c>
    </row>
    <row r="6">
      <c r="A6" s="3" t="inlineStr">
        <is>
          <t>Taux du droit de timbre sur paiements en espèces</t>
        </is>
      </c>
      <c r="B6" s="9" t="n">
        <v>0.01</v>
      </c>
      <c r="C6" s="10" t="inlineStr">
        <is>
          <t>Taux appliqué sur la G50 IMPORT de février 2026 (63 720 / 6 372 000) ; barème à confirmer avec l'inspection</t>
        </is>
      </c>
    </row>
    <row r="7">
      <c r="A7" s="3" t="inlineStr">
        <is>
          <t>Compte client par défaut (vente comptoir)</t>
        </is>
      </c>
      <c r="B7" s="11" t="inlineStr">
        <is>
          <t>41100</t>
        </is>
      </c>
      <c r="C7" s="10" t="inlineStr">
        <is>
          <t>Avec le code auxiliaire CD001 « CLIENTS COMPTOIR DETAIL »</t>
        </is>
      </c>
    </row>
    <row r="8">
      <c r="A8" s="3" t="inlineStr">
        <is>
          <t>Compte de ventes de marchandises au détail</t>
        </is>
      </c>
      <c r="B8" s="11" t="inlineStr">
        <is>
          <t>70003</t>
        </is>
      </c>
      <c r="C8" s="10" t="inlineStr">
        <is>
          <t>Nouveau compte</t>
        </is>
      </c>
    </row>
    <row r="9">
      <c r="A9" s="3" t="inlineStr">
        <is>
          <t>Compte de prestations de réparation mécanique</t>
        </is>
      </c>
      <c r="B9" s="11" t="inlineStr">
        <is>
          <t>70604</t>
        </is>
      </c>
      <c r="C9" s="10" t="inlineStr">
        <is>
          <t>Nouveau compte (activité 613204)</t>
        </is>
      </c>
    </row>
    <row r="10">
      <c r="A10" s="3" t="inlineStr">
        <is>
          <t>Compte de TVA collectée ventes détail</t>
        </is>
      </c>
      <c r="B10" s="11" t="inlineStr">
        <is>
          <t>44519</t>
        </is>
      </c>
      <c r="C10" s="10" t="inlineStr">
        <is>
          <t>Nouveau compte : TVA du détail suivie à part, soldée mensuellement par la G50</t>
        </is>
      </c>
    </row>
    <row r="11">
      <c r="A11" s="3" t="inlineStr">
        <is>
          <t>Code unité (établissement)</t>
        </is>
      </c>
      <c r="B11" s="11" t="inlineStr">
        <is>
          <t>FEN</t>
        </is>
      </c>
      <c r="C11" s="10" t="inlineStr">
        <is>
          <t>Code_UNT PCCOMPTA pour isoler Fenaia dans toutes les écritures</t>
        </is>
      </c>
    </row>
    <row r="12">
      <c r="A12" s="3" t="inlineStr">
        <is>
          <t>Article d'imposition de l'établissement</t>
        </is>
      </c>
      <c r="B12" s="11" t="inlineStr">
        <is>
          <t>06180778071</t>
        </is>
      </c>
      <c r="C12" s="10" t="inlineStr">
        <is>
          <t>Déclaration d'existence du 03/03/2026</t>
        </is>
      </c>
    </row>
    <row r="15">
      <c r="A15" s="5" t="inlineStr">
        <is>
          <t>Lignes à ajouter dans les tables PCCOMPTA</t>
        </is>
      </c>
    </row>
    <row r="16">
      <c r="A16" s="2" t="inlineStr">
        <is>
          <t>Table</t>
        </is>
      </c>
      <c r="B16" s="2" t="inlineStr">
        <is>
          <t>CODE</t>
        </is>
      </c>
      <c r="C16" s="2" t="inlineStr">
        <is>
          <t>LIBELLE</t>
        </is>
      </c>
      <c r="D16" s="2" t="inlineStr">
        <is>
          <t>NATURE / Remarque</t>
        </is>
      </c>
    </row>
    <row r="17">
      <c r="A17" s="12" t="inlineStr">
        <is>
          <t>TAB_JRN</t>
        </is>
      </c>
      <c r="B17" s="13" t="inlineStr">
        <is>
          <t>15001</t>
        </is>
      </c>
      <c r="C17" s="12" t="inlineStr">
        <is>
          <t>VENTES DETAIL FENAIA</t>
        </is>
      </c>
      <c r="D17" s="12" t="inlineStr">
        <is>
          <t>Divers</t>
        </is>
      </c>
    </row>
    <row r="18">
      <c r="A18" s="12" t="inlineStr">
        <is>
          <t>TAB_COM</t>
        </is>
      </c>
      <c r="B18" s="13" t="inlineStr">
        <is>
          <t>70003</t>
        </is>
      </c>
      <c r="C18" s="12" t="inlineStr">
        <is>
          <t>VENTES M/SES DETAIL FENAIA</t>
        </is>
      </c>
      <c r="D18" s="12" t="inlineStr">
        <is>
          <t>Produits</t>
        </is>
      </c>
    </row>
    <row r="19">
      <c r="A19" s="12" t="inlineStr">
        <is>
          <t>TAB_COM</t>
        </is>
      </c>
      <c r="B19" s="13" t="inlineStr">
        <is>
          <t>70604</t>
        </is>
      </c>
      <c r="C19" s="12" t="inlineStr">
        <is>
          <t>PRESTATIONS REPARATION MECANIQUE</t>
        </is>
      </c>
      <c r="D19" s="12" t="inlineStr">
        <is>
          <t>Produits (activité 613204)</t>
        </is>
      </c>
    </row>
    <row r="20">
      <c r="A20" s="12" t="inlineStr">
        <is>
          <t>TAB_COM</t>
        </is>
      </c>
      <c r="B20" s="13" t="inlineStr">
        <is>
          <t>44519</t>
        </is>
      </c>
      <c r="C20" s="12" t="inlineStr">
        <is>
          <t>TVA COLLECTEE VENTES DETAIL</t>
        </is>
      </c>
      <c r="D20" s="12" t="inlineStr">
        <is>
          <t>Dette fiscale</t>
        </is>
      </c>
    </row>
    <row r="21">
      <c r="A21" s="12" t="inlineStr">
        <is>
          <t>TAB_COM</t>
        </is>
      </c>
      <c r="B21" s="13" t="inlineStr">
        <is>
          <t>30003</t>
        </is>
      </c>
      <c r="C21" s="12" t="inlineStr">
        <is>
          <t>STOCK MAGASIN DETAIL FENAIA</t>
        </is>
      </c>
      <c r="D21" s="12" t="inlineStr">
        <is>
          <t>Stock du magasin (transferts depuis 30002)</t>
        </is>
      </c>
    </row>
    <row r="22">
      <c r="A22" s="12" t="inlineStr">
        <is>
          <t>TAB_AUX</t>
        </is>
      </c>
      <c r="B22" s="13" t="inlineStr">
        <is>
          <t>CD001</t>
        </is>
      </c>
      <c r="C22" s="12" t="inlineStr">
        <is>
          <t>CLIENTS COMPTOIR DETAIL</t>
        </is>
      </c>
      <c r="D22" s="12" t="inlineStr">
        <is>
          <t>Clients de passage ; créer CD002, CD003… pour les clients à crédit</t>
        </is>
      </c>
    </row>
    <row r="23">
      <c r="A23" s="12" t="inlineStr">
        <is>
          <t>TAB_UNT</t>
        </is>
      </c>
      <c r="B23" s="13" t="inlineStr">
        <is>
          <t>FEN</t>
        </is>
      </c>
      <c r="C23" s="12" t="inlineStr">
        <is>
          <t>ETABLISSEMENT FENAIA IL MATEN (DETAIL)</t>
        </is>
      </c>
      <c r="D23" s="12" t="inlineStr">
        <is>
          <t>Établissement secondaire RC 06/04-0184232 B 03</t>
        </is>
      </c>
    </row>
    <row r="24">
      <c r="A24" s="12" t="inlineStr">
        <is>
          <t>TAB_UNT</t>
        </is>
      </c>
      <c r="B24" s="13" t="inlineStr">
        <is>
          <t>SIE</t>
        </is>
      </c>
      <c r="C24" s="12" t="inlineStr">
        <is>
          <t>SIEGE TIZI SMAOUN (IMPORT)</t>
        </is>
      </c>
      <c r="D24" s="12" t="inlineStr">
        <is>
          <t>Pour l'activité d'importation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6"/>
  <sheetViews>
    <sheetView workbookViewId="0">
      <pane ySplit="5" topLeftCell="A6" activePane="bottomLeft" state="frozen"/>
      <selection pane="bottomLeft" activeCell="A1" sqref="A1"/>
    </sheetView>
  </sheetViews>
  <sheetFormatPr baseColWidth="8" defaultRowHeight="15"/>
  <cols>
    <col width="11" customWidth="1" min="1" max="1"/>
    <col width="16" customWidth="1" min="2" max="2"/>
    <col width="11" customWidth="1" min="3" max="3"/>
    <col width="30" customWidth="1" min="4" max="4"/>
    <col width="14" customWidth="1" min="5" max="5"/>
    <col width="15" customWidth="1" min="6" max="6"/>
    <col width="9" customWidth="1" min="7" max="7"/>
    <col width="13" customWidth="1" min="8" max="8"/>
    <col width="15" customWidth="1" min="9" max="9"/>
    <col width="15" customWidth="1" min="10" max="10"/>
    <col width="30" customWidth="1" min="11" max="11"/>
  </cols>
  <sheetData>
    <row r="1">
      <c r="A1" s="1" t="inlineStr">
        <is>
          <t>Brouillard des ventes au détail — établissement de Fenaia Il Maten</t>
        </is>
      </c>
    </row>
    <row r="2">
      <c r="A2" s="8" t="inlineStr">
        <is>
          <t>Saisir une ligne par facture ou ticket (colonnes jaunes). TVA, TTC et écritures sont calculées. La ligne 6 est un EXEMPLE : la remplacer par la première vraie vente.</t>
        </is>
      </c>
    </row>
    <row r="3">
      <c r="A3" s="8" t="inlineStr">
        <is>
          <t>Mode de règlement : Espèces / Chèque / Virement / À crédit. Nature : Marchandises / Réparation.</t>
        </is>
      </c>
    </row>
    <row r="5">
      <c r="A5" s="2" t="inlineStr">
        <is>
          <t>Date</t>
        </is>
      </c>
      <c r="B5" s="2" t="inlineStr">
        <is>
          <t>N° facture / ticket</t>
        </is>
      </c>
      <c r="C5" s="2" t="inlineStr">
        <is>
          <t>Code client</t>
        </is>
      </c>
      <c r="D5" s="2" t="inlineStr">
        <is>
          <t>Nom du client</t>
        </is>
      </c>
      <c r="E5" s="2" t="inlineStr">
        <is>
          <t>Nature</t>
        </is>
      </c>
      <c r="F5" s="2" t="inlineStr">
        <is>
          <t>Montant HT</t>
        </is>
      </c>
      <c r="G5" s="2" t="inlineStr">
        <is>
          <t>Taux TVA</t>
        </is>
      </c>
      <c r="H5" s="2" t="inlineStr">
        <is>
          <t>TVA</t>
        </is>
      </c>
      <c r="I5" s="2" t="inlineStr">
        <is>
          <t>TTC</t>
        </is>
      </c>
      <c r="J5" s="2" t="inlineStr">
        <is>
          <t>Mode de règlement</t>
        </is>
      </c>
      <c r="K5" s="2" t="inlineStr">
        <is>
          <t>Observations</t>
        </is>
      </c>
    </row>
    <row r="6">
      <c r="A6" s="14">
        <f>DATE(2026,10,5)</f>
        <v/>
      </c>
      <c r="B6" s="15" t="inlineStr">
        <is>
          <t>FD-0001</t>
        </is>
      </c>
      <c r="C6" s="15" t="inlineStr">
        <is>
          <t>CD001</t>
        </is>
      </c>
      <c r="D6" s="15" t="inlineStr">
        <is>
          <t>CLIENT COMPTOIR (EXEMPLE)</t>
        </is>
      </c>
      <c r="E6" s="15" t="inlineStr">
        <is>
          <t>Marchandises</t>
        </is>
      </c>
      <c r="F6" s="16" t="n">
        <v>10000</v>
      </c>
      <c r="G6" s="17">
        <f>IF(F6="","",Paramètres!$B$5)</f>
        <v/>
      </c>
      <c r="H6" s="18">
        <f>IF(F6="","",ROUND(F6*G6,2))</f>
        <v/>
      </c>
      <c r="I6" s="19">
        <f>IF(F6="","",F6+H6)</f>
        <v/>
      </c>
      <c r="J6" s="15" t="inlineStr">
        <is>
          <t>Espèces</t>
        </is>
      </c>
      <c r="K6" s="15" t="inlineStr">
        <is>
          <t>Ligne d'exemple à remplacer</t>
        </is>
      </c>
    </row>
    <row r="7">
      <c r="A7" s="14" t="n"/>
      <c r="B7" s="15" t="n"/>
      <c r="C7" s="15" t="n"/>
      <c r="D7" s="15" t="n"/>
      <c r="E7" s="15" t="n"/>
      <c r="F7" s="16" t="n"/>
      <c r="G7" s="17">
        <f>IF(F7="","",Paramètres!$B$5)</f>
        <v/>
      </c>
      <c r="H7" s="18">
        <f>IF(F7="","",ROUND(F7*G7,2))</f>
        <v/>
      </c>
      <c r="I7" s="19">
        <f>IF(F7="","",F7+H7)</f>
        <v/>
      </c>
      <c r="J7" s="15" t="n"/>
      <c r="K7" s="15" t="n"/>
    </row>
    <row r="8">
      <c r="A8" s="14" t="n"/>
      <c r="B8" s="15" t="n"/>
      <c r="C8" s="15" t="n"/>
      <c r="D8" s="15" t="n"/>
      <c r="E8" s="15" t="n"/>
      <c r="F8" s="16" t="n"/>
      <c r="G8" s="17">
        <f>IF(F8="","",Paramètres!$B$5)</f>
        <v/>
      </c>
      <c r="H8" s="18">
        <f>IF(F8="","",ROUND(F8*G8,2))</f>
        <v/>
      </c>
      <c r="I8" s="19">
        <f>IF(F8="","",F8+H8)</f>
        <v/>
      </c>
      <c r="J8" s="15" t="n"/>
      <c r="K8" s="15" t="n"/>
    </row>
    <row r="9">
      <c r="A9" s="14" t="n"/>
      <c r="B9" s="15" t="n"/>
      <c r="C9" s="15" t="n"/>
      <c r="D9" s="15" t="n"/>
      <c r="E9" s="15" t="n"/>
      <c r="F9" s="16" t="n"/>
      <c r="G9" s="17">
        <f>IF(F9="","",Paramètres!$B$5)</f>
        <v/>
      </c>
      <c r="H9" s="18">
        <f>IF(F9="","",ROUND(F9*G9,2))</f>
        <v/>
      </c>
      <c r="I9" s="19">
        <f>IF(F9="","",F9+H9)</f>
        <v/>
      </c>
      <c r="J9" s="15" t="n"/>
      <c r="K9" s="15" t="n"/>
    </row>
    <row r="10">
      <c r="A10" s="14" t="n"/>
      <c r="B10" s="15" t="n"/>
      <c r="C10" s="15" t="n"/>
      <c r="D10" s="15" t="n"/>
      <c r="E10" s="15" t="n"/>
      <c r="F10" s="16" t="n"/>
      <c r="G10" s="17">
        <f>IF(F10="","",Paramètres!$B$5)</f>
        <v/>
      </c>
      <c r="H10" s="18">
        <f>IF(F10="","",ROUND(F10*G10,2))</f>
        <v/>
      </c>
      <c r="I10" s="19">
        <f>IF(F10="","",F10+H10)</f>
        <v/>
      </c>
      <c r="J10" s="15" t="n"/>
      <c r="K10" s="15" t="n"/>
    </row>
    <row r="11">
      <c r="A11" s="14" t="n"/>
      <c r="B11" s="15" t="n"/>
      <c r="C11" s="15" t="n"/>
      <c r="D11" s="15" t="n"/>
      <c r="E11" s="15" t="n"/>
      <c r="F11" s="16" t="n"/>
      <c r="G11" s="17">
        <f>IF(F11="","",Paramètres!$B$5)</f>
        <v/>
      </c>
      <c r="H11" s="18">
        <f>IF(F11="","",ROUND(F11*G11,2))</f>
        <v/>
      </c>
      <c r="I11" s="19">
        <f>IF(F11="","",F11+H11)</f>
        <v/>
      </c>
      <c r="J11" s="15" t="n"/>
      <c r="K11" s="15" t="n"/>
    </row>
    <row r="12">
      <c r="A12" s="14" t="n"/>
      <c r="B12" s="15" t="n"/>
      <c r="C12" s="15" t="n"/>
      <c r="D12" s="15" t="n"/>
      <c r="E12" s="15" t="n"/>
      <c r="F12" s="16" t="n"/>
      <c r="G12" s="17">
        <f>IF(F12="","",Paramètres!$B$5)</f>
        <v/>
      </c>
      <c r="H12" s="18">
        <f>IF(F12="","",ROUND(F12*G12,2))</f>
        <v/>
      </c>
      <c r="I12" s="19">
        <f>IF(F12="","",F12+H12)</f>
        <v/>
      </c>
      <c r="J12" s="15" t="n"/>
      <c r="K12" s="15" t="n"/>
    </row>
    <row r="13">
      <c r="A13" s="14" t="n"/>
      <c r="B13" s="15" t="n"/>
      <c r="C13" s="15" t="n"/>
      <c r="D13" s="15" t="n"/>
      <c r="E13" s="15" t="n"/>
      <c r="F13" s="16" t="n"/>
      <c r="G13" s="17">
        <f>IF(F13="","",Paramètres!$B$5)</f>
        <v/>
      </c>
      <c r="H13" s="18">
        <f>IF(F13="","",ROUND(F13*G13,2))</f>
        <v/>
      </c>
      <c r="I13" s="19">
        <f>IF(F13="","",F13+H13)</f>
        <v/>
      </c>
      <c r="J13" s="15" t="n"/>
      <c r="K13" s="15" t="n"/>
    </row>
    <row r="14">
      <c r="A14" s="14" t="n"/>
      <c r="B14" s="15" t="n"/>
      <c r="C14" s="15" t="n"/>
      <c r="D14" s="15" t="n"/>
      <c r="E14" s="15" t="n"/>
      <c r="F14" s="16" t="n"/>
      <c r="G14" s="17">
        <f>IF(F14="","",Paramètres!$B$5)</f>
        <v/>
      </c>
      <c r="H14" s="18">
        <f>IF(F14="","",ROUND(F14*G14,2))</f>
        <v/>
      </c>
      <c r="I14" s="19">
        <f>IF(F14="","",F14+H14)</f>
        <v/>
      </c>
      <c r="J14" s="15" t="n"/>
      <c r="K14" s="15" t="n"/>
    </row>
    <row r="15">
      <c r="A15" s="14" t="n"/>
      <c r="B15" s="15" t="n"/>
      <c r="C15" s="15" t="n"/>
      <c r="D15" s="15" t="n"/>
      <c r="E15" s="15" t="n"/>
      <c r="F15" s="16" t="n"/>
      <c r="G15" s="17">
        <f>IF(F15="","",Paramètres!$B$5)</f>
        <v/>
      </c>
      <c r="H15" s="18">
        <f>IF(F15="","",ROUND(F15*G15,2))</f>
        <v/>
      </c>
      <c r="I15" s="19">
        <f>IF(F15="","",F15+H15)</f>
        <v/>
      </c>
      <c r="J15" s="15" t="n"/>
      <c r="K15" s="15" t="n"/>
    </row>
    <row r="16">
      <c r="A16" s="14" t="n"/>
      <c r="B16" s="15" t="n"/>
      <c r="C16" s="15" t="n"/>
      <c r="D16" s="15" t="n"/>
      <c r="E16" s="15" t="n"/>
      <c r="F16" s="16" t="n"/>
      <c r="G16" s="17">
        <f>IF(F16="","",Paramètres!$B$5)</f>
        <v/>
      </c>
      <c r="H16" s="18">
        <f>IF(F16="","",ROUND(F16*G16,2))</f>
        <v/>
      </c>
      <c r="I16" s="19">
        <f>IF(F16="","",F16+H16)</f>
        <v/>
      </c>
      <c r="J16" s="15" t="n"/>
      <c r="K16" s="15" t="n"/>
    </row>
    <row r="17">
      <c r="A17" s="14" t="n"/>
      <c r="B17" s="15" t="n"/>
      <c r="C17" s="15" t="n"/>
      <c r="D17" s="15" t="n"/>
      <c r="E17" s="15" t="n"/>
      <c r="F17" s="16" t="n"/>
      <c r="G17" s="17">
        <f>IF(F17="","",Paramètres!$B$5)</f>
        <v/>
      </c>
      <c r="H17" s="18">
        <f>IF(F17="","",ROUND(F17*G17,2))</f>
        <v/>
      </c>
      <c r="I17" s="19">
        <f>IF(F17="","",F17+H17)</f>
        <v/>
      </c>
      <c r="J17" s="15" t="n"/>
      <c r="K17" s="15" t="n"/>
    </row>
    <row r="18">
      <c r="A18" s="14" t="n"/>
      <c r="B18" s="15" t="n"/>
      <c r="C18" s="15" t="n"/>
      <c r="D18" s="15" t="n"/>
      <c r="E18" s="15" t="n"/>
      <c r="F18" s="16" t="n"/>
      <c r="G18" s="17">
        <f>IF(F18="","",Paramètres!$B$5)</f>
        <v/>
      </c>
      <c r="H18" s="18">
        <f>IF(F18="","",ROUND(F18*G18,2))</f>
        <v/>
      </c>
      <c r="I18" s="19">
        <f>IF(F18="","",F18+H18)</f>
        <v/>
      </c>
      <c r="J18" s="15" t="n"/>
      <c r="K18" s="15" t="n"/>
    </row>
    <row r="19">
      <c r="A19" s="14" t="n"/>
      <c r="B19" s="15" t="n"/>
      <c r="C19" s="15" t="n"/>
      <c r="D19" s="15" t="n"/>
      <c r="E19" s="15" t="n"/>
      <c r="F19" s="16" t="n"/>
      <c r="G19" s="17">
        <f>IF(F19="","",Paramètres!$B$5)</f>
        <v/>
      </c>
      <c r="H19" s="18">
        <f>IF(F19="","",ROUND(F19*G19,2))</f>
        <v/>
      </c>
      <c r="I19" s="19">
        <f>IF(F19="","",F19+H19)</f>
        <v/>
      </c>
      <c r="J19" s="15" t="n"/>
      <c r="K19" s="15" t="n"/>
    </row>
    <row r="20">
      <c r="A20" s="14" t="n"/>
      <c r="B20" s="15" t="n"/>
      <c r="C20" s="15" t="n"/>
      <c r="D20" s="15" t="n"/>
      <c r="E20" s="15" t="n"/>
      <c r="F20" s="16" t="n"/>
      <c r="G20" s="17">
        <f>IF(F20="","",Paramètres!$B$5)</f>
        <v/>
      </c>
      <c r="H20" s="18">
        <f>IF(F20="","",ROUND(F20*G20,2))</f>
        <v/>
      </c>
      <c r="I20" s="19">
        <f>IF(F20="","",F20+H20)</f>
        <v/>
      </c>
      <c r="J20" s="15" t="n"/>
      <c r="K20" s="15" t="n"/>
    </row>
    <row r="21">
      <c r="A21" s="14" t="n"/>
      <c r="B21" s="15" t="n"/>
      <c r="C21" s="15" t="n"/>
      <c r="D21" s="15" t="n"/>
      <c r="E21" s="15" t="n"/>
      <c r="F21" s="16" t="n"/>
      <c r="G21" s="17">
        <f>IF(F21="","",Paramètres!$B$5)</f>
        <v/>
      </c>
      <c r="H21" s="18">
        <f>IF(F21="","",ROUND(F21*G21,2))</f>
        <v/>
      </c>
      <c r="I21" s="19">
        <f>IF(F21="","",F21+H21)</f>
        <v/>
      </c>
      <c r="J21" s="15" t="n"/>
      <c r="K21" s="15" t="n"/>
    </row>
    <row r="22">
      <c r="A22" s="14" t="n"/>
      <c r="B22" s="15" t="n"/>
      <c r="C22" s="15" t="n"/>
      <c r="D22" s="15" t="n"/>
      <c r="E22" s="15" t="n"/>
      <c r="F22" s="16" t="n"/>
      <c r="G22" s="17">
        <f>IF(F22="","",Paramètres!$B$5)</f>
        <v/>
      </c>
      <c r="H22" s="18">
        <f>IF(F22="","",ROUND(F22*G22,2))</f>
        <v/>
      </c>
      <c r="I22" s="19">
        <f>IF(F22="","",F22+H22)</f>
        <v/>
      </c>
      <c r="J22" s="15" t="n"/>
      <c r="K22" s="15" t="n"/>
    </row>
    <row r="23">
      <c r="A23" s="14" t="n"/>
      <c r="B23" s="15" t="n"/>
      <c r="C23" s="15" t="n"/>
      <c r="D23" s="15" t="n"/>
      <c r="E23" s="15" t="n"/>
      <c r="F23" s="16" t="n"/>
      <c r="G23" s="17">
        <f>IF(F23="","",Paramètres!$B$5)</f>
        <v/>
      </c>
      <c r="H23" s="18">
        <f>IF(F23="","",ROUND(F23*G23,2))</f>
        <v/>
      </c>
      <c r="I23" s="19">
        <f>IF(F23="","",F23+H23)</f>
        <v/>
      </c>
      <c r="J23" s="15" t="n"/>
      <c r="K23" s="15" t="n"/>
    </row>
    <row r="24">
      <c r="A24" s="14" t="n"/>
      <c r="B24" s="15" t="n"/>
      <c r="C24" s="15" t="n"/>
      <c r="D24" s="15" t="n"/>
      <c r="E24" s="15" t="n"/>
      <c r="F24" s="16" t="n"/>
      <c r="G24" s="17">
        <f>IF(F24="","",Paramètres!$B$5)</f>
        <v/>
      </c>
      <c r="H24" s="18">
        <f>IF(F24="","",ROUND(F24*G24,2))</f>
        <v/>
      </c>
      <c r="I24" s="19">
        <f>IF(F24="","",F24+H24)</f>
        <v/>
      </c>
      <c r="J24" s="15" t="n"/>
      <c r="K24" s="15" t="n"/>
    </row>
    <row r="25">
      <c r="A25" s="14" t="n"/>
      <c r="B25" s="15" t="n"/>
      <c r="C25" s="15" t="n"/>
      <c r="D25" s="15" t="n"/>
      <c r="E25" s="15" t="n"/>
      <c r="F25" s="16" t="n"/>
      <c r="G25" s="17">
        <f>IF(F25="","",Paramètres!$B$5)</f>
        <v/>
      </c>
      <c r="H25" s="18">
        <f>IF(F25="","",ROUND(F25*G25,2))</f>
        <v/>
      </c>
      <c r="I25" s="19">
        <f>IF(F25="","",F25+H25)</f>
        <v/>
      </c>
      <c r="J25" s="15" t="n"/>
      <c r="K25" s="15" t="n"/>
    </row>
    <row r="26">
      <c r="A26" s="14" t="n"/>
      <c r="B26" s="15" t="n"/>
      <c r="C26" s="15" t="n"/>
      <c r="D26" s="15" t="n"/>
      <c r="E26" s="15" t="n"/>
      <c r="F26" s="16" t="n"/>
      <c r="G26" s="17">
        <f>IF(F26="","",Paramètres!$B$5)</f>
        <v/>
      </c>
      <c r="H26" s="18">
        <f>IF(F26="","",ROUND(F26*G26,2))</f>
        <v/>
      </c>
      <c r="I26" s="19">
        <f>IF(F26="","",F26+H26)</f>
        <v/>
      </c>
      <c r="J26" s="15" t="n"/>
      <c r="K26" s="15" t="n"/>
    </row>
    <row r="27">
      <c r="A27" s="14" t="n"/>
      <c r="B27" s="15" t="n"/>
      <c r="C27" s="15" t="n"/>
      <c r="D27" s="15" t="n"/>
      <c r="E27" s="15" t="n"/>
      <c r="F27" s="16" t="n"/>
      <c r="G27" s="17">
        <f>IF(F27="","",Paramètres!$B$5)</f>
        <v/>
      </c>
      <c r="H27" s="18">
        <f>IF(F27="","",ROUND(F27*G27,2))</f>
        <v/>
      </c>
      <c r="I27" s="19">
        <f>IF(F27="","",F27+H27)</f>
        <v/>
      </c>
      <c r="J27" s="15" t="n"/>
      <c r="K27" s="15" t="n"/>
    </row>
    <row r="28">
      <c r="A28" s="14" t="n"/>
      <c r="B28" s="15" t="n"/>
      <c r="C28" s="15" t="n"/>
      <c r="D28" s="15" t="n"/>
      <c r="E28" s="15" t="n"/>
      <c r="F28" s="16" t="n"/>
      <c r="G28" s="17">
        <f>IF(F28="","",Paramètres!$B$5)</f>
        <v/>
      </c>
      <c r="H28" s="18">
        <f>IF(F28="","",ROUND(F28*G28,2))</f>
        <v/>
      </c>
      <c r="I28" s="19">
        <f>IF(F28="","",F28+H28)</f>
        <v/>
      </c>
      <c r="J28" s="15" t="n"/>
      <c r="K28" s="15" t="n"/>
    </row>
    <row r="29">
      <c r="A29" s="14" t="n"/>
      <c r="B29" s="15" t="n"/>
      <c r="C29" s="15" t="n"/>
      <c r="D29" s="15" t="n"/>
      <c r="E29" s="15" t="n"/>
      <c r="F29" s="16" t="n"/>
      <c r="G29" s="17">
        <f>IF(F29="","",Paramètres!$B$5)</f>
        <v/>
      </c>
      <c r="H29" s="18">
        <f>IF(F29="","",ROUND(F29*G29,2))</f>
        <v/>
      </c>
      <c r="I29" s="19">
        <f>IF(F29="","",F29+H29)</f>
        <v/>
      </c>
      <c r="J29" s="15" t="n"/>
      <c r="K29" s="15" t="n"/>
    </row>
    <row r="30">
      <c r="A30" s="14" t="n"/>
      <c r="B30" s="15" t="n"/>
      <c r="C30" s="15" t="n"/>
      <c r="D30" s="15" t="n"/>
      <c r="E30" s="15" t="n"/>
      <c r="F30" s="16" t="n"/>
      <c r="G30" s="17">
        <f>IF(F30="","",Paramètres!$B$5)</f>
        <v/>
      </c>
      <c r="H30" s="18">
        <f>IF(F30="","",ROUND(F30*G30,2))</f>
        <v/>
      </c>
      <c r="I30" s="19">
        <f>IF(F30="","",F30+H30)</f>
        <v/>
      </c>
      <c r="J30" s="15" t="n"/>
      <c r="K30" s="15" t="n"/>
    </row>
    <row r="31">
      <c r="A31" s="14" t="n"/>
      <c r="B31" s="15" t="n"/>
      <c r="C31" s="15" t="n"/>
      <c r="D31" s="15" t="n"/>
      <c r="E31" s="15" t="n"/>
      <c r="F31" s="16" t="n"/>
      <c r="G31" s="17">
        <f>IF(F31="","",Paramètres!$B$5)</f>
        <v/>
      </c>
      <c r="H31" s="18">
        <f>IF(F31="","",ROUND(F31*G31,2))</f>
        <v/>
      </c>
      <c r="I31" s="19">
        <f>IF(F31="","",F31+H31)</f>
        <v/>
      </c>
      <c r="J31" s="15" t="n"/>
      <c r="K31" s="15" t="n"/>
    </row>
    <row r="32">
      <c r="A32" s="14" t="n"/>
      <c r="B32" s="15" t="n"/>
      <c r="C32" s="15" t="n"/>
      <c r="D32" s="15" t="n"/>
      <c r="E32" s="15" t="n"/>
      <c r="F32" s="16" t="n"/>
      <c r="G32" s="17">
        <f>IF(F32="","",Paramètres!$B$5)</f>
        <v/>
      </c>
      <c r="H32" s="18">
        <f>IF(F32="","",ROUND(F32*G32,2))</f>
        <v/>
      </c>
      <c r="I32" s="19">
        <f>IF(F32="","",F32+H32)</f>
        <v/>
      </c>
      <c r="J32" s="15" t="n"/>
      <c r="K32" s="15" t="n"/>
    </row>
    <row r="33">
      <c r="A33" s="14" t="n"/>
      <c r="B33" s="15" t="n"/>
      <c r="C33" s="15" t="n"/>
      <c r="D33" s="15" t="n"/>
      <c r="E33" s="15" t="n"/>
      <c r="F33" s="16" t="n"/>
      <c r="G33" s="17">
        <f>IF(F33="","",Paramètres!$B$5)</f>
        <v/>
      </c>
      <c r="H33" s="18">
        <f>IF(F33="","",ROUND(F33*G33,2))</f>
        <v/>
      </c>
      <c r="I33" s="19">
        <f>IF(F33="","",F33+H33)</f>
        <v/>
      </c>
      <c r="J33" s="15" t="n"/>
      <c r="K33" s="15" t="n"/>
    </row>
    <row r="34">
      <c r="A34" s="14" t="n"/>
      <c r="B34" s="15" t="n"/>
      <c r="C34" s="15" t="n"/>
      <c r="D34" s="15" t="n"/>
      <c r="E34" s="15" t="n"/>
      <c r="F34" s="16" t="n"/>
      <c r="G34" s="17">
        <f>IF(F34="","",Paramètres!$B$5)</f>
        <v/>
      </c>
      <c r="H34" s="18">
        <f>IF(F34="","",ROUND(F34*G34,2))</f>
        <v/>
      </c>
      <c r="I34" s="19">
        <f>IF(F34="","",F34+H34)</f>
        <v/>
      </c>
      <c r="J34" s="15" t="n"/>
      <c r="K34" s="15" t="n"/>
    </row>
    <row r="35">
      <c r="A35" s="14" t="n"/>
      <c r="B35" s="15" t="n"/>
      <c r="C35" s="15" t="n"/>
      <c r="D35" s="15" t="n"/>
      <c r="E35" s="15" t="n"/>
      <c r="F35" s="16" t="n"/>
      <c r="G35" s="17">
        <f>IF(F35="","",Paramètres!$B$5)</f>
        <v/>
      </c>
      <c r="H35" s="18">
        <f>IF(F35="","",ROUND(F35*G35,2))</f>
        <v/>
      </c>
      <c r="I35" s="19">
        <f>IF(F35="","",F35+H35)</f>
        <v/>
      </c>
      <c r="J35" s="15" t="n"/>
      <c r="K35" s="15" t="n"/>
    </row>
    <row r="36">
      <c r="A36" s="14" t="n"/>
      <c r="B36" s="15" t="n"/>
      <c r="C36" s="15" t="n"/>
      <c r="D36" s="15" t="n"/>
      <c r="E36" s="15" t="n"/>
      <c r="F36" s="16" t="n"/>
      <c r="G36" s="17">
        <f>IF(F36="","",Paramètres!$B$5)</f>
        <v/>
      </c>
      <c r="H36" s="18">
        <f>IF(F36="","",ROUND(F36*G36,2))</f>
        <v/>
      </c>
      <c r="I36" s="19">
        <f>IF(F36="","",F36+H36)</f>
        <v/>
      </c>
      <c r="J36" s="15" t="n"/>
      <c r="K36" s="15" t="n"/>
    </row>
    <row r="37">
      <c r="A37" s="14" t="n"/>
      <c r="B37" s="15" t="n"/>
      <c r="C37" s="15" t="n"/>
      <c r="D37" s="15" t="n"/>
      <c r="E37" s="15" t="n"/>
      <c r="F37" s="16" t="n"/>
      <c r="G37" s="17">
        <f>IF(F37="","",Paramètres!$B$5)</f>
        <v/>
      </c>
      <c r="H37" s="18">
        <f>IF(F37="","",ROUND(F37*G37,2))</f>
        <v/>
      </c>
      <c r="I37" s="19">
        <f>IF(F37="","",F37+H37)</f>
        <v/>
      </c>
      <c r="J37" s="15" t="n"/>
      <c r="K37" s="15" t="n"/>
    </row>
    <row r="38">
      <c r="A38" s="14" t="n"/>
      <c r="B38" s="15" t="n"/>
      <c r="C38" s="15" t="n"/>
      <c r="D38" s="15" t="n"/>
      <c r="E38" s="15" t="n"/>
      <c r="F38" s="16" t="n"/>
      <c r="G38" s="17">
        <f>IF(F38="","",Paramètres!$B$5)</f>
        <v/>
      </c>
      <c r="H38" s="18">
        <f>IF(F38="","",ROUND(F38*G38,2))</f>
        <v/>
      </c>
      <c r="I38" s="19">
        <f>IF(F38="","",F38+H38)</f>
        <v/>
      </c>
      <c r="J38" s="15" t="n"/>
      <c r="K38" s="15" t="n"/>
    </row>
    <row r="39">
      <c r="A39" s="14" t="n"/>
      <c r="B39" s="15" t="n"/>
      <c r="C39" s="15" t="n"/>
      <c r="D39" s="15" t="n"/>
      <c r="E39" s="15" t="n"/>
      <c r="F39" s="16" t="n"/>
      <c r="G39" s="17">
        <f>IF(F39="","",Paramètres!$B$5)</f>
        <v/>
      </c>
      <c r="H39" s="18">
        <f>IF(F39="","",ROUND(F39*G39,2))</f>
        <v/>
      </c>
      <c r="I39" s="19">
        <f>IF(F39="","",F39+H39)</f>
        <v/>
      </c>
      <c r="J39" s="15" t="n"/>
      <c r="K39" s="15" t="n"/>
    </row>
    <row r="40">
      <c r="A40" s="14" t="n"/>
      <c r="B40" s="15" t="n"/>
      <c r="C40" s="15" t="n"/>
      <c r="D40" s="15" t="n"/>
      <c r="E40" s="15" t="n"/>
      <c r="F40" s="16" t="n"/>
      <c r="G40" s="17">
        <f>IF(F40="","",Paramètres!$B$5)</f>
        <v/>
      </c>
      <c r="H40" s="18">
        <f>IF(F40="","",ROUND(F40*G40,2))</f>
        <v/>
      </c>
      <c r="I40" s="19">
        <f>IF(F40="","",F40+H40)</f>
        <v/>
      </c>
      <c r="J40" s="15" t="n"/>
      <c r="K40" s="15" t="n"/>
    </row>
    <row r="41">
      <c r="A41" s="14" t="n"/>
      <c r="B41" s="15" t="n"/>
      <c r="C41" s="15" t="n"/>
      <c r="D41" s="15" t="n"/>
      <c r="E41" s="15" t="n"/>
      <c r="F41" s="16" t="n"/>
      <c r="G41" s="17">
        <f>IF(F41="","",Paramètres!$B$5)</f>
        <v/>
      </c>
      <c r="H41" s="18">
        <f>IF(F41="","",ROUND(F41*G41,2))</f>
        <v/>
      </c>
      <c r="I41" s="19">
        <f>IF(F41="","",F41+H41)</f>
        <v/>
      </c>
      <c r="J41" s="15" t="n"/>
      <c r="K41" s="15" t="n"/>
    </row>
    <row r="42">
      <c r="A42" s="14" t="n"/>
      <c r="B42" s="15" t="n"/>
      <c r="C42" s="15" t="n"/>
      <c r="D42" s="15" t="n"/>
      <c r="E42" s="15" t="n"/>
      <c r="F42" s="16" t="n"/>
      <c r="G42" s="17">
        <f>IF(F42="","",Paramètres!$B$5)</f>
        <v/>
      </c>
      <c r="H42" s="18">
        <f>IF(F42="","",ROUND(F42*G42,2))</f>
        <v/>
      </c>
      <c r="I42" s="19">
        <f>IF(F42="","",F42+H42)</f>
        <v/>
      </c>
      <c r="J42" s="15" t="n"/>
      <c r="K42" s="15" t="n"/>
    </row>
    <row r="43">
      <c r="A43" s="14" t="n"/>
      <c r="B43" s="15" t="n"/>
      <c r="C43" s="15" t="n"/>
      <c r="D43" s="15" t="n"/>
      <c r="E43" s="15" t="n"/>
      <c r="F43" s="16" t="n"/>
      <c r="G43" s="17">
        <f>IF(F43="","",Paramètres!$B$5)</f>
        <v/>
      </c>
      <c r="H43" s="18">
        <f>IF(F43="","",ROUND(F43*G43,2))</f>
        <v/>
      </c>
      <c r="I43" s="19">
        <f>IF(F43="","",F43+H43)</f>
        <v/>
      </c>
      <c r="J43" s="15" t="n"/>
      <c r="K43" s="15" t="n"/>
    </row>
    <row r="44">
      <c r="A44" s="14" t="n"/>
      <c r="B44" s="15" t="n"/>
      <c r="C44" s="15" t="n"/>
      <c r="D44" s="15" t="n"/>
      <c r="E44" s="15" t="n"/>
      <c r="F44" s="16" t="n"/>
      <c r="G44" s="17">
        <f>IF(F44="","",Paramètres!$B$5)</f>
        <v/>
      </c>
      <c r="H44" s="18">
        <f>IF(F44="","",ROUND(F44*G44,2))</f>
        <v/>
      </c>
      <c r="I44" s="19">
        <f>IF(F44="","",F44+H44)</f>
        <v/>
      </c>
      <c r="J44" s="15" t="n"/>
      <c r="K44" s="15" t="n"/>
    </row>
    <row r="45">
      <c r="A45" s="14" t="n"/>
      <c r="B45" s="15" t="n"/>
      <c r="C45" s="15" t="n"/>
      <c r="D45" s="15" t="n"/>
      <c r="E45" s="15" t="n"/>
      <c r="F45" s="16" t="n"/>
      <c r="G45" s="17">
        <f>IF(F45="","",Paramètres!$B$5)</f>
        <v/>
      </c>
      <c r="H45" s="18">
        <f>IF(F45="","",ROUND(F45*G45,2))</f>
        <v/>
      </c>
      <c r="I45" s="19">
        <f>IF(F45="","",F45+H45)</f>
        <v/>
      </c>
      <c r="J45" s="15" t="n"/>
      <c r="K45" s="15" t="n"/>
    </row>
    <row r="46">
      <c r="A46" s="14" t="n"/>
      <c r="B46" s="15" t="n"/>
      <c r="C46" s="15" t="n"/>
      <c r="D46" s="15" t="n"/>
      <c r="E46" s="15" t="n"/>
      <c r="F46" s="16" t="n"/>
      <c r="G46" s="17">
        <f>IF(F46="","",Paramètres!$B$5)</f>
        <v/>
      </c>
      <c r="H46" s="18">
        <f>IF(F46="","",ROUND(F46*G46,2))</f>
        <v/>
      </c>
      <c r="I46" s="19">
        <f>IF(F46="","",F46+H46)</f>
        <v/>
      </c>
      <c r="J46" s="15" t="n"/>
      <c r="K46" s="15" t="n"/>
    </row>
    <row r="47">
      <c r="A47" s="14" t="n"/>
      <c r="B47" s="15" t="n"/>
      <c r="C47" s="15" t="n"/>
      <c r="D47" s="15" t="n"/>
      <c r="E47" s="15" t="n"/>
      <c r="F47" s="16" t="n"/>
      <c r="G47" s="17">
        <f>IF(F47="","",Paramètres!$B$5)</f>
        <v/>
      </c>
      <c r="H47" s="18">
        <f>IF(F47="","",ROUND(F47*G47,2))</f>
        <v/>
      </c>
      <c r="I47" s="19">
        <f>IF(F47="","",F47+H47)</f>
        <v/>
      </c>
      <c r="J47" s="15" t="n"/>
      <c r="K47" s="15" t="n"/>
    </row>
    <row r="48">
      <c r="A48" s="14" t="n"/>
      <c r="B48" s="15" t="n"/>
      <c r="C48" s="15" t="n"/>
      <c r="D48" s="15" t="n"/>
      <c r="E48" s="15" t="n"/>
      <c r="F48" s="16" t="n"/>
      <c r="G48" s="17">
        <f>IF(F48="","",Paramètres!$B$5)</f>
        <v/>
      </c>
      <c r="H48" s="18">
        <f>IF(F48="","",ROUND(F48*G48,2))</f>
        <v/>
      </c>
      <c r="I48" s="19">
        <f>IF(F48="","",F48+H48)</f>
        <v/>
      </c>
      <c r="J48" s="15" t="n"/>
      <c r="K48" s="15" t="n"/>
    </row>
    <row r="49">
      <c r="A49" s="14" t="n"/>
      <c r="B49" s="15" t="n"/>
      <c r="C49" s="15" t="n"/>
      <c r="D49" s="15" t="n"/>
      <c r="E49" s="15" t="n"/>
      <c r="F49" s="16" t="n"/>
      <c r="G49" s="17">
        <f>IF(F49="","",Paramètres!$B$5)</f>
        <v/>
      </c>
      <c r="H49" s="18">
        <f>IF(F49="","",ROUND(F49*G49,2))</f>
        <v/>
      </c>
      <c r="I49" s="19">
        <f>IF(F49="","",F49+H49)</f>
        <v/>
      </c>
      <c r="J49" s="15" t="n"/>
      <c r="K49" s="15" t="n"/>
    </row>
    <row r="50">
      <c r="A50" s="14" t="n"/>
      <c r="B50" s="15" t="n"/>
      <c r="C50" s="15" t="n"/>
      <c r="D50" s="15" t="n"/>
      <c r="E50" s="15" t="n"/>
      <c r="F50" s="16" t="n"/>
      <c r="G50" s="17">
        <f>IF(F50="","",Paramètres!$B$5)</f>
        <v/>
      </c>
      <c r="H50" s="18">
        <f>IF(F50="","",ROUND(F50*G50,2))</f>
        <v/>
      </c>
      <c r="I50" s="19">
        <f>IF(F50="","",F50+H50)</f>
        <v/>
      </c>
      <c r="J50" s="15" t="n"/>
      <c r="K50" s="15" t="n"/>
    </row>
    <row r="51">
      <c r="A51" s="14" t="n"/>
      <c r="B51" s="15" t="n"/>
      <c r="C51" s="15" t="n"/>
      <c r="D51" s="15" t="n"/>
      <c r="E51" s="15" t="n"/>
      <c r="F51" s="16" t="n"/>
      <c r="G51" s="17">
        <f>IF(F51="","",Paramètres!$B$5)</f>
        <v/>
      </c>
      <c r="H51" s="18">
        <f>IF(F51="","",ROUND(F51*G51,2))</f>
        <v/>
      </c>
      <c r="I51" s="19">
        <f>IF(F51="","",F51+H51)</f>
        <v/>
      </c>
      <c r="J51" s="15" t="n"/>
      <c r="K51" s="15" t="n"/>
    </row>
    <row r="52">
      <c r="A52" s="14" t="n"/>
      <c r="B52" s="15" t="n"/>
      <c r="C52" s="15" t="n"/>
      <c r="D52" s="15" t="n"/>
      <c r="E52" s="15" t="n"/>
      <c r="F52" s="16" t="n"/>
      <c r="G52" s="17">
        <f>IF(F52="","",Paramètres!$B$5)</f>
        <v/>
      </c>
      <c r="H52" s="18">
        <f>IF(F52="","",ROUND(F52*G52,2))</f>
        <v/>
      </c>
      <c r="I52" s="19">
        <f>IF(F52="","",F52+H52)</f>
        <v/>
      </c>
      <c r="J52" s="15" t="n"/>
      <c r="K52" s="15" t="n"/>
    </row>
    <row r="53">
      <c r="A53" s="14" t="n"/>
      <c r="B53" s="15" t="n"/>
      <c r="C53" s="15" t="n"/>
      <c r="D53" s="15" t="n"/>
      <c r="E53" s="15" t="n"/>
      <c r="F53" s="16" t="n"/>
      <c r="G53" s="17">
        <f>IF(F53="","",Paramètres!$B$5)</f>
        <v/>
      </c>
      <c r="H53" s="18">
        <f>IF(F53="","",ROUND(F53*G53,2))</f>
        <v/>
      </c>
      <c r="I53" s="19">
        <f>IF(F53="","",F53+H53)</f>
        <v/>
      </c>
      <c r="J53" s="15" t="n"/>
      <c r="K53" s="15" t="n"/>
    </row>
    <row r="54">
      <c r="A54" s="14" t="n"/>
      <c r="B54" s="15" t="n"/>
      <c r="C54" s="15" t="n"/>
      <c r="D54" s="15" t="n"/>
      <c r="E54" s="15" t="n"/>
      <c r="F54" s="16" t="n"/>
      <c r="G54" s="17">
        <f>IF(F54="","",Paramètres!$B$5)</f>
        <v/>
      </c>
      <c r="H54" s="18">
        <f>IF(F54="","",ROUND(F54*G54,2))</f>
        <v/>
      </c>
      <c r="I54" s="19">
        <f>IF(F54="","",F54+H54)</f>
        <v/>
      </c>
      <c r="J54" s="15" t="n"/>
      <c r="K54" s="15" t="n"/>
    </row>
    <row r="55">
      <c r="A55" s="14" t="n"/>
      <c r="B55" s="15" t="n"/>
      <c r="C55" s="15" t="n"/>
      <c r="D55" s="15" t="n"/>
      <c r="E55" s="15" t="n"/>
      <c r="F55" s="16" t="n"/>
      <c r="G55" s="17">
        <f>IF(F55="","",Paramètres!$B$5)</f>
        <v/>
      </c>
      <c r="H55" s="18">
        <f>IF(F55="","",ROUND(F55*G55,2))</f>
        <v/>
      </c>
      <c r="I55" s="19">
        <f>IF(F55="","",F55+H55)</f>
        <v/>
      </c>
      <c r="J55" s="15" t="n"/>
      <c r="K55" s="15" t="n"/>
    </row>
    <row r="56">
      <c r="A56" s="14" t="n"/>
      <c r="B56" s="15" t="n"/>
      <c r="C56" s="15" t="n"/>
      <c r="D56" s="15" t="n"/>
      <c r="E56" s="15" t="n"/>
      <c r="F56" s="16" t="n"/>
      <c r="G56" s="17">
        <f>IF(F56="","",Paramètres!$B$5)</f>
        <v/>
      </c>
      <c r="H56" s="18">
        <f>IF(F56="","",ROUND(F56*G56,2))</f>
        <v/>
      </c>
      <c r="I56" s="19">
        <f>IF(F56="","",F56+H56)</f>
        <v/>
      </c>
      <c r="J56" s="15" t="n"/>
      <c r="K56" s="15" t="n"/>
    </row>
    <row r="57">
      <c r="A57" s="14" t="n"/>
      <c r="B57" s="15" t="n"/>
      <c r="C57" s="15" t="n"/>
      <c r="D57" s="15" t="n"/>
      <c r="E57" s="15" t="n"/>
      <c r="F57" s="16" t="n"/>
      <c r="G57" s="17">
        <f>IF(F57="","",Paramètres!$B$5)</f>
        <v/>
      </c>
      <c r="H57" s="18">
        <f>IF(F57="","",ROUND(F57*G57,2))</f>
        <v/>
      </c>
      <c r="I57" s="19">
        <f>IF(F57="","",F57+H57)</f>
        <v/>
      </c>
      <c r="J57" s="15" t="n"/>
      <c r="K57" s="15" t="n"/>
    </row>
    <row r="58">
      <c r="A58" s="14" t="n"/>
      <c r="B58" s="15" t="n"/>
      <c r="C58" s="15" t="n"/>
      <c r="D58" s="15" t="n"/>
      <c r="E58" s="15" t="n"/>
      <c r="F58" s="16" t="n"/>
      <c r="G58" s="17">
        <f>IF(F58="","",Paramètres!$B$5)</f>
        <v/>
      </c>
      <c r="H58" s="18">
        <f>IF(F58="","",ROUND(F58*G58,2))</f>
        <v/>
      </c>
      <c r="I58" s="19">
        <f>IF(F58="","",F58+H58)</f>
        <v/>
      </c>
      <c r="J58" s="15" t="n"/>
      <c r="K58" s="15" t="n"/>
    </row>
    <row r="59">
      <c r="A59" s="14" t="n"/>
      <c r="B59" s="15" t="n"/>
      <c r="C59" s="15" t="n"/>
      <c r="D59" s="15" t="n"/>
      <c r="E59" s="15" t="n"/>
      <c r="F59" s="16" t="n"/>
      <c r="G59" s="17">
        <f>IF(F59="","",Paramètres!$B$5)</f>
        <v/>
      </c>
      <c r="H59" s="18">
        <f>IF(F59="","",ROUND(F59*G59,2))</f>
        <v/>
      </c>
      <c r="I59" s="19">
        <f>IF(F59="","",F59+H59)</f>
        <v/>
      </c>
      <c r="J59" s="15" t="n"/>
      <c r="K59" s="15" t="n"/>
    </row>
    <row r="60">
      <c r="A60" s="14" t="n"/>
      <c r="B60" s="15" t="n"/>
      <c r="C60" s="15" t="n"/>
      <c r="D60" s="15" t="n"/>
      <c r="E60" s="15" t="n"/>
      <c r="F60" s="16" t="n"/>
      <c r="G60" s="17">
        <f>IF(F60="","",Paramètres!$B$5)</f>
        <v/>
      </c>
      <c r="H60" s="18">
        <f>IF(F60="","",ROUND(F60*G60,2))</f>
        <v/>
      </c>
      <c r="I60" s="19">
        <f>IF(F60="","",F60+H60)</f>
        <v/>
      </c>
      <c r="J60" s="15" t="n"/>
      <c r="K60" s="15" t="n"/>
    </row>
    <row r="61">
      <c r="A61" s="14" t="n"/>
      <c r="B61" s="15" t="n"/>
      <c r="C61" s="15" t="n"/>
      <c r="D61" s="15" t="n"/>
      <c r="E61" s="15" t="n"/>
      <c r="F61" s="16" t="n"/>
      <c r="G61" s="17">
        <f>IF(F61="","",Paramètres!$B$5)</f>
        <v/>
      </c>
      <c r="H61" s="18">
        <f>IF(F61="","",ROUND(F61*G61,2))</f>
        <v/>
      </c>
      <c r="I61" s="19">
        <f>IF(F61="","",F61+H61)</f>
        <v/>
      </c>
      <c r="J61" s="15" t="n"/>
      <c r="K61" s="15" t="n"/>
    </row>
    <row r="62">
      <c r="A62" s="14" t="n"/>
      <c r="B62" s="15" t="n"/>
      <c r="C62" s="15" t="n"/>
      <c r="D62" s="15" t="n"/>
      <c r="E62" s="15" t="n"/>
      <c r="F62" s="16" t="n"/>
      <c r="G62" s="17">
        <f>IF(F62="","",Paramètres!$B$5)</f>
        <v/>
      </c>
      <c r="H62" s="18">
        <f>IF(F62="","",ROUND(F62*G62,2))</f>
        <v/>
      </c>
      <c r="I62" s="19">
        <f>IF(F62="","",F62+H62)</f>
        <v/>
      </c>
      <c r="J62" s="15" t="n"/>
      <c r="K62" s="15" t="n"/>
    </row>
    <row r="63">
      <c r="A63" s="14" t="n"/>
      <c r="B63" s="15" t="n"/>
      <c r="C63" s="15" t="n"/>
      <c r="D63" s="15" t="n"/>
      <c r="E63" s="15" t="n"/>
      <c r="F63" s="16" t="n"/>
      <c r="G63" s="17">
        <f>IF(F63="","",Paramètres!$B$5)</f>
        <v/>
      </c>
      <c r="H63" s="18">
        <f>IF(F63="","",ROUND(F63*G63,2))</f>
        <v/>
      </c>
      <c r="I63" s="19">
        <f>IF(F63="","",F63+H63)</f>
        <v/>
      </c>
      <c r="J63" s="15" t="n"/>
      <c r="K63" s="15" t="n"/>
    </row>
    <row r="64">
      <c r="A64" s="14" t="n"/>
      <c r="B64" s="15" t="n"/>
      <c r="C64" s="15" t="n"/>
      <c r="D64" s="15" t="n"/>
      <c r="E64" s="15" t="n"/>
      <c r="F64" s="16" t="n"/>
      <c r="G64" s="17">
        <f>IF(F64="","",Paramètres!$B$5)</f>
        <v/>
      </c>
      <c r="H64" s="18">
        <f>IF(F64="","",ROUND(F64*G64,2))</f>
        <v/>
      </c>
      <c r="I64" s="19">
        <f>IF(F64="","",F64+H64)</f>
        <v/>
      </c>
      <c r="J64" s="15" t="n"/>
      <c r="K64" s="15" t="n"/>
    </row>
    <row r="65">
      <c r="A65" s="14" t="n"/>
      <c r="B65" s="15" t="n"/>
      <c r="C65" s="15" t="n"/>
      <c r="D65" s="15" t="n"/>
      <c r="E65" s="15" t="n"/>
      <c r="F65" s="16" t="n"/>
      <c r="G65" s="17">
        <f>IF(F65="","",Paramètres!$B$5)</f>
        <v/>
      </c>
      <c r="H65" s="18">
        <f>IF(F65="","",ROUND(F65*G65,2))</f>
        <v/>
      </c>
      <c r="I65" s="19">
        <f>IF(F65="","",F65+H65)</f>
        <v/>
      </c>
      <c r="J65" s="15" t="n"/>
      <c r="K65" s="15" t="n"/>
    </row>
    <row r="66">
      <c r="A66" s="14" t="n"/>
      <c r="B66" s="15" t="n"/>
      <c r="C66" s="15" t="n"/>
      <c r="D66" s="15" t="n"/>
      <c r="E66" s="15" t="n"/>
      <c r="F66" s="16" t="n"/>
      <c r="G66" s="17">
        <f>IF(F66="","",Paramètres!$B$5)</f>
        <v/>
      </c>
      <c r="H66" s="18">
        <f>IF(F66="","",ROUND(F66*G66,2))</f>
        <v/>
      </c>
      <c r="I66" s="19">
        <f>IF(F66="","",F66+H66)</f>
        <v/>
      </c>
      <c r="J66" s="15" t="n"/>
      <c r="K66" s="15" t="n"/>
    </row>
    <row r="67">
      <c r="A67" s="14" t="n"/>
      <c r="B67" s="15" t="n"/>
      <c r="C67" s="15" t="n"/>
      <c r="D67" s="15" t="n"/>
      <c r="E67" s="15" t="n"/>
      <c r="F67" s="16" t="n"/>
      <c r="G67" s="17">
        <f>IF(F67="","",Paramètres!$B$5)</f>
        <v/>
      </c>
      <c r="H67" s="18">
        <f>IF(F67="","",ROUND(F67*G67,2))</f>
        <v/>
      </c>
      <c r="I67" s="19">
        <f>IF(F67="","",F67+H67)</f>
        <v/>
      </c>
      <c r="J67" s="15" t="n"/>
      <c r="K67" s="15" t="n"/>
    </row>
    <row r="68">
      <c r="A68" s="14" t="n"/>
      <c r="B68" s="15" t="n"/>
      <c r="C68" s="15" t="n"/>
      <c r="D68" s="15" t="n"/>
      <c r="E68" s="15" t="n"/>
      <c r="F68" s="16" t="n"/>
      <c r="G68" s="17">
        <f>IF(F68="","",Paramètres!$B$5)</f>
        <v/>
      </c>
      <c r="H68" s="18">
        <f>IF(F68="","",ROUND(F68*G68,2))</f>
        <v/>
      </c>
      <c r="I68" s="19">
        <f>IF(F68="","",F68+H68)</f>
        <v/>
      </c>
      <c r="J68" s="15" t="n"/>
      <c r="K68" s="15" t="n"/>
    </row>
    <row r="69">
      <c r="A69" s="14" t="n"/>
      <c r="B69" s="15" t="n"/>
      <c r="C69" s="15" t="n"/>
      <c r="D69" s="15" t="n"/>
      <c r="E69" s="15" t="n"/>
      <c r="F69" s="16" t="n"/>
      <c r="G69" s="17">
        <f>IF(F69="","",Paramètres!$B$5)</f>
        <v/>
      </c>
      <c r="H69" s="18">
        <f>IF(F69="","",ROUND(F69*G69,2))</f>
        <v/>
      </c>
      <c r="I69" s="19">
        <f>IF(F69="","",F69+H69)</f>
        <v/>
      </c>
      <c r="J69" s="15" t="n"/>
      <c r="K69" s="15" t="n"/>
    </row>
    <row r="70">
      <c r="A70" s="14" t="n"/>
      <c r="B70" s="15" t="n"/>
      <c r="C70" s="15" t="n"/>
      <c r="D70" s="15" t="n"/>
      <c r="E70" s="15" t="n"/>
      <c r="F70" s="16" t="n"/>
      <c r="G70" s="17">
        <f>IF(F70="","",Paramètres!$B$5)</f>
        <v/>
      </c>
      <c r="H70" s="18">
        <f>IF(F70="","",ROUND(F70*G70,2))</f>
        <v/>
      </c>
      <c r="I70" s="19">
        <f>IF(F70="","",F70+H70)</f>
        <v/>
      </c>
      <c r="J70" s="15" t="n"/>
      <c r="K70" s="15" t="n"/>
    </row>
    <row r="71">
      <c r="A71" s="14" t="n"/>
      <c r="B71" s="15" t="n"/>
      <c r="C71" s="15" t="n"/>
      <c r="D71" s="15" t="n"/>
      <c r="E71" s="15" t="n"/>
      <c r="F71" s="16" t="n"/>
      <c r="G71" s="17">
        <f>IF(F71="","",Paramètres!$B$5)</f>
        <v/>
      </c>
      <c r="H71" s="18">
        <f>IF(F71="","",ROUND(F71*G71,2))</f>
        <v/>
      </c>
      <c r="I71" s="19">
        <f>IF(F71="","",F71+H71)</f>
        <v/>
      </c>
      <c r="J71" s="15" t="n"/>
      <c r="K71" s="15" t="n"/>
    </row>
    <row r="72">
      <c r="A72" s="14" t="n"/>
      <c r="B72" s="15" t="n"/>
      <c r="C72" s="15" t="n"/>
      <c r="D72" s="15" t="n"/>
      <c r="E72" s="15" t="n"/>
      <c r="F72" s="16" t="n"/>
      <c r="G72" s="17">
        <f>IF(F72="","",Paramètres!$B$5)</f>
        <v/>
      </c>
      <c r="H72" s="18">
        <f>IF(F72="","",ROUND(F72*G72,2))</f>
        <v/>
      </c>
      <c r="I72" s="19">
        <f>IF(F72="","",F72+H72)</f>
        <v/>
      </c>
      <c r="J72" s="15" t="n"/>
      <c r="K72" s="15" t="n"/>
    </row>
    <row r="73">
      <c r="A73" s="14" t="n"/>
      <c r="B73" s="15" t="n"/>
      <c r="C73" s="15" t="n"/>
      <c r="D73" s="15" t="n"/>
      <c r="E73" s="15" t="n"/>
      <c r="F73" s="16" t="n"/>
      <c r="G73" s="17">
        <f>IF(F73="","",Paramètres!$B$5)</f>
        <v/>
      </c>
      <c r="H73" s="18">
        <f>IF(F73="","",ROUND(F73*G73,2))</f>
        <v/>
      </c>
      <c r="I73" s="19">
        <f>IF(F73="","",F73+H73)</f>
        <v/>
      </c>
      <c r="J73" s="15" t="n"/>
      <c r="K73" s="15" t="n"/>
    </row>
    <row r="74">
      <c r="A74" s="14" t="n"/>
      <c r="B74" s="15" t="n"/>
      <c r="C74" s="15" t="n"/>
      <c r="D74" s="15" t="n"/>
      <c r="E74" s="15" t="n"/>
      <c r="F74" s="16" t="n"/>
      <c r="G74" s="17">
        <f>IF(F74="","",Paramètres!$B$5)</f>
        <v/>
      </c>
      <c r="H74" s="18">
        <f>IF(F74="","",ROUND(F74*G74,2))</f>
        <v/>
      </c>
      <c r="I74" s="19">
        <f>IF(F74="","",F74+H74)</f>
        <v/>
      </c>
      <c r="J74" s="15" t="n"/>
      <c r="K74" s="15" t="n"/>
    </row>
    <row r="75">
      <c r="A75" s="14" t="n"/>
      <c r="B75" s="15" t="n"/>
      <c r="C75" s="15" t="n"/>
      <c r="D75" s="15" t="n"/>
      <c r="E75" s="15" t="n"/>
      <c r="F75" s="16" t="n"/>
      <c r="G75" s="17">
        <f>IF(F75="","",Paramètres!$B$5)</f>
        <v/>
      </c>
      <c r="H75" s="18">
        <f>IF(F75="","",ROUND(F75*G75,2))</f>
        <v/>
      </c>
      <c r="I75" s="19">
        <f>IF(F75="","",F75+H75)</f>
        <v/>
      </c>
      <c r="J75" s="15" t="n"/>
      <c r="K75" s="15" t="n"/>
    </row>
    <row r="76">
      <c r="A76" s="14" t="n"/>
      <c r="B76" s="15" t="n"/>
      <c r="C76" s="15" t="n"/>
      <c r="D76" s="15" t="n"/>
      <c r="E76" s="15" t="n"/>
      <c r="F76" s="16" t="n"/>
      <c r="G76" s="17">
        <f>IF(F76="","",Paramètres!$B$5)</f>
        <v/>
      </c>
      <c r="H76" s="18">
        <f>IF(F76="","",ROUND(F76*G76,2))</f>
        <v/>
      </c>
      <c r="I76" s="19">
        <f>IF(F76="","",F76+H76)</f>
        <v/>
      </c>
      <c r="J76" s="15" t="n"/>
      <c r="K76" s="15" t="n"/>
    </row>
    <row r="77">
      <c r="A77" s="14" t="n"/>
      <c r="B77" s="15" t="n"/>
      <c r="C77" s="15" t="n"/>
      <c r="D77" s="15" t="n"/>
      <c r="E77" s="15" t="n"/>
      <c r="F77" s="16" t="n"/>
      <c r="G77" s="17">
        <f>IF(F77="","",Paramètres!$B$5)</f>
        <v/>
      </c>
      <c r="H77" s="18">
        <f>IF(F77="","",ROUND(F77*G77,2))</f>
        <v/>
      </c>
      <c r="I77" s="19">
        <f>IF(F77="","",F77+H77)</f>
        <v/>
      </c>
      <c r="J77" s="15" t="n"/>
      <c r="K77" s="15" t="n"/>
    </row>
    <row r="78">
      <c r="A78" s="14" t="n"/>
      <c r="B78" s="15" t="n"/>
      <c r="C78" s="15" t="n"/>
      <c r="D78" s="15" t="n"/>
      <c r="E78" s="15" t="n"/>
      <c r="F78" s="16" t="n"/>
      <c r="G78" s="17">
        <f>IF(F78="","",Paramètres!$B$5)</f>
        <v/>
      </c>
      <c r="H78" s="18">
        <f>IF(F78="","",ROUND(F78*G78,2))</f>
        <v/>
      </c>
      <c r="I78" s="19">
        <f>IF(F78="","",F78+H78)</f>
        <v/>
      </c>
      <c r="J78" s="15" t="n"/>
      <c r="K78" s="15" t="n"/>
    </row>
    <row r="79">
      <c r="A79" s="14" t="n"/>
      <c r="B79" s="15" t="n"/>
      <c r="C79" s="15" t="n"/>
      <c r="D79" s="15" t="n"/>
      <c r="E79" s="15" t="n"/>
      <c r="F79" s="16" t="n"/>
      <c r="G79" s="17">
        <f>IF(F79="","",Paramètres!$B$5)</f>
        <v/>
      </c>
      <c r="H79" s="18">
        <f>IF(F79="","",ROUND(F79*G79,2))</f>
        <v/>
      </c>
      <c r="I79" s="19">
        <f>IF(F79="","",F79+H79)</f>
        <v/>
      </c>
      <c r="J79" s="15" t="n"/>
      <c r="K79" s="15" t="n"/>
    </row>
    <row r="80">
      <c r="A80" s="14" t="n"/>
      <c r="B80" s="15" t="n"/>
      <c r="C80" s="15" t="n"/>
      <c r="D80" s="15" t="n"/>
      <c r="E80" s="15" t="n"/>
      <c r="F80" s="16" t="n"/>
      <c r="G80" s="17">
        <f>IF(F80="","",Paramètres!$B$5)</f>
        <v/>
      </c>
      <c r="H80" s="18">
        <f>IF(F80="","",ROUND(F80*G80,2))</f>
        <v/>
      </c>
      <c r="I80" s="19">
        <f>IF(F80="","",F80+H80)</f>
        <v/>
      </c>
      <c r="J80" s="15" t="n"/>
      <c r="K80" s="15" t="n"/>
    </row>
    <row r="81">
      <c r="A81" s="14" t="n"/>
      <c r="B81" s="15" t="n"/>
      <c r="C81" s="15" t="n"/>
      <c r="D81" s="15" t="n"/>
      <c r="E81" s="15" t="n"/>
      <c r="F81" s="16" t="n"/>
      <c r="G81" s="17">
        <f>IF(F81="","",Paramètres!$B$5)</f>
        <v/>
      </c>
      <c r="H81" s="18">
        <f>IF(F81="","",ROUND(F81*G81,2))</f>
        <v/>
      </c>
      <c r="I81" s="19">
        <f>IF(F81="","",F81+H81)</f>
        <v/>
      </c>
      <c r="J81" s="15" t="n"/>
      <c r="K81" s="15" t="n"/>
    </row>
    <row r="82">
      <c r="A82" s="14" t="n"/>
      <c r="B82" s="15" t="n"/>
      <c r="C82" s="15" t="n"/>
      <c r="D82" s="15" t="n"/>
      <c r="E82" s="15" t="n"/>
      <c r="F82" s="16" t="n"/>
      <c r="G82" s="17">
        <f>IF(F82="","",Paramètres!$B$5)</f>
        <v/>
      </c>
      <c r="H82" s="18">
        <f>IF(F82="","",ROUND(F82*G82,2))</f>
        <v/>
      </c>
      <c r="I82" s="19">
        <f>IF(F82="","",F82+H82)</f>
        <v/>
      </c>
      <c r="J82" s="15" t="n"/>
      <c r="K82" s="15" t="n"/>
    </row>
    <row r="83">
      <c r="A83" s="14" t="n"/>
      <c r="B83" s="15" t="n"/>
      <c r="C83" s="15" t="n"/>
      <c r="D83" s="15" t="n"/>
      <c r="E83" s="15" t="n"/>
      <c r="F83" s="16" t="n"/>
      <c r="G83" s="17">
        <f>IF(F83="","",Paramètres!$B$5)</f>
        <v/>
      </c>
      <c r="H83" s="18">
        <f>IF(F83="","",ROUND(F83*G83,2))</f>
        <v/>
      </c>
      <c r="I83" s="19">
        <f>IF(F83="","",F83+H83)</f>
        <v/>
      </c>
      <c r="J83" s="15" t="n"/>
      <c r="K83" s="15" t="n"/>
    </row>
    <row r="84">
      <c r="A84" s="14" t="n"/>
      <c r="B84" s="15" t="n"/>
      <c r="C84" s="15" t="n"/>
      <c r="D84" s="15" t="n"/>
      <c r="E84" s="15" t="n"/>
      <c r="F84" s="16" t="n"/>
      <c r="G84" s="17">
        <f>IF(F84="","",Paramètres!$B$5)</f>
        <v/>
      </c>
      <c r="H84" s="18">
        <f>IF(F84="","",ROUND(F84*G84,2))</f>
        <v/>
      </c>
      <c r="I84" s="19">
        <f>IF(F84="","",F84+H84)</f>
        <v/>
      </c>
      <c r="J84" s="15" t="n"/>
      <c r="K84" s="15" t="n"/>
    </row>
    <row r="85">
      <c r="A85" s="14" t="n"/>
      <c r="B85" s="15" t="n"/>
      <c r="C85" s="15" t="n"/>
      <c r="D85" s="15" t="n"/>
      <c r="E85" s="15" t="n"/>
      <c r="F85" s="16" t="n"/>
      <c r="G85" s="17">
        <f>IF(F85="","",Paramètres!$B$5)</f>
        <v/>
      </c>
      <c r="H85" s="18">
        <f>IF(F85="","",ROUND(F85*G85,2))</f>
        <v/>
      </c>
      <c r="I85" s="19">
        <f>IF(F85="","",F85+H85)</f>
        <v/>
      </c>
      <c r="J85" s="15" t="n"/>
      <c r="K85" s="15" t="n"/>
    </row>
    <row r="86">
      <c r="A86" s="14" t="n"/>
      <c r="B86" s="15" t="n"/>
      <c r="C86" s="15" t="n"/>
      <c r="D86" s="15" t="n"/>
      <c r="E86" s="15" t="n"/>
      <c r="F86" s="16" t="n"/>
      <c r="G86" s="17">
        <f>IF(F86="","",Paramètres!$B$5)</f>
        <v/>
      </c>
      <c r="H86" s="18">
        <f>IF(F86="","",ROUND(F86*G86,2))</f>
        <v/>
      </c>
      <c r="I86" s="19">
        <f>IF(F86="","",F86+H86)</f>
        <v/>
      </c>
      <c r="J86" s="15" t="n"/>
      <c r="K86" s="15" t="n"/>
    </row>
    <row r="87">
      <c r="A87" s="14" t="n"/>
      <c r="B87" s="15" t="n"/>
      <c r="C87" s="15" t="n"/>
      <c r="D87" s="15" t="n"/>
      <c r="E87" s="15" t="n"/>
      <c r="F87" s="16" t="n"/>
      <c r="G87" s="17">
        <f>IF(F87="","",Paramètres!$B$5)</f>
        <v/>
      </c>
      <c r="H87" s="18">
        <f>IF(F87="","",ROUND(F87*G87,2))</f>
        <v/>
      </c>
      <c r="I87" s="19">
        <f>IF(F87="","",F87+H87)</f>
        <v/>
      </c>
      <c r="J87" s="15" t="n"/>
      <c r="K87" s="15" t="n"/>
    </row>
    <row r="88">
      <c r="A88" s="14" t="n"/>
      <c r="B88" s="15" t="n"/>
      <c r="C88" s="15" t="n"/>
      <c r="D88" s="15" t="n"/>
      <c r="E88" s="15" t="n"/>
      <c r="F88" s="16" t="n"/>
      <c r="G88" s="17">
        <f>IF(F88="","",Paramètres!$B$5)</f>
        <v/>
      </c>
      <c r="H88" s="18">
        <f>IF(F88="","",ROUND(F88*G88,2))</f>
        <v/>
      </c>
      <c r="I88" s="19">
        <f>IF(F88="","",F88+H88)</f>
        <v/>
      </c>
      <c r="J88" s="15" t="n"/>
      <c r="K88" s="15" t="n"/>
    </row>
    <row r="89">
      <c r="A89" s="14" t="n"/>
      <c r="B89" s="15" t="n"/>
      <c r="C89" s="15" t="n"/>
      <c r="D89" s="15" t="n"/>
      <c r="E89" s="15" t="n"/>
      <c r="F89" s="16" t="n"/>
      <c r="G89" s="17">
        <f>IF(F89="","",Paramètres!$B$5)</f>
        <v/>
      </c>
      <c r="H89" s="18">
        <f>IF(F89="","",ROUND(F89*G89,2))</f>
        <v/>
      </c>
      <c r="I89" s="19">
        <f>IF(F89="","",F89+H89)</f>
        <v/>
      </c>
      <c r="J89" s="15" t="n"/>
      <c r="K89" s="15" t="n"/>
    </row>
    <row r="90">
      <c r="A90" s="14" t="n"/>
      <c r="B90" s="15" t="n"/>
      <c r="C90" s="15" t="n"/>
      <c r="D90" s="15" t="n"/>
      <c r="E90" s="15" t="n"/>
      <c r="F90" s="16" t="n"/>
      <c r="G90" s="17">
        <f>IF(F90="","",Paramètres!$B$5)</f>
        <v/>
      </c>
      <c r="H90" s="18">
        <f>IF(F90="","",ROUND(F90*G90,2))</f>
        <v/>
      </c>
      <c r="I90" s="19">
        <f>IF(F90="","",F90+H90)</f>
        <v/>
      </c>
      <c r="J90" s="15" t="n"/>
      <c r="K90" s="15" t="n"/>
    </row>
    <row r="91">
      <c r="A91" s="14" t="n"/>
      <c r="B91" s="15" t="n"/>
      <c r="C91" s="15" t="n"/>
      <c r="D91" s="15" t="n"/>
      <c r="E91" s="15" t="n"/>
      <c r="F91" s="16" t="n"/>
      <c r="G91" s="17">
        <f>IF(F91="","",Paramètres!$B$5)</f>
        <v/>
      </c>
      <c r="H91" s="18">
        <f>IF(F91="","",ROUND(F91*G91,2))</f>
        <v/>
      </c>
      <c r="I91" s="19">
        <f>IF(F91="","",F91+H91)</f>
        <v/>
      </c>
      <c r="J91" s="15" t="n"/>
      <c r="K91" s="15" t="n"/>
    </row>
    <row r="92">
      <c r="A92" s="14" t="n"/>
      <c r="B92" s="15" t="n"/>
      <c r="C92" s="15" t="n"/>
      <c r="D92" s="15" t="n"/>
      <c r="E92" s="15" t="n"/>
      <c r="F92" s="16" t="n"/>
      <c r="G92" s="17">
        <f>IF(F92="","",Paramètres!$B$5)</f>
        <v/>
      </c>
      <c r="H92" s="18">
        <f>IF(F92="","",ROUND(F92*G92,2))</f>
        <v/>
      </c>
      <c r="I92" s="19">
        <f>IF(F92="","",F92+H92)</f>
        <v/>
      </c>
      <c r="J92" s="15" t="n"/>
      <c r="K92" s="15" t="n"/>
    </row>
    <row r="93">
      <c r="A93" s="14" t="n"/>
      <c r="B93" s="15" t="n"/>
      <c r="C93" s="15" t="n"/>
      <c r="D93" s="15" t="n"/>
      <c r="E93" s="15" t="n"/>
      <c r="F93" s="16" t="n"/>
      <c r="G93" s="17">
        <f>IF(F93="","",Paramètres!$B$5)</f>
        <v/>
      </c>
      <c r="H93" s="18">
        <f>IF(F93="","",ROUND(F93*G93,2))</f>
        <v/>
      </c>
      <c r="I93" s="19">
        <f>IF(F93="","",F93+H93)</f>
        <v/>
      </c>
      <c r="J93" s="15" t="n"/>
      <c r="K93" s="15" t="n"/>
    </row>
    <row r="94">
      <c r="A94" s="14" t="n"/>
      <c r="B94" s="15" t="n"/>
      <c r="C94" s="15" t="n"/>
      <c r="D94" s="15" t="n"/>
      <c r="E94" s="15" t="n"/>
      <c r="F94" s="16" t="n"/>
      <c r="G94" s="17">
        <f>IF(F94="","",Paramètres!$B$5)</f>
        <v/>
      </c>
      <c r="H94" s="18">
        <f>IF(F94="","",ROUND(F94*G94,2))</f>
        <v/>
      </c>
      <c r="I94" s="19">
        <f>IF(F94="","",F94+H94)</f>
        <v/>
      </c>
      <c r="J94" s="15" t="n"/>
      <c r="K94" s="15" t="n"/>
    </row>
    <row r="95">
      <c r="A95" s="14" t="n"/>
      <c r="B95" s="15" t="n"/>
      <c r="C95" s="15" t="n"/>
      <c r="D95" s="15" t="n"/>
      <c r="E95" s="15" t="n"/>
      <c r="F95" s="16" t="n"/>
      <c r="G95" s="17">
        <f>IF(F95="","",Paramètres!$B$5)</f>
        <v/>
      </c>
      <c r="H95" s="18">
        <f>IF(F95="","",ROUND(F95*G95,2))</f>
        <v/>
      </c>
      <c r="I95" s="19">
        <f>IF(F95="","",F95+H95)</f>
        <v/>
      </c>
      <c r="J95" s="15" t="n"/>
      <c r="K95" s="15" t="n"/>
    </row>
    <row r="96">
      <c r="A96" s="14" t="n"/>
      <c r="B96" s="15" t="n"/>
      <c r="C96" s="15" t="n"/>
      <c r="D96" s="15" t="n"/>
      <c r="E96" s="15" t="n"/>
      <c r="F96" s="16" t="n"/>
      <c r="G96" s="17">
        <f>IF(F96="","",Paramètres!$B$5)</f>
        <v/>
      </c>
      <c r="H96" s="18">
        <f>IF(F96="","",ROUND(F96*G96,2))</f>
        <v/>
      </c>
      <c r="I96" s="19">
        <f>IF(F96="","",F96+H96)</f>
        <v/>
      </c>
      <c r="J96" s="15" t="n"/>
      <c r="K96" s="15" t="n"/>
    </row>
    <row r="97">
      <c r="A97" s="14" t="n"/>
      <c r="B97" s="15" t="n"/>
      <c r="C97" s="15" t="n"/>
      <c r="D97" s="15" t="n"/>
      <c r="E97" s="15" t="n"/>
      <c r="F97" s="16" t="n"/>
      <c r="G97" s="17">
        <f>IF(F97="","",Paramètres!$B$5)</f>
        <v/>
      </c>
      <c r="H97" s="18">
        <f>IF(F97="","",ROUND(F97*G97,2))</f>
        <v/>
      </c>
      <c r="I97" s="19">
        <f>IF(F97="","",F97+H97)</f>
        <v/>
      </c>
      <c r="J97" s="15" t="n"/>
      <c r="K97" s="15" t="n"/>
    </row>
    <row r="98">
      <c r="A98" s="14" t="n"/>
      <c r="B98" s="15" t="n"/>
      <c r="C98" s="15" t="n"/>
      <c r="D98" s="15" t="n"/>
      <c r="E98" s="15" t="n"/>
      <c r="F98" s="16" t="n"/>
      <c r="G98" s="17">
        <f>IF(F98="","",Paramètres!$B$5)</f>
        <v/>
      </c>
      <c r="H98" s="18">
        <f>IF(F98="","",ROUND(F98*G98,2))</f>
        <v/>
      </c>
      <c r="I98" s="19">
        <f>IF(F98="","",F98+H98)</f>
        <v/>
      </c>
      <c r="J98" s="15" t="n"/>
      <c r="K98" s="15" t="n"/>
    </row>
    <row r="99">
      <c r="A99" s="14" t="n"/>
      <c r="B99" s="15" t="n"/>
      <c r="C99" s="15" t="n"/>
      <c r="D99" s="15" t="n"/>
      <c r="E99" s="15" t="n"/>
      <c r="F99" s="16" t="n"/>
      <c r="G99" s="17">
        <f>IF(F99="","",Paramètres!$B$5)</f>
        <v/>
      </c>
      <c r="H99" s="18">
        <f>IF(F99="","",ROUND(F99*G99,2))</f>
        <v/>
      </c>
      <c r="I99" s="19">
        <f>IF(F99="","",F99+H99)</f>
        <v/>
      </c>
      <c r="J99" s="15" t="n"/>
      <c r="K99" s="15" t="n"/>
    </row>
    <row r="100">
      <c r="A100" s="14" t="n"/>
      <c r="B100" s="15" t="n"/>
      <c r="C100" s="15" t="n"/>
      <c r="D100" s="15" t="n"/>
      <c r="E100" s="15" t="n"/>
      <c r="F100" s="16" t="n"/>
      <c r="G100" s="17">
        <f>IF(F100="","",Paramètres!$B$5)</f>
        <v/>
      </c>
      <c r="H100" s="18">
        <f>IF(F100="","",ROUND(F100*G100,2))</f>
        <v/>
      </c>
      <c r="I100" s="19">
        <f>IF(F100="","",F100+H100)</f>
        <v/>
      </c>
      <c r="J100" s="15" t="n"/>
      <c r="K100" s="15" t="n"/>
    </row>
    <row r="101">
      <c r="A101" s="14" t="n"/>
      <c r="B101" s="15" t="n"/>
      <c r="C101" s="15" t="n"/>
      <c r="D101" s="15" t="n"/>
      <c r="E101" s="15" t="n"/>
      <c r="F101" s="16" t="n"/>
      <c r="G101" s="17">
        <f>IF(F101="","",Paramètres!$B$5)</f>
        <v/>
      </c>
      <c r="H101" s="18">
        <f>IF(F101="","",ROUND(F101*G101,2))</f>
        <v/>
      </c>
      <c r="I101" s="19">
        <f>IF(F101="","",F101+H101)</f>
        <v/>
      </c>
      <c r="J101" s="15" t="n"/>
      <c r="K101" s="15" t="n"/>
    </row>
    <row r="102">
      <c r="A102" s="14" t="n"/>
      <c r="B102" s="15" t="n"/>
      <c r="C102" s="15" t="n"/>
      <c r="D102" s="15" t="n"/>
      <c r="E102" s="15" t="n"/>
      <c r="F102" s="16" t="n"/>
      <c r="G102" s="17">
        <f>IF(F102="","",Paramètres!$B$5)</f>
        <v/>
      </c>
      <c r="H102" s="18">
        <f>IF(F102="","",ROUND(F102*G102,2))</f>
        <v/>
      </c>
      <c r="I102" s="19">
        <f>IF(F102="","",F102+H102)</f>
        <v/>
      </c>
      <c r="J102" s="15" t="n"/>
      <c r="K102" s="15" t="n"/>
    </row>
    <row r="103">
      <c r="A103" s="14" t="n"/>
      <c r="B103" s="15" t="n"/>
      <c r="C103" s="15" t="n"/>
      <c r="D103" s="15" t="n"/>
      <c r="E103" s="15" t="n"/>
      <c r="F103" s="16" t="n"/>
      <c r="G103" s="17">
        <f>IF(F103="","",Paramètres!$B$5)</f>
        <v/>
      </c>
      <c r="H103" s="18">
        <f>IF(F103="","",ROUND(F103*G103,2))</f>
        <v/>
      </c>
      <c r="I103" s="19">
        <f>IF(F103="","",F103+H103)</f>
        <v/>
      </c>
      <c r="J103" s="15" t="n"/>
      <c r="K103" s="15" t="n"/>
    </row>
    <row r="104">
      <c r="A104" s="14" t="n"/>
      <c r="B104" s="15" t="n"/>
      <c r="C104" s="15" t="n"/>
      <c r="D104" s="15" t="n"/>
      <c r="E104" s="15" t="n"/>
      <c r="F104" s="16" t="n"/>
      <c r="G104" s="17">
        <f>IF(F104="","",Paramètres!$B$5)</f>
        <v/>
      </c>
      <c r="H104" s="18">
        <f>IF(F104="","",ROUND(F104*G104,2))</f>
        <v/>
      </c>
      <c r="I104" s="19">
        <f>IF(F104="","",F104+H104)</f>
        <v/>
      </c>
      <c r="J104" s="15" t="n"/>
      <c r="K104" s="15" t="n"/>
    </row>
    <row r="105">
      <c r="A105" s="14" t="n"/>
      <c r="B105" s="15" t="n"/>
      <c r="C105" s="15" t="n"/>
      <c r="D105" s="15" t="n"/>
      <c r="E105" s="15" t="n"/>
      <c r="F105" s="16" t="n"/>
      <c r="G105" s="17">
        <f>IF(F105="","",Paramètres!$B$5)</f>
        <v/>
      </c>
      <c r="H105" s="18">
        <f>IF(F105="","",ROUND(F105*G105,2))</f>
        <v/>
      </c>
      <c r="I105" s="19">
        <f>IF(F105="","",F105+H105)</f>
        <v/>
      </c>
      <c r="J105" s="15" t="n"/>
      <c r="K105" s="15" t="n"/>
    </row>
    <row r="106">
      <c r="A106" s="14" t="n"/>
      <c r="B106" s="15" t="n"/>
      <c r="C106" s="15" t="n"/>
      <c r="D106" s="15" t="n"/>
      <c r="E106" s="15" t="n"/>
      <c r="F106" s="16" t="n"/>
      <c r="G106" s="17">
        <f>IF(F106="","",Paramètres!$B$5)</f>
        <v/>
      </c>
      <c r="H106" s="18">
        <f>IF(F106="","",ROUND(F106*G106,2))</f>
        <v/>
      </c>
      <c r="I106" s="19">
        <f>IF(F106="","",F106+H106)</f>
        <v/>
      </c>
      <c r="J106" s="15" t="n"/>
      <c r="K106" s="15" t="n"/>
    </row>
    <row r="107">
      <c r="A107" s="14" t="n"/>
      <c r="B107" s="15" t="n"/>
      <c r="C107" s="15" t="n"/>
      <c r="D107" s="15" t="n"/>
      <c r="E107" s="15" t="n"/>
      <c r="F107" s="16" t="n"/>
      <c r="G107" s="17">
        <f>IF(F107="","",Paramètres!$B$5)</f>
        <v/>
      </c>
      <c r="H107" s="18">
        <f>IF(F107="","",ROUND(F107*G107,2))</f>
        <v/>
      </c>
      <c r="I107" s="19">
        <f>IF(F107="","",F107+H107)</f>
        <v/>
      </c>
      <c r="J107" s="15" t="n"/>
      <c r="K107" s="15" t="n"/>
    </row>
    <row r="108">
      <c r="A108" s="14" t="n"/>
      <c r="B108" s="15" t="n"/>
      <c r="C108" s="15" t="n"/>
      <c r="D108" s="15" t="n"/>
      <c r="E108" s="15" t="n"/>
      <c r="F108" s="16" t="n"/>
      <c r="G108" s="17">
        <f>IF(F108="","",Paramètres!$B$5)</f>
        <v/>
      </c>
      <c r="H108" s="18">
        <f>IF(F108="","",ROUND(F108*G108,2))</f>
        <v/>
      </c>
      <c r="I108" s="19">
        <f>IF(F108="","",F108+H108)</f>
        <v/>
      </c>
      <c r="J108" s="15" t="n"/>
      <c r="K108" s="15" t="n"/>
    </row>
    <row r="109">
      <c r="A109" s="14" t="n"/>
      <c r="B109" s="15" t="n"/>
      <c r="C109" s="15" t="n"/>
      <c r="D109" s="15" t="n"/>
      <c r="E109" s="15" t="n"/>
      <c r="F109" s="16" t="n"/>
      <c r="G109" s="17">
        <f>IF(F109="","",Paramètres!$B$5)</f>
        <v/>
      </c>
      <c r="H109" s="18">
        <f>IF(F109="","",ROUND(F109*G109,2))</f>
        <v/>
      </c>
      <c r="I109" s="19">
        <f>IF(F109="","",F109+H109)</f>
        <v/>
      </c>
      <c r="J109" s="15" t="n"/>
      <c r="K109" s="15" t="n"/>
    </row>
    <row r="110">
      <c r="A110" s="14" t="n"/>
      <c r="B110" s="15" t="n"/>
      <c r="C110" s="15" t="n"/>
      <c r="D110" s="15" t="n"/>
      <c r="E110" s="15" t="n"/>
      <c r="F110" s="16" t="n"/>
      <c r="G110" s="17">
        <f>IF(F110="","",Paramètres!$B$5)</f>
        <v/>
      </c>
      <c r="H110" s="18">
        <f>IF(F110="","",ROUND(F110*G110,2))</f>
        <v/>
      </c>
      <c r="I110" s="19">
        <f>IF(F110="","",F110+H110)</f>
        <v/>
      </c>
      <c r="J110" s="15" t="n"/>
      <c r="K110" s="15" t="n"/>
    </row>
    <row r="111">
      <c r="A111" s="14" t="n"/>
      <c r="B111" s="15" t="n"/>
      <c r="C111" s="15" t="n"/>
      <c r="D111" s="15" t="n"/>
      <c r="E111" s="15" t="n"/>
      <c r="F111" s="16" t="n"/>
      <c r="G111" s="17">
        <f>IF(F111="","",Paramètres!$B$5)</f>
        <v/>
      </c>
      <c r="H111" s="18">
        <f>IF(F111="","",ROUND(F111*G111,2))</f>
        <v/>
      </c>
      <c r="I111" s="19">
        <f>IF(F111="","",F111+H111)</f>
        <v/>
      </c>
      <c r="J111" s="15" t="n"/>
      <c r="K111" s="15" t="n"/>
    </row>
    <row r="112">
      <c r="A112" s="14" t="n"/>
      <c r="B112" s="15" t="n"/>
      <c r="C112" s="15" t="n"/>
      <c r="D112" s="15" t="n"/>
      <c r="E112" s="15" t="n"/>
      <c r="F112" s="16" t="n"/>
      <c r="G112" s="17">
        <f>IF(F112="","",Paramètres!$B$5)</f>
        <v/>
      </c>
      <c r="H112" s="18">
        <f>IF(F112="","",ROUND(F112*G112,2))</f>
        <v/>
      </c>
      <c r="I112" s="19">
        <f>IF(F112="","",F112+H112)</f>
        <v/>
      </c>
      <c r="J112" s="15" t="n"/>
      <c r="K112" s="15" t="n"/>
    </row>
    <row r="113">
      <c r="A113" s="14" t="n"/>
      <c r="B113" s="15" t="n"/>
      <c r="C113" s="15" t="n"/>
      <c r="D113" s="15" t="n"/>
      <c r="E113" s="15" t="n"/>
      <c r="F113" s="16" t="n"/>
      <c r="G113" s="17">
        <f>IF(F113="","",Paramètres!$B$5)</f>
        <v/>
      </c>
      <c r="H113" s="18">
        <f>IF(F113="","",ROUND(F113*G113,2))</f>
        <v/>
      </c>
      <c r="I113" s="19">
        <f>IF(F113="","",F113+H113)</f>
        <v/>
      </c>
      <c r="J113" s="15" t="n"/>
      <c r="K113" s="15" t="n"/>
    </row>
    <row r="114">
      <c r="A114" s="14" t="n"/>
      <c r="B114" s="15" t="n"/>
      <c r="C114" s="15" t="n"/>
      <c r="D114" s="15" t="n"/>
      <c r="E114" s="15" t="n"/>
      <c r="F114" s="16" t="n"/>
      <c r="G114" s="17">
        <f>IF(F114="","",Paramètres!$B$5)</f>
        <v/>
      </c>
      <c r="H114" s="18">
        <f>IF(F114="","",ROUND(F114*G114,2))</f>
        <v/>
      </c>
      <c r="I114" s="19">
        <f>IF(F114="","",F114+H114)</f>
        <v/>
      </c>
      <c r="J114" s="15" t="n"/>
      <c r="K114" s="15" t="n"/>
    </row>
    <row r="115">
      <c r="A115" s="14" t="n"/>
      <c r="B115" s="15" t="n"/>
      <c r="C115" s="15" t="n"/>
      <c r="D115" s="15" t="n"/>
      <c r="E115" s="15" t="n"/>
      <c r="F115" s="16" t="n"/>
      <c r="G115" s="17">
        <f>IF(F115="","",Paramètres!$B$5)</f>
        <v/>
      </c>
      <c r="H115" s="18">
        <f>IF(F115="","",ROUND(F115*G115,2))</f>
        <v/>
      </c>
      <c r="I115" s="19">
        <f>IF(F115="","",F115+H115)</f>
        <v/>
      </c>
      <c r="J115" s="15" t="n"/>
      <c r="K115" s="15" t="n"/>
    </row>
    <row r="116">
      <c r="A116" s="14" t="n"/>
      <c r="B116" s="15" t="n"/>
      <c r="C116" s="15" t="n"/>
      <c r="D116" s="15" t="n"/>
      <c r="E116" s="15" t="n"/>
      <c r="F116" s="16" t="n"/>
      <c r="G116" s="17">
        <f>IF(F116="","",Paramètres!$B$5)</f>
        <v/>
      </c>
      <c r="H116" s="18">
        <f>IF(F116="","",ROUND(F116*G116,2))</f>
        <v/>
      </c>
      <c r="I116" s="19">
        <f>IF(F116="","",F116+H116)</f>
        <v/>
      </c>
      <c r="J116" s="15" t="n"/>
      <c r="K116" s="15" t="n"/>
    </row>
    <row r="117">
      <c r="A117" s="14" t="n"/>
      <c r="B117" s="15" t="n"/>
      <c r="C117" s="15" t="n"/>
      <c r="D117" s="15" t="n"/>
      <c r="E117" s="15" t="n"/>
      <c r="F117" s="16" t="n"/>
      <c r="G117" s="17">
        <f>IF(F117="","",Paramètres!$B$5)</f>
        <v/>
      </c>
      <c r="H117" s="18">
        <f>IF(F117="","",ROUND(F117*G117,2))</f>
        <v/>
      </c>
      <c r="I117" s="19">
        <f>IF(F117="","",F117+H117)</f>
        <v/>
      </c>
      <c r="J117" s="15" t="n"/>
      <c r="K117" s="15" t="n"/>
    </row>
    <row r="118">
      <c r="A118" s="14" t="n"/>
      <c r="B118" s="15" t="n"/>
      <c r="C118" s="15" t="n"/>
      <c r="D118" s="15" t="n"/>
      <c r="E118" s="15" t="n"/>
      <c r="F118" s="16" t="n"/>
      <c r="G118" s="17">
        <f>IF(F118="","",Paramètres!$B$5)</f>
        <v/>
      </c>
      <c r="H118" s="18">
        <f>IF(F118="","",ROUND(F118*G118,2))</f>
        <v/>
      </c>
      <c r="I118" s="19">
        <f>IF(F118="","",F118+H118)</f>
        <v/>
      </c>
      <c r="J118" s="15" t="n"/>
      <c r="K118" s="15" t="n"/>
    </row>
    <row r="119">
      <c r="A119" s="14" t="n"/>
      <c r="B119" s="15" t="n"/>
      <c r="C119" s="15" t="n"/>
      <c r="D119" s="15" t="n"/>
      <c r="E119" s="15" t="n"/>
      <c r="F119" s="16" t="n"/>
      <c r="G119" s="17">
        <f>IF(F119="","",Paramètres!$B$5)</f>
        <v/>
      </c>
      <c r="H119" s="18">
        <f>IF(F119="","",ROUND(F119*G119,2))</f>
        <v/>
      </c>
      <c r="I119" s="19">
        <f>IF(F119="","",F119+H119)</f>
        <v/>
      </c>
      <c r="J119" s="15" t="n"/>
      <c r="K119" s="15" t="n"/>
    </row>
    <row r="120">
      <c r="A120" s="14" t="n"/>
      <c r="B120" s="15" t="n"/>
      <c r="C120" s="15" t="n"/>
      <c r="D120" s="15" t="n"/>
      <c r="E120" s="15" t="n"/>
      <c r="F120" s="16" t="n"/>
      <c r="G120" s="17">
        <f>IF(F120="","",Paramètres!$B$5)</f>
        <v/>
      </c>
      <c r="H120" s="18">
        <f>IF(F120="","",ROUND(F120*G120,2))</f>
        <v/>
      </c>
      <c r="I120" s="19">
        <f>IF(F120="","",F120+H120)</f>
        <v/>
      </c>
      <c r="J120" s="15" t="n"/>
      <c r="K120" s="15" t="n"/>
    </row>
    <row r="121">
      <c r="A121" s="14" t="n"/>
      <c r="B121" s="15" t="n"/>
      <c r="C121" s="15" t="n"/>
      <c r="D121" s="15" t="n"/>
      <c r="E121" s="15" t="n"/>
      <c r="F121" s="16" t="n"/>
      <c r="G121" s="17">
        <f>IF(F121="","",Paramètres!$B$5)</f>
        <v/>
      </c>
      <c r="H121" s="18">
        <f>IF(F121="","",ROUND(F121*G121,2))</f>
        <v/>
      </c>
      <c r="I121" s="19">
        <f>IF(F121="","",F121+H121)</f>
        <v/>
      </c>
      <c r="J121" s="15" t="n"/>
      <c r="K121" s="15" t="n"/>
    </row>
    <row r="122">
      <c r="A122" s="14" t="n"/>
      <c r="B122" s="15" t="n"/>
      <c r="C122" s="15" t="n"/>
      <c r="D122" s="15" t="n"/>
      <c r="E122" s="15" t="n"/>
      <c r="F122" s="16" t="n"/>
      <c r="G122" s="17">
        <f>IF(F122="","",Paramètres!$B$5)</f>
        <v/>
      </c>
      <c r="H122" s="18">
        <f>IF(F122="","",ROUND(F122*G122,2))</f>
        <v/>
      </c>
      <c r="I122" s="19">
        <f>IF(F122="","",F122+H122)</f>
        <v/>
      </c>
      <c r="J122" s="15" t="n"/>
      <c r="K122" s="15" t="n"/>
    </row>
    <row r="123">
      <c r="A123" s="14" t="n"/>
      <c r="B123" s="15" t="n"/>
      <c r="C123" s="15" t="n"/>
      <c r="D123" s="15" t="n"/>
      <c r="E123" s="15" t="n"/>
      <c r="F123" s="16" t="n"/>
      <c r="G123" s="17">
        <f>IF(F123="","",Paramètres!$B$5)</f>
        <v/>
      </c>
      <c r="H123" s="18">
        <f>IF(F123="","",ROUND(F123*G123,2))</f>
        <v/>
      </c>
      <c r="I123" s="19">
        <f>IF(F123="","",F123+H123)</f>
        <v/>
      </c>
      <c r="J123" s="15" t="n"/>
      <c r="K123" s="15" t="n"/>
    </row>
    <row r="124">
      <c r="A124" s="14" t="n"/>
      <c r="B124" s="15" t="n"/>
      <c r="C124" s="15" t="n"/>
      <c r="D124" s="15" t="n"/>
      <c r="E124" s="15" t="n"/>
      <c r="F124" s="16" t="n"/>
      <c r="G124" s="17">
        <f>IF(F124="","",Paramètres!$B$5)</f>
        <v/>
      </c>
      <c r="H124" s="18">
        <f>IF(F124="","",ROUND(F124*G124,2))</f>
        <v/>
      </c>
      <c r="I124" s="19">
        <f>IF(F124="","",F124+H124)</f>
        <v/>
      </c>
      <c r="J124" s="15" t="n"/>
      <c r="K124" s="15" t="n"/>
    </row>
    <row r="125">
      <c r="A125" s="14" t="n"/>
      <c r="B125" s="15" t="n"/>
      <c r="C125" s="15" t="n"/>
      <c r="D125" s="15" t="n"/>
      <c r="E125" s="15" t="n"/>
      <c r="F125" s="16" t="n"/>
      <c r="G125" s="17">
        <f>IF(F125="","",Paramètres!$B$5)</f>
        <v/>
      </c>
      <c r="H125" s="18">
        <f>IF(F125="","",ROUND(F125*G125,2))</f>
        <v/>
      </c>
      <c r="I125" s="19">
        <f>IF(F125="","",F125+H125)</f>
        <v/>
      </c>
      <c r="J125" s="15" t="n"/>
      <c r="K125" s="15" t="n"/>
    </row>
    <row r="126">
      <c r="A126" s="14" t="n"/>
      <c r="B126" s="15" t="n"/>
      <c r="C126" s="15" t="n"/>
      <c r="D126" s="15" t="n"/>
      <c r="E126" s="15" t="n"/>
      <c r="F126" s="16" t="n"/>
      <c r="G126" s="17">
        <f>IF(F126="","",Paramètres!$B$5)</f>
        <v/>
      </c>
      <c r="H126" s="18">
        <f>IF(F126="","",ROUND(F126*G126,2))</f>
        <v/>
      </c>
      <c r="I126" s="19">
        <f>IF(F126="","",F126+H126)</f>
        <v/>
      </c>
      <c r="J126" s="15" t="n"/>
      <c r="K126" s="15" t="n"/>
    </row>
    <row r="127">
      <c r="A127" s="14" t="n"/>
      <c r="B127" s="15" t="n"/>
      <c r="C127" s="15" t="n"/>
      <c r="D127" s="15" t="n"/>
      <c r="E127" s="15" t="n"/>
      <c r="F127" s="16" t="n"/>
      <c r="G127" s="17">
        <f>IF(F127="","",Paramètres!$B$5)</f>
        <v/>
      </c>
      <c r="H127" s="18">
        <f>IF(F127="","",ROUND(F127*G127,2))</f>
        <v/>
      </c>
      <c r="I127" s="19">
        <f>IF(F127="","",F127+H127)</f>
        <v/>
      </c>
      <c r="J127" s="15" t="n"/>
      <c r="K127" s="15" t="n"/>
    </row>
    <row r="128">
      <c r="A128" s="14" t="n"/>
      <c r="B128" s="15" t="n"/>
      <c r="C128" s="15" t="n"/>
      <c r="D128" s="15" t="n"/>
      <c r="E128" s="15" t="n"/>
      <c r="F128" s="16" t="n"/>
      <c r="G128" s="17">
        <f>IF(F128="","",Paramètres!$B$5)</f>
        <v/>
      </c>
      <c r="H128" s="18">
        <f>IF(F128="","",ROUND(F128*G128,2))</f>
        <v/>
      </c>
      <c r="I128" s="19">
        <f>IF(F128="","",F128+H128)</f>
        <v/>
      </c>
      <c r="J128" s="15" t="n"/>
      <c r="K128" s="15" t="n"/>
    </row>
    <row r="129">
      <c r="A129" s="14" t="n"/>
      <c r="B129" s="15" t="n"/>
      <c r="C129" s="15" t="n"/>
      <c r="D129" s="15" t="n"/>
      <c r="E129" s="15" t="n"/>
      <c r="F129" s="16" t="n"/>
      <c r="G129" s="17">
        <f>IF(F129="","",Paramètres!$B$5)</f>
        <v/>
      </c>
      <c r="H129" s="18">
        <f>IF(F129="","",ROUND(F129*G129,2))</f>
        <v/>
      </c>
      <c r="I129" s="19">
        <f>IF(F129="","",F129+H129)</f>
        <v/>
      </c>
      <c r="J129" s="15" t="n"/>
      <c r="K129" s="15" t="n"/>
    </row>
    <row r="130">
      <c r="A130" s="14" t="n"/>
      <c r="B130" s="15" t="n"/>
      <c r="C130" s="15" t="n"/>
      <c r="D130" s="15" t="n"/>
      <c r="E130" s="15" t="n"/>
      <c r="F130" s="16" t="n"/>
      <c r="G130" s="17">
        <f>IF(F130="","",Paramètres!$B$5)</f>
        <v/>
      </c>
      <c r="H130" s="18">
        <f>IF(F130="","",ROUND(F130*G130,2))</f>
        <v/>
      </c>
      <c r="I130" s="19">
        <f>IF(F130="","",F130+H130)</f>
        <v/>
      </c>
      <c r="J130" s="15" t="n"/>
      <c r="K130" s="15" t="n"/>
    </row>
    <row r="131">
      <c r="A131" s="14" t="n"/>
      <c r="B131" s="15" t="n"/>
      <c r="C131" s="15" t="n"/>
      <c r="D131" s="15" t="n"/>
      <c r="E131" s="15" t="n"/>
      <c r="F131" s="16" t="n"/>
      <c r="G131" s="17">
        <f>IF(F131="","",Paramètres!$B$5)</f>
        <v/>
      </c>
      <c r="H131" s="18">
        <f>IF(F131="","",ROUND(F131*G131,2))</f>
        <v/>
      </c>
      <c r="I131" s="19">
        <f>IF(F131="","",F131+H131)</f>
        <v/>
      </c>
      <c r="J131" s="15" t="n"/>
      <c r="K131" s="15" t="n"/>
    </row>
    <row r="132">
      <c r="A132" s="14" t="n"/>
      <c r="B132" s="15" t="n"/>
      <c r="C132" s="15" t="n"/>
      <c r="D132" s="15" t="n"/>
      <c r="E132" s="15" t="n"/>
      <c r="F132" s="16" t="n"/>
      <c r="G132" s="17">
        <f>IF(F132="","",Paramètres!$B$5)</f>
        <v/>
      </c>
      <c r="H132" s="18">
        <f>IF(F132="","",ROUND(F132*G132,2))</f>
        <v/>
      </c>
      <c r="I132" s="19">
        <f>IF(F132="","",F132+H132)</f>
        <v/>
      </c>
      <c r="J132" s="15" t="n"/>
      <c r="K132" s="15" t="n"/>
    </row>
    <row r="133">
      <c r="A133" s="14" t="n"/>
      <c r="B133" s="15" t="n"/>
      <c r="C133" s="15" t="n"/>
      <c r="D133" s="15" t="n"/>
      <c r="E133" s="15" t="n"/>
      <c r="F133" s="16" t="n"/>
      <c r="G133" s="17">
        <f>IF(F133="","",Paramètres!$B$5)</f>
        <v/>
      </c>
      <c r="H133" s="18">
        <f>IF(F133="","",ROUND(F133*G133,2))</f>
        <v/>
      </c>
      <c r="I133" s="19">
        <f>IF(F133="","",F133+H133)</f>
        <v/>
      </c>
      <c r="J133" s="15" t="n"/>
      <c r="K133" s="15" t="n"/>
    </row>
    <row r="134">
      <c r="A134" s="14" t="n"/>
      <c r="B134" s="15" t="n"/>
      <c r="C134" s="15" t="n"/>
      <c r="D134" s="15" t="n"/>
      <c r="E134" s="15" t="n"/>
      <c r="F134" s="16" t="n"/>
      <c r="G134" s="17">
        <f>IF(F134="","",Paramètres!$B$5)</f>
        <v/>
      </c>
      <c r="H134" s="18">
        <f>IF(F134="","",ROUND(F134*G134,2))</f>
        <v/>
      </c>
      <c r="I134" s="19">
        <f>IF(F134="","",F134+H134)</f>
        <v/>
      </c>
      <c r="J134" s="15" t="n"/>
      <c r="K134" s="15" t="n"/>
    </row>
    <row r="135">
      <c r="A135" s="14" t="n"/>
      <c r="B135" s="15" t="n"/>
      <c r="C135" s="15" t="n"/>
      <c r="D135" s="15" t="n"/>
      <c r="E135" s="15" t="n"/>
      <c r="F135" s="16" t="n"/>
      <c r="G135" s="17">
        <f>IF(F135="","",Paramètres!$B$5)</f>
        <v/>
      </c>
      <c r="H135" s="18">
        <f>IF(F135="","",ROUND(F135*G135,2))</f>
        <v/>
      </c>
      <c r="I135" s="19">
        <f>IF(F135="","",F135+H135)</f>
        <v/>
      </c>
      <c r="J135" s="15" t="n"/>
      <c r="K135" s="15" t="n"/>
    </row>
    <row r="136">
      <c r="A136" s="14" t="n"/>
      <c r="B136" s="15" t="n"/>
      <c r="C136" s="15" t="n"/>
      <c r="D136" s="15" t="n"/>
      <c r="E136" s="15" t="n"/>
      <c r="F136" s="16" t="n"/>
      <c r="G136" s="17">
        <f>IF(F136="","",Paramètres!$B$5)</f>
        <v/>
      </c>
      <c r="H136" s="18">
        <f>IF(F136="","",ROUND(F136*G136,2))</f>
        <v/>
      </c>
      <c r="I136" s="19">
        <f>IF(F136="","",F136+H136)</f>
        <v/>
      </c>
      <c r="J136" s="15" t="n"/>
      <c r="K136" s="15" t="n"/>
    </row>
    <row r="137">
      <c r="A137" s="14" t="n"/>
      <c r="B137" s="15" t="n"/>
      <c r="C137" s="15" t="n"/>
      <c r="D137" s="15" t="n"/>
      <c r="E137" s="15" t="n"/>
      <c r="F137" s="16" t="n"/>
      <c r="G137" s="17">
        <f>IF(F137="","",Paramètres!$B$5)</f>
        <v/>
      </c>
      <c r="H137" s="18">
        <f>IF(F137="","",ROUND(F137*G137,2))</f>
        <v/>
      </c>
      <c r="I137" s="19">
        <f>IF(F137="","",F137+H137)</f>
        <v/>
      </c>
      <c r="J137" s="15" t="n"/>
      <c r="K137" s="15" t="n"/>
    </row>
    <row r="138">
      <c r="A138" s="14" t="n"/>
      <c r="B138" s="15" t="n"/>
      <c r="C138" s="15" t="n"/>
      <c r="D138" s="15" t="n"/>
      <c r="E138" s="15" t="n"/>
      <c r="F138" s="16" t="n"/>
      <c r="G138" s="17">
        <f>IF(F138="","",Paramètres!$B$5)</f>
        <v/>
      </c>
      <c r="H138" s="18">
        <f>IF(F138="","",ROUND(F138*G138,2))</f>
        <v/>
      </c>
      <c r="I138" s="19">
        <f>IF(F138="","",F138+H138)</f>
        <v/>
      </c>
      <c r="J138" s="15" t="n"/>
      <c r="K138" s="15" t="n"/>
    </row>
    <row r="139">
      <c r="A139" s="14" t="n"/>
      <c r="B139" s="15" t="n"/>
      <c r="C139" s="15" t="n"/>
      <c r="D139" s="15" t="n"/>
      <c r="E139" s="15" t="n"/>
      <c r="F139" s="16" t="n"/>
      <c r="G139" s="17">
        <f>IF(F139="","",Paramètres!$B$5)</f>
        <v/>
      </c>
      <c r="H139" s="18">
        <f>IF(F139="","",ROUND(F139*G139,2))</f>
        <v/>
      </c>
      <c r="I139" s="19">
        <f>IF(F139="","",F139+H139)</f>
        <v/>
      </c>
      <c r="J139" s="15" t="n"/>
      <c r="K139" s="15" t="n"/>
    </row>
    <row r="140">
      <c r="A140" s="14" t="n"/>
      <c r="B140" s="15" t="n"/>
      <c r="C140" s="15" t="n"/>
      <c r="D140" s="15" t="n"/>
      <c r="E140" s="15" t="n"/>
      <c r="F140" s="16" t="n"/>
      <c r="G140" s="17">
        <f>IF(F140="","",Paramètres!$B$5)</f>
        <v/>
      </c>
      <c r="H140" s="18">
        <f>IF(F140="","",ROUND(F140*G140,2))</f>
        <v/>
      </c>
      <c r="I140" s="19">
        <f>IF(F140="","",F140+H140)</f>
        <v/>
      </c>
      <c r="J140" s="15" t="n"/>
      <c r="K140" s="15" t="n"/>
    </row>
    <row r="141">
      <c r="A141" s="14" t="n"/>
      <c r="B141" s="15" t="n"/>
      <c r="C141" s="15" t="n"/>
      <c r="D141" s="15" t="n"/>
      <c r="E141" s="15" t="n"/>
      <c r="F141" s="16" t="n"/>
      <c r="G141" s="17">
        <f>IF(F141="","",Paramètres!$B$5)</f>
        <v/>
      </c>
      <c r="H141" s="18">
        <f>IF(F141="","",ROUND(F141*G141,2))</f>
        <v/>
      </c>
      <c r="I141" s="19">
        <f>IF(F141="","",F141+H141)</f>
        <v/>
      </c>
      <c r="J141" s="15" t="n"/>
      <c r="K141" s="15" t="n"/>
    </row>
    <row r="142">
      <c r="A142" s="14" t="n"/>
      <c r="B142" s="15" t="n"/>
      <c r="C142" s="15" t="n"/>
      <c r="D142" s="15" t="n"/>
      <c r="E142" s="15" t="n"/>
      <c r="F142" s="16" t="n"/>
      <c r="G142" s="17">
        <f>IF(F142="","",Paramètres!$B$5)</f>
        <v/>
      </c>
      <c r="H142" s="18">
        <f>IF(F142="","",ROUND(F142*G142,2))</f>
        <v/>
      </c>
      <c r="I142" s="19">
        <f>IF(F142="","",F142+H142)</f>
        <v/>
      </c>
      <c r="J142" s="15" t="n"/>
      <c r="K142" s="15" t="n"/>
    </row>
    <row r="143">
      <c r="A143" s="14" t="n"/>
      <c r="B143" s="15" t="n"/>
      <c r="C143" s="15" t="n"/>
      <c r="D143" s="15" t="n"/>
      <c r="E143" s="15" t="n"/>
      <c r="F143" s="16" t="n"/>
      <c r="G143" s="17">
        <f>IF(F143="","",Paramètres!$B$5)</f>
        <v/>
      </c>
      <c r="H143" s="18">
        <f>IF(F143="","",ROUND(F143*G143,2))</f>
        <v/>
      </c>
      <c r="I143" s="19">
        <f>IF(F143="","",F143+H143)</f>
        <v/>
      </c>
      <c r="J143" s="15" t="n"/>
      <c r="K143" s="15" t="n"/>
    </row>
    <row r="144">
      <c r="A144" s="14" t="n"/>
      <c r="B144" s="15" t="n"/>
      <c r="C144" s="15" t="n"/>
      <c r="D144" s="15" t="n"/>
      <c r="E144" s="15" t="n"/>
      <c r="F144" s="16" t="n"/>
      <c r="G144" s="17">
        <f>IF(F144="","",Paramètres!$B$5)</f>
        <v/>
      </c>
      <c r="H144" s="18">
        <f>IF(F144="","",ROUND(F144*G144,2))</f>
        <v/>
      </c>
      <c r="I144" s="19">
        <f>IF(F144="","",F144+H144)</f>
        <v/>
      </c>
      <c r="J144" s="15" t="n"/>
      <c r="K144" s="15" t="n"/>
    </row>
    <row r="145">
      <c r="A145" s="14" t="n"/>
      <c r="B145" s="15" t="n"/>
      <c r="C145" s="15" t="n"/>
      <c r="D145" s="15" t="n"/>
      <c r="E145" s="15" t="n"/>
      <c r="F145" s="16" t="n"/>
      <c r="G145" s="17">
        <f>IF(F145="","",Paramètres!$B$5)</f>
        <v/>
      </c>
      <c r="H145" s="18">
        <f>IF(F145="","",ROUND(F145*G145,2))</f>
        <v/>
      </c>
      <c r="I145" s="19">
        <f>IF(F145="","",F145+H145)</f>
        <v/>
      </c>
      <c r="J145" s="15" t="n"/>
      <c r="K145" s="15" t="n"/>
    </row>
    <row r="146">
      <c r="A146" s="14" t="n"/>
      <c r="B146" s="15" t="n"/>
      <c r="C146" s="15" t="n"/>
      <c r="D146" s="15" t="n"/>
      <c r="E146" s="15" t="n"/>
      <c r="F146" s="16" t="n"/>
      <c r="G146" s="17">
        <f>IF(F146="","",Paramètres!$B$5)</f>
        <v/>
      </c>
      <c r="H146" s="18">
        <f>IF(F146="","",ROUND(F146*G146,2))</f>
        <v/>
      </c>
      <c r="I146" s="19">
        <f>IF(F146="","",F146+H146)</f>
        <v/>
      </c>
      <c r="J146" s="15" t="n"/>
      <c r="K146" s="15" t="n"/>
    </row>
    <row r="147">
      <c r="A147" s="14" t="n"/>
      <c r="B147" s="15" t="n"/>
      <c r="C147" s="15" t="n"/>
      <c r="D147" s="15" t="n"/>
      <c r="E147" s="15" t="n"/>
      <c r="F147" s="16" t="n"/>
      <c r="G147" s="17">
        <f>IF(F147="","",Paramètres!$B$5)</f>
        <v/>
      </c>
      <c r="H147" s="18">
        <f>IF(F147="","",ROUND(F147*G147,2))</f>
        <v/>
      </c>
      <c r="I147" s="19">
        <f>IF(F147="","",F147+H147)</f>
        <v/>
      </c>
      <c r="J147" s="15" t="n"/>
      <c r="K147" s="15" t="n"/>
    </row>
    <row r="148">
      <c r="A148" s="14" t="n"/>
      <c r="B148" s="15" t="n"/>
      <c r="C148" s="15" t="n"/>
      <c r="D148" s="15" t="n"/>
      <c r="E148" s="15" t="n"/>
      <c r="F148" s="16" t="n"/>
      <c r="G148" s="17">
        <f>IF(F148="","",Paramètres!$B$5)</f>
        <v/>
      </c>
      <c r="H148" s="18">
        <f>IF(F148="","",ROUND(F148*G148,2))</f>
        <v/>
      </c>
      <c r="I148" s="19">
        <f>IF(F148="","",F148+H148)</f>
        <v/>
      </c>
      <c r="J148" s="15" t="n"/>
      <c r="K148" s="15" t="n"/>
    </row>
    <row r="149">
      <c r="A149" s="14" t="n"/>
      <c r="B149" s="15" t="n"/>
      <c r="C149" s="15" t="n"/>
      <c r="D149" s="15" t="n"/>
      <c r="E149" s="15" t="n"/>
      <c r="F149" s="16" t="n"/>
      <c r="G149" s="17">
        <f>IF(F149="","",Paramètres!$B$5)</f>
        <v/>
      </c>
      <c r="H149" s="18">
        <f>IF(F149="","",ROUND(F149*G149,2))</f>
        <v/>
      </c>
      <c r="I149" s="19">
        <f>IF(F149="","",F149+H149)</f>
        <v/>
      </c>
      <c r="J149" s="15" t="n"/>
      <c r="K149" s="15" t="n"/>
    </row>
    <row r="150">
      <c r="A150" s="14" t="n"/>
      <c r="B150" s="15" t="n"/>
      <c r="C150" s="15" t="n"/>
      <c r="D150" s="15" t="n"/>
      <c r="E150" s="15" t="n"/>
      <c r="F150" s="16" t="n"/>
      <c r="G150" s="17">
        <f>IF(F150="","",Paramètres!$B$5)</f>
        <v/>
      </c>
      <c r="H150" s="18">
        <f>IF(F150="","",ROUND(F150*G150,2))</f>
        <v/>
      </c>
      <c r="I150" s="19">
        <f>IF(F150="","",F150+H150)</f>
        <v/>
      </c>
      <c r="J150" s="15" t="n"/>
      <c r="K150" s="15" t="n"/>
    </row>
    <row r="151">
      <c r="A151" s="14" t="n"/>
      <c r="B151" s="15" t="n"/>
      <c r="C151" s="15" t="n"/>
      <c r="D151" s="15" t="n"/>
      <c r="E151" s="15" t="n"/>
      <c r="F151" s="16" t="n"/>
      <c r="G151" s="17">
        <f>IF(F151="","",Paramètres!$B$5)</f>
        <v/>
      </c>
      <c r="H151" s="18">
        <f>IF(F151="","",ROUND(F151*G151,2))</f>
        <v/>
      </c>
      <c r="I151" s="19">
        <f>IF(F151="","",F151+H151)</f>
        <v/>
      </c>
      <c r="J151" s="15" t="n"/>
      <c r="K151" s="15" t="n"/>
    </row>
    <row r="152">
      <c r="A152" s="14" t="n"/>
      <c r="B152" s="15" t="n"/>
      <c r="C152" s="15" t="n"/>
      <c r="D152" s="15" t="n"/>
      <c r="E152" s="15" t="n"/>
      <c r="F152" s="16" t="n"/>
      <c r="G152" s="17">
        <f>IF(F152="","",Paramètres!$B$5)</f>
        <v/>
      </c>
      <c r="H152" s="18">
        <f>IF(F152="","",ROUND(F152*G152,2))</f>
        <v/>
      </c>
      <c r="I152" s="19">
        <f>IF(F152="","",F152+H152)</f>
        <v/>
      </c>
      <c r="J152" s="15" t="n"/>
      <c r="K152" s="15" t="n"/>
    </row>
    <row r="153">
      <c r="A153" s="14" t="n"/>
      <c r="B153" s="15" t="n"/>
      <c r="C153" s="15" t="n"/>
      <c r="D153" s="15" t="n"/>
      <c r="E153" s="15" t="n"/>
      <c r="F153" s="16" t="n"/>
      <c r="G153" s="17">
        <f>IF(F153="","",Paramètres!$B$5)</f>
        <v/>
      </c>
      <c r="H153" s="18">
        <f>IF(F153="","",ROUND(F153*G153,2))</f>
        <v/>
      </c>
      <c r="I153" s="19">
        <f>IF(F153="","",F153+H153)</f>
        <v/>
      </c>
      <c r="J153" s="15" t="n"/>
      <c r="K153" s="15" t="n"/>
    </row>
    <row r="154">
      <c r="A154" s="14" t="n"/>
      <c r="B154" s="15" t="n"/>
      <c r="C154" s="15" t="n"/>
      <c r="D154" s="15" t="n"/>
      <c r="E154" s="15" t="n"/>
      <c r="F154" s="16" t="n"/>
      <c r="G154" s="17">
        <f>IF(F154="","",Paramètres!$B$5)</f>
        <v/>
      </c>
      <c r="H154" s="18">
        <f>IF(F154="","",ROUND(F154*G154,2))</f>
        <v/>
      </c>
      <c r="I154" s="19">
        <f>IF(F154="","",F154+H154)</f>
        <v/>
      </c>
      <c r="J154" s="15" t="n"/>
      <c r="K154" s="15" t="n"/>
    </row>
    <row r="155">
      <c r="A155" s="14" t="n"/>
      <c r="B155" s="15" t="n"/>
      <c r="C155" s="15" t="n"/>
      <c r="D155" s="15" t="n"/>
      <c r="E155" s="15" t="n"/>
      <c r="F155" s="16" t="n"/>
      <c r="G155" s="17">
        <f>IF(F155="","",Paramètres!$B$5)</f>
        <v/>
      </c>
      <c r="H155" s="18">
        <f>IF(F155="","",ROUND(F155*G155,2))</f>
        <v/>
      </c>
      <c r="I155" s="19">
        <f>IF(F155="","",F155+H155)</f>
        <v/>
      </c>
      <c r="J155" s="15" t="n"/>
      <c r="K155" s="15" t="n"/>
    </row>
    <row r="156">
      <c r="A156" s="14" t="n"/>
      <c r="B156" s="15" t="n"/>
      <c r="C156" s="15" t="n"/>
      <c r="D156" s="15" t="n"/>
      <c r="E156" s="15" t="n"/>
      <c r="F156" s="16" t="n"/>
      <c r="G156" s="17">
        <f>IF(F156="","",Paramètres!$B$5)</f>
        <v/>
      </c>
      <c r="H156" s="18">
        <f>IF(F156="","",ROUND(F156*G156,2))</f>
        <v/>
      </c>
      <c r="I156" s="19">
        <f>IF(F156="","",F156+H156)</f>
        <v/>
      </c>
      <c r="J156" s="15" t="n"/>
      <c r="K156" s="15" t="n"/>
    </row>
    <row r="157">
      <c r="A157" s="14" t="n"/>
      <c r="B157" s="15" t="n"/>
      <c r="C157" s="15" t="n"/>
      <c r="D157" s="15" t="n"/>
      <c r="E157" s="15" t="n"/>
      <c r="F157" s="16" t="n"/>
      <c r="G157" s="17">
        <f>IF(F157="","",Paramètres!$B$5)</f>
        <v/>
      </c>
      <c r="H157" s="18">
        <f>IF(F157="","",ROUND(F157*G157,2))</f>
        <v/>
      </c>
      <c r="I157" s="19">
        <f>IF(F157="","",F157+H157)</f>
        <v/>
      </c>
      <c r="J157" s="15" t="n"/>
      <c r="K157" s="15" t="n"/>
    </row>
    <row r="158">
      <c r="A158" s="14" t="n"/>
      <c r="B158" s="15" t="n"/>
      <c r="C158" s="15" t="n"/>
      <c r="D158" s="15" t="n"/>
      <c r="E158" s="15" t="n"/>
      <c r="F158" s="16" t="n"/>
      <c r="G158" s="17">
        <f>IF(F158="","",Paramètres!$B$5)</f>
        <v/>
      </c>
      <c r="H158" s="18">
        <f>IF(F158="","",ROUND(F158*G158,2))</f>
        <v/>
      </c>
      <c r="I158" s="19">
        <f>IF(F158="","",F158+H158)</f>
        <v/>
      </c>
      <c r="J158" s="15" t="n"/>
      <c r="K158" s="15" t="n"/>
    </row>
    <row r="159">
      <c r="A159" s="14" t="n"/>
      <c r="B159" s="15" t="n"/>
      <c r="C159" s="15" t="n"/>
      <c r="D159" s="15" t="n"/>
      <c r="E159" s="15" t="n"/>
      <c r="F159" s="16" t="n"/>
      <c r="G159" s="17">
        <f>IF(F159="","",Paramètres!$B$5)</f>
        <v/>
      </c>
      <c r="H159" s="18">
        <f>IF(F159="","",ROUND(F159*G159,2))</f>
        <v/>
      </c>
      <c r="I159" s="19">
        <f>IF(F159="","",F159+H159)</f>
        <v/>
      </c>
      <c r="J159" s="15" t="n"/>
      <c r="K159" s="15" t="n"/>
    </row>
    <row r="160">
      <c r="A160" s="14" t="n"/>
      <c r="B160" s="15" t="n"/>
      <c r="C160" s="15" t="n"/>
      <c r="D160" s="15" t="n"/>
      <c r="E160" s="15" t="n"/>
      <c r="F160" s="16" t="n"/>
      <c r="G160" s="17">
        <f>IF(F160="","",Paramètres!$B$5)</f>
        <v/>
      </c>
      <c r="H160" s="18">
        <f>IF(F160="","",ROUND(F160*G160,2))</f>
        <v/>
      </c>
      <c r="I160" s="19">
        <f>IF(F160="","",F160+H160)</f>
        <v/>
      </c>
      <c r="J160" s="15" t="n"/>
      <c r="K160" s="15" t="n"/>
    </row>
    <row r="161">
      <c r="A161" s="14" t="n"/>
      <c r="B161" s="15" t="n"/>
      <c r="C161" s="15" t="n"/>
      <c r="D161" s="15" t="n"/>
      <c r="E161" s="15" t="n"/>
      <c r="F161" s="16" t="n"/>
      <c r="G161" s="17">
        <f>IF(F161="","",Paramètres!$B$5)</f>
        <v/>
      </c>
      <c r="H161" s="18">
        <f>IF(F161="","",ROUND(F161*G161,2))</f>
        <v/>
      </c>
      <c r="I161" s="19">
        <f>IF(F161="","",F161+H161)</f>
        <v/>
      </c>
      <c r="J161" s="15" t="n"/>
      <c r="K161" s="15" t="n"/>
    </row>
    <row r="162">
      <c r="A162" s="14" t="n"/>
      <c r="B162" s="15" t="n"/>
      <c r="C162" s="15" t="n"/>
      <c r="D162" s="15" t="n"/>
      <c r="E162" s="15" t="n"/>
      <c r="F162" s="16" t="n"/>
      <c r="G162" s="17">
        <f>IF(F162="","",Paramètres!$B$5)</f>
        <v/>
      </c>
      <c r="H162" s="18">
        <f>IF(F162="","",ROUND(F162*G162,2))</f>
        <v/>
      </c>
      <c r="I162" s="19">
        <f>IF(F162="","",F162+H162)</f>
        <v/>
      </c>
      <c r="J162" s="15" t="n"/>
      <c r="K162" s="15" t="n"/>
    </row>
    <row r="163">
      <c r="A163" s="14" t="n"/>
      <c r="B163" s="15" t="n"/>
      <c r="C163" s="15" t="n"/>
      <c r="D163" s="15" t="n"/>
      <c r="E163" s="15" t="n"/>
      <c r="F163" s="16" t="n"/>
      <c r="G163" s="17">
        <f>IF(F163="","",Paramètres!$B$5)</f>
        <v/>
      </c>
      <c r="H163" s="18">
        <f>IF(F163="","",ROUND(F163*G163,2))</f>
        <v/>
      </c>
      <c r="I163" s="19">
        <f>IF(F163="","",F163+H163)</f>
        <v/>
      </c>
      <c r="J163" s="15" t="n"/>
      <c r="K163" s="15" t="n"/>
    </row>
    <row r="164">
      <c r="A164" s="14" t="n"/>
      <c r="B164" s="15" t="n"/>
      <c r="C164" s="15" t="n"/>
      <c r="D164" s="15" t="n"/>
      <c r="E164" s="15" t="n"/>
      <c r="F164" s="16" t="n"/>
      <c r="G164" s="17">
        <f>IF(F164="","",Paramètres!$B$5)</f>
        <v/>
      </c>
      <c r="H164" s="18">
        <f>IF(F164="","",ROUND(F164*G164,2))</f>
        <v/>
      </c>
      <c r="I164" s="19">
        <f>IF(F164="","",F164+H164)</f>
        <v/>
      </c>
      <c r="J164" s="15" t="n"/>
      <c r="K164" s="15" t="n"/>
    </row>
    <row r="165">
      <c r="A165" s="14" t="n"/>
      <c r="B165" s="15" t="n"/>
      <c r="C165" s="15" t="n"/>
      <c r="D165" s="15" t="n"/>
      <c r="E165" s="15" t="n"/>
      <c r="F165" s="16" t="n"/>
      <c r="G165" s="17">
        <f>IF(F165="","",Paramètres!$B$5)</f>
        <v/>
      </c>
      <c r="H165" s="18">
        <f>IF(F165="","",ROUND(F165*G165,2))</f>
        <v/>
      </c>
      <c r="I165" s="19">
        <f>IF(F165="","",F165+H165)</f>
        <v/>
      </c>
      <c r="J165" s="15" t="n"/>
      <c r="K165" s="15" t="n"/>
    </row>
    <row r="166">
      <c r="A166" s="14" t="n"/>
      <c r="B166" s="15" t="n"/>
      <c r="C166" s="15" t="n"/>
      <c r="D166" s="15" t="n"/>
      <c r="E166" s="15" t="n"/>
      <c r="F166" s="16" t="n"/>
      <c r="G166" s="17">
        <f>IF(F166="","",Paramètres!$B$5)</f>
        <v/>
      </c>
      <c r="H166" s="18">
        <f>IF(F166="","",ROUND(F166*G166,2))</f>
        <v/>
      </c>
      <c r="I166" s="19">
        <f>IF(F166="","",F166+H166)</f>
        <v/>
      </c>
      <c r="J166" s="15" t="n"/>
      <c r="K166" s="15" t="n"/>
    </row>
    <row r="167">
      <c r="A167" s="14" t="n"/>
      <c r="B167" s="15" t="n"/>
      <c r="C167" s="15" t="n"/>
      <c r="D167" s="15" t="n"/>
      <c r="E167" s="15" t="n"/>
      <c r="F167" s="16" t="n"/>
      <c r="G167" s="17">
        <f>IF(F167="","",Paramètres!$B$5)</f>
        <v/>
      </c>
      <c r="H167" s="18">
        <f>IF(F167="","",ROUND(F167*G167,2))</f>
        <v/>
      </c>
      <c r="I167" s="19">
        <f>IF(F167="","",F167+H167)</f>
        <v/>
      </c>
      <c r="J167" s="15" t="n"/>
      <c r="K167" s="15" t="n"/>
    </row>
    <row r="168">
      <c r="A168" s="14" t="n"/>
      <c r="B168" s="15" t="n"/>
      <c r="C168" s="15" t="n"/>
      <c r="D168" s="15" t="n"/>
      <c r="E168" s="15" t="n"/>
      <c r="F168" s="16" t="n"/>
      <c r="G168" s="17">
        <f>IF(F168="","",Paramètres!$B$5)</f>
        <v/>
      </c>
      <c r="H168" s="18">
        <f>IF(F168="","",ROUND(F168*G168,2))</f>
        <v/>
      </c>
      <c r="I168" s="19">
        <f>IF(F168="","",F168+H168)</f>
        <v/>
      </c>
      <c r="J168" s="15" t="n"/>
      <c r="K168" s="15" t="n"/>
    </row>
    <row r="169">
      <c r="A169" s="14" t="n"/>
      <c r="B169" s="15" t="n"/>
      <c r="C169" s="15" t="n"/>
      <c r="D169" s="15" t="n"/>
      <c r="E169" s="15" t="n"/>
      <c r="F169" s="16" t="n"/>
      <c r="G169" s="17">
        <f>IF(F169="","",Paramètres!$B$5)</f>
        <v/>
      </c>
      <c r="H169" s="18">
        <f>IF(F169="","",ROUND(F169*G169,2))</f>
        <v/>
      </c>
      <c r="I169" s="19">
        <f>IF(F169="","",F169+H169)</f>
        <v/>
      </c>
      <c r="J169" s="15" t="n"/>
      <c r="K169" s="15" t="n"/>
    </row>
    <row r="170">
      <c r="A170" s="14" t="n"/>
      <c r="B170" s="15" t="n"/>
      <c r="C170" s="15" t="n"/>
      <c r="D170" s="15" t="n"/>
      <c r="E170" s="15" t="n"/>
      <c r="F170" s="16" t="n"/>
      <c r="G170" s="17">
        <f>IF(F170="","",Paramètres!$B$5)</f>
        <v/>
      </c>
      <c r="H170" s="18">
        <f>IF(F170="","",ROUND(F170*G170,2))</f>
        <v/>
      </c>
      <c r="I170" s="19">
        <f>IF(F170="","",F170+H170)</f>
        <v/>
      </c>
      <c r="J170" s="15" t="n"/>
      <c r="K170" s="15" t="n"/>
    </row>
    <row r="171">
      <c r="A171" s="14" t="n"/>
      <c r="B171" s="15" t="n"/>
      <c r="C171" s="15" t="n"/>
      <c r="D171" s="15" t="n"/>
      <c r="E171" s="15" t="n"/>
      <c r="F171" s="16" t="n"/>
      <c r="G171" s="17">
        <f>IF(F171="","",Paramètres!$B$5)</f>
        <v/>
      </c>
      <c r="H171" s="18">
        <f>IF(F171="","",ROUND(F171*G171,2))</f>
        <v/>
      </c>
      <c r="I171" s="19">
        <f>IF(F171="","",F171+H171)</f>
        <v/>
      </c>
      <c r="J171" s="15" t="n"/>
      <c r="K171" s="15" t="n"/>
    </row>
    <row r="172">
      <c r="A172" s="14" t="n"/>
      <c r="B172" s="15" t="n"/>
      <c r="C172" s="15" t="n"/>
      <c r="D172" s="15" t="n"/>
      <c r="E172" s="15" t="n"/>
      <c r="F172" s="16" t="n"/>
      <c r="G172" s="17">
        <f>IF(F172="","",Paramètres!$B$5)</f>
        <v/>
      </c>
      <c r="H172" s="18">
        <f>IF(F172="","",ROUND(F172*G172,2))</f>
        <v/>
      </c>
      <c r="I172" s="19">
        <f>IF(F172="","",F172+H172)</f>
        <v/>
      </c>
      <c r="J172" s="15" t="n"/>
      <c r="K172" s="15" t="n"/>
    </row>
    <row r="173">
      <c r="A173" s="14" t="n"/>
      <c r="B173" s="15" t="n"/>
      <c r="C173" s="15" t="n"/>
      <c r="D173" s="15" t="n"/>
      <c r="E173" s="15" t="n"/>
      <c r="F173" s="16" t="n"/>
      <c r="G173" s="17">
        <f>IF(F173="","",Paramètres!$B$5)</f>
        <v/>
      </c>
      <c r="H173" s="18">
        <f>IF(F173="","",ROUND(F173*G173,2))</f>
        <v/>
      </c>
      <c r="I173" s="19">
        <f>IF(F173="","",F173+H173)</f>
        <v/>
      </c>
      <c r="J173" s="15" t="n"/>
      <c r="K173" s="15" t="n"/>
    </row>
    <row r="174">
      <c r="A174" s="14" t="n"/>
      <c r="B174" s="15" t="n"/>
      <c r="C174" s="15" t="n"/>
      <c r="D174" s="15" t="n"/>
      <c r="E174" s="15" t="n"/>
      <c r="F174" s="16" t="n"/>
      <c r="G174" s="17">
        <f>IF(F174="","",Paramètres!$B$5)</f>
        <v/>
      </c>
      <c r="H174" s="18">
        <f>IF(F174="","",ROUND(F174*G174,2))</f>
        <v/>
      </c>
      <c r="I174" s="19">
        <f>IF(F174="","",F174+H174)</f>
        <v/>
      </c>
      <c r="J174" s="15" t="n"/>
      <c r="K174" s="15" t="n"/>
    </row>
    <row r="175">
      <c r="A175" s="14" t="n"/>
      <c r="B175" s="15" t="n"/>
      <c r="C175" s="15" t="n"/>
      <c r="D175" s="15" t="n"/>
      <c r="E175" s="15" t="n"/>
      <c r="F175" s="16" t="n"/>
      <c r="G175" s="17">
        <f>IF(F175="","",Paramètres!$B$5)</f>
        <v/>
      </c>
      <c r="H175" s="18">
        <f>IF(F175="","",ROUND(F175*G175,2))</f>
        <v/>
      </c>
      <c r="I175" s="19">
        <f>IF(F175="","",F175+H175)</f>
        <v/>
      </c>
      <c r="J175" s="15" t="n"/>
      <c r="K175" s="15" t="n"/>
    </row>
    <row r="176">
      <c r="A176" s="14" t="n"/>
      <c r="B176" s="15" t="n"/>
      <c r="C176" s="15" t="n"/>
      <c r="D176" s="15" t="n"/>
      <c r="E176" s="15" t="n"/>
      <c r="F176" s="16" t="n"/>
      <c r="G176" s="17">
        <f>IF(F176="","",Paramètres!$B$5)</f>
        <v/>
      </c>
      <c r="H176" s="18">
        <f>IF(F176="","",ROUND(F176*G176,2))</f>
        <v/>
      </c>
      <c r="I176" s="19">
        <f>IF(F176="","",F176+H176)</f>
        <v/>
      </c>
      <c r="J176" s="15" t="n"/>
      <c r="K176" s="15" t="n"/>
    </row>
    <row r="177">
      <c r="A177" s="14" t="n"/>
      <c r="B177" s="15" t="n"/>
      <c r="C177" s="15" t="n"/>
      <c r="D177" s="15" t="n"/>
      <c r="E177" s="15" t="n"/>
      <c r="F177" s="16" t="n"/>
      <c r="G177" s="17">
        <f>IF(F177="","",Paramètres!$B$5)</f>
        <v/>
      </c>
      <c r="H177" s="18">
        <f>IF(F177="","",ROUND(F177*G177,2))</f>
        <v/>
      </c>
      <c r="I177" s="19">
        <f>IF(F177="","",F177+H177)</f>
        <v/>
      </c>
      <c r="J177" s="15" t="n"/>
      <c r="K177" s="15" t="n"/>
    </row>
    <row r="178">
      <c r="A178" s="14" t="n"/>
      <c r="B178" s="15" t="n"/>
      <c r="C178" s="15" t="n"/>
      <c r="D178" s="15" t="n"/>
      <c r="E178" s="15" t="n"/>
      <c r="F178" s="16" t="n"/>
      <c r="G178" s="17">
        <f>IF(F178="","",Paramètres!$B$5)</f>
        <v/>
      </c>
      <c r="H178" s="18">
        <f>IF(F178="","",ROUND(F178*G178,2))</f>
        <v/>
      </c>
      <c r="I178" s="19">
        <f>IF(F178="","",F178+H178)</f>
        <v/>
      </c>
      <c r="J178" s="15" t="n"/>
      <c r="K178" s="15" t="n"/>
    </row>
    <row r="179">
      <c r="A179" s="14" t="n"/>
      <c r="B179" s="15" t="n"/>
      <c r="C179" s="15" t="n"/>
      <c r="D179" s="15" t="n"/>
      <c r="E179" s="15" t="n"/>
      <c r="F179" s="16" t="n"/>
      <c r="G179" s="17">
        <f>IF(F179="","",Paramètres!$B$5)</f>
        <v/>
      </c>
      <c r="H179" s="18">
        <f>IF(F179="","",ROUND(F179*G179,2))</f>
        <v/>
      </c>
      <c r="I179" s="19">
        <f>IF(F179="","",F179+H179)</f>
        <v/>
      </c>
      <c r="J179" s="15" t="n"/>
      <c r="K179" s="15" t="n"/>
    </row>
    <row r="180">
      <c r="A180" s="14" t="n"/>
      <c r="B180" s="15" t="n"/>
      <c r="C180" s="15" t="n"/>
      <c r="D180" s="15" t="n"/>
      <c r="E180" s="15" t="n"/>
      <c r="F180" s="16" t="n"/>
      <c r="G180" s="17">
        <f>IF(F180="","",Paramètres!$B$5)</f>
        <v/>
      </c>
      <c r="H180" s="18">
        <f>IF(F180="","",ROUND(F180*G180,2))</f>
        <v/>
      </c>
      <c r="I180" s="19">
        <f>IF(F180="","",F180+H180)</f>
        <v/>
      </c>
      <c r="J180" s="15" t="n"/>
      <c r="K180" s="15" t="n"/>
    </row>
    <row r="181">
      <c r="A181" s="14" t="n"/>
      <c r="B181" s="15" t="n"/>
      <c r="C181" s="15" t="n"/>
      <c r="D181" s="15" t="n"/>
      <c r="E181" s="15" t="n"/>
      <c r="F181" s="16" t="n"/>
      <c r="G181" s="17">
        <f>IF(F181="","",Paramètres!$B$5)</f>
        <v/>
      </c>
      <c r="H181" s="18">
        <f>IF(F181="","",ROUND(F181*G181,2))</f>
        <v/>
      </c>
      <c r="I181" s="19">
        <f>IF(F181="","",F181+H181)</f>
        <v/>
      </c>
      <c r="J181" s="15" t="n"/>
      <c r="K181" s="15" t="n"/>
    </row>
    <row r="182">
      <c r="A182" s="14" t="n"/>
      <c r="B182" s="15" t="n"/>
      <c r="C182" s="15" t="n"/>
      <c r="D182" s="15" t="n"/>
      <c r="E182" s="15" t="n"/>
      <c r="F182" s="16" t="n"/>
      <c r="G182" s="17">
        <f>IF(F182="","",Paramètres!$B$5)</f>
        <v/>
      </c>
      <c r="H182" s="18">
        <f>IF(F182="","",ROUND(F182*G182,2))</f>
        <v/>
      </c>
      <c r="I182" s="19">
        <f>IF(F182="","",F182+H182)</f>
        <v/>
      </c>
      <c r="J182" s="15" t="n"/>
      <c r="K182" s="15" t="n"/>
    </row>
    <row r="183">
      <c r="A183" s="14" t="n"/>
      <c r="B183" s="15" t="n"/>
      <c r="C183" s="15" t="n"/>
      <c r="D183" s="15" t="n"/>
      <c r="E183" s="15" t="n"/>
      <c r="F183" s="16" t="n"/>
      <c r="G183" s="17">
        <f>IF(F183="","",Paramètres!$B$5)</f>
        <v/>
      </c>
      <c r="H183" s="18">
        <f>IF(F183="","",ROUND(F183*G183,2))</f>
        <v/>
      </c>
      <c r="I183" s="19">
        <f>IF(F183="","",F183+H183)</f>
        <v/>
      </c>
      <c r="J183" s="15" t="n"/>
      <c r="K183" s="15" t="n"/>
    </row>
    <row r="184">
      <c r="A184" s="14" t="n"/>
      <c r="B184" s="15" t="n"/>
      <c r="C184" s="15" t="n"/>
      <c r="D184" s="15" t="n"/>
      <c r="E184" s="15" t="n"/>
      <c r="F184" s="16" t="n"/>
      <c r="G184" s="17">
        <f>IF(F184="","",Paramètres!$B$5)</f>
        <v/>
      </c>
      <c r="H184" s="18">
        <f>IF(F184="","",ROUND(F184*G184,2))</f>
        <v/>
      </c>
      <c r="I184" s="19">
        <f>IF(F184="","",F184+H184)</f>
        <v/>
      </c>
      <c r="J184" s="15" t="n"/>
      <c r="K184" s="15" t="n"/>
    </row>
    <row r="185">
      <c r="A185" s="14" t="n"/>
      <c r="B185" s="15" t="n"/>
      <c r="C185" s="15" t="n"/>
      <c r="D185" s="15" t="n"/>
      <c r="E185" s="15" t="n"/>
      <c r="F185" s="16" t="n"/>
      <c r="G185" s="17">
        <f>IF(F185="","",Paramètres!$B$5)</f>
        <v/>
      </c>
      <c r="H185" s="18">
        <f>IF(F185="","",ROUND(F185*G185,2))</f>
        <v/>
      </c>
      <c r="I185" s="19">
        <f>IF(F185="","",F185+H185)</f>
        <v/>
      </c>
      <c r="J185" s="15" t="n"/>
      <c r="K185" s="15" t="n"/>
    </row>
    <row r="186">
      <c r="A186" s="14" t="n"/>
      <c r="B186" s="15" t="n"/>
      <c r="C186" s="15" t="n"/>
      <c r="D186" s="15" t="n"/>
      <c r="E186" s="15" t="n"/>
      <c r="F186" s="16" t="n"/>
      <c r="G186" s="17">
        <f>IF(F186="","",Paramètres!$B$5)</f>
        <v/>
      </c>
      <c r="H186" s="18">
        <f>IF(F186="","",ROUND(F186*G186,2))</f>
        <v/>
      </c>
      <c r="I186" s="19">
        <f>IF(F186="","",F186+H186)</f>
        <v/>
      </c>
      <c r="J186" s="15" t="n"/>
      <c r="K186" s="15" t="n"/>
    </row>
    <row r="187">
      <c r="A187" s="14" t="n"/>
      <c r="B187" s="15" t="n"/>
      <c r="C187" s="15" t="n"/>
      <c r="D187" s="15" t="n"/>
      <c r="E187" s="15" t="n"/>
      <c r="F187" s="16" t="n"/>
      <c r="G187" s="17">
        <f>IF(F187="","",Paramètres!$B$5)</f>
        <v/>
      </c>
      <c r="H187" s="18">
        <f>IF(F187="","",ROUND(F187*G187,2))</f>
        <v/>
      </c>
      <c r="I187" s="19">
        <f>IF(F187="","",F187+H187)</f>
        <v/>
      </c>
      <c r="J187" s="15" t="n"/>
      <c r="K187" s="15" t="n"/>
    </row>
    <row r="188">
      <c r="A188" s="14" t="n"/>
      <c r="B188" s="15" t="n"/>
      <c r="C188" s="15" t="n"/>
      <c r="D188" s="15" t="n"/>
      <c r="E188" s="15" t="n"/>
      <c r="F188" s="16" t="n"/>
      <c r="G188" s="17">
        <f>IF(F188="","",Paramètres!$B$5)</f>
        <v/>
      </c>
      <c r="H188" s="18">
        <f>IF(F188="","",ROUND(F188*G188,2))</f>
        <v/>
      </c>
      <c r="I188" s="19">
        <f>IF(F188="","",F188+H188)</f>
        <v/>
      </c>
      <c r="J188" s="15" t="n"/>
      <c r="K188" s="15" t="n"/>
    </row>
    <row r="189">
      <c r="A189" s="14" t="n"/>
      <c r="B189" s="15" t="n"/>
      <c r="C189" s="15" t="n"/>
      <c r="D189" s="15" t="n"/>
      <c r="E189" s="15" t="n"/>
      <c r="F189" s="16" t="n"/>
      <c r="G189" s="17">
        <f>IF(F189="","",Paramètres!$B$5)</f>
        <v/>
      </c>
      <c r="H189" s="18">
        <f>IF(F189="","",ROUND(F189*G189,2))</f>
        <v/>
      </c>
      <c r="I189" s="19">
        <f>IF(F189="","",F189+H189)</f>
        <v/>
      </c>
      <c r="J189" s="15" t="n"/>
      <c r="K189" s="15" t="n"/>
    </row>
    <row r="190">
      <c r="A190" s="14" t="n"/>
      <c r="B190" s="15" t="n"/>
      <c r="C190" s="15" t="n"/>
      <c r="D190" s="15" t="n"/>
      <c r="E190" s="15" t="n"/>
      <c r="F190" s="16" t="n"/>
      <c r="G190" s="17">
        <f>IF(F190="","",Paramètres!$B$5)</f>
        <v/>
      </c>
      <c r="H190" s="18">
        <f>IF(F190="","",ROUND(F190*G190,2))</f>
        <v/>
      </c>
      <c r="I190" s="19">
        <f>IF(F190="","",F190+H190)</f>
        <v/>
      </c>
      <c r="J190" s="15" t="n"/>
      <c r="K190" s="15" t="n"/>
    </row>
    <row r="191">
      <c r="A191" s="14" t="n"/>
      <c r="B191" s="15" t="n"/>
      <c r="C191" s="15" t="n"/>
      <c r="D191" s="15" t="n"/>
      <c r="E191" s="15" t="n"/>
      <c r="F191" s="16" t="n"/>
      <c r="G191" s="17">
        <f>IF(F191="","",Paramètres!$B$5)</f>
        <v/>
      </c>
      <c r="H191" s="18">
        <f>IF(F191="","",ROUND(F191*G191,2))</f>
        <v/>
      </c>
      <c r="I191" s="19">
        <f>IF(F191="","",F191+H191)</f>
        <v/>
      </c>
      <c r="J191" s="15" t="n"/>
      <c r="K191" s="15" t="n"/>
    </row>
    <row r="192">
      <c r="A192" s="14" t="n"/>
      <c r="B192" s="15" t="n"/>
      <c r="C192" s="15" t="n"/>
      <c r="D192" s="15" t="n"/>
      <c r="E192" s="15" t="n"/>
      <c r="F192" s="16" t="n"/>
      <c r="G192" s="17">
        <f>IF(F192="","",Paramètres!$B$5)</f>
        <v/>
      </c>
      <c r="H192" s="18">
        <f>IF(F192="","",ROUND(F192*G192,2))</f>
        <v/>
      </c>
      <c r="I192" s="19">
        <f>IF(F192="","",F192+H192)</f>
        <v/>
      </c>
      <c r="J192" s="15" t="n"/>
      <c r="K192" s="15" t="n"/>
    </row>
    <row r="193">
      <c r="A193" s="14" t="n"/>
      <c r="B193" s="15" t="n"/>
      <c r="C193" s="15" t="n"/>
      <c r="D193" s="15" t="n"/>
      <c r="E193" s="15" t="n"/>
      <c r="F193" s="16" t="n"/>
      <c r="G193" s="17">
        <f>IF(F193="","",Paramètres!$B$5)</f>
        <v/>
      </c>
      <c r="H193" s="18">
        <f>IF(F193="","",ROUND(F193*G193,2))</f>
        <v/>
      </c>
      <c r="I193" s="19">
        <f>IF(F193="","",F193+H193)</f>
        <v/>
      </c>
      <c r="J193" s="15" t="n"/>
      <c r="K193" s="15" t="n"/>
    </row>
    <row r="194">
      <c r="A194" s="14" t="n"/>
      <c r="B194" s="15" t="n"/>
      <c r="C194" s="15" t="n"/>
      <c r="D194" s="15" t="n"/>
      <c r="E194" s="15" t="n"/>
      <c r="F194" s="16" t="n"/>
      <c r="G194" s="17">
        <f>IF(F194="","",Paramètres!$B$5)</f>
        <v/>
      </c>
      <c r="H194" s="18">
        <f>IF(F194="","",ROUND(F194*G194,2))</f>
        <v/>
      </c>
      <c r="I194" s="19">
        <f>IF(F194="","",F194+H194)</f>
        <v/>
      </c>
      <c r="J194" s="15" t="n"/>
      <c r="K194" s="15" t="n"/>
    </row>
    <row r="195">
      <c r="A195" s="14" t="n"/>
      <c r="B195" s="15" t="n"/>
      <c r="C195" s="15" t="n"/>
      <c r="D195" s="15" t="n"/>
      <c r="E195" s="15" t="n"/>
      <c r="F195" s="16" t="n"/>
      <c r="G195" s="17">
        <f>IF(F195="","",Paramètres!$B$5)</f>
        <v/>
      </c>
      <c r="H195" s="18">
        <f>IF(F195="","",ROUND(F195*G195,2))</f>
        <v/>
      </c>
      <c r="I195" s="19">
        <f>IF(F195="","",F195+H195)</f>
        <v/>
      </c>
      <c r="J195" s="15" t="n"/>
      <c r="K195" s="15" t="n"/>
    </row>
    <row r="196">
      <c r="A196" s="14" t="n"/>
      <c r="B196" s="15" t="n"/>
      <c r="C196" s="15" t="n"/>
      <c r="D196" s="15" t="n"/>
      <c r="E196" s="15" t="n"/>
      <c r="F196" s="16" t="n"/>
      <c r="G196" s="17">
        <f>IF(F196="","",Paramètres!$B$5)</f>
        <v/>
      </c>
      <c r="H196" s="18">
        <f>IF(F196="","",ROUND(F196*G196,2))</f>
        <v/>
      </c>
      <c r="I196" s="19">
        <f>IF(F196="","",F196+H196)</f>
        <v/>
      </c>
      <c r="J196" s="15" t="n"/>
      <c r="K196" s="15" t="n"/>
    </row>
    <row r="197">
      <c r="A197" s="14" t="n"/>
      <c r="B197" s="15" t="n"/>
      <c r="C197" s="15" t="n"/>
      <c r="D197" s="15" t="n"/>
      <c r="E197" s="15" t="n"/>
      <c r="F197" s="16" t="n"/>
      <c r="G197" s="17">
        <f>IF(F197="","",Paramètres!$B$5)</f>
        <v/>
      </c>
      <c r="H197" s="18">
        <f>IF(F197="","",ROUND(F197*G197,2))</f>
        <v/>
      </c>
      <c r="I197" s="19">
        <f>IF(F197="","",F197+H197)</f>
        <v/>
      </c>
      <c r="J197" s="15" t="n"/>
      <c r="K197" s="15" t="n"/>
    </row>
    <row r="198">
      <c r="A198" s="14" t="n"/>
      <c r="B198" s="15" t="n"/>
      <c r="C198" s="15" t="n"/>
      <c r="D198" s="15" t="n"/>
      <c r="E198" s="15" t="n"/>
      <c r="F198" s="16" t="n"/>
      <c r="G198" s="17">
        <f>IF(F198="","",Paramètres!$B$5)</f>
        <v/>
      </c>
      <c r="H198" s="18">
        <f>IF(F198="","",ROUND(F198*G198,2))</f>
        <v/>
      </c>
      <c r="I198" s="19">
        <f>IF(F198="","",F198+H198)</f>
        <v/>
      </c>
      <c r="J198" s="15" t="n"/>
      <c r="K198" s="15" t="n"/>
    </row>
    <row r="199">
      <c r="A199" s="14" t="n"/>
      <c r="B199" s="15" t="n"/>
      <c r="C199" s="15" t="n"/>
      <c r="D199" s="15" t="n"/>
      <c r="E199" s="15" t="n"/>
      <c r="F199" s="16" t="n"/>
      <c r="G199" s="17">
        <f>IF(F199="","",Paramètres!$B$5)</f>
        <v/>
      </c>
      <c r="H199" s="18">
        <f>IF(F199="","",ROUND(F199*G199,2))</f>
        <v/>
      </c>
      <c r="I199" s="19">
        <f>IF(F199="","",F199+H199)</f>
        <v/>
      </c>
      <c r="J199" s="15" t="n"/>
      <c r="K199" s="15" t="n"/>
    </row>
    <row r="200">
      <c r="A200" s="14" t="n"/>
      <c r="B200" s="15" t="n"/>
      <c r="C200" s="15" t="n"/>
      <c r="D200" s="15" t="n"/>
      <c r="E200" s="15" t="n"/>
      <c r="F200" s="16" t="n"/>
      <c r="G200" s="17">
        <f>IF(F200="","",Paramètres!$B$5)</f>
        <v/>
      </c>
      <c r="H200" s="18">
        <f>IF(F200="","",ROUND(F200*G200,2))</f>
        <v/>
      </c>
      <c r="I200" s="19">
        <f>IF(F200="","",F200+H200)</f>
        <v/>
      </c>
      <c r="J200" s="15" t="n"/>
      <c r="K200" s="15" t="n"/>
    </row>
    <row r="201">
      <c r="A201" s="14" t="n"/>
      <c r="B201" s="15" t="n"/>
      <c r="C201" s="15" t="n"/>
      <c r="D201" s="15" t="n"/>
      <c r="E201" s="15" t="n"/>
      <c r="F201" s="16" t="n"/>
      <c r="G201" s="17">
        <f>IF(F201="","",Paramètres!$B$5)</f>
        <v/>
      </c>
      <c r="H201" s="18">
        <f>IF(F201="","",ROUND(F201*G201,2))</f>
        <v/>
      </c>
      <c r="I201" s="19">
        <f>IF(F201="","",F201+H201)</f>
        <v/>
      </c>
      <c r="J201" s="15" t="n"/>
      <c r="K201" s="15" t="n"/>
    </row>
    <row r="202">
      <c r="A202" s="14" t="n"/>
      <c r="B202" s="15" t="n"/>
      <c r="C202" s="15" t="n"/>
      <c r="D202" s="15" t="n"/>
      <c r="E202" s="15" t="n"/>
      <c r="F202" s="16" t="n"/>
      <c r="G202" s="17">
        <f>IF(F202="","",Paramètres!$B$5)</f>
        <v/>
      </c>
      <c r="H202" s="18">
        <f>IF(F202="","",ROUND(F202*G202,2))</f>
        <v/>
      </c>
      <c r="I202" s="19">
        <f>IF(F202="","",F202+H202)</f>
        <v/>
      </c>
      <c r="J202" s="15" t="n"/>
      <c r="K202" s="15" t="n"/>
    </row>
    <row r="203">
      <c r="A203" s="14" t="n"/>
      <c r="B203" s="15" t="n"/>
      <c r="C203" s="15" t="n"/>
      <c r="D203" s="15" t="n"/>
      <c r="E203" s="15" t="n"/>
      <c r="F203" s="16" t="n"/>
      <c r="G203" s="17">
        <f>IF(F203="","",Paramètres!$B$5)</f>
        <v/>
      </c>
      <c r="H203" s="18">
        <f>IF(F203="","",ROUND(F203*G203,2))</f>
        <v/>
      </c>
      <c r="I203" s="19">
        <f>IF(F203="","",F203+H203)</f>
        <v/>
      </c>
      <c r="J203" s="15" t="n"/>
      <c r="K203" s="15" t="n"/>
    </row>
    <row r="204">
      <c r="A204" s="14" t="n"/>
      <c r="B204" s="15" t="n"/>
      <c r="C204" s="15" t="n"/>
      <c r="D204" s="15" t="n"/>
      <c r="E204" s="15" t="n"/>
      <c r="F204" s="16" t="n"/>
      <c r="G204" s="17">
        <f>IF(F204="","",Paramètres!$B$5)</f>
        <v/>
      </c>
      <c r="H204" s="18">
        <f>IF(F204="","",ROUND(F204*G204,2))</f>
        <v/>
      </c>
      <c r="I204" s="19">
        <f>IF(F204="","",F204+H204)</f>
        <v/>
      </c>
      <c r="J204" s="15" t="n"/>
      <c r="K204" s="15" t="n"/>
    </row>
    <row r="205">
      <c r="A205" s="14" t="n"/>
      <c r="B205" s="15" t="n"/>
      <c r="C205" s="15" t="n"/>
      <c r="D205" s="15" t="n"/>
      <c r="E205" s="15" t="n"/>
      <c r="F205" s="16" t="n"/>
      <c r="G205" s="17">
        <f>IF(F205="","",Paramètres!$B$5)</f>
        <v/>
      </c>
      <c r="H205" s="18">
        <f>IF(F205="","",ROUND(F205*G205,2))</f>
        <v/>
      </c>
      <c r="I205" s="19">
        <f>IF(F205="","",F205+H205)</f>
        <v/>
      </c>
      <c r="J205" s="15" t="n"/>
      <c r="K205" s="15" t="n"/>
    </row>
    <row r="206">
      <c r="A206" s="14" t="n"/>
      <c r="B206" s="15" t="n"/>
      <c r="C206" s="15" t="n"/>
      <c r="D206" s="15" t="n"/>
      <c r="E206" s="15" t="n"/>
      <c r="F206" s="16" t="n"/>
      <c r="G206" s="17">
        <f>IF(F206="","",Paramètres!$B$5)</f>
        <v/>
      </c>
      <c r="H206" s="18">
        <f>IF(F206="","",ROUND(F206*G206,2))</f>
        <v/>
      </c>
      <c r="I206" s="19">
        <f>IF(F206="","",F206+H206)</f>
        <v/>
      </c>
      <c r="J206" s="15" t="n"/>
      <c r="K206" s="15" t="n"/>
    </row>
    <row r="207">
      <c r="A207" s="14" t="n"/>
      <c r="B207" s="15" t="n"/>
      <c r="C207" s="15" t="n"/>
      <c r="D207" s="15" t="n"/>
      <c r="E207" s="15" t="n"/>
      <c r="F207" s="16" t="n"/>
      <c r="G207" s="17">
        <f>IF(F207="","",Paramètres!$B$5)</f>
        <v/>
      </c>
      <c r="H207" s="18">
        <f>IF(F207="","",ROUND(F207*G207,2))</f>
        <v/>
      </c>
      <c r="I207" s="19">
        <f>IF(F207="","",F207+H207)</f>
        <v/>
      </c>
      <c r="J207" s="15" t="n"/>
      <c r="K207" s="15" t="n"/>
    </row>
    <row r="208">
      <c r="A208" s="14" t="n"/>
      <c r="B208" s="15" t="n"/>
      <c r="C208" s="15" t="n"/>
      <c r="D208" s="15" t="n"/>
      <c r="E208" s="15" t="n"/>
      <c r="F208" s="16" t="n"/>
      <c r="G208" s="17">
        <f>IF(F208="","",Paramètres!$B$5)</f>
        <v/>
      </c>
      <c r="H208" s="18">
        <f>IF(F208="","",ROUND(F208*G208,2))</f>
        <v/>
      </c>
      <c r="I208" s="19">
        <f>IF(F208="","",F208+H208)</f>
        <v/>
      </c>
      <c r="J208" s="15" t="n"/>
      <c r="K208" s="15" t="n"/>
    </row>
    <row r="209">
      <c r="A209" s="14" t="n"/>
      <c r="B209" s="15" t="n"/>
      <c r="C209" s="15" t="n"/>
      <c r="D209" s="15" t="n"/>
      <c r="E209" s="15" t="n"/>
      <c r="F209" s="16" t="n"/>
      <c r="G209" s="17">
        <f>IF(F209="","",Paramètres!$B$5)</f>
        <v/>
      </c>
      <c r="H209" s="18">
        <f>IF(F209="","",ROUND(F209*G209,2))</f>
        <v/>
      </c>
      <c r="I209" s="19">
        <f>IF(F209="","",F209+H209)</f>
        <v/>
      </c>
      <c r="J209" s="15" t="n"/>
      <c r="K209" s="15" t="n"/>
    </row>
    <row r="210">
      <c r="A210" s="14" t="n"/>
      <c r="B210" s="15" t="n"/>
      <c r="C210" s="15" t="n"/>
      <c r="D210" s="15" t="n"/>
      <c r="E210" s="15" t="n"/>
      <c r="F210" s="16" t="n"/>
      <c r="G210" s="17">
        <f>IF(F210="","",Paramètres!$B$5)</f>
        <v/>
      </c>
      <c r="H210" s="18">
        <f>IF(F210="","",ROUND(F210*G210,2))</f>
        <v/>
      </c>
      <c r="I210" s="19">
        <f>IF(F210="","",F210+H210)</f>
        <v/>
      </c>
      <c r="J210" s="15" t="n"/>
      <c r="K210" s="15" t="n"/>
    </row>
    <row r="211">
      <c r="A211" s="14" t="n"/>
      <c r="B211" s="15" t="n"/>
      <c r="C211" s="15" t="n"/>
      <c r="D211" s="15" t="n"/>
      <c r="E211" s="15" t="n"/>
      <c r="F211" s="16" t="n"/>
      <c r="G211" s="17">
        <f>IF(F211="","",Paramètres!$B$5)</f>
        <v/>
      </c>
      <c r="H211" s="18">
        <f>IF(F211="","",ROUND(F211*G211,2))</f>
        <v/>
      </c>
      <c r="I211" s="19">
        <f>IF(F211="","",F211+H211)</f>
        <v/>
      </c>
      <c r="J211" s="15" t="n"/>
      <c r="K211" s="15" t="n"/>
    </row>
    <row r="212">
      <c r="A212" s="14" t="n"/>
      <c r="B212" s="15" t="n"/>
      <c r="C212" s="15" t="n"/>
      <c r="D212" s="15" t="n"/>
      <c r="E212" s="15" t="n"/>
      <c r="F212" s="16" t="n"/>
      <c r="G212" s="17">
        <f>IF(F212="","",Paramètres!$B$5)</f>
        <v/>
      </c>
      <c r="H212" s="18">
        <f>IF(F212="","",ROUND(F212*G212,2))</f>
        <v/>
      </c>
      <c r="I212" s="19">
        <f>IF(F212="","",F212+H212)</f>
        <v/>
      </c>
      <c r="J212" s="15" t="n"/>
      <c r="K212" s="15" t="n"/>
    </row>
    <row r="213">
      <c r="A213" s="14" t="n"/>
      <c r="B213" s="15" t="n"/>
      <c r="C213" s="15" t="n"/>
      <c r="D213" s="15" t="n"/>
      <c r="E213" s="15" t="n"/>
      <c r="F213" s="16" t="n"/>
      <c r="G213" s="17">
        <f>IF(F213="","",Paramètres!$B$5)</f>
        <v/>
      </c>
      <c r="H213" s="18">
        <f>IF(F213="","",ROUND(F213*G213,2))</f>
        <v/>
      </c>
      <c r="I213" s="19">
        <f>IF(F213="","",F213+H213)</f>
        <v/>
      </c>
      <c r="J213" s="15" t="n"/>
      <c r="K213" s="15" t="n"/>
    </row>
    <row r="214">
      <c r="A214" s="14" t="n"/>
      <c r="B214" s="15" t="n"/>
      <c r="C214" s="15" t="n"/>
      <c r="D214" s="15" t="n"/>
      <c r="E214" s="15" t="n"/>
      <c r="F214" s="16" t="n"/>
      <c r="G214" s="17">
        <f>IF(F214="","",Paramètres!$B$5)</f>
        <v/>
      </c>
      <c r="H214" s="18">
        <f>IF(F214="","",ROUND(F214*G214,2))</f>
        <v/>
      </c>
      <c r="I214" s="19">
        <f>IF(F214="","",F214+H214)</f>
        <v/>
      </c>
      <c r="J214" s="15" t="n"/>
      <c r="K214" s="15" t="n"/>
    </row>
    <row r="215">
      <c r="A215" s="14" t="n"/>
      <c r="B215" s="15" t="n"/>
      <c r="C215" s="15" t="n"/>
      <c r="D215" s="15" t="n"/>
      <c r="E215" s="15" t="n"/>
      <c r="F215" s="16" t="n"/>
      <c r="G215" s="17">
        <f>IF(F215="","",Paramètres!$B$5)</f>
        <v/>
      </c>
      <c r="H215" s="18">
        <f>IF(F215="","",ROUND(F215*G215,2))</f>
        <v/>
      </c>
      <c r="I215" s="19">
        <f>IF(F215="","",F215+H215)</f>
        <v/>
      </c>
      <c r="J215" s="15" t="n"/>
      <c r="K215" s="15" t="n"/>
    </row>
    <row r="216">
      <c r="A216" s="14" t="n"/>
      <c r="B216" s="15" t="n"/>
      <c r="C216" s="15" t="n"/>
      <c r="D216" s="15" t="n"/>
      <c r="E216" s="15" t="n"/>
      <c r="F216" s="16" t="n"/>
      <c r="G216" s="17">
        <f>IF(F216="","",Paramètres!$B$5)</f>
        <v/>
      </c>
      <c r="H216" s="18">
        <f>IF(F216="","",ROUND(F216*G216,2))</f>
        <v/>
      </c>
      <c r="I216" s="19">
        <f>IF(F216="","",F216+H216)</f>
        <v/>
      </c>
      <c r="J216" s="15" t="n"/>
      <c r="K216" s="15" t="n"/>
    </row>
    <row r="217">
      <c r="A217" s="14" t="n"/>
      <c r="B217" s="15" t="n"/>
      <c r="C217" s="15" t="n"/>
      <c r="D217" s="15" t="n"/>
      <c r="E217" s="15" t="n"/>
      <c r="F217" s="16" t="n"/>
      <c r="G217" s="17">
        <f>IF(F217="","",Paramètres!$B$5)</f>
        <v/>
      </c>
      <c r="H217" s="18">
        <f>IF(F217="","",ROUND(F217*G217,2))</f>
        <v/>
      </c>
      <c r="I217" s="19">
        <f>IF(F217="","",F217+H217)</f>
        <v/>
      </c>
      <c r="J217" s="15" t="n"/>
      <c r="K217" s="15" t="n"/>
    </row>
    <row r="218">
      <c r="A218" s="14" t="n"/>
      <c r="B218" s="15" t="n"/>
      <c r="C218" s="15" t="n"/>
      <c r="D218" s="15" t="n"/>
      <c r="E218" s="15" t="n"/>
      <c r="F218" s="16" t="n"/>
      <c r="G218" s="17">
        <f>IF(F218="","",Paramètres!$B$5)</f>
        <v/>
      </c>
      <c r="H218" s="18">
        <f>IF(F218="","",ROUND(F218*G218,2))</f>
        <v/>
      </c>
      <c r="I218" s="19">
        <f>IF(F218="","",F218+H218)</f>
        <v/>
      </c>
      <c r="J218" s="15" t="n"/>
      <c r="K218" s="15" t="n"/>
    </row>
    <row r="219">
      <c r="A219" s="14" t="n"/>
      <c r="B219" s="15" t="n"/>
      <c r="C219" s="15" t="n"/>
      <c r="D219" s="15" t="n"/>
      <c r="E219" s="15" t="n"/>
      <c r="F219" s="16" t="n"/>
      <c r="G219" s="17">
        <f>IF(F219="","",Paramètres!$B$5)</f>
        <v/>
      </c>
      <c r="H219" s="18">
        <f>IF(F219="","",ROUND(F219*G219,2))</f>
        <v/>
      </c>
      <c r="I219" s="19">
        <f>IF(F219="","",F219+H219)</f>
        <v/>
      </c>
      <c r="J219" s="15" t="n"/>
      <c r="K219" s="15" t="n"/>
    </row>
    <row r="220">
      <c r="A220" s="14" t="n"/>
      <c r="B220" s="15" t="n"/>
      <c r="C220" s="15" t="n"/>
      <c r="D220" s="15" t="n"/>
      <c r="E220" s="15" t="n"/>
      <c r="F220" s="16" t="n"/>
      <c r="G220" s="17">
        <f>IF(F220="","",Paramètres!$B$5)</f>
        <v/>
      </c>
      <c r="H220" s="18">
        <f>IF(F220="","",ROUND(F220*G220,2))</f>
        <v/>
      </c>
      <c r="I220" s="19">
        <f>IF(F220="","",F220+H220)</f>
        <v/>
      </c>
      <c r="J220" s="15" t="n"/>
      <c r="K220" s="15" t="n"/>
    </row>
    <row r="221">
      <c r="A221" s="14" t="n"/>
      <c r="B221" s="15" t="n"/>
      <c r="C221" s="15" t="n"/>
      <c r="D221" s="15" t="n"/>
      <c r="E221" s="15" t="n"/>
      <c r="F221" s="16" t="n"/>
      <c r="G221" s="17">
        <f>IF(F221="","",Paramètres!$B$5)</f>
        <v/>
      </c>
      <c r="H221" s="18">
        <f>IF(F221="","",ROUND(F221*G221,2))</f>
        <v/>
      </c>
      <c r="I221" s="19">
        <f>IF(F221="","",F221+H221)</f>
        <v/>
      </c>
      <c r="J221" s="15" t="n"/>
      <c r="K221" s="15" t="n"/>
    </row>
    <row r="222">
      <c r="A222" s="14" t="n"/>
      <c r="B222" s="15" t="n"/>
      <c r="C222" s="15" t="n"/>
      <c r="D222" s="15" t="n"/>
      <c r="E222" s="15" t="n"/>
      <c r="F222" s="16" t="n"/>
      <c r="G222" s="17">
        <f>IF(F222="","",Paramètres!$B$5)</f>
        <v/>
      </c>
      <c r="H222" s="18">
        <f>IF(F222="","",ROUND(F222*G222,2))</f>
        <v/>
      </c>
      <c r="I222" s="19">
        <f>IF(F222="","",F222+H222)</f>
        <v/>
      </c>
      <c r="J222" s="15" t="n"/>
      <c r="K222" s="15" t="n"/>
    </row>
    <row r="223">
      <c r="A223" s="14" t="n"/>
      <c r="B223" s="15" t="n"/>
      <c r="C223" s="15" t="n"/>
      <c r="D223" s="15" t="n"/>
      <c r="E223" s="15" t="n"/>
      <c r="F223" s="16" t="n"/>
      <c r="G223" s="17">
        <f>IF(F223="","",Paramètres!$B$5)</f>
        <v/>
      </c>
      <c r="H223" s="18">
        <f>IF(F223="","",ROUND(F223*G223,2))</f>
        <v/>
      </c>
      <c r="I223" s="19">
        <f>IF(F223="","",F223+H223)</f>
        <v/>
      </c>
      <c r="J223" s="15" t="n"/>
      <c r="K223" s="15" t="n"/>
    </row>
    <row r="224">
      <c r="A224" s="14" t="n"/>
      <c r="B224" s="15" t="n"/>
      <c r="C224" s="15" t="n"/>
      <c r="D224" s="15" t="n"/>
      <c r="E224" s="15" t="n"/>
      <c r="F224" s="16" t="n"/>
      <c r="G224" s="17">
        <f>IF(F224="","",Paramètres!$B$5)</f>
        <v/>
      </c>
      <c r="H224" s="18">
        <f>IF(F224="","",ROUND(F224*G224,2))</f>
        <v/>
      </c>
      <c r="I224" s="19">
        <f>IF(F224="","",F224+H224)</f>
        <v/>
      </c>
      <c r="J224" s="15" t="n"/>
      <c r="K224" s="15" t="n"/>
    </row>
    <row r="225">
      <c r="A225" s="14" t="n"/>
      <c r="B225" s="15" t="n"/>
      <c r="C225" s="15" t="n"/>
      <c r="D225" s="15" t="n"/>
      <c r="E225" s="15" t="n"/>
      <c r="F225" s="16" t="n"/>
      <c r="G225" s="17">
        <f>IF(F225="","",Paramètres!$B$5)</f>
        <v/>
      </c>
      <c r="H225" s="18">
        <f>IF(F225="","",ROUND(F225*G225,2))</f>
        <v/>
      </c>
      <c r="I225" s="19">
        <f>IF(F225="","",F225+H225)</f>
        <v/>
      </c>
      <c r="J225" s="15" t="n"/>
      <c r="K225" s="15" t="n"/>
    </row>
    <row r="226">
      <c r="A226" s="14" t="n"/>
      <c r="B226" s="15" t="n"/>
      <c r="C226" s="15" t="n"/>
      <c r="D226" s="15" t="n"/>
      <c r="E226" s="15" t="n"/>
      <c r="F226" s="16" t="n"/>
      <c r="G226" s="17">
        <f>IF(F226="","",Paramètres!$B$5)</f>
        <v/>
      </c>
      <c r="H226" s="18">
        <f>IF(F226="","",ROUND(F226*G226,2))</f>
        <v/>
      </c>
      <c r="I226" s="19">
        <f>IF(F226="","",F226+H226)</f>
        <v/>
      </c>
      <c r="J226" s="15" t="n"/>
      <c r="K226" s="15" t="n"/>
    </row>
    <row r="227">
      <c r="A227" s="14" t="n"/>
      <c r="B227" s="15" t="n"/>
      <c r="C227" s="15" t="n"/>
      <c r="D227" s="15" t="n"/>
      <c r="E227" s="15" t="n"/>
      <c r="F227" s="16" t="n"/>
      <c r="G227" s="17">
        <f>IF(F227="","",Paramètres!$B$5)</f>
        <v/>
      </c>
      <c r="H227" s="18">
        <f>IF(F227="","",ROUND(F227*G227,2))</f>
        <v/>
      </c>
      <c r="I227" s="19">
        <f>IF(F227="","",F227+H227)</f>
        <v/>
      </c>
      <c r="J227" s="15" t="n"/>
      <c r="K227" s="15" t="n"/>
    </row>
    <row r="228">
      <c r="A228" s="14" t="n"/>
      <c r="B228" s="15" t="n"/>
      <c r="C228" s="15" t="n"/>
      <c r="D228" s="15" t="n"/>
      <c r="E228" s="15" t="n"/>
      <c r="F228" s="16" t="n"/>
      <c r="G228" s="17">
        <f>IF(F228="","",Paramètres!$B$5)</f>
        <v/>
      </c>
      <c r="H228" s="18">
        <f>IF(F228="","",ROUND(F228*G228,2))</f>
        <v/>
      </c>
      <c r="I228" s="19">
        <f>IF(F228="","",F228+H228)</f>
        <v/>
      </c>
      <c r="J228" s="15" t="n"/>
      <c r="K228" s="15" t="n"/>
    </row>
    <row r="229">
      <c r="A229" s="14" t="n"/>
      <c r="B229" s="15" t="n"/>
      <c r="C229" s="15" t="n"/>
      <c r="D229" s="15" t="n"/>
      <c r="E229" s="15" t="n"/>
      <c r="F229" s="16" t="n"/>
      <c r="G229" s="17">
        <f>IF(F229="","",Paramètres!$B$5)</f>
        <v/>
      </c>
      <c r="H229" s="18">
        <f>IF(F229="","",ROUND(F229*G229,2))</f>
        <v/>
      </c>
      <c r="I229" s="19">
        <f>IF(F229="","",F229+H229)</f>
        <v/>
      </c>
      <c r="J229" s="15" t="n"/>
      <c r="K229" s="15" t="n"/>
    </row>
    <row r="230">
      <c r="A230" s="14" t="n"/>
      <c r="B230" s="15" t="n"/>
      <c r="C230" s="15" t="n"/>
      <c r="D230" s="15" t="n"/>
      <c r="E230" s="15" t="n"/>
      <c r="F230" s="16" t="n"/>
      <c r="G230" s="17">
        <f>IF(F230="","",Paramètres!$B$5)</f>
        <v/>
      </c>
      <c r="H230" s="18">
        <f>IF(F230="","",ROUND(F230*G230,2))</f>
        <v/>
      </c>
      <c r="I230" s="19">
        <f>IF(F230="","",F230+H230)</f>
        <v/>
      </c>
      <c r="J230" s="15" t="n"/>
      <c r="K230" s="15" t="n"/>
    </row>
    <row r="231">
      <c r="A231" s="14" t="n"/>
      <c r="B231" s="15" t="n"/>
      <c r="C231" s="15" t="n"/>
      <c r="D231" s="15" t="n"/>
      <c r="E231" s="15" t="n"/>
      <c r="F231" s="16" t="n"/>
      <c r="G231" s="17">
        <f>IF(F231="","",Paramètres!$B$5)</f>
        <v/>
      </c>
      <c r="H231" s="18">
        <f>IF(F231="","",ROUND(F231*G231,2))</f>
        <v/>
      </c>
      <c r="I231" s="19">
        <f>IF(F231="","",F231+H231)</f>
        <v/>
      </c>
      <c r="J231" s="15" t="n"/>
      <c r="K231" s="15" t="n"/>
    </row>
    <row r="232">
      <c r="A232" s="14" t="n"/>
      <c r="B232" s="15" t="n"/>
      <c r="C232" s="15" t="n"/>
      <c r="D232" s="15" t="n"/>
      <c r="E232" s="15" t="n"/>
      <c r="F232" s="16" t="n"/>
      <c r="G232" s="17">
        <f>IF(F232="","",Paramètres!$B$5)</f>
        <v/>
      </c>
      <c r="H232" s="18">
        <f>IF(F232="","",ROUND(F232*G232,2))</f>
        <v/>
      </c>
      <c r="I232" s="19">
        <f>IF(F232="","",F232+H232)</f>
        <v/>
      </c>
      <c r="J232" s="15" t="n"/>
      <c r="K232" s="15" t="n"/>
    </row>
    <row r="233">
      <c r="A233" s="14" t="n"/>
      <c r="B233" s="15" t="n"/>
      <c r="C233" s="15" t="n"/>
      <c r="D233" s="15" t="n"/>
      <c r="E233" s="15" t="n"/>
      <c r="F233" s="16" t="n"/>
      <c r="G233" s="17">
        <f>IF(F233="","",Paramètres!$B$5)</f>
        <v/>
      </c>
      <c r="H233" s="18">
        <f>IF(F233="","",ROUND(F233*G233,2))</f>
        <v/>
      </c>
      <c r="I233" s="19">
        <f>IF(F233="","",F233+H233)</f>
        <v/>
      </c>
      <c r="J233" s="15" t="n"/>
      <c r="K233" s="15" t="n"/>
    </row>
    <row r="234">
      <c r="A234" s="14" t="n"/>
      <c r="B234" s="15" t="n"/>
      <c r="C234" s="15" t="n"/>
      <c r="D234" s="15" t="n"/>
      <c r="E234" s="15" t="n"/>
      <c r="F234" s="16" t="n"/>
      <c r="G234" s="17">
        <f>IF(F234="","",Paramètres!$B$5)</f>
        <v/>
      </c>
      <c r="H234" s="18">
        <f>IF(F234="","",ROUND(F234*G234,2))</f>
        <v/>
      </c>
      <c r="I234" s="19">
        <f>IF(F234="","",F234+H234)</f>
        <v/>
      </c>
      <c r="J234" s="15" t="n"/>
      <c r="K234" s="15" t="n"/>
    </row>
    <row r="235">
      <c r="A235" s="14" t="n"/>
      <c r="B235" s="15" t="n"/>
      <c r="C235" s="15" t="n"/>
      <c r="D235" s="15" t="n"/>
      <c r="E235" s="15" t="n"/>
      <c r="F235" s="16" t="n"/>
      <c r="G235" s="17">
        <f>IF(F235="","",Paramètres!$B$5)</f>
        <v/>
      </c>
      <c r="H235" s="18">
        <f>IF(F235="","",ROUND(F235*G235,2))</f>
        <v/>
      </c>
      <c r="I235" s="19">
        <f>IF(F235="","",F235+H235)</f>
        <v/>
      </c>
      <c r="J235" s="15" t="n"/>
      <c r="K235" s="15" t="n"/>
    </row>
    <row r="236">
      <c r="A236" s="14" t="n"/>
      <c r="B236" s="15" t="n"/>
      <c r="C236" s="15" t="n"/>
      <c r="D236" s="15" t="n"/>
      <c r="E236" s="15" t="n"/>
      <c r="F236" s="16" t="n"/>
      <c r="G236" s="17">
        <f>IF(F236="","",Paramètres!$B$5)</f>
        <v/>
      </c>
      <c r="H236" s="18">
        <f>IF(F236="","",ROUND(F236*G236,2))</f>
        <v/>
      </c>
      <c r="I236" s="19">
        <f>IF(F236="","",F236+H236)</f>
        <v/>
      </c>
      <c r="J236" s="15" t="n"/>
      <c r="K236" s="15" t="n"/>
    </row>
    <row r="237">
      <c r="A237" s="14" t="n"/>
      <c r="B237" s="15" t="n"/>
      <c r="C237" s="15" t="n"/>
      <c r="D237" s="15" t="n"/>
      <c r="E237" s="15" t="n"/>
      <c r="F237" s="16" t="n"/>
      <c r="G237" s="17">
        <f>IF(F237="","",Paramètres!$B$5)</f>
        <v/>
      </c>
      <c r="H237" s="18">
        <f>IF(F237="","",ROUND(F237*G237,2))</f>
        <v/>
      </c>
      <c r="I237" s="19">
        <f>IF(F237="","",F237+H237)</f>
        <v/>
      </c>
      <c r="J237" s="15" t="n"/>
      <c r="K237" s="15" t="n"/>
    </row>
    <row r="238">
      <c r="A238" s="14" t="n"/>
      <c r="B238" s="15" t="n"/>
      <c r="C238" s="15" t="n"/>
      <c r="D238" s="15" t="n"/>
      <c r="E238" s="15" t="n"/>
      <c r="F238" s="16" t="n"/>
      <c r="G238" s="17">
        <f>IF(F238="","",Paramètres!$B$5)</f>
        <v/>
      </c>
      <c r="H238" s="18">
        <f>IF(F238="","",ROUND(F238*G238,2))</f>
        <v/>
      </c>
      <c r="I238" s="19">
        <f>IF(F238="","",F238+H238)</f>
        <v/>
      </c>
      <c r="J238" s="15" t="n"/>
      <c r="K238" s="15" t="n"/>
    </row>
    <row r="239">
      <c r="A239" s="14" t="n"/>
      <c r="B239" s="15" t="n"/>
      <c r="C239" s="15" t="n"/>
      <c r="D239" s="15" t="n"/>
      <c r="E239" s="15" t="n"/>
      <c r="F239" s="16" t="n"/>
      <c r="G239" s="17">
        <f>IF(F239="","",Paramètres!$B$5)</f>
        <v/>
      </c>
      <c r="H239" s="18">
        <f>IF(F239="","",ROUND(F239*G239,2))</f>
        <v/>
      </c>
      <c r="I239" s="19">
        <f>IF(F239="","",F239+H239)</f>
        <v/>
      </c>
      <c r="J239" s="15" t="n"/>
      <c r="K239" s="15" t="n"/>
    </row>
    <row r="240">
      <c r="A240" s="14" t="n"/>
      <c r="B240" s="15" t="n"/>
      <c r="C240" s="15" t="n"/>
      <c r="D240" s="15" t="n"/>
      <c r="E240" s="15" t="n"/>
      <c r="F240" s="16" t="n"/>
      <c r="G240" s="17">
        <f>IF(F240="","",Paramètres!$B$5)</f>
        <v/>
      </c>
      <c r="H240" s="18">
        <f>IF(F240="","",ROUND(F240*G240,2))</f>
        <v/>
      </c>
      <c r="I240" s="19">
        <f>IF(F240="","",F240+H240)</f>
        <v/>
      </c>
      <c r="J240" s="15" t="n"/>
      <c r="K240" s="15" t="n"/>
    </row>
    <row r="241">
      <c r="A241" s="14" t="n"/>
      <c r="B241" s="15" t="n"/>
      <c r="C241" s="15" t="n"/>
      <c r="D241" s="15" t="n"/>
      <c r="E241" s="15" t="n"/>
      <c r="F241" s="16" t="n"/>
      <c r="G241" s="17">
        <f>IF(F241="","",Paramètres!$B$5)</f>
        <v/>
      </c>
      <c r="H241" s="18">
        <f>IF(F241="","",ROUND(F241*G241,2))</f>
        <v/>
      </c>
      <c r="I241" s="19">
        <f>IF(F241="","",F241+H241)</f>
        <v/>
      </c>
      <c r="J241" s="15" t="n"/>
      <c r="K241" s="15" t="n"/>
    </row>
    <row r="242">
      <c r="A242" s="14" t="n"/>
      <c r="B242" s="15" t="n"/>
      <c r="C242" s="15" t="n"/>
      <c r="D242" s="15" t="n"/>
      <c r="E242" s="15" t="n"/>
      <c r="F242" s="16" t="n"/>
      <c r="G242" s="17">
        <f>IF(F242="","",Paramètres!$B$5)</f>
        <v/>
      </c>
      <c r="H242" s="18">
        <f>IF(F242="","",ROUND(F242*G242,2))</f>
        <v/>
      </c>
      <c r="I242" s="19">
        <f>IF(F242="","",F242+H242)</f>
        <v/>
      </c>
      <c r="J242" s="15" t="n"/>
      <c r="K242" s="15" t="n"/>
    </row>
    <row r="243">
      <c r="A243" s="14" t="n"/>
      <c r="B243" s="15" t="n"/>
      <c r="C243" s="15" t="n"/>
      <c r="D243" s="15" t="n"/>
      <c r="E243" s="15" t="n"/>
      <c r="F243" s="16" t="n"/>
      <c r="G243" s="17">
        <f>IF(F243="","",Paramètres!$B$5)</f>
        <v/>
      </c>
      <c r="H243" s="18">
        <f>IF(F243="","",ROUND(F243*G243,2))</f>
        <v/>
      </c>
      <c r="I243" s="19">
        <f>IF(F243="","",F243+H243)</f>
        <v/>
      </c>
      <c r="J243" s="15" t="n"/>
      <c r="K243" s="15" t="n"/>
    </row>
    <row r="244">
      <c r="A244" s="14" t="n"/>
      <c r="B244" s="15" t="n"/>
      <c r="C244" s="15" t="n"/>
      <c r="D244" s="15" t="n"/>
      <c r="E244" s="15" t="n"/>
      <c r="F244" s="16" t="n"/>
      <c r="G244" s="17">
        <f>IF(F244="","",Paramètres!$B$5)</f>
        <v/>
      </c>
      <c r="H244" s="18">
        <f>IF(F244="","",ROUND(F244*G244,2))</f>
        <v/>
      </c>
      <c r="I244" s="19">
        <f>IF(F244="","",F244+H244)</f>
        <v/>
      </c>
      <c r="J244" s="15" t="n"/>
      <c r="K244" s="15" t="n"/>
    </row>
    <row r="245">
      <c r="A245" s="14" t="n"/>
      <c r="B245" s="15" t="n"/>
      <c r="C245" s="15" t="n"/>
      <c r="D245" s="15" t="n"/>
      <c r="E245" s="15" t="n"/>
      <c r="F245" s="16" t="n"/>
      <c r="G245" s="17">
        <f>IF(F245="","",Paramètres!$B$5)</f>
        <v/>
      </c>
      <c r="H245" s="18">
        <f>IF(F245="","",ROUND(F245*G245,2))</f>
        <v/>
      </c>
      <c r="I245" s="19">
        <f>IF(F245="","",F245+H245)</f>
        <v/>
      </c>
      <c r="J245" s="15" t="n"/>
      <c r="K245" s="15" t="n"/>
    </row>
    <row r="246">
      <c r="A246" s="14" t="n"/>
      <c r="B246" s="15" t="n"/>
      <c r="C246" s="15" t="n"/>
      <c r="D246" s="15" t="n"/>
      <c r="E246" s="15" t="n"/>
      <c r="F246" s="16" t="n"/>
      <c r="G246" s="17">
        <f>IF(F246="","",Paramètres!$B$5)</f>
        <v/>
      </c>
      <c r="H246" s="18">
        <f>IF(F246="","",ROUND(F246*G246,2))</f>
        <v/>
      </c>
      <c r="I246" s="19">
        <f>IF(F246="","",F246+H246)</f>
        <v/>
      </c>
      <c r="J246" s="15" t="n"/>
      <c r="K246" s="15" t="n"/>
    </row>
    <row r="247">
      <c r="A247" s="14" t="n"/>
      <c r="B247" s="15" t="n"/>
      <c r="C247" s="15" t="n"/>
      <c r="D247" s="15" t="n"/>
      <c r="E247" s="15" t="n"/>
      <c r="F247" s="16" t="n"/>
      <c r="G247" s="17">
        <f>IF(F247="","",Paramètres!$B$5)</f>
        <v/>
      </c>
      <c r="H247" s="18">
        <f>IF(F247="","",ROUND(F247*G247,2))</f>
        <v/>
      </c>
      <c r="I247" s="19">
        <f>IF(F247="","",F247+H247)</f>
        <v/>
      </c>
      <c r="J247" s="15" t="n"/>
      <c r="K247" s="15" t="n"/>
    </row>
    <row r="248">
      <c r="A248" s="14" t="n"/>
      <c r="B248" s="15" t="n"/>
      <c r="C248" s="15" t="n"/>
      <c r="D248" s="15" t="n"/>
      <c r="E248" s="15" t="n"/>
      <c r="F248" s="16" t="n"/>
      <c r="G248" s="17">
        <f>IF(F248="","",Paramètres!$B$5)</f>
        <v/>
      </c>
      <c r="H248" s="18">
        <f>IF(F248="","",ROUND(F248*G248,2))</f>
        <v/>
      </c>
      <c r="I248" s="19">
        <f>IF(F248="","",F248+H248)</f>
        <v/>
      </c>
      <c r="J248" s="15" t="n"/>
      <c r="K248" s="15" t="n"/>
    </row>
    <row r="249">
      <c r="A249" s="14" t="n"/>
      <c r="B249" s="15" t="n"/>
      <c r="C249" s="15" t="n"/>
      <c r="D249" s="15" t="n"/>
      <c r="E249" s="15" t="n"/>
      <c r="F249" s="16" t="n"/>
      <c r="G249" s="17">
        <f>IF(F249="","",Paramètres!$B$5)</f>
        <v/>
      </c>
      <c r="H249" s="18">
        <f>IF(F249="","",ROUND(F249*G249,2))</f>
        <v/>
      </c>
      <c r="I249" s="19">
        <f>IF(F249="","",F249+H249)</f>
        <v/>
      </c>
      <c r="J249" s="15" t="n"/>
      <c r="K249" s="15" t="n"/>
    </row>
    <row r="250">
      <c r="A250" s="14" t="n"/>
      <c r="B250" s="15" t="n"/>
      <c r="C250" s="15" t="n"/>
      <c r="D250" s="15" t="n"/>
      <c r="E250" s="15" t="n"/>
      <c r="F250" s="16" t="n"/>
      <c r="G250" s="17">
        <f>IF(F250="","",Paramètres!$B$5)</f>
        <v/>
      </c>
      <c r="H250" s="18">
        <f>IF(F250="","",ROUND(F250*G250,2))</f>
        <v/>
      </c>
      <c r="I250" s="19">
        <f>IF(F250="","",F250+H250)</f>
        <v/>
      </c>
      <c r="J250" s="15" t="n"/>
      <c r="K250" s="15" t="n"/>
    </row>
    <row r="251">
      <c r="A251" s="14" t="n"/>
      <c r="B251" s="15" t="n"/>
      <c r="C251" s="15" t="n"/>
      <c r="D251" s="15" t="n"/>
      <c r="E251" s="15" t="n"/>
      <c r="F251" s="16" t="n"/>
      <c r="G251" s="17">
        <f>IF(F251="","",Paramètres!$B$5)</f>
        <v/>
      </c>
      <c r="H251" s="18">
        <f>IF(F251="","",ROUND(F251*G251,2))</f>
        <v/>
      </c>
      <c r="I251" s="19">
        <f>IF(F251="","",F251+H251)</f>
        <v/>
      </c>
      <c r="J251" s="15" t="n"/>
      <c r="K251" s="15" t="n"/>
    </row>
    <row r="252">
      <c r="A252" s="14" t="n"/>
      <c r="B252" s="15" t="n"/>
      <c r="C252" s="15" t="n"/>
      <c r="D252" s="15" t="n"/>
      <c r="E252" s="15" t="n"/>
      <c r="F252" s="16" t="n"/>
      <c r="G252" s="17">
        <f>IF(F252="","",Paramètres!$B$5)</f>
        <v/>
      </c>
      <c r="H252" s="18">
        <f>IF(F252="","",ROUND(F252*G252,2))</f>
        <v/>
      </c>
      <c r="I252" s="19">
        <f>IF(F252="","",F252+H252)</f>
        <v/>
      </c>
      <c r="J252" s="15" t="n"/>
      <c r="K252" s="15" t="n"/>
    </row>
    <row r="253">
      <c r="A253" s="14" t="n"/>
      <c r="B253" s="15" t="n"/>
      <c r="C253" s="15" t="n"/>
      <c r="D253" s="15" t="n"/>
      <c r="E253" s="15" t="n"/>
      <c r="F253" s="16" t="n"/>
      <c r="G253" s="17">
        <f>IF(F253="","",Paramètres!$B$5)</f>
        <v/>
      </c>
      <c r="H253" s="18">
        <f>IF(F253="","",ROUND(F253*G253,2))</f>
        <v/>
      </c>
      <c r="I253" s="19">
        <f>IF(F253="","",F253+H253)</f>
        <v/>
      </c>
      <c r="J253" s="15" t="n"/>
      <c r="K253" s="15" t="n"/>
    </row>
    <row r="254">
      <c r="A254" s="14" t="n"/>
      <c r="B254" s="15" t="n"/>
      <c r="C254" s="15" t="n"/>
      <c r="D254" s="15" t="n"/>
      <c r="E254" s="15" t="n"/>
      <c r="F254" s="16" t="n"/>
      <c r="G254" s="17">
        <f>IF(F254="","",Paramètres!$B$5)</f>
        <v/>
      </c>
      <c r="H254" s="18">
        <f>IF(F254="","",ROUND(F254*G254,2))</f>
        <v/>
      </c>
      <c r="I254" s="19">
        <f>IF(F254="","",F254+H254)</f>
        <v/>
      </c>
      <c r="J254" s="15" t="n"/>
      <c r="K254" s="15" t="n"/>
    </row>
    <row r="255">
      <c r="A255" s="14" t="n"/>
      <c r="B255" s="15" t="n"/>
      <c r="C255" s="15" t="n"/>
      <c r="D255" s="15" t="n"/>
      <c r="E255" s="15" t="n"/>
      <c r="F255" s="16" t="n"/>
      <c r="G255" s="17">
        <f>IF(F255="","",Paramètres!$B$5)</f>
        <v/>
      </c>
      <c r="H255" s="18">
        <f>IF(F255="","",ROUND(F255*G255,2))</f>
        <v/>
      </c>
      <c r="I255" s="19">
        <f>IF(F255="","",F255+H255)</f>
        <v/>
      </c>
      <c r="J255" s="15" t="n"/>
      <c r="K255" s="15" t="n"/>
    </row>
    <row r="256">
      <c r="A256" s="14" t="n"/>
      <c r="B256" s="15" t="n"/>
      <c r="C256" s="15" t="n"/>
      <c r="D256" s="15" t="n"/>
      <c r="E256" s="15" t="n"/>
      <c r="F256" s="16" t="n"/>
      <c r="G256" s="17">
        <f>IF(F256="","",Paramètres!$B$5)</f>
        <v/>
      </c>
      <c r="H256" s="18">
        <f>IF(F256="","",ROUND(F256*G256,2))</f>
        <v/>
      </c>
      <c r="I256" s="19">
        <f>IF(F256="","",F256+H256)</f>
        <v/>
      </c>
      <c r="J256" s="15" t="n"/>
      <c r="K256" s="15" t="n"/>
    </row>
    <row r="257">
      <c r="A257" s="14" t="n"/>
      <c r="B257" s="15" t="n"/>
      <c r="C257" s="15" t="n"/>
      <c r="D257" s="15" t="n"/>
      <c r="E257" s="15" t="n"/>
      <c r="F257" s="16" t="n"/>
      <c r="G257" s="17">
        <f>IF(F257="","",Paramètres!$B$5)</f>
        <v/>
      </c>
      <c r="H257" s="18">
        <f>IF(F257="","",ROUND(F257*G257,2))</f>
        <v/>
      </c>
      <c r="I257" s="19">
        <f>IF(F257="","",F257+H257)</f>
        <v/>
      </c>
      <c r="J257" s="15" t="n"/>
      <c r="K257" s="15" t="n"/>
    </row>
    <row r="258">
      <c r="A258" s="14" t="n"/>
      <c r="B258" s="15" t="n"/>
      <c r="C258" s="15" t="n"/>
      <c r="D258" s="15" t="n"/>
      <c r="E258" s="15" t="n"/>
      <c r="F258" s="16" t="n"/>
      <c r="G258" s="17">
        <f>IF(F258="","",Paramètres!$B$5)</f>
        <v/>
      </c>
      <c r="H258" s="18">
        <f>IF(F258="","",ROUND(F258*G258,2))</f>
        <v/>
      </c>
      <c r="I258" s="19">
        <f>IF(F258="","",F258+H258)</f>
        <v/>
      </c>
      <c r="J258" s="15" t="n"/>
      <c r="K258" s="15" t="n"/>
    </row>
    <row r="259">
      <c r="A259" s="14" t="n"/>
      <c r="B259" s="15" t="n"/>
      <c r="C259" s="15" t="n"/>
      <c r="D259" s="15" t="n"/>
      <c r="E259" s="15" t="n"/>
      <c r="F259" s="16" t="n"/>
      <c r="G259" s="17">
        <f>IF(F259="","",Paramètres!$B$5)</f>
        <v/>
      </c>
      <c r="H259" s="18">
        <f>IF(F259="","",ROUND(F259*G259,2))</f>
        <v/>
      </c>
      <c r="I259" s="19">
        <f>IF(F259="","",F259+H259)</f>
        <v/>
      </c>
      <c r="J259" s="15" t="n"/>
      <c r="K259" s="15" t="n"/>
    </row>
    <row r="260">
      <c r="A260" s="14" t="n"/>
      <c r="B260" s="15" t="n"/>
      <c r="C260" s="15" t="n"/>
      <c r="D260" s="15" t="n"/>
      <c r="E260" s="15" t="n"/>
      <c r="F260" s="16" t="n"/>
      <c r="G260" s="17">
        <f>IF(F260="","",Paramètres!$B$5)</f>
        <v/>
      </c>
      <c r="H260" s="18">
        <f>IF(F260="","",ROUND(F260*G260,2))</f>
        <v/>
      </c>
      <c r="I260" s="19">
        <f>IF(F260="","",F260+H260)</f>
        <v/>
      </c>
      <c r="J260" s="15" t="n"/>
      <c r="K260" s="15" t="n"/>
    </row>
    <row r="261">
      <c r="A261" s="14" t="n"/>
      <c r="B261" s="15" t="n"/>
      <c r="C261" s="15" t="n"/>
      <c r="D261" s="15" t="n"/>
      <c r="E261" s="15" t="n"/>
      <c r="F261" s="16" t="n"/>
      <c r="G261" s="17">
        <f>IF(F261="","",Paramètres!$B$5)</f>
        <v/>
      </c>
      <c r="H261" s="18">
        <f>IF(F261="","",ROUND(F261*G261,2))</f>
        <v/>
      </c>
      <c r="I261" s="19">
        <f>IF(F261="","",F261+H261)</f>
        <v/>
      </c>
      <c r="J261" s="15" t="n"/>
      <c r="K261" s="15" t="n"/>
    </row>
    <row r="262">
      <c r="A262" s="14" t="n"/>
      <c r="B262" s="15" t="n"/>
      <c r="C262" s="15" t="n"/>
      <c r="D262" s="15" t="n"/>
      <c r="E262" s="15" t="n"/>
      <c r="F262" s="16" t="n"/>
      <c r="G262" s="17">
        <f>IF(F262="","",Paramètres!$B$5)</f>
        <v/>
      </c>
      <c r="H262" s="18">
        <f>IF(F262="","",ROUND(F262*G262,2))</f>
        <v/>
      </c>
      <c r="I262" s="19">
        <f>IF(F262="","",F262+H262)</f>
        <v/>
      </c>
      <c r="J262" s="15" t="n"/>
      <c r="K262" s="15" t="n"/>
    </row>
    <row r="263">
      <c r="A263" s="14" t="n"/>
      <c r="B263" s="15" t="n"/>
      <c r="C263" s="15" t="n"/>
      <c r="D263" s="15" t="n"/>
      <c r="E263" s="15" t="n"/>
      <c r="F263" s="16" t="n"/>
      <c r="G263" s="17">
        <f>IF(F263="","",Paramètres!$B$5)</f>
        <v/>
      </c>
      <c r="H263" s="18">
        <f>IF(F263="","",ROUND(F263*G263,2))</f>
        <v/>
      </c>
      <c r="I263" s="19">
        <f>IF(F263="","",F263+H263)</f>
        <v/>
      </c>
      <c r="J263" s="15" t="n"/>
      <c r="K263" s="15" t="n"/>
    </row>
    <row r="264">
      <c r="A264" s="14" t="n"/>
      <c r="B264" s="15" t="n"/>
      <c r="C264" s="15" t="n"/>
      <c r="D264" s="15" t="n"/>
      <c r="E264" s="15" t="n"/>
      <c r="F264" s="16" t="n"/>
      <c r="G264" s="17">
        <f>IF(F264="","",Paramètres!$B$5)</f>
        <v/>
      </c>
      <c r="H264" s="18">
        <f>IF(F264="","",ROUND(F264*G264,2))</f>
        <v/>
      </c>
      <c r="I264" s="19">
        <f>IF(F264="","",F264+H264)</f>
        <v/>
      </c>
      <c r="J264" s="15" t="n"/>
      <c r="K264" s="15" t="n"/>
    </row>
    <row r="265">
      <c r="A265" s="14" t="n"/>
      <c r="B265" s="15" t="n"/>
      <c r="C265" s="15" t="n"/>
      <c r="D265" s="15" t="n"/>
      <c r="E265" s="15" t="n"/>
      <c r="F265" s="16" t="n"/>
      <c r="G265" s="17">
        <f>IF(F265="","",Paramètres!$B$5)</f>
        <v/>
      </c>
      <c r="H265" s="18">
        <f>IF(F265="","",ROUND(F265*G265,2))</f>
        <v/>
      </c>
      <c r="I265" s="19">
        <f>IF(F265="","",F265+H265)</f>
        <v/>
      </c>
      <c r="J265" s="15" t="n"/>
      <c r="K265" s="15" t="n"/>
    </row>
    <row r="266">
      <c r="A266" s="14" t="n"/>
      <c r="B266" s="15" t="n"/>
      <c r="C266" s="15" t="n"/>
      <c r="D266" s="15" t="n"/>
      <c r="E266" s="15" t="n"/>
      <c r="F266" s="16" t="n"/>
      <c r="G266" s="17">
        <f>IF(F266="","",Paramètres!$B$5)</f>
        <v/>
      </c>
      <c r="H266" s="18">
        <f>IF(F266="","",ROUND(F266*G266,2))</f>
        <v/>
      </c>
      <c r="I266" s="19">
        <f>IF(F266="","",F266+H266)</f>
        <v/>
      </c>
      <c r="J266" s="15" t="n"/>
      <c r="K266" s="15" t="n"/>
    </row>
    <row r="267">
      <c r="A267" s="14" t="n"/>
      <c r="B267" s="15" t="n"/>
      <c r="C267" s="15" t="n"/>
      <c r="D267" s="15" t="n"/>
      <c r="E267" s="15" t="n"/>
      <c r="F267" s="16" t="n"/>
      <c r="G267" s="17">
        <f>IF(F267="","",Paramètres!$B$5)</f>
        <v/>
      </c>
      <c r="H267" s="18">
        <f>IF(F267="","",ROUND(F267*G267,2))</f>
        <v/>
      </c>
      <c r="I267" s="19">
        <f>IF(F267="","",F267+H267)</f>
        <v/>
      </c>
      <c r="J267" s="15" t="n"/>
      <c r="K267" s="15" t="n"/>
    </row>
    <row r="268">
      <c r="A268" s="14" t="n"/>
      <c r="B268" s="15" t="n"/>
      <c r="C268" s="15" t="n"/>
      <c r="D268" s="15" t="n"/>
      <c r="E268" s="15" t="n"/>
      <c r="F268" s="16" t="n"/>
      <c r="G268" s="17">
        <f>IF(F268="","",Paramètres!$B$5)</f>
        <v/>
      </c>
      <c r="H268" s="18">
        <f>IF(F268="","",ROUND(F268*G268,2))</f>
        <v/>
      </c>
      <c r="I268" s="19">
        <f>IF(F268="","",F268+H268)</f>
        <v/>
      </c>
      <c r="J268" s="15" t="n"/>
      <c r="K268" s="15" t="n"/>
    </row>
    <row r="269">
      <c r="A269" s="14" t="n"/>
      <c r="B269" s="15" t="n"/>
      <c r="C269" s="15" t="n"/>
      <c r="D269" s="15" t="n"/>
      <c r="E269" s="15" t="n"/>
      <c r="F269" s="16" t="n"/>
      <c r="G269" s="17">
        <f>IF(F269="","",Paramètres!$B$5)</f>
        <v/>
      </c>
      <c r="H269" s="18">
        <f>IF(F269="","",ROUND(F269*G269,2))</f>
        <v/>
      </c>
      <c r="I269" s="19">
        <f>IF(F269="","",F269+H269)</f>
        <v/>
      </c>
      <c r="J269" s="15" t="n"/>
      <c r="K269" s="15" t="n"/>
    </row>
    <row r="270">
      <c r="A270" s="14" t="n"/>
      <c r="B270" s="15" t="n"/>
      <c r="C270" s="15" t="n"/>
      <c r="D270" s="15" t="n"/>
      <c r="E270" s="15" t="n"/>
      <c r="F270" s="16" t="n"/>
      <c r="G270" s="17">
        <f>IF(F270="","",Paramètres!$B$5)</f>
        <v/>
      </c>
      <c r="H270" s="18">
        <f>IF(F270="","",ROUND(F270*G270,2))</f>
        <v/>
      </c>
      <c r="I270" s="19">
        <f>IF(F270="","",F270+H270)</f>
        <v/>
      </c>
      <c r="J270" s="15" t="n"/>
      <c r="K270" s="15" t="n"/>
    </row>
    <row r="271">
      <c r="A271" s="14" t="n"/>
      <c r="B271" s="15" t="n"/>
      <c r="C271" s="15" t="n"/>
      <c r="D271" s="15" t="n"/>
      <c r="E271" s="15" t="n"/>
      <c r="F271" s="16" t="n"/>
      <c r="G271" s="17">
        <f>IF(F271="","",Paramètres!$B$5)</f>
        <v/>
      </c>
      <c r="H271" s="18">
        <f>IF(F271="","",ROUND(F271*G271,2))</f>
        <v/>
      </c>
      <c r="I271" s="19">
        <f>IF(F271="","",F271+H271)</f>
        <v/>
      </c>
      <c r="J271" s="15" t="n"/>
      <c r="K271" s="15" t="n"/>
    </row>
    <row r="272">
      <c r="A272" s="14" t="n"/>
      <c r="B272" s="15" t="n"/>
      <c r="C272" s="15" t="n"/>
      <c r="D272" s="15" t="n"/>
      <c r="E272" s="15" t="n"/>
      <c r="F272" s="16" t="n"/>
      <c r="G272" s="17">
        <f>IF(F272="","",Paramètres!$B$5)</f>
        <v/>
      </c>
      <c r="H272" s="18">
        <f>IF(F272="","",ROUND(F272*G272,2))</f>
        <v/>
      </c>
      <c r="I272" s="19">
        <f>IF(F272="","",F272+H272)</f>
        <v/>
      </c>
      <c r="J272" s="15" t="n"/>
      <c r="K272" s="15" t="n"/>
    </row>
    <row r="273">
      <c r="A273" s="14" t="n"/>
      <c r="B273" s="15" t="n"/>
      <c r="C273" s="15" t="n"/>
      <c r="D273" s="15" t="n"/>
      <c r="E273" s="15" t="n"/>
      <c r="F273" s="16" t="n"/>
      <c r="G273" s="17">
        <f>IF(F273="","",Paramètres!$B$5)</f>
        <v/>
      </c>
      <c r="H273" s="18">
        <f>IF(F273="","",ROUND(F273*G273,2))</f>
        <v/>
      </c>
      <c r="I273" s="19">
        <f>IF(F273="","",F273+H273)</f>
        <v/>
      </c>
      <c r="J273" s="15" t="n"/>
      <c r="K273" s="15" t="n"/>
    </row>
    <row r="274">
      <c r="A274" s="14" t="n"/>
      <c r="B274" s="15" t="n"/>
      <c r="C274" s="15" t="n"/>
      <c r="D274" s="15" t="n"/>
      <c r="E274" s="15" t="n"/>
      <c r="F274" s="16" t="n"/>
      <c r="G274" s="17">
        <f>IF(F274="","",Paramètres!$B$5)</f>
        <v/>
      </c>
      <c r="H274" s="18">
        <f>IF(F274="","",ROUND(F274*G274,2))</f>
        <v/>
      </c>
      <c r="I274" s="19">
        <f>IF(F274="","",F274+H274)</f>
        <v/>
      </c>
      <c r="J274" s="15" t="n"/>
      <c r="K274" s="15" t="n"/>
    </row>
    <row r="275">
      <c r="A275" s="14" t="n"/>
      <c r="B275" s="15" t="n"/>
      <c r="C275" s="15" t="n"/>
      <c r="D275" s="15" t="n"/>
      <c r="E275" s="15" t="n"/>
      <c r="F275" s="16" t="n"/>
      <c r="G275" s="17">
        <f>IF(F275="","",Paramètres!$B$5)</f>
        <v/>
      </c>
      <c r="H275" s="18">
        <f>IF(F275="","",ROUND(F275*G275,2))</f>
        <v/>
      </c>
      <c r="I275" s="19">
        <f>IF(F275="","",F275+H275)</f>
        <v/>
      </c>
      <c r="J275" s="15" t="n"/>
      <c r="K275" s="15" t="n"/>
    </row>
    <row r="276">
      <c r="A276" s="14" t="n"/>
      <c r="B276" s="15" t="n"/>
      <c r="C276" s="15" t="n"/>
      <c r="D276" s="15" t="n"/>
      <c r="E276" s="15" t="n"/>
      <c r="F276" s="16" t="n"/>
      <c r="G276" s="17">
        <f>IF(F276="","",Paramètres!$B$5)</f>
        <v/>
      </c>
      <c r="H276" s="18">
        <f>IF(F276="","",ROUND(F276*G276,2))</f>
        <v/>
      </c>
      <c r="I276" s="19">
        <f>IF(F276="","",F276+H276)</f>
        <v/>
      </c>
      <c r="J276" s="15" t="n"/>
      <c r="K276" s="15" t="n"/>
    </row>
    <row r="277">
      <c r="A277" s="14" t="n"/>
      <c r="B277" s="15" t="n"/>
      <c r="C277" s="15" t="n"/>
      <c r="D277" s="15" t="n"/>
      <c r="E277" s="15" t="n"/>
      <c r="F277" s="16" t="n"/>
      <c r="G277" s="17">
        <f>IF(F277="","",Paramètres!$B$5)</f>
        <v/>
      </c>
      <c r="H277" s="18">
        <f>IF(F277="","",ROUND(F277*G277,2))</f>
        <v/>
      </c>
      <c r="I277" s="19">
        <f>IF(F277="","",F277+H277)</f>
        <v/>
      </c>
      <c r="J277" s="15" t="n"/>
      <c r="K277" s="15" t="n"/>
    </row>
    <row r="278">
      <c r="A278" s="14" t="n"/>
      <c r="B278" s="15" t="n"/>
      <c r="C278" s="15" t="n"/>
      <c r="D278" s="15" t="n"/>
      <c r="E278" s="15" t="n"/>
      <c r="F278" s="16" t="n"/>
      <c r="G278" s="17">
        <f>IF(F278="","",Paramètres!$B$5)</f>
        <v/>
      </c>
      <c r="H278" s="18">
        <f>IF(F278="","",ROUND(F278*G278,2))</f>
        <v/>
      </c>
      <c r="I278" s="19">
        <f>IF(F278="","",F278+H278)</f>
        <v/>
      </c>
      <c r="J278" s="15" t="n"/>
      <c r="K278" s="15" t="n"/>
    </row>
    <row r="279">
      <c r="A279" s="14" t="n"/>
      <c r="B279" s="15" t="n"/>
      <c r="C279" s="15" t="n"/>
      <c r="D279" s="15" t="n"/>
      <c r="E279" s="15" t="n"/>
      <c r="F279" s="16" t="n"/>
      <c r="G279" s="17">
        <f>IF(F279="","",Paramètres!$B$5)</f>
        <v/>
      </c>
      <c r="H279" s="18">
        <f>IF(F279="","",ROUND(F279*G279,2))</f>
        <v/>
      </c>
      <c r="I279" s="19">
        <f>IF(F279="","",F279+H279)</f>
        <v/>
      </c>
      <c r="J279" s="15" t="n"/>
      <c r="K279" s="15" t="n"/>
    </row>
    <row r="280">
      <c r="A280" s="14" t="n"/>
      <c r="B280" s="15" t="n"/>
      <c r="C280" s="15" t="n"/>
      <c r="D280" s="15" t="n"/>
      <c r="E280" s="15" t="n"/>
      <c r="F280" s="16" t="n"/>
      <c r="G280" s="17">
        <f>IF(F280="","",Paramètres!$B$5)</f>
        <v/>
      </c>
      <c r="H280" s="18">
        <f>IF(F280="","",ROUND(F280*G280,2))</f>
        <v/>
      </c>
      <c r="I280" s="19">
        <f>IF(F280="","",F280+H280)</f>
        <v/>
      </c>
      <c r="J280" s="15" t="n"/>
      <c r="K280" s="15" t="n"/>
    </row>
    <row r="281">
      <c r="A281" s="14" t="n"/>
      <c r="B281" s="15" t="n"/>
      <c r="C281" s="15" t="n"/>
      <c r="D281" s="15" t="n"/>
      <c r="E281" s="15" t="n"/>
      <c r="F281" s="16" t="n"/>
      <c r="G281" s="17">
        <f>IF(F281="","",Paramètres!$B$5)</f>
        <v/>
      </c>
      <c r="H281" s="18">
        <f>IF(F281="","",ROUND(F281*G281,2))</f>
        <v/>
      </c>
      <c r="I281" s="19">
        <f>IF(F281="","",F281+H281)</f>
        <v/>
      </c>
      <c r="J281" s="15" t="n"/>
      <c r="K281" s="15" t="n"/>
    </row>
    <row r="282">
      <c r="A282" s="14" t="n"/>
      <c r="B282" s="15" t="n"/>
      <c r="C282" s="15" t="n"/>
      <c r="D282" s="15" t="n"/>
      <c r="E282" s="15" t="n"/>
      <c r="F282" s="16" t="n"/>
      <c r="G282" s="17">
        <f>IF(F282="","",Paramètres!$B$5)</f>
        <v/>
      </c>
      <c r="H282" s="18">
        <f>IF(F282="","",ROUND(F282*G282,2))</f>
        <v/>
      </c>
      <c r="I282" s="19">
        <f>IF(F282="","",F282+H282)</f>
        <v/>
      </c>
      <c r="J282" s="15" t="n"/>
      <c r="K282" s="15" t="n"/>
    </row>
    <row r="283">
      <c r="A283" s="14" t="n"/>
      <c r="B283" s="15" t="n"/>
      <c r="C283" s="15" t="n"/>
      <c r="D283" s="15" t="n"/>
      <c r="E283" s="15" t="n"/>
      <c r="F283" s="16" t="n"/>
      <c r="G283" s="17">
        <f>IF(F283="","",Paramètres!$B$5)</f>
        <v/>
      </c>
      <c r="H283" s="18">
        <f>IF(F283="","",ROUND(F283*G283,2))</f>
        <v/>
      </c>
      <c r="I283" s="19">
        <f>IF(F283="","",F283+H283)</f>
        <v/>
      </c>
      <c r="J283" s="15" t="n"/>
      <c r="K283" s="15" t="n"/>
    </row>
    <row r="284">
      <c r="A284" s="14" t="n"/>
      <c r="B284" s="15" t="n"/>
      <c r="C284" s="15" t="n"/>
      <c r="D284" s="15" t="n"/>
      <c r="E284" s="15" t="n"/>
      <c r="F284" s="16" t="n"/>
      <c r="G284" s="17">
        <f>IF(F284="","",Paramètres!$B$5)</f>
        <v/>
      </c>
      <c r="H284" s="18">
        <f>IF(F284="","",ROUND(F284*G284,2))</f>
        <v/>
      </c>
      <c r="I284" s="19">
        <f>IF(F284="","",F284+H284)</f>
        <v/>
      </c>
      <c r="J284" s="15" t="n"/>
      <c r="K284" s="15" t="n"/>
    </row>
    <row r="285">
      <c r="A285" s="14" t="n"/>
      <c r="B285" s="15" t="n"/>
      <c r="C285" s="15" t="n"/>
      <c r="D285" s="15" t="n"/>
      <c r="E285" s="15" t="n"/>
      <c r="F285" s="16" t="n"/>
      <c r="G285" s="17">
        <f>IF(F285="","",Paramètres!$B$5)</f>
        <v/>
      </c>
      <c r="H285" s="18">
        <f>IF(F285="","",ROUND(F285*G285,2))</f>
        <v/>
      </c>
      <c r="I285" s="19">
        <f>IF(F285="","",F285+H285)</f>
        <v/>
      </c>
      <c r="J285" s="15" t="n"/>
      <c r="K285" s="15" t="n"/>
    </row>
    <row r="286">
      <c r="A286" s="14" t="n"/>
      <c r="B286" s="15" t="n"/>
      <c r="C286" s="15" t="n"/>
      <c r="D286" s="15" t="n"/>
      <c r="E286" s="15" t="n"/>
      <c r="F286" s="16" t="n"/>
      <c r="G286" s="17">
        <f>IF(F286="","",Paramètres!$B$5)</f>
        <v/>
      </c>
      <c r="H286" s="18">
        <f>IF(F286="","",ROUND(F286*G286,2))</f>
        <v/>
      </c>
      <c r="I286" s="19">
        <f>IF(F286="","",F286+H286)</f>
        <v/>
      </c>
      <c r="J286" s="15" t="n"/>
      <c r="K286" s="15" t="n"/>
    </row>
    <row r="287">
      <c r="A287" s="14" t="n"/>
      <c r="B287" s="15" t="n"/>
      <c r="C287" s="15" t="n"/>
      <c r="D287" s="15" t="n"/>
      <c r="E287" s="15" t="n"/>
      <c r="F287" s="16" t="n"/>
      <c r="G287" s="17">
        <f>IF(F287="","",Paramètres!$B$5)</f>
        <v/>
      </c>
      <c r="H287" s="18">
        <f>IF(F287="","",ROUND(F287*G287,2))</f>
        <v/>
      </c>
      <c r="I287" s="19">
        <f>IF(F287="","",F287+H287)</f>
        <v/>
      </c>
      <c r="J287" s="15" t="n"/>
      <c r="K287" s="15" t="n"/>
    </row>
    <row r="288">
      <c r="A288" s="14" t="n"/>
      <c r="B288" s="15" t="n"/>
      <c r="C288" s="15" t="n"/>
      <c r="D288" s="15" t="n"/>
      <c r="E288" s="15" t="n"/>
      <c r="F288" s="16" t="n"/>
      <c r="G288" s="17">
        <f>IF(F288="","",Paramètres!$B$5)</f>
        <v/>
      </c>
      <c r="H288" s="18">
        <f>IF(F288="","",ROUND(F288*G288,2))</f>
        <v/>
      </c>
      <c r="I288" s="19">
        <f>IF(F288="","",F288+H288)</f>
        <v/>
      </c>
      <c r="J288" s="15" t="n"/>
      <c r="K288" s="15" t="n"/>
    </row>
    <row r="289">
      <c r="A289" s="14" t="n"/>
      <c r="B289" s="15" t="n"/>
      <c r="C289" s="15" t="n"/>
      <c r="D289" s="15" t="n"/>
      <c r="E289" s="15" t="n"/>
      <c r="F289" s="16" t="n"/>
      <c r="G289" s="17">
        <f>IF(F289="","",Paramètres!$B$5)</f>
        <v/>
      </c>
      <c r="H289" s="18">
        <f>IF(F289="","",ROUND(F289*G289,2))</f>
        <v/>
      </c>
      <c r="I289" s="19">
        <f>IF(F289="","",F289+H289)</f>
        <v/>
      </c>
      <c r="J289" s="15" t="n"/>
      <c r="K289" s="15" t="n"/>
    </row>
    <row r="290">
      <c r="A290" s="14" t="n"/>
      <c r="B290" s="15" t="n"/>
      <c r="C290" s="15" t="n"/>
      <c r="D290" s="15" t="n"/>
      <c r="E290" s="15" t="n"/>
      <c r="F290" s="16" t="n"/>
      <c r="G290" s="17">
        <f>IF(F290="","",Paramètres!$B$5)</f>
        <v/>
      </c>
      <c r="H290" s="18">
        <f>IF(F290="","",ROUND(F290*G290,2))</f>
        <v/>
      </c>
      <c r="I290" s="19">
        <f>IF(F290="","",F290+H290)</f>
        <v/>
      </c>
      <c r="J290" s="15" t="n"/>
      <c r="K290" s="15" t="n"/>
    </row>
    <row r="291">
      <c r="A291" s="14" t="n"/>
      <c r="B291" s="15" t="n"/>
      <c r="C291" s="15" t="n"/>
      <c r="D291" s="15" t="n"/>
      <c r="E291" s="15" t="n"/>
      <c r="F291" s="16" t="n"/>
      <c r="G291" s="17">
        <f>IF(F291="","",Paramètres!$B$5)</f>
        <v/>
      </c>
      <c r="H291" s="18">
        <f>IF(F291="","",ROUND(F291*G291,2))</f>
        <v/>
      </c>
      <c r="I291" s="19">
        <f>IF(F291="","",F291+H291)</f>
        <v/>
      </c>
      <c r="J291" s="15" t="n"/>
      <c r="K291" s="15" t="n"/>
    </row>
    <row r="292">
      <c r="A292" s="14" t="n"/>
      <c r="B292" s="15" t="n"/>
      <c r="C292" s="15" t="n"/>
      <c r="D292" s="15" t="n"/>
      <c r="E292" s="15" t="n"/>
      <c r="F292" s="16" t="n"/>
      <c r="G292" s="17">
        <f>IF(F292="","",Paramètres!$B$5)</f>
        <v/>
      </c>
      <c r="H292" s="18">
        <f>IF(F292="","",ROUND(F292*G292,2))</f>
        <v/>
      </c>
      <c r="I292" s="19">
        <f>IF(F292="","",F292+H292)</f>
        <v/>
      </c>
      <c r="J292" s="15" t="n"/>
      <c r="K292" s="15" t="n"/>
    </row>
    <row r="293">
      <c r="A293" s="14" t="n"/>
      <c r="B293" s="15" t="n"/>
      <c r="C293" s="15" t="n"/>
      <c r="D293" s="15" t="n"/>
      <c r="E293" s="15" t="n"/>
      <c r="F293" s="16" t="n"/>
      <c r="G293" s="17">
        <f>IF(F293="","",Paramètres!$B$5)</f>
        <v/>
      </c>
      <c r="H293" s="18">
        <f>IF(F293="","",ROUND(F293*G293,2))</f>
        <v/>
      </c>
      <c r="I293" s="19">
        <f>IF(F293="","",F293+H293)</f>
        <v/>
      </c>
      <c r="J293" s="15" t="n"/>
      <c r="K293" s="15" t="n"/>
    </row>
    <row r="294">
      <c r="A294" s="14" t="n"/>
      <c r="B294" s="15" t="n"/>
      <c r="C294" s="15" t="n"/>
      <c r="D294" s="15" t="n"/>
      <c r="E294" s="15" t="n"/>
      <c r="F294" s="16" t="n"/>
      <c r="G294" s="17">
        <f>IF(F294="","",Paramètres!$B$5)</f>
        <v/>
      </c>
      <c r="H294" s="18">
        <f>IF(F294="","",ROUND(F294*G294,2))</f>
        <v/>
      </c>
      <c r="I294" s="19">
        <f>IF(F294="","",F294+H294)</f>
        <v/>
      </c>
      <c r="J294" s="15" t="n"/>
      <c r="K294" s="15" t="n"/>
    </row>
    <row r="295">
      <c r="A295" s="14" t="n"/>
      <c r="B295" s="15" t="n"/>
      <c r="C295" s="15" t="n"/>
      <c r="D295" s="15" t="n"/>
      <c r="E295" s="15" t="n"/>
      <c r="F295" s="16" t="n"/>
      <c r="G295" s="17">
        <f>IF(F295="","",Paramètres!$B$5)</f>
        <v/>
      </c>
      <c r="H295" s="18">
        <f>IF(F295="","",ROUND(F295*G295,2))</f>
        <v/>
      </c>
      <c r="I295" s="19">
        <f>IF(F295="","",F295+H295)</f>
        <v/>
      </c>
      <c r="J295" s="15" t="n"/>
      <c r="K295" s="15" t="n"/>
    </row>
    <row r="296">
      <c r="A296" s="14" t="n"/>
      <c r="B296" s="15" t="n"/>
      <c r="C296" s="15" t="n"/>
      <c r="D296" s="15" t="n"/>
      <c r="E296" s="15" t="n"/>
      <c r="F296" s="16" t="n"/>
      <c r="G296" s="17">
        <f>IF(F296="","",Paramètres!$B$5)</f>
        <v/>
      </c>
      <c r="H296" s="18">
        <f>IF(F296="","",ROUND(F296*G296,2))</f>
        <v/>
      </c>
      <c r="I296" s="19">
        <f>IF(F296="","",F296+H296)</f>
        <v/>
      </c>
      <c r="J296" s="15" t="n"/>
      <c r="K296" s="15" t="n"/>
    </row>
    <row r="297">
      <c r="A297" s="14" t="n"/>
      <c r="B297" s="15" t="n"/>
      <c r="C297" s="15" t="n"/>
      <c r="D297" s="15" t="n"/>
      <c r="E297" s="15" t="n"/>
      <c r="F297" s="16" t="n"/>
      <c r="G297" s="17">
        <f>IF(F297="","",Paramètres!$B$5)</f>
        <v/>
      </c>
      <c r="H297" s="18">
        <f>IF(F297="","",ROUND(F297*G297,2))</f>
        <v/>
      </c>
      <c r="I297" s="19">
        <f>IF(F297="","",F297+H297)</f>
        <v/>
      </c>
      <c r="J297" s="15" t="n"/>
      <c r="K297" s="15" t="n"/>
    </row>
    <row r="298">
      <c r="A298" s="14" t="n"/>
      <c r="B298" s="15" t="n"/>
      <c r="C298" s="15" t="n"/>
      <c r="D298" s="15" t="n"/>
      <c r="E298" s="15" t="n"/>
      <c r="F298" s="16" t="n"/>
      <c r="G298" s="17">
        <f>IF(F298="","",Paramètres!$B$5)</f>
        <v/>
      </c>
      <c r="H298" s="18">
        <f>IF(F298="","",ROUND(F298*G298,2))</f>
        <v/>
      </c>
      <c r="I298" s="19">
        <f>IF(F298="","",F298+H298)</f>
        <v/>
      </c>
      <c r="J298" s="15" t="n"/>
      <c r="K298" s="15" t="n"/>
    </row>
    <row r="299">
      <c r="A299" s="14" t="n"/>
      <c r="B299" s="15" t="n"/>
      <c r="C299" s="15" t="n"/>
      <c r="D299" s="15" t="n"/>
      <c r="E299" s="15" t="n"/>
      <c r="F299" s="16" t="n"/>
      <c r="G299" s="17">
        <f>IF(F299="","",Paramètres!$B$5)</f>
        <v/>
      </c>
      <c r="H299" s="18">
        <f>IF(F299="","",ROUND(F299*G299,2))</f>
        <v/>
      </c>
      <c r="I299" s="19">
        <f>IF(F299="","",F299+H299)</f>
        <v/>
      </c>
      <c r="J299" s="15" t="n"/>
      <c r="K299" s="15" t="n"/>
    </row>
    <row r="300">
      <c r="A300" s="14" t="n"/>
      <c r="B300" s="15" t="n"/>
      <c r="C300" s="15" t="n"/>
      <c r="D300" s="15" t="n"/>
      <c r="E300" s="15" t="n"/>
      <c r="F300" s="16" t="n"/>
      <c r="G300" s="17">
        <f>IF(F300="","",Paramètres!$B$5)</f>
        <v/>
      </c>
      <c r="H300" s="18">
        <f>IF(F300="","",ROUND(F300*G300,2))</f>
        <v/>
      </c>
      <c r="I300" s="19">
        <f>IF(F300="","",F300+H300)</f>
        <v/>
      </c>
      <c r="J300" s="15" t="n"/>
      <c r="K300" s="15" t="n"/>
    </row>
    <row r="301">
      <c r="A301" s="14" t="n"/>
      <c r="B301" s="15" t="n"/>
      <c r="C301" s="15" t="n"/>
      <c r="D301" s="15" t="n"/>
      <c r="E301" s="15" t="n"/>
      <c r="F301" s="16" t="n"/>
      <c r="G301" s="17">
        <f>IF(F301="","",Paramètres!$B$5)</f>
        <v/>
      </c>
      <c r="H301" s="18">
        <f>IF(F301="","",ROUND(F301*G301,2))</f>
        <v/>
      </c>
      <c r="I301" s="19">
        <f>IF(F301="","",F301+H301)</f>
        <v/>
      </c>
      <c r="J301" s="15" t="n"/>
      <c r="K301" s="15" t="n"/>
    </row>
    <row r="302">
      <c r="A302" s="14" t="n"/>
      <c r="B302" s="15" t="n"/>
      <c r="C302" s="15" t="n"/>
      <c r="D302" s="15" t="n"/>
      <c r="E302" s="15" t="n"/>
      <c r="F302" s="16" t="n"/>
      <c r="G302" s="17">
        <f>IF(F302="","",Paramètres!$B$5)</f>
        <v/>
      </c>
      <c r="H302" s="18">
        <f>IF(F302="","",ROUND(F302*G302,2))</f>
        <v/>
      </c>
      <c r="I302" s="19">
        <f>IF(F302="","",F302+H302)</f>
        <v/>
      </c>
      <c r="J302" s="15" t="n"/>
      <c r="K302" s="15" t="n"/>
    </row>
    <row r="303">
      <c r="A303" s="14" t="n"/>
      <c r="B303" s="15" t="n"/>
      <c r="C303" s="15" t="n"/>
      <c r="D303" s="15" t="n"/>
      <c r="E303" s="15" t="n"/>
      <c r="F303" s="16" t="n"/>
      <c r="G303" s="17">
        <f>IF(F303="","",Paramètres!$B$5)</f>
        <v/>
      </c>
      <c r="H303" s="18">
        <f>IF(F303="","",ROUND(F303*G303,2))</f>
        <v/>
      </c>
      <c r="I303" s="19">
        <f>IF(F303="","",F303+H303)</f>
        <v/>
      </c>
      <c r="J303" s="15" t="n"/>
      <c r="K303" s="15" t="n"/>
    </row>
    <row r="304">
      <c r="A304" s="14" t="n"/>
      <c r="B304" s="15" t="n"/>
      <c r="C304" s="15" t="n"/>
      <c r="D304" s="15" t="n"/>
      <c r="E304" s="15" t="n"/>
      <c r="F304" s="16" t="n"/>
      <c r="G304" s="17">
        <f>IF(F304="","",Paramètres!$B$5)</f>
        <v/>
      </c>
      <c r="H304" s="18">
        <f>IF(F304="","",ROUND(F304*G304,2))</f>
        <v/>
      </c>
      <c r="I304" s="19">
        <f>IF(F304="","",F304+H304)</f>
        <v/>
      </c>
      <c r="J304" s="15" t="n"/>
      <c r="K304" s="15" t="n"/>
    </row>
    <row r="305">
      <c r="A305" s="14" t="n"/>
      <c r="B305" s="15" t="n"/>
      <c r="C305" s="15" t="n"/>
      <c r="D305" s="15" t="n"/>
      <c r="E305" s="15" t="n"/>
      <c r="F305" s="16" t="n"/>
      <c r="G305" s="17">
        <f>IF(F305="","",Paramètres!$B$5)</f>
        <v/>
      </c>
      <c r="H305" s="18">
        <f>IF(F305="","",ROUND(F305*G305,2))</f>
        <v/>
      </c>
      <c r="I305" s="19">
        <f>IF(F305="","",F305+H305)</f>
        <v/>
      </c>
      <c r="J305" s="15" t="n"/>
      <c r="K305" s="15" t="n"/>
    </row>
    <row r="306">
      <c r="E306" s="3" t="inlineStr">
        <is>
          <t>TOTAUX</t>
        </is>
      </c>
      <c r="F306" s="20">
        <f>SUM(F6:F305)</f>
        <v/>
      </c>
      <c r="H306" s="20">
        <f>SUM(H6:H305)</f>
        <v/>
      </c>
      <c r="I306" s="20">
        <f>SUM(I6:I305)</f>
        <v/>
      </c>
    </row>
  </sheetData>
  <dataValidations count="2">
    <dataValidation sqref="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showDropDown="0" showInputMessage="0" showErrorMessage="0" allowBlank="1" type="list">
      <formula1>"Marchandises,Réparation"</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showDropDown="0" showInputMessage="0" showErrorMessage="0" allowBlank="1" type="list">
      <formula1>"Espèces,Chèque,Virement,À crédit"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0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 customWidth="1" min="3" max="3"/>
    <col width="14" customWidth="1" min="4" max="4"/>
    <col width="30" customWidth="1" min="5" max="5"/>
    <col width="9" customWidth="1" min="6" max="6"/>
    <col width="10" customWidth="1" min="7" max="7"/>
    <col width="10" customWidth="1" min="8" max="8"/>
    <col width="6" customWidth="1" min="9" max="9"/>
    <col width="6" customWidth="1" min="10" max="10"/>
    <col width="8" customWidth="1" min="11" max="11"/>
    <col width="15" customWidth="1" min="12" max="12"/>
    <col width="15" customWidth="1" min="13" max="13"/>
    <col width="6" customWidth="1" min="14" max="14"/>
    <col width="6" customWidth="1" min="15" max="15"/>
    <col width="6" customWidth="1" min="16" max="16"/>
    <col width="6" customWidth="1" min="17" max="17"/>
    <col width="6" customWidth="1" min="18" max="18"/>
  </cols>
  <sheetData>
    <row r="1">
      <c r="A1" s="21" t="inlineStr">
        <is>
          <t>FOLIO</t>
        </is>
      </c>
      <c r="B1" s="21" t="inlineStr">
        <is>
          <t>PIECE</t>
        </is>
      </c>
      <c r="C1" s="21" t="inlineStr">
        <is>
          <t>DATE</t>
        </is>
      </c>
      <c r="D1" s="21" t="inlineStr">
        <is>
          <t>REFERENCE</t>
        </is>
      </c>
      <c r="E1" s="21" t="inlineStr">
        <is>
          <t>LIBELLE</t>
        </is>
      </c>
      <c r="F1" s="21" t="inlineStr">
        <is>
          <t>CODE_JRN</t>
        </is>
      </c>
      <c r="G1" s="21" t="inlineStr">
        <is>
          <t>CODE_COM</t>
        </is>
      </c>
      <c r="H1" s="21" t="inlineStr">
        <is>
          <t>CODE_AUX</t>
        </is>
      </c>
      <c r="I1" s="21" t="inlineStr">
        <is>
          <t>CODE_BDG</t>
        </is>
      </c>
      <c r="J1" s="21" t="inlineStr">
        <is>
          <t>CODE_NAT</t>
        </is>
      </c>
      <c r="K1" s="21" t="inlineStr">
        <is>
          <t>CODE_UNT</t>
        </is>
      </c>
      <c r="L1" s="21" t="inlineStr">
        <is>
          <t>DEBIT</t>
        </is>
      </c>
      <c r="M1" s="21" t="inlineStr">
        <is>
          <t>CREDIT</t>
        </is>
      </c>
      <c r="N1" s="21" t="inlineStr">
        <is>
          <t>LETTRAGE</t>
        </is>
      </c>
      <c r="O1" s="21" t="inlineStr">
        <is>
          <t>LIBELLEA</t>
        </is>
      </c>
      <c r="P1" s="21" t="inlineStr">
        <is>
          <t>CTP_COM</t>
        </is>
      </c>
      <c r="Q1" s="21" t="inlineStr">
        <is>
          <t>CTP_AUX</t>
        </is>
      </c>
      <c r="R1" s="21" t="inlineStr">
        <is>
          <t>ECHEANCE</t>
        </is>
      </c>
    </row>
    <row r="2">
      <c r="A2" s="22" t="inlineStr">
        <is>
          <t>1</t>
        </is>
      </c>
      <c r="B2" s="22">
        <f>IF('Brouillard ventes'!$F$6="","","VD"&amp;TEXT(ROW('Brouillard ventes'!$F$6)-5,"00000"))</f>
        <v/>
      </c>
      <c r="C2" s="22">
        <f>IF('Brouillard ventes'!$F$6="","",YEAR('Brouillard ventes'!$A$6)*10000+MONTH('Brouillard ventes'!$A$6)*100+DAY('Brouillard ventes'!$A$6))</f>
        <v/>
      </c>
      <c r="D2" s="22">
        <f>IF('Brouillard ventes'!$F$6="","",'Brouillard ventes'!$B$6)</f>
        <v/>
      </c>
      <c r="E2" s="22">
        <f>IF('Brouillard ventes'!$F$6="","",LEFT('Brouillard ventes'!$D$6,30))</f>
        <v/>
      </c>
      <c r="F2" s="22" t="inlineStr">
        <is>
          <t>15001</t>
        </is>
      </c>
      <c r="G2" s="22">
        <f>IF('Brouillard ventes'!$F$6="","",Paramètres!$B$7)</f>
        <v/>
      </c>
      <c r="H2" s="22">
        <f>IF('Brouillard ventes'!$F$6="","",IF('Brouillard ventes'!$C$6="","CD001",'Brouillard ventes'!$C$6))</f>
        <v/>
      </c>
      <c r="I2" s="22" t="inlineStr"/>
      <c r="J2" s="22" t="inlineStr"/>
      <c r="K2" s="22">
        <f>IF('Brouillard ventes'!$F$6="","",Paramètres!$B$11)</f>
        <v/>
      </c>
      <c r="L2" s="23">
        <f>IF('Brouillard ventes'!$F$6="","",'Brouillard ventes'!$I$6)</f>
        <v/>
      </c>
      <c r="M2" s="23" t="n">
        <v>0</v>
      </c>
    </row>
    <row r="3">
      <c r="A3" s="22" t="inlineStr">
        <is>
          <t>1</t>
        </is>
      </c>
      <c r="B3" s="22">
        <f>IF('Brouillard ventes'!$F$6="","","VD"&amp;TEXT(ROW('Brouillard ventes'!$F$6)-5,"00000"))</f>
        <v/>
      </c>
      <c r="C3" s="22">
        <f>IF('Brouillard ventes'!$F$6="","",YEAR('Brouillard ventes'!$A$6)*10000+MONTH('Brouillard ventes'!$A$6)*100+DAY('Brouillard ventes'!$A$6))</f>
        <v/>
      </c>
      <c r="D3" s="22">
        <f>IF('Brouillard ventes'!$F$6="","",'Brouillard ventes'!$B$6)</f>
        <v/>
      </c>
      <c r="E3" s="22">
        <f>IF('Brouillard ventes'!$F$6="","",LEFT('Brouillard ventes'!$D$6,30))</f>
        <v/>
      </c>
      <c r="F3" s="22" t="inlineStr">
        <is>
          <t>15001</t>
        </is>
      </c>
      <c r="G3" s="22">
        <f>IF('Brouillard ventes'!$F$6="","",IF('Brouillard ventes'!$E$6="Réparation",Paramètres!$B$9,Paramètres!$B$8))</f>
        <v/>
      </c>
      <c r="H3" s="22" t="inlineStr"/>
      <c r="I3" s="22" t="inlineStr"/>
      <c r="J3" s="22" t="inlineStr"/>
      <c r="K3" s="22">
        <f>IF('Brouillard ventes'!$F$6="","",Paramètres!$B$11)</f>
        <v/>
      </c>
      <c r="L3" s="23" t="n">
        <v>0</v>
      </c>
      <c r="M3" s="23">
        <f>IF('Brouillard ventes'!$F$6="","",'Brouillard ventes'!$F$6)</f>
        <v/>
      </c>
    </row>
    <row r="4">
      <c r="A4" s="22" t="inlineStr">
        <is>
          <t>1</t>
        </is>
      </c>
      <c r="B4" s="22">
        <f>IF('Brouillard ventes'!$F$6="","","VD"&amp;TEXT(ROW('Brouillard ventes'!$F$6)-5,"00000"))</f>
        <v/>
      </c>
      <c r="C4" s="22">
        <f>IF('Brouillard ventes'!$F$6="","",YEAR('Brouillard ventes'!$A$6)*10000+MONTH('Brouillard ventes'!$A$6)*100+DAY('Brouillard ventes'!$A$6))</f>
        <v/>
      </c>
      <c r="D4" s="22">
        <f>IF('Brouillard ventes'!$F$6="","",'Brouillard ventes'!$B$6)</f>
        <v/>
      </c>
      <c r="E4" s="22">
        <f>IF('Brouillard ventes'!$F$6="","",LEFT('Brouillard ventes'!$D$6,30))</f>
        <v/>
      </c>
      <c r="F4" s="22" t="inlineStr">
        <is>
          <t>15001</t>
        </is>
      </c>
      <c r="G4" s="22">
        <f>IF('Brouillard ventes'!$F$6="","",Paramètres!$B$10)</f>
        <v/>
      </c>
      <c r="H4" s="22" t="inlineStr"/>
      <c r="I4" s="22" t="inlineStr"/>
      <c r="J4" s="22" t="inlineStr"/>
      <c r="K4" s="22">
        <f>IF('Brouillard ventes'!$F$6="","",Paramètres!$B$11)</f>
        <v/>
      </c>
      <c r="L4" s="23" t="n">
        <v>0</v>
      </c>
      <c r="M4" s="23">
        <f>IF('Brouillard ventes'!$F$6="","",'Brouillard ventes'!$H$6)</f>
        <v/>
      </c>
    </row>
    <row r="5">
      <c r="A5" s="22" t="inlineStr">
        <is>
          <t>1</t>
        </is>
      </c>
      <c r="B5" s="22">
        <f>IF('Brouillard ventes'!$F$7="","","VD"&amp;TEXT(ROW('Brouillard ventes'!$F$7)-5,"00000"))</f>
        <v/>
      </c>
      <c r="C5" s="22">
        <f>IF('Brouillard ventes'!$F$7="","",YEAR('Brouillard ventes'!$A$7)*10000+MONTH('Brouillard ventes'!$A$7)*100+DAY('Brouillard ventes'!$A$7))</f>
        <v/>
      </c>
      <c r="D5" s="22">
        <f>IF('Brouillard ventes'!$F$7="","",'Brouillard ventes'!$B$7)</f>
        <v/>
      </c>
      <c r="E5" s="22">
        <f>IF('Brouillard ventes'!$F$7="","",LEFT('Brouillard ventes'!$D$7,30))</f>
        <v/>
      </c>
      <c r="F5" s="22" t="inlineStr">
        <is>
          <t>15001</t>
        </is>
      </c>
      <c r="G5" s="22">
        <f>IF('Brouillard ventes'!$F$7="","",Paramètres!$B$7)</f>
        <v/>
      </c>
      <c r="H5" s="22">
        <f>IF('Brouillard ventes'!$F$7="","",IF('Brouillard ventes'!$C$7="","CD001",'Brouillard ventes'!$C$7))</f>
        <v/>
      </c>
      <c r="I5" s="22" t="inlineStr"/>
      <c r="J5" s="22" t="inlineStr"/>
      <c r="K5" s="22">
        <f>IF('Brouillard ventes'!$F$7="","",Paramètres!$B$11)</f>
        <v/>
      </c>
      <c r="L5" s="23">
        <f>IF('Brouillard ventes'!$F$7="","",'Brouillard ventes'!$I$7)</f>
        <v/>
      </c>
      <c r="M5" s="23" t="n">
        <v>0</v>
      </c>
    </row>
    <row r="6">
      <c r="A6" s="22" t="inlineStr">
        <is>
          <t>1</t>
        </is>
      </c>
      <c r="B6" s="22">
        <f>IF('Brouillard ventes'!$F$7="","","VD"&amp;TEXT(ROW('Brouillard ventes'!$F$7)-5,"00000"))</f>
        <v/>
      </c>
      <c r="C6" s="22">
        <f>IF('Brouillard ventes'!$F$7="","",YEAR('Brouillard ventes'!$A$7)*10000+MONTH('Brouillard ventes'!$A$7)*100+DAY('Brouillard ventes'!$A$7))</f>
        <v/>
      </c>
      <c r="D6" s="22">
        <f>IF('Brouillard ventes'!$F$7="","",'Brouillard ventes'!$B$7)</f>
        <v/>
      </c>
      <c r="E6" s="22">
        <f>IF('Brouillard ventes'!$F$7="","",LEFT('Brouillard ventes'!$D$7,30))</f>
        <v/>
      </c>
      <c r="F6" s="22" t="inlineStr">
        <is>
          <t>15001</t>
        </is>
      </c>
      <c r="G6" s="22">
        <f>IF('Brouillard ventes'!$F$7="","",IF('Brouillard ventes'!$E$7="Réparation",Paramètres!$B$9,Paramètres!$B$8))</f>
        <v/>
      </c>
      <c r="H6" s="22" t="inlineStr"/>
      <c r="I6" s="22" t="inlineStr"/>
      <c r="J6" s="22" t="inlineStr"/>
      <c r="K6" s="22">
        <f>IF('Brouillard ventes'!$F$7="","",Paramètres!$B$11)</f>
        <v/>
      </c>
      <c r="L6" s="23" t="n">
        <v>0</v>
      </c>
      <c r="M6" s="23">
        <f>IF('Brouillard ventes'!$F$7="","",'Brouillard ventes'!$F$7)</f>
        <v/>
      </c>
    </row>
    <row r="7">
      <c r="A7" s="22" t="inlineStr">
        <is>
          <t>1</t>
        </is>
      </c>
      <c r="B7" s="22">
        <f>IF('Brouillard ventes'!$F$7="","","VD"&amp;TEXT(ROW('Brouillard ventes'!$F$7)-5,"00000"))</f>
        <v/>
      </c>
      <c r="C7" s="22">
        <f>IF('Brouillard ventes'!$F$7="","",YEAR('Brouillard ventes'!$A$7)*10000+MONTH('Brouillard ventes'!$A$7)*100+DAY('Brouillard ventes'!$A$7))</f>
        <v/>
      </c>
      <c r="D7" s="22">
        <f>IF('Brouillard ventes'!$F$7="","",'Brouillard ventes'!$B$7)</f>
        <v/>
      </c>
      <c r="E7" s="22">
        <f>IF('Brouillard ventes'!$F$7="","",LEFT('Brouillard ventes'!$D$7,30))</f>
        <v/>
      </c>
      <c r="F7" s="22" t="inlineStr">
        <is>
          <t>15001</t>
        </is>
      </c>
      <c r="G7" s="22">
        <f>IF('Brouillard ventes'!$F$7="","",Paramètres!$B$10)</f>
        <v/>
      </c>
      <c r="H7" s="22" t="inlineStr"/>
      <c r="I7" s="22" t="inlineStr"/>
      <c r="J7" s="22" t="inlineStr"/>
      <c r="K7" s="22">
        <f>IF('Brouillard ventes'!$F$7="","",Paramètres!$B$11)</f>
        <v/>
      </c>
      <c r="L7" s="23" t="n">
        <v>0</v>
      </c>
      <c r="M7" s="23">
        <f>IF('Brouillard ventes'!$F$7="","",'Brouillard ventes'!$H$7)</f>
        <v/>
      </c>
    </row>
    <row r="8">
      <c r="A8" s="22" t="inlineStr">
        <is>
          <t>1</t>
        </is>
      </c>
      <c r="B8" s="22">
        <f>IF('Brouillard ventes'!$F$8="","","VD"&amp;TEXT(ROW('Brouillard ventes'!$F$8)-5,"00000"))</f>
        <v/>
      </c>
      <c r="C8" s="22">
        <f>IF('Brouillard ventes'!$F$8="","",YEAR('Brouillard ventes'!$A$8)*10000+MONTH('Brouillard ventes'!$A$8)*100+DAY('Brouillard ventes'!$A$8))</f>
        <v/>
      </c>
      <c r="D8" s="22">
        <f>IF('Brouillard ventes'!$F$8="","",'Brouillard ventes'!$B$8)</f>
        <v/>
      </c>
      <c r="E8" s="22">
        <f>IF('Brouillard ventes'!$F$8="","",LEFT('Brouillard ventes'!$D$8,30))</f>
        <v/>
      </c>
      <c r="F8" s="22" t="inlineStr">
        <is>
          <t>15001</t>
        </is>
      </c>
      <c r="G8" s="22">
        <f>IF('Brouillard ventes'!$F$8="","",Paramètres!$B$7)</f>
        <v/>
      </c>
      <c r="H8" s="22">
        <f>IF('Brouillard ventes'!$F$8="","",IF('Brouillard ventes'!$C$8="","CD001",'Brouillard ventes'!$C$8))</f>
        <v/>
      </c>
      <c r="I8" s="22" t="inlineStr"/>
      <c r="J8" s="22" t="inlineStr"/>
      <c r="K8" s="22">
        <f>IF('Brouillard ventes'!$F$8="","",Paramètres!$B$11)</f>
        <v/>
      </c>
      <c r="L8" s="23">
        <f>IF('Brouillard ventes'!$F$8="","",'Brouillard ventes'!$I$8)</f>
        <v/>
      </c>
      <c r="M8" s="23" t="n">
        <v>0</v>
      </c>
    </row>
    <row r="9">
      <c r="A9" s="22" t="inlineStr">
        <is>
          <t>1</t>
        </is>
      </c>
      <c r="B9" s="22">
        <f>IF('Brouillard ventes'!$F$8="","","VD"&amp;TEXT(ROW('Brouillard ventes'!$F$8)-5,"00000"))</f>
        <v/>
      </c>
      <c r="C9" s="22">
        <f>IF('Brouillard ventes'!$F$8="","",YEAR('Brouillard ventes'!$A$8)*10000+MONTH('Brouillard ventes'!$A$8)*100+DAY('Brouillard ventes'!$A$8))</f>
        <v/>
      </c>
      <c r="D9" s="22">
        <f>IF('Brouillard ventes'!$F$8="","",'Brouillard ventes'!$B$8)</f>
        <v/>
      </c>
      <c r="E9" s="22">
        <f>IF('Brouillard ventes'!$F$8="","",LEFT('Brouillard ventes'!$D$8,30))</f>
        <v/>
      </c>
      <c r="F9" s="22" t="inlineStr">
        <is>
          <t>15001</t>
        </is>
      </c>
      <c r="G9" s="22">
        <f>IF('Brouillard ventes'!$F$8="","",IF('Brouillard ventes'!$E$8="Réparation",Paramètres!$B$9,Paramètres!$B$8))</f>
        <v/>
      </c>
      <c r="H9" s="22" t="inlineStr"/>
      <c r="I9" s="22" t="inlineStr"/>
      <c r="J9" s="22" t="inlineStr"/>
      <c r="K9" s="22">
        <f>IF('Brouillard ventes'!$F$8="","",Paramètres!$B$11)</f>
        <v/>
      </c>
      <c r="L9" s="23" t="n">
        <v>0</v>
      </c>
      <c r="M9" s="23">
        <f>IF('Brouillard ventes'!$F$8="","",'Brouillard ventes'!$F$8)</f>
        <v/>
      </c>
    </row>
    <row r="10">
      <c r="A10" s="22" t="inlineStr">
        <is>
          <t>1</t>
        </is>
      </c>
      <c r="B10" s="22">
        <f>IF('Brouillard ventes'!$F$8="","","VD"&amp;TEXT(ROW('Brouillard ventes'!$F$8)-5,"00000"))</f>
        <v/>
      </c>
      <c r="C10" s="22">
        <f>IF('Brouillard ventes'!$F$8="","",YEAR('Brouillard ventes'!$A$8)*10000+MONTH('Brouillard ventes'!$A$8)*100+DAY('Brouillard ventes'!$A$8))</f>
        <v/>
      </c>
      <c r="D10" s="22">
        <f>IF('Brouillard ventes'!$F$8="","",'Brouillard ventes'!$B$8)</f>
        <v/>
      </c>
      <c r="E10" s="22">
        <f>IF('Brouillard ventes'!$F$8="","",LEFT('Brouillard ventes'!$D$8,30))</f>
        <v/>
      </c>
      <c r="F10" s="22" t="inlineStr">
        <is>
          <t>15001</t>
        </is>
      </c>
      <c r="G10" s="22">
        <f>IF('Brouillard ventes'!$F$8="","",Paramètres!$B$10)</f>
        <v/>
      </c>
      <c r="H10" s="22" t="inlineStr"/>
      <c r="I10" s="22" t="inlineStr"/>
      <c r="J10" s="22" t="inlineStr"/>
      <c r="K10" s="22">
        <f>IF('Brouillard ventes'!$F$8="","",Paramètres!$B$11)</f>
        <v/>
      </c>
      <c r="L10" s="23" t="n">
        <v>0</v>
      </c>
      <c r="M10" s="23">
        <f>IF('Brouillard ventes'!$F$8="","",'Brouillard ventes'!$H$8)</f>
        <v/>
      </c>
    </row>
    <row r="11">
      <c r="A11" s="22" t="inlineStr">
        <is>
          <t>1</t>
        </is>
      </c>
      <c r="B11" s="22">
        <f>IF('Brouillard ventes'!$F$9="","","VD"&amp;TEXT(ROW('Brouillard ventes'!$F$9)-5,"00000"))</f>
        <v/>
      </c>
      <c r="C11" s="22">
        <f>IF('Brouillard ventes'!$F$9="","",YEAR('Brouillard ventes'!$A$9)*10000+MONTH('Brouillard ventes'!$A$9)*100+DAY('Brouillard ventes'!$A$9))</f>
        <v/>
      </c>
      <c r="D11" s="22">
        <f>IF('Brouillard ventes'!$F$9="","",'Brouillard ventes'!$B$9)</f>
        <v/>
      </c>
      <c r="E11" s="22">
        <f>IF('Brouillard ventes'!$F$9="","",LEFT('Brouillard ventes'!$D$9,30))</f>
        <v/>
      </c>
      <c r="F11" s="22" t="inlineStr">
        <is>
          <t>15001</t>
        </is>
      </c>
      <c r="G11" s="22">
        <f>IF('Brouillard ventes'!$F$9="","",Paramètres!$B$7)</f>
        <v/>
      </c>
      <c r="H11" s="22">
        <f>IF('Brouillard ventes'!$F$9="","",IF('Brouillard ventes'!$C$9="","CD001",'Brouillard ventes'!$C$9))</f>
        <v/>
      </c>
      <c r="I11" s="22" t="inlineStr"/>
      <c r="J11" s="22" t="inlineStr"/>
      <c r="K11" s="22">
        <f>IF('Brouillard ventes'!$F$9="","",Paramètres!$B$11)</f>
        <v/>
      </c>
      <c r="L11" s="23">
        <f>IF('Brouillard ventes'!$F$9="","",'Brouillard ventes'!$I$9)</f>
        <v/>
      </c>
      <c r="M11" s="23" t="n">
        <v>0</v>
      </c>
    </row>
    <row r="12">
      <c r="A12" s="22" t="inlineStr">
        <is>
          <t>1</t>
        </is>
      </c>
      <c r="B12" s="22">
        <f>IF('Brouillard ventes'!$F$9="","","VD"&amp;TEXT(ROW('Brouillard ventes'!$F$9)-5,"00000"))</f>
        <v/>
      </c>
      <c r="C12" s="22">
        <f>IF('Brouillard ventes'!$F$9="","",YEAR('Brouillard ventes'!$A$9)*10000+MONTH('Brouillard ventes'!$A$9)*100+DAY('Brouillard ventes'!$A$9))</f>
        <v/>
      </c>
      <c r="D12" s="22">
        <f>IF('Brouillard ventes'!$F$9="","",'Brouillard ventes'!$B$9)</f>
        <v/>
      </c>
      <c r="E12" s="22">
        <f>IF('Brouillard ventes'!$F$9="","",LEFT('Brouillard ventes'!$D$9,30))</f>
        <v/>
      </c>
      <c r="F12" s="22" t="inlineStr">
        <is>
          <t>15001</t>
        </is>
      </c>
      <c r="G12" s="22">
        <f>IF('Brouillard ventes'!$F$9="","",IF('Brouillard ventes'!$E$9="Réparation",Paramètres!$B$9,Paramètres!$B$8))</f>
        <v/>
      </c>
      <c r="H12" s="22" t="inlineStr"/>
      <c r="I12" s="22" t="inlineStr"/>
      <c r="J12" s="22" t="inlineStr"/>
      <c r="K12" s="22">
        <f>IF('Brouillard ventes'!$F$9="","",Paramètres!$B$11)</f>
        <v/>
      </c>
      <c r="L12" s="23" t="n">
        <v>0</v>
      </c>
      <c r="M12" s="23">
        <f>IF('Brouillard ventes'!$F$9="","",'Brouillard ventes'!$F$9)</f>
        <v/>
      </c>
    </row>
    <row r="13">
      <c r="A13" s="22" t="inlineStr">
        <is>
          <t>1</t>
        </is>
      </c>
      <c r="B13" s="22">
        <f>IF('Brouillard ventes'!$F$9="","","VD"&amp;TEXT(ROW('Brouillard ventes'!$F$9)-5,"00000"))</f>
        <v/>
      </c>
      <c r="C13" s="22">
        <f>IF('Brouillard ventes'!$F$9="","",YEAR('Brouillard ventes'!$A$9)*10000+MONTH('Brouillard ventes'!$A$9)*100+DAY('Brouillard ventes'!$A$9))</f>
        <v/>
      </c>
      <c r="D13" s="22">
        <f>IF('Brouillard ventes'!$F$9="","",'Brouillard ventes'!$B$9)</f>
        <v/>
      </c>
      <c r="E13" s="22">
        <f>IF('Brouillard ventes'!$F$9="","",LEFT('Brouillard ventes'!$D$9,30))</f>
        <v/>
      </c>
      <c r="F13" s="22" t="inlineStr">
        <is>
          <t>15001</t>
        </is>
      </c>
      <c r="G13" s="22">
        <f>IF('Brouillard ventes'!$F$9="","",Paramètres!$B$10)</f>
        <v/>
      </c>
      <c r="H13" s="22" t="inlineStr"/>
      <c r="I13" s="22" t="inlineStr"/>
      <c r="J13" s="22" t="inlineStr"/>
      <c r="K13" s="22">
        <f>IF('Brouillard ventes'!$F$9="","",Paramètres!$B$11)</f>
        <v/>
      </c>
      <c r="L13" s="23" t="n">
        <v>0</v>
      </c>
      <c r="M13" s="23">
        <f>IF('Brouillard ventes'!$F$9="","",'Brouillard ventes'!$H$9)</f>
        <v/>
      </c>
    </row>
    <row r="14">
      <c r="A14" s="22" t="inlineStr">
        <is>
          <t>1</t>
        </is>
      </c>
      <c r="B14" s="22">
        <f>IF('Brouillard ventes'!$F$10="","","VD"&amp;TEXT(ROW('Brouillard ventes'!$F$10)-5,"00000"))</f>
        <v/>
      </c>
      <c r="C14" s="22">
        <f>IF('Brouillard ventes'!$F$10="","",YEAR('Brouillard ventes'!$A$10)*10000+MONTH('Brouillard ventes'!$A$10)*100+DAY('Brouillard ventes'!$A$10))</f>
        <v/>
      </c>
      <c r="D14" s="22">
        <f>IF('Brouillard ventes'!$F$10="","",'Brouillard ventes'!$B$10)</f>
        <v/>
      </c>
      <c r="E14" s="22">
        <f>IF('Brouillard ventes'!$F$10="","",LEFT('Brouillard ventes'!$D$10,30))</f>
        <v/>
      </c>
      <c r="F14" s="22" t="inlineStr">
        <is>
          <t>15001</t>
        </is>
      </c>
      <c r="G14" s="22">
        <f>IF('Brouillard ventes'!$F$10="","",Paramètres!$B$7)</f>
        <v/>
      </c>
      <c r="H14" s="22">
        <f>IF('Brouillard ventes'!$F$10="","",IF('Brouillard ventes'!$C$10="","CD001",'Brouillard ventes'!$C$10))</f>
        <v/>
      </c>
      <c r="I14" s="22" t="inlineStr"/>
      <c r="J14" s="22" t="inlineStr"/>
      <c r="K14" s="22">
        <f>IF('Brouillard ventes'!$F$10="","",Paramètres!$B$11)</f>
        <v/>
      </c>
      <c r="L14" s="23">
        <f>IF('Brouillard ventes'!$F$10="","",'Brouillard ventes'!$I$10)</f>
        <v/>
      </c>
      <c r="M14" s="23" t="n">
        <v>0</v>
      </c>
    </row>
    <row r="15">
      <c r="A15" s="22" t="inlineStr">
        <is>
          <t>1</t>
        </is>
      </c>
      <c r="B15" s="22">
        <f>IF('Brouillard ventes'!$F$10="","","VD"&amp;TEXT(ROW('Brouillard ventes'!$F$10)-5,"00000"))</f>
        <v/>
      </c>
      <c r="C15" s="22">
        <f>IF('Brouillard ventes'!$F$10="","",YEAR('Brouillard ventes'!$A$10)*10000+MONTH('Brouillard ventes'!$A$10)*100+DAY('Brouillard ventes'!$A$10))</f>
        <v/>
      </c>
      <c r="D15" s="22">
        <f>IF('Brouillard ventes'!$F$10="","",'Brouillard ventes'!$B$10)</f>
        <v/>
      </c>
      <c r="E15" s="22">
        <f>IF('Brouillard ventes'!$F$10="","",LEFT('Brouillard ventes'!$D$10,30))</f>
        <v/>
      </c>
      <c r="F15" s="22" t="inlineStr">
        <is>
          <t>15001</t>
        </is>
      </c>
      <c r="G15" s="22">
        <f>IF('Brouillard ventes'!$F$10="","",IF('Brouillard ventes'!$E$10="Réparation",Paramètres!$B$9,Paramètres!$B$8))</f>
        <v/>
      </c>
      <c r="H15" s="22" t="inlineStr"/>
      <c r="I15" s="22" t="inlineStr"/>
      <c r="J15" s="22" t="inlineStr"/>
      <c r="K15" s="22">
        <f>IF('Brouillard ventes'!$F$10="","",Paramètres!$B$11)</f>
        <v/>
      </c>
      <c r="L15" s="23" t="n">
        <v>0</v>
      </c>
      <c r="M15" s="23">
        <f>IF('Brouillard ventes'!$F$10="","",'Brouillard ventes'!$F$10)</f>
        <v/>
      </c>
    </row>
    <row r="16">
      <c r="A16" s="22" t="inlineStr">
        <is>
          <t>1</t>
        </is>
      </c>
      <c r="B16" s="22">
        <f>IF('Brouillard ventes'!$F$10="","","VD"&amp;TEXT(ROW('Brouillard ventes'!$F$10)-5,"00000"))</f>
        <v/>
      </c>
      <c r="C16" s="22">
        <f>IF('Brouillard ventes'!$F$10="","",YEAR('Brouillard ventes'!$A$10)*10000+MONTH('Brouillard ventes'!$A$10)*100+DAY('Brouillard ventes'!$A$10))</f>
        <v/>
      </c>
      <c r="D16" s="22">
        <f>IF('Brouillard ventes'!$F$10="","",'Brouillard ventes'!$B$10)</f>
        <v/>
      </c>
      <c r="E16" s="22">
        <f>IF('Brouillard ventes'!$F$10="","",LEFT('Brouillard ventes'!$D$10,30))</f>
        <v/>
      </c>
      <c r="F16" s="22" t="inlineStr">
        <is>
          <t>15001</t>
        </is>
      </c>
      <c r="G16" s="22">
        <f>IF('Brouillard ventes'!$F$10="","",Paramètres!$B$10)</f>
        <v/>
      </c>
      <c r="H16" s="22" t="inlineStr"/>
      <c r="I16" s="22" t="inlineStr"/>
      <c r="J16" s="22" t="inlineStr"/>
      <c r="K16" s="22">
        <f>IF('Brouillard ventes'!$F$10="","",Paramètres!$B$11)</f>
        <v/>
      </c>
      <c r="L16" s="23" t="n">
        <v>0</v>
      </c>
      <c r="M16" s="23">
        <f>IF('Brouillard ventes'!$F$10="","",'Brouillard ventes'!$H$10)</f>
        <v/>
      </c>
    </row>
    <row r="17">
      <c r="A17" s="22" t="inlineStr">
        <is>
          <t>1</t>
        </is>
      </c>
      <c r="B17" s="22">
        <f>IF('Brouillard ventes'!$F$11="","","VD"&amp;TEXT(ROW('Brouillard ventes'!$F$11)-5,"00000"))</f>
        <v/>
      </c>
      <c r="C17" s="22">
        <f>IF('Brouillard ventes'!$F$11="","",YEAR('Brouillard ventes'!$A$11)*10000+MONTH('Brouillard ventes'!$A$11)*100+DAY('Brouillard ventes'!$A$11))</f>
        <v/>
      </c>
      <c r="D17" s="22">
        <f>IF('Brouillard ventes'!$F$11="","",'Brouillard ventes'!$B$11)</f>
        <v/>
      </c>
      <c r="E17" s="22">
        <f>IF('Brouillard ventes'!$F$11="","",LEFT('Brouillard ventes'!$D$11,30))</f>
        <v/>
      </c>
      <c r="F17" s="22" t="inlineStr">
        <is>
          <t>15001</t>
        </is>
      </c>
      <c r="G17" s="22">
        <f>IF('Brouillard ventes'!$F$11="","",Paramètres!$B$7)</f>
        <v/>
      </c>
      <c r="H17" s="22">
        <f>IF('Brouillard ventes'!$F$11="","",IF('Brouillard ventes'!$C$11="","CD001",'Brouillard ventes'!$C$11))</f>
        <v/>
      </c>
      <c r="I17" s="22" t="inlineStr"/>
      <c r="J17" s="22" t="inlineStr"/>
      <c r="K17" s="22">
        <f>IF('Brouillard ventes'!$F$11="","",Paramètres!$B$11)</f>
        <v/>
      </c>
      <c r="L17" s="23">
        <f>IF('Brouillard ventes'!$F$11="","",'Brouillard ventes'!$I$11)</f>
        <v/>
      </c>
      <c r="M17" s="23" t="n">
        <v>0</v>
      </c>
    </row>
    <row r="18">
      <c r="A18" s="22" t="inlineStr">
        <is>
          <t>1</t>
        </is>
      </c>
      <c r="B18" s="22">
        <f>IF('Brouillard ventes'!$F$11="","","VD"&amp;TEXT(ROW('Brouillard ventes'!$F$11)-5,"00000"))</f>
        <v/>
      </c>
      <c r="C18" s="22">
        <f>IF('Brouillard ventes'!$F$11="","",YEAR('Brouillard ventes'!$A$11)*10000+MONTH('Brouillard ventes'!$A$11)*100+DAY('Brouillard ventes'!$A$11))</f>
        <v/>
      </c>
      <c r="D18" s="22">
        <f>IF('Brouillard ventes'!$F$11="","",'Brouillard ventes'!$B$11)</f>
        <v/>
      </c>
      <c r="E18" s="22">
        <f>IF('Brouillard ventes'!$F$11="","",LEFT('Brouillard ventes'!$D$11,30))</f>
        <v/>
      </c>
      <c r="F18" s="22" t="inlineStr">
        <is>
          <t>15001</t>
        </is>
      </c>
      <c r="G18" s="22">
        <f>IF('Brouillard ventes'!$F$11="","",IF('Brouillard ventes'!$E$11="Réparation",Paramètres!$B$9,Paramètres!$B$8))</f>
        <v/>
      </c>
      <c r="H18" s="22" t="inlineStr"/>
      <c r="I18" s="22" t="inlineStr"/>
      <c r="J18" s="22" t="inlineStr"/>
      <c r="K18" s="22">
        <f>IF('Brouillard ventes'!$F$11="","",Paramètres!$B$11)</f>
        <v/>
      </c>
      <c r="L18" s="23" t="n">
        <v>0</v>
      </c>
      <c r="M18" s="23">
        <f>IF('Brouillard ventes'!$F$11="","",'Brouillard ventes'!$F$11)</f>
        <v/>
      </c>
    </row>
    <row r="19">
      <c r="A19" s="22" t="inlineStr">
        <is>
          <t>1</t>
        </is>
      </c>
      <c r="B19" s="22">
        <f>IF('Brouillard ventes'!$F$11="","","VD"&amp;TEXT(ROW('Brouillard ventes'!$F$11)-5,"00000"))</f>
        <v/>
      </c>
      <c r="C19" s="22">
        <f>IF('Brouillard ventes'!$F$11="","",YEAR('Brouillard ventes'!$A$11)*10000+MONTH('Brouillard ventes'!$A$11)*100+DAY('Brouillard ventes'!$A$11))</f>
        <v/>
      </c>
      <c r="D19" s="22">
        <f>IF('Brouillard ventes'!$F$11="","",'Brouillard ventes'!$B$11)</f>
        <v/>
      </c>
      <c r="E19" s="22">
        <f>IF('Brouillard ventes'!$F$11="","",LEFT('Brouillard ventes'!$D$11,30))</f>
        <v/>
      </c>
      <c r="F19" s="22" t="inlineStr">
        <is>
          <t>15001</t>
        </is>
      </c>
      <c r="G19" s="22">
        <f>IF('Brouillard ventes'!$F$11="","",Paramètres!$B$10)</f>
        <v/>
      </c>
      <c r="H19" s="22" t="inlineStr"/>
      <c r="I19" s="22" t="inlineStr"/>
      <c r="J19" s="22" t="inlineStr"/>
      <c r="K19" s="22">
        <f>IF('Brouillard ventes'!$F$11="","",Paramètres!$B$11)</f>
        <v/>
      </c>
      <c r="L19" s="23" t="n">
        <v>0</v>
      </c>
      <c r="M19" s="23">
        <f>IF('Brouillard ventes'!$F$11="","",'Brouillard ventes'!$H$11)</f>
        <v/>
      </c>
    </row>
    <row r="20">
      <c r="A20" s="22" t="inlineStr">
        <is>
          <t>1</t>
        </is>
      </c>
      <c r="B20" s="22">
        <f>IF('Brouillard ventes'!$F$12="","","VD"&amp;TEXT(ROW('Brouillard ventes'!$F$12)-5,"00000"))</f>
        <v/>
      </c>
      <c r="C20" s="22">
        <f>IF('Brouillard ventes'!$F$12="","",YEAR('Brouillard ventes'!$A$12)*10000+MONTH('Brouillard ventes'!$A$12)*100+DAY('Brouillard ventes'!$A$12))</f>
        <v/>
      </c>
      <c r="D20" s="22">
        <f>IF('Brouillard ventes'!$F$12="","",'Brouillard ventes'!$B$12)</f>
        <v/>
      </c>
      <c r="E20" s="22">
        <f>IF('Brouillard ventes'!$F$12="","",LEFT('Brouillard ventes'!$D$12,30))</f>
        <v/>
      </c>
      <c r="F20" s="22" t="inlineStr">
        <is>
          <t>15001</t>
        </is>
      </c>
      <c r="G20" s="22">
        <f>IF('Brouillard ventes'!$F$12="","",Paramètres!$B$7)</f>
        <v/>
      </c>
      <c r="H20" s="22">
        <f>IF('Brouillard ventes'!$F$12="","",IF('Brouillard ventes'!$C$12="","CD001",'Brouillard ventes'!$C$12))</f>
        <v/>
      </c>
      <c r="I20" s="22" t="inlineStr"/>
      <c r="J20" s="22" t="inlineStr"/>
      <c r="K20" s="22">
        <f>IF('Brouillard ventes'!$F$12="","",Paramètres!$B$11)</f>
        <v/>
      </c>
      <c r="L20" s="23">
        <f>IF('Brouillard ventes'!$F$12="","",'Brouillard ventes'!$I$12)</f>
        <v/>
      </c>
      <c r="M20" s="23" t="n">
        <v>0</v>
      </c>
    </row>
    <row r="21">
      <c r="A21" s="22" t="inlineStr">
        <is>
          <t>1</t>
        </is>
      </c>
      <c r="B21" s="22">
        <f>IF('Brouillard ventes'!$F$12="","","VD"&amp;TEXT(ROW('Brouillard ventes'!$F$12)-5,"00000"))</f>
        <v/>
      </c>
      <c r="C21" s="22">
        <f>IF('Brouillard ventes'!$F$12="","",YEAR('Brouillard ventes'!$A$12)*10000+MONTH('Brouillard ventes'!$A$12)*100+DAY('Brouillard ventes'!$A$12))</f>
        <v/>
      </c>
      <c r="D21" s="22">
        <f>IF('Brouillard ventes'!$F$12="","",'Brouillard ventes'!$B$12)</f>
        <v/>
      </c>
      <c r="E21" s="22">
        <f>IF('Brouillard ventes'!$F$12="","",LEFT('Brouillard ventes'!$D$12,30))</f>
        <v/>
      </c>
      <c r="F21" s="22" t="inlineStr">
        <is>
          <t>15001</t>
        </is>
      </c>
      <c r="G21" s="22">
        <f>IF('Brouillard ventes'!$F$12="","",IF('Brouillard ventes'!$E$12="Réparation",Paramètres!$B$9,Paramètres!$B$8))</f>
        <v/>
      </c>
      <c r="H21" s="22" t="inlineStr"/>
      <c r="I21" s="22" t="inlineStr"/>
      <c r="J21" s="22" t="inlineStr"/>
      <c r="K21" s="22">
        <f>IF('Brouillard ventes'!$F$12="","",Paramètres!$B$11)</f>
        <v/>
      </c>
      <c r="L21" s="23" t="n">
        <v>0</v>
      </c>
      <c r="M21" s="23">
        <f>IF('Brouillard ventes'!$F$12="","",'Brouillard ventes'!$F$12)</f>
        <v/>
      </c>
    </row>
    <row r="22">
      <c r="A22" s="22" t="inlineStr">
        <is>
          <t>1</t>
        </is>
      </c>
      <c r="B22" s="22">
        <f>IF('Brouillard ventes'!$F$12="","","VD"&amp;TEXT(ROW('Brouillard ventes'!$F$12)-5,"00000"))</f>
        <v/>
      </c>
      <c r="C22" s="22">
        <f>IF('Brouillard ventes'!$F$12="","",YEAR('Brouillard ventes'!$A$12)*10000+MONTH('Brouillard ventes'!$A$12)*100+DAY('Brouillard ventes'!$A$12))</f>
        <v/>
      </c>
      <c r="D22" s="22">
        <f>IF('Brouillard ventes'!$F$12="","",'Brouillard ventes'!$B$12)</f>
        <v/>
      </c>
      <c r="E22" s="22">
        <f>IF('Brouillard ventes'!$F$12="","",LEFT('Brouillard ventes'!$D$12,30))</f>
        <v/>
      </c>
      <c r="F22" s="22" t="inlineStr">
        <is>
          <t>15001</t>
        </is>
      </c>
      <c r="G22" s="22">
        <f>IF('Brouillard ventes'!$F$12="","",Paramètres!$B$10)</f>
        <v/>
      </c>
      <c r="H22" s="22" t="inlineStr"/>
      <c r="I22" s="22" t="inlineStr"/>
      <c r="J22" s="22" t="inlineStr"/>
      <c r="K22" s="22">
        <f>IF('Brouillard ventes'!$F$12="","",Paramètres!$B$11)</f>
        <v/>
      </c>
      <c r="L22" s="23" t="n">
        <v>0</v>
      </c>
      <c r="M22" s="23">
        <f>IF('Brouillard ventes'!$F$12="","",'Brouillard ventes'!$H$12)</f>
        <v/>
      </c>
    </row>
    <row r="23">
      <c r="A23" s="22" t="inlineStr">
        <is>
          <t>1</t>
        </is>
      </c>
      <c r="B23" s="22">
        <f>IF('Brouillard ventes'!$F$13="","","VD"&amp;TEXT(ROW('Brouillard ventes'!$F$13)-5,"00000"))</f>
        <v/>
      </c>
      <c r="C23" s="22">
        <f>IF('Brouillard ventes'!$F$13="","",YEAR('Brouillard ventes'!$A$13)*10000+MONTH('Brouillard ventes'!$A$13)*100+DAY('Brouillard ventes'!$A$13))</f>
        <v/>
      </c>
      <c r="D23" s="22">
        <f>IF('Brouillard ventes'!$F$13="","",'Brouillard ventes'!$B$13)</f>
        <v/>
      </c>
      <c r="E23" s="22">
        <f>IF('Brouillard ventes'!$F$13="","",LEFT('Brouillard ventes'!$D$13,30))</f>
        <v/>
      </c>
      <c r="F23" s="22" t="inlineStr">
        <is>
          <t>15001</t>
        </is>
      </c>
      <c r="G23" s="22">
        <f>IF('Brouillard ventes'!$F$13="","",Paramètres!$B$7)</f>
        <v/>
      </c>
      <c r="H23" s="22">
        <f>IF('Brouillard ventes'!$F$13="","",IF('Brouillard ventes'!$C$13="","CD001",'Brouillard ventes'!$C$13))</f>
        <v/>
      </c>
      <c r="I23" s="22" t="inlineStr"/>
      <c r="J23" s="22" t="inlineStr"/>
      <c r="K23" s="22">
        <f>IF('Brouillard ventes'!$F$13="","",Paramètres!$B$11)</f>
        <v/>
      </c>
      <c r="L23" s="23">
        <f>IF('Brouillard ventes'!$F$13="","",'Brouillard ventes'!$I$13)</f>
        <v/>
      </c>
      <c r="M23" s="23" t="n">
        <v>0</v>
      </c>
    </row>
    <row r="24">
      <c r="A24" s="22" t="inlineStr">
        <is>
          <t>1</t>
        </is>
      </c>
      <c r="B24" s="22">
        <f>IF('Brouillard ventes'!$F$13="","","VD"&amp;TEXT(ROW('Brouillard ventes'!$F$13)-5,"00000"))</f>
        <v/>
      </c>
      <c r="C24" s="22">
        <f>IF('Brouillard ventes'!$F$13="","",YEAR('Brouillard ventes'!$A$13)*10000+MONTH('Brouillard ventes'!$A$13)*100+DAY('Brouillard ventes'!$A$13))</f>
        <v/>
      </c>
      <c r="D24" s="22">
        <f>IF('Brouillard ventes'!$F$13="","",'Brouillard ventes'!$B$13)</f>
        <v/>
      </c>
      <c r="E24" s="22">
        <f>IF('Brouillard ventes'!$F$13="","",LEFT('Brouillard ventes'!$D$13,30))</f>
        <v/>
      </c>
      <c r="F24" s="22" t="inlineStr">
        <is>
          <t>15001</t>
        </is>
      </c>
      <c r="G24" s="22">
        <f>IF('Brouillard ventes'!$F$13="","",IF('Brouillard ventes'!$E$13="Réparation",Paramètres!$B$9,Paramètres!$B$8))</f>
        <v/>
      </c>
      <c r="H24" s="22" t="inlineStr"/>
      <c r="I24" s="22" t="inlineStr"/>
      <c r="J24" s="22" t="inlineStr"/>
      <c r="K24" s="22">
        <f>IF('Brouillard ventes'!$F$13="","",Paramètres!$B$11)</f>
        <v/>
      </c>
      <c r="L24" s="23" t="n">
        <v>0</v>
      </c>
      <c r="M24" s="23">
        <f>IF('Brouillard ventes'!$F$13="","",'Brouillard ventes'!$F$13)</f>
        <v/>
      </c>
    </row>
    <row r="25">
      <c r="A25" s="22" t="inlineStr">
        <is>
          <t>1</t>
        </is>
      </c>
      <c r="B25" s="22">
        <f>IF('Brouillard ventes'!$F$13="","","VD"&amp;TEXT(ROW('Brouillard ventes'!$F$13)-5,"00000"))</f>
        <v/>
      </c>
      <c r="C25" s="22">
        <f>IF('Brouillard ventes'!$F$13="","",YEAR('Brouillard ventes'!$A$13)*10000+MONTH('Brouillard ventes'!$A$13)*100+DAY('Brouillard ventes'!$A$13))</f>
        <v/>
      </c>
      <c r="D25" s="22">
        <f>IF('Brouillard ventes'!$F$13="","",'Brouillard ventes'!$B$13)</f>
        <v/>
      </c>
      <c r="E25" s="22">
        <f>IF('Brouillard ventes'!$F$13="","",LEFT('Brouillard ventes'!$D$13,30))</f>
        <v/>
      </c>
      <c r="F25" s="22" t="inlineStr">
        <is>
          <t>15001</t>
        </is>
      </c>
      <c r="G25" s="22">
        <f>IF('Brouillard ventes'!$F$13="","",Paramètres!$B$10)</f>
        <v/>
      </c>
      <c r="H25" s="22" t="inlineStr"/>
      <c r="I25" s="22" t="inlineStr"/>
      <c r="J25" s="22" t="inlineStr"/>
      <c r="K25" s="22">
        <f>IF('Brouillard ventes'!$F$13="","",Paramètres!$B$11)</f>
        <v/>
      </c>
      <c r="L25" s="23" t="n">
        <v>0</v>
      </c>
      <c r="M25" s="23">
        <f>IF('Brouillard ventes'!$F$13="","",'Brouillard ventes'!$H$13)</f>
        <v/>
      </c>
    </row>
    <row r="26">
      <c r="A26" s="22" t="inlineStr">
        <is>
          <t>1</t>
        </is>
      </c>
      <c r="B26" s="22">
        <f>IF('Brouillard ventes'!$F$14="","","VD"&amp;TEXT(ROW('Brouillard ventes'!$F$14)-5,"00000"))</f>
        <v/>
      </c>
      <c r="C26" s="22">
        <f>IF('Brouillard ventes'!$F$14="","",YEAR('Brouillard ventes'!$A$14)*10000+MONTH('Brouillard ventes'!$A$14)*100+DAY('Brouillard ventes'!$A$14))</f>
        <v/>
      </c>
      <c r="D26" s="22">
        <f>IF('Brouillard ventes'!$F$14="","",'Brouillard ventes'!$B$14)</f>
        <v/>
      </c>
      <c r="E26" s="22">
        <f>IF('Brouillard ventes'!$F$14="","",LEFT('Brouillard ventes'!$D$14,30))</f>
        <v/>
      </c>
      <c r="F26" s="22" t="inlineStr">
        <is>
          <t>15001</t>
        </is>
      </c>
      <c r="G26" s="22">
        <f>IF('Brouillard ventes'!$F$14="","",Paramètres!$B$7)</f>
        <v/>
      </c>
      <c r="H26" s="22">
        <f>IF('Brouillard ventes'!$F$14="","",IF('Brouillard ventes'!$C$14="","CD001",'Brouillard ventes'!$C$14))</f>
        <v/>
      </c>
      <c r="I26" s="22" t="inlineStr"/>
      <c r="J26" s="22" t="inlineStr"/>
      <c r="K26" s="22">
        <f>IF('Brouillard ventes'!$F$14="","",Paramètres!$B$11)</f>
        <v/>
      </c>
      <c r="L26" s="23">
        <f>IF('Brouillard ventes'!$F$14="","",'Brouillard ventes'!$I$14)</f>
        <v/>
      </c>
      <c r="M26" s="23" t="n">
        <v>0</v>
      </c>
    </row>
    <row r="27">
      <c r="A27" s="22" t="inlineStr">
        <is>
          <t>1</t>
        </is>
      </c>
      <c r="B27" s="22">
        <f>IF('Brouillard ventes'!$F$14="","","VD"&amp;TEXT(ROW('Brouillard ventes'!$F$14)-5,"00000"))</f>
        <v/>
      </c>
      <c r="C27" s="22">
        <f>IF('Brouillard ventes'!$F$14="","",YEAR('Brouillard ventes'!$A$14)*10000+MONTH('Brouillard ventes'!$A$14)*100+DAY('Brouillard ventes'!$A$14))</f>
        <v/>
      </c>
      <c r="D27" s="22">
        <f>IF('Brouillard ventes'!$F$14="","",'Brouillard ventes'!$B$14)</f>
        <v/>
      </c>
      <c r="E27" s="22">
        <f>IF('Brouillard ventes'!$F$14="","",LEFT('Brouillard ventes'!$D$14,30))</f>
        <v/>
      </c>
      <c r="F27" s="22" t="inlineStr">
        <is>
          <t>15001</t>
        </is>
      </c>
      <c r="G27" s="22">
        <f>IF('Brouillard ventes'!$F$14="","",IF('Brouillard ventes'!$E$14="Réparation",Paramètres!$B$9,Paramètres!$B$8))</f>
        <v/>
      </c>
      <c r="H27" s="22" t="inlineStr"/>
      <c r="I27" s="22" t="inlineStr"/>
      <c r="J27" s="22" t="inlineStr"/>
      <c r="K27" s="22">
        <f>IF('Brouillard ventes'!$F$14="","",Paramètres!$B$11)</f>
        <v/>
      </c>
      <c r="L27" s="23" t="n">
        <v>0</v>
      </c>
      <c r="M27" s="23">
        <f>IF('Brouillard ventes'!$F$14="","",'Brouillard ventes'!$F$14)</f>
        <v/>
      </c>
    </row>
    <row r="28">
      <c r="A28" s="22" t="inlineStr">
        <is>
          <t>1</t>
        </is>
      </c>
      <c r="B28" s="22">
        <f>IF('Brouillard ventes'!$F$14="","","VD"&amp;TEXT(ROW('Brouillard ventes'!$F$14)-5,"00000"))</f>
        <v/>
      </c>
      <c r="C28" s="22">
        <f>IF('Brouillard ventes'!$F$14="","",YEAR('Brouillard ventes'!$A$14)*10000+MONTH('Brouillard ventes'!$A$14)*100+DAY('Brouillard ventes'!$A$14))</f>
        <v/>
      </c>
      <c r="D28" s="22">
        <f>IF('Brouillard ventes'!$F$14="","",'Brouillard ventes'!$B$14)</f>
        <v/>
      </c>
      <c r="E28" s="22">
        <f>IF('Brouillard ventes'!$F$14="","",LEFT('Brouillard ventes'!$D$14,30))</f>
        <v/>
      </c>
      <c r="F28" s="22" t="inlineStr">
        <is>
          <t>15001</t>
        </is>
      </c>
      <c r="G28" s="22">
        <f>IF('Brouillard ventes'!$F$14="","",Paramètres!$B$10)</f>
        <v/>
      </c>
      <c r="H28" s="22" t="inlineStr"/>
      <c r="I28" s="22" t="inlineStr"/>
      <c r="J28" s="22" t="inlineStr"/>
      <c r="K28" s="22">
        <f>IF('Brouillard ventes'!$F$14="","",Paramètres!$B$11)</f>
        <v/>
      </c>
      <c r="L28" s="23" t="n">
        <v>0</v>
      </c>
      <c r="M28" s="23">
        <f>IF('Brouillard ventes'!$F$14="","",'Brouillard ventes'!$H$14)</f>
        <v/>
      </c>
    </row>
    <row r="29">
      <c r="A29" s="22" t="inlineStr">
        <is>
          <t>1</t>
        </is>
      </c>
      <c r="B29" s="22">
        <f>IF('Brouillard ventes'!$F$15="","","VD"&amp;TEXT(ROW('Brouillard ventes'!$F$15)-5,"00000"))</f>
        <v/>
      </c>
      <c r="C29" s="22">
        <f>IF('Brouillard ventes'!$F$15="","",YEAR('Brouillard ventes'!$A$15)*10000+MONTH('Brouillard ventes'!$A$15)*100+DAY('Brouillard ventes'!$A$15))</f>
        <v/>
      </c>
      <c r="D29" s="22">
        <f>IF('Brouillard ventes'!$F$15="","",'Brouillard ventes'!$B$15)</f>
        <v/>
      </c>
      <c r="E29" s="22">
        <f>IF('Brouillard ventes'!$F$15="","",LEFT('Brouillard ventes'!$D$15,30))</f>
        <v/>
      </c>
      <c r="F29" s="22" t="inlineStr">
        <is>
          <t>15001</t>
        </is>
      </c>
      <c r="G29" s="22">
        <f>IF('Brouillard ventes'!$F$15="","",Paramètres!$B$7)</f>
        <v/>
      </c>
      <c r="H29" s="22">
        <f>IF('Brouillard ventes'!$F$15="","",IF('Brouillard ventes'!$C$15="","CD001",'Brouillard ventes'!$C$15))</f>
        <v/>
      </c>
      <c r="I29" s="22" t="inlineStr"/>
      <c r="J29" s="22" t="inlineStr"/>
      <c r="K29" s="22">
        <f>IF('Brouillard ventes'!$F$15="","",Paramètres!$B$11)</f>
        <v/>
      </c>
      <c r="L29" s="23">
        <f>IF('Brouillard ventes'!$F$15="","",'Brouillard ventes'!$I$15)</f>
        <v/>
      </c>
      <c r="M29" s="23" t="n">
        <v>0</v>
      </c>
    </row>
    <row r="30">
      <c r="A30" s="22" t="inlineStr">
        <is>
          <t>1</t>
        </is>
      </c>
      <c r="B30" s="22">
        <f>IF('Brouillard ventes'!$F$15="","","VD"&amp;TEXT(ROW('Brouillard ventes'!$F$15)-5,"00000"))</f>
        <v/>
      </c>
      <c r="C30" s="22">
        <f>IF('Brouillard ventes'!$F$15="","",YEAR('Brouillard ventes'!$A$15)*10000+MONTH('Brouillard ventes'!$A$15)*100+DAY('Brouillard ventes'!$A$15))</f>
        <v/>
      </c>
      <c r="D30" s="22">
        <f>IF('Brouillard ventes'!$F$15="","",'Brouillard ventes'!$B$15)</f>
        <v/>
      </c>
      <c r="E30" s="22">
        <f>IF('Brouillard ventes'!$F$15="","",LEFT('Brouillard ventes'!$D$15,30))</f>
        <v/>
      </c>
      <c r="F30" s="22" t="inlineStr">
        <is>
          <t>15001</t>
        </is>
      </c>
      <c r="G30" s="22">
        <f>IF('Brouillard ventes'!$F$15="","",IF('Brouillard ventes'!$E$15="Réparation",Paramètres!$B$9,Paramètres!$B$8))</f>
        <v/>
      </c>
      <c r="H30" s="22" t="inlineStr"/>
      <c r="I30" s="22" t="inlineStr"/>
      <c r="J30" s="22" t="inlineStr"/>
      <c r="K30" s="22">
        <f>IF('Brouillard ventes'!$F$15="","",Paramètres!$B$11)</f>
        <v/>
      </c>
      <c r="L30" s="23" t="n">
        <v>0</v>
      </c>
      <c r="M30" s="23">
        <f>IF('Brouillard ventes'!$F$15="","",'Brouillard ventes'!$F$15)</f>
        <v/>
      </c>
    </row>
    <row r="31">
      <c r="A31" s="22" t="inlineStr">
        <is>
          <t>1</t>
        </is>
      </c>
      <c r="B31" s="22">
        <f>IF('Brouillard ventes'!$F$15="","","VD"&amp;TEXT(ROW('Brouillard ventes'!$F$15)-5,"00000"))</f>
        <v/>
      </c>
      <c r="C31" s="22">
        <f>IF('Brouillard ventes'!$F$15="","",YEAR('Brouillard ventes'!$A$15)*10000+MONTH('Brouillard ventes'!$A$15)*100+DAY('Brouillard ventes'!$A$15))</f>
        <v/>
      </c>
      <c r="D31" s="22">
        <f>IF('Brouillard ventes'!$F$15="","",'Brouillard ventes'!$B$15)</f>
        <v/>
      </c>
      <c r="E31" s="22">
        <f>IF('Brouillard ventes'!$F$15="","",LEFT('Brouillard ventes'!$D$15,30))</f>
        <v/>
      </c>
      <c r="F31" s="22" t="inlineStr">
        <is>
          <t>15001</t>
        </is>
      </c>
      <c r="G31" s="22">
        <f>IF('Brouillard ventes'!$F$15="","",Paramètres!$B$10)</f>
        <v/>
      </c>
      <c r="H31" s="22" t="inlineStr"/>
      <c r="I31" s="22" t="inlineStr"/>
      <c r="J31" s="22" t="inlineStr"/>
      <c r="K31" s="22">
        <f>IF('Brouillard ventes'!$F$15="","",Paramètres!$B$11)</f>
        <v/>
      </c>
      <c r="L31" s="23" t="n">
        <v>0</v>
      </c>
      <c r="M31" s="23">
        <f>IF('Brouillard ventes'!$F$15="","",'Brouillard ventes'!$H$15)</f>
        <v/>
      </c>
    </row>
    <row r="32">
      <c r="A32" s="22" t="inlineStr">
        <is>
          <t>1</t>
        </is>
      </c>
      <c r="B32" s="22">
        <f>IF('Brouillard ventes'!$F$16="","","VD"&amp;TEXT(ROW('Brouillard ventes'!$F$16)-5,"00000"))</f>
        <v/>
      </c>
      <c r="C32" s="22">
        <f>IF('Brouillard ventes'!$F$16="","",YEAR('Brouillard ventes'!$A$16)*10000+MONTH('Brouillard ventes'!$A$16)*100+DAY('Brouillard ventes'!$A$16))</f>
        <v/>
      </c>
      <c r="D32" s="22">
        <f>IF('Brouillard ventes'!$F$16="","",'Brouillard ventes'!$B$16)</f>
        <v/>
      </c>
      <c r="E32" s="22">
        <f>IF('Brouillard ventes'!$F$16="","",LEFT('Brouillard ventes'!$D$16,30))</f>
        <v/>
      </c>
      <c r="F32" s="22" t="inlineStr">
        <is>
          <t>15001</t>
        </is>
      </c>
      <c r="G32" s="22">
        <f>IF('Brouillard ventes'!$F$16="","",Paramètres!$B$7)</f>
        <v/>
      </c>
      <c r="H32" s="22">
        <f>IF('Brouillard ventes'!$F$16="","",IF('Brouillard ventes'!$C$16="","CD001",'Brouillard ventes'!$C$16))</f>
        <v/>
      </c>
      <c r="I32" s="22" t="inlineStr"/>
      <c r="J32" s="22" t="inlineStr"/>
      <c r="K32" s="22">
        <f>IF('Brouillard ventes'!$F$16="","",Paramètres!$B$11)</f>
        <v/>
      </c>
      <c r="L32" s="23">
        <f>IF('Brouillard ventes'!$F$16="","",'Brouillard ventes'!$I$16)</f>
        <v/>
      </c>
      <c r="M32" s="23" t="n">
        <v>0</v>
      </c>
    </row>
    <row r="33">
      <c r="A33" s="22" t="inlineStr">
        <is>
          <t>1</t>
        </is>
      </c>
      <c r="B33" s="22">
        <f>IF('Brouillard ventes'!$F$16="","","VD"&amp;TEXT(ROW('Brouillard ventes'!$F$16)-5,"00000"))</f>
        <v/>
      </c>
      <c r="C33" s="22">
        <f>IF('Brouillard ventes'!$F$16="","",YEAR('Brouillard ventes'!$A$16)*10000+MONTH('Brouillard ventes'!$A$16)*100+DAY('Brouillard ventes'!$A$16))</f>
        <v/>
      </c>
      <c r="D33" s="22">
        <f>IF('Brouillard ventes'!$F$16="","",'Brouillard ventes'!$B$16)</f>
        <v/>
      </c>
      <c r="E33" s="22">
        <f>IF('Brouillard ventes'!$F$16="","",LEFT('Brouillard ventes'!$D$16,30))</f>
        <v/>
      </c>
      <c r="F33" s="22" t="inlineStr">
        <is>
          <t>15001</t>
        </is>
      </c>
      <c r="G33" s="22">
        <f>IF('Brouillard ventes'!$F$16="","",IF('Brouillard ventes'!$E$16="Réparation",Paramètres!$B$9,Paramètres!$B$8))</f>
        <v/>
      </c>
      <c r="H33" s="22" t="inlineStr"/>
      <c r="I33" s="22" t="inlineStr"/>
      <c r="J33" s="22" t="inlineStr"/>
      <c r="K33" s="22">
        <f>IF('Brouillard ventes'!$F$16="","",Paramètres!$B$11)</f>
        <v/>
      </c>
      <c r="L33" s="23" t="n">
        <v>0</v>
      </c>
      <c r="M33" s="23">
        <f>IF('Brouillard ventes'!$F$16="","",'Brouillard ventes'!$F$16)</f>
        <v/>
      </c>
    </row>
    <row r="34">
      <c r="A34" s="22" t="inlineStr">
        <is>
          <t>1</t>
        </is>
      </c>
      <c r="B34" s="22">
        <f>IF('Brouillard ventes'!$F$16="","","VD"&amp;TEXT(ROW('Brouillard ventes'!$F$16)-5,"00000"))</f>
        <v/>
      </c>
      <c r="C34" s="22">
        <f>IF('Brouillard ventes'!$F$16="","",YEAR('Brouillard ventes'!$A$16)*10000+MONTH('Brouillard ventes'!$A$16)*100+DAY('Brouillard ventes'!$A$16))</f>
        <v/>
      </c>
      <c r="D34" s="22">
        <f>IF('Brouillard ventes'!$F$16="","",'Brouillard ventes'!$B$16)</f>
        <v/>
      </c>
      <c r="E34" s="22">
        <f>IF('Brouillard ventes'!$F$16="","",LEFT('Brouillard ventes'!$D$16,30))</f>
        <v/>
      </c>
      <c r="F34" s="22" t="inlineStr">
        <is>
          <t>15001</t>
        </is>
      </c>
      <c r="G34" s="22">
        <f>IF('Brouillard ventes'!$F$16="","",Paramètres!$B$10)</f>
        <v/>
      </c>
      <c r="H34" s="22" t="inlineStr"/>
      <c r="I34" s="22" t="inlineStr"/>
      <c r="J34" s="22" t="inlineStr"/>
      <c r="K34" s="22">
        <f>IF('Brouillard ventes'!$F$16="","",Paramètres!$B$11)</f>
        <v/>
      </c>
      <c r="L34" s="23" t="n">
        <v>0</v>
      </c>
      <c r="M34" s="23">
        <f>IF('Brouillard ventes'!$F$16="","",'Brouillard ventes'!$H$16)</f>
        <v/>
      </c>
    </row>
    <row r="35">
      <c r="A35" s="22" t="inlineStr">
        <is>
          <t>1</t>
        </is>
      </c>
      <c r="B35" s="22">
        <f>IF('Brouillard ventes'!$F$17="","","VD"&amp;TEXT(ROW('Brouillard ventes'!$F$17)-5,"00000"))</f>
        <v/>
      </c>
      <c r="C35" s="22">
        <f>IF('Brouillard ventes'!$F$17="","",YEAR('Brouillard ventes'!$A$17)*10000+MONTH('Brouillard ventes'!$A$17)*100+DAY('Brouillard ventes'!$A$17))</f>
        <v/>
      </c>
      <c r="D35" s="22">
        <f>IF('Brouillard ventes'!$F$17="","",'Brouillard ventes'!$B$17)</f>
        <v/>
      </c>
      <c r="E35" s="22">
        <f>IF('Brouillard ventes'!$F$17="","",LEFT('Brouillard ventes'!$D$17,30))</f>
        <v/>
      </c>
      <c r="F35" s="22" t="inlineStr">
        <is>
          <t>15001</t>
        </is>
      </c>
      <c r="G35" s="22">
        <f>IF('Brouillard ventes'!$F$17="","",Paramètres!$B$7)</f>
        <v/>
      </c>
      <c r="H35" s="22">
        <f>IF('Brouillard ventes'!$F$17="","",IF('Brouillard ventes'!$C$17="","CD001",'Brouillard ventes'!$C$17))</f>
        <v/>
      </c>
      <c r="I35" s="22" t="inlineStr"/>
      <c r="J35" s="22" t="inlineStr"/>
      <c r="K35" s="22">
        <f>IF('Brouillard ventes'!$F$17="","",Paramètres!$B$11)</f>
        <v/>
      </c>
      <c r="L35" s="23">
        <f>IF('Brouillard ventes'!$F$17="","",'Brouillard ventes'!$I$17)</f>
        <v/>
      </c>
      <c r="M35" s="23" t="n">
        <v>0</v>
      </c>
    </row>
    <row r="36">
      <c r="A36" s="22" t="inlineStr">
        <is>
          <t>1</t>
        </is>
      </c>
      <c r="B36" s="22">
        <f>IF('Brouillard ventes'!$F$17="","","VD"&amp;TEXT(ROW('Brouillard ventes'!$F$17)-5,"00000"))</f>
        <v/>
      </c>
      <c r="C36" s="22">
        <f>IF('Brouillard ventes'!$F$17="","",YEAR('Brouillard ventes'!$A$17)*10000+MONTH('Brouillard ventes'!$A$17)*100+DAY('Brouillard ventes'!$A$17))</f>
        <v/>
      </c>
      <c r="D36" s="22">
        <f>IF('Brouillard ventes'!$F$17="","",'Brouillard ventes'!$B$17)</f>
        <v/>
      </c>
      <c r="E36" s="22">
        <f>IF('Brouillard ventes'!$F$17="","",LEFT('Brouillard ventes'!$D$17,30))</f>
        <v/>
      </c>
      <c r="F36" s="22" t="inlineStr">
        <is>
          <t>15001</t>
        </is>
      </c>
      <c r="G36" s="22">
        <f>IF('Brouillard ventes'!$F$17="","",IF('Brouillard ventes'!$E$17="Réparation",Paramètres!$B$9,Paramètres!$B$8))</f>
        <v/>
      </c>
      <c r="H36" s="22" t="inlineStr"/>
      <c r="I36" s="22" t="inlineStr"/>
      <c r="J36" s="22" t="inlineStr"/>
      <c r="K36" s="22">
        <f>IF('Brouillard ventes'!$F$17="","",Paramètres!$B$11)</f>
        <v/>
      </c>
      <c r="L36" s="23" t="n">
        <v>0</v>
      </c>
      <c r="M36" s="23">
        <f>IF('Brouillard ventes'!$F$17="","",'Brouillard ventes'!$F$17)</f>
        <v/>
      </c>
    </row>
    <row r="37">
      <c r="A37" s="22" t="inlineStr">
        <is>
          <t>1</t>
        </is>
      </c>
      <c r="B37" s="22">
        <f>IF('Brouillard ventes'!$F$17="","","VD"&amp;TEXT(ROW('Brouillard ventes'!$F$17)-5,"00000"))</f>
        <v/>
      </c>
      <c r="C37" s="22">
        <f>IF('Brouillard ventes'!$F$17="","",YEAR('Brouillard ventes'!$A$17)*10000+MONTH('Brouillard ventes'!$A$17)*100+DAY('Brouillard ventes'!$A$17))</f>
        <v/>
      </c>
      <c r="D37" s="22">
        <f>IF('Brouillard ventes'!$F$17="","",'Brouillard ventes'!$B$17)</f>
        <v/>
      </c>
      <c r="E37" s="22">
        <f>IF('Brouillard ventes'!$F$17="","",LEFT('Brouillard ventes'!$D$17,30))</f>
        <v/>
      </c>
      <c r="F37" s="22" t="inlineStr">
        <is>
          <t>15001</t>
        </is>
      </c>
      <c r="G37" s="22">
        <f>IF('Brouillard ventes'!$F$17="","",Paramètres!$B$10)</f>
        <v/>
      </c>
      <c r="H37" s="22" t="inlineStr"/>
      <c r="I37" s="22" t="inlineStr"/>
      <c r="J37" s="22" t="inlineStr"/>
      <c r="K37" s="22">
        <f>IF('Brouillard ventes'!$F$17="","",Paramètres!$B$11)</f>
        <v/>
      </c>
      <c r="L37" s="23" t="n">
        <v>0</v>
      </c>
      <c r="M37" s="23">
        <f>IF('Brouillard ventes'!$F$17="","",'Brouillard ventes'!$H$17)</f>
        <v/>
      </c>
    </row>
    <row r="38">
      <c r="A38" s="22" t="inlineStr">
        <is>
          <t>1</t>
        </is>
      </c>
      <c r="B38" s="22">
        <f>IF('Brouillard ventes'!$F$18="","","VD"&amp;TEXT(ROW('Brouillard ventes'!$F$18)-5,"00000"))</f>
        <v/>
      </c>
      <c r="C38" s="22">
        <f>IF('Brouillard ventes'!$F$18="","",YEAR('Brouillard ventes'!$A$18)*10000+MONTH('Brouillard ventes'!$A$18)*100+DAY('Brouillard ventes'!$A$18))</f>
        <v/>
      </c>
      <c r="D38" s="22">
        <f>IF('Brouillard ventes'!$F$18="","",'Brouillard ventes'!$B$18)</f>
        <v/>
      </c>
      <c r="E38" s="22">
        <f>IF('Brouillard ventes'!$F$18="","",LEFT('Brouillard ventes'!$D$18,30))</f>
        <v/>
      </c>
      <c r="F38" s="22" t="inlineStr">
        <is>
          <t>15001</t>
        </is>
      </c>
      <c r="G38" s="22">
        <f>IF('Brouillard ventes'!$F$18="","",Paramètres!$B$7)</f>
        <v/>
      </c>
      <c r="H38" s="22">
        <f>IF('Brouillard ventes'!$F$18="","",IF('Brouillard ventes'!$C$18="","CD001",'Brouillard ventes'!$C$18))</f>
        <v/>
      </c>
      <c r="I38" s="22" t="inlineStr"/>
      <c r="J38" s="22" t="inlineStr"/>
      <c r="K38" s="22">
        <f>IF('Brouillard ventes'!$F$18="","",Paramètres!$B$11)</f>
        <v/>
      </c>
      <c r="L38" s="23">
        <f>IF('Brouillard ventes'!$F$18="","",'Brouillard ventes'!$I$18)</f>
        <v/>
      </c>
      <c r="M38" s="23" t="n">
        <v>0</v>
      </c>
    </row>
    <row r="39">
      <c r="A39" s="22" t="inlineStr">
        <is>
          <t>1</t>
        </is>
      </c>
      <c r="B39" s="22">
        <f>IF('Brouillard ventes'!$F$18="","","VD"&amp;TEXT(ROW('Brouillard ventes'!$F$18)-5,"00000"))</f>
        <v/>
      </c>
      <c r="C39" s="22">
        <f>IF('Brouillard ventes'!$F$18="","",YEAR('Brouillard ventes'!$A$18)*10000+MONTH('Brouillard ventes'!$A$18)*100+DAY('Brouillard ventes'!$A$18))</f>
        <v/>
      </c>
      <c r="D39" s="22">
        <f>IF('Brouillard ventes'!$F$18="","",'Brouillard ventes'!$B$18)</f>
        <v/>
      </c>
      <c r="E39" s="22">
        <f>IF('Brouillard ventes'!$F$18="","",LEFT('Brouillard ventes'!$D$18,30))</f>
        <v/>
      </c>
      <c r="F39" s="22" t="inlineStr">
        <is>
          <t>15001</t>
        </is>
      </c>
      <c r="G39" s="22">
        <f>IF('Brouillard ventes'!$F$18="","",IF('Brouillard ventes'!$E$18="Réparation",Paramètres!$B$9,Paramètres!$B$8))</f>
        <v/>
      </c>
      <c r="H39" s="22" t="inlineStr"/>
      <c r="I39" s="22" t="inlineStr"/>
      <c r="J39" s="22" t="inlineStr"/>
      <c r="K39" s="22">
        <f>IF('Brouillard ventes'!$F$18="","",Paramètres!$B$11)</f>
        <v/>
      </c>
      <c r="L39" s="23" t="n">
        <v>0</v>
      </c>
      <c r="M39" s="23">
        <f>IF('Brouillard ventes'!$F$18="","",'Brouillard ventes'!$F$18)</f>
        <v/>
      </c>
    </row>
    <row r="40">
      <c r="A40" s="22" t="inlineStr">
        <is>
          <t>1</t>
        </is>
      </c>
      <c r="B40" s="22">
        <f>IF('Brouillard ventes'!$F$18="","","VD"&amp;TEXT(ROW('Brouillard ventes'!$F$18)-5,"00000"))</f>
        <v/>
      </c>
      <c r="C40" s="22">
        <f>IF('Brouillard ventes'!$F$18="","",YEAR('Brouillard ventes'!$A$18)*10000+MONTH('Brouillard ventes'!$A$18)*100+DAY('Brouillard ventes'!$A$18))</f>
        <v/>
      </c>
      <c r="D40" s="22">
        <f>IF('Brouillard ventes'!$F$18="","",'Brouillard ventes'!$B$18)</f>
        <v/>
      </c>
      <c r="E40" s="22">
        <f>IF('Brouillard ventes'!$F$18="","",LEFT('Brouillard ventes'!$D$18,30))</f>
        <v/>
      </c>
      <c r="F40" s="22" t="inlineStr">
        <is>
          <t>15001</t>
        </is>
      </c>
      <c r="G40" s="22">
        <f>IF('Brouillard ventes'!$F$18="","",Paramètres!$B$10)</f>
        <v/>
      </c>
      <c r="H40" s="22" t="inlineStr"/>
      <c r="I40" s="22" t="inlineStr"/>
      <c r="J40" s="22" t="inlineStr"/>
      <c r="K40" s="22">
        <f>IF('Brouillard ventes'!$F$18="","",Paramètres!$B$11)</f>
        <v/>
      </c>
      <c r="L40" s="23" t="n">
        <v>0</v>
      </c>
      <c r="M40" s="23">
        <f>IF('Brouillard ventes'!$F$18="","",'Brouillard ventes'!$H$18)</f>
        <v/>
      </c>
    </row>
    <row r="41">
      <c r="A41" s="22" t="inlineStr">
        <is>
          <t>1</t>
        </is>
      </c>
      <c r="B41" s="22">
        <f>IF('Brouillard ventes'!$F$19="","","VD"&amp;TEXT(ROW('Brouillard ventes'!$F$19)-5,"00000"))</f>
        <v/>
      </c>
      <c r="C41" s="22">
        <f>IF('Brouillard ventes'!$F$19="","",YEAR('Brouillard ventes'!$A$19)*10000+MONTH('Brouillard ventes'!$A$19)*100+DAY('Brouillard ventes'!$A$19))</f>
        <v/>
      </c>
      <c r="D41" s="22">
        <f>IF('Brouillard ventes'!$F$19="","",'Brouillard ventes'!$B$19)</f>
        <v/>
      </c>
      <c r="E41" s="22">
        <f>IF('Brouillard ventes'!$F$19="","",LEFT('Brouillard ventes'!$D$19,30))</f>
        <v/>
      </c>
      <c r="F41" s="22" t="inlineStr">
        <is>
          <t>15001</t>
        </is>
      </c>
      <c r="G41" s="22">
        <f>IF('Brouillard ventes'!$F$19="","",Paramètres!$B$7)</f>
        <v/>
      </c>
      <c r="H41" s="22">
        <f>IF('Brouillard ventes'!$F$19="","",IF('Brouillard ventes'!$C$19="","CD001",'Brouillard ventes'!$C$19))</f>
        <v/>
      </c>
      <c r="I41" s="22" t="inlineStr"/>
      <c r="J41" s="22" t="inlineStr"/>
      <c r="K41" s="22">
        <f>IF('Brouillard ventes'!$F$19="","",Paramètres!$B$11)</f>
        <v/>
      </c>
      <c r="L41" s="23">
        <f>IF('Brouillard ventes'!$F$19="","",'Brouillard ventes'!$I$19)</f>
        <v/>
      </c>
      <c r="M41" s="23" t="n">
        <v>0</v>
      </c>
    </row>
    <row r="42">
      <c r="A42" s="22" t="inlineStr">
        <is>
          <t>1</t>
        </is>
      </c>
      <c r="B42" s="22">
        <f>IF('Brouillard ventes'!$F$19="","","VD"&amp;TEXT(ROW('Brouillard ventes'!$F$19)-5,"00000"))</f>
        <v/>
      </c>
      <c r="C42" s="22">
        <f>IF('Brouillard ventes'!$F$19="","",YEAR('Brouillard ventes'!$A$19)*10000+MONTH('Brouillard ventes'!$A$19)*100+DAY('Brouillard ventes'!$A$19))</f>
        <v/>
      </c>
      <c r="D42" s="22">
        <f>IF('Brouillard ventes'!$F$19="","",'Brouillard ventes'!$B$19)</f>
        <v/>
      </c>
      <c r="E42" s="22">
        <f>IF('Brouillard ventes'!$F$19="","",LEFT('Brouillard ventes'!$D$19,30))</f>
        <v/>
      </c>
      <c r="F42" s="22" t="inlineStr">
        <is>
          <t>15001</t>
        </is>
      </c>
      <c r="G42" s="22">
        <f>IF('Brouillard ventes'!$F$19="","",IF('Brouillard ventes'!$E$19="Réparation",Paramètres!$B$9,Paramètres!$B$8))</f>
        <v/>
      </c>
      <c r="H42" s="22" t="inlineStr"/>
      <c r="I42" s="22" t="inlineStr"/>
      <c r="J42" s="22" t="inlineStr"/>
      <c r="K42" s="22">
        <f>IF('Brouillard ventes'!$F$19="","",Paramètres!$B$11)</f>
        <v/>
      </c>
      <c r="L42" s="23" t="n">
        <v>0</v>
      </c>
      <c r="M42" s="23">
        <f>IF('Brouillard ventes'!$F$19="","",'Brouillard ventes'!$F$19)</f>
        <v/>
      </c>
    </row>
    <row r="43">
      <c r="A43" s="22" t="inlineStr">
        <is>
          <t>1</t>
        </is>
      </c>
      <c r="B43" s="22">
        <f>IF('Brouillard ventes'!$F$19="","","VD"&amp;TEXT(ROW('Brouillard ventes'!$F$19)-5,"00000"))</f>
        <v/>
      </c>
      <c r="C43" s="22">
        <f>IF('Brouillard ventes'!$F$19="","",YEAR('Brouillard ventes'!$A$19)*10000+MONTH('Brouillard ventes'!$A$19)*100+DAY('Brouillard ventes'!$A$19))</f>
        <v/>
      </c>
      <c r="D43" s="22">
        <f>IF('Brouillard ventes'!$F$19="","",'Brouillard ventes'!$B$19)</f>
        <v/>
      </c>
      <c r="E43" s="22">
        <f>IF('Brouillard ventes'!$F$19="","",LEFT('Brouillard ventes'!$D$19,30))</f>
        <v/>
      </c>
      <c r="F43" s="22" t="inlineStr">
        <is>
          <t>15001</t>
        </is>
      </c>
      <c r="G43" s="22">
        <f>IF('Brouillard ventes'!$F$19="","",Paramètres!$B$10)</f>
        <v/>
      </c>
      <c r="H43" s="22" t="inlineStr"/>
      <c r="I43" s="22" t="inlineStr"/>
      <c r="J43" s="22" t="inlineStr"/>
      <c r="K43" s="22">
        <f>IF('Brouillard ventes'!$F$19="","",Paramètres!$B$11)</f>
        <v/>
      </c>
      <c r="L43" s="23" t="n">
        <v>0</v>
      </c>
      <c r="M43" s="23">
        <f>IF('Brouillard ventes'!$F$19="","",'Brouillard ventes'!$H$19)</f>
        <v/>
      </c>
    </row>
    <row r="44">
      <c r="A44" s="22" t="inlineStr">
        <is>
          <t>1</t>
        </is>
      </c>
      <c r="B44" s="22">
        <f>IF('Brouillard ventes'!$F$20="","","VD"&amp;TEXT(ROW('Brouillard ventes'!$F$20)-5,"00000"))</f>
        <v/>
      </c>
      <c r="C44" s="22">
        <f>IF('Brouillard ventes'!$F$20="","",YEAR('Brouillard ventes'!$A$20)*10000+MONTH('Brouillard ventes'!$A$20)*100+DAY('Brouillard ventes'!$A$20))</f>
        <v/>
      </c>
      <c r="D44" s="22">
        <f>IF('Brouillard ventes'!$F$20="","",'Brouillard ventes'!$B$20)</f>
        <v/>
      </c>
      <c r="E44" s="22">
        <f>IF('Brouillard ventes'!$F$20="","",LEFT('Brouillard ventes'!$D$20,30))</f>
        <v/>
      </c>
      <c r="F44" s="22" t="inlineStr">
        <is>
          <t>15001</t>
        </is>
      </c>
      <c r="G44" s="22">
        <f>IF('Brouillard ventes'!$F$20="","",Paramètres!$B$7)</f>
        <v/>
      </c>
      <c r="H44" s="22">
        <f>IF('Brouillard ventes'!$F$20="","",IF('Brouillard ventes'!$C$20="","CD001",'Brouillard ventes'!$C$20))</f>
        <v/>
      </c>
      <c r="I44" s="22" t="inlineStr"/>
      <c r="J44" s="22" t="inlineStr"/>
      <c r="K44" s="22">
        <f>IF('Brouillard ventes'!$F$20="","",Paramètres!$B$11)</f>
        <v/>
      </c>
      <c r="L44" s="23">
        <f>IF('Brouillard ventes'!$F$20="","",'Brouillard ventes'!$I$20)</f>
        <v/>
      </c>
      <c r="M44" s="23" t="n">
        <v>0</v>
      </c>
    </row>
    <row r="45">
      <c r="A45" s="22" t="inlineStr">
        <is>
          <t>1</t>
        </is>
      </c>
      <c r="B45" s="22">
        <f>IF('Brouillard ventes'!$F$20="","","VD"&amp;TEXT(ROW('Brouillard ventes'!$F$20)-5,"00000"))</f>
        <v/>
      </c>
      <c r="C45" s="22">
        <f>IF('Brouillard ventes'!$F$20="","",YEAR('Brouillard ventes'!$A$20)*10000+MONTH('Brouillard ventes'!$A$20)*100+DAY('Brouillard ventes'!$A$20))</f>
        <v/>
      </c>
      <c r="D45" s="22">
        <f>IF('Brouillard ventes'!$F$20="","",'Brouillard ventes'!$B$20)</f>
        <v/>
      </c>
      <c r="E45" s="22">
        <f>IF('Brouillard ventes'!$F$20="","",LEFT('Brouillard ventes'!$D$20,30))</f>
        <v/>
      </c>
      <c r="F45" s="22" t="inlineStr">
        <is>
          <t>15001</t>
        </is>
      </c>
      <c r="G45" s="22">
        <f>IF('Brouillard ventes'!$F$20="","",IF('Brouillard ventes'!$E$20="Réparation",Paramètres!$B$9,Paramètres!$B$8))</f>
        <v/>
      </c>
      <c r="H45" s="22" t="inlineStr"/>
      <c r="I45" s="22" t="inlineStr"/>
      <c r="J45" s="22" t="inlineStr"/>
      <c r="K45" s="22">
        <f>IF('Brouillard ventes'!$F$20="","",Paramètres!$B$11)</f>
        <v/>
      </c>
      <c r="L45" s="23" t="n">
        <v>0</v>
      </c>
      <c r="M45" s="23">
        <f>IF('Brouillard ventes'!$F$20="","",'Brouillard ventes'!$F$20)</f>
        <v/>
      </c>
    </row>
    <row r="46">
      <c r="A46" s="22" t="inlineStr">
        <is>
          <t>1</t>
        </is>
      </c>
      <c r="B46" s="22">
        <f>IF('Brouillard ventes'!$F$20="","","VD"&amp;TEXT(ROW('Brouillard ventes'!$F$20)-5,"00000"))</f>
        <v/>
      </c>
      <c r="C46" s="22">
        <f>IF('Brouillard ventes'!$F$20="","",YEAR('Brouillard ventes'!$A$20)*10000+MONTH('Brouillard ventes'!$A$20)*100+DAY('Brouillard ventes'!$A$20))</f>
        <v/>
      </c>
      <c r="D46" s="22">
        <f>IF('Brouillard ventes'!$F$20="","",'Brouillard ventes'!$B$20)</f>
        <v/>
      </c>
      <c r="E46" s="22">
        <f>IF('Brouillard ventes'!$F$20="","",LEFT('Brouillard ventes'!$D$20,30))</f>
        <v/>
      </c>
      <c r="F46" s="22" t="inlineStr">
        <is>
          <t>15001</t>
        </is>
      </c>
      <c r="G46" s="22">
        <f>IF('Brouillard ventes'!$F$20="","",Paramètres!$B$10)</f>
        <v/>
      </c>
      <c r="H46" s="22" t="inlineStr"/>
      <c r="I46" s="22" t="inlineStr"/>
      <c r="J46" s="22" t="inlineStr"/>
      <c r="K46" s="22">
        <f>IF('Brouillard ventes'!$F$20="","",Paramètres!$B$11)</f>
        <v/>
      </c>
      <c r="L46" s="23" t="n">
        <v>0</v>
      </c>
      <c r="M46" s="23">
        <f>IF('Brouillard ventes'!$F$20="","",'Brouillard ventes'!$H$20)</f>
        <v/>
      </c>
    </row>
    <row r="47">
      <c r="A47" s="22" t="inlineStr">
        <is>
          <t>1</t>
        </is>
      </c>
      <c r="B47" s="22">
        <f>IF('Brouillard ventes'!$F$21="","","VD"&amp;TEXT(ROW('Brouillard ventes'!$F$21)-5,"00000"))</f>
        <v/>
      </c>
      <c r="C47" s="22">
        <f>IF('Brouillard ventes'!$F$21="","",YEAR('Brouillard ventes'!$A$21)*10000+MONTH('Brouillard ventes'!$A$21)*100+DAY('Brouillard ventes'!$A$21))</f>
        <v/>
      </c>
      <c r="D47" s="22">
        <f>IF('Brouillard ventes'!$F$21="","",'Brouillard ventes'!$B$21)</f>
        <v/>
      </c>
      <c r="E47" s="22">
        <f>IF('Brouillard ventes'!$F$21="","",LEFT('Brouillard ventes'!$D$21,30))</f>
        <v/>
      </c>
      <c r="F47" s="22" t="inlineStr">
        <is>
          <t>15001</t>
        </is>
      </c>
      <c r="G47" s="22">
        <f>IF('Brouillard ventes'!$F$21="","",Paramètres!$B$7)</f>
        <v/>
      </c>
      <c r="H47" s="22">
        <f>IF('Brouillard ventes'!$F$21="","",IF('Brouillard ventes'!$C$21="","CD001",'Brouillard ventes'!$C$21))</f>
        <v/>
      </c>
      <c r="I47" s="22" t="inlineStr"/>
      <c r="J47" s="22" t="inlineStr"/>
      <c r="K47" s="22">
        <f>IF('Brouillard ventes'!$F$21="","",Paramètres!$B$11)</f>
        <v/>
      </c>
      <c r="L47" s="23">
        <f>IF('Brouillard ventes'!$F$21="","",'Brouillard ventes'!$I$21)</f>
        <v/>
      </c>
      <c r="M47" s="23" t="n">
        <v>0</v>
      </c>
    </row>
    <row r="48">
      <c r="A48" s="22" t="inlineStr">
        <is>
          <t>1</t>
        </is>
      </c>
      <c r="B48" s="22">
        <f>IF('Brouillard ventes'!$F$21="","","VD"&amp;TEXT(ROW('Brouillard ventes'!$F$21)-5,"00000"))</f>
        <v/>
      </c>
      <c r="C48" s="22">
        <f>IF('Brouillard ventes'!$F$21="","",YEAR('Brouillard ventes'!$A$21)*10000+MONTH('Brouillard ventes'!$A$21)*100+DAY('Brouillard ventes'!$A$21))</f>
        <v/>
      </c>
      <c r="D48" s="22">
        <f>IF('Brouillard ventes'!$F$21="","",'Brouillard ventes'!$B$21)</f>
        <v/>
      </c>
      <c r="E48" s="22">
        <f>IF('Brouillard ventes'!$F$21="","",LEFT('Brouillard ventes'!$D$21,30))</f>
        <v/>
      </c>
      <c r="F48" s="22" t="inlineStr">
        <is>
          <t>15001</t>
        </is>
      </c>
      <c r="G48" s="22">
        <f>IF('Brouillard ventes'!$F$21="","",IF('Brouillard ventes'!$E$21="Réparation",Paramètres!$B$9,Paramètres!$B$8))</f>
        <v/>
      </c>
      <c r="H48" s="22" t="inlineStr"/>
      <c r="I48" s="22" t="inlineStr"/>
      <c r="J48" s="22" t="inlineStr"/>
      <c r="K48" s="22">
        <f>IF('Brouillard ventes'!$F$21="","",Paramètres!$B$11)</f>
        <v/>
      </c>
      <c r="L48" s="23" t="n">
        <v>0</v>
      </c>
      <c r="M48" s="23">
        <f>IF('Brouillard ventes'!$F$21="","",'Brouillard ventes'!$F$21)</f>
        <v/>
      </c>
    </row>
    <row r="49">
      <c r="A49" s="22" t="inlineStr">
        <is>
          <t>1</t>
        </is>
      </c>
      <c r="B49" s="22">
        <f>IF('Brouillard ventes'!$F$21="","","VD"&amp;TEXT(ROW('Brouillard ventes'!$F$21)-5,"00000"))</f>
        <v/>
      </c>
      <c r="C49" s="22">
        <f>IF('Brouillard ventes'!$F$21="","",YEAR('Brouillard ventes'!$A$21)*10000+MONTH('Brouillard ventes'!$A$21)*100+DAY('Brouillard ventes'!$A$21))</f>
        <v/>
      </c>
      <c r="D49" s="22">
        <f>IF('Brouillard ventes'!$F$21="","",'Brouillard ventes'!$B$21)</f>
        <v/>
      </c>
      <c r="E49" s="22">
        <f>IF('Brouillard ventes'!$F$21="","",LEFT('Brouillard ventes'!$D$21,30))</f>
        <v/>
      </c>
      <c r="F49" s="22" t="inlineStr">
        <is>
          <t>15001</t>
        </is>
      </c>
      <c r="G49" s="22">
        <f>IF('Brouillard ventes'!$F$21="","",Paramètres!$B$10)</f>
        <v/>
      </c>
      <c r="H49" s="22" t="inlineStr"/>
      <c r="I49" s="22" t="inlineStr"/>
      <c r="J49" s="22" t="inlineStr"/>
      <c r="K49" s="22">
        <f>IF('Brouillard ventes'!$F$21="","",Paramètres!$B$11)</f>
        <v/>
      </c>
      <c r="L49" s="23" t="n">
        <v>0</v>
      </c>
      <c r="M49" s="23">
        <f>IF('Brouillard ventes'!$F$21="","",'Brouillard ventes'!$H$21)</f>
        <v/>
      </c>
    </row>
    <row r="50">
      <c r="A50" s="22" t="inlineStr">
        <is>
          <t>1</t>
        </is>
      </c>
      <c r="B50" s="22">
        <f>IF('Brouillard ventes'!$F$22="","","VD"&amp;TEXT(ROW('Brouillard ventes'!$F$22)-5,"00000"))</f>
        <v/>
      </c>
      <c r="C50" s="22">
        <f>IF('Brouillard ventes'!$F$22="","",YEAR('Brouillard ventes'!$A$22)*10000+MONTH('Brouillard ventes'!$A$22)*100+DAY('Brouillard ventes'!$A$22))</f>
        <v/>
      </c>
      <c r="D50" s="22">
        <f>IF('Brouillard ventes'!$F$22="","",'Brouillard ventes'!$B$22)</f>
        <v/>
      </c>
      <c r="E50" s="22">
        <f>IF('Brouillard ventes'!$F$22="","",LEFT('Brouillard ventes'!$D$22,30))</f>
        <v/>
      </c>
      <c r="F50" s="22" t="inlineStr">
        <is>
          <t>15001</t>
        </is>
      </c>
      <c r="G50" s="22">
        <f>IF('Brouillard ventes'!$F$22="","",Paramètres!$B$7)</f>
        <v/>
      </c>
      <c r="H50" s="22">
        <f>IF('Brouillard ventes'!$F$22="","",IF('Brouillard ventes'!$C$22="","CD001",'Brouillard ventes'!$C$22))</f>
        <v/>
      </c>
      <c r="I50" s="22" t="inlineStr"/>
      <c r="J50" s="22" t="inlineStr"/>
      <c r="K50" s="22">
        <f>IF('Brouillard ventes'!$F$22="","",Paramètres!$B$11)</f>
        <v/>
      </c>
      <c r="L50" s="23">
        <f>IF('Brouillard ventes'!$F$22="","",'Brouillard ventes'!$I$22)</f>
        <v/>
      </c>
      <c r="M50" s="23" t="n">
        <v>0</v>
      </c>
    </row>
    <row r="51">
      <c r="A51" s="22" t="inlineStr">
        <is>
          <t>1</t>
        </is>
      </c>
      <c r="B51" s="22">
        <f>IF('Brouillard ventes'!$F$22="","","VD"&amp;TEXT(ROW('Brouillard ventes'!$F$22)-5,"00000"))</f>
        <v/>
      </c>
      <c r="C51" s="22">
        <f>IF('Brouillard ventes'!$F$22="","",YEAR('Brouillard ventes'!$A$22)*10000+MONTH('Brouillard ventes'!$A$22)*100+DAY('Brouillard ventes'!$A$22))</f>
        <v/>
      </c>
      <c r="D51" s="22">
        <f>IF('Brouillard ventes'!$F$22="","",'Brouillard ventes'!$B$22)</f>
        <v/>
      </c>
      <c r="E51" s="22">
        <f>IF('Brouillard ventes'!$F$22="","",LEFT('Brouillard ventes'!$D$22,30))</f>
        <v/>
      </c>
      <c r="F51" s="22" t="inlineStr">
        <is>
          <t>15001</t>
        </is>
      </c>
      <c r="G51" s="22">
        <f>IF('Brouillard ventes'!$F$22="","",IF('Brouillard ventes'!$E$22="Réparation",Paramètres!$B$9,Paramètres!$B$8))</f>
        <v/>
      </c>
      <c r="H51" s="22" t="inlineStr"/>
      <c r="I51" s="22" t="inlineStr"/>
      <c r="J51" s="22" t="inlineStr"/>
      <c r="K51" s="22">
        <f>IF('Brouillard ventes'!$F$22="","",Paramètres!$B$11)</f>
        <v/>
      </c>
      <c r="L51" s="23" t="n">
        <v>0</v>
      </c>
      <c r="M51" s="23">
        <f>IF('Brouillard ventes'!$F$22="","",'Brouillard ventes'!$F$22)</f>
        <v/>
      </c>
    </row>
    <row r="52">
      <c r="A52" s="22" t="inlineStr">
        <is>
          <t>1</t>
        </is>
      </c>
      <c r="B52" s="22">
        <f>IF('Brouillard ventes'!$F$22="","","VD"&amp;TEXT(ROW('Brouillard ventes'!$F$22)-5,"00000"))</f>
        <v/>
      </c>
      <c r="C52" s="22">
        <f>IF('Brouillard ventes'!$F$22="","",YEAR('Brouillard ventes'!$A$22)*10000+MONTH('Brouillard ventes'!$A$22)*100+DAY('Brouillard ventes'!$A$22))</f>
        <v/>
      </c>
      <c r="D52" s="22">
        <f>IF('Brouillard ventes'!$F$22="","",'Brouillard ventes'!$B$22)</f>
        <v/>
      </c>
      <c r="E52" s="22">
        <f>IF('Brouillard ventes'!$F$22="","",LEFT('Brouillard ventes'!$D$22,30))</f>
        <v/>
      </c>
      <c r="F52" s="22" t="inlineStr">
        <is>
          <t>15001</t>
        </is>
      </c>
      <c r="G52" s="22">
        <f>IF('Brouillard ventes'!$F$22="","",Paramètres!$B$10)</f>
        <v/>
      </c>
      <c r="H52" s="22" t="inlineStr"/>
      <c r="I52" s="22" t="inlineStr"/>
      <c r="J52" s="22" t="inlineStr"/>
      <c r="K52" s="22">
        <f>IF('Brouillard ventes'!$F$22="","",Paramètres!$B$11)</f>
        <v/>
      </c>
      <c r="L52" s="23" t="n">
        <v>0</v>
      </c>
      <c r="M52" s="23">
        <f>IF('Brouillard ventes'!$F$22="","",'Brouillard ventes'!$H$22)</f>
        <v/>
      </c>
    </row>
    <row r="53">
      <c r="A53" s="22" t="inlineStr">
        <is>
          <t>1</t>
        </is>
      </c>
      <c r="B53" s="22">
        <f>IF('Brouillard ventes'!$F$23="","","VD"&amp;TEXT(ROW('Brouillard ventes'!$F$23)-5,"00000"))</f>
        <v/>
      </c>
      <c r="C53" s="22">
        <f>IF('Brouillard ventes'!$F$23="","",YEAR('Brouillard ventes'!$A$23)*10000+MONTH('Brouillard ventes'!$A$23)*100+DAY('Brouillard ventes'!$A$23))</f>
        <v/>
      </c>
      <c r="D53" s="22">
        <f>IF('Brouillard ventes'!$F$23="","",'Brouillard ventes'!$B$23)</f>
        <v/>
      </c>
      <c r="E53" s="22">
        <f>IF('Brouillard ventes'!$F$23="","",LEFT('Brouillard ventes'!$D$23,30))</f>
        <v/>
      </c>
      <c r="F53" s="22" t="inlineStr">
        <is>
          <t>15001</t>
        </is>
      </c>
      <c r="G53" s="22">
        <f>IF('Brouillard ventes'!$F$23="","",Paramètres!$B$7)</f>
        <v/>
      </c>
      <c r="H53" s="22">
        <f>IF('Brouillard ventes'!$F$23="","",IF('Brouillard ventes'!$C$23="","CD001",'Brouillard ventes'!$C$23))</f>
        <v/>
      </c>
      <c r="I53" s="22" t="inlineStr"/>
      <c r="J53" s="22" t="inlineStr"/>
      <c r="K53" s="22">
        <f>IF('Brouillard ventes'!$F$23="","",Paramètres!$B$11)</f>
        <v/>
      </c>
      <c r="L53" s="23">
        <f>IF('Brouillard ventes'!$F$23="","",'Brouillard ventes'!$I$23)</f>
        <v/>
      </c>
      <c r="M53" s="23" t="n">
        <v>0</v>
      </c>
    </row>
    <row r="54">
      <c r="A54" s="22" t="inlineStr">
        <is>
          <t>1</t>
        </is>
      </c>
      <c r="B54" s="22">
        <f>IF('Brouillard ventes'!$F$23="","","VD"&amp;TEXT(ROW('Brouillard ventes'!$F$23)-5,"00000"))</f>
        <v/>
      </c>
      <c r="C54" s="22">
        <f>IF('Brouillard ventes'!$F$23="","",YEAR('Brouillard ventes'!$A$23)*10000+MONTH('Brouillard ventes'!$A$23)*100+DAY('Brouillard ventes'!$A$23))</f>
        <v/>
      </c>
      <c r="D54" s="22">
        <f>IF('Brouillard ventes'!$F$23="","",'Brouillard ventes'!$B$23)</f>
        <v/>
      </c>
      <c r="E54" s="22">
        <f>IF('Brouillard ventes'!$F$23="","",LEFT('Brouillard ventes'!$D$23,30))</f>
        <v/>
      </c>
      <c r="F54" s="22" t="inlineStr">
        <is>
          <t>15001</t>
        </is>
      </c>
      <c r="G54" s="22">
        <f>IF('Brouillard ventes'!$F$23="","",IF('Brouillard ventes'!$E$23="Réparation",Paramètres!$B$9,Paramètres!$B$8))</f>
        <v/>
      </c>
      <c r="H54" s="22" t="inlineStr"/>
      <c r="I54" s="22" t="inlineStr"/>
      <c r="J54" s="22" t="inlineStr"/>
      <c r="K54" s="22">
        <f>IF('Brouillard ventes'!$F$23="","",Paramètres!$B$11)</f>
        <v/>
      </c>
      <c r="L54" s="23" t="n">
        <v>0</v>
      </c>
      <c r="M54" s="23">
        <f>IF('Brouillard ventes'!$F$23="","",'Brouillard ventes'!$F$23)</f>
        <v/>
      </c>
    </row>
    <row r="55">
      <c r="A55" s="22" t="inlineStr">
        <is>
          <t>1</t>
        </is>
      </c>
      <c r="B55" s="22">
        <f>IF('Brouillard ventes'!$F$23="","","VD"&amp;TEXT(ROW('Brouillard ventes'!$F$23)-5,"00000"))</f>
        <v/>
      </c>
      <c r="C55" s="22">
        <f>IF('Brouillard ventes'!$F$23="","",YEAR('Brouillard ventes'!$A$23)*10000+MONTH('Brouillard ventes'!$A$23)*100+DAY('Brouillard ventes'!$A$23))</f>
        <v/>
      </c>
      <c r="D55" s="22">
        <f>IF('Brouillard ventes'!$F$23="","",'Brouillard ventes'!$B$23)</f>
        <v/>
      </c>
      <c r="E55" s="22">
        <f>IF('Brouillard ventes'!$F$23="","",LEFT('Brouillard ventes'!$D$23,30))</f>
        <v/>
      </c>
      <c r="F55" s="22" t="inlineStr">
        <is>
          <t>15001</t>
        </is>
      </c>
      <c r="G55" s="22">
        <f>IF('Brouillard ventes'!$F$23="","",Paramètres!$B$10)</f>
        <v/>
      </c>
      <c r="H55" s="22" t="inlineStr"/>
      <c r="I55" s="22" t="inlineStr"/>
      <c r="J55" s="22" t="inlineStr"/>
      <c r="K55" s="22">
        <f>IF('Brouillard ventes'!$F$23="","",Paramètres!$B$11)</f>
        <v/>
      </c>
      <c r="L55" s="23" t="n">
        <v>0</v>
      </c>
      <c r="M55" s="23">
        <f>IF('Brouillard ventes'!$F$23="","",'Brouillard ventes'!$H$23)</f>
        <v/>
      </c>
    </row>
    <row r="56">
      <c r="A56" s="22" t="inlineStr">
        <is>
          <t>1</t>
        </is>
      </c>
      <c r="B56" s="22">
        <f>IF('Brouillard ventes'!$F$24="","","VD"&amp;TEXT(ROW('Brouillard ventes'!$F$24)-5,"00000"))</f>
        <v/>
      </c>
      <c r="C56" s="22">
        <f>IF('Brouillard ventes'!$F$24="","",YEAR('Brouillard ventes'!$A$24)*10000+MONTH('Brouillard ventes'!$A$24)*100+DAY('Brouillard ventes'!$A$24))</f>
        <v/>
      </c>
      <c r="D56" s="22">
        <f>IF('Brouillard ventes'!$F$24="","",'Brouillard ventes'!$B$24)</f>
        <v/>
      </c>
      <c r="E56" s="22">
        <f>IF('Brouillard ventes'!$F$24="","",LEFT('Brouillard ventes'!$D$24,30))</f>
        <v/>
      </c>
      <c r="F56" s="22" t="inlineStr">
        <is>
          <t>15001</t>
        </is>
      </c>
      <c r="G56" s="22">
        <f>IF('Brouillard ventes'!$F$24="","",Paramètres!$B$7)</f>
        <v/>
      </c>
      <c r="H56" s="22">
        <f>IF('Brouillard ventes'!$F$24="","",IF('Brouillard ventes'!$C$24="","CD001",'Brouillard ventes'!$C$24))</f>
        <v/>
      </c>
      <c r="I56" s="22" t="inlineStr"/>
      <c r="J56" s="22" t="inlineStr"/>
      <c r="K56" s="22">
        <f>IF('Brouillard ventes'!$F$24="","",Paramètres!$B$11)</f>
        <v/>
      </c>
      <c r="L56" s="23">
        <f>IF('Brouillard ventes'!$F$24="","",'Brouillard ventes'!$I$24)</f>
        <v/>
      </c>
      <c r="M56" s="23" t="n">
        <v>0</v>
      </c>
    </row>
    <row r="57">
      <c r="A57" s="22" t="inlineStr">
        <is>
          <t>1</t>
        </is>
      </c>
      <c r="B57" s="22">
        <f>IF('Brouillard ventes'!$F$24="","","VD"&amp;TEXT(ROW('Brouillard ventes'!$F$24)-5,"00000"))</f>
        <v/>
      </c>
      <c r="C57" s="22">
        <f>IF('Brouillard ventes'!$F$24="","",YEAR('Brouillard ventes'!$A$24)*10000+MONTH('Brouillard ventes'!$A$24)*100+DAY('Brouillard ventes'!$A$24))</f>
        <v/>
      </c>
      <c r="D57" s="22">
        <f>IF('Brouillard ventes'!$F$24="","",'Brouillard ventes'!$B$24)</f>
        <v/>
      </c>
      <c r="E57" s="22">
        <f>IF('Brouillard ventes'!$F$24="","",LEFT('Brouillard ventes'!$D$24,30))</f>
        <v/>
      </c>
      <c r="F57" s="22" t="inlineStr">
        <is>
          <t>15001</t>
        </is>
      </c>
      <c r="G57" s="22">
        <f>IF('Brouillard ventes'!$F$24="","",IF('Brouillard ventes'!$E$24="Réparation",Paramètres!$B$9,Paramètres!$B$8))</f>
        <v/>
      </c>
      <c r="H57" s="22" t="inlineStr"/>
      <c r="I57" s="22" t="inlineStr"/>
      <c r="J57" s="22" t="inlineStr"/>
      <c r="K57" s="22">
        <f>IF('Brouillard ventes'!$F$24="","",Paramètres!$B$11)</f>
        <v/>
      </c>
      <c r="L57" s="23" t="n">
        <v>0</v>
      </c>
      <c r="M57" s="23">
        <f>IF('Brouillard ventes'!$F$24="","",'Brouillard ventes'!$F$24)</f>
        <v/>
      </c>
    </row>
    <row r="58">
      <c r="A58" s="22" t="inlineStr">
        <is>
          <t>1</t>
        </is>
      </c>
      <c r="B58" s="22">
        <f>IF('Brouillard ventes'!$F$24="","","VD"&amp;TEXT(ROW('Brouillard ventes'!$F$24)-5,"00000"))</f>
        <v/>
      </c>
      <c r="C58" s="22">
        <f>IF('Brouillard ventes'!$F$24="","",YEAR('Brouillard ventes'!$A$24)*10000+MONTH('Brouillard ventes'!$A$24)*100+DAY('Brouillard ventes'!$A$24))</f>
        <v/>
      </c>
      <c r="D58" s="22">
        <f>IF('Brouillard ventes'!$F$24="","",'Brouillard ventes'!$B$24)</f>
        <v/>
      </c>
      <c r="E58" s="22">
        <f>IF('Brouillard ventes'!$F$24="","",LEFT('Brouillard ventes'!$D$24,30))</f>
        <v/>
      </c>
      <c r="F58" s="22" t="inlineStr">
        <is>
          <t>15001</t>
        </is>
      </c>
      <c r="G58" s="22">
        <f>IF('Brouillard ventes'!$F$24="","",Paramètres!$B$10)</f>
        <v/>
      </c>
      <c r="H58" s="22" t="inlineStr"/>
      <c r="I58" s="22" t="inlineStr"/>
      <c r="J58" s="22" t="inlineStr"/>
      <c r="K58" s="22">
        <f>IF('Brouillard ventes'!$F$24="","",Paramètres!$B$11)</f>
        <v/>
      </c>
      <c r="L58" s="23" t="n">
        <v>0</v>
      </c>
      <c r="M58" s="23">
        <f>IF('Brouillard ventes'!$F$24="","",'Brouillard ventes'!$H$24)</f>
        <v/>
      </c>
    </row>
    <row r="59">
      <c r="A59" s="22" t="inlineStr">
        <is>
          <t>1</t>
        </is>
      </c>
      <c r="B59" s="22">
        <f>IF('Brouillard ventes'!$F$25="","","VD"&amp;TEXT(ROW('Brouillard ventes'!$F$25)-5,"00000"))</f>
        <v/>
      </c>
      <c r="C59" s="22">
        <f>IF('Brouillard ventes'!$F$25="","",YEAR('Brouillard ventes'!$A$25)*10000+MONTH('Brouillard ventes'!$A$25)*100+DAY('Brouillard ventes'!$A$25))</f>
        <v/>
      </c>
      <c r="D59" s="22">
        <f>IF('Brouillard ventes'!$F$25="","",'Brouillard ventes'!$B$25)</f>
        <v/>
      </c>
      <c r="E59" s="22">
        <f>IF('Brouillard ventes'!$F$25="","",LEFT('Brouillard ventes'!$D$25,30))</f>
        <v/>
      </c>
      <c r="F59" s="22" t="inlineStr">
        <is>
          <t>15001</t>
        </is>
      </c>
      <c r="G59" s="22">
        <f>IF('Brouillard ventes'!$F$25="","",Paramètres!$B$7)</f>
        <v/>
      </c>
      <c r="H59" s="22">
        <f>IF('Brouillard ventes'!$F$25="","",IF('Brouillard ventes'!$C$25="","CD001",'Brouillard ventes'!$C$25))</f>
        <v/>
      </c>
      <c r="I59" s="22" t="inlineStr"/>
      <c r="J59" s="22" t="inlineStr"/>
      <c r="K59" s="22">
        <f>IF('Brouillard ventes'!$F$25="","",Paramètres!$B$11)</f>
        <v/>
      </c>
      <c r="L59" s="23">
        <f>IF('Brouillard ventes'!$F$25="","",'Brouillard ventes'!$I$25)</f>
        <v/>
      </c>
      <c r="M59" s="23" t="n">
        <v>0</v>
      </c>
    </row>
    <row r="60">
      <c r="A60" s="22" t="inlineStr">
        <is>
          <t>1</t>
        </is>
      </c>
      <c r="B60" s="22">
        <f>IF('Brouillard ventes'!$F$25="","","VD"&amp;TEXT(ROW('Brouillard ventes'!$F$25)-5,"00000"))</f>
        <v/>
      </c>
      <c r="C60" s="22">
        <f>IF('Brouillard ventes'!$F$25="","",YEAR('Brouillard ventes'!$A$25)*10000+MONTH('Brouillard ventes'!$A$25)*100+DAY('Brouillard ventes'!$A$25))</f>
        <v/>
      </c>
      <c r="D60" s="22">
        <f>IF('Brouillard ventes'!$F$25="","",'Brouillard ventes'!$B$25)</f>
        <v/>
      </c>
      <c r="E60" s="22">
        <f>IF('Brouillard ventes'!$F$25="","",LEFT('Brouillard ventes'!$D$25,30))</f>
        <v/>
      </c>
      <c r="F60" s="22" t="inlineStr">
        <is>
          <t>15001</t>
        </is>
      </c>
      <c r="G60" s="22">
        <f>IF('Brouillard ventes'!$F$25="","",IF('Brouillard ventes'!$E$25="Réparation",Paramètres!$B$9,Paramètres!$B$8))</f>
        <v/>
      </c>
      <c r="H60" s="22" t="inlineStr"/>
      <c r="I60" s="22" t="inlineStr"/>
      <c r="J60" s="22" t="inlineStr"/>
      <c r="K60" s="22">
        <f>IF('Brouillard ventes'!$F$25="","",Paramètres!$B$11)</f>
        <v/>
      </c>
      <c r="L60" s="23" t="n">
        <v>0</v>
      </c>
      <c r="M60" s="23">
        <f>IF('Brouillard ventes'!$F$25="","",'Brouillard ventes'!$F$25)</f>
        <v/>
      </c>
    </row>
    <row r="61">
      <c r="A61" s="22" t="inlineStr">
        <is>
          <t>1</t>
        </is>
      </c>
      <c r="B61" s="22">
        <f>IF('Brouillard ventes'!$F$25="","","VD"&amp;TEXT(ROW('Brouillard ventes'!$F$25)-5,"00000"))</f>
        <v/>
      </c>
      <c r="C61" s="22">
        <f>IF('Brouillard ventes'!$F$25="","",YEAR('Brouillard ventes'!$A$25)*10000+MONTH('Brouillard ventes'!$A$25)*100+DAY('Brouillard ventes'!$A$25))</f>
        <v/>
      </c>
      <c r="D61" s="22">
        <f>IF('Brouillard ventes'!$F$25="","",'Brouillard ventes'!$B$25)</f>
        <v/>
      </c>
      <c r="E61" s="22">
        <f>IF('Brouillard ventes'!$F$25="","",LEFT('Brouillard ventes'!$D$25,30))</f>
        <v/>
      </c>
      <c r="F61" s="22" t="inlineStr">
        <is>
          <t>15001</t>
        </is>
      </c>
      <c r="G61" s="22">
        <f>IF('Brouillard ventes'!$F$25="","",Paramètres!$B$10)</f>
        <v/>
      </c>
      <c r="H61" s="22" t="inlineStr"/>
      <c r="I61" s="22" t="inlineStr"/>
      <c r="J61" s="22" t="inlineStr"/>
      <c r="K61" s="22">
        <f>IF('Brouillard ventes'!$F$25="","",Paramètres!$B$11)</f>
        <v/>
      </c>
      <c r="L61" s="23" t="n">
        <v>0</v>
      </c>
      <c r="M61" s="23">
        <f>IF('Brouillard ventes'!$F$25="","",'Brouillard ventes'!$H$25)</f>
        <v/>
      </c>
    </row>
    <row r="62">
      <c r="A62" s="22" t="inlineStr">
        <is>
          <t>1</t>
        </is>
      </c>
      <c r="B62" s="22">
        <f>IF('Brouillard ventes'!$F$26="","","VD"&amp;TEXT(ROW('Brouillard ventes'!$F$26)-5,"00000"))</f>
        <v/>
      </c>
      <c r="C62" s="22">
        <f>IF('Brouillard ventes'!$F$26="","",YEAR('Brouillard ventes'!$A$26)*10000+MONTH('Brouillard ventes'!$A$26)*100+DAY('Brouillard ventes'!$A$26))</f>
        <v/>
      </c>
      <c r="D62" s="22">
        <f>IF('Brouillard ventes'!$F$26="","",'Brouillard ventes'!$B$26)</f>
        <v/>
      </c>
      <c r="E62" s="22">
        <f>IF('Brouillard ventes'!$F$26="","",LEFT('Brouillard ventes'!$D$26,30))</f>
        <v/>
      </c>
      <c r="F62" s="22" t="inlineStr">
        <is>
          <t>15001</t>
        </is>
      </c>
      <c r="G62" s="22">
        <f>IF('Brouillard ventes'!$F$26="","",Paramètres!$B$7)</f>
        <v/>
      </c>
      <c r="H62" s="22">
        <f>IF('Brouillard ventes'!$F$26="","",IF('Brouillard ventes'!$C$26="","CD001",'Brouillard ventes'!$C$26))</f>
        <v/>
      </c>
      <c r="I62" s="22" t="inlineStr"/>
      <c r="J62" s="22" t="inlineStr"/>
      <c r="K62" s="22">
        <f>IF('Brouillard ventes'!$F$26="","",Paramètres!$B$11)</f>
        <v/>
      </c>
      <c r="L62" s="23">
        <f>IF('Brouillard ventes'!$F$26="","",'Brouillard ventes'!$I$26)</f>
        <v/>
      </c>
      <c r="M62" s="23" t="n">
        <v>0</v>
      </c>
    </row>
    <row r="63">
      <c r="A63" s="22" t="inlineStr">
        <is>
          <t>1</t>
        </is>
      </c>
      <c r="B63" s="22">
        <f>IF('Brouillard ventes'!$F$26="","","VD"&amp;TEXT(ROW('Brouillard ventes'!$F$26)-5,"00000"))</f>
        <v/>
      </c>
      <c r="C63" s="22">
        <f>IF('Brouillard ventes'!$F$26="","",YEAR('Brouillard ventes'!$A$26)*10000+MONTH('Brouillard ventes'!$A$26)*100+DAY('Brouillard ventes'!$A$26))</f>
        <v/>
      </c>
      <c r="D63" s="22">
        <f>IF('Brouillard ventes'!$F$26="","",'Brouillard ventes'!$B$26)</f>
        <v/>
      </c>
      <c r="E63" s="22">
        <f>IF('Brouillard ventes'!$F$26="","",LEFT('Brouillard ventes'!$D$26,30))</f>
        <v/>
      </c>
      <c r="F63" s="22" t="inlineStr">
        <is>
          <t>15001</t>
        </is>
      </c>
      <c r="G63" s="22">
        <f>IF('Brouillard ventes'!$F$26="","",IF('Brouillard ventes'!$E$26="Réparation",Paramètres!$B$9,Paramètres!$B$8))</f>
        <v/>
      </c>
      <c r="H63" s="22" t="inlineStr"/>
      <c r="I63" s="22" t="inlineStr"/>
      <c r="J63" s="22" t="inlineStr"/>
      <c r="K63" s="22">
        <f>IF('Brouillard ventes'!$F$26="","",Paramètres!$B$11)</f>
        <v/>
      </c>
      <c r="L63" s="23" t="n">
        <v>0</v>
      </c>
      <c r="M63" s="23">
        <f>IF('Brouillard ventes'!$F$26="","",'Brouillard ventes'!$F$26)</f>
        <v/>
      </c>
    </row>
    <row r="64">
      <c r="A64" s="22" t="inlineStr">
        <is>
          <t>1</t>
        </is>
      </c>
      <c r="B64" s="22">
        <f>IF('Brouillard ventes'!$F$26="","","VD"&amp;TEXT(ROW('Brouillard ventes'!$F$26)-5,"00000"))</f>
        <v/>
      </c>
      <c r="C64" s="22">
        <f>IF('Brouillard ventes'!$F$26="","",YEAR('Brouillard ventes'!$A$26)*10000+MONTH('Brouillard ventes'!$A$26)*100+DAY('Brouillard ventes'!$A$26))</f>
        <v/>
      </c>
      <c r="D64" s="22">
        <f>IF('Brouillard ventes'!$F$26="","",'Brouillard ventes'!$B$26)</f>
        <v/>
      </c>
      <c r="E64" s="22">
        <f>IF('Brouillard ventes'!$F$26="","",LEFT('Brouillard ventes'!$D$26,30))</f>
        <v/>
      </c>
      <c r="F64" s="22" t="inlineStr">
        <is>
          <t>15001</t>
        </is>
      </c>
      <c r="G64" s="22">
        <f>IF('Brouillard ventes'!$F$26="","",Paramètres!$B$10)</f>
        <v/>
      </c>
      <c r="H64" s="22" t="inlineStr"/>
      <c r="I64" s="22" t="inlineStr"/>
      <c r="J64" s="22" t="inlineStr"/>
      <c r="K64" s="22">
        <f>IF('Brouillard ventes'!$F$26="","",Paramètres!$B$11)</f>
        <v/>
      </c>
      <c r="L64" s="23" t="n">
        <v>0</v>
      </c>
      <c r="M64" s="23">
        <f>IF('Brouillard ventes'!$F$26="","",'Brouillard ventes'!$H$26)</f>
        <v/>
      </c>
    </row>
    <row r="65">
      <c r="A65" s="22" t="inlineStr">
        <is>
          <t>1</t>
        </is>
      </c>
      <c r="B65" s="22">
        <f>IF('Brouillard ventes'!$F$27="","","VD"&amp;TEXT(ROW('Brouillard ventes'!$F$27)-5,"00000"))</f>
        <v/>
      </c>
      <c r="C65" s="22">
        <f>IF('Brouillard ventes'!$F$27="","",YEAR('Brouillard ventes'!$A$27)*10000+MONTH('Brouillard ventes'!$A$27)*100+DAY('Brouillard ventes'!$A$27))</f>
        <v/>
      </c>
      <c r="D65" s="22">
        <f>IF('Brouillard ventes'!$F$27="","",'Brouillard ventes'!$B$27)</f>
        <v/>
      </c>
      <c r="E65" s="22">
        <f>IF('Brouillard ventes'!$F$27="","",LEFT('Brouillard ventes'!$D$27,30))</f>
        <v/>
      </c>
      <c r="F65" s="22" t="inlineStr">
        <is>
          <t>15001</t>
        </is>
      </c>
      <c r="G65" s="22">
        <f>IF('Brouillard ventes'!$F$27="","",Paramètres!$B$7)</f>
        <v/>
      </c>
      <c r="H65" s="22">
        <f>IF('Brouillard ventes'!$F$27="","",IF('Brouillard ventes'!$C$27="","CD001",'Brouillard ventes'!$C$27))</f>
        <v/>
      </c>
      <c r="I65" s="22" t="inlineStr"/>
      <c r="J65" s="22" t="inlineStr"/>
      <c r="K65" s="22">
        <f>IF('Brouillard ventes'!$F$27="","",Paramètres!$B$11)</f>
        <v/>
      </c>
      <c r="L65" s="23">
        <f>IF('Brouillard ventes'!$F$27="","",'Brouillard ventes'!$I$27)</f>
        <v/>
      </c>
      <c r="M65" s="23" t="n">
        <v>0</v>
      </c>
    </row>
    <row r="66">
      <c r="A66" s="22" t="inlineStr">
        <is>
          <t>1</t>
        </is>
      </c>
      <c r="B66" s="22">
        <f>IF('Brouillard ventes'!$F$27="","","VD"&amp;TEXT(ROW('Brouillard ventes'!$F$27)-5,"00000"))</f>
        <v/>
      </c>
      <c r="C66" s="22">
        <f>IF('Brouillard ventes'!$F$27="","",YEAR('Brouillard ventes'!$A$27)*10000+MONTH('Brouillard ventes'!$A$27)*100+DAY('Brouillard ventes'!$A$27))</f>
        <v/>
      </c>
      <c r="D66" s="22">
        <f>IF('Brouillard ventes'!$F$27="","",'Brouillard ventes'!$B$27)</f>
        <v/>
      </c>
      <c r="E66" s="22">
        <f>IF('Brouillard ventes'!$F$27="","",LEFT('Brouillard ventes'!$D$27,30))</f>
        <v/>
      </c>
      <c r="F66" s="22" t="inlineStr">
        <is>
          <t>15001</t>
        </is>
      </c>
      <c r="G66" s="22">
        <f>IF('Brouillard ventes'!$F$27="","",IF('Brouillard ventes'!$E$27="Réparation",Paramètres!$B$9,Paramètres!$B$8))</f>
        <v/>
      </c>
      <c r="H66" s="22" t="inlineStr"/>
      <c r="I66" s="22" t="inlineStr"/>
      <c r="J66" s="22" t="inlineStr"/>
      <c r="K66" s="22">
        <f>IF('Brouillard ventes'!$F$27="","",Paramètres!$B$11)</f>
        <v/>
      </c>
      <c r="L66" s="23" t="n">
        <v>0</v>
      </c>
      <c r="M66" s="23">
        <f>IF('Brouillard ventes'!$F$27="","",'Brouillard ventes'!$F$27)</f>
        <v/>
      </c>
    </row>
    <row r="67">
      <c r="A67" s="22" t="inlineStr">
        <is>
          <t>1</t>
        </is>
      </c>
      <c r="B67" s="22">
        <f>IF('Brouillard ventes'!$F$27="","","VD"&amp;TEXT(ROW('Brouillard ventes'!$F$27)-5,"00000"))</f>
        <v/>
      </c>
      <c r="C67" s="22">
        <f>IF('Brouillard ventes'!$F$27="","",YEAR('Brouillard ventes'!$A$27)*10000+MONTH('Brouillard ventes'!$A$27)*100+DAY('Brouillard ventes'!$A$27))</f>
        <v/>
      </c>
      <c r="D67" s="22">
        <f>IF('Brouillard ventes'!$F$27="","",'Brouillard ventes'!$B$27)</f>
        <v/>
      </c>
      <c r="E67" s="22">
        <f>IF('Brouillard ventes'!$F$27="","",LEFT('Brouillard ventes'!$D$27,30))</f>
        <v/>
      </c>
      <c r="F67" s="22" t="inlineStr">
        <is>
          <t>15001</t>
        </is>
      </c>
      <c r="G67" s="22">
        <f>IF('Brouillard ventes'!$F$27="","",Paramètres!$B$10)</f>
        <v/>
      </c>
      <c r="H67" s="22" t="inlineStr"/>
      <c r="I67" s="22" t="inlineStr"/>
      <c r="J67" s="22" t="inlineStr"/>
      <c r="K67" s="22">
        <f>IF('Brouillard ventes'!$F$27="","",Paramètres!$B$11)</f>
        <v/>
      </c>
      <c r="L67" s="23" t="n">
        <v>0</v>
      </c>
      <c r="M67" s="23">
        <f>IF('Brouillard ventes'!$F$27="","",'Brouillard ventes'!$H$27)</f>
        <v/>
      </c>
    </row>
    <row r="68">
      <c r="A68" s="22" t="inlineStr">
        <is>
          <t>1</t>
        </is>
      </c>
      <c r="B68" s="22">
        <f>IF('Brouillard ventes'!$F$28="","","VD"&amp;TEXT(ROW('Brouillard ventes'!$F$28)-5,"00000"))</f>
        <v/>
      </c>
      <c r="C68" s="22">
        <f>IF('Brouillard ventes'!$F$28="","",YEAR('Brouillard ventes'!$A$28)*10000+MONTH('Brouillard ventes'!$A$28)*100+DAY('Brouillard ventes'!$A$28))</f>
        <v/>
      </c>
      <c r="D68" s="22">
        <f>IF('Brouillard ventes'!$F$28="","",'Brouillard ventes'!$B$28)</f>
        <v/>
      </c>
      <c r="E68" s="22">
        <f>IF('Brouillard ventes'!$F$28="","",LEFT('Brouillard ventes'!$D$28,30))</f>
        <v/>
      </c>
      <c r="F68" s="22" t="inlineStr">
        <is>
          <t>15001</t>
        </is>
      </c>
      <c r="G68" s="22">
        <f>IF('Brouillard ventes'!$F$28="","",Paramètres!$B$7)</f>
        <v/>
      </c>
      <c r="H68" s="22">
        <f>IF('Brouillard ventes'!$F$28="","",IF('Brouillard ventes'!$C$28="","CD001",'Brouillard ventes'!$C$28))</f>
        <v/>
      </c>
      <c r="I68" s="22" t="inlineStr"/>
      <c r="J68" s="22" t="inlineStr"/>
      <c r="K68" s="22">
        <f>IF('Brouillard ventes'!$F$28="","",Paramètres!$B$11)</f>
        <v/>
      </c>
      <c r="L68" s="23">
        <f>IF('Brouillard ventes'!$F$28="","",'Brouillard ventes'!$I$28)</f>
        <v/>
      </c>
      <c r="M68" s="23" t="n">
        <v>0</v>
      </c>
    </row>
    <row r="69">
      <c r="A69" s="22" t="inlineStr">
        <is>
          <t>1</t>
        </is>
      </c>
      <c r="B69" s="22">
        <f>IF('Brouillard ventes'!$F$28="","","VD"&amp;TEXT(ROW('Brouillard ventes'!$F$28)-5,"00000"))</f>
        <v/>
      </c>
      <c r="C69" s="22">
        <f>IF('Brouillard ventes'!$F$28="","",YEAR('Brouillard ventes'!$A$28)*10000+MONTH('Brouillard ventes'!$A$28)*100+DAY('Brouillard ventes'!$A$28))</f>
        <v/>
      </c>
      <c r="D69" s="22">
        <f>IF('Brouillard ventes'!$F$28="","",'Brouillard ventes'!$B$28)</f>
        <v/>
      </c>
      <c r="E69" s="22">
        <f>IF('Brouillard ventes'!$F$28="","",LEFT('Brouillard ventes'!$D$28,30))</f>
        <v/>
      </c>
      <c r="F69" s="22" t="inlineStr">
        <is>
          <t>15001</t>
        </is>
      </c>
      <c r="G69" s="22">
        <f>IF('Brouillard ventes'!$F$28="","",IF('Brouillard ventes'!$E$28="Réparation",Paramètres!$B$9,Paramètres!$B$8))</f>
        <v/>
      </c>
      <c r="H69" s="22" t="inlineStr"/>
      <c r="I69" s="22" t="inlineStr"/>
      <c r="J69" s="22" t="inlineStr"/>
      <c r="K69" s="22">
        <f>IF('Brouillard ventes'!$F$28="","",Paramètres!$B$11)</f>
        <v/>
      </c>
      <c r="L69" s="23" t="n">
        <v>0</v>
      </c>
      <c r="M69" s="23">
        <f>IF('Brouillard ventes'!$F$28="","",'Brouillard ventes'!$F$28)</f>
        <v/>
      </c>
    </row>
    <row r="70">
      <c r="A70" s="22" t="inlineStr">
        <is>
          <t>1</t>
        </is>
      </c>
      <c r="B70" s="22">
        <f>IF('Brouillard ventes'!$F$28="","","VD"&amp;TEXT(ROW('Brouillard ventes'!$F$28)-5,"00000"))</f>
        <v/>
      </c>
      <c r="C70" s="22">
        <f>IF('Brouillard ventes'!$F$28="","",YEAR('Brouillard ventes'!$A$28)*10000+MONTH('Brouillard ventes'!$A$28)*100+DAY('Brouillard ventes'!$A$28))</f>
        <v/>
      </c>
      <c r="D70" s="22">
        <f>IF('Brouillard ventes'!$F$28="","",'Brouillard ventes'!$B$28)</f>
        <v/>
      </c>
      <c r="E70" s="22">
        <f>IF('Brouillard ventes'!$F$28="","",LEFT('Brouillard ventes'!$D$28,30))</f>
        <v/>
      </c>
      <c r="F70" s="22" t="inlineStr">
        <is>
          <t>15001</t>
        </is>
      </c>
      <c r="G70" s="22">
        <f>IF('Brouillard ventes'!$F$28="","",Paramètres!$B$10)</f>
        <v/>
      </c>
      <c r="H70" s="22" t="inlineStr"/>
      <c r="I70" s="22" t="inlineStr"/>
      <c r="J70" s="22" t="inlineStr"/>
      <c r="K70" s="22">
        <f>IF('Brouillard ventes'!$F$28="","",Paramètres!$B$11)</f>
        <v/>
      </c>
      <c r="L70" s="23" t="n">
        <v>0</v>
      </c>
      <c r="M70" s="23">
        <f>IF('Brouillard ventes'!$F$28="","",'Brouillard ventes'!$H$28)</f>
        <v/>
      </c>
    </row>
    <row r="71">
      <c r="A71" s="22" t="inlineStr">
        <is>
          <t>1</t>
        </is>
      </c>
      <c r="B71" s="22">
        <f>IF('Brouillard ventes'!$F$29="","","VD"&amp;TEXT(ROW('Brouillard ventes'!$F$29)-5,"00000"))</f>
        <v/>
      </c>
      <c r="C71" s="22">
        <f>IF('Brouillard ventes'!$F$29="","",YEAR('Brouillard ventes'!$A$29)*10000+MONTH('Brouillard ventes'!$A$29)*100+DAY('Brouillard ventes'!$A$29))</f>
        <v/>
      </c>
      <c r="D71" s="22">
        <f>IF('Brouillard ventes'!$F$29="","",'Brouillard ventes'!$B$29)</f>
        <v/>
      </c>
      <c r="E71" s="22">
        <f>IF('Brouillard ventes'!$F$29="","",LEFT('Brouillard ventes'!$D$29,30))</f>
        <v/>
      </c>
      <c r="F71" s="22" t="inlineStr">
        <is>
          <t>15001</t>
        </is>
      </c>
      <c r="G71" s="22">
        <f>IF('Brouillard ventes'!$F$29="","",Paramètres!$B$7)</f>
        <v/>
      </c>
      <c r="H71" s="22">
        <f>IF('Brouillard ventes'!$F$29="","",IF('Brouillard ventes'!$C$29="","CD001",'Brouillard ventes'!$C$29))</f>
        <v/>
      </c>
      <c r="I71" s="22" t="inlineStr"/>
      <c r="J71" s="22" t="inlineStr"/>
      <c r="K71" s="22">
        <f>IF('Brouillard ventes'!$F$29="","",Paramètres!$B$11)</f>
        <v/>
      </c>
      <c r="L71" s="23">
        <f>IF('Brouillard ventes'!$F$29="","",'Brouillard ventes'!$I$29)</f>
        <v/>
      </c>
      <c r="M71" s="23" t="n">
        <v>0</v>
      </c>
    </row>
    <row r="72">
      <c r="A72" s="22" t="inlineStr">
        <is>
          <t>1</t>
        </is>
      </c>
      <c r="B72" s="22">
        <f>IF('Brouillard ventes'!$F$29="","","VD"&amp;TEXT(ROW('Brouillard ventes'!$F$29)-5,"00000"))</f>
        <v/>
      </c>
      <c r="C72" s="22">
        <f>IF('Brouillard ventes'!$F$29="","",YEAR('Brouillard ventes'!$A$29)*10000+MONTH('Brouillard ventes'!$A$29)*100+DAY('Brouillard ventes'!$A$29))</f>
        <v/>
      </c>
      <c r="D72" s="22">
        <f>IF('Brouillard ventes'!$F$29="","",'Brouillard ventes'!$B$29)</f>
        <v/>
      </c>
      <c r="E72" s="22">
        <f>IF('Brouillard ventes'!$F$29="","",LEFT('Brouillard ventes'!$D$29,30))</f>
        <v/>
      </c>
      <c r="F72" s="22" t="inlineStr">
        <is>
          <t>15001</t>
        </is>
      </c>
      <c r="G72" s="22">
        <f>IF('Brouillard ventes'!$F$29="","",IF('Brouillard ventes'!$E$29="Réparation",Paramètres!$B$9,Paramètres!$B$8))</f>
        <v/>
      </c>
      <c r="H72" s="22" t="inlineStr"/>
      <c r="I72" s="22" t="inlineStr"/>
      <c r="J72" s="22" t="inlineStr"/>
      <c r="K72" s="22">
        <f>IF('Brouillard ventes'!$F$29="","",Paramètres!$B$11)</f>
        <v/>
      </c>
      <c r="L72" s="23" t="n">
        <v>0</v>
      </c>
      <c r="M72" s="23">
        <f>IF('Brouillard ventes'!$F$29="","",'Brouillard ventes'!$F$29)</f>
        <v/>
      </c>
    </row>
    <row r="73">
      <c r="A73" s="22" t="inlineStr">
        <is>
          <t>1</t>
        </is>
      </c>
      <c r="B73" s="22">
        <f>IF('Brouillard ventes'!$F$29="","","VD"&amp;TEXT(ROW('Brouillard ventes'!$F$29)-5,"00000"))</f>
        <v/>
      </c>
      <c r="C73" s="22">
        <f>IF('Brouillard ventes'!$F$29="","",YEAR('Brouillard ventes'!$A$29)*10000+MONTH('Brouillard ventes'!$A$29)*100+DAY('Brouillard ventes'!$A$29))</f>
        <v/>
      </c>
      <c r="D73" s="22">
        <f>IF('Brouillard ventes'!$F$29="","",'Brouillard ventes'!$B$29)</f>
        <v/>
      </c>
      <c r="E73" s="22">
        <f>IF('Brouillard ventes'!$F$29="","",LEFT('Brouillard ventes'!$D$29,30))</f>
        <v/>
      </c>
      <c r="F73" s="22" t="inlineStr">
        <is>
          <t>15001</t>
        </is>
      </c>
      <c r="G73" s="22">
        <f>IF('Brouillard ventes'!$F$29="","",Paramètres!$B$10)</f>
        <v/>
      </c>
      <c r="H73" s="22" t="inlineStr"/>
      <c r="I73" s="22" t="inlineStr"/>
      <c r="J73" s="22" t="inlineStr"/>
      <c r="K73" s="22">
        <f>IF('Brouillard ventes'!$F$29="","",Paramètres!$B$11)</f>
        <v/>
      </c>
      <c r="L73" s="23" t="n">
        <v>0</v>
      </c>
      <c r="M73" s="23">
        <f>IF('Brouillard ventes'!$F$29="","",'Brouillard ventes'!$H$29)</f>
        <v/>
      </c>
    </row>
    <row r="74">
      <c r="A74" s="22" t="inlineStr">
        <is>
          <t>1</t>
        </is>
      </c>
      <c r="B74" s="22">
        <f>IF('Brouillard ventes'!$F$30="","","VD"&amp;TEXT(ROW('Brouillard ventes'!$F$30)-5,"00000"))</f>
        <v/>
      </c>
      <c r="C74" s="22">
        <f>IF('Brouillard ventes'!$F$30="","",YEAR('Brouillard ventes'!$A$30)*10000+MONTH('Brouillard ventes'!$A$30)*100+DAY('Brouillard ventes'!$A$30))</f>
        <v/>
      </c>
      <c r="D74" s="22">
        <f>IF('Brouillard ventes'!$F$30="","",'Brouillard ventes'!$B$30)</f>
        <v/>
      </c>
      <c r="E74" s="22">
        <f>IF('Brouillard ventes'!$F$30="","",LEFT('Brouillard ventes'!$D$30,30))</f>
        <v/>
      </c>
      <c r="F74" s="22" t="inlineStr">
        <is>
          <t>15001</t>
        </is>
      </c>
      <c r="G74" s="22">
        <f>IF('Brouillard ventes'!$F$30="","",Paramètres!$B$7)</f>
        <v/>
      </c>
      <c r="H74" s="22">
        <f>IF('Brouillard ventes'!$F$30="","",IF('Brouillard ventes'!$C$30="","CD001",'Brouillard ventes'!$C$30))</f>
        <v/>
      </c>
      <c r="I74" s="22" t="inlineStr"/>
      <c r="J74" s="22" t="inlineStr"/>
      <c r="K74" s="22">
        <f>IF('Brouillard ventes'!$F$30="","",Paramètres!$B$11)</f>
        <v/>
      </c>
      <c r="L74" s="23">
        <f>IF('Brouillard ventes'!$F$30="","",'Brouillard ventes'!$I$30)</f>
        <v/>
      </c>
      <c r="M74" s="23" t="n">
        <v>0</v>
      </c>
    </row>
    <row r="75">
      <c r="A75" s="22" t="inlineStr">
        <is>
          <t>1</t>
        </is>
      </c>
      <c r="B75" s="22">
        <f>IF('Brouillard ventes'!$F$30="","","VD"&amp;TEXT(ROW('Brouillard ventes'!$F$30)-5,"00000"))</f>
        <v/>
      </c>
      <c r="C75" s="22">
        <f>IF('Brouillard ventes'!$F$30="","",YEAR('Brouillard ventes'!$A$30)*10000+MONTH('Brouillard ventes'!$A$30)*100+DAY('Brouillard ventes'!$A$30))</f>
        <v/>
      </c>
      <c r="D75" s="22">
        <f>IF('Brouillard ventes'!$F$30="","",'Brouillard ventes'!$B$30)</f>
        <v/>
      </c>
      <c r="E75" s="22">
        <f>IF('Brouillard ventes'!$F$30="","",LEFT('Brouillard ventes'!$D$30,30))</f>
        <v/>
      </c>
      <c r="F75" s="22" t="inlineStr">
        <is>
          <t>15001</t>
        </is>
      </c>
      <c r="G75" s="22">
        <f>IF('Brouillard ventes'!$F$30="","",IF('Brouillard ventes'!$E$30="Réparation",Paramètres!$B$9,Paramètres!$B$8))</f>
        <v/>
      </c>
      <c r="H75" s="22" t="inlineStr"/>
      <c r="I75" s="22" t="inlineStr"/>
      <c r="J75" s="22" t="inlineStr"/>
      <c r="K75" s="22">
        <f>IF('Brouillard ventes'!$F$30="","",Paramètres!$B$11)</f>
        <v/>
      </c>
      <c r="L75" s="23" t="n">
        <v>0</v>
      </c>
      <c r="M75" s="23">
        <f>IF('Brouillard ventes'!$F$30="","",'Brouillard ventes'!$F$30)</f>
        <v/>
      </c>
    </row>
    <row r="76">
      <c r="A76" s="22" t="inlineStr">
        <is>
          <t>1</t>
        </is>
      </c>
      <c r="B76" s="22">
        <f>IF('Brouillard ventes'!$F$30="","","VD"&amp;TEXT(ROW('Brouillard ventes'!$F$30)-5,"00000"))</f>
        <v/>
      </c>
      <c r="C76" s="22">
        <f>IF('Brouillard ventes'!$F$30="","",YEAR('Brouillard ventes'!$A$30)*10000+MONTH('Brouillard ventes'!$A$30)*100+DAY('Brouillard ventes'!$A$30))</f>
        <v/>
      </c>
      <c r="D76" s="22">
        <f>IF('Brouillard ventes'!$F$30="","",'Brouillard ventes'!$B$30)</f>
        <v/>
      </c>
      <c r="E76" s="22">
        <f>IF('Brouillard ventes'!$F$30="","",LEFT('Brouillard ventes'!$D$30,30))</f>
        <v/>
      </c>
      <c r="F76" s="22" t="inlineStr">
        <is>
          <t>15001</t>
        </is>
      </c>
      <c r="G76" s="22">
        <f>IF('Brouillard ventes'!$F$30="","",Paramètres!$B$10)</f>
        <v/>
      </c>
      <c r="H76" s="22" t="inlineStr"/>
      <c r="I76" s="22" t="inlineStr"/>
      <c r="J76" s="22" t="inlineStr"/>
      <c r="K76" s="22">
        <f>IF('Brouillard ventes'!$F$30="","",Paramètres!$B$11)</f>
        <v/>
      </c>
      <c r="L76" s="23" t="n">
        <v>0</v>
      </c>
      <c r="M76" s="23">
        <f>IF('Brouillard ventes'!$F$30="","",'Brouillard ventes'!$H$30)</f>
        <v/>
      </c>
    </row>
    <row r="77">
      <c r="A77" s="22" t="inlineStr">
        <is>
          <t>1</t>
        </is>
      </c>
      <c r="B77" s="22">
        <f>IF('Brouillard ventes'!$F$31="","","VD"&amp;TEXT(ROW('Brouillard ventes'!$F$31)-5,"00000"))</f>
        <v/>
      </c>
      <c r="C77" s="22">
        <f>IF('Brouillard ventes'!$F$31="","",YEAR('Brouillard ventes'!$A$31)*10000+MONTH('Brouillard ventes'!$A$31)*100+DAY('Brouillard ventes'!$A$31))</f>
        <v/>
      </c>
      <c r="D77" s="22">
        <f>IF('Brouillard ventes'!$F$31="","",'Brouillard ventes'!$B$31)</f>
        <v/>
      </c>
      <c r="E77" s="22">
        <f>IF('Brouillard ventes'!$F$31="","",LEFT('Brouillard ventes'!$D$31,30))</f>
        <v/>
      </c>
      <c r="F77" s="22" t="inlineStr">
        <is>
          <t>15001</t>
        </is>
      </c>
      <c r="G77" s="22">
        <f>IF('Brouillard ventes'!$F$31="","",Paramètres!$B$7)</f>
        <v/>
      </c>
      <c r="H77" s="22">
        <f>IF('Brouillard ventes'!$F$31="","",IF('Brouillard ventes'!$C$31="","CD001",'Brouillard ventes'!$C$31))</f>
        <v/>
      </c>
      <c r="I77" s="22" t="inlineStr"/>
      <c r="J77" s="22" t="inlineStr"/>
      <c r="K77" s="22">
        <f>IF('Brouillard ventes'!$F$31="","",Paramètres!$B$11)</f>
        <v/>
      </c>
      <c r="L77" s="23">
        <f>IF('Brouillard ventes'!$F$31="","",'Brouillard ventes'!$I$31)</f>
        <v/>
      </c>
      <c r="M77" s="23" t="n">
        <v>0</v>
      </c>
    </row>
    <row r="78">
      <c r="A78" s="22" t="inlineStr">
        <is>
          <t>1</t>
        </is>
      </c>
      <c r="B78" s="22">
        <f>IF('Brouillard ventes'!$F$31="","","VD"&amp;TEXT(ROW('Brouillard ventes'!$F$31)-5,"00000"))</f>
        <v/>
      </c>
      <c r="C78" s="22">
        <f>IF('Brouillard ventes'!$F$31="","",YEAR('Brouillard ventes'!$A$31)*10000+MONTH('Brouillard ventes'!$A$31)*100+DAY('Brouillard ventes'!$A$31))</f>
        <v/>
      </c>
      <c r="D78" s="22">
        <f>IF('Brouillard ventes'!$F$31="","",'Brouillard ventes'!$B$31)</f>
        <v/>
      </c>
      <c r="E78" s="22">
        <f>IF('Brouillard ventes'!$F$31="","",LEFT('Brouillard ventes'!$D$31,30))</f>
        <v/>
      </c>
      <c r="F78" s="22" t="inlineStr">
        <is>
          <t>15001</t>
        </is>
      </c>
      <c r="G78" s="22">
        <f>IF('Brouillard ventes'!$F$31="","",IF('Brouillard ventes'!$E$31="Réparation",Paramètres!$B$9,Paramètres!$B$8))</f>
        <v/>
      </c>
      <c r="H78" s="22" t="inlineStr"/>
      <c r="I78" s="22" t="inlineStr"/>
      <c r="J78" s="22" t="inlineStr"/>
      <c r="K78" s="22">
        <f>IF('Brouillard ventes'!$F$31="","",Paramètres!$B$11)</f>
        <v/>
      </c>
      <c r="L78" s="23" t="n">
        <v>0</v>
      </c>
      <c r="M78" s="23">
        <f>IF('Brouillard ventes'!$F$31="","",'Brouillard ventes'!$F$31)</f>
        <v/>
      </c>
    </row>
    <row r="79">
      <c r="A79" s="22" t="inlineStr">
        <is>
          <t>1</t>
        </is>
      </c>
      <c r="B79" s="22">
        <f>IF('Brouillard ventes'!$F$31="","","VD"&amp;TEXT(ROW('Brouillard ventes'!$F$31)-5,"00000"))</f>
        <v/>
      </c>
      <c r="C79" s="22">
        <f>IF('Brouillard ventes'!$F$31="","",YEAR('Brouillard ventes'!$A$31)*10000+MONTH('Brouillard ventes'!$A$31)*100+DAY('Brouillard ventes'!$A$31))</f>
        <v/>
      </c>
      <c r="D79" s="22">
        <f>IF('Brouillard ventes'!$F$31="","",'Brouillard ventes'!$B$31)</f>
        <v/>
      </c>
      <c r="E79" s="22">
        <f>IF('Brouillard ventes'!$F$31="","",LEFT('Brouillard ventes'!$D$31,30))</f>
        <v/>
      </c>
      <c r="F79" s="22" t="inlineStr">
        <is>
          <t>15001</t>
        </is>
      </c>
      <c r="G79" s="22">
        <f>IF('Brouillard ventes'!$F$31="","",Paramètres!$B$10)</f>
        <v/>
      </c>
      <c r="H79" s="22" t="inlineStr"/>
      <c r="I79" s="22" t="inlineStr"/>
      <c r="J79" s="22" t="inlineStr"/>
      <c r="K79" s="22">
        <f>IF('Brouillard ventes'!$F$31="","",Paramètres!$B$11)</f>
        <v/>
      </c>
      <c r="L79" s="23" t="n">
        <v>0</v>
      </c>
      <c r="M79" s="23">
        <f>IF('Brouillard ventes'!$F$31="","",'Brouillard ventes'!$H$31)</f>
        <v/>
      </c>
    </row>
    <row r="80">
      <c r="A80" s="22" t="inlineStr">
        <is>
          <t>1</t>
        </is>
      </c>
      <c r="B80" s="22">
        <f>IF('Brouillard ventes'!$F$32="","","VD"&amp;TEXT(ROW('Brouillard ventes'!$F$32)-5,"00000"))</f>
        <v/>
      </c>
      <c r="C80" s="22">
        <f>IF('Brouillard ventes'!$F$32="","",YEAR('Brouillard ventes'!$A$32)*10000+MONTH('Brouillard ventes'!$A$32)*100+DAY('Brouillard ventes'!$A$32))</f>
        <v/>
      </c>
      <c r="D80" s="22">
        <f>IF('Brouillard ventes'!$F$32="","",'Brouillard ventes'!$B$32)</f>
        <v/>
      </c>
      <c r="E80" s="22">
        <f>IF('Brouillard ventes'!$F$32="","",LEFT('Brouillard ventes'!$D$32,30))</f>
        <v/>
      </c>
      <c r="F80" s="22" t="inlineStr">
        <is>
          <t>15001</t>
        </is>
      </c>
      <c r="G80" s="22">
        <f>IF('Brouillard ventes'!$F$32="","",Paramètres!$B$7)</f>
        <v/>
      </c>
      <c r="H80" s="22">
        <f>IF('Brouillard ventes'!$F$32="","",IF('Brouillard ventes'!$C$32="","CD001",'Brouillard ventes'!$C$32))</f>
        <v/>
      </c>
      <c r="I80" s="22" t="inlineStr"/>
      <c r="J80" s="22" t="inlineStr"/>
      <c r="K80" s="22">
        <f>IF('Brouillard ventes'!$F$32="","",Paramètres!$B$11)</f>
        <v/>
      </c>
      <c r="L80" s="23">
        <f>IF('Brouillard ventes'!$F$32="","",'Brouillard ventes'!$I$32)</f>
        <v/>
      </c>
      <c r="M80" s="23" t="n">
        <v>0</v>
      </c>
    </row>
    <row r="81">
      <c r="A81" s="22" t="inlineStr">
        <is>
          <t>1</t>
        </is>
      </c>
      <c r="B81" s="22">
        <f>IF('Brouillard ventes'!$F$32="","","VD"&amp;TEXT(ROW('Brouillard ventes'!$F$32)-5,"00000"))</f>
        <v/>
      </c>
      <c r="C81" s="22">
        <f>IF('Brouillard ventes'!$F$32="","",YEAR('Brouillard ventes'!$A$32)*10000+MONTH('Brouillard ventes'!$A$32)*100+DAY('Brouillard ventes'!$A$32))</f>
        <v/>
      </c>
      <c r="D81" s="22">
        <f>IF('Brouillard ventes'!$F$32="","",'Brouillard ventes'!$B$32)</f>
        <v/>
      </c>
      <c r="E81" s="22">
        <f>IF('Brouillard ventes'!$F$32="","",LEFT('Brouillard ventes'!$D$32,30))</f>
        <v/>
      </c>
      <c r="F81" s="22" t="inlineStr">
        <is>
          <t>15001</t>
        </is>
      </c>
      <c r="G81" s="22">
        <f>IF('Brouillard ventes'!$F$32="","",IF('Brouillard ventes'!$E$32="Réparation",Paramètres!$B$9,Paramètres!$B$8))</f>
        <v/>
      </c>
      <c r="H81" s="22" t="inlineStr"/>
      <c r="I81" s="22" t="inlineStr"/>
      <c r="J81" s="22" t="inlineStr"/>
      <c r="K81" s="22">
        <f>IF('Brouillard ventes'!$F$32="","",Paramètres!$B$11)</f>
        <v/>
      </c>
      <c r="L81" s="23" t="n">
        <v>0</v>
      </c>
      <c r="M81" s="23">
        <f>IF('Brouillard ventes'!$F$32="","",'Brouillard ventes'!$F$32)</f>
        <v/>
      </c>
    </row>
    <row r="82">
      <c r="A82" s="22" t="inlineStr">
        <is>
          <t>1</t>
        </is>
      </c>
      <c r="B82" s="22">
        <f>IF('Brouillard ventes'!$F$32="","","VD"&amp;TEXT(ROW('Brouillard ventes'!$F$32)-5,"00000"))</f>
        <v/>
      </c>
      <c r="C82" s="22">
        <f>IF('Brouillard ventes'!$F$32="","",YEAR('Brouillard ventes'!$A$32)*10000+MONTH('Brouillard ventes'!$A$32)*100+DAY('Brouillard ventes'!$A$32))</f>
        <v/>
      </c>
      <c r="D82" s="22">
        <f>IF('Brouillard ventes'!$F$32="","",'Brouillard ventes'!$B$32)</f>
        <v/>
      </c>
      <c r="E82" s="22">
        <f>IF('Brouillard ventes'!$F$32="","",LEFT('Brouillard ventes'!$D$32,30))</f>
        <v/>
      </c>
      <c r="F82" s="22" t="inlineStr">
        <is>
          <t>15001</t>
        </is>
      </c>
      <c r="G82" s="22">
        <f>IF('Brouillard ventes'!$F$32="","",Paramètres!$B$10)</f>
        <v/>
      </c>
      <c r="H82" s="22" t="inlineStr"/>
      <c r="I82" s="22" t="inlineStr"/>
      <c r="J82" s="22" t="inlineStr"/>
      <c r="K82" s="22">
        <f>IF('Brouillard ventes'!$F$32="","",Paramètres!$B$11)</f>
        <v/>
      </c>
      <c r="L82" s="23" t="n">
        <v>0</v>
      </c>
      <c r="M82" s="23">
        <f>IF('Brouillard ventes'!$F$32="","",'Brouillard ventes'!$H$32)</f>
        <v/>
      </c>
    </row>
    <row r="83">
      <c r="A83" s="22" t="inlineStr">
        <is>
          <t>1</t>
        </is>
      </c>
      <c r="B83" s="22">
        <f>IF('Brouillard ventes'!$F$33="","","VD"&amp;TEXT(ROW('Brouillard ventes'!$F$33)-5,"00000"))</f>
        <v/>
      </c>
      <c r="C83" s="22">
        <f>IF('Brouillard ventes'!$F$33="","",YEAR('Brouillard ventes'!$A$33)*10000+MONTH('Brouillard ventes'!$A$33)*100+DAY('Brouillard ventes'!$A$33))</f>
        <v/>
      </c>
      <c r="D83" s="22">
        <f>IF('Brouillard ventes'!$F$33="","",'Brouillard ventes'!$B$33)</f>
        <v/>
      </c>
      <c r="E83" s="22">
        <f>IF('Brouillard ventes'!$F$33="","",LEFT('Brouillard ventes'!$D$33,30))</f>
        <v/>
      </c>
      <c r="F83" s="22" t="inlineStr">
        <is>
          <t>15001</t>
        </is>
      </c>
      <c r="G83" s="22">
        <f>IF('Brouillard ventes'!$F$33="","",Paramètres!$B$7)</f>
        <v/>
      </c>
      <c r="H83" s="22">
        <f>IF('Brouillard ventes'!$F$33="","",IF('Brouillard ventes'!$C$33="","CD001",'Brouillard ventes'!$C$33))</f>
        <v/>
      </c>
      <c r="I83" s="22" t="inlineStr"/>
      <c r="J83" s="22" t="inlineStr"/>
      <c r="K83" s="22">
        <f>IF('Brouillard ventes'!$F$33="","",Paramètres!$B$11)</f>
        <v/>
      </c>
      <c r="L83" s="23">
        <f>IF('Brouillard ventes'!$F$33="","",'Brouillard ventes'!$I$33)</f>
        <v/>
      </c>
      <c r="M83" s="23" t="n">
        <v>0</v>
      </c>
    </row>
    <row r="84">
      <c r="A84" s="22" t="inlineStr">
        <is>
          <t>1</t>
        </is>
      </c>
      <c r="B84" s="22">
        <f>IF('Brouillard ventes'!$F$33="","","VD"&amp;TEXT(ROW('Brouillard ventes'!$F$33)-5,"00000"))</f>
        <v/>
      </c>
      <c r="C84" s="22">
        <f>IF('Brouillard ventes'!$F$33="","",YEAR('Brouillard ventes'!$A$33)*10000+MONTH('Brouillard ventes'!$A$33)*100+DAY('Brouillard ventes'!$A$33))</f>
        <v/>
      </c>
      <c r="D84" s="22">
        <f>IF('Brouillard ventes'!$F$33="","",'Brouillard ventes'!$B$33)</f>
        <v/>
      </c>
      <c r="E84" s="22">
        <f>IF('Brouillard ventes'!$F$33="","",LEFT('Brouillard ventes'!$D$33,30))</f>
        <v/>
      </c>
      <c r="F84" s="22" t="inlineStr">
        <is>
          <t>15001</t>
        </is>
      </c>
      <c r="G84" s="22">
        <f>IF('Brouillard ventes'!$F$33="","",IF('Brouillard ventes'!$E$33="Réparation",Paramètres!$B$9,Paramètres!$B$8))</f>
        <v/>
      </c>
      <c r="H84" s="22" t="inlineStr"/>
      <c r="I84" s="22" t="inlineStr"/>
      <c r="J84" s="22" t="inlineStr"/>
      <c r="K84" s="22">
        <f>IF('Brouillard ventes'!$F$33="","",Paramètres!$B$11)</f>
        <v/>
      </c>
      <c r="L84" s="23" t="n">
        <v>0</v>
      </c>
      <c r="M84" s="23">
        <f>IF('Brouillard ventes'!$F$33="","",'Brouillard ventes'!$F$33)</f>
        <v/>
      </c>
    </row>
    <row r="85">
      <c r="A85" s="22" t="inlineStr">
        <is>
          <t>1</t>
        </is>
      </c>
      <c r="B85" s="22">
        <f>IF('Brouillard ventes'!$F$33="","","VD"&amp;TEXT(ROW('Brouillard ventes'!$F$33)-5,"00000"))</f>
        <v/>
      </c>
      <c r="C85" s="22">
        <f>IF('Brouillard ventes'!$F$33="","",YEAR('Brouillard ventes'!$A$33)*10000+MONTH('Brouillard ventes'!$A$33)*100+DAY('Brouillard ventes'!$A$33))</f>
        <v/>
      </c>
      <c r="D85" s="22">
        <f>IF('Brouillard ventes'!$F$33="","",'Brouillard ventes'!$B$33)</f>
        <v/>
      </c>
      <c r="E85" s="22">
        <f>IF('Brouillard ventes'!$F$33="","",LEFT('Brouillard ventes'!$D$33,30))</f>
        <v/>
      </c>
      <c r="F85" s="22" t="inlineStr">
        <is>
          <t>15001</t>
        </is>
      </c>
      <c r="G85" s="22">
        <f>IF('Brouillard ventes'!$F$33="","",Paramètres!$B$10)</f>
        <v/>
      </c>
      <c r="H85" s="22" t="inlineStr"/>
      <c r="I85" s="22" t="inlineStr"/>
      <c r="J85" s="22" t="inlineStr"/>
      <c r="K85" s="22">
        <f>IF('Brouillard ventes'!$F$33="","",Paramètres!$B$11)</f>
        <v/>
      </c>
      <c r="L85" s="23" t="n">
        <v>0</v>
      </c>
      <c r="M85" s="23">
        <f>IF('Brouillard ventes'!$F$33="","",'Brouillard ventes'!$H$33)</f>
        <v/>
      </c>
    </row>
    <row r="86">
      <c r="A86" s="22" t="inlineStr">
        <is>
          <t>1</t>
        </is>
      </c>
      <c r="B86" s="22">
        <f>IF('Brouillard ventes'!$F$34="","","VD"&amp;TEXT(ROW('Brouillard ventes'!$F$34)-5,"00000"))</f>
        <v/>
      </c>
      <c r="C86" s="22">
        <f>IF('Brouillard ventes'!$F$34="","",YEAR('Brouillard ventes'!$A$34)*10000+MONTH('Brouillard ventes'!$A$34)*100+DAY('Brouillard ventes'!$A$34))</f>
        <v/>
      </c>
      <c r="D86" s="22">
        <f>IF('Brouillard ventes'!$F$34="","",'Brouillard ventes'!$B$34)</f>
        <v/>
      </c>
      <c r="E86" s="22">
        <f>IF('Brouillard ventes'!$F$34="","",LEFT('Brouillard ventes'!$D$34,30))</f>
        <v/>
      </c>
      <c r="F86" s="22" t="inlineStr">
        <is>
          <t>15001</t>
        </is>
      </c>
      <c r="G86" s="22">
        <f>IF('Brouillard ventes'!$F$34="","",Paramètres!$B$7)</f>
        <v/>
      </c>
      <c r="H86" s="22">
        <f>IF('Brouillard ventes'!$F$34="","",IF('Brouillard ventes'!$C$34="","CD001",'Brouillard ventes'!$C$34))</f>
        <v/>
      </c>
      <c r="I86" s="22" t="inlineStr"/>
      <c r="J86" s="22" t="inlineStr"/>
      <c r="K86" s="22">
        <f>IF('Brouillard ventes'!$F$34="","",Paramètres!$B$11)</f>
        <v/>
      </c>
      <c r="L86" s="23">
        <f>IF('Brouillard ventes'!$F$34="","",'Brouillard ventes'!$I$34)</f>
        <v/>
      </c>
      <c r="M86" s="23" t="n">
        <v>0</v>
      </c>
    </row>
    <row r="87">
      <c r="A87" s="22" t="inlineStr">
        <is>
          <t>1</t>
        </is>
      </c>
      <c r="B87" s="22">
        <f>IF('Brouillard ventes'!$F$34="","","VD"&amp;TEXT(ROW('Brouillard ventes'!$F$34)-5,"00000"))</f>
        <v/>
      </c>
      <c r="C87" s="22">
        <f>IF('Brouillard ventes'!$F$34="","",YEAR('Brouillard ventes'!$A$34)*10000+MONTH('Brouillard ventes'!$A$34)*100+DAY('Brouillard ventes'!$A$34))</f>
        <v/>
      </c>
      <c r="D87" s="22">
        <f>IF('Brouillard ventes'!$F$34="","",'Brouillard ventes'!$B$34)</f>
        <v/>
      </c>
      <c r="E87" s="22">
        <f>IF('Brouillard ventes'!$F$34="","",LEFT('Brouillard ventes'!$D$34,30))</f>
        <v/>
      </c>
      <c r="F87" s="22" t="inlineStr">
        <is>
          <t>15001</t>
        </is>
      </c>
      <c r="G87" s="22">
        <f>IF('Brouillard ventes'!$F$34="","",IF('Brouillard ventes'!$E$34="Réparation",Paramètres!$B$9,Paramètres!$B$8))</f>
        <v/>
      </c>
      <c r="H87" s="22" t="inlineStr"/>
      <c r="I87" s="22" t="inlineStr"/>
      <c r="J87" s="22" t="inlineStr"/>
      <c r="K87" s="22">
        <f>IF('Brouillard ventes'!$F$34="","",Paramètres!$B$11)</f>
        <v/>
      </c>
      <c r="L87" s="23" t="n">
        <v>0</v>
      </c>
      <c r="M87" s="23">
        <f>IF('Brouillard ventes'!$F$34="","",'Brouillard ventes'!$F$34)</f>
        <v/>
      </c>
    </row>
    <row r="88">
      <c r="A88" s="22" t="inlineStr">
        <is>
          <t>1</t>
        </is>
      </c>
      <c r="B88" s="22">
        <f>IF('Brouillard ventes'!$F$34="","","VD"&amp;TEXT(ROW('Brouillard ventes'!$F$34)-5,"00000"))</f>
        <v/>
      </c>
      <c r="C88" s="22">
        <f>IF('Brouillard ventes'!$F$34="","",YEAR('Brouillard ventes'!$A$34)*10000+MONTH('Brouillard ventes'!$A$34)*100+DAY('Brouillard ventes'!$A$34))</f>
        <v/>
      </c>
      <c r="D88" s="22">
        <f>IF('Brouillard ventes'!$F$34="","",'Brouillard ventes'!$B$34)</f>
        <v/>
      </c>
      <c r="E88" s="22">
        <f>IF('Brouillard ventes'!$F$34="","",LEFT('Brouillard ventes'!$D$34,30))</f>
        <v/>
      </c>
      <c r="F88" s="22" t="inlineStr">
        <is>
          <t>15001</t>
        </is>
      </c>
      <c r="G88" s="22">
        <f>IF('Brouillard ventes'!$F$34="","",Paramètres!$B$10)</f>
        <v/>
      </c>
      <c r="H88" s="22" t="inlineStr"/>
      <c r="I88" s="22" t="inlineStr"/>
      <c r="J88" s="22" t="inlineStr"/>
      <c r="K88" s="22">
        <f>IF('Brouillard ventes'!$F$34="","",Paramètres!$B$11)</f>
        <v/>
      </c>
      <c r="L88" s="23" t="n">
        <v>0</v>
      </c>
      <c r="M88" s="23">
        <f>IF('Brouillard ventes'!$F$34="","",'Brouillard ventes'!$H$34)</f>
        <v/>
      </c>
    </row>
    <row r="89">
      <c r="A89" s="22" t="inlineStr">
        <is>
          <t>1</t>
        </is>
      </c>
      <c r="B89" s="22">
        <f>IF('Brouillard ventes'!$F$35="","","VD"&amp;TEXT(ROW('Brouillard ventes'!$F$35)-5,"00000"))</f>
        <v/>
      </c>
      <c r="C89" s="22">
        <f>IF('Brouillard ventes'!$F$35="","",YEAR('Brouillard ventes'!$A$35)*10000+MONTH('Brouillard ventes'!$A$35)*100+DAY('Brouillard ventes'!$A$35))</f>
        <v/>
      </c>
      <c r="D89" s="22">
        <f>IF('Brouillard ventes'!$F$35="","",'Brouillard ventes'!$B$35)</f>
        <v/>
      </c>
      <c r="E89" s="22">
        <f>IF('Brouillard ventes'!$F$35="","",LEFT('Brouillard ventes'!$D$35,30))</f>
        <v/>
      </c>
      <c r="F89" s="22" t="inlineStr">
        <is>
          <t>15001</t>
        </is>
      </c>
      <c r="G89" s="22">
        <f>IF('Brouillard ventes'!$F$35="","",Paramètres!$B$7)</f>
        <v/>
      </c>
      <c r="H89" s="22">
        <f>IF('Brouillard ventes'!$F$35="","",IF('Brouillard ventes'!$C$35="","CD001",'Brouillard ventes'!$C$35))</f>
        <v/>
      </c>
      <c r="I89" s="22" t="inlineStr"/>
      <c r="J89" s="22" t="inlineStr"/>
      <c r="K89" s="22">
        <f>IF('Brouillard ventes'!$F$35="","",Paramètres!$B$11)</f>
        <v/>
      </c>
      <c r="L89" s="23">
        <f>IF('Brouillard ventes'!$F$35="","",'Brouillard ventes'!$I$35)</f>
        <v/>
      </c>
      <c r="M89" s="23" t="n">
        <v>0</v>
      </c>
    </row>
    <row r="90">
      <c r="A90" s="22" t="inlineStr">
        <is>
          <t>1</t>
        </is>
      </c>
      <c r="B90" s="22">
        <f>IF('Brouillard ventes'!$F$35="","","VD"&amp;TEXT(ROW('Brouillard ventes'!$F$35)-5,"00000"))</f>
        <v/>
      </c>
      <c r="C90" s="22">
        <f>IF('Brouillard ventes'!$F$35="","",YEAR('Brouillard ventes'!$A$35)*10000+MONTH('Brouillard ventes'!$A$35)*100+DAY('Brouillard ventes'!$A$35))</f>
        <v/>
      </c>
      <c r="D90" s="22">
        <f>IF('Brouillard ventes'!$F$35="","",'Brouillard ventes'!$B$35)</f>
        <v/>
      </c>
      <c r="E90" s="22">
        <f>IF('Brouillard ventes'!$F$35="","",LEFT('Brouillard ventes'!$D$35,30))</f>
        <v/>
      </c>
      <c r="F90" s="22" t="inlineStr">
        <is>
          <t>15001</t>
        </is>
      </c>
      <c r="G90" s="22">
        <f>IF('Brouillard ventes'!$F$35="","",IF('Brouillard ventes'!$E$35="Réparation",Paramètres!$B$9,Paramètres!$B$8))</f>
        <v/>
      </c>
      <c r="H90" s="22" t="inlineStr"/>
      <c r="I90" s="22" t="inlineStr"/>
      <c r="J90" s="22" t="inlineStr"/>
      <c r="K90" s="22">
        <f>IF('Brouillard ventes'!$F$35="","",Paramètres!$B$11)</f>
        <v/>
      </c>
      <c r="L90" s="23" t="n">
        <v>0</v>
      </c>
      <c r="M90" s="23">
        <f>IF('Brouillard ventes'!$F$35="","",'Brouillard ventes'!$F$35)</f>
        <v/>
      </c>
    </row>
    <row r="91">
      <c r="A91" s="22" t="inlineStr">
        <is>
          <t>1</t>
        </is>
      </c>
      <c r="B91" s="22">
        <f>IF('Brouillard ventes'!$F$35="","","VD"&amp;TEXT(ROW('Brouillard ventes'!$F$35)-5,"00000"))</f>
        <v/>
      </c>
      <c r="C91" s="22">
        <f>IF('Brouillard ventes'!$F$35="","",YEAR('Brouillard ventes'!$A$35)*10000+MONTH('Brouillard ventes'!$A$35)*100+DAY('Brouillard ventes'!$A$35))</f>
        <v/>
      </c>
      <c r="D91" s="22">
        <f>IF('Brouillard ventes'!$F$35="","",'Brouillard ventes'!$B$35)</f>
        <v/>
      </c>
      <c r="E91" s="22">
        <f>IF('Brouillard ventes'!$F$35="","",LEFT('Brouillard ventes'!$D$35,30))</f>
        <v/>
      </c>
      <c r="F91" s="22" t="inlineStr">
        <is>
          <t>15001</t>
        </is>
      </c>
      <c r="G91" s="22">
        <f>IF('Brouillard ventes'!$F$35="","",Paramètres!$B$10)</f>
        <v/>
      </c>
      <c r="H91" s="22" t="inlineStr"/>
      <c r="I91" s="22" t="inlineStr"/>
      <c r="J91" s="22" t="inlineStr"/>
      <c r="K91" s="22">
        <f>IF('Brouillard ventes'!$F$35="","",Paramètres!$B$11)</f>
        <v/>
      </c>
      <c r="L91" s="23" t="n">
        <v>0</v>
      </c>
      <c r="M91" s="23">
        <f>IF('Brouillard ventes'!$F$35="","",'Brouillard ventes'!$H$35)</f>
        <v/>
      </c>
    </row>
    <row r="92">
      <c r="A92" s="22" t="inlineStr">
        <is>
          <t>1</t>
        </is>
      </c>
      <c r="B92" s="22">
        <f>IF('Brouillard ventes'!$F$36="","","VD"&amp;TEXT(ROW('Brouillard ventes'!$F$36)-5,"00000"))</f>
        <v/>
      </c>
      <c r="C92" s="22">
        <f>IF('Brouillard ventes'!$F$36="","",YEAR('Brouillard ventes'!$A$36)*10000+MONTH('Brouillard ventes'!$A$36)*100+DAY('Brouillard ventes'!$A$36))</f>
        <v/>
      </c>
      <c r="D92" s="22">
        <f>IF('Brouillard ventes'!$F$36="","",'Brouillard ventes'!$B$36)</f>
        <v/>
      </c>
      <c r="E92" s="22">
        <f>IF('Brouillard ventes'!$F$36="","",LEFT('Brouillard ventes'!$D$36,30))</f>
        <v/>
      </c>
      <c r="F92" s="22" t="inlineStr">
        <is>
          <t>15001</t>
        </is>
      </c>
      <c r="G92" s="22">
        <f>IF('Brouillard ventes'!$F$36="","",Paramètres!$B$7)</f>
        <v/>
      </c>
      <c r="H92" s="22">
        <f>IF('Brouillard ventes'!$F$36="","",IF('Brouillard ventes'!$C$36="","CD001",'Brouillard ventes'!$C$36))</f>
        <v/>
      </c>
      <c r="I92" s="22" t="inlineStr"/>
      <c r="J92" s="22" t="inlineStr"/>
      <c r="K92" s="22">
        <f>IF('Brouillard ventes'!$F$36="","",Paramètres!$B$11)</f>
        <v/>
      </c>
      <c r="L92" s="23">
        <f>IF('Brouillard ventes'!$F$36="","",'Brouillard ventes'!$I$36)</f>
        <v/>
      </c>
      <c r="M92" s="23" t="n">
        <v>0</v>
      </c>
    </row>
    <row r="93">
      <c r="A93" s="22" t="inlineStr">
        <is>
          <t>1</t>
        </is>
      </c>
      <c r="B93" s="22">
        <f>IF('Brouillard ventes'!$F$36="","","VD"&amp;TEXT(ROW('Brouillard ventes'!$F$36)-5,"00000"))</f>
        <v/>
      </c>
      <c r="C93" s="22">
        <f>IF('Brouillard ventes'!$F$36="","",YEAR('Brouillard ventes'!$A$36)*10000+MONTH('Brouillard ventes'!$A$36)*100+DAY('Brouillard ventes'!$A$36))</f>
        <v/>
      </c>
      <c r="D93" s="22">
        <f>IF('Brouillard ventes'!$F$36="","",'Brouillard ventes'!$B$36)</f>
        <v/>
      </c>
      <c r="E93" s="22">
        <f>IF('Brouillard ventes'!$F$36="","",LEFT('Brouillard ventes'!$D$36,30))</f>
        <v/>
      </c>
      <c r="F93" s="22" t="inlineStr">
        <is>
          <t>15001</t>
        </is>
      </c>
      <c r="G93" s="22">
        <f>IF('Brouillard ventes'!$F$36="","",IF('Brouillard ventes'!$E$36="Réparation",Paramètres!$B$9,Paramètres!$B$8))</f>
        <v/>
      </c>
      <c r="H93" s="22" t="inlineStr"/>
      <c r="I93" s="22" t="inlineStr"/>
      <c r="J93" s="22" t="inlineStr"/>
      <c r="K93" s="22">
        <f>IF('Brouillard ventes'!$F$36="","",Paramètres!$B$11)</f>
        <v/>
      </c>
      <c r="L93" s="23" t="n">
        <v>0</v>
      </c>
      <c r="M93" s="23">
        <f>IF('Brouillard ventes'!$F$36="","",'Brouillard ventes'!$F$36)</f>
        <v/>
      </c>
    </row>
    <row r="94">
      <c r="A94" s="22" t="inlineStr">
        <is>
          <t>1</t>
        </is>
      </c>
      <c r="B94" s="22">
        <f>IF('Brouillard ventes'!$F$36="","","VD"&amp;TEXT(ROW('Brouillard ventes'!$F$36)-5,"00000"))</f>
        <v/>
      </c>
      <c r="C94" s="22">
        <f>IF('Brouillard ventes'!$F$36="","",YEAR('Brouillard ventes'!$A$36)*10000+MONTH('Brouillard ventes'!$A$36)*100+DAY('Brouillard ventes'!$A$36))</f>
        <v/>
      </c>
      <c r="D94" s="22">
        <f>IF('Brouillard ventes'!$F$36="","",'Brouillard ventes'!$B$36)</f>
        <v/>
      </c>
      <c r="E94" s="22">
        <f>IF('Brouillard ventes'!$F$36="","",LEFT('Brouillard ventes'!$D$36,30))</f>
        <v/>
      </c>
      <c r="F94" s="22" t="inlineStr">
        <is>
          <t>15001</t>
        </is>
      </c>
      <c r="G94" s="22">
        <f>IF('Brouillard ventes'!$F$36="","",Paramètres!$B$10)</f>
        <v/>
      </c>
      <c r="H94" s="22" t="inlineStr"/>
      <c r="I94" s="22" t="inlineStr"/>
      <c r="J94" s="22" t="inlineStr"/>
      <c r="K94" s="22">
        <f>IF('Brouillard ventes'!$F$36="","",Paramètres!$B$11)</f>
        <v/>
      </c>
      <c r="L94" s="23" t="n">
        <v>0</v>
      </c>
      <c r="M94" s="23">
        <f>IF('Brouillard ventes'!$F$36="","",'Brouillard ventes'!$H$36)</f>
        <v/>
      </c>
    </row>
    <row r="95">
      <c r="A95" s="22" t="inlineStr">
        <is>
          <t>1</t>
        </is>
      </c>
      <c r="B95" s="22">
        <f>IF('Brouillard ventes'!$F$37="","","VD"&amp;TEXT(ROW('Brouillard ventes'!$F$37)-5,"00000"))</f>
        <v/>
      </c>
      <c r="C95" s="22">
        <f>IF('Brouillard ventes'!$F$37="","",YEAR('Brouillard ventes'!$A$37)*10000+MONTH('Brouillard ventes'!$A$37)*100+DAY('Brouillard ventes'!$A$37))</f>
        <v/>
      </c>
      <c r="D95" s="22">
        <f>IF('Brouillard ventes'!$F$37="","",'Brouillard ventes'!$B$37)</f>
        <v/>
      </c>
      <c r="E95" s="22">
        <f>IF('Brouillard ventes'!$F$37="","",LEFT('Brouillard ventes'!$D$37,30))</f>
        <v/>
      </c>
      <c r="F95" s="22" t="inlineStr">
        <is>
          <t>15001</t>
        </is>
      </c>
      <c r="G95" s="22">
        <f>IF('Brouillard ventes'!$F$37="","",Paramètres!$B$7)</f>
        <v/>
      </c>
      <c r="H95" s="22">
        <f>IF('Brouillard ventes'!$F$37="","",IF('Brouillard ventes'!$C$37="","CD001",'Brouillard ventes'!$C$37))</f>
        <v/>
      </c>
      <c r="I95" s="22" t="inlineStr"/>
      <c r="J95" s="22" t="inlineStr"/>
      <c r="K95" s="22">
        <f>IF('Brouillard ventes'!$F$37="","",Paramètres!$B$11)</f>
        <v/>
      </c>
      <c r="L95" s="23">
        <f>IF('Brouillard ventes'!$F$37="","",'Brouillard ventes'!$I$37)</f>
        <v/>
      </c>
      <c r="M95" s="23" t="n">
        <v>0</v>
      </c>
    </row>
    <row r="96">
      <c r="A96" s="22" t="inlineStr">
        <is>
          <t>1</t>
        </is>
      </c>
      <c r="B96" s="22">
        <f>IF('Brouillard ventes'!$F$37="","","VD"&amp;TEXT(ROW('Brouillard ventes'!$F$37)-5,"00000"))</f>
        <v/>
      </c>
      <c r="C96" s="22">
        <f>IF('Brouillard ventes'!$F$37="","",YEAR('Brouillard ventes'!$A$37)*10000+MONTH('Brouillard ventes'!$A$37)*100+DAY('Brouillard ventes'!$A$37))</f>
        <v/>
      </c>
      <c r="D96" s="22">
        <f>IF('Brouillard ventes'!$F$37="","",'Brouillard ventes'!$B$37)</f>
        <v/>
      </c>
      <c r="E96" s="22">
        <f>IF('Brouillard ventes'!$F$37="","",LEFT('Brouillard ventes'!$D$37,30))</f>
        <v/>
      </c>
      <c r="F96" s="22" t="inlineStr">
        <is>
          <t>15001</t>
        </is>
      </c>
      <c r="G96" s="22">
        <f>IF('Brouillard ventes'!$F$37="","",IF('Brouillard ventes'!$E$37="Réparation",Paramètres!$B$9,Paramètres!$B$8))</f>
        <v/>
      </c>
      <c r="H96" s="22" t="inlineStr"/>
      <c r="I96" s="22" t="inlineStr"/>
      <c r="J96" s="22" t="inlineStr"/>
      <c r="K96" s="22">
        <f>IF('Brouillard ventes'!$F$37="","",Paramètres!$B$11)</f>
        <v/>
      </c>
      <c r="L96" s="23" t="n">
        <v>0</v>
      </c>
      <c r="M96" s="23">
        <f>IF('Brouillard ventes'!$F$37="","",'Brouillard ventes'!$F$37)</f>
        <v/>
      </c>
    </row>
    <row r="97">
      <c r="A97" s="22" t="inlineStr">
        <is>
          <t>1</t>
        </is>
      </c>
      <c r="B97" s="22">
        <f>IF('Brouillard ventes'!$F$37="","","VD"&amp;TEXT(ROW('Brouillard ventes'!$F$37)-5,"00000"))</f>
        <v/>
      </c>
      <c r="C97" s="22">
        <f>IF('Brouillard ventes'!$F$37="","",YEAR('Brouillard ventes'!$A$37)*10000+MONTH('Brouillard ventes'!$A$37)*100+DAY('Brouillard ventes'!$A$37))</f>
        <v/>
      </c>
      <c r="D97" s="22">
        <f>IF('Brouillard ventes'!$F$37="","",'Brouillard ventes'!$B$37)</f>
        <v/>
      </c>
      <c r="E97" s="22">
        <f>IF('Brouillard ventes'!$F$37="","",LEFT('Brouillard ventes'!$D$37,30))</f>
        <v/>
      </c>
      <c r="F97" s="22" t="inlineStr">
        <is>
          <t>15001</t>
        </is>
      </c>
      <c r="G97" s="22">
        <f>IF('Brouillard ventes'!$F$37="","",Paramètres!$B$10)</f>
        <v/>
      </c>
      <c r="H97" s="22" t="inlineStr"/>
      <c r="I97" s="22" t="inlineStr"/>
      <c r="J97" s="22" t="inlineStr"/>
      <c r="K97" s="22">
        <f>IF('Brouillard ventes'!$F$37="","",Paramètres!$B$11)</f>
        <v/>
      </c>
      <c r="L97" s="23" t="n">
        <v>0</v>
      </c>
      <c r="M97" s="23">
        <f>IF('Brouillard ventes'!$F$37="","",'Brouillard ventes'!$H$37)</f>
        <v/>
      </c>
    </row>
    <row r="98">
      <c r="A98" s="22" t="inlineStr">
        <is>
          <t>1</t>
        </is>
      </c>
      <c r="B98" s="22">
        <f>IF('Brouillard ventes'!$F$38="","","VD"&amp;TEXT(ROW('Brouillard ventes'!$F$38)-5,"00000"))</f>
        <v/>
      </c>
      <c r="C98" s="22">
        <f>IF('Brouillard ventes'!$F$38="","",YEAR('Brouillard ventes'!$A$38)*10000+MONTH('Brouillard ventes'!$A$38)*100+DAY('Brouillard ventes'!$A$38))</f>
        <v/>
      </c>
      <c r="D98" s="22">
        <f>IF('Brouillard ventes'!$F$38="","",'Brouillard ventes'!$B$38)</f>
        <v/>
      </c>
      <c r="E98" s="22">
        <f>IF('Brouillard ventes'!$F$38="","",LEFT('Brouillard ventes'!$D$38,30))</f>
        <v/>
      </c>
      <c r="F98" s="22" t="inlineStr">
        <is>
          <t>15001</t>
        </is>
      </c>
      <c r="G98" s="22">
        <f>IF('Brouillard ventes'!$F$38="","",Paramètres!$B$7)</f>
        <v/>
      </c>
      <c r="H98" s="22">
        <f>IF('Brouillard ventes'!$F$38="","",IF('Brouillard ventes'!$C$38="","CD001",'Brouillard ventes'!$C$38))</f>
        <v/>
      </c>
      <c r="I98" s="22" t="inlineStr"/>
      <c r="J98" s="22" t="inlineStr"/>
      <c r="K98" s="22">
        <f>IF('Brouillard ventes'!$F$38="","",Paramètres!$B$11)</f>
        <v/>
      </c>
      <c r="L98" s="23">
        <f>IF('Brouillard ventes'!$F$38="","",'Brouillard ventes'!$I$38)</f>
        <v/>
      </c>
      <c r="M98" s="23" t="n">
        <v>0</v>
      </c>
    </row>
    <row r="99">
      <c r="A99" s="22" t="inlineStr">
        <is>
          <t>1</t>
        </is>
      </c>
      <c r="B99" s="22">
        <f>IF('Brouillard ventes'!$F$38="","","VD"&amp;TEXT(ROW('Brouillard ventes'!$F$38)-5,"00000"))</f>
        <v/>
      </c>
      <c r="C99" s="22">
        <f>IF('Brouillard ventes'!$F$38="","",YEAR('Brouillard ventes'!$A$38)*10000+MONTH('Brouillard ventes'!$A$38)*100+DAY('Brouillard ventes'!$A$38))</f>
        <v/>
      </c>
      <c r="D99" s="22">
        <f>IF('Brouillard ventes'!$F$38="","",'Brouillard ventes'!$B$38)</f>
        <v/>
      </c>
      <c r="E99" s="22">
        <f>IF('Brouillard ventes'!$F$38="","",LEFT('Brouillard ventes'!$D$38,30))</f>
        <v/>
      </c>
      <c r="F99" s="22" t="inlineStr">
        <is>
          <t>15001</t>
        </is>
      </c>
      <c r="G99" s="22">
        <f>IF('Brouillard ventes'!$F$38="","",IF('Brouillard ventes'!$E$38="Réparation",Paramètres!$B$9,Paramètres!$B$8))</f>
        <v/>
      </c>
      <c r="H99" s="22" t="inlineStr"/>
      <c r="I99" s="22" t="inlineStr"/>
      <c r="J99" s="22" t="inlineStr"/>
      <c r="K99" s="22">
        <f>IF('Brouillard ventes'!$F$38="","",Paramètres!$B$11)</f>
        <v/>
      </c>
      <c r="L99" s="23" t="n">
        <v>0</v>
      </c>
      <c r="M99" s="23">
        <f>IF('Brouillard ventes'!$F$38="","",'Brouillard ventes'!$F$38)</f>
        <v/>
      </c>
    </row>
    <row r="100">
      <c r="A100" s="22" t="inlineStr">
        <is>
          <t>1</t>
        </is>
      </c>
      <c r="B100" s="22">
        <f>IF('Brouillard ventes'!$F$38="","","VD"&amp;TEXT(ROW('Brouillard ventes'!$F$38)-5,"00000"))</f>
        <v/>
      </c>
      <c r="C100" s="22">
        <f>IF('Brouillard ventes'!$F$38="","",YEAR('Brouillard ventes'!$A$38)*10000+MONTH('Brouillard ventes'!$A$38)*100+DAY('Brouillard ventes'!$A$38))</f>
        <v/>
      </c>
      <c r="D100" s="22">
        <f>IF('Brouillard ventes'!$F$38="","",'Brouillard ventes'!$B$38)</f>
        <v/>
      </c>
      <c r="E100" s="22">
        <f>IF('Brouillard ventes'!$F$38="","",LEFT('Brouillard ventes'!$D$38,30))</f>
        <v/>
      </c>
      <c r="F100" s="22" t="inlineStr">
        <is>
          <t>15001</t>
        </is>
      </c>
      <c r="G100" s="22">
        <f>IF('Brouillard ventes'!$F$38="","",Paramètres!$B$10)</f>
        <v/>
      </c>
      <c r="H100" s="22" t="inlineStr"/>
      <c r="I100" s="22" t="inlineStr"/>
      <c r="J100" s="22" t="inlineStr"/>
      <c r="K100" s="22">
        <f>IF('Brouillard ventes'!$F$38="","",Paramètres!$B$11)</f>
        <v/>
      </c>
      <c r="L100" s="23" t="n">
        <v>0</v>
      </c>
      <c r="M100" s="23">
        <f>IF('Brouillard ventes'!$F$38="","",'Brouillard ventes'!$H$38)</f>
        <v/>
      </c>
    </row>
    <row r="101">
      <c r="A101" s="22" t="inlineStr">
        <is>
          <t>1</t>
        </is>
      </c>
      <c r="B101" s="22">
        <f>IF('Brouillard ventes'!$F$39="","","VD"&amp;TEXT(ROW('Brouillard ventes'!$F$39)-5,"00000"))</f>
        <v/>
      </c>
      <c r="C101" s="22">
        <f>IF('Brouillard ventes'!$F$39="","",YEAR('Brouillard ventes'!$A$39)*10000+MONTH('Brouillard ventes'!$A$39)*100+DAY('Brouillard ventes'!$A$39))</f>
        <v/>
      </c>
      <c r="D101" s="22">
        <f>IF('Brouillard ventes'!$F$39="","",'Brouillard ventes'!$B$39)</f>
        <v/>
      </c>
      <c r="E101" s="22">
        <f>IF('Brouillard ventes'!$F$39="","",LEFT('Brouillard ventes'!$D$39,30))</f>
        <v/>
      </c>
      <c r="F101" s="22" t="inlineStr">
        <is>
          <t>15001</t>
        </is>
      </c>
      <c r="G101" s="22">
        <f>IF('Brouillard ventes'!$F$39="","",Paramètres!$B$7)</f>
        <v/>
      </c>
      <c r="H101" s="22">
        <f>IF('Brouillard ventes'!$F$39="","",IF('Brouillard ventes'!$C$39="","CD001",'Brouillard ventes'!$C$39))</f>
        <v/>
      </c>
      <c r="I101" s="22" t="inlineStr"/>
      <c r="J101" s="22" t="inlineStr"/>
      <c r="K101" s="22">
        <f>IF('Brouillard ventes'!$F$39="","",Paramètres!$B$11)</f>
        <v/>
      </c>
      <c r="L101" s="23">
        <f>IF('Brouillard ventes'!$F$39="","",'Brouillard ventes'!$I$39)</f>
        <v/>
      </c>
      <c r="M101" s="23" t="n">
        <v>0</v>
      </c>
    </row>
    <row r="102">
      <c r="A102" s="22" t="inlineStr">
        <is>
          <t>1</t>
        </is>
      </c>
      <c r="B102" s="22">
        <f>IF('Brouillard ventes'!$F$39="","","VD"&amp;TEXT(ROW('Brouillard ventes'!$F$39)-5,"00000"))</f>
        <v/>
      </c>
      <c r="C102" s="22">
        <f>IF('Brouillard ventes'!$F$39="","",YEAR('Brouillard ventes'!$A$39)*10000+MONTH('Brouillard ventes'!$A$39)*100+DAY('Brouillard ventes'!$A$39))</f>
        <v/>
      </c>
      <c r="D102" s="22">
        <f>IF('Brouillard ventes'!$F$39="","",'Brouillard ventes'!$B$39)</f>
        <v/>
      </c>
      <c r="E102" s="22">
        <f>IF('Brouillard ventes'!$F$39="","",LEFT('Brouillard ventes'!$D$39,30))</f>
        <v/>
      </c>
      <c r="F102" s="22" t="inlineStr">
        <is>
          <t>15001</t>
        </is>
      </c>
      <c r="G102" s="22">
        <f>IF('Brouillard ventes'!$F$39="","",IF('Brouillard ventes'!$E$39="Réparation",Paramètres!$B$9,Paramètres!$B$8))</f>
        <v/>
      </c>
      <c r="H102" s="22" t="inlineStr"/>
      <c r="I102" s="22" t="inlineStr"/>
      <c r="J102" s="22" t="inlineStr"/>
      <c r="K102" s="22">
        <f>IF('Brouillard ventes'!$F$39="","",Paramètres!$B$11)</f>
        <v/>
      </c>
      <c r="L102" s="23" t="n">
        <v>0</v>
      </c>
      <c r="M102" s="23">
        <f>IF('Brouillard ventes'!$F$39="","",'Brouillard ventes'!$F$39)</f>
        <v/>
      </c>
    </row>
    <row r="103">
      <c r="A103" s="22" t="inlineStr">
        <is>
          <t>1</t>
        </is>
      </c>
      <c r="B103" s="22">
        <f>IF('Brouillard ventes'!$F$39="","","VD"&amp;TEXT(ROW('Brouillard ventes'!$F$39)-5,"00000"))</f>
        <v/>
      </c>
      <c r="C103" s="22">
        <f>IF('Brouillard ventes'!$F$39="","",YEAR('Brouillard ventes'!$A$39)*10000+MONTH('Brouillard ventes'!$A$39)*100+DAY('Brouillard ventes'!$A$39))</f>
        <v/>
      </c>
      <c r="D103" s="22">
        <f>IF('Brouillard ventes'!$F$39="","",'Brouillard ventes'!$B$39)</f>
        <v/>
      </c>
      <c r="E103" s="22">
        <f>IF('Brouillard ventes'!$F$39="","",LEFT('Brouillard ventes'!$D$39,30))</f>
        <v/>
      </c>
      <c r="F103" s="22" t="inlineStr">
        <is>
          <t>15001</t>
        </is>
      </c>
      <c r="G103" s="22">
        <f>IF('Brouillard ventes'!$F$39="","",Paramètres!$B$10)</f>
        <v/>
      </c>
      <c r="H103" s="22" t="inlineStr"/>
      <c r="I103" s="22" t="inlineStr"/>
      <c r="J103" s="22" t="inlineStr"/>
      <c r="K103" s="22">
        <f>IF('Brouillard ventes'!$F$39="","",Paramètres!$B$11)</f>
        <v/>
      </c>
      <c r="L103" s="23" t="n">
        <v>0</v>
      </c>
      <c r="M103" s="23">
        <f>IF('Brouillard ventes'!$F$39="","",'Brouillard ventes'!$H$39)</f>
        <v/>
      </c>
    </row>
    <row r="104">
      <c r="A104" s="22" t="inlineStr">
        <is>
          <t>1</t>
        </is>
      </c>
      <c r="B104" s="22">
        <f>IF('Brouillard ventes'!$F$40="","","VD"&amp;TEXT(ROW('Brouillard ventes'!$F$40)-5,"00000"))</f>
        <v/>
      </c>
      <c r="C104" s="22">
        <f>IF('Brouillard ventes'!$F$40="","",YEAR('Brouillard ventes'!$A$40)*10000+MONTH('Brouillard ventes'!$A$40)*100+DAY('Brouillard ventes'!$A$40))</f>
        <v/>
      </c>
      <c r="D104" s="22">
        <f>IF('Brouillard ventes'!$F$40="","",'Brouillard ventes'!$B$40)</f>
        <v/>
      </c>
      <c r="E104" s="22">
        <f>IF('Brouillard ventes'!$F$40="","",LEFT('Brouillard ventes'!$D$40,30))</f>
        <v/>
      </c>
      <c r="F104" s="22" t="inlineStr">
        <is>
          <t>15001</t>
        </is>
      </c>
      <c r="G104" s="22">
        <f>IF('Brouillard ventes'!$F$40="","",Paramètres!$B$7)</f>
        <v/>
      </c>
      <c r="H104" s="22">
        <f>IF('Brouillard ventes'!$F$40="","",IF('Brouillard ventes'!$C$40="","CD001",'Brouillard ventes'!$C$40))</f>
        <v/>
      </c>
      <c r="I104" s="22" t="inlineStr"/>
      <c r="J104" s="22" t="inlineStr"/>
      <c r="K104" s="22">
        <f>IF('Brouillard ventes'!$F$40="","",Paramètres!$B$11)</f>
        <v/>
      </c>
      <c r="L104" s="23">
        <f>IF('Brouillard ventes'!$F$40="","",'Brouillard ventes'!$I$40)</f>
        <v/>
      </c>
      <c r="M104" s="23" t="n">
        <v>0</v>
      </c>
    </row>
    <row r="105">
      <c r="A105" s="22" t="inlineStr">
        <is>
          <t>1</t>
        </is>
      </c>
      <c r="B105" s="22">
        <f>IF('Brouillard ventes'!$F$40="","","VD"&amp;TEXT(ROW('Brouillard ventes'!$F$40)-5,"00000"))</f>
        <v/>
      </c>
      <c r="C105" s="22">
        <f>IF('Brouillard ventes'!$F$40="","",YEAR('Brouillard ventes'!$A$40)*10000+MONTH('Brouillard ventes'!$A$40)*100+DAY('Brouillard ventes'!$A$40))</f>
        <v/>
      </c>
      <c r="D105" s="22">
        <f>IF('Brouillard ventes'!$F$40="","",'Brouillard ventes'!$B$40)</f>
        <v/>
      </c>
      <c r="E105" s="22">
        <f>IF('Brouillard ventes'!$F$40="","",LEFT('Brouillard ventes'!$D$40,30))</f>
        <v/>
      </c>
      <c r="F105" s="22" t="inlineStr">
        <is>
          <t>15001</t>
        </is>
      </c>
      <c r="G105" s="22">
        <f>IF('Brouillard ventes'!$F$40="","",IF('Brouillard ventes'!$E$40="Réparation",Paramètres!$B$9,Paramètres!$B$8))</f>
        <v/>
      </c>
      <c r="H105" s="22" t="inlineStr"/>
      <c r="I105" s="22" t="inlineStr"/>
      <c r="J105" s="22" t="inlineStr"/>
      <c r="K105" s="22">
        <f>IF('Brouillard ventes'!$F$40="","",Paramètres!$B$11)</f>
        <v/>
      </c>
      <c r="L105" s="23" t="n">
        <v>0</v>
      </c>
      <c r="M105" s="23">
        <f>IF('Brouillard ventes'!$F$40="","",'Brouillard ventes'!$F$40)</f>
        <v/>
      </c>
    </row>
    <row r="106">
      <c r="A106" s="22" t="inlineStr">
        <is>
          <t>1</t>
        </is>
      </c>
      <c r="B106" s="22">
        <f>IF('Brouillard ventes'!$F$40="","","VD"&amp;TEXT(ROW('Brouillard ventes'!$F$40)-5,"00000"))</f>
        <v/>
      </c>
      <c r="C106" s="22">
        <f>IF('Brouillard ventes'!$F$40="","",YEAR('Brouillard ventes'!$A$40)*10000+MONTH('Brouillard ventes'!$A$40)*100+DAY('Brouillard ventes'!$A$40))</f>
        <v/>
      </c>
      <c r="D106" s="22">
        <f>IF('Brouillard ventes'!$F$40="","",'Brouillard ventes'!$B$40)</f>
        <v/>
      </c>
      <c r="E106" s="22">
        <f>IF('Brouillard ventes'!$F$40="","",LEFT('Brouillard ventes'!$D$40,30))</f>
        <v/>
      </c>
      <c r="F106" s="22" t="inlineStr">
        <is>
          <t>15001</t>
        </is>
      </c>
      <c r="G106" s="22">
        <f>IF('Brouillard ventes'!$F$40="","",Paramètres!$B$10)</f>
        <v/>
      </c>
      <c r="H106" s="22" t="inlineStr"/>
      <c r="I106" s="22" t="inlineStr"/>
      <c r="J106" s="22" t="inlineStr"/>
      <c r="K106" s="22">
        <f>IF('Brouillard ventes'!$F$40="","",Paramètres!$B$11)</f>
        <v/>
      </c>
      <c r="L106" s="23" t="n">
        <v>0</v>
      </c>
      <c r="M106" s="23">
        <f>IF('Brouillard ventes'!$F$40="","",'Brouillard ventes'!$H$40)</f>
        <v/>
      </c>
    </row>
    <row r="107">
      <c r="A107" s="22" t="inlineStr">
        <is>
          <t>1</t>
        </is>
      </c>
      <c r="B107" s="22">
        <f>IF('Brouillard ventes'!$F$41="","","VD"&amp;TEXT(ROW('Brouillard ventes'!$F$41)-5,"00000"))</f>
        <v/>
      </c>
      <c r="C107" s="22">
        <f>IF('Brouillard ventes'!$F$41="","",YEAR('Brouillard ventes'!$A$41)*10000+MONTH('Brouillard ventes'!$A$41)*100+DAY('Brouillard ventes'!$A$41))</f>
        <v/>
      </c>
      <c r="D107" s="22">
        <f>IF('Brouillard ventes'!$F$41="","",'Brouillard ventes'!$B$41)</f>
        <v/>
      </c>
      <c r="E107" s="22">
        <f>IF('Brouillard ventes'!$F$41="","",LEFT('Brouillard ventes'!$D$41,30))</f>
        <v/>
      </c>
      <c r="F107" s="22" t="inlineStr">
        <is>
          <t>15001</t>
        </is>
      </c>
      <c r="G107" s="22">
        <f>IF('Brouillard ventes'!$F$41="","",Paramètres!$B$7)</f>
        <v/>
      </c>
      <c r="H107" s="22">
        <f>IF('Brouillard ventes'!$F$41="","",IF('Brouillard ventes'!$C$41="","CD001",'Brouillard ventes'!$C$41))</f>
        <v/>
      </c>
      <c r="I107" s="22" t="inlineStr"/>
      <c r="J107" s="22" t="inlineStr"/>
      <c r="K107" s="22">
        <f>IF('Brouillard ventes'!$F$41="","",Paramètres!$B$11)</f>
        <v/>
      </c>
      <c r="L107" s="23">
        <f>IF('Brouillard ventes'!$F$41="","",'Brouillard ventes'!$I$41)</f>
        <v/>
      </c>
      <c r="M107" s="23" t="n">
        <v>0</v>
      </c>
    </row>
    <row r="108">
      <c r="A108" s="22" t="inlineStr">
        <is>
          <t>1</t>
        </is>
      </c>
      <c r="B108" s="22">
        <f>IF('Brouillard ventes'!$F$41="","","VD"&amp;TEXT(ROW('Brouillard ventes'!$F$41)-5,"00000"))</f>
        <v/>
      </c>
      <c r="C108" s="22">
        <f>IF('Brouillard ventes'!$F$41="","",YEAR('Brouillard ventes'!$A$41)*10000+MONTH('Brouillard ventes'!$A$41)*100+DAY('Brouillard ventes'!$A$41))</f>
        <v/>
      </c>
      <c r="D108" s="22">
        <f>IF('Brouillard ventes'!$F$41="","",'Brouillard ventes'!$B$41)</f>
        <v/>
      </c>
      <c r="E108" s="22">
        <f>IF('Brouillard ventes'!$F$41="","",LEFT('Brouillard ventes'!$D$41,30))</f>
        <v/>
      </c>
      <c r="F108" s="22" t="inlineStr">
        <is>
          <t>15001</t>
        </is>
      </c>
      <c r="G108" s="22">
        <f>IF('Brouillard ventes'!$F$41="","",IF('Brouillard ventes'!$E$41="Réparation",Paramètres!$B$9,Paramètres!$B$8))</f>
        <v/>
      </c>
      <c r="H108" s="22" t="inlineStr"/>
      <c r="I108" s="22" t="inlineStr"/>
      <c r="J108" s="22" t="inlineStr"/>
      <c r="K108" s="22">
        <f>IF('Brouillard ventes'!$F$41="","",Paramètres!$B$11)</f>
        <v/>
      </c>
      <c r="L108" s="23" t="n">
        <v>0</v>
      </c>
      <c r="M108" s="23">
        <f>IF('Brouillard ventes'!$F$41="","",'Brouillard ventes'!$F$41)</f>
        <v/>
      </c>
    </row>
    <row r="109">
      <c r="A109" s="22" t="inlineStr">
        <is>
          <t>1</t>
        </is>
      </c>
      <c r="B109" s="22">
        <f>IF('Brouillard ventes'!$F$41="","","VD"&amp;TEXT(ROW('Brouillard ventes'!$F$41)-5,"00000"))</f>
        <v/>
      </c>
      <c r="C109" s="22">
        <f>IF('Brouillard ventes'!$F$41="","",YEAR('Brouillard ventes'!$A$41)*10000+MONTH('Brouillard ventes'!$A$41)*100+DAY('Brouillard ventes'!$A$41))</f>
        <v/>
      </c>
      <c r="D109" s="22">
        <f>IF('Brouillard ventes'!$F$41="","",'Brouillard ventes'!$B$41)</f>
        <v/>
      </c>
      <c r="E109" s="22">
        <f>IF('Brouillard ventes'!$F$41="","",LEFT('Brouillard ventes'!$D$41,30))</f>
        <v/>
      </c>
      <c r="F109" s="22" t="inlineStr">
        <is>
          <t>15001</t>
        </is>
      </c>
      <c r="G109" s="22">
        <f>IF('Brouillard ventes'!$F$41="","",Paramètres!$B$10)</f>
        <v/>
      </c>
      <c r="H109" s="22" t="inlineStr"/>
      <c r="I109" s="22" t="inlineStr"/>
      <c r="J109" s="22" t="inlineStr"/>
      <c r="K109" s="22">
        <f>IF('Brouillard ventes'!$F$41="","",Paramètres!$B$11)</f>
        <v/>
      </c>
      <c r="L109" s="23" t="n">
        <v>0</v>
      </c>
      <c r="M109" s="23">
        <f>IF('Brouillard ventes'!$F$41="","",'Brouillard ventes'!$H$41)</f>
        <v/>
      </c>
    </row>
    <row r="110">
      <c r="A110" s="22" t="inlineStr">
        <is>
          <t>1</t>
        </is>
      </c>
      <c r="B110" s="22">
        <f>IF('Brouillard ventes'!$F$42="","","VD"&amp;TEXT(ROW('Brouillard ventes'!$F$42)-5,"00000"))</f>
        <v/>
      </c>
      <c r="C110" s="22">
        <f>IF('Brouillard ventes'!$F$42="","",YEAR('Brouillard ventes'!$A$42)*10000+MONTH('Brouillard ventes'!$A$42)*100+DAY('Brouillard ventes'!$A$42))</f>
        <v/>
      </c>
      <c r="D110" s="22">
        <f>IF('Brouillard ventes'!$F$42="","",'Brouillard ventes'!$B$42)</f>
        <v/>
      </c>
      <c r="E110" s="22">
        <f>IF('Brouillard ventes'!$F$42="","",LEFT('Brouillard ventes'!$D$42,30))</f>
        <v/>
      </c>
      <c r="F110" s="22" t="inlineStr">
        <is>
          <t>15001</t>
        </is>
      </c>
      <c r="G110" s="22">
        <f>IF('Brouillard ventes'!$F$42="","",Paramètres!$B$7)</f>
        <v/>
      </c>
      <c r="H110" s="22">
        <f>IF('Brouillard ventes'!$F$42="","",IF('Brouillard ventes'!$C$42="","CD001",'Brouillard ventes'!$C$42))</f>
        <v/>
      </c>
      <c r="I110" s="22" t="inlineStr"/>
      <c r="J110" s="22" t="inlineStr"/>
      <c r="K110" s="22">
        <f>IF('Brouillard ventes'!$F$42="","",Paramètres!$B$11)</f>
        <v/>
      </c>
      <c r="L110" s="23">
        <f>IF('Brouillard ventes'!$F$42="","",'Brouillard ventes'!$I$42)</f>
        <v/>
      </c>
      <c r="M110" s="23" t="n">
        <v>0</v>
      </c>
    </row>
    <row r="111">
      <c r="A111" s="22" t="inlineStr">
        <is>
          <t>1</t>
        </is>
      </c>
      <c r="B111" s="22">
        <f>IF('Brouillard ventes'!$F$42="","","VD"&amp;TEXT(ROW('Brouillard ventes'!$F$42)-5,"00000"))</f>
        <v/>
      </c>
      <c r="C111" s="22">
        <f>IF('Brouillard ventes'!$F$42="","",YEAR('Brouillard ventes'!$A$42)*10000+MONTH('Brouillard ventes'!$A$42)*100+DAY('Brouillard ventes'!$A$42))</f>
        <v/>
      </c>
      <c r="D111" s="22">
        <f>IF('Brouillard ventes'!$F$42="","",'Brouillard ventes'!$B$42)</f>
        <v/>
      </c>
      <c r="E111" s="22">
        <f>IF('Brouillard ventes'!$F$42="","",LEFT('Brouillard ventes'!$D$42,30))</f>
        <v/>
      </c>
      <c r="F111" s="22" t="inlineStr">
        <is>
          <t>15001</t>
        </is>
      </c>
      <c r="G111" s="22">
        <f>IF('Brouillard ventes'!$F$42="","",IF('Brouillard ventes'!$E$42="Réparation",Paramètres!$B$9,Paramètres!$B$8))</f>
        <v/>
      </c>
      <c r="H111" s="22" t="inlineStr"/>
      <c r="I111" s="22" t="inlineStr"/>
      <c r="J111" s="22" t="inlineStr"/>
      <c r="K111" s="22">
        <f>IF('Brouillard ventes'!$F$42="","",Paramètres!$B$11)</f>
        <v/>
      </c>
      <c r="L111" s="23" t="n">
        <v>0</v>
      </c>
      <c r="M111" s="23">
        <f>IF('Brouillard ventes'!$F$42="","",'Brouillard ventes'!$F$42)</f>
        <v/>
      </c>
    </row>
    <row r="112">
      <c r="A112" s="22" t="inlineStr">
        <is>
          <t>1</t>
        </is>
      </c>
      <c r="B112" s="22">
        <f>IF('Brouillard ventes'!$F$42="","","VD"&amp;TEXT(ROW('Brouillard ventes'!$F$42)-5,"00000"))</f>
        <v/>
      </c>
      <c r="C112" s="22">
        <f>IF('Brouillard ventes'!$F$42="","",YEAR('Brouillard ventes'!$A$42)*10000+MONTH('Brouillard ventes'!$A$42)*100+DAY('Brouillard ventes'!$A$42))</f>
        <v/>
      </c>
      <c r="D112" s="22">
        <f>IF('Brouillard ventes'!$F$42="","",'Brouillard ventes'!$B$42)</f>
        <v/>
      </c>
      <c r="E112" s="22">
        <f>IF('Brouillard ventes'!$F$42="","",LEFT('Brouillard ventes'!$D$42,30))</f>
        <v/>
      </c>
      <c r="F112" s="22" t="inlineStr">
        <is>
          <t>15001</t>
        </is>
      </c>
      <c r="G112" s="22">
        <f>IF('Brouillard ventes'!$F$42="","",Paramètres!$B$10)</f>
        <v/>
      </c>
      <c r="H112" s="22" t="inlineStr"/>
      <c r="I112" s="22" t="inlineStr"/>
      <c r="J112" s="22" t="inlineStr"/>
      <c r="K112" s="22">
        <f>IF('Brouillard ventes'!$F$42="","",Paramètres!$B$11)</f>
        <v/>
      </c>
      <c r="L112" s="23" t="n">
        <v>0</v>
      </c>
      <c r="M112" s="23">
        <f>IF('Brouillard ventes'!$F$42="","",'Brouillard ventes'!$H$42)</f>
        <v/>
      </c>
    </row>
    <row r="113">
      <c r="A113" s="22" t="inlineStr">
        <is>
          <t>1</t>
        </is>
      </c>
      <c r="B113" s="22">
        <f>IF('Brouillard ventes'!$F$43="","","VD"&amp;TEXT(ROW('Brouillard ventes'!$F$43)-5,"00000"))</f>
        <v/>
      </c>
      <c r="C113" s="22">
        <f>IF('Brouillard ventes'!$F$43="","",YEAR('Brouillard ventes'!$A$43)*10000+MONTH('Brouillard ventes'!$A$43)*100+DAY('Brouillard ventes'!$A$43))</f>
        <v/>
      </c>
      <c r="D113" s="22">
        <f>IF('Brouillard ventes'!$F$43="","",'Brouillard ventes'!$B$43)</f>
        <v/>
      </c>
      <c r="E113" s="22">
        <f>IF('Brouillard ventes'!$F$43="","",LEFT('Brouillard ventes'!$D$43,30))</f>
        <v/>
      </c>
      <c r="F113" s="22" t="inlineStr">
        <is>
          <t>15001</t>
        </is>
      </c>
      <c r="G113" s="22">
        <f>IF('Brouillard ventes'!$F$43="","",Paramètres!$B$7)</f>
        <v/>
      </c>
      <c r="H113" s="22">
        <f>IF('Brouillard ventes'!$F$43="","",IF('Brouillard ventes'!$C$43="","CD001",'Brouillard ventes'!$C$43))</f>
        <v/>
      </c>
      <c r="I113" s="22" t="inlineStr"/>
      <c r="J113" s="22" t="inlineStr"/>
      <c r="K113" s="22">
        <f>IF('Brouillard ventes'!$F$43="","",Paramètres!$B$11)</f>
        <v/>
      </c>
      <c r="L113" s="23">
        <f>IF('Brouillard ventes'!$F$43="","",'Brouillard ventes'!$I$43)</f>
        <v/>
      </c>
      <c r="M113" s="23" t="n">
        <v>0</v>
      </c>
    </row>
    <row r="114">
      <c r="A114" s="22" t="inlineStr">
        <is>
          <t>1</t>
        </is>
      </c>
      <c r="B114" s="22">
        <f>IF('Brouillard ventes'!$F$43="","","VD"&amp;TEXT(ROW('Brouillard ventes'!$F$43)-5,"00000"))</f>
        <v/>
      </c>
      <c r="C114" s="22">
        <f>IF('Brouillard ventes'!$F$43="","",YEAR('Brouillard ventes'!$A$43)*10000+MONTH('Brouillard ventes'!$A$43)*100+DAY('Brouillard ventes'!$A$43))</f>
        <v/>
      </c>
      <c r="D114" s="22">
        <f>IF('Brouillard ventes'!$F$43="","",'Brouillard ventes'!$B$43)</f>
        <v/>
      </c>
      <c r="E114" s="22">
        <f>IF('Brouillard ventes'!$F$43="","",LEFT('Brouillard ventes'!$D$43,30))</f>
        <v/>
      </c>
      <c r="F114" s="22" t="inlineStr">
        <is>
          <t>15001</t>
        </is>
      </c>
      <c r="G114" s="22">
        <f>IF('Brouillard ventes'!$F$43="","",IF('Brouillard ventes'!$E$43="Réparation",Paramètres!$B$9,Paramètres!$B$8))</f>
        <v/>
      </c>
      <c r="H114" s="22" t="inlineStr"/>
      <c r="I114" s="22" t="inlineStr"/>
      <c r="J114" s="22" t="inlineStr"/>
      <c r="K114" s="22">
        <f>IF('Brouillard ventes'!$F$43="","",Paramètres!$B$11)</f>
        <v/>
      </c>
      <c r="L114" s="23" t="n">
        <v>0</v>
      </c>
      <c r="M114" s="23">
        <f>IF('Brouillard ventes'!$F$43="","",'Brouillard ventes'!$F$43)</f>
        <v/>
      </c>
    </row>
    <row r="115">
      <c r="A115" s="22" t="inlineStr">
        <is>
          <t>1</t>
        </is>
      </c>
      <c r="B115" s="22">
        <f>IF('Brouillard ventes'!$F$43="","","VD"&amp;TEXT(ROW('Brouillard ventes'!$F$43)-5,"00000"))</f>
        <v/>
      </c>
      <c r="C115" s="22">
        <f>IF('Brouillard ventes'!$F$43="","",YEAR('Brouillard ventes'!$A$43)*10000+MONTH('Brouillard ventes'!$A$43)*100+DAY('Brouillard ventes'!$A$43))</f>
        <v/>
      </c>
      <c r="D115" s="22">
        <f>IF('Brouillard ventes'!$F$43="","",'Brouillard ventes'!$B$43)</f>
        <v/>
      </c>
      <c r="E115" s="22">
        <f>IF('Brouillard ventes'!$F$43="","",LEFT('Brouillard ventes'!$D$43,30))</f>
        <v/>
      </c>
      <c r="F115" s="22" t="inlineStr">
        <is>
          <t>15001</t>
        </is>
      </c>
      <c r="G115" s="22">
        <f>IF('Brouillard ventes'!$F$43="","",Paramètres!$B$10)</f>
        <v/>
      </c>
      <c r="H115" s="22" t="inlineStr"/>
      <c r="I115" s="22" t="inlineStr"/>
      <c r="J115" s="22" t="inlineStr"/>
      <c r="K115" s="22">
        <f>IF('Brouillard ventes'!$F$43="","",Paramètres!$B$11)</f>
        <v/>
      </c>
      <c r="L115" s="23" t="n">
        <v>0</v>
      </c>
      <c r="M115" s="23">
        <f>IF('Brouillard ventes'!$F$43="","",'Brouillard ventes'!$H$43)</f>
        <v/>
      </c>
    </row>
    <row r="116">
      <c r="A116" s="22" t="inlineStr">
        <is>
          <t>1</t>
        </is>
      </c>
      <c r="B116" s="22">
        <f>IF('Brouillard ventes'!$F$44="","","VD"&amp;TEXT(ROW('Brouillard ventes'!$F$44)-5,"00000"))</f>
        <v/>
      </c>
      <c r="C116" s="22">
        <f>IF('Brouillard ventes'!$F$44="","",YEAR('Brouillard ventes'!$A$44)*10000+MONTH('Brouillard ventes'!$A$44)*100+DAY('Brouillard ventes'!$A$44))</f>
        <v/>
      </c>
      <c r="D116" s="22">
        <f>IF('Brouillard ventes'!$F$44="","",'Brouillard ventes'!$B$44)</f>
        <v/>
      </c>
      <c r="E116" s="22">
        <f>IF('Brouillard ventes'!$F$44="","",LEFT('Brouillard ventes'!$D$44,30))</f>
        <v/>
      </c>
      <c r="F116" s="22" t="inlineStr">
        <is>
          <t>15001</t>
        </is>
      </c>
      <c r="G116" s="22">
        <f>IF('Brouillard ventes'!$F$44="","",Paramètres!$B$7)</f>
        <v/>
      </c>
      <c r="H116" s="22">
        <f>IF('Brouillard ventes'!$F$44="","",IF('Brouillard ventes'!$C$44="","CD001",'Brouillard ventes'!$C$44))</f>
        <v/>
      </c>
      <c r="I116" s="22" t="inlineStr"/>
      <c r="J116" s="22" t="inlineStr"/>
      <c r="K116" s="22">
        <f>IF('Brouillard ventes'!$F$44="","",Paramètres!$B$11)</f>
        <v/>
      </c>
      <c r="L116" s="23">
        <f>IF('Brouillard ventes'!$F$44="","",'Brouillard ventes'!$I$44)</f>
        <v/>
      </c>
      <c r="M116" s="23" t="n">
        <v>0</v>
      </c>
    </row>
    <row r="117">
      <c r="A117" s="22" t="inlineStr">
        <is>
          <t>1</t>
        </is>
      </c>
      <c r="B117" s="22">
        <f>IF('Brouillard ventes'!$F$44="","","VD"&amp;TEXT(ROW('Brouillard ventes'!$F$44)-5,"00000"))</f>
        <v/>
      </c>
      <c r="C117" s="22">
        <f>IF('Brouillard ventes'!$F$44="","",YEAR('Brouillard ventes'!$A$44)*10000+MONTH('Brouillard ventes'!$A$44)*100+DAY('Brouillard ventes'!$A$44))</f>
        <v/>
      </c>
      <c r="D117" s="22">
        <f>IF('Brouillard ventes'!$F$44="","",'Brouillard ventes'!$B$44)</f>
        <v/>
      </c>
      <c r="E117" s="22">
        <f>IF('Brouillard ventes'!$F$44="","",LEFT('Brouillard ventes'!$D$44,30))</f>
        <v/>
      </c>
      <c r="F117" s="22" t="inlineStr">
        <is>
          <t>15001</t>
        </is>
      </c>
      <c r="G117" s="22">
        <f>IF('Brouillard ventes'!$F$44="","",IF('Brouillard ventes'!$E$44="Réparation",Paramètres!$B$9,Paramètres!$B$8))</f>
        <v/>
      </c>
      <c r="H117" s="22" t="inlineStr"/>
      <c r="I117" s="22" t="inlineStr"/>
      <c r="J117" s="22" t="inlineStr"/>
      <c r="K117" s="22">
        <f>IF('Brouillard ventes'!$F$44="","",Paramètres!$B$11)</f>
        <v/>
      </c>
      <c r="L117" s="23" t="n">
        <v>0</v>
      </c>
      <c r="M117" s="23">
        <f>IF('Brouillard ventes'!$F$44="","",'Brouillard ventes'!$F$44)</f>
        <v/>
      </c>
    </row>
    <row r="118">
      <c r="A118" s="22" t="inlineStr">
        <is>
          <t>1</t>
        </is>
      </c>
      <c r="B118" s="22">
        <f>IF('Brouillard ventes'!$F$44="","","VD"&amp;TEXT(ROW('Brouillard ventes'!$F$44)-5,"00000"))</f>
        <v/>
      </c>
      <c r="C118" s="22">
        <f>IF('Brouillard ventes'!$F$44="","",YEAR('Brouillard ventes'!$A$44)*10000+MONTH('Brouillard ventes'!$A$44)*100+DAY('Brouillard ventes'!$A$44))</f>
        <v/>
      </c>
      <c r="D118" s="22">
        <f>IF('Brouillard ventes'!$F$44="","",'Brouillard ventes'!$B$44)</f>
        <v/>
      </c>
      <c r="E118" s="22">
        <f>IF('Brouillard ventes'!$F$44="","",LEFT('Brouillard ventes'!$D$44,30))</f>
        <v/>
      </c>
      <c r="F118" s="22" t="inlineStr">
        <is>
          <t>15001</t>
        </is>
      </c>
      <c r="G118" s="22">
        <f>IF('Brouillard ventes'!$F$44="","",Paramètres!$B$10)</f>
        <v/>
      </c>
      <c r="H118" s="22" t="inlineStr"/>
      <c r="I118" s="22" t="inlineStr"/>
      <c r="J118" s="22" t="inlineStr"/>
      <c r="K118" s="22">
        <f>IF('Brouillard ventes'!$F$44="","",Paramètres!$B$11)</f>
        <v/>
      </c>
      <c r="L118" s="23" t="n">
        <v>0</v>
      </c>
      <c r="M118" s="23">
        <f>IF('Brouillard ventes'!$F$44="","",'Brouillard ventes'!$H$44)</f>
        <v/>
      </c>
    </row>
    <row r="119">
      <c r="A119" s="22" t="inlineStr">
        <is>
          <t>1</t>
        </is>
      </c>
      <c r="B119" s="22">
        <f>IF('Brouillard ventes'!$F$45="","","VD"&amp;TEXT(ROW('Brouillard ventes'!$F$45)-5,"00000"))</f>
        <v/>
      </c>
      <c r="C119" s="22">
        <f>IF('Brouillard ventes'!$F$45="","",YEAR('Brouillard ventes'!$A$45)*10000+MONTH('Brouillard ventes'!$A$45)*100+DAY('Brouillard ventes'!$A$45))</f>
        <v/>
      </c>
      <c r="D119" s="22">
        <f>IF('Brouillard ventes'!$F$45="","",'Brouillard ventes'!$B$45)</f>
        <v/>
      </c>
      <c r="E119" s="22">
        <f>IF('Brouillard ventes'!$F$45="","",LEFT('Brouillard ventes'!$D$45,30))</f>
        <v/>
      </c>
      <c r="F119" s="22" t="inlineStr">
        <is>
          <t>15001</t>
        </is>
      </c>
      <c r="G119" s="22">
        <f>IF('Brouillard ventes'!$F$45="","",Paramètres!$B$7)</f>
        <v/>
      </c>
      <c r="H119" s="22">
        <f>IF('Brouillard ventes'!$F$45="","",IF('Brouillard ventes'!$C$45="","CD001",'Brouillard ventes'!$C$45))</f>
        <v/>
      </c>
      <c r="I119" s="22" t="inlineStr"/>
      <c r="J119" s="22" t="inlineStr"/>
      <c r="K119" s="22">
        <f>IF('Brouillard ventes'!$F$45="","",Paramètres!$B$11)</f>
        <v/>
      </c>
      <c r="L119" s="23">
        <f>IF('Brouillard ventes'!$F$45="","",'Brouillard ventes'!$I$45)</f>
        <v/>
      </c>
      <c r="M119" s="23" t="n">
        <v>0</v>
      </c>
    </row>
    <row r="120">
      <c r="A120" s="22" t="inlineStr">
        <is>
          <t>1</t>
        </is>
      </c>
      <c r="B120" s="22">
        <f>IF('Brouillard ventes'!$F$45="","","VD"&amp;TEXT(ROW('Brouillard ventes'!$F$45)-5,"00000"))</f>
        <v/>
      </c>
      <c r="C120" s="22">
        <f>IF('Brouillard ventes'!$F$45="","",YEAR('Brouillard ventes'!$A$45)*10000+MONTH('Brouillard ventes'!$A$45)*100+DAY('Brouillard ventes'!$A$45))</f>
        <v/>
      </c>
      <c r="D120" s="22">
        <f>IF('Brouillard ventes'!$F$45="","",'Brouillard ventes'!$B$45)</f>
        <v/>
      </c>
      <c r="E120" s="22">
        <f>IF('Brouillard ventes'!$F$45="","",LEFT('Brouillard ventes'!$D$45,30))</f>
        <v/>
      </c>
      <c r="F120" s="22" t="inlineStr">
        <is>
          <t>15001</t>
        </is>
      </c>
      <c r="G120" s="22">
        <f>IF('Brouillard ventes'!$F$45="","",IF('Brouillard ventes'!$E$45="Réparation",Paramètres!$B$9,Paramètres!$B$8))</f>
        <v/>
      </c>
      <c r="H120" s="22" t="inlineStr"/>
      <c r="I120" s="22" t="inlineStr"/>
      <c r="J120" s="22" t="inlineStr"/>
      <c r="K120" s="22">
        <f>IF('Brouillard ventes'!$F$45="","",Paramètres!$B$11)</f>
        <v/>
      </c>
      <c r="L120" s="23" t="n">
        <v>0</v>
      </c>
      <c r="M120" s="23">
        <f>IF('Brouillard ventes'!$F$45="","",'Brouillard ventes'!$F$45)</f>
        <v/>
      </c>
    </row>
    <row r="121">
      <c r="A121" s="22" t="inlineStr">
        <is>
          <t>1</t>
        </is>
      </c>
      <c r="B121" s="22">
        <f>IF('Brouillard ventes'!$F$45="","","VD"&amp;TEXT(ROW('Brouillard ventes'!$F$45)-5,"00000"))</f>
        <v/>
      </c>
      <c r="C121" s="22">
        <f>IF('Brouillard ventes'!$F$45="","",YEAR('Brouillard ventes'!$A$45)*10000+MONTH('Brouillard ventes'!$A$45)*100+DAY('Brouillard ventes'!$A$45))</f>
        <v/>
      </c>
      <c r="D121" s="22">
        <f>IF('Brouillard ventes'!$F$45="","",'Brouillard ventes'!$B$45)</f>
        <v/>
      </c>
      <c r="E121" s="22">
        <f>IF('Brouillard ventes'!$F$45="","",LEFT('Brouillard ventes'!$D$45,30))</f>
        <v/>
      </c>
      <c r="F121" s="22" t="inlineStr">
        <is>
          <t>15001</t>
        </is>
      </c>
      <c r="G121" s="22">
        <f>IF('Brouillard ventes'!$F$45="","",Paramètres!$B$10)</f>
        <v/>
      </c>
      <c r="H121" s="22" t="inlineStr"/>
      <c r="I121" s="22" t="inlineStr"/>
      <c r="J121" s="22" t="inlineStr"/>
      <c r="K121" s="22">
        <f>IF('Brouillard ventes'!$F$45="","",Paramètres!$B$11)</f>
        <v/>
      </c>
      <c r="L121" s="23" t="n">
        <v>0</v>
      </c>
      <c r="M121" s="23">
        <f>IF('Brouillard ventes'!$F$45="","",'Brouillard ventes'!$H$45)</f>
        <v/>
      </c>
    </row>
    <row r="122">
      <c r="A122" s="22" t="inlineStr">
        <is>
          <t>1</t>
        </is>
      </c>
      <c r="B122" s="22">
        <f>IF('Brouillard ventes'!$F$46="","","VD"&amp;TEXT(ROW('Brouillard ventes'!$F$46)-5,"00000"))</f>
        <v/>
      </c>
      <c r="C122" s="22">
        <f>IF('Brouillard ventes'!$F$46="","",YEAR('Brouillard ventes'!$A$46)*10000+MONTH('Brouillard ventes'!$A$46)*100+DAY('Brouillard ventes'!$A$46))</f>
        <v/>
      </c>
      <c r="D122" s="22">
        <f>IF('Brouillard ventes'!$F$46="","",'Brouillard ventes'!$B$46)</f>
        <v/>
      </c>
      <c r="E122" s="22">
        <f>IF('Brouillard ventes'!$F$46="","",LEFT('Brouillard ventes'!$D$46,30))</f>
        <v/>
      </c>
      <c r="F122" s="22" t="inlineStr">
        <is>
          <t>15001</t>
        </is>
      </c>
      <c r="G122" s="22">
        <f>IF('Brouillard ventes'!$F$46="","",Paramètres!$B$7)</f>
        <v/>
      </c>
      <c r="H122" s="22">
        <f>IF('Brouillard ventes'!$F$46="","",IF('Brouillard ventes'!$C$46="","CD001",'Brouillard ventes'!$C$46))</f>
        <v/>
      </c>
      <c r="I122" s="22" t="inlineStr"/>
      <c r="J122" s="22" t="inlineStr"/>
      <c r="K122" s="22">
        <f>IF('Brouillard ventes'!$F$46="","",Paramètres!$B$11)</f>
        <v/>
      </c>
      <c r="L122" s="23">
        <f>IF('Brouillard ventes'!$F$46="","",'Brouillard ventes'!$I$46)</f>
        <v/>
      </c>
      <c r="M122" s="23" t="n">
        <v>0</v>
      </c>
    </row>
    <row r="123">
      <c r="A123" s="22" t="inlineStr">
        <is>
          <t>1</t>
        </is>
      </c>
      <c r="B123" s="22">
        <f>IF('Brouillard ventes'!$F$46="","","VD"&amp;TEXT(ROW('Brouillard ventes'!$F$46)-5,"00000"))</f>
        <v/>
      </c>
      <c r="C123" s="22">
        <f>IF('Brouillard ventes'!$F$46="","",YEAR('Brouillard ventes'!$A$46)*10000+MONTH('Brouillard ventes'!$A$46)*100+DAY('Brouillard ventes'!$A$46))</f>
        <v/>
      </c>
      <c r="D123" s="22">
        <f>IF('Brouillard ventes'!$F$46="","",'Brouillard ventes'!$B$46)</f>
        <v/>
      </c>
      <c r="E123" s="22">
        <f>IF('Brouillard ventes'!$F$46="","",LEFT('Brouillard ventes'!$D$46,30))</f>
        <v/>
      </c>
      <c r="F123" s="22" t="inlineStr">
        <is>
          <t>15001</t>
        </is>
      </c>
      <c r="G123" s="22">
        <f>IF('Brouillard ventes'!$F$46="","",IF('Brouillard ventes'!$E$46="Réparation",Paramètres!$B$9,Paramètres!$B$8))</f>
        <v/>
      </c>
      <c r="H123" s="22" t="inlineStr"/>
      <c r="I123" s="22" t="inlineStr"/>
      <c r="J123" s="22" t="inlineStr"/>
      <c r="K123" s="22">
        <f>IF('Brouillard ventes'!$F$46="","",Paramètres!$B$11)</f>
        <v/>
      </c>
      <c r="L123" s="23" t="n">
        <v>0</v>
      </c>
      <c r="M123" s="23">
        <f>IF('Brouillard ventes'!$F$46="","",'Brouillard ventes'!$F$46)</f>
        <v/>
      </c>
    </row>
    <row r="124">
      <c r="A124" s="22" t="inlineStr">
        <is>
          <t>1</t>
        </is>
      </c>
      <c r="B124" s="22">
        <f>IF('Brouillard ventes'!$F$46="","","VD"&amp;TEXT(ROW('Brouillard ventes'!$F$46)-5,"00000"))</f>
        <v/>
      </c>
      <c r="C124" s="22">
        <f>IF('Brouillard ventes'!$F$46="","",YEAR('Brouillard ventes'!$A$46)*10000+MONTH('Brouillard ventes'!$A$46)*100+DAY('Brouillard ventes'!$A$46))</f>
        <v/>
      </c>
      <c r="D124" s="22">
        <f>IF('Brouillard ventes'!$F$46="","",'Brouillard ventes'!$B$46)</f>
        <v/>
      </c>
      <c r="E124" s="22">
        <f>IF('Brouillard ventes'!$F$46="","",LEFT('Brouillard ventes'!$D$46,30))</f>
        <v/>
      </c>
      <c r="F124" s="22" t="inlineStr">
        <is>
          <t>15001</t>
        </is>
      </c>
      <c r="G124" s="22">
        <f>IF('Brouillard ventes'!$F$46="","",Paramètres!$B$10)</f>
        <v/>
      </c>
      <c r="H124" s="22" t="inlineStr"/>
      <c r="I124" s="22" t="inlineStr"/>
      <c r="J124" s="22" t="inlineStr"/>
      <c r="K124" s="22">
        <f>IF('Brouillard ventes'!$F$46="","",Paramètres!$B$11)</f>
        <v/>
      </c>
      <c r="L124" s="23" t="n">
        <v>0</v>
      </c>
      <c r="M124" s="23">
        <f>IF('Brouillard ventes'!$F$46="","",'Brouillard ventes'!$H$46)</f>
        <v/>
      </c>
    </row>
    <row r="125">
      <c r="A125" s="22" t="inlineStr">
        <is>
          <t>1</t>
        </is>
      </c>
      <c r="B125" s="22">
        <f>IF('Brouillard ventes'!$F$47="","","VD"&amp;TEXT(ROW('Brouillard ventes'!$F$47)-5,"00000"))</f>
        <v/>
      </c>
      <c r="C125" s="22">
        <f>IF('Brouillard ventes'!$F$47="","",YEAR('Brouillard ventes'!$A$47)*10000+MONTH('Brouillard ventes'!$A$47)*100+DAY('Brouillard ventes'!$A$47))</f>
        <v/>
      </c>
      <c r="D125" s="22">
        <f>IF('Brouillard ventes'!$F$47="","",'Brouillard ventes'!$B$47)</f>
        <v/>
      </c>
      <c r="E125" s="22">
        <f>IF('Brouillard ventes'!$F$47="","",LEFT('Brouillard ventes'!$D$47,30))</f>
        <v/>
      </c>
      <c r="F125" s="22" t="inlineStr">
        <is>
          <t>15001</t>
        </is>
      </c>
      <c r="G125" s="22">
        <f>IF('Brouillard ventes'!$F$47="","",Paramètres!$B$7)</f>
        <v/>
      </c>
      <c r="H125" s="22">
        <f>IF('Brouillard ventes'!$F$47="","",IF('Brouillard ventes'!$C$47="","CD001",'Brouillard ventes'!$C$47))</f>
        <v/>
      </c>
      <c r="I125" s="22" t="inlineStr"/>
      <c r="J125" s="22" t="inlineStr"/>
      <c r="K125" s="22">
        <f>IF('Brouillard ventes'!$F$47="","",Paramètres!$B$11)</f>
        <v/>
      </c>
      <c r="L125" s="23">
        <f>IF('Brouillard ventes'!$F$47="","",'Brouillard ventes'!$I$47)</f>
        <v/>
      </c>
      <c r="M125" s="23" t="n">
        <v>0</v>
      </c>
    </row>
    <row r="126">
      <c r="A126" s="22" t="inlineStr">
        <is>
          <t>1</t>
        </is>
      </c>
      <c r="B126" s="22">
        <f>IF('Brouillard ventes'!$F$47="","","VD"&amp;TEXT(ROW('Brouillard ventes'!$F$47)-5,"00000"))</f>
        <v/>
      </c>
      <c r="C126" s="22">
        <f>IF('Brouillard ventes'!$F$47="","",YEAR('Brouillard ventes'!$A$47)*10000+MONTH('Brouillard ventes'!$A$47)*100+DAY('Brouillard ventes'!$A$47))</f>
        <v/>
      </c>
      <c r="D126" s="22">
        <f>IF('Brouillard ventes'!$F$47="","",'Brouillard ventes'!$B$47)</f>
        <v/>
      </c>
      <c r="E126" s="22">
        <f>IF('Brouillard ventes'!$F$47="","",LEFT('Brouillard ventes'!$D$47,30))</f>
        <v/>
      </c>
      <c r="F126" s="22" t="inlineStr">
        <is>
          <t>15001</t>
        </is>
      </c>
      <c r="G126" s="22">
        <f>IF('Brouillard ventes'!$F$47="","",IF('Brouillard ventes'!$E$47="Réparation",Paramètres!$B$9,Paramètres!$B$8))</f>
        <v/>
      </c>
      <c r="H126" s="22" t="inlineStr"/>
      <c r="I126" s="22" t="inlineStr"/>
      <c r="J126" s="22" t="inlineStr"/>
      <c r="K126" s="22">
        <f>IF('Brouillard ventes'!$F$47="","",Paramètres!$B$11)</f>
        <v/>
      </c>
      <c r="L126" s="23" t="n">
        <v>0</v>
      </c>
      <c r="M126" s="23">
        <f>IF('Brouillard ventes'!$F$47="","",'Brouillard ventes'!$F$47)</f>
        <v/>
      </c>
    </row>
    <row r="127">
      <c r="A127" s="22" t="inlineStr">
        <is>
          <t>1</t>
        </is>
      </c>
      <c r="B127" s="22">
        <f>IF('Brouillard ventes'!$F$47="","","VD"&amp;TEXT(ROW('Brouillard ventes'!$F$47)-5,"00000"))</f>
        <v/>
      </c>
      <c r="C127" s="22">
        <f>IF('Brouillard ventes'!$F$47="","",YEAR('Brouillard ventes'!$A$47)*10000+MONTH('Brouillard ventes'!$A$47)*100+DAY('Brouillard ventes'!$A$47))</f>
        <v/>
      </c>
      <c r="D127" s="22">
        <f>IF('Brouillard ventes'!$F$47="","",'Brouillard ventes'!$B$47)</f>
        <v/>
      </c>
      <c r="E127" s="22">
        <f>IF('Brouillard ventes'!$F$47="","",LEFT('Brouillard ventes'!$D$47,30))</f>
        <v/>
      </c>
      <c r="F127" s="22" t="inlineStr">
        <is>
          <t>15001</t>
        </is>
      </c>
      <c r="G127" s="22">
        <f>IF('Brouillard ventes'!$F$47="","",Paramètres!$B$10)</f>
        <v/>
      </c>
      <c r="H127" s="22" t="inlineStr"/>
      <c r="I127" s="22" t="inlineStr"/>
      <c r="J127" s="22" t="inlineStr"/>
      <c r="K127" s="22">
        <f>IF('Brouillard ventes'!$F$47="","",Paramètres!$B$11)</f>
        <v/>
      </c>
      <c r="L127" s="23" t="n">
        <v>0</v>
      </c>
      <c r="M127" s="23">
        <f>IF('Brouillard ventes'!$F$47="","",'Brouillard ventes'!$H$47)</f>
        <v/>
      </c>
    </row>
    <row r="128">
      <c r="A128" s="22" t="inlineStr">
        <is>
          <t>1</t>
        </is>
      </c>
      <c r="B128" s="22">
        <f>IF('Brouillard ventes'!$F$48="","","VD"&amp;TEXT(ROW('Brouillard ventes'!$F$48)-5,"00000"))</f>
        <v/>
      </c>
      <c r="C128" s="22">
        <f>IF('Brouillard ventes'!$F$48="","",YEAR('Brouillard ventes'!$A$48)*10000+MONTH('Brouillard ventes'!$A$48)*100+DAY('Brouillard ventes'!$A$48))</f>
        <v/>
      </c>
      <c r="D128" s="22">
        <f>IF('Brouillard ventes'!$F$48="","",'Brouillard ventes'!$B$48)</f>
        <v/>
      </c>
      <c r="E128" s="22">
        <f>IF('Brouillard ventes'!$F$48="","",LEFT('Brouillard ventes'!$D$48,30))</f>
        <v/>
      </c>
      <c r="F128" s="22" t="inlineStr">
        <is>
          <t>15001</t>
        </is>
      </c>
      <c r="G128" s="22">
        <f>IF('Brouillard ventes'!$F$48="","",Paramètres!$B$7)</f>
        <v/>
      </c>
      <c r="H128" s="22">
        <f>IF('Brouillard ventes'!$F$48="","",IF('Brouillard ventes'!$C$48="","CD001",'Brouillard ventes'!$C$48))</f>
        <v/>
      </c>
      <c r="I128" s="22" t="inlineStr"/>
      <c r="J128" s="22" t="inlineStr"/>
      <c r="K128" s="22">
        <f>IF('Brouillard ventes'!$F$48="","",Paramètres!$B$11)</f>
        <v/>
      </c>
      <c r="L128" s="23">
        <f>IF('Brouillard ventes'!$F$48="","",'Brouillard ventes'!$I$48)</f>
        <v/>
      </c>
      <c r="M128" s="23" t="n">
        <v>0</v>
      </c>
    </row>
    <row r="129">
      <c r="A129" s="22" t="inlineStr">
        <is>
          <t>1</t>
        </is>
      </c>
      <c r="B129" s="22">
        <f>IF('Brouillard ventes'!$F$48="","","VD"&amp;TEXT(ROW('Brouillard ventes'!$F$48)-5,"00000"))</f>
        <v/>
      </c>
      <c r="C129" s="22">
        <f>IF('Brouillard ventes'!$F$48="","",YEAR('Brouillard ventes'!$A$48)*10000+MONTH('Brouillard ventes'!$A$48)*100+DAY('Brouillard ventes'!$A$48))</f>
        <v/>
      </c>
      <c r="D129" s="22">
        <f>IF('Brouillard ventes'!$F$48="","",'Brouillard ventes'!$B$48)</f>
        <v/>
      </c>
      <c r="E129" s="22">
        <f>IF('Brouillard ventes'!$F$48="","",LEFT('Brouillard ventes'!$D$48,30))</f>
        <v/>
      </c>
      <c r="F129" s="22" t="inlineStr">
        <is>
          <t>15001</t>
        </is>
      </c>
      <c r="G129" s="22">
        <f>IF('Brouillard ventes'!$F$48="","",IF('Brouillard ventes'!$E$48="Réparation",Paramètres!$B$9,Paramètres!$B$8))</f>
        <v/>
      </c>
      <c r="H129" s="22" t="inlineStr"/>
      <c r="I129" s="22" t="inlineStr"/>
      <c r="J129" s="22" t="inlineStr"/>
      <c r="K129" s="22">
        <f>IF('Brouillard ventes'!$F$48="","",Paramètres!$B$11)</f>
        <v/>
      </c>
      <c r="L129" s="23" t="n">
        <v>0</v>
      </c>
      <c r="M129" s="23">
        <f>IF('Brouillard ventes'!$F$48="","",'Brouillard ventes'!$F$48)</f>
        <v/>
      </c>
    </row>
    <row r="130">
      <c r="A130" s="22" t="inlineStr">
        <is>
          <t>1</t>
        </is>
      </c>
      <c r="B130" s="22">
        <f>IF('Brouillard ventes'!$F$48="","","VD"&amp;TEXT(ROW('Brouillard ventes'!$F$48)-5,"00000"))</f>
        <v/>
      </c>
      <c r="C130" s="22">
        <f>IF('Brouillard ventes'!$F$48="","",YEAR('Brouillard ventes'!$A$48)*10000+MONTH('Brouillard ventes'!$A$48)*100+DAY('Brouillard ventes'!$A$48))</f>
        <v/>
      </c>
      <c r="D130" s="22">
        <f>IF('Brouillard ventes'!$F$48="","",'Brouillard ventes'!$B$48)</f>
        <v/>
      </c>
      <c r="E130" s="22">
        <f>IF('Brouillard ventes'!$F$48="","",LEFT('Brouillard ventes'!$D$48,30))</f>
        <v/>
      </c>
      <c r="F130" s="22" t="inlineStr">
        <is>
          <t>15001</t>
        </is>
      </c>
      <c r="G130" s="22">
        <f>IF('Brouillard ventes'!$F$48="","",Paramètres!$B$10)</f>
        <v/>
      </c>
      <c r="H130" s="22" t="inlineStr"/>
      <c r="I130" s="22" t="inlineStr"/>
      <c r="J130" s="22" t="inlineStr"/>
      <c r="K130" s="22">
        <f>IF('Brouillard ventes'!$F$48="","",Paramètres!$B$11)</f>
        <v/>
      </c>
      <c r="L130" s="23" t="n">
        <v>0</v>
      </c>
      <c r="M130" s="23">
        <f>IF('Brouillard ventes'!$F$48="","",'Brouillard ventes'!$H$48)</f>
        <v/>
      </c>
    </row>
    <row r="131">
      <c r="A131" s="22" t="inlineStr">
        <is>
          <t>1</t>
        </is>
      </c>
      <c r="B131" s="22">
        <f>IF('Brouillard ventes'!$F$49="","","VD"&amp;TEXT(ROW('Brouillard ventes'!$F$49)-5,"00000"))</f>
        <v/>
      </c>
      <c r="C131" s="22">
        <f>IF('Brouillard ventes'!$F$49="","",YEAR('Brouillard ventes'!$A$49)*10000+MONTH('Brouillard ventes'!$A$49)*100+DAY('Brouillard ventes'!$A$49))</f>
        <v/>
      </c>
      <c r="D131" s="22">
        <f>IF('Brouillard ventes'!$F$49="","",'Brouillard ventes'!$B$49)</f>
        <v/>
      </c>
      <c r="E131" s="22">
        <f>IF('Brouillard ventes'!$F$49="","",LEFT('Brouillard ventes'!$D$49,30))</f>
        <v/>
      </c>
      <c r="F131" s="22" t="inlineStr">
        <is>
          <t>15001</t>
        </is>
      </c>
      <c r="G131" s="22">
        <f>IF('Brouillard ventes'!$F$49="","",Paramètres!$B$7)</f>
        <v/>
      </c>
      <c r="H131" s="22">
        <f>IF('Brouillard ventes'!$F$49="","",IF('Brouillard ventes'!$C$49="","CD001",'Brouillard ventes'!$C$49))</f>
        <v/>
      </c>
      <c r="I131" s="22" t="inlineStr"/>
      <c r="J131" s="22" t="inlineStr"/>
      <c r="K131" s="22">
        <f>IF('Brouillard ventes'!$F$49="","",Paramètres!$B$11)</f>
        <v/>
      </c>
      <c r="L131" s="23">
        <f>IF('Brouillard ventes'!$F$49="","",'Brouillard ventes'!$I$49)</f>
        <v/>
      </c>
      <c r="M131" s="23" t="n">
        <v>0</v>
      </c>
    </row>
    <row r="132">
      <c r="A132" s="22" t="inlineStr">
        <is>
          <t>1</t>
        </is>
      </c>
      <c r="B132" s="22">
        <f>IF('Brouillard ventes'!$F$49="","","VD"&amp;TEXT(ROW('Brouillard ventes'!$F$49)-5,"00000"))</f>
        <v/>
      </c>
      <c r="C132" s="22">
        <f>IF('Brouillard ventes'!$F$49="","",YEAR('Brouillard ventes'!$A$49)*10000+MONTH('Brouillard ventes'!$A$49)*100+DAY('Brouillard ventes'!$A$49))</f>
        <v/>
      </c>
      <c r="D132" s="22">
        <f>IF('Brouillard ventes'!$F$49="","",'Brouillard ventes'!$B$49)</f>
        <v/>
      </c>
      <c r="E132" s="22">
        <f>IF('Brouillard ventes'!$F$49="","",LEFT('Brouillard ventes'!$D$49,30))</f>
        <v/>
      </c>
      <c r="F132" s="22" t="inlineStr">
        <is>
          <t>15001</t>
        </is>
      </c>
      <c r="G132" s="22">
        <f>IF('Brouillard ventes'!$F$49="","",IF('Brouillard ventes'!$E$49="Réparation",Paramètres!$B$9,Paramètres!$B$8))</f>
        <v/>
      </c>
      <c r="H132" s="22" t="inlineStr"/>
      <c r="I132" s="22" t="inlineStr"/>
      <c r="J132" s="22" t="inlineStr"/>
      <c r="K132" s="22">
        <f>IF('Brouillard ventes'!$F$49="","",Paramètres!$B$11)</f>
        <v/>
      </c>
      <c r="L132" s="23" t="n">
        <v>0</v>
      </c>
      <c r="M132" s="23">
        <f>IF('Brouillard ventes'!$F$49="","",'Brouillard ventes'!$F$49)</f>
        <v/>
      </c>
    </row>
    <row r="133">
      <c r="A133" s="22" t="inlineStr">
        <is>
          <t>1</t>
        </is>
      </c>
      <c r="B133" s="22">
        <f>IF('Brouillard ventes'!$F$49="","","VD"&amp;TEXT(ROW('Brouillard ventes'!$F$49)-5,"00000"))</f>
        <v/>
      </c>
      <c r="C133" s="22">
        <f>IF('Brouillard ventes'!$F$49="","",YEAR('Brouillard ventes'!$A$49)*10000+MONTH('Brouillard ventes'!$A$49)*100+DAY('Brouillard ventes'!$A$49))</f>
        <v/>
      </c>
      <c r="D133" s="22">
        <f>IF('Brouillard ventes'!$F$49="","",'Brouillard ventes'!$B$49)</f>
        <v/>
      </c>
      <c r="E133" s="22">
        <f>IF('Brouillard ventes'!$F$49="","",LEFT('Brouillard ventes'!$D$49,30))</f>
        <v/>
      </c>
      <c r="F133" s="22" t="inlineStr">
        <is>
          <t>15001</t>
        </is>
      </c>
      <c r="G133" s="22">
        <f>IF('Brouillard ventes'!$F$49="","",Paramètres!$B$10)</f>
        <v/>
      </c>
      <c r="H133" s="22" t="inlineStr"/>
      <c r="I133" s="22" t="inlineStr"/>
      <c r="J133" s="22" t="inlineStr"/>
      <c r="K133" s="22">
        <f>IF('Brouillard ventes'!$F$49="","",Paramètres!$B$11)</f>
        <v/>
      </c>
      <c r="L133" s="23" t="n">
        <v>0</v>
      </c>
      <c r="M133" s="23">
        <f>IF('Brouillard ventes'!$F$49="","",'Brouillard ventes'!$H$49)</f>
        <v/>
      </c>
    </row>
    <row r="134">
      <c r="A134" s="22" t="inlineStr">
        <is>
          <t>1</t>
        </is>
      </c>
      <c r="B134" s="22">
        <f>IF('Brouillard ventes'!$F$50="","","VD"&amp;TEXT(ROW('Brouillard ventes'!$F$50)-5,"00000"))</f>
        <v/>
      </c>
      <c r="C134" s="22">
        <f>IF('Brouillard ventes'!$F$50="","",YEAR('Brouillard ventes'!$A$50)*10000+MONTH('Brouillard ventes'!$A$50)*100+DAY('Brouillard ventes'!$A$50))</f>
        <v/>
      </c>
      <c r="D134" s="22">
        <f>IF('Brouillard ventes'!$F$50="","",'Brouillard ventes'!$B$50)</f>
        <v/>
      </c>
      <c r="E134" s="22">
        <f>IF('Brouillard ventes'!$F$50="","",LEFT('Brouillard ventes'!$D$50,30))</f>
        <v/>
      </c>
      <c r="F134" s="22" t="inlineStr">
        <is>
          <t>15001</t>
        </is>
      </c>
      <c r="G134" s="22">
        <f>IF('Brouillard ventes'!$F$50="","",Paramètres!$B$7)</f>
        <v/>
      </c>
      <c r="H134" s="22">
        <f>IF('Brouillard ventes'!$F$50="","",IF('Brouillard ventes'!$C$50="","CD001",'Brouillard ventes'!$C$50))</f>
        <v/>
      </c>
      <c r="I134" s="22" t="inlineStr"/>
      <c r="J134" s="22" t="inlineStr"/>
      <c r="K134" s="22">
        <f>IF('Brouillard ventes'!$F$50="","",Paramètres!$B$11)</f>
        <v/>
      </c>
      <c r="L134" s="23">
        <f>IF('Brouillard ventes'!$F$50="","",'Brouillard ventes'!$I$50)</f>
        <v/>
      </c>
      <c r="M134" s="23" t="n">
        <v>0</v>
      </c>
    </row>
    <row r="135">
      <c r="A135" s="22" t="inlineStr">
        <is>
          <t>1</t>
        </is>
      </c>
      <c r="B135" s="22">
        <f>IF('Brouillard ventes'!$F$50="","","VD"&amp;TEXT(ROW('Brouillard ventes'!$F$50)-5,"00000"))</f>
        <v/>
      </c>
      <c r="C135" s="22">
        <f>IF('Brouillard ventes'!$F$50="","",YEAR('Brouillard ventes'!$A$50)*10000+MONTH('Brouillard ventes'!$A$50)*100+DAY('Brouillard ventes'!$A$50))</f>
        <v/>
      </c>
      <c r="D135" s="22">
        <f>IF('Brouillard ventes'!$F$50="","",'Brouillard ventes'!$B$50)</f>
        <v/>
      </c>
      <c r="E135" s="22">
        <f>IF('Brouillard ventes'!$F$50="","",LEFT('Brouillard ventes'!$D$50,30))</f>
        <v/>
      </c>
      <c r="F135" s="22" t="inlineStr">
        <is>
          <t>15001</t>
        </is>
      </c>
      <c r="G135" s="22">
        <f>IF('Brouillard ventes'!$F$50="","",IF('Brouillard ventes'!$E$50="Réparation",Paramètres!$B$9,Paramètres!$B$8))</f>
        <v/>
      </c>
      <c r="H135" s="22" t="inlineStr"/>
      <c r="I135" s="22" t="inlineStr"/>
      <c r="J135" s="22" t="inlineStr"/>
      <c r="K135" s="22">
        <f>IF('Brouillard ventes'!$F$50="","",Paramètres!$B$11)</f>
        <v/>
      </c>
      <c r="L135" s="23" t="n">
        <v>0</v>
      </c>
      <c r="M135" s="23">
        <f>IF('Brouillard ventes'!$F$50="","",'Brouillard ventes'!$F$50)</f>
        <v/>
      </c>
    </row>
    <row r="136">
      <c r="A136" s="22" t="inlineStr">
        <is>
          <t>1</t>
        </is>
      </c>
      <c r="B136" s="22">
        <f>IF('Brouillard ventes'!$F$50="","","VD"&amp;TEXT(ROW('Brouillard ventes'!$F$50)-5,"00000"))</f>
        <v/>
      </c>
      <c r="C136" s="22">
        <f>IF('Brouillard ventes'!$F$50="","",YEAR('Brouillard ventes'!$A$50)*10000+MONTH('Brouillard ventes'!$A$50)*100+DAY('Brouillard ventes'!$A$50))</f>
        <v/>
      </c>
      <c r="D136" s="22">
        <f>IF('Brouillard ventes'!$F$50="","",'Brouillard ventes'!$B$50)</f>
        <v/>
      </c>
      <c r="E136" s="22">
        <f>IF('Brouillard ventes'!$F$50="","",LEFT('Brouillard ventes'!$D$50,30))</f>
        <v/>
      </c>
      <c r="F136" s="22" t="inlineStr">
        <is>
          <t>15001</t>
        </is>
      </c>
      <c r="G136" s="22">
        <f>IF('Brouillard ventes'!$F$50="","",Paramètres!$B$10)</f>
        <v/>
      </c>
      <c r="H136" s="22" t="inlineStr"/>
      <c r="I136" s="22" t="inlineStr"/>
      <c r="J136" s="22" t="inlineStr"/>
      <c r="K136" s="22">
        <f>IF('Brouillard ventes'!$F$50="","",Paramètres!$B$11)</f>
        <v/>
      </c>
      <c r="L136" s="23" t="n">
        <v>0</v>
      </c>
      <c r="M136" s="23">
        <f>IF('Brouillard ventes'!$F$50="","",'Brouillard ventes'!$H$50)</f>
        <v/>
      </c>
    </row>
    <row r="137">
      <c r="A137" s="22" t="inlineStr">
        <is>
          <t>1</t>
        </is>
      </c>
      <c r="B137" s="22">
        <f>IF('Brouillard ventes'!$F$51="","","VD"&amp;TEXT(ROW('Brouillard ventes'!$F$51)-5,"00000"))</f>
        <v/>
      </c>
      <c r="C137" s="22">
        <f>IF('Brouillard ventes'!$F$51="","",YEAR('Brouillard ventes'!$A$51)*10000+MONTH('Brouillard ventes'!$A$51)*100+DAY('Brouillard ventes'!$A$51))</f>
        <v/>
      </c>
      <c r="D137" s="22">
        <f>IF('Brouillard ventes'!$F$51="","",'Brouillard ventes'!$B$51)</f>
        <v/>
      </c>
      <c r="E137" s="22">
        <f>IF('Brouillard ventes'!$F$51="","",LEFT('Brouillard ventes'!$D$51,30))</f>
        <v/>
      </c>
      <c r="F137" s="22" t="inlineStr">
        <is>
          <t>15001</t>
        </is>
      </c>
      <c r="G137" s="22">
        <f>IF('Brouillard ventes'!$F$51="","",Paramètres!$B$7)</f>
        <v/>
      </c>
      <c r="H137" s="22">
        <f>IF('Brouillard ventes'!$F$51="","",IF('Brouillard ventes'!$C$51="","CD001",'Brouillard ventes'!$C$51))</f>
        <v/>
      </c>
      <c r="I137" s="22" t="inlineStr"/>
      <c r="J137" s="22" t="inlineStr"/>
      <c r="K137" s="22">
        <f>IF('Brouillard ventes'!$F$51="","",Paramètres!$B$11)</f>
        <v/>
      </c>
      <c r="L137" s="23">
        <f>IF('Brouillard ventes'!$F$51="","",'Brouillard ventes'!$I$51)</f>
        <v/>
      </c>
      <c r="M137" s="23" t="n">
        <v>0</v>
      </c>
    </row>
    <row r="138">
      <c r="A138" s="22" t="inlineStr">
        <is>
          <t>1</t>
        </is>
      </c>
      <c r="B138" s="22">
        <f>IF('Brouillard ventes'!$F$51="","","VD"&amp;TEXT(ROW('Brouillard ventes'!$F$51)-5,"00000"))</f>
        <v/>
      </c>
      <c r="C138" s="22">
        <f>IF('Brouillard ventes'!$F$51="","",YEAR('Brouillard ventes'!$A$51)*10000+MONTH('Brouillard ventes'!$A$51)*100+DAY('Brouillard ventes'!$A$51))</f>
        <v/>
      </c>
      <c r="D138" s="22">
        <f>IF('Brouillard ventes'!$F$51="","",'Brouillard ventes'!$B$51)</f>
        <v/>
      </c>
      <c r="E138" s="22">
        <f>IF('Brouillard ventes'!$F$51="","",LEFT('Brouillard ventes'!$D$51,30))</f>
        <v/>
      </c>
      <c r="F138" s="22" t="inlineStr">
        <is>
          <t>15001</t>
        </is>
      </c>
      <c r="G138" s="22">
        <f>IF('Brouillard ventes'!$F$51="","",IF('Brouillard ventes'!$E$51="Réparation",Paramètres!$B$9,Paramètres!$B$8))</f>
        <v/>
      </c>
      <c r="H138" s="22" t="inlineStr"/>
      <c r="I138" s="22" t="inlineStr"/>
      <c r="J138" s="22" t="inlineStr"/>
      <c r="K138" s="22">
        <f>IF('Brouillard ventes'!$F$51="","",Paramètres!$B$11)</f>
        <v/>
      </c>
      <c r="L138" s="23" t="n">
        <v>0</v>
      </c>
      <c r="M138" s="23">
        <f>IF('Brouillard ventes'!$F$51="","",'Brouillard ventes'!$F$51)</f>
        <v/>
      </c>
    </row>
    <row r="139">
      <c r="A139" s="22" t="inlineStr">
        <is>
          <t>1</t>
        </is>
      </c>
      <c r="B139" s="22">
        <f>IF('Brouillard ventes'!$F$51="","","VD"&amp;TEXT(ROW('Brouillard ventes'!$F$51)-5,"00000"))</f>
        <v/>
      </c>
      <c r="C139" s="22">
        <f>IF('Brouillard ventes'!$F$51="","",YEAR('Brouillard ventes'!$A$51)*10000+MONTH('Brouillard ventes'!$A$51)*100+DAY('Brouillard ventes'!$A$51))</f>
        <v/>
      </c>
      <c r="D139" s="22">
        <f>IF('Brouillard ventes'!$F$51="","",'Brouillard ventes'!$B$51)</f>
        <v/>
      </c>
      <c r="E139" s="22">
        <f>IF('Brouillard ventes'!$F$51="","",LEFT('Brouillard ventes'!$D$51,30))</f>
        <v/>
      </c>
      <c r="F139" s="22" t="inlineStr">
        <is>
          <t>15001</t>
        </is>
      </c>
      <c r="G139" s="22">
        <f>IF('Brouillard ventes'!$F$51="","",Paramètres!$B$10)</f>
        <v/>
      </c>
      <c r="H139" s="22" t="inlineStr"/>
      <c r="I139" s="22" t="inlineStr"/>
      <c r="J139" s="22" t="inlineStr"/>
      <c r="K139" s="22">
        <f>IF('Brouillard ventes'!$F$51="","",Paramètres!$B$11)</f>
        <v/>
      </c>
      <c r="L139" s="23" t="n">
        <v>0</v>
      </c>
      <c r="M139" s="23">
        <f>IF('Brouillard ventes'!$F$51="","",'Brouillard ventes'!$H$51)</f>
        <v/>
      </c>
    </row>
    <row r="140">
      <c r="A140" s="22" t="inlineStr">
        <is>
          <t>1</t>
        </is>
      </c>
      <c r="B140" s="22">
        <f>IF('Brouillard ventes'!$F$52="","","VD"&amp;TEXT(ROW('Brouillard ventes'!$F$52)-5,"00000"))</f>
        <v/>
      </c>
      <c r="C140" s="22">
        <f>IF('Brouillard ventes'!$F$52="","",YEAR('Brouillard ventes'!$A$52)*10000+MONTH('Brouillard ventes'!$A$52)*100+DAY('Brouillard ventes'!$A$52))</f>
        <v/>
      </c>
      <c r="D140" s="22">
        <f>IF('Brouillard ventes'!$F$52="","",'Brouillard ventes'!$B$52)</f>
        <v/>
      </c>
      <c r="E140" s="22">
        <f>IF('Brouillard ventes'!$F$52="","",LEFT('Brouillard ventes'!$D$52,30))</f>
        <v/>
      </c>
      <c r="F140" s="22" t="inlineStr">
        <is>
          <t>15001</t>
        </is>
      </c>
      <c r="G140" s="22">
        <f>IF('Brouillard ventes'!$F$52="","",Paramètres!$B$7)</f>
        <v/>
      </c>
      <c r="H140" s="22">
        <f>IF('Brouillard ventes'!$F$52="","",IF('Brouillard ventes'!$C$52="","CD001",'Brouillard ventes'!$C$52))</f>
        <v/>
      </c>
      <c r="I140" s="22" t="inlineStr"/>
      <c r="J140" s="22" t="inlineStr"/>
      <c r="K140" s="22">
        <f>IF('Brouillard ventes'!$F$52="","",Paramètres!$B$11)</f>
        <v/>
      </c>
      <c r="L140" s="23">
        <f>IF('Brouillard ventes'!$F$52="","",'Brouillard ventes'!$I$52)</f>
        <v/>
      </c>
      <c r="M140" s="23" t="n">
        <v>0</v>
      </c>
    </row>
    <row r="141">
      <c r="A141" s="22" t="inlineStr">
        <is>
          <t>1</t>
        </is>
      </c>
      <c r="B141" s="22">
        <f>IF('Brouillard ventes'!$F$52="","","VD"&amp;TEXT(ROW('Brouillard ventes'!$F$52)-5,"00000"))</f>
        <v/>
      </c>
      <c r="C141" s="22">
        <f>IF('Brouillard ventes'!$F$52="","",YEAR('Brouillard ventes'!$A$52)*10000+MONTH('Brouillard ventes'!$A$52)*100+DAY('Brouillard ventes'!$A$52))</f>
        <v/>
      </c>
      <c r="D141" s="22">
        <f>IF('Brouillard ventes'!$F$52="","",'Brouillard ventes'!$B$52)</f>
        <v/>
      </c>
      <c r="E141" s="22">
        <f>IF('Brouillard ventes'!$F$52="","",LEFT('Brouillard ventes'!$D$52,30))</f>
        <v/>
      </c>
      <c r="F141" s="22" t="inlineStr">
        <is>
          <t>15001</t>
        </is>
      </c>
      <c r="G141" s="22">
        <f>IF('Brouillard ventes'!$F$52="","",IF('Brouillard ventes'!$E$52="Réparation",Paramètres!$B$9,Paramètres!$B$8))</f>
        <v/>
      </c>
      <c r="H141" s="22" t="inlineStr"/>
      <c r="I141" s="22" t="inlineStr"/>
      <c r="J141" s="22" t="inlineStr"/>
      <c r="K141" s="22">
        <f>IF('Brouillard ventes'!$F$52="","",Paramètres!$B$11)</f>
        <v/>
      </c>
      <c r="L141" s="23" t="n">
        <v>0</v>
      </c>
      <c r="M141" s="23">
        <f>IF('Brouillard ventes'!$F$52="","",'Brouillard ventes'!$F$52)</f>
        <v/>
      </c>
    </row>
    <row r="142">
      <c r="A142" s="22" t="inlineStr">
        <is>
          <t>1</t>
        </is>
      </c>
      <c r="B142" s="22">
        <f>IF('Brouillard ventes'!$F$52="","","VD"&amp;TEXT(ROW('Brouillard ventes'!$F$52)-5,"00000"))</f>
        <v/>
      </c>
      <c r="C142" s="22">
        <f>IF('Brouillard ventes'!$F$52="","",YEAR('Brouillard ventes'!$A$52)*10000+MONTH('Brouillard ventes'!$A$52)*100+DAY('Brouillard ventes'!$A$52))</f>
        <v/>
      </c>
      <c r="D142" s="22">
        <f>IF('Brouillard ventes'!$F$52="","",'Brouillard ventes'!$B$52)</f>
        <v/>
      </c>
      <c r="E142" s="22">
        <f>IF('Brouillard ventes'!$F$52="","",LEFT('Brouillard ventes'!$D$52,30))</f>
        <v/>
      </c>
      <c r="F142" s="22" t="inlineStr">
        <is>
          <t>15001</t>
        </is>
      </c>
      <c r="G142" s="22">
        <f>IF('Brouillard ventes'!$F$52="","",Paramètres!$B$10)</f>
        <v/>
      </c>
      <c r="H142" s="22" t="inlineStr"/>
      <c r="I142" s="22" t="inlineStr"/>
      <c r="J142" s="22" t="inlineStr"/>
      <c r="K142" s="22">
        <f>IF('Brouillard ventes'!$F$52="","",Paramètres!$B$11)</f>
        <v/>
      </c>
      <c r="L142" s="23" t="n">
        <v>0</v>
      </c>
      <c r="M142" s="23">
        <f>IF('Brouillard ventes'!$F$52="","",'Brouillard ventes'!$H$52)</f>
        <v/>
      </c>
    </row>
    <row r="143">
      <c r="A143" s="22" t="inlineStr">
        <is>
          <t>1</t>
        </is>
      </c>
      <c r="B143" s="22">
        <f>IF('Brouillard ventes'!$F$53="","","VD"&amp;TEXT(ROW('Brouillard ventes'!$F$53)-5,"00000"))</f>
        <v/>
      </c>
      <c r="C143" s="22">
        <f>IF('Brouillard ventes'!$F$53="","",YEAR('Brouillard ventes'!$A$53)*10000+MONTH('Brouillard ventes'!$A$53)*100+DAY('Brouillard ventes'!$A$53))</f>
        <v/>
      </c>
      <c r="D143" s="22">
        <f>IF('Brouillard ventes'!$F$53="","",'Brouillard ventes'!$B$53)</f>
        <v/>
      </c>
      <c r="E143" s="22">
        <f>IF('Brouillard ventes'!$F$53="","",LEFT('Brouillard ventes'!$D$53,30))</f>
        <v/>
      </c>
      <c r="F143" s="22" t="inlineStr">
        <is>
          <t>15001</t>
        </is>
      </c>
      <c r="G143" s="22">
        <f>IF('Brouillard ventes'!$F$53="","",Paramètres!$B$7)</f>
        <v/>
      </c>
      <c r="H143" s="22">
        <f>IF('Brouillard ventes'!$F$53="","",IF('Brouillard ventes'!$C$53="","CD001",'Brouillard ventes'!$C$53))</f>
        <v/>
      </c>
      <c r="I143" s="22" t="inlineStr"/>
      <c r="J143" s="22" t="inlineStr"/>
      <c r="K143" s="22">
        <f>IF('Brouillard ventes'!$F$53="","",Paramètres!$B$11)</f>
        <v/>
      </c>
      <c r="L143" s="23">
        <f>IF('Brouillard ventes'!$F$53="","",'Brouillard ventes'!$I$53)</f>
        <v/>
      </c>
      <c r="M143" s="23" t="n">
        <v>0</v>
      </c>
    </row>
    <row r="144">
      <c r="A144" s="22" t="inlineStr">
        <is>
          <t>1</t>
        </is>
      </c>
      <c r="B144" s="22">
        <f>IF('Brouillard ventes'!$F$53="","","VD"&amp;TEXT(ROW('Brouillard ventes'!$F$53)-5,"00000"))</f>
        <v/>
      </c>
      <c r="C144" s="22">
        <f>IF('Brouillard ventes'!$F$53="","",YEAR('Brouillard ventes'!$A$53)*10000+MONTH('Brouillard ventes'!$A$53)*100+DAY('Brouillard ventes'!$A$53))</f>
        <v/>
      </c>
      <c r="D144" s="22">
        <f>IF('Brouillard ventes'!$F$53="","",'Brouillard ventes'!$B$53)</f>
        <v/>
      </c>
      <c r="E144" s="22">
        <f>IF('Brouillard ventes'!$F$53="","",LEFT('Brouillard ventes'!$D$53,30))</f>
        <v/>
      </c>
      <c r="F144" s="22" t="inlineStr">
        <is>
          <t>15001</t>
        </is>
      </c>
      <c r="G144" s="22">
        <f>IF('Brouillard ventes'!$F$53="","",IF('Brouillard ventes'!$E$53="Réparation",Paramètres!$B$9,Paramètres!$B$8))</f>
        <v/>
      </c>
      <c r="H144" s="22" t="inlineStr"/>
      <c r="I144" s="22" t="inlineStr"/>
      <c r="J144" s="22" t="inlineStr"/>
      <c r="K144" s="22">
        <f>IF('Brouillard ventes'!$F$53="","",Paramètres!$B$11)</f>
        <v/>
      </c>
      <c r="L144" s="23" t="n">
        <v>0</v>
      </c>
      <c r="M144" s="23">
        <f>IF('Brouillard ventes'!$F$53="","",'Brouillard ventes'!$F$53)</f>
        <v/>
      </c>
    </row>
    <row r="145">
      <c r="A145" s="22" t="inlineStr">
        <is>
          <t>1</t>
        </is>
      </c>
      <c r="B145" s="22">
        <f>IF('Brouillard ventes'!$F$53="","","VD"&amp;TEXT(ROW('Brouillard ventes'!$F$53)-5,"00000"))</f>
        <v/>
      </c>
      <c r="C145" s="22">
        <f>IF('Brouillard ventes'!$F$53="","",YEAR('Brouillard ventes'!$A$53)*10000+MONTH('Brouillard ventes'!$A$53)*100+DAY('Brouillard ventes'!$A$53))</f>
        <v/>
      </c>
      <c r="D145" s="22">
        <f>IF('Brouillard ventes'!$F$53="","",'Brouillard ventes'!$B$53)</f>
        <v/>
      </c>
      <c r="E145" s="22">
        <f>IF('Brouillard ventes'!$F$53="","",LEFT('Brouillard ventes'!$D$53,30))</f>
        <v/>
      </c>
      <c r="F145" s="22" t="inlineStr">
        <is>
          <t>15001</t>
        </is>
      </c>
      <c r="G145" s="22">
        <f>IF('Brouillard ventes'!$F$53="","",Paramètres!$B$10)</f>
        <v/>
      </c>
      <c r="H145" s="22" t="inlineStr"/>
      <c r="I145" s="22" t="inlineStr"/>
      <c r="J145" s="22" t="inlineStr"/>
      <c r="K145" s="22">
        <f>IF('Brouillard ventes'!$F$53="","",Paramètres!$B$11)</f>
        <v/>
      </c>
      <c r="L145" s="23" t="n">
        <v>0</v>
      </c>
      <c r="M145" s="23">
        <f>IF('Brouillard ventes'!$F$53="","",'Brouillard ventes'!$H$53)</f>
        <v/>
      </c>
    </row>
    <row r="146">
      <c r="A146" s="22" t="inlineStr">
        <is>
          <t>1</t>
        </is>
      </c>
      <c r="B146" s="22">
        <f>IF('Brouillard ventes'!$F$54="","","VD"&amp;TEXT(ROW('Brouillard ventes'!$F$54)-5,"00000"))</f>
        <v/>
      </c>
      <c r="C146" s="22">
        <f>IF('Brouillard ventes'!$F$54="","",YEAR('Brouillard ventes'!$A$54)*10000+MONTH('Brouillard ventes'!$A$54)*100+DAY('Brouillard ventes'!$A$54))</f>
        <v/>
      </c>
      <c r="D146" s="22">
        <f>IF('Brouillard ventes'!$F$54="","",'Brouillard ventes'!$B$54)</f>
        <v/>
      </c>
      <c r="E146" s="22">
        <f>IF('Brouillard ventes'!$F$54="","",LEFT('Brouillard ventes'!$D$54,30))</f>
        <v/>
      </c>
      <c r="F146" s="22" t="inlineStr">
        <is>
          <t>15001</t>
        </is>
      </c>
      <c r="G146" s="22">
        <f>IF('Brouillard ventes'!$F$54="","",Paramètres!$B$7)</f>
        <v/>
      </c>
      <c r="H146" s="22">
        <f>IF('Brouillard ventes'!$F$54="","",IF('Brouillard ventes'!$C$54="","CD001",'Brouillard ventes'!$C$54))</f>
        <v/>
      </c>
      <c r="I146" s="22" t="inlineStr"/>
      <c r="J146" s="22" t="inlineStr"/>
      <c r="K146" s="22">
        <f>IF('Brouillard ventes'!$F$54="","",Paramètres!$B$11)</f>
        <v/>
      </c>
      <c r="L146" s="23">
        <f>IF('Brouillard ventes'!$F$54="","",'Brouillard ventes'!$I$54)</f>
        <v/>
      </c>
      <c r="M146" s="23" t="n">
        <v>0</v>
      </c>
    </row>
    <row r="147">
      <c r="A147" s="22" t="inlineStr">
        <is>
          <t>1</t>
        </is>
      </c>
      <c r="B147" s="22">
        <f>IF('Brouillard ventes'!$F$54="","","VD"&amp;TEXT(ROW('Brouillard ventes'!$F$54)-5,"00000"))</f>
        <v/>
      </c>
      <c r="C147" s="22">
        <f>IF('Brouillard ventes'!$F$54="","",YEAR('Brouillard ventes'!$A$54)*10000+MONTH('Brouillard ventes'!$A$54)*100+DAY('Brouillard ventes'!$A$54))</f>
        <v/>
      </c>
      <c r="D147" s="22">
        <f>IF('Brouillard ventes'!$F$54="","",'Brouillard ventes'!$B$54)</f>
        <v/>
      </c>
      <c r="E147" s="22">
        <f>IF('Brouillard ventes'!$F$54="","",LEFT('Brouillard ventes'!$D$54,30))</f>
        <v/>
      </c>
      <c r="F147" s="22" t="inlineStr">
        <is>
          <t>15001</t>
        </is>
      </c>
      <c r="G147" s="22">
        <f>IF('Brouillard ventes'!$F$54="","",IF('Brouillard ventes'!$E$54="Réparation",Paramètres!$B$9,Paramètres!$B$8))</f>
        <v/>
      </c>
      <c r="H147" s="22" t="inlineStr"/>
      <c r="I147" s="22" t="inlineStr"/>
      <c r="J147" s="22" t="inlineStr"/>
      <c r="K147" s="22">
        <f>IF('Brouillard ventes'!$F$54="","",Paramètres!$B$11)</f>
        <v/>
      </c>
      <c r="L147" s="23" t="n">
        <v>0</v>
      </c>
      <c r="M147" s="23">
        <f>IF('Brouillard ventes'!$F$54="","",'Brouillard ventes'!$F$54)</f>
        <v/>
      </c>
    </row>
    <row r="148">
      <c r="A148" s="22" t="inlineStr">
        <is>
          <t>1</t>
        </is>
      </c>
      <c r="B148" s="22">
        <f>IF('Brouillard ventes'!$F$54="","","VD"&amp;TEXT(ROW('Brouillard ventes'!$F$54)-5,"00000"))</f>
        <v/>
      </c>
      <c r="C148" s="22">
        <f>IF('Brouillard ventes'!$F$54="","",YEAR('Brouillard ventes'!$A$54)*10000+MONTH('Brouillard ventes'!$A$54)*100+DAY('Brouillard ventes'!$A$54))</f>
        <v/>
      </c>
      <c r="D148" s="22">
        <f>IF('Brouillard ventes'!$F$54="","",'Brouillard ventes'!$B$54)</f>
        <v/>
      </c>
      <c r="E148" s="22">
        <f>IF('Brouillard ventes'!$F$54="","",LEFT('Brouillard ventes'!$D$54,30))</f>
        <v/>
      </c>
      <c r="F148" s="22" t="inlineStr">
        <is>
          <t>15001</t>
        </is>
      </c>
      <c r="G148" s="22">
        <f>IF('Brouillard ventes'!$F$54="","",Paramètres!$B$10)</f>
        <v/>
      </c>
      <c r="H148" s="22" t="inlineStr"/>
      <c r="I148" s="22" t="inlineStr"/>
      <c r="J148" s="22" t="inlineStr"/>
      <c r="K148" s="22">
        <f>IF('Brouillard ventes'!$F$54="","",Paramètres!$B$11)</f>
        <v/>
      </c>
      <c r="L148" s="23" t="n">
        <v>0</v>
      </c>
      <c r="M148" s="23">
        <f>IF('Brouillard ventes'!$F$54="","",'Brouillard ventes'!$H$54)</f>
        <v/>
      </c>
    </row>
    <row r="149">
      <c r="A149" s="22" t="inlineStr">
        <is>
          <t>1</t>
        </is>
      </c>
      <c r="B149" s="22">
        <f>IF('Brouillard ventes'!$F$55="","","VD"&amp;TEXT(ROW('Brouillard ventes'!$F$55)-5,"00000"))</f>
        <v/>
      </c>
      <c r="C149" s="22">
        <f>IF('Brouillard ventes'!$F$55="","",YEAR('Brouillard ventes'!$A$55)*10000+MONTH('Brouillard ventes'!$A$55)*100+DAY('Brouillard ventes'!$A$55))</f>
        <v/>
      </c>
      <c r="D149" s="22">
        <f>IF('Brouillard ventes'!$F$55="","",'Brouillard ventes'!$B$55)</f>
        <v/>
      </c>
      <c r="E149" s="22">
        <f>IF('Brouillard ventes'!$F$55="","",LEFT('Brouillard ventes'!$D$55,30))</f>
        <v/>
      </c>
      <c r="F149" s="22" t="inlineStr">
        <is>
          <t>15001</t>
        </is>
      </c>
      <c r="G149" s="22">
        <f>IF('Brouillard ventes'!$F$55="","",Paramètres!$B$7)</f>
        <v/>
      </c>
      <c r="H149" s="22">
        <f>IF('Brouillard ventes'!$F$55="","",IF('Brouillard ventes'!$C$55="","CD001",'Brouillard ventes'!$C$55))</f>
        <v/>
      </c>
      <c r="I149" s="22" t="inlineStr"/>
      <c r="J149" s="22" t="inlineStr"/>
      <c r="K149" s="22">
        <f>IF('Brouillard ventes'!$F$55="","",Paramètres!$B$11)</f>
        <v/>
      </c>
      <c r="L149" s="23">
        <f>IF('Brouillard ventes'!$F$55="","",'Brouillard ventes'!$I$55)</f>
        <v/>
      </c>
      <c r="M149" s="23" t="n">
        <v>0</v>
      </c>
    </row>
    <row r="150">
      <c r="A150" s="22" t="inlineStr">
        <is>
          <t>1</t>
        </is>
      </c>
      <c r="B150" s="22">
        <f>IF('Brouillard ventes'!$F$55="","","VD"&amp;TEXT(ROW('Brouillard ventes'!$F$55)-5,"00000"))</f>
        <v/>
      </c>
      <c r="C150" s="22">
        <f>IF('Brouillard ventes'!$F$55="","",YEAR('Brouillard ventes'!$A$55)*10000+MONTH('Brouillard ventes'!$A$55)*100+DAY('Brouillard ventes'!$A$55))</f>
        <v/>
      </c>
      <c r="D150" s="22">
        <f>IF('Brouillard ventes'!$F$55="","",'Brouillard ventes'!$B$55)</f>
        <v/>
      </c>
      <c r="E150" s="22">
        <f>IF('Brouillard ventes'!$F$55="","",LEFT('Brouillard ventes'!$D$55,30))</f>
        <v/>
      </c>
      <c r="F150" s="22" t="inlineStr">
        <is>
          <t>15001</t>
        </is>
      </c>
      <c r="G150" s="22">
        <f>IF('Brouillard ventes'!$F$55="","",IF('Brouillard ventes'!$E$55="Réparation",Paramètres!$B$9,Paramètres!$B$8))</f>
        <v/>
      </c>
      <c r="H150" s="22" t="inlineStr"/>
      <c r="I150" s="22" t="inlineStr"/>
      <c r="J150" s="22" t="inlineStr"/>
      <c r="K150" s="22">
        <f>IF('Brouillard ventes'!$F$55="","",Paramètres!$B$11)</f>
        <v/>
      </c>
      <c r="L150" s="23" t="n">
        <v>0</v>
      </c>
      <c r="M150" s="23">
        <f>IF('Brouillard ventes'!$F$55="","",'Brouillard ventes'!$F$55)</f>
        <v/>
      </c>
    </row>
    <row r="151">
      <c r="A151" s="22" t="inlineStr">
        <is>
          <t>1</t>
        </is>
      </c>
      <c r="B151" s="22">
        <f>IF('Brouillard ventes'!$F$55="","","VD"&amp;TEXT(ROW('Brouillard ventes'!$F$55)-5,"00000"))</f>
        <v/>
      </c>
      <c r="C151" s="22">
        <f>IF('Brouillard ventes'!$F$55="","",YEAR('Brouillard ventes'!$A$55)*10000+MONTH('Brouillard ventes'!$A$55)*100+DAY('Brouillard ventes'!$A$55))</f>
        <v/>
      </c>
      <c r="D151" s="22">
        <f>IF('Brouillard ventes'!$F$55="","",'Brouillard ventes'!$B$55)</f>
        <v/>
      </c>
      <c r="E151" s="22">
        <f>IF('Brouillard ventes'!$F$55="","",LEFT('Brouillard ventes'!$D$55,30))</f>
        <v/>
      </c>
      <c r="F151" s="22" t="inlineStr">
        <is>
          <t>15001</t>
        </is>
      </c>
      <c r="G151" s="22">
        <f>IF('Brouillard ventes'!$F$55="","",Paramètres!$B$10)</f>
        <v/>
      </c>
      <c r="H151" s="22" t="inlineStr"/>
      <c r="I151" s="22" t="inlineStr"/>
      <c r="J151" s="22" t="inlineStr"/>
      <c r="K151" s="22">
        <f>IF('Brouillard ventes'!$F$55="","",Paramètres!$B$11)</f>
        <v/>
      </c>
      <c r="L151" s="23" t="n">
        <v>0</v>
      </c>
      <c r="M151" s="23">
        <f>IF('Brouillard ventes'!$F$55="","",'Brouillard ventes'!$H$55)</f>
        <v/>
      </c>
    </row>
    <row r="152">
      <c r="A152" s="22" t="inlineStr">
        <is>
          <t>1</t>
        </is>
      </c>
      <c r="B152" s="22">
        <f>IF('Brouillard ventes'!$F$56="","","VD"&amp;TEXT(ROW('Brouillard ventes'!$F$56)-5,"00000"))</f>
        <v/>
      </c>
      <c r="C152" s="22">
        <f>IF('Brouillard ventes'!$F$56="","",YEAR('Brouillard ventes'!$A$56)*10000+MONTH('Brouillard ventes'!$A$56)*100+DAY('Brouillard ventes'!$A$56))</f>
        <v/>
      </c>
      <c r="D152" s="22">
        <f>IF('Brouillard ventes'!$F$56="","",'Brouillard ventes'!$B$56)</f>
        <v/>
      </c>
      <c r="E152" s="22">
        <f>IF('Brouillard ventes'!$F$56="","",LEFT('Brouillard ventes'!$D$56,30))</f>
        <v/>
      </c>
      <c r="F152" s="22" t="inlineStr">
        <is>
          <t>15001</t>
        </is>
      </c>
      <c r="G152" s="22">
        <f>IF('Brouillard ventes'!$F$56="","",Paramètres!$B$7)</f>
        <v/>
      </c>
      <c r="H152" s="22">
        <f>IF('Brouillard ventes'!$F$56="","",IF('Brouillard ventes'!$C$56="","CD001",'Brouillard ventes'!$C$56))</f>
        <v/>
      </c>
      <c r="I152" s="22" t="inlineStr"/>
      <c r="J152" s="22" t="inlineStr"/>
      <c r="K152" s="22">
        <f>IF('Brouillard ventes'!$F$56="","",Paramètres!$B$11)</f>
        <v/>
      </c>
      <c r="L152" s="23">
        <f>IF('Brouillard ventes'!$F$56="","",'Brouillard ventes'!$I$56)</f>
        <v/>
      </c>
      <c r="M152" s="23" t="n">
        <v>0</v>
      </c>
    </row>
    <row r="153">
      <c r="A153" s="22" t="inlineStr">
        <is>
          <t>1</t>
        </is>
      </c>
      <c r="B153" s="22">
        <f>IF('Brouillard ventes'!$F$56="","","VD"&amp;TEXT(ROW('Brouillard ventes'!$F$56)-5,"00000"))</f>
        <v/>
      </c>
      <c r="C153" s="22">
        <f>IF('Brouillard ventes'!$F$56="","",YEAR('Brouillard ventes'!$A$56)*10000+MONTH('Brouillard ventes'!$A$56)*100+DAY('Brouillard ventes'!$A$56))</f>
        <v/>
      </c>
      <c r="D153" s="22">
        <f>IF('Brouillard ventes'!$F$56="","",'Brouillard ventes'!$B$56)</f>
        <v/>
      </c>
      <c r="E153" s="22">
        <f>IF('Brouillard ventes'!$F$56="","",LEFT('Brouillard ventes'!$D$56,30))</f>
        <v/>
      </c>
      <c r="F153" s="22" t="inlineStr">
        <is>
          <t>15001</t>
        </is>
      </c>
      <c r="G153" s="22">
        <f>IF('Brouillard ventes'!$F$56="","",IF('Brouillard ventes'!$E$56="Réparation",Paramètres!$B$9,Paramètres!$B$8))</f>
        <v/>
      </c>
      <c r="H153" s="22" t="inlineStr"/>
      <c r="I153" s="22" t="inlineStr"/>
      <c r="J153" s="22" t="inlineStr"/>
      <c r="K153" s="22">
        <f>IF('Brouillard ventes'!$F$56="","",Paramètres!$B$11)</f>
        <v/>
      </c>
      <c r="L153" s="23" t="n">
        <v>0</v>
      </c>
      <c r="M153" s="23">
        <f>IF('Brouillard ventes'!$F$56="","",'Brouillard ventes'!$F$56)</f>
        <v/>
      </c>
    </row>
    <row r="154">
      <c r="A154" s="22" t="inlineStr">
        <is>
          <t>1</t>
        </is>
      </c>
      <c r="B154" s="22">
        <f>IF('Brouillard ventes'!$F$56="","","VD"&amp;TEXT(ROW('Brouillard ventes'!$F$56)-5,"00000"))</f>
        <v/>
      </c>
      <c r="C154" s="22">
        <f>IF('Brouillard ventes'!$F$56="","",YEAR('Brouillard ventes'!$A$56)*10000+MONTH('Brouillard ventes'!$A$56)*100+DAY('Brouillard ventes'!$A$56))</f>
        <v/>
      </c>
      <c r="D154" s="22">
        <f>IF('Brouillard ventes'!$F$56="","",'Brouillard ventes'!$B$56)</f>
        <v/>
      </c>
      <c r="E154" s="22">
        <f>IF('Brouillard ventes'!$F$56="","",LEFT('Brouillard ventes'!$D$56,30))</f>
        <v/>
      </c>
      <c r="F154" s="22" t="inlineStr">
        <is>
          <t>15001</t>
        </is>
      </c>
      <c r="G154" s="22">
        <f>IF('Brouillard ventes'!$F$56="","",Paramètres!$B$10)</f>
        <v/>
      </c>
      <c r="H154" s="22" t="inlineStr"/>
      <c r="I154" s="22" t="inlineStr"/>
      <c r="J154" s="22" t="inlineStr"/>
      <c r="K154" s="22">
        <f>IF('Brouillard ventes'!$F$56="","",Paramètres!$B$11)</f>
        <v/>
      </c>
      <c r="L154" s="23" t="n">
        <v>0</v>
      </c>
      <c r="M154" s="23">
        <f>IF('Brouillard ventes'!$F$56="","",'Brouillard ventes'!$H$56)</f>
        <v/>
      </c>
    </row>
    <row r="155">
      <c r="A155" s="22" t="inlineStr">
        <is>
          <t>1</t>
        </is>
      </c>
      <c r="B155" s="22">
        <f>IF('Brouillard ventes'!$F$57="","","VD"&amp;TEXT(ROW('Brouillard ventes'!$F$57)-5,"00000"))</f>
        <v/>
      </c>
      <c r="C155" s="22">
        <f>IF('Brouillard ventes'!$F$57="","",YEAR('Brouillard ventes'!$A$57)*10000+MONTH('Brouillard ventes'!$A$57)*100+DAY('Brouillard ventes'!$A$57))</f>
        <v/>
      </c>
      <c r="D155" s="22">
        <f>IF('Brouillard ventes'!$F$57="","",'Brouillard ventes'!$B$57)</f>
        <v/>
      </c>
      <c r="E155" s="22">
        <f>IF('Brouillard ventes'!$F$57="","",LEFT('Brouillard ventes'!$D$57,30))</f>
        <v/>
      </c>
      <c r="F155" s="22" t="inlineStr">
        <is>
          <t>15001</t>
        </is>
      </c>
      <c r="G155" s="22">
        <f>IF('Brouillard ventes'!$F$57="","",Paramètres!$B$7)</f>
        <v/>
      </c>
      <c r="H155" s="22">
        <f>IF('Brouillard ventes'!$F$57="","",IF('Brouillard ventes'!$C$57="","CD001",'Brouillard ventes'!$C$57))</f>
        <v/>
      </c>
      <c r="I155" s="22" t="inlineStr"/>
      <c r="J155" s="22" t="inlineStr"/>
      <c r="K155" s="22">
        <f>IF('Brouillard ventes'!$F$57="","",Paramètres!$B$11)</f>
        <v/>
      </c>
      <c r="L155" s="23">
        <f>IF('Brouillard ventes'!$F$57="","",'Brouillard ventes'!$I$57)</f>
        <v/>
      </c>
      <c r="M155" s="23" t="n">
        <v>0</v>
      </c>
    </row>
    <row r="156">
      <c r="A156" s="22" t="inlineStr">
        <is>
          <t>1</t>
        </is>
      </c>
      <c r="B156" s="22">
        <f>IF('Brouillard ventes'!$F$57="","","VD"&amp;TEXT(ROW('Brouillard ventes'!$F$57)-5,"00000"))</f>
        <v/>
      </c>
      <c r="C156" s="22">
        <f>IF('Brouillard ventes'!$F$57="","",YEAR('Brouillard ventes'!$A$57)*10000+MONTH('Brouillard ventes'!$A$57)*100+DAY('Brouillard ventes'!$A$57))</f>
        <v/>
      </c>
      <c r="D156" s="22">
        <f>IF('Brouillard ventes'!$F$57="","",'Brouillard ventes'!$B$57)</f>
        <v/>
      </c>
      <c r="E156" s="22">
        <f>IF('Brouillard ventes'!$F$57="","",LEFT('Brouillard ventes'!$D$57,30))</f>
        <v/>
      </c>
      <c r="F156" s="22" t="inlineStr">
        <is>
          <t>15001</t>
        </is>
      </c>
      <c r="G156" s="22">
        <f>IF('Brouillard ventes'!$F$57="","",IF('Brouillard ventes'!$E$57="Réparation",Paramètres!$B$9,Paramètres!$B$8))</f>
        <v/>
      </c>
      <c r="H156" s="22" t="inlineStr"/>
      <c r="I156" s="22" t="inlineStr"/>
      <c r="J156" s="22" t="inlineStr"/>
      <c r="K156" s="22">
        <f>IF('Brouillard ventes'!$F$57="","",Paramètres!$B$11)</f>
        <v/>
      </c>
      <c r="L156" s="23" t="n">
        <v>0</v>
      </c>
      <c r="M156" s="23">
        <f>IF('Brouillard ventes'!$F$57="","",'Brouillard ventes'!$F$57)</f>
        <v/>
      </c>
    </row>
    <row r="157">
      <c r="A157" s="22" t="inlineStr">
        <is>
          <t>1</t>
        </is>
      </c>
      <c r="B157" s="22">
        <f>IF('Brouillard ventes'!$F$57="","","VD"&amp;TEXT(ROW('Brouillard ventes'!$F$57)-5,"00000"))</f>
        <v/>
      </c>
      <c r="C157" s="22">
        <f>IF('Brouillard ventes'!$F$57="","",YEAR('Brouillard ventes'!$A$57)*10000+MONTH('Brouillard ventes'!$A$57)*100+DAY('Brouillard ventes'!$A$57))</f>
        <v/>
      </c>
      <c r="D157" s="22">
        <f>IF('Brouillard ventes'!$F$57="","",'Brouillard ventes'!$B$57)</f>
        <v/>
      </c>
      <c r="E157" s="22">
        <f>IF('Brouillard ventes'!$F$57="","",LEFT('Brouillard ventes'!$D$57,30))</f>
        <v/>
      </c>
      <c r="F157" s="22" t="inlineStr">
        <is>
          <t>15001</t>
        </is>
      </c>
      <c r="G157" s="22">
        <f>IF('Brouillard ventes'!$F$57="","",Paramètres!$B$10)</f>
        <v/>
      </c>
      <c r="H157" s="22" t="inlineStr"/>
      <c r="I157" s="22" t="inlineStr"/>
      <c r="J157" s="22" t="inlineStr"/>
      <c r="K157" s="22">
        <f>IF('Brouillard ventes'!$F$57="","",Paramètres!$B$11)</f>
        <v/>
      </c>
      <c r="L157" s="23" t="n">
        <v>0</v>
      </c>
      <c r="M157" s="23">
        <f>IF('Brouillard ventes'!$F$57="","",'Brouillard ventes'!$H$57)</f>
        <v/>
      </c>
    </row>
    <row r="158">
      <c r="A158" s="22" t="inlineStr">
        <is>
          <t>1</t>
        </is>
      </c>
      <c r="B158" s="22">
        <f>IF('Brouillard ventes'!$F$58="","","VD"&amp;TEXT(ROW('Brouillard ventes'!$F$58)-5,"00000"))</f>
        <v/>
      </c>
      <c r="C158" s="22">
        <f>IF('Brouillard ventes'!$F$58="","",YEAR('Brouillard ventes'!$A$58)*10000+MONTH('Brouillard ventes'!$A$58)*100+DAY('Brouillard ventes'!$A$58))</f>
        <v/>
      </c>
      <c r="D158" s="22">
        <f>IF('Brouillard ventes'!$F$58="","",'Brouillard ventes'!$B$58)</f>
        <v/>
      </c>
      <c r="E158" s="22">
        <f>IF('Brouillard ventes'!$F$58="","",LEFT('Brouillard ventes'!$D$58,30))</f>
        <v/>
      </c>
      <c r="F158" s="22" t="inlineStr">
        <is>
          <t>15001</t>
        </is>
      </c>
      <c r="G158" s="22">
        <f>IF('Brouillard ventes'!$F$58="","",Paramètres!$B$7)</f>
        <v/>
      </c>
      <c r="H158" s="22">
        <f>IF('Brouillard ventes'!$F$58="","",IF('Brouillard ventes'!$C$58="","CD001",'Brouillard ventes'!$C$58))</f>
        <v/>
      </c>
      <c r="I158" s="22" t="inlineStr"/>
      <c r="J158" s="22" t="inlineStr"/>
      <c r="K158" s="22">
        <f>IF('Brouillard ventes'!$F$58="","",Paramètres!$B$11)</f>
        <v/>
      </c>
      <c r="L158" s="23">
        <f>IF('Brouillard ventes'!$F$58="","",'Brouillard ventes'!$I$58)</f>
        <v/>
      </c>
      <c r="M158" s="23" t="n">
        <v>0</v>
      </c>
    </row>
    <row r="159">
      <c r="A159" s="22" t="inlineStr">
        <is>
          <t>1</t>
        </is>
      </c>
      <c r="B159" s="22">
        <f>IF('Brouillard ventes'!$F$58="","","VD"&amp;TEXT(ROW('Brouillard ventes'!$F$58)-5,"00000"))</f>
        <v/>
      </c>
      <c r="C159" s="22">
        <f>IF('Brouillard ventes'!$F$58="","",YEAR('Brouillard ventes'!$A$58)*10000+MONTH('Brouillard ventes'!$A$58)*100+DAY('Brouillard ventes'!$A$58))</f>
        <v/>
      </c>
      <c r="D159" s="22">
        <f>IF('Brouillard ventes'!$F$58="","",'Brouillard ventes'!$B$58)</f>
        <v/>
      </c>
      <c r="E159" s="22">
        <f>IF('Brouillard ventes'!$F$58="","",LEFT('Brouillard ventes'!$D$58,30))</f>
        <v/>
      </c>
      <c r="F159" s="22" t="inlineStr">
        <is>
          <t>15001</t>
        </is>
      </c>
      <c r="G159" s="22">
        <f>IF('Brouillard ventes'!$F$58="","",IF('Brouillard ventes'!$E$58="Réparation",Paramètres!$B$9,Paramètres!$B$8))</f>
        <v/>
      </c>
      <c r="H159" s="22" t="inlineStr"/>
      <c r="I159" s="22" t="inlineStr"/>
      <c r="J159" s="22" t="inlineStr"/>
      <c r="K159" s="22">
        <f>IF('Brouillard ventes'!$F$58="","",Paramètres!$B$11)</f>
        <v/>
      </c>
      <c r="L159" s="23" t="n">
        <v>0</v>
      </c>
      <c r="M159" s="23">
        <f>IF('Brouillard ventes'!$F$58="","",'Brouillard ventes'!$F$58)</f>
        <v/>
      </c>
    </row>
    <row r="160">
      <c r="A160" s="22" t="inlineStr">
        <is>
          <t>1</t>
        </is>
      </c>
      <c r="B160" s="22">
        <f>IF('Brouillard ventes'!$F$58="","","VD"&amp;TEXT(ROW('Brouillard ventes'!$F$58)-5,"00000"))</f>
        <v/>
      </c>
      <c r="C160" s="22">
        <f>IF('Brouillard ventes'!$F$58="","",YEAR('Brouillard ventes'!$A$58)*10000+MONTH('Brouillard ventes'!$A$58)*100+DAY('Brouillard ventes'!$A$58))</f>
        <v/>
      </c>
      <c r="D160" s="22">
        <f>IF('Brouillard ventes'!$F$58="","",'Brouillard ventes'!$B$58)</f>
        <v/>
      </c>
      <c r="E160" s="22">
        <f>IF('Brouillard ventes'!$F$58="","",LEFT('Brouillard ventes'!$D$58,30))</f>
        <v/>
      </c>
      <c r="F160" s="22" t="inlineStr">
        <is>
          <t>15001</t>
        </is>
      </c>
      <c r="G160" s="22">
        <f>IF('Brouillard ventes'!$F$58="","",Paramètres!$B$10)</f>
        <v/>
      </c>
      <c r="H160" s="22" t="inlineStr"/>
      <c r="I160" s="22" t="inlineStr"/>
      <c r="J160" s="22" t="inlineStr"/>
      <c r="K160" s="22">
        <f>IF('Brouillard ventes'!$F$58="","",Paramètres!$B$11)</f>
        <v/>
      </c>
      <c r="L160" s="23" t="n">
        <v>0</v>
      </c>
      <c r="M160" s="23">
        <f>IF('Brouillard ventes'!$F$58="","",'Brouillard ventes'!$H$58)</f>
        <v/>
      </c>
    </row>
    <row r="161">
      <c r="A161" s="22" t="inlineStr">
        <is>
          <t>1</t>
        </is>
      </c>
      <c r="B161" s="22">
        <f>IF('Brouillard ventes'!$F$59="","","VD"&amp;TEXT(ROW('Brouillard ventes'!$F$59)-5,"00000"))</f>
        <v/>
      </c>
      <c r="C161" s="22">
        <f>IF('Brouillard ventes'!$F$59="","",YEAR('Brouillard ventes'!$A$59)*10000+MONTH('Brouillard ventes'!$A$59)*100+DAY('Brouillard ventes'!$A$59))</f>
        <v/>
      </c>
      <c r="D161" s="22">
        <f>IF('Brouillard ventes'!$F$59="","",'Brouillard ventes'!$B$59)</f>
        <v/>
      </c>
      <c r="E161" s="22">
        <f>IF('Brouillard ventes'!$F$59="","",LEFT('Brouillard ventes'!$D$59,30))</f>
        <v/>
      </c>
      <c r="F161" s="22" t="inlineStr">
        <is>
          <t>15001</t>
        </is>
      </c>
      <c r="G161" s="22">
        <f>IF('Brouillard ventes'!$F$59="","",Paramètres!$B$7)</f>
        <v/>
      </c>
      <c r="H161" s="22">
        <f>IF('Brouillard ventes'!$F$59="","",IF('Brouillard ventes'!$C$59="","CD001",'Brouillard ventes'!$C$59))</f>
        <v/>
      </c>
      <c r="I161" s="22" t="inlineStr"/>
      <c r="J161" s="22" t="inlineStr"/>
      <c r="K161" s="22">
        <f>IF('Brouillard ventes'!$F$59="","",Paramètres!$B$11)</f>
        <v/>
      </c>
      <c r="L161" s="23">
        <f>IF('Brouillard ventes'!$F$59="","",'Brouillard ventes'!$I$59)</f>
        <v/>
      </c>
      <c r="M161" s="23" t="n">
        <v>0</v>
      </c>
    </row>
    <row r="162">
      <c r="A162" s="22" t="inlineStr">
        <is>
          <t>1</t>
        </is>
      </c>
      <c r="B162" s="22">
        <f>IF('Brouillard ventes'!$F$59="","","VD"&amp;TEXT(ROW('Brouillard ventes'!$F$59)-5,"00000"))</f>
        <v/>
      </c>
      <c r="C162" s="22">
        <f>IF('Brouillard ventes'!$F$59="","",YEAR('Brouillard ventes'!$A$59)*10000+MONTH('Brouillard ventes'!$A$59)*100+DAY('Brouillard ventes'!$A$59))</f>
        <v/>
      </c>
      <c r="D162" s="22">
        <f>IF('Brouillard ventes'!$F$59="","",'Brouillard ventes'!$B$59)</f>
        <v/>
      </c>
      <c r="E162" s="22">
        <f>IF('Brouillard ventes'!$F$59="","",LEFT('Brouillard ventes'!$D$59,30))</f>
        <v/>
      </c>
      <c r="F162" s="22" t="inlineStr">
        <is>
          <t>15001</t>
        </is>
      </c>
      <c r="G162" s="22">
        <f>IF('Brouillard ventes'!$F$59="","",IF('Brouillard ventes'!$E$59="Réparation",Paramètres!$B$9,Paramètres!$B$8))</f>
        <v/>
      </c>
      <c r="H162" s="22" t="inlineStr"/>
      <c r="I162" s="22" t="inlineStr"/>
      <c r="J162" s="22" t="inlineStr"/>
      <c r="K162" s="22">
        <f>IF('Brouillard ventes'!$F$59="","",Paramètres!$B$11)</f>
        <v/>
      </c>
      <c r="L162" s="23" t="n">
        <v>0</v>
      </c>
      <c r="M162" s="23">
        <f>IF('Brouillard ventes'!$F$59="","",'Brouillard ventes'!$F$59)</f>
        <v/>
      </c>
    </row>
    <row r="163">
      <c r="A163" s="22" t="inlineStr">
        <is>
          <t>1</t>
        </is>
      </c>
      <c r="B163" s="22">
        <f>IF('Brouillard ventes'!$F$59="","","VD"&amp;TEXT(ROW('Brouillard ventes'!$F$59)-5,"00000"))</f>
        <v/>
      </c>
      <c r="C163" s="22">
        <f>IF('Brouillard ventes'!$F$59="","",YEAR('Brouillard ventes'!$A$59)*10000+MONTH('Brouillard ventes'!$A$59)*100+DAY('Brouillard ventes'!$A$59))</f>
        <v/>
      </c>
      <c r="D163" s="22">
        <f>IF('Brouillard ventes'!$F$59="","",'Brouillard ventes'!$B$59)</f>
        <v/>
      </c>
      <c r="E163" s="22">
        <f>IF('Brouillard ventes'!$F$59="","",LEFT('Brouillard ventes'!$D$59,30))</f>
        <v/>
      </c>
      <c r="F163" s="22" t="inlineStr">
        <is>
          <t>15001</t>
        </is>
      </c>
      <c r="G163" s="22">
        <f>IF('Brouillard ventes'!$F$59="","",Paramètres!$B$10)</f>
        <v/>
      </c>
      <c r="H163" s="22" t="inlineStr"/>
      <c r="I163" s="22" t="inlineStr"/>
      <c r="J163" s="22" t="inlineStr"/>
      <c r="K163" s="22">
        <f>IF('Brouillard ventes'!$F$59="","",Paramètres!$B$11)</f>
        <v/>
      </c>
      <c r="L163" s="23" t="n">
        <v>0</v>
      </c>
      <c r="M163" s="23">
        <f>IF('Brouillard ventes'!$F$59="","",'Brouillard ventes'!$H$59)</f>
        <v/>
      </c>
    </row>
    <row r="164">
      <c r="A164" s="22" t="inlineStr">
        <is>
          <t>1</t>
        </is>
      </c>
      <c r="B164" s="22">
        <f>IF('Brouillard ventes'!$F$60="","","VD"&amp;TEXT(ROW('Brouillard ventes'!$F$60)-5,"00000"))</f>
        <v/>
      </c>
      <c r="C164" s="22">
        <f>IF('Brouillard ventes'!$F$60="","",YEAR('Brouillard ventes'!$A$60)*10000+MONTH('Brouillard ventes'!$A$60)*100+DAY('Brouillard ventes'!$A$60))</f>
        <v/>
      </c>
      <c r="D164" s="22">
        <f>IF('Brouillard ventes'!$F$60="","",'Brouillard ventes'!$B$60)</f>
        <v/>
      </c>
      <c r="E164" s="22">
        <f>IF('Brouillard ventes'!$F$60="","",LEFT('Brouillard ventes'!$D$60,30))</f>
        <v/>
      </c>
      <c r="F164" s="22" t="inlineStr">
        <is>
          <t>15001</t>
        </is>
      </c>
      <c r="G164" s="22">
        <f>IF('Brouillard ventes'!$F$60="","",Paramètres!$B$7)</f>
        <v/>
      </c>
      <c r="H164" s="22">
        <f>IF('Brouillard ventes'!$F$60="","",IF('Brouillard ventes'!$C$60="","CD001",'Brouillard ventes'!$C$60))</f>
        <v/>
      </c>
      <c r="I164" s="22" t="inlineStr"/>
      <c r="J164" s="22" t="inlineStr"/>
      <c r="K164" s="22">
        <f>IF('Brouillard ventes'!$F$60="","",Paramètres!$B$11)</f>
        <v/>
      </c>
      <c r="L164" s="23">
        <f>IF('Brouillard ventes'!$F$60="","",'Brouillard ventes'!$I$60)</f>
        <v/>
      </c>
      <c r="M164" s="23" t="n">
        <v>0</v>
      </c>
    </row>
    <row r="165">
      <c r="A165" s="22" t="inlineStr">
        <is>
          <t>1</t>
        </is>
      </c>
      <c r="B165" s="22">
        <f>IF('Brouillard ventes'!$F$60="","","VD"&amp;TEXT(ROW('Brouillard ventes'!$F$60)-5,"00000"))</f>
        <v/>
      </c>
      <c r="C165" s="22">
        <f>IF('Brouillard ventes'!$F$60="","",YEAR('Brouillard ventes'!$A$60)*10000+MONTH('Brouillard ventes'!$A$60)*100+DAY('Brouillard ventes'!$A$60))</f>
        <v/>
      </c>
      <c r="D165" s="22">
        <f>IF('Brouillard ventes'!$F$60="","",'Brouillard ventes'!$B$60)</f>
        <v/>
      </c>
      <c r="E165" s="22">
        <f>IF('Brouillard ventes'!$F$60="","",LEFT('Brouillard ventes'!$D$60,30))</f>
        <v/>
      </c>
      <c r="F165" s="22" t="inlineStr">
        <is>
          <t>15001</t>
        </is>
      </c>
      <c r="G165" s="22">
        <f>IF('Brouillard ventes'!$F$60="","",IF('Brouillard ventes'!$E$60="Réparation",Paramètres!$B$9,Paramètres!$B$8))</f>
        <v/>
      </c>
      <c r="H165" s="22" t="inlineStr"/>
      <c r="I165" s="22" t="inlineStr"/>
      <c r="J165" s="22" t="inlineStr"/>
      <c r="K165" s="22">
        <f>IF('Brouillard ventes'!$F$60="","",Paramètres!$B$11)</f>
        <v/>
      </c>
      <c r="L165" s="23" t="n">
        <v>0</v>
      </c>
      <c r="M165" s="23">
        <f>IF('Brouillard ventes'!$F$60="","",'Brouillard ventes'!$F$60)</f>
        <v/>
      </c>
    </row>
    <row r="166">
      <c r="A166" s="22" t="inlineStr">
        <is>
          <t>1</t>
        </is>
      </c>
      <c r="B166" s="22">
        <f>IF('Brouillard ventes'!$F$60="","","VD"&amp;TEXT(ROW('Brouillard ventes'!$F$60)-5,"00000"))</f>
        <v/>
      </c>
      <c r="C166" s="22">
        <f>IF('Brouillard ventes'!$F$60="","",YEAR('Brouillard ventes'!$A$60)*10000+MONTH('Brouillard ventes'!$A$60)*100+DAY('Brouillard ventes'!$A$60))</f>
        <v/>
      </c>
      <c r="D166" s="22">
        <f>IF('Brouillard ventes'!$F$60="","",'Brouillard ventes'!$B$60)</f>
        <v/>
      </c>
      <c r="E166" s="22">
        <f>IF('Brouillard ventes'!$F$60="","",LEFT('Brouillard ventes'!$D$60,30))</f>
        <v/>
      </c>
      <c r="F166" s="22" t="inlineStr">
        <is>
          <t>15001</t>
        </is>
      </c>
      <c r="G166" s="22">
        <f>IF('Brouillard ventes'!$F$60="","",Paramètres!$B$10)</f>
        <v/>
      </c>
      <c r="H166" s="22" t="inlineStr"/>
      <c r="I166" s="22" t="inlineStr"/>
      <c r="J166" s="22" t="inlineStr"/>
      <c r="K166" s="22">
        <f>IF('Brouillard ventes'!$F$60="","",Paramètres!$B$11)</f>
        <v/>
      </c>
      <c r="L166" s="23" t="n">
        <v>0</v>
      </c>
      <c r="M166" s="23">
        <f>IF('Brouillard ventes'!$F$60="","",'Brouillard ventes'!$H$60)</f>
        <v/>
      </c>
    </row>
    <row r="167">
      <c r="A167" s="22" t="inlineStr">
        <is>
          <t>1</t>
        </is>
      </c>
      <c r="B167" s="22">
        <f>IF('Brouillard ventes'!$F$61="","","VD"&amp;TEXT(ROW('Brouillard ventes'!$F$61)-5,"00000"))</f>
        <v/>
      </c>
      <c r="C167" s="22">
        <f>IF('Brouillard ventes'!$F$61="","",YEAR('Brouillard ventes'!$A$61)*10000+MONTH('Brouillard ventes'!$A$61)*100+DAY('Brouillard ventes'!$A$61))</f>
        <v/>
      </c>
      <c r="D167" s="22">
        <f>IF('Brouillard ventes'!$F$61="","",'Brouillard ventes'!$B$61)</f>
        <v/>
      </c>
      <c r="E167" s="22">
        <f>IF('Brouillard ventes'!$F$61="","",LEFT('Brouillard ventes'!$D$61,30))</f>
        <v/>
      </c>
      <c r="F167" s="22" t="inlineStr">
        <is>
          <t>15001</t>
        </is>
      </c>
      <c r="G167" s="22">
        <f>IF('Brouillard ventes'!$F$61="","",Paramètres!$B$7)</f>
        <v/>
      </c>
      <c r="H167" s="22">
        <f>IF('Brouillard ventes'!$F$61="","",IF('Brouillard ventes'!$C$61="","CD001",'Brouillard ventes'!$C$61))</f>
        <v/>
      </c>
      <c r="I167" s="22" t="inlineStr"/>
      <c r="J167" s="22" t="inlineStr"/>
      <c r="K167" s="22">
        <f>IF('Brouillard ventes'!$F$61="","",Paramètres!$B$11)</f>
        <v/>
      </c>
      <c r="L167" s="23">
        <f>IF('Brouillard ventes'!$F$61="","",'Brouillard ventes'!$I$61)</f>
        <v/>
      </c>
      <c r="M167" s="23" t="n">
        <v>0</v>
      </c>
    </row>
    <row r="168">
      <c r="A168" s="22" t="inlineStr">
        <is>
          <t>1</t>
        </is>
      </c>
      <c r="B168" s="22">
        <f>IF('Brouillard ventes'!$F$61="","","VD"&amp;TEXT(ROW('Brouillard ventes'!$F$61)-5,"00000"))</f>
        <v/>
      </c>
      <c r="C168" s="22">
        <f>IF('Brouillard ventes'!$F$61="","",YEAR('Brouillard ventes'!$A$61)*10000+MONTH('Brouillard ventes'!$A$61)*100+DAY('Brouillard ventes'!$A$61))</f>
        <v/>
      </c>
      <c r="D168" s="22">
        <f>IF('Brouillard ventes'!$F$61="","",'Brouillard ventes'!$B$61)</f>
        <v/>
      </c>
      <c r="E168" s="22">
        <f>IF('Brouillard ventes'!$F$61="","",LEFT('Brouillard ventes'!$D$61,30))</f>
        <v/>
      </c>
      <c r="F168" s="22" t="inlineStr">
        <is>
          <t>15001</t>
        </is>
      </c>
      <c r="G168" s="22">
        <f>IF('Brouillard ventes'!$F$61="","",IF('Brouillard ventes'!$E$61="Réparation",Paramètres!$B$9,Paramètres!$B$8))</f>
        <v/>
      </c>
      <c r="H168" s="22" t="inlineStr"/>
      <c r="I168" s="22" t="inlineStr"/>
      <c r="J168" s="22" t="inlineStr"/>
      <c r="K168" s="22">
        <f>IF('Brouillard ventes'!$F$61="","",Paramètres!$B$11)</f>
        <v/>
      </c>
      <c r="L168" s="23" t="n">
        <v>0</v>
      </c>
      <c r="M168" s="23">
        <f>IF('Brouillard ventes'!$F$61="","",'Brouillard ventes'!$F$61)</f>
        <v/>
      </c>
    </row>
    <row r="169">
      <c r="A169" s="22" t="inlineStr">
        <is>
          <t>1</t>
        </is>
      </c>
      <c r="B169" s="22">
        <f>IF('Brouillard ventes'!$F$61="","","VD"&amp;TEXT(ROW('Brouillard ventes'!$F$61)-5,"00000"))</f>
        <v/>
      </c>
      <c r="C169" s="22">
        <f>IF('Brouillard ventes'!$F$61="","",YEAR('Brouillard ventes'!$A$61)*10000+MONTH('Brouillard ventes'!$A$61)*100+DAY('Brouillard ventes'!$A$61))</f>
        <v/>
      </c>
      <c r="D169" s="22">
        <f>IF('Brouillard ventes'!$F$61="","",'Brouillard ventes'!$B$61)</f>
        <v/>
      </c>
      <c r="E169" s="22">
        <f>IF('Brouillard ventes'!$F$61="","",LEFT('Brouillard ventes'!$D$61,30))</f>
        <v/>
      </c>
      <c r="F169" s="22" t="inlineStr">
        <is>
          <t>15001</t>
        </is>
      </c>
      <c r="G169" s="22">
        <f>IF('Brouillard ventes'!$F$61="","",Paramètres!$B$10)</f>
        <v/>
      </c>
      <c r="H169" s="22" t="inlineStr"/>
      <c r="I169" s="22" t="inlineStr"/>
      <c r="J169" s="22" t="inlineStr"/>
      <c r="K169" s="22">
        <f>IF('Brouillard ventes'!$F$61="","",Paramètres!$B$11)</f>
        <v/>
      </c>
      <c r="L169" s="23" t="n">
        <v>0</v>
      </c>
      <c r="M169" s="23">
        <f>IF('Brouillard ventes'!$F$61="","",'Brouillard ventes'!$H$61)</f>
        <v/>
      </c>
    </row>
    <row r="170">
      <c r="A170" s="22" t="inlineStr">
        <is>
          <t>1</t>
        </is>
      </c>
      <c r="B170" s="22">
        <f>IF('Brouillard ventes'!$F$62="","","VD"&amp;TEXT(ROW('Brouillard ventes'!$F$62)-5,"00000"))</f>
        <v/>
      </c>
      <c r="C170" s="22">
        <f>IF('Brouillard ventes'!$F$62="","",YEAR('Brouillard ventes'!$A$62)*10000+MONTH('Brouillard ventes'!$A$62)*100+DAY('Brouillard ventes'!$A$62))</f>
        <v/>
      </c>
      <c r="D170" s="22">
        <f>IF('Brouillard ventes'!$F$62="","",'Brouillard ventes'!$B$62)</f>
        <v/>
      </c>
      <c r="E170" s="22">
        <f>IF('Brouillard ventes'!$F$62="","",LEFT('Brouillard ventes'!$D$62,30))</f>
        <v/>
      </c>
      <c r="F170" s="22" t="inlineStr">
        <is>
          <t>15001</t>
        </is>
      </c>
      <c r="G170" s="22">
        <f>IF('Brouillard ventes'!$F$62="","",Paramètres!$B$7)</f>
        <v/>
      </c>
      <c r="H170" s="22">
        <f>IF('Brouillard ventes'!$F$62="","",IF('Brouillard ventes'!$C$62="","CD001",'Brouillard ventes'!$C$62))</f>
        <v/>
      </c>
      <c r="I170" s="22" t="inlineStr"/>
      <c r="J170" s="22" t="inlineStr"/>
      <c r="K170" s="22">
        <f>IF('Brouillard ventes'!$F$62="","",Paramètres!$B$11)</f>
        <v/>
      </c>
      <c r="L170" s="23">
        <f>IF('Brouillard ventes'!$F$62="","",'Brouillard ventes'!$I$62)</f>
        <v/>
      </c>
      <c r="M170" s="23" t="n">
        <v>0</v>
      </c>
    </row>
    <row r="171">
      <c r="A171" s="22" t="inlineStr">
        <is>
          <t>1</t>
        </is>
      </c>
      <c r="B171" s="22">
        <f>IF('Brouillard ventes'!$F$62="","","VD"&amp;TEXT(ROW('Brouillard ventes'!$F$62)-5,"00000"))</f>
        <v/>
      </c>
      <c r="C171" s="22">
        <f>IF('Brouillard ventes'!$F$62="","",YEAR('Brouillard ventes'!$A$62)*10000+MONTH('Brouillard ventes'!$A$62)*100+DAY('Brouillard ventes'!$A$62))</f>
        <v/>
      </c>
      <c r="D171" s="22">
        <f>IF('Brouillard ventes'!$F$62="","",'Brouillard ventes'!$B$62)</f>
        <v/>
      </c>
      <c r="E171" s="22">
        <f>IF('Brouillard ventes'!$F$62="","",LEFT('Brouillard ventes'!$D$62,30))</f>
        <v/>
      </c>
      <c r="F171" s="22" t="inlineStr">
        <is>
          <t>15001</t>
        </is>
      </c>
      <c r="G171" s="22">
        <f>IF('Brouillard ventes'!$F$62="","",IF('Brouillard ventes'!$E$62="Réparation",Paramètres!$B$9,Paramètres!$B$8))</f>
        <v/>
      </c>
      <c r="H171" s="22" t="inlineStr"/>
      <c r="I171" s="22" t="inlineStr"/>
      <c r="J171" s="22" t="inlineStr"/>
      <c r="K171" s="22">
        <f>IF('Brouillard ventes'!$F$62="","",Paramètres!$B$11)</f>
        <v/>
      </c>
      <c r="L171" s="23" t="n">
        <v>0</v>
      </c>
      <c r="M171" s="23">
        <f>IF('Brouillard ventes'!$F$62="","",'Brouillard ventes'!$F$62)</f>
        <v/>
      </c>
    </row>
    <row r="172">
      <c r="A172" s="22" t="inlineStr">
        <is>
          <t>1</t>
        </is>
      </c>
      <c r="B172" s="22">
        <f>IF('Brouillard ventes'!$F$62="","","VD"&amp;TEXT(ROW('Brouillard ventes'!$F$62)-5,"00000"))</f>
        <v/>
      </c>
      <c r="C172" s="22">
        <f>IF('Brouillard ventes'!$F$62="","",YEAR('Brouillard ventes'!$A$62)*10000+MONTH('Brouillard ventes'!$A$62)*100+DAY('Brouillard ventes'!$A$62))</f>
        <v/>
      </c>
      <c r="D172" s="22">
        <f>IF('Brouillard ventes'!$F$62="","",'Brouillard ventes'!$B$62)</f>
        <v/>
      </c>
      <c r="E172" s="22">
        <f>IF('Brouillard ventes'!$F$62="","",LEFT('Brouillard ventes'!$D$62,30))</f>
        <v/>
      </c>
      <c r="F172" s="22" t="inlineStr">
        <is>
          <t>15001</t>
        </is>
      </c>
      <c r="G172" s="22">
        <f>IF('Brouillard ventes'!$F$62="","",Paramètres!$B$10)</f>
        <v/>
      </c>
      <c r="H172" s="22" t="inlineStr"/>
      <c r="I172" s="22" t="inlineStr"/>
      <c r="J172" s="22" t="inlineStr"/>
      <c r="K172" s="22">
        <f>IF('Brouillard ventes'!$F$62="","",Paramètres!$B$11)</f>
        <v/>
      </c>
      <c r="L172" s="23" t="n">
        <v>0</v>
      </c>
      <c r="M172" s="23">
        <f>IF('Brouillard ventes'!$F$62="","",'Brouillard ventes'!$H$62)</f>
        <v/>
      </c>
    </row>
    <row r="173">
      <c r="A173" s="22" t="inlineStr">
        <is>
          <t>1</t>
        </is>
      </c>
      <c r="B173" s="22">
        <f>IF('Brouillard ventes'!$F$63="","","VD"&amp;TEXT(ROW('Brouillard ventes'!$F$63)-5,"00000"))</f>
        <v/>
      </c>
      <c r="C173" s="22">
        <f>IF('Brouillard ventes'!$F$63="","",YEAR('Brouillard ventes'!$A$63)*10000+MONTH('Brouillard ventes'!$A$63)*100+DAY('Brouillard ventes'!$A$63))</f>
        <v/>
      </c>
      <c r="D173" s="22">
        <f>IF('Brouillard ventes'!$F$63="","",'Brouillard ventes'!$B$63)</f>
        <v/>
      </c>
      <c r="E173" s="22">
        <f>IF('Brouillard ventes'!$F$63="","",LEFT('Brouillard ventes'!$D$63,30))</f>
        <v/>
      </c>
      <c r="F173" s="22" t="inlineStr">
        <is>
          <t>15001</t>
        </is>
      </c>
      <c r="G173" s="22">
        <f>IF('Brouillard ventes'!$F$63="","",Paramètres!$B$7)</f>
        <v/>
      </c>
      <c r="H173" s="22">
        <f>IF('Brouillard ventes'!$F$63="","",IF('Brouillard ventes'!$C$63="","CD001",'Brouillard ventes'!$C$63))</f>
        <v/>
      </c>
      <c r="I173" s="22" t="inlineStr"/>
      <c r="J173" s="22" t="inlineStr"/>
      <c r="K173" s="22">
        <f>IF('Brouillard ventes'!$F$63="","",Paramètres!$B$11)</f>
        <v/>
      </c>
      <c r="L173" s="23">
        <f>IF('Brouillard ventes'!$F$63="","",'Brouillard ventes'!$I$63)</f>
        <v/>
      </c>
      <c r="M173" s="23" t="n">
        <v>0</v>
      </c>
    </row>
    <row r="174">
      <c r="A174" s="22" t="inlineStr">
        <is>
          <t>1</t>
        </is>
      </c>
      <c r="B174" s="22">
        <f>IF('Brouillard ventes'!$F$63="","","VD"&amp;TEXT(ROW('Brouillard ventes'!$F$63)-5,"00000"))</f>
        <v/>
      </c>
      <c r="C174" s="22">
        <f>IF('Brouillard ventes'!$F$63="","",YEAR('Brouillard ventes'!$A$63)*10000+MONTH('Brouillard ventes'!$A$63)*100+DAY('Brouillard ventes'!$A$63))</f>
        <v/>
      </c>
      <c r="D174" s="22">
        <f>IF('Brouillard ventes'!$F$63="","",'Brouillard ventes'!$B$63)</f>
        <v/>
      </c>
      <c r="E174" s="22">
        <f>IF('Brouillard ventes'!$F$63="","",LEFT('Brouillard ventes'!$D$63,30))</f>
        <v/>
      </c>
      <c r="F174" s="22" t="inlineStr">
        <is>
          <t>15001</t>
        </is>
      </c>
      <c r="G174" s="22">
        <f>IF('Brouillard ventes'!$F$63="","",IF('Brouillard ventes'!$E$63="Réparation",Paramètres!$B$9,Paramètres!$B$8))</f>
        <v/>
      </c>
      <c r="H174" s="22" t="inlineStr"/>
      <c r="I174" s="22" t="inlineStr"/>
      <c r="J174" s="22" t="inlineStr"/>
      <c r="K174" s="22">
        <f>IF('Brouillard ventes'!$F$63="","",Paramètres!$B$11)</f>
        <v/>
      </c>
      <c r="L174" s="23" t="n">
        <v>0</v>
      </c>
      <c r="M174" s="23">
        <f>IF('Brouillard ventes'!$F$63="","",'Brouillard ventes'!$F$63)</f>
        <v/>
      </c>
    </row>
    <row r="175">
      <c r="A175" s="22" t="inlineStr">
        <is>
          <t>1</t>
        </is>
      </c>
      <c r="B175" s="22">
        <f>IF('Brouillard ventes'!$F$63="","","VD"&amp;TEXT(ROW('Brouillard ventes'!$F$63)-5,"00000"))</f>
        <v/>
      </c>
      <c r="C175" s="22">
        <f>IF('Brouillard ventes'!$F$63="","",YEAR('Brouillard ventes'!$A$63)*10000+MONTH('Brouillard ventes'!$A$63)*100+DAY('Brouillard ventes'!$A$63))</f>
        <v/>
      </c>
      <c r="D175" s="22">
        <f>IF('Brouillard ventes'!$F$63="","",'Brouillard ventes'!$B$63)</f>
        <v/>
      </c>
      <c r="E175" s="22">
        <f>IF('Brouillard ventes'!$F$63="","",LEFT('Brouillard ventes'!$D$63,30))</f>
        <v/>
      </c>
      <c r="F175" s="22" t="inlineStr">
        <is>
          <t>15001</t>
        </is>
      </c>
      <c r="G175" s="22">
        <f>IF('Brouillard ventes'!$F$63="","",Paramètres!$B$10)</f>
        <v/>
      </c>
      <c r="H175" s="22" t="inlineStr"/>
      <c r="I175" s="22" t="inlineStr"/>
      <c r="J175" s="22" t="inlineStr"/>
      <c r="K175" s="22">
        <f>IF('Brouillard ventes'!$F$63="","",Paramètres!$B$11)</f>
        <v/>
      </c>
      <c r="L175" s="23" t="n">
        <v>0</v>
      </c>
      <c r="M175" s="23">
        <f>IF('Brouillard ventes'!$F$63="","",'Brouillard ventes'!$H$63)</f>
        <v/>
      </c>
    </row>
    <row r="176">
      <c r="A176" s="22" t="inlineStr">
        <is>
          <t>1</t>
        </is>
      </c>
      <c r="B176" s="22">
        <f>IF('Brouillard ventes'!$F$64="","","VD"&amp;TEXT(ROW('Brouillard ventes'!$F$64)-5,"00000"))</f>
        <v/>
      </c>
      <c r="C176" s="22">
        <f>IF('Brouillard ventes'!$F$64="","",YEAR('Brouillard ventes'!$A$64)*10000+MONTH('Brouillard ventes'!$A$64)*100+DAY('Brouillard ventes'!$A$64))</f>
        <v/>
      </c>
      <c r="D176" s="22">
        <f>IF('Brouillard ventes'!$F$64="","",'Brouillard ventes'!$B$64)</f>
        <v/>
      </c>
      <c r="E176" s="22">
        <f>IF('Brouillard ventes'!$F$64="","",LEFT('Brouillard ventes'!$D$64,30))</f>
        <v/>
      </c>
      <c r="F176" s="22" t="inlineStr">
        <is>
          <t>15001</t>
        </is>
      </c>
      <c r="G176" s="22">
        <f>IF('Brouillard ventes'!$F$64="","",Paramètres!$B$7)</f>
        <v/>
      </c>
      <c r="H176" s="22">
        <f>IF('Brouillard ventes'!$F$64="","",IF('Brouillard ventes'!$C$64="","CD001",'Brouillard ventes'!$C$64))</f>
        <v/>
      </c>
      <c r="I176" s="22" t="inlineStr"/>
      <c r="J176" s="22" t="inlineStr"/>
      <c r="K176" s="22">
        <f>IF('Brouillard ventes'!$F$64="","",Paramètres!$B$11)</f>
        <v/>
      </c>
      <c r="L176" s="23">
        <f>IF('Brouillard ventes'!$F$64="","",'Brouillard ventes'!$I$64)</f>
        <v/>
      </c>
      <c r="M176" s="23" t="n">
        <v>0</v>
      </c>
    </row>
    <row r="177">
      <c r="A177" s="22" t="inlineStr">
        <is>
          <t>1</t>
        </is>
      </c>
      <c r="B177" s="22">
        <f>IF('Brouillard ventes'!$F$64="","","VD"&amp;TEXT(ROW('Brouillard ventes'!$F$64)-5,"00000"))</f>
        <v/>
      </c>
      <c r="C177" s="22">
        <f>IF('Brouillard ventes'!$F$64="","",YEAR('Brouillard ventes'!$A$64)*10000+MONTH('Brouillard ventes'!$A$64)*100+DAY('Brouillard ventes'!$A$64))</f>
        <v/>
      </c>
      <c r="D177" s="22">
        <f>IF('Brouillard ventes'!$F$64="","",'Brouillard ventes'!$B$64)</f>
        <v/>
      </c>
      <c r="E177" s="22">
        <f>IF('Brouillard ventes'!$F$64="","",LEFT('Brouillard ventes'!$D$64,30))</f>
        <v/>
      </c>
      <c r="F177" s="22" t="inlineStr">
        <is>
          <t>15001</t>
        </is>
      </c>
      <c r="G177" s="22">
        <f>IF('Brouillard ventes'!$F$64="","",IF('Brouillard ventes'!$E$64="Réparation",Paramètres!$B$9,Paramètres!$B$8))</f>
        <v/>
      </c>
      <c r="H177" s="22" t="inlineStr"/>
      <c r="I177" s="22" t="inlineStr"/>
      <c r="J177" s="22" t="inlineStr"/>
      <c r="K177" s="22">
        <f>IF('Brouillard ventes'!$F$64="","",Paramètres!$B$11)</f>
        <v/>
      </c>
      <c r="L177" s="23" t="n">
        <v>0</v>
      </c>
      <c r="M177" s="23">
        <f>IF('Brouillard ventes'!$F$64="","",'Brouillard ventes'!$F$64)</f>
        <v/>
      </c>
    </row>
    <row r="178">
      <c r="A178" s="22" t="inlineStr">
        <is>
          <t>1</t>
        </is>
      </c>
      <c r="B178" s="22">
        <f>IF('Brouillard ventes'!$F$64="","","VD"&amp;TEXT(ROW('Brouillard ventes'!$F$64)-5,"00000"))</f>
        <v/>
      </c>
      <c r="C178" s="22">
        <f>IF('Brouillard ventes'!$F$64="","",YEAR('Brouillard ventes'!$A$64)*10000+MONTH('Brouillard ventes'!$A$64)*100+DAY('Brouillard ventes'!$A$64))</f>
        <v/>
      </c>
      <c r="D178" s="22">
        <f>IF('Brouillard ventes'!$F$64="","",'Brouillard ventes'!$B$64)</f>
        <v/>
      </c>
      <c r="E178" s="22">
        <f>IF('Brouillard ventes'!$F$64="","",LEFT('Brouillard ventes'!$D$64,30))</f>
        <v/>
      </c>
      <c r="F178" s="22" t="inlineStr">
        <is>
          <t>15001</t>
        </is>
      </c>
      <c r="G178" s="22">
        <f>IF('Brouillard ventes'!$F$64="","",Paramètres!$B$10)</f>
        <v/>
      </c>
      <c r="H178" s="22" t="inlineStr"/>
      <c r="I178" s="22" t="inlineStr"/>
      <c r="J178" s="22" t="inlineStr"/>
      <c r="K178" s="22">
        <f>IF('Brouillard ventes'!$F$64="","",Paramètres!$B$11)</f>
        <v/>
      </c>
      <c r="L178" s="23" t="n">
        <v>0</v>
      </c>
      <c r="M178" s="23">
        <f>IF('Brouillard ventes'!$F$64="","",'Brouillard ventes'!$H$64)</f>
        <v/>
      </c>
    </row>
    <row r="179">
      <c r="A179" s="22" t="inlineStr">
        <is>
          <t>1</t>
        </is>
      </c>
      <c r="B179" s="22">
        <f>IF('Brouillard ventes'!$F$65="","","VD"&amp;TEXT(ROW('Brouillard ventes'!$F$65)-5,"00000"))</f>
        <v/>
      </c>
      <c r="C179" s="22">
        <f>IF('Brouillard ventes'!$F$65="","",YEAR('Brouillard ventes'!$A$65)*10000+MONTH('Brouillard ventes'!$A$65)*100+DAY('Brouillard ventes'!$A$65))</f>
        <v/>
      </c>
      <c r="D179" s="22">
        <f>IF('Brouillard ventes'!$F$65="","",'Brouillard ventes'!$B$65)</f>
        <v/>
      </c>
      <c r="E179" s="22">
        <f>IF('Brouillard ventes'!$F$65="","",LEFT('Brouillard ventes'!$D$65,30))</f>
        <v/>
      </c>
      <c r="F179" s="22" t="inlineStr">
        <is>
          <t>15001</t>
        </is>
      </c>
      <c r="G179" s="22">
        <f>IF('Brouillard ventes'!$F$65="","",Paramètres!$B$7)</f>
        <v/>
      </c>
      <c r="H179" s="22">
        <f>IF('Brouillard ventes'!$F$65="","",IF('Brouillard ventes'!$C$65="","CD001",'Brouillard ventes'!$C$65))</f>
        <v/>
      </c>
      <c r="I179" s="22" t="inlineStr"/>
      <c r="J179" s="22" t="inlineStr"/>
      <c r="K179" s="22">
        <f>IF('Brouillard ventes'!$F$65="","",Paramètres!$B$11)</f>
        <v/>
      </c>
      <c r="L179" s="23">
        <f>IF('Brouillard ventes'!$F$65="","",'Brouillard ventes'!$I$65)</f>
        <v/>
      </c>
      <c r="M179" s="23" t="n">
        <v>0</v>
      </c>
    </row>
    <row r="180">
      <c r="A180" s="22" t="inlineStr">
        <is>
          <t>1</t>
        </is>
      </c>
      <c r="B180" s="22">
        <f>IF('Brouillard ventes'!$F$65="","","VD"&amp;TEXT(ROW('Brouillard ventes'!$F$65)-5,"00000"))</f>
        <v/>
      </c>
      <c r="C180" s="22">
        <f>IF('Brouillard ventes'!$F$65="","",YEAR('Brouillard ventes'!$A$65)*10000+MONTH('Brouillard ventes'!$A$65)*100+DAY('Brouillard ventes'!$A$65))</f>
        <v/>
      </c>
      <c r="D180" s="22">
        <f>IF('Brouillard ventes'!$F$65="","",'Brouillard ventes'!$B$65)</f>
        <v/>
      </c>
      <c r="E180" s="22">
        <f>IF('Brouillard ventes'!$F$65="","",LEFT('Brouillard ventes'!$D$65,30))</f>
        <v/>
      </c>
      <c r="F180" s="22" t="inlineStr">
        <is>
          <t>15001</t>
        </is>
      </c>
      <c r="G180" s="22">
        <f>IF('Brouillard ventes'!$F$65="","",IF('Brouillard ventes'!$E$65="Réparation",Paramètres!$B$9,Paramètres!$B$8))</f>
        <v/>
      </c>
      <c r="H180" s="22" t="inlineStr"/>
      <c r="I180" s="22" t="inlineStr"/>
      <c r="J180" s="22" t="inlineStr"/>
      <c r="K180" s="22">
        <f>IF('Brouillard ventes'!$F$65="","",Paramètres!$B$11)</f>
        <v/>
      </c>
      <c r="L180" s="23" t="n">
        <v>0</v>
      </c>
      <c r="M180" s="23">
        <f>IF('Brouillard ventes'!$F$65="","",'Brouillard ventes'!$F$65)</f>
        <v/>
      </c>
    </row>
    <row r="181">
      <c r="A181" s="22" t="inlineStr">
        <is>
          <t>1</t>
        </is>
      </c>
      <c r="B181" s="22">
        <f>IF('Brouillard ventes'!$F$65="","","VD"&amp;TEXT(ROW('Brouillard ventes'!$F$65)-5,"00000"))</f>
        <v/>
      </c>
      <c r="C181" s="22">
        <f>IF('Brouillard ventes'!$F$65="","",YEAR('Brouillard ventes'!$A$65)*10000+MONTH('Brouillard ventes'!$A$65)*100+DAY('Brouillard ventes'!$A$65))</f>
        <v/>
      </c>
      <c r="D181" s="22">
        <f>IF('Brouillard ventes'!$F$65="","",'Brouillard ventes'!$B$65)</f>
        <v/>
      </c>
      <c r="E181" s="22">
        <f>IF('Brouillard ventes'!$F$65="","",LEFT('Brouillard ventes'!$D$65,30))</f>
        <v/>
      </c>
      <c r="F181" s="22" t="inlineStr">
        <is>
          <t>15001</t>
        </is>
      </c>
      <c r="G181" s="22">
        <f>IF('Brouillard ventes'!$F$65="","",Paramètres!$B$10)</f>
        <v/>
      </c>
      <c r="H181" s="22" t="inlineStr"/>
      <c r="I181" s="22" t="inlineStr"/>
      <c r="J181" s="22" t="inlineStr"/>
      <c r="K181" s="22">
        <f>IF('Brouillard ventes'!$F$65="","",Paramètres!$B$11)</f>
        <v/>
      </c>
      <c r="L181" s="23" t="n">
        <v>0</v>
      </c>
      <c r="M181" s="23">
        <f>IF('Brouillard ventes'!$F$65="","",'Brouillard ventes'!$H$65)</f>
        <v/>
      </c>
    </row>
    <row r="182">
      <c r="A182" s="22" t="inlineStr">
        <is>
          <t>1</t>
        </is>
      </c>
      <c r="B182" s="22">
        <f>IF('Brouillard ventes'!$F$66="","","VD"&amp;TEXT(ROW('Brouillard ventes'!$F$66)-5,"00000"))</f>
        <v/>
      </c>
      <c r="C182" s="22">
        <f>IF('Brouillard ventes'!$F$66="","",YEAR('Brouillard ventes'!$A$66)*10000+MONTH('Brouillard ventes'!$A$66)*100+DAY('Brouillard ventes'!$A$66))</f>
        <v/>
      </c>
      <c r="D182" s="22">
        <f>IF('Brouillard ventes'!$F$66="","",'Brouillard ventes'!$B$66)</f>
        <v/>
      </c>
      <c r="E182" s="22">
        <f>IF('Brouillard ventes'!$F$66="","",LEFT('Brouillard ventes'!$D$66,30))</f>
        <v/>
      </c>
      <c r="F182" s="22" t="inlineStr">
        <is>
          <t>15001</t>
        </is>
      </c>
      <c r="G182" s="22">
        <f>IF('Brouillard ventes'!$F$66="","",Paramètres!$B$7)</f>
        <v/>
      </c>
      <c r="H182" s="22">
        <f>IF('Brouillard ventes'!$F$66="","",IF('Brouillard ventes'!$C$66="","CD001",'Brouillard ventes'!$C$66))</f>
        <v/>
      </c>
      <c r="I182" s="22" t="inlineStr"/>
      <c r="J182" s="22" t="inlineStr"/>
      <c r="K182" s="22">
        <f>IF('Brouillard ventes'!$F$66="","",Paramètres!$B$11)</f>
        <v/>
      </c>
      <c r="L182" s="23">
        <f>IF('Brouillard ventes'!$F$66="","",'Brouillard ventes'!$I$66)</f>
        <v/>
      </c>
      <c r="M182" s="23" t="n">
        <v>0</v>
      </c>
    </row>
    <row r="183">
      <c r="A183" s="22" t="inlineStr">
        <is>
          <t>1</t>
        </is>
      </c>
      <c r="B183" s="22">
        <f>IF('Brouillard ventes'!$F$66="","","VD"&amp;TEXT(ROW('Brouillard ventes'!$F$66)-5,"00000"))</f>
        <v/>
      </c>
      <c r="C183" s="22">
        <f>IF('Brouillard ventes'!$F$66="","",YEAR('Brouillard ventes'!$A$66)*10000+MONTH('Brouillard ventes'!$A$66)*100+DAY('Brouillard ventes'!$A$66))</f>
        <v/>
      </c>
      <c r="D183" s="22">
        <f>IF('Brouillard ventes'!$F$66="","",'Brouillard ventes'!$B$66)</f>
        <v/>
      </c>
      <c r="E183" s="22">
        <f>IF('Brouillard ventes'!$F$66="","",LEFT('Brouillard ventes'!$D$66,30))</f>
        <v/>
      </c>
      <c r="F183" s="22" t="inlineStr">
        <is>
          <t>15001</t>
        </is>
      </c>
      <c r="G183" s="22">
        <f>IF('Brouillard ventes'!$F$66="","",IF('Brouillard ventes'!$E$66="Réparation",Paramètres!$B$9,Paramètres!$B$8))</f>
        <v/>
      </c>
      <c r="H183" s="22" t="inlineStr"/>
      <c r="I183" s="22" t="inlineStr"/>
      <c r="J183" s="22" t="inlineStr"/>
      <c r="K183" s="22">
        <f>IF('Brouillard ventes'!$F$66="","",Paramètres!$B$11)</f>
        <v/>
      </c>
      <c r="L183" s="23" t="n">
        <v>0</v>
      </c>
      <c r="M183" s="23">
        <f>IF('Brouillard ventes'!$F$66="","",'Brouillard ventes'!$F$66)</f>
        <v/>
      </c>
    </row>
    <row r="184">
      <c r="A184" s="22" t="inlineStr">
        <is>
          <t>1</t>
        </is>
      </c>
      <c r="B184" s="22">
        <f>IF('Brouillard ventes'!$F$66="","","VD"&amp;TEXT(ROW('Brouillard ventes'!$F$66)-5,"00000"))</f>
        <v/>
      </c>
      <c r="C184" s="22">
        <f>IF('Brouillard ventes'!$F$66="","",YEAR('Brouillard ventes'!$A$66)*10000+MONTH('Brouillard ventes'!$A$66)*100+DAY('Brouillard ventes'!$A$66))</f>
        <v/>
      </c>
      <c r="D184" s="22">
        <f>IF('Brouillard ventes'!$F$66="","",'Brouillard ventes'!$B$66)</f>
        <v/>
      </c>
      <c r="E184" s="22">
        <f>IF('Brouillard ventes'!$F$66="","",LEFT('Brouillard ventes'!$D$66,30))</f>
        <v/>
      </c>
      <c r="F184" s="22" t="inlineStr">
        <is>
          <t>15001</t>
        </is>
      </c>
      <c r="G184" s="22">
        <f>IF('Brouillard ventes'!$F$66="","",Paramètres!$B$10)</f>
        <v/>
      </c>
      <c r="H184" s="22" t="inlineStr"/>
      <c r="I184" s="22" t="inlineStr"/>
      <c r="J184" s="22" t="inlineStr"/>
      <c r="K184" s="22">
        <f>IF('Brouillard ventes'!$F$66="","",Paramètres!$B$11)</f>
        <v/>
      </c>
      <c r="L184" s="23" t="n">
        <v>0</v>
      </c>
      <c r="M184" s="23">
        <f>IF('Brouillard ventes'!$F$66="","",'Brouillard ventes'!$H$66)</f>
        <v/>
      </c>
    </row>
    <row r="185">
      <c r="A185" s="22" t="inlineStr">
        <is>
          <t>1</t>
        </is>
      </c>
      <c r="B185" s="22">
        <f>IF('Brouillard ventes'!$F$67="","","VD"&amp;TEXT(ROW('Brouillard ventes'!$F$67)-5,"00000"))</f>
        <v/>
      </c>
      <c r="C185" s="22">
        <f>IF('Brouillard ventes'!$F$67="","",YEAR('Brouillard ventes'!$A$67)*10000+MONTH('Brouillard ventes'!$A$67)*100+DAY('Brouillard ventes'!$A$67))</f>
        <v/>
      </c>
      <c r="D185" s="22">
        <f>IF('Brouillard ventes'!$F$67="","",'Brouillard ventes'!$B$67)</f>
        <v/>
      </c>
      <c r="E185" s="22">
        <f>IF('Brouillard ventes'!$F$67="","",LEFT('Brouillard ventes'!$D$67,30))</f>
        <v/>
      </c>
      <c r="F185" s="22" t="inlineStr">
        <is>
          <t>15001</t>
        </is>
      </c>
      <c r="G185" s="22">
        <f>IF('Brouillard ventes'!$F$67="","",Paramètres!$B$7)</f>
        <v/>
      </c>
      <c r="H185" s="22">
        <f>IF('Brouillard ventes'!$F$67="","",IF('Brouillard ventes'!$C$67="","CD001",'Brouillard ventes'!$C$67))</f>
        <v/>
      </c>
      <c r="I185" s="22" t="inlineStr"/>
      <c r="J185" s="22" t="inlineStr"/>
      <c r="K185" s="22">
        <f>IF('Brouillard ventes'!$F$67="","",Paramètres!$B$11)</f>
        <v/>
      </c>
      <c r="L185" s="23">
        <f>IF('Brouillard ventes'!$F$67="","",'Brouillard ventes'!$I$67)</f>
        <v/>
      </c>
      <c r="M185" s="23" t="n">
        <v>0</v>
      </c>
    </row>
    <row r="186">
      <c r="A186" s="22" t="inlineStr">
        <is>
          <t>1</t>
        </is>
      </c>
      <c r="B186" s="22">
        <f>IF('Brouillard ventes'!$F$67="","","VD"&amp;TEXT(ROW('Brouillard ventes'!$F$67)-5,"00000"))</f>
        <v/>
      </c>
      <c r="C186" s="22">
        <f>IF('Brouillard ventes'!$F$67="","",YEAR('Brouillard ventes'!$A$67)*10000+MONTH('Brouillard ventes'!$A$67)*100+DAY('Brouillard ventes'!$A$67))</f>
        <v/>
      </c>
      <c r="D186" s="22">
        <f>IF('Brouillard ventes'!$F$67="","",'Brouillard ventes'!$B$67)</f>
        <v/>
      </c>
      <c r="E186" s="22">
        <f>IF('Brouillard ventes'!$F$67="","",LEFT('Brouillard ventes'!$D$67,30))</f>
        <v/>
      </c>
      <c r="F186" s="22" t="inlineStr">
        <is>
          <t>15001</t>
        </is>
      </c>
      <c r="G186" s="22">
        <f>IF('Brouillard ventes'!$F$67="","",IF('Brouillard ventes'!$E$67="Réparation",Paramètres!$B$9,Paramètres!$B$8))</f>
        <v/>
      </c>
      <c r="H186" s="22" t="inlineStr"/>
      <c r="I186" s="22" t="inlineStr"/>
      <c r="J186" s="22" t="inlineStr"/>
      <c r="K186" s="22">
        <f>IF('Brouillard ventes'!$F$67="","",Paramètres!$B$11)</f>
        <v/>
      </c>
      <c r="L186" s="23" t="n">
        <v>0</v>
      </c>
      <c r="M186" s="23">
        <f>IF('Brouillard ventes'!$F$67="","",'Brouillard ventes'!$F$67)</f>
        <v/>
      </c>
    </row>
    <row r="187">
      <c r="A187" s="22" t="inlineStr">
        <is>
          <t>1</t>
        </is>
      </c>
      <c r="B187" s="22">
        <f>IF('Brouillard ventes'!$F$67="","","VD"&amp;TEXT(ROW('Brouillard ventes'!$F$67)-5,"00000"))</f>
        <v/>
      </c>
      <c r="C187" s="22">
        <f>IF('Brouillard ventes'!$F$67="","",YEAR('Brouillard ventes'!$A$67)*10000+MONTH('Brouillard ventes'!$A$67)*100+DAY('Brouillard ventes'!$A$67))</f>
        <v/>
      </c>
      <c r="D187" s="22">
        <f>IF('Brouillard ventes'!$F$67="","",'Brouillard ventes'!$B$67)</f>
        <v/>
      </c>
      <c r="E187" s="22">
        <f>IF('Brouillard ventes'!$F$67="","",LEFT('Brouillard ventes'!$D$67,30))</f>
        <v/>
      </c>
      <c r="F187" s="22" t="inlineStr">
        <is>
          <t>15001</t>
        </is>
      </c>
      <c r="G187" s="22">
        <f>IF('Brouillard ventes'!$F$67="","",Paramètres!$B$10)</f>
        <v/>
      </c>
      <c r="H187" s="22" t="inlineStr"/>
      <c r="I187" s="22" t="inlineStr"/>
      <c r="J187" s="22" t="inlineStr"/>
      <c r="K187" s="22">
        <f>IF('Brouillard ventes'!$F$67="","",Paramètres!$B$11)</f>
        <v/>
      </c>
      <c r="L187" s="23" t="n">
        <v>0</v>
      </c>
      <c r="M187" s="23">
        <f>IF('Brouillard ventes'!$F$67="","",'Brouillard ventes'!$H$67)</f>
        <v/>
      </c>
    </row>
    <row r="188">
      <c r="A188" s="22" t="inlineStr">
        <is>
          <t>1</t>
        </is>
      </c>
      <c r="B188" s="22">
        <f>IF('Brouillard ventes'!$F$68="","","VD"&amp;TEXT(ROW('Brouillard ventes'!$F$68)-5,"00000"))</f>
        <v/>
      </c>
      <c r="C188" s="22">
        <f>IF('Brouillard ventes'!$F$68="","",YEAR('Brouillard ventes'!$A$68)*10000+MONTH('Brouillard ventes'!$A$68)*100+DAY('Brouillard ventes'!$A$68))</f>
        <v/>
      </c>
      <c r="D188" s="22">
        <f>IF('Brouillard ventes'!$F$68="","",'Brouillard ventes'!$B$68)</f>
        <v/>
      </c>
      <c r="E188" s="22">
        <f>IF('Brouillard ventes'!$F$68="","",LEFT('Brouillard ventes'!$D$68,30))</f>
        <v/>
      </c>
      <c r="F188" s="22" t="inlineStr">
        <is>
          <t>15001</t>
        </is>
      </c>
      <c r="G188" s="22">
        <f>IF('Brouillard ventes'!$F$68="","",Paramètres!$B$7)</f>
        <v/>
      </c>
      <c r="H188" s="22">
        <f>IF('Brouillard ventes'!$F$68="","",IF('Brouillard ventes'!$C$68="","CD001",'Brouillard ventes'!$C$68))</f>
        <v/>
      </c>
      <c r="I188" s="22" t="inlineStr"/>
      <c r="J188" s="22" t="inlineStr"/>
      <c r="K188" s="22">
        <f>IF('Brouillard ventes'!$F$68="","",Paramètres!$B$11)</f>
        <v/>
      </c>
      <c r="L188" s="23">
        <f>IF('Brouillard ventes'!$F$68="","",'Brouillard ventes'!$I$68)</f>
        <v/>
      </c>
      <c r="M188" s="23" t="n">
        <v>0</v>
      </c>
    </row>
    <row r="189">
      <c r="A189" s="22" t="inlineStr">
        <is>
          <t>1</t>
        </is>
      </c>
      <c r="B189" s="22">
        <f>IF('Brouillard ventes'!$F$68="","","VD"&amp;TEXT(ROW('Brouillard ventes'!$F$68)-5,"00000"))</f>
        <v/>
      </c>
      <c r="C189" s="22">
        <f>IF('Brouillard ventes'!$F$68="","",YEAR('Brouillard ventes'!$A$68)*10000+MONTH('Brouillard ventes'!$A$68)*100+DAY('Brouillard ventes'!$A$68))</f>
        <v/>
      </c>
      <c r="D189" s="22">
        <f>IF('Brouillard ventes'!$F$68="","",'Brouillard ventes'!$B$68)</f>
        <v/>
      </c>
      <c r="E189" s="22">
        <f>IF('Brouillard ventes'!$F$68="","",LEFT('Brouillard ventes'!$D$68,30))</f>
        <v/>
      </c>
      <c r="F189" s="22" t="inlineStr">
        <is>
          <t>15001</t>
        </is>
      </c>
      <c r="G189" s="22">
        <f>IF('Brouillard ventes'!$F$68="","",IF('Brouillard ventes'!$E$68="Réparation",Paramètres!$B$9,Paramètres!$B$8))</f>
        <v/>
      </c>
      <c r="H189" s="22" t="inlineStr"/>
      <c r="I189" s="22" t="inlineStr"/>
      <c r="J189" s="22" t="inlineStr"/>
      <c r="K189" s="22">
        <f>IF('Brouillard ventes'!$F$68="","",Paramètres!$B$11)</f>
        <v/>
      </c>
      <c r="L189" s="23" t="n">
        <v>0</v>
      </c>
      <c r="M189" s="23">
        <f>IF('Brouillard ventes'!$F$68="","",'Brouillard ventes'!$F$68)</f>
        <v/>
      </c>
    </row>
    <row r="190">
      <c r="A190" s="22" t="inlineStr">
        <is>
          <t>1</t>
        </is>
      </c>
      <c r="B190" s="22">
        <f>IF('Brouillard ventes'!$F$68="","","VD"&amp;TEXT(ROW('Brouillard ventes'!$F$68)-5,"00000"))</f>
        <v/>
      </c>
      <c r="C190" s="22">
        <f>IF('Brouillard ventes'!$F$68="","",YEAR('Brouillard ventes'!$A$68)*10000+MONTH('Brouillard ventes'!$A$68)*100+DAY('Brouillard ventes'!$A$68))</f>
        <v/>
      </c>
      <c r="D190" s="22">
        <f>IF('Brouillard ventes'!$F$68="","",'Brouillard ventes'!$B$68)</f>
        <v/>
      </c>
      <c r="E190" s="22">
        <f>IF('Brouillard ventes'!$F$68="","",LEFT('Brouillard ventes'!$D$68,30))</f>
        <v/>
      </c>
      <c r="F190" s="22" t="inlineStr">
        <is>
          <t>15001</t>
        </is>
      </c>
      <c r="G190" s="22">
        <f>IF('Brouillard ventes'!$F$68="","",Paramètres!$B$10)</f>
        <v/>
      </c>
      <c r="H190" s="22" t="inlineStr"/>
      <c r="I190" s="22" t="inlineStr"/>
      <c r="J190" s="22" t="inlineStr"/>
      <c r="K190" s="22">
        <f>IF('Brouillard ventes'!$F$68="","",Paramètres!$B$11)</f>
        <v/>
      </c>
      <c r="L190" s="23" t="n">
        <v>0</v>
      </c>
      <c r="M190" s="23">
        <f>IF('Brouillard ventes'!$F$68="","",'Brouillard ventes'!$H$68)</f>
        <v/>
      </c>
    </row>
    <row r="191">
      <c r="A191" s="22" t="inlineStr">
        <is>
          <t>1</t>
        </is>
      </c>
      <c r="B191" s="22">
        <f>IF('Brouillard ventes'!$F$69="","","VD"&amp;TEXT(ROW('Brouillard ventes'!$F$69)-5,"00000"))</f>
        <v/>
      </c>
      <c r="C191" s="22">
        <f>IF('Brouillard ventes'!$F$69="","",YEAR('Brouillard ventes'!$A$69)*10000+MONTH('Brouillard ventes'!$A$69)*100+DAY('Brouillard ventes'!$A$69))</f>
        <v/>
      </c>
      <c r="D191" s="22">
        <f>IF('Brouillard ventes'!$F$69="","",'Brouillard ventes'!$B$69)</f>
        <v/>
      </c>
      <c r="E191" s="22">
        <f>IF('Brouillard ventes'!$F$69="","",LEFT('Brouillard ventes'!$D$69,30))</f>
        <v/>
      </c>
      <c r="F191" s="22" t="inlineStr">
        <is>
          <t>15001</t>
        </is>
      </c>
      <c r="G191" s="22">
        <f>IF('Brouillard ventes'!$F$69="","",Paramètres!$B$7)</f>
        <v/>
      </c>
      <c r="H191" s="22">
        <f>IF('Brouillard ventes'!$F$69="","",IF('Brouillard ventes'!$C$69="","CD001",'Brouillard ventes'!$C$69))</f>
        <v/>
      </c>
      <c r="I191" s="22" t="inlineStr"/>
      <c r="J191" s="22" t="inlineStr"/>
      <c r="K191" s="22">
        <f>IF('Brouillard ventes'!$F$69="","",Paramètres!$B$11)</f>
        <v/>
      </c>
      <c r="L191" s="23">
        <f>IF('Brouillard ventes'!$F$69="","",'Brouillard ventes'!$I$69)</f>
        <v/>
      </c>
      <c r="M191" s="23" t="n">
        <v>0</v>
      </c>
    </row>
    <row r="192">
      <c r="A192" s="22" t="inlineStr">
        <is>
          <t>1</t>
        </is>
      </c>
      <c r="B192" s="22">
        <f>IF('Brouillard ventes'!$F$69="","","VD"&amp;TEXT(ROW('Brouillard ventes'!$F$69)-5,"00000"))</f>
        <v/>
      </c>
      <c r="C192" s="22">
        <f>IF('Brouillard ventes'!$F$69="","",YEAR('Brouillard ventes'!$A$69)*10000+MONTH('Brouillard ventes'!$A$69)*100+DAY('Brouillard ventes'!$A$69))</f>
        <v/>
      </c>
      <c r="D192" s="22">
        <f>IF('Brouillard ventes'!$F$69="","",'Brouillard ventes'!$B$69)</f>
        <v/>
      </c>
      <c r="E192" s="22">
        <f>IF('Brouillard ventes'!$F$69="","",LEFT('Brouillard ventes'!$D$69,30))</f>
        <v/>
      </c>
      <c r="F192" s="22" t="inlineStr">
        <is>
          <t>15001</t>
        </is>
      </c>
      <c r="G192" s="22">
        <f>IF('Brouillard ventes'!$F$69="","",IF('Brouillard ventes'!$E$69="Réparation",Paramètres!$B$9,Paramètres!$B$8))</f>
        <v/>
      </c>
      <c r="H192" s="22" t="inlineStr"/>
      <c r="I192" s="22" t="inlineStr"/>
      <c r="J192" s="22" t="inlineStr"/>
      <c r="K192" s="22">
        <f>IF('Brouillard ventes'!$F$69="","",Paramètres!$B$11)</f>
        <v/>
      </c>
      <c r="L192" s="23" t="n">
        <v>0</v>
      </c>
      <c r="M192" s="23">
        <f>IF('Brouillard ventes'!$F$69="","",'Brouillard ventes'!$F$69)</f>
        <v/>
      </c>
    </row>
    <row r="193">
      <c r="A193" s="22" t="inlineStr">
        <is>
          <t>1</t>
        </is>
      </c>
      <c r="B193" s="22">
        <f>IF('Brouillard ventes'!$F$69="","","VD"&amp;TEXT(ROW('Brouillard ventes'!$F$69)-5,"00000"))</f>
        <v/>
      </c>
      <c r="C193" s="22">
        <f>IF('Brouillard ventes'!$F$69="","",YEAR('Brouillard ventes'!$A$69)*10000+MONTH('Brouillard ventes'!$A$69)*100+DAY('Brouillard ventes'!$A$69))</f>
        <v/>
      </c>
      <c r="D193" s="22">
        <f>IF('Brouillard ventes'!$F$69="","",'Brouillard ventes'!$B$69)</f>
        <v/>
      </c>
      <c r="E193" s="22">
        <f>IF('Brouillard ventes'!$F$69="","",LEFT('Brouillard ventes'!$D$69,30))</f>
        <v/>
      </c>
      <c r="F193" s="22" t="inlineStr">
        <is>
          <t>15001</t>
        </is>
      </c>
      <c r="G193" s="22">
        <f>IF('Brouillard ventes'!$F$69="","",Paramètres!$B$10)</f>
        <v/>
      </c>
      <c r="H193" s="22" t="inlineStr"/>
      <c r="I193" s="22" t="inlineStr"/>
      <c r="J193" s="22" t="inlineStr"/>
      <c r="K193" s="22">
        <f>IF('Brouillard ventes'!$F$69="","",Paramètres!$B$11)</f>
        <v/>
      </c>
      <c r="L193" s="23" t="n">
        <v>0</v>
      </c>
      <c r="M193" s="23">
        <f>IF('Brouillard ventes'!$F$69="","",'Brouillard ventes'!$H$69)</f>
        <v/>
      </c>
    </row>
    <row r="194">
      <c r="A194" s="22" t="inlineStr">
        <is>
          <t>1</t>
        </is>
      </c>
      <c r="B194" s="22">
        <f>IF('Brouillard ventes'!$F$70="","","VD"&amp;TEXT(ROW('Brouillard ventes'!$F$70)-5,"00000"))</f>
        <v/>
      </c>
      <c r="C194" s="22">
        <f>IF('Brouillard ventes'!$F$70="","",YEAR('Brouillard ventes'!$A$70)*10000+MONTH('Brouillard ventes'!$A$70)*100+DAY('Brouillard ventes'!$A$70))</f>
        <v/>
      </c>
      <c r="D194" s="22">
        <f>IF('Brouillard ventes'!$F$70="","",'Brouillard ventes'!$B$70)</f>
        <v/>
      </c>
      <c r="E194" s="22">
        <f>IF('Brouillard ventes'!$F$70="","",LEFT('Brouillard ventes'!$D$70,30))</f>
        <v/>
      </c>
      <c r="F194" s="22" t="inlineStr">
        <is>
          <t>15001</t>
        </is>
      </c>
      <c r="G194" s="22">
        <f>IF('Brouillard ventes'!$F$70="","",Paramètres!$B$7)</f>
        <v/>
      </c>
      <c r="H194" s="22">
        <f>IF('Brouillard ventes'!$F$70="","",IF('Brouillard ventes'!$C$70="","CD001",'Brouillard ventes'!$C$70))</f>
        <v/>
      </c>
      <c r="I194" s="22" t="inlineStr"/>
      <c r="J194" s="22" t="inlineStr"/>
      <c r="K194" s="22">
        <f>IF('Brouillard ventes'!$F$70="","",Paramètres!$B$11)</f>
        <v/>
      </c>
      <c r="L194" s="23">
        <f>IF('Brouillard ventes'!$F$70="","",'Brouillard ventes'!$I$70)</f>
        <v/>
      </c>
      <c r="M194" s="23" t="n">
        <v>0</v>
      </c>
    </row>
    <row r="195">
      <c r="A195" s="22" t="inlineStr">
        <is>
          <t>1</t>
        </is>
      </c>
      <c r="B195" s="22">
        <f>IF('Brouillard ventes'!$F$70="","","VD"&amp;TEXT(ROW('Brouillard ventes'!$F$70)-5,"00000"))</f>
        <v/>
      </c>
      <c r="C195" s="22">
        <f>IF('Brouillard ventes'!$F$70="","",YEAR('Brouillard ventes'!$A$70)*10000+MONTH('Brouillard ventes'!$A$70)*100+DAY('Brouillard ventes'!$A$70))</f>
        <v/>
      </c>
      <c r="D195" s="22">
        <f>IF('Brouillard ventes'!$F$70="","",'Brouillard ventes'!$B$70)</f>
        <v/>
      </c>
      <c r="E195" s="22">
        <f>IF('Brouillard ventes'!$F$70="","",LEFT('Brouillard ventes'!$D$70,30))</f>
        <v/>
      </c>
      <c r="F195" s="22" t="inlineStr">
        <is>
          <t>15001</t>
        </is>
      </c>
      <c r="G195" s="22">
        <f>IF('Brouillard ventes'!$F$70="","",IF('Brouillard ventes'!$E$70="Réparation",Paramètres!$B$9,Paramètres!$B$8))</f>
        <v/>
      </c>
      <c r="H195" s="22" t="inlineStr"/>
      <c r="I195" s="22" t="inlineStr"/>
      <c r="J195" s="22" t="inlineStr"/>
      <c r="K195" s="22">
        <f>IF('Brouillard ventes'!$F$70="","",Paramètres!$B$11)</f>
        <v/>
      </c>
      <c r="L195" s="23" t="n">
        <v>0</v>
      </c>
      <c r="M195" s="23">
        <f>IF('Brouillard ventes'!$F$70="","",'Brouillard ventes'!$F$70)</f>
        <v/>
      </c>
    </row>
    <row r="196">
      <c r="A196" s="22" t="inlineStr">
        <is>
          <t>1</t>
        </is>
      </c>
      <c r="B196" s="22">
        <f>IF('Brouillard ventes'!$F$70="","","VD"&amp;TEXT(ROW('Brouillard ventes'!$F$70)-5,"00000"))</f>
        <v/>
      </c>
      <c r="C196" s="22">
        <f>IF('Brouillard ventes'!$F$70="","",YEAR('Brouillard ventes'!$A$70)*10000+MONTH('Brouillard ventes'!$A$70)*100+DAY('Brouillard ventes'!$A$70))</f>
        <v/>
      </c>
      <c r="D196" s="22">
        <f>IF('Brouillard ventes'!$F$70="","",'Brouillard ventes'!$B$70)</f>
        <v/>
      </c>
      <c r="E196" s="22">
        <f>IF('Brouillard ventes'!$F$70="","",LEFT('Brouillard ventes'!$D$70,30))</f>
        <v/>
      </c>
      <c r="F196" s="22" t="inlineStr">
        <is>
          <t>15001</t>
        </is>
      </c>
      <c r="G196" s="22">
        <f>IF('Brouillard ventes'!$F$70="","",Paramètres!$B$10)</f>
        <v/>
      </c>
      <c r="H196" s="22" t="inlineStr"/>
      <c r="I196" s="22" t="inlineStr"/>
      <c r="J196" s="22" t="inlineStr"/>
      <c r="K196" s="22">
        <f>IF('Brouillard ventes'!$F$70="","",Paramètres!$B$11)</f>
        <v/>
      </c>
      <c r="L196" s="23" t="n">
        <v>0</v>
      </c>
      <c r="M196" s="23">
        <f>IF('Brouillard ventes'!$F$70="","",'Brouillard ventes'!$H$70)</f>
        <v/>
      </c>
    </row>
    <row r="197">
      <c r="A197" s="22" t="inlineStr">
        <is>
          <t>1</t>
        </is>
      </c>
      <c r="B197" s="22">
        <f>IF('Brouillard ventes'!$F$71="","","VD"&amp;TEXT(ROW('Brouillard ventes'!$F$71)-5,"00000"))</f>
        <v/>
      </c>
      <c r="C197" s="22">
        <f>IF('Brouillard ventes'!$F$71="","",YEAR('Brouillard ventes'!$A$71)*10000+MONTH('Brouillard ventes'!$A$71)*100+DAY('Brouillard ventes'!$A$71))</f>
        <v/>
      </c>
      <c r="D197" s="22">
        <f>IF('Brouillard ventes'!$F$71="","",'Brouillard ventes'!$B$71)</f>
        <v/>
      </c>
      <c r="E197" s="22">
        <f>IF('Brouillard ventes'!$F$71="","",LEFT('Brouillard ventes'!$D$71,30))</f>
        <v/>
      </c>
      <c r="F197" s="22" t="inlineStr">
        <is>
          <t>15001</t>
        </is>
      </c>
      <c r="G197" s="22">
        <f>IF('Brouillard ventes'!$F$71="","",Paramètres!$B$7)</f>
        <v/>
      </c>
      <c r="H197" s="22">
        <f>IF('Brouillard ventes'!$F$71="","",IF('Brouillard ventes'!$C$71="","CD001",'Brouillard ventes'!$C$71))</f>
        <v/>
      </c>
      <c r="I197" s="22" t="inlineStr"/>
      <c r="J197" s="22" t="inlineStr"/>
      <c r="K197" s="22">
        <f>IF('Brouillard ventes'!$F$71="","",Paramètres!$B$11)</f>
        <v/>
      </c>
      <c r="L197" s="23">
        <f>IF('Brouillard ventes'!$F$71="","",'Brouillard ventes'!$I$71)</f>
        <v/>
      </c>
      <c r="M197" s="23" t="n">
        <v>0</v>
      </c>
    </row>
    <row r="198">
      <c r="A198" s="22" t="inlineStr">
        <is>
          <t>1</t>
        </is>
      </c>
      <c r="B198" s="22">
        <f>IF('Brouillard ventes'!$F$71="","","VD"&amp;TEXT(ROW('Brouillard ventes'!$F$71)-5,"00000"))</f>
        <v/>
      </c>
      <c r="C198" s="22">
        <f>IF('Brouillard ventes'!$F$71="","",YEAR('Brouillard ventes'!$A$71)*10000+MONTH('Brouillard ventes'!$A$71)*100+DAY('Brouillard ventes'!$A$71))</f>
        <v/>
      </c>
      <c r="D198" s="22">
        <f>IF('Brouillard ventes'!$F$71="","",'Brouillard ventes'!$B$71)</f>
        <v/>
      </c>
      <c r="E198" s="22">
        <f>IF('Brouillard ventes'!$F$71="","",LEFT('Brouillard ventes'!$D$71,30))</f>
        <v/>
      </c>
      <c r="F198" s="22" t="inlineStr">
        <is>
          <t>15001</t>
        </is>
      </c>
      <c r="G198" s="22">
        <f>IF('Brouillard ventes'!$F$71="","",IF('Brouillard ventes'!$E$71="Réparation",Paramètres!$B$9,Paramètres!$B$8))</f>
        <v/>
      </c>
      <c r="H198" s="22" t="inlineStr"/>
      <c r="I198" s="22" t="inlineStr"/>
      <c r="J198" s="22" t="inlineStr"/>
      <c r="K198" s="22">
        <f>IF('Brouillard ventes'!$F$71="","",Paramètres!$B$11)</f>
        <v/>
      </c>
      <c r="L198" s="23" t="n">
        <v>0</v>
      </c>
      <c r="M198" s="23">
        <f>IF('Brouillard ventes'!$F$71="","",'Brouillard ventes'!$F$71)</f>
        <v/>
      </c>
    </row>
    <row r="199">
      <c r="A199" s="22" t="inlineStr">
        <is>
          <t>1</t>
        </is>
      </c>
      <c r="B199" s="22">
        <f>IF('Brouillard ventes'!$F$71="","","VD"&amp;TEXT(ROW('Brouillard ventes'!$F$71)-5,"00000"))</f>
        <v/>
      </c>
      <c r="C199" s="22">
        <f>IF('Brouillard ventes'!$F$71="","",YEAR('Brouillard ventes'!$A$71)*10000+MONTH('Brouillard ventes'!$A$71)*100+DAY('Brouillard ventes'!$A$71))</f>
        <v/>
      </c>
      <c r="D199" s="22">
        <f>IF('Brouillard ventes'!$F$71="","",'Brouillard ventes'!$B$71)</f>
        <v/>
      </c>
      <c r="E199" s="22">
        <f>IF('Brouillard ventes'!$F$71="","",LEFT('Brouillard ventes'!$D$71,30))</f>
        <v/>
      </c>
      <c r="F199" s="22" t="inlineStr">
        <is>
          <t>15001</t>
        </is>
      </c>
      <c r="G199" s="22">
        <f>IF('Brouillard ventes'!$F$71="","",Paramètres!$B$10)</f>
        <v/>
      </c>
      <c r="H199" s="22" t="inlineStr"/>
      <c r="I199" s="22" t="inlineStr"/>
      <c r="J199" s="22" t="inlineStr"/>
      <c r="K199" s="22">
        <f>IF('Brouillard ventes'!$F$71="","",Paramètres!$B$11)</f>
        <v/>
      </c>
      <c r="L199" s="23" t="n">
        <v>0</v>
      </c>
      <c r="M199" s="23">
        <f>IF('Brouillard ventes'!$F$71="","",'Brouillard ventes'!$H$71)</f>
        <v/>
      </c>
    </row>
    <row r="200">
      <c r="A200" s="22" t="inlineStr">
        <is>
          <t>1</t>
        </is>
      </c>
      <c r="B200" s="22">
        <f>IF('Brouillard ventes'!$F$72="","","VD"&amp;TEXT(ROW('Brouillard ventes'!$F$72)-5,"00000"))</f>
        <v/>
      </c>
      <c r="C200" s="22">
        <f>IF('Brouillard ventes'!$F$72="","",YEAR('Brouillard ventes'!$A$72)*10000+MONTH('Brouillard ventes'!$A$72)*100+DAY('Brouillard ventes'!$A$72))</f>
        <v/>
      </c>
      <c r="D200" s="22">
        <f>IF('Brouillard ventes'!$F$72="","",'Brouillard ventes'!$B$72)</f>
        <v/>
      </c>
      <c r="E200" s="22">
        <f>IF('Brouillard ventes'!$F$72="","",LEFT('Brouillard ventes'!$D$72,30))</f>
        <v/>
      </c>
      <c r="F200" s="22" t="inlineStr">
        <is>
          <t>15001</t>
        </is>
      </c>
      <c r="G200" s="22">
        <f>IF('Brouillard ventes'!$F$72="","",Paramètres!$B$7)</f>
        <v/>
      </c>
      <c r="H200" s="22">
        <f>IF('Brouillard ventes'!$F$72="","",IF('Brouillard ventes'!$C$72="","CD001",'Brouillard ventes'!$C$72))</f>
        <v/>
      </c>
      <c r="I200" s="22" t="inlineStr"/>
      <c r="J200" s="22" t="inlineStr"/>
      <c r="K200" s="22">
        <f>IF('Brouillard ventes'!$F$72="","",Paramètres!$B$11)</f>
        <v/>
      </c>
      <c r="L200" s="23">
        <f>IF('Brouillard ventes'!$F$72="","",'Brouillard ventes'!$I$72)</f>
        <v/>
      </c>
      <c r="M200" s="23" t="n">
        <v>0</v>
      </c>
    </row>
    <row r="201">
      <c r="A201" s="22" t="inlineStr">
        <is>
          <t>1</t>
        </is>
      </c>
      <c r="B201" s="22">
        <f>IF('Brouillard ventes'!$F$72="","","VD"&amp;TEXT(ROW('Brouillard ventes'!$F$72)-5,"00000"))</f>
        <v/>
      </c>
      <c r="C201" s="22">
        <f>IF('Brouillard ventes'!$F$72="","",YEAR('Brouillard ventes'!$A$72)*10000+MONTH('Brouillard ventes'!$A$72)*100+DAY('Brouillard ventes'!$A$72))</f>
        <v/>
      </c>
      <c r="D201" s="22">
        <f>IF('Brouillard ventes'!$F$72="","",'Brouillard ventes'!$B$72)</f>
        <v/>
      </c>
      <c r="E201" s="22">
        <f>IF('Brouillard ventes'!$F$72="","",LEFT('Brouillard ventes'!$D$72,30))</f>
        <v/>
      </c>
      <c r="F201" s="22" t="inlineStr">
        <is>
          <t>15001</t>
        </is>
      </c>
      <c r="G201" s="22">
        <f>IF('Brouillard ventes'!$F$72="","",IF('Brouillard ventes'!$E$72="Réparation",Paramètres!$B$9,Paramètres!$B$8))</f>
        <v/>
      </c>
      <c r="H201" s="22" t="inlineStr"/>
      <c r="I201" s="22" t="inlineStr"/>
      <c r="J201" s="22" t="inlineStr"/>
      <c r="K201" s="22">
        <f>IF('Brouillard ventes'!$F$72="","",Paramètres!$B$11)</f>
        <v/>
      </c>
      <c r="L201" s="23" t="n">
        <v>0</v>
      </c>
      <c r="M201" s="23">
        <f>IF('Brouillard ventes'!$F$72="","",'Brouillard ventes'!$F$72)</f>
        <v/>
      </c>
    </row>
    <row r="202">
      <c r="A202" s="22" t="inlineStr">
        <is>
          <t>1</t>
        </is>
      </c>
      <c r="B202" s="22">
        <f>IF('Brouillard ventes'!$F$72="","","VD"&amp;TEXT(ROW('Brouillard ventes'!$F$72)-5,"00000"))</f>
        <v/>
      </c>
      <c r="C202" s="22">
        <f>IF('Brouillard ventes'!$F$72="","",YEAR('Brouillard ventes'!$A$72)*10000+MONTH('Brouillard ventes'!$A$72)*100+DAY('Brouillard ventes'!$A$72))</f>
        <v/>
      </c>
      <c r="D202" s="22">
        <f>IF('Brouillard ventes'!$F$72="","",'Brouillard ventes'!$B$72)</f>
        <v/>
      </c>
      <c r="E202" s="22">
        <f>IF('Brouillard ventes'!$F$72="","",LEFT('Brouillard ventes'!$D$72,30))</f>
        <v/>
      </c>
      <c r="F202" s="22" t="inlineStr">
        <is>
          <t>15001</t>
        </is>
      </c>
      <c r="G202" s="22">
        <f>IF('Brouillard ventes'!$F$72="","",Paramètres!$B$10)</f>
        <v/>
      </c>
      <c r="H202" s="22" t="inlineStr"/>
      <c r="I202" s="22" t="inlineStr"/>
      <c r="J202" s="22" t="inlineStr"/>
      <c r="K202" s="22">
        <f>IF('Brouillard ventes'!$F$72="","",Paramètres!$B$11)</f>
        <v/>
      </c>
      <c r="L202" s="23" t="n">
        <v>0</v>
      </c>
      <c r="M202" s="23">
        <f>IF('Brouillard ventes'!$F$72="","",'Brouillard ventes'!$H$72)</f>
        <v/>
      </c>
    </row>
    <row r="203">
      <c r="A203" s="22" t="inlineStr">
        <is>
          <t>1</t>
        </is>
      </c>
      <c r="B203" s="22">
        <f>IF('Brouillard ventes'!$F$73="","","VD"&amp;TEXT(ROW('Brouillard ventes'!$F$73)-5,"00000"))</f>
        <v/>
      </c>
      <c r="C203" s="22">
        <f>IF('Brouillard ventes'!$F$73="","",YEAR('Brouillard ventes'!$A$73)*10000+MONTH('Brouillard ventes'!$A$73)*100+DAY('Brouillard ventes'!$A$73))</f>
        <v/>
      </c>
      <c r="D203" s="22">
        <f>IF('Brouillard ventes'!$F$73="","",'Brouillard ventes'!$B$73)</f>
        <v/>
      </c>
      <c r="E203" s="22">
        <f>IF('Brouillard ventes'!$F$73="","",LEFT('Brouillard ventes'!$D$73,30))</f>
        <v/>
      </c>
      <c r="F203" s="22" t="inlineStr">
        <is>
          <t>15001</t>
        </is>
      </c>
      <c r="G203" s="22">
        <f>IF('Brouillard ventes'!$F$73="","",Paramètres!$B$7)</f>
        <v/>
      </c>
      <c r="H203" s="22">
        <f>IF('Brouillard ventes'!$F$73="","",IF('Brouillard ventes'!$C$73="","CD001",'Brouillard ventes'!$C$73))</f>
        <v/>
      </c>
      <c r="I203" s="22" t="inlineStr"/>
      <c r="J203" s="22" t="inlineStr"/>
      <c r="K203" s="22">
        <f>IF('Brouillard ventes'!$F$73="","",Paramètres!$B$11)</f>
        <v/>
      </c>
      <c r="L203" s="23">
        <f>IF('Brouillard ventes'!$F$73="","",'Brouillard ventes'!$I$73)</f>
        <v/>
      </c>
      <c r="M203" s="23" t="n">
        <v>0</v>
      </c>
    </row>
    <row r="204">
      <c r="A204" s="22" t="inlineStr">
        <is>
          <t>1</t>
        </is>
      </c>
      <c r="B204" s="22">
        <f>IF('Brouillard ventes'!$F$73="","","VD"&amp;TEXT(ROW('Brouillard ventes'!$F$73)-5,"00000"))</f>
        <v/>
      </c>
      <c r="C204" s="22">
        <f>IF('Brouillard ventes'!$F$73="","",YEAR('Brouillard ventes'!$A$73)*10000+MONTH('Brouillard ventes'!$A$73)*100+DAY('Brouillard ventes'!$A$73))</f>
        <v/>
      </c>
      <c r="D204" s="22">
        <f>IF('Brouillard ventes'!$F$73="","",'Brouillard ventes'!$B$73)</f>
        <v/>
      </c>
      <c r="E204" s="22">
        <f>IF('Brouillard ventes'!$F$73="","",LEFT('Brouillard ventes'!$D$73,30))</f>
        <v/>
      </c>
      <c r="F204" s="22" t="inlineStr">
        <is>
          <t>15001</t>
        </is>
      </c>
      <c r="G204" s="22">
        <f>IF('Brouillard ventes'!$F$73="","",IF('Brouillard ventes'!$E$73="Réparation",Paramètres!$B$9,Paramètres!$B$8))</f>
        <v/>
      </c>
      <c r="H204" s="22" t="inlineStr"/>
      <c r="I204" s="22" t="inlineStr"/>
      <c r="J204" s="22" t="inlineStr"/>
      <c r="K204" s="22">
        <f>IF('Brouillard ventes'!$F$73="","",Paramètres!$B$11)</f>
        <v/>
      </c>
      <c r="L204" s="23" t="n">
        <v>0</v>
      </c>
      <c r="M204" s="23">
        <f>IF('Brouillard ventes'!$F$73="","",'Brouillard ventes'!$F$73)</f>
        <v/>
      </c>
    </row>
    <row r="205">
      <c r="A205" s="22" t="inlineStr">
        <is>
          <t>1</t>
        </is>
      </c>
      <c r="B205" s="22">
        <f>IF('Brouillard ventes'!$F$73="","","VD"&amp;TEXT(ROW('Brouillard ventes'!$F$73)-5,"00000"))</f>
        <v/>
      </c>
      <c r="C205" s="22">
        <f>IF('Brouillard ventes'!$F$73="","",YEAR('Brouillard ventes'!$A$73)*10000+MONTH('Brouillard ventes'!$A$73)*100+DAY('Brouillard ventes'!$A$73))</f>
        <v/>
      </c>
      <c r="D205" s="22">
        <f>IF('Brouillard ventes'!$F$73="","",'Brouillard ventes'!$B$73)</f>
        <v/>
      </c>
      <c r="E205" s="22">
        <f>IF('Brouillard ventes'!$F$73="","",LEFT('Brouillard ventes'!$D$73,30))</f>
        <v/>
      </c>
      <c r="F205" s="22" t="inlineStr">
        <is>
          <t>15001</t>
        </is>
      </c>
      <c r="G205" s="22">
        <f>IF('Brouillard ventes'!$F$73="","",Paramètres!$B$10)</f>
        <v/>
      </c>
      <c r="H205" s="22" t="inlineStr"/>
      <c r="I205" s="22" t="inlineStr"/>
      <c r="J205" s="22" t="inlineStr"/>
      <c r="K205" s="22">
        <f>IF('Brouillard ventes'!$F$73="","",Paramètres!$B$11)</f>
        <v/>
      </c>
      <c r="L205" s="23" t="n">
        <v>0</v>
      </c>
      <c r="M205" s="23">
        <f>IF('Brouillard ventes'!$F$73="","",'Brouillard ventes'!$H$73)</f>
        <v/>
      </c>
    </row>
    <row r="206">
      <c r="A206" s="22" t="inlineStr">
        <is>
          <t>1</t>
        </is>
      </c>
      <c r="B206" s="22">
        <f>IF('Brouillard ventes'!$F$74="","","VD"&amp;TEXT(ROW('Brouillard ventes'!$F$74)-5,"00000"))</f>
        <v/>
      </c>
      <c r="C206" s="22">
        <f>IF('Brouillard ventes'!$F$74="","",YEAR('Brouillard ventes'!$A$74)*10000+MONTH('Brouillard ventes'!$A$74)*100+DAY('Brouillard ventes'!$A$74))</f>
        <v/>
      </c>
      <c r="D206" s="22">
        <f>IF('Brouillard ventes'!$F$74="","",'Brouillard ventes'!$B$74)</f>
        <v/>
      </c>
      <c r="E206" s="22">
        <f>IF('Brouillard ventes'!$F$74="","",LEFT('Brouillard ventes'!$D$74,30))</f>
        <v/>
      </c>
      <c r="F206" s="22" t="inlineStr">
        <is>
          <t>15001</t>
        </is>
      </c>
      <c r="G206" s="22">
        <f>IF('Brouillard ventes'!$F$74="","",Paramètres!$B$7)</f>
        <v/>
      </c>
      <c r="H206" s="22">
        <f>IF('Brouillard ventes'!$F$74="","",IF('Brouillard ventes'!$C$74="","CD001",'Brouillard ventes'!$C$74))</f>
        <v/>
      </c>
      <c r="I206" s="22" t="inlineStr"/>
      <c r="J206" s="22" t="inlineStr"/>
      <c r="K206" s="22">
        <f>IF('Brouillard ventes'!$F$74="","",Paramètres!$B$11)</f>
        <v/>
      </c>
      <c r="L206" s="23">
        <f>IF('Brouillard ventes'!$F$74="","",'Brouillard ventes'!$I$74)</f>
        <v/>
      </c>
      <c r="M206" s="23" t="n">
        <v>0</v>
      </c>
    </row>
    <row r="207">
      <c r="A207" s="22" t="inlineStr">
        <is>
          <t>1</t>
        </is>
      </c>
      <c r="B207" s="22">
        <f>IF('Brouillard ventes'!$F$74="","","VD"&amp;TEXT(ROW('Brouillard ventes'!$F$74)-5,"00000"))</f>
        <v/>
      </c>
      <c r="C207" s="22">
        <f>IF('Brouillard ventes'!$F$74="","",YEAR('Brouillard ventes'!$A$74)*10000+MONTH('Brouillard ventes'!$A$74)*100+DAY('Brouillard ventes'!$A$74))</f>
        <v/>
      </c>
      <c r="D207" s="22">
        <f>IF('Brouillard ventes'!$F$74="","",'Brouillard ventes'!$B$74)</f>
        <v/>
      </c>
      <c r="E207" s="22">
        <f>IF('Brouillard ventes'!$F$74="","",LEFT('Brouillard ventes'!$D$74,30))</f>
        <v/>
      </c>
      <c r="F207" s="22" t="inlineStr">
        <is>
          <t>15001</t>
        </is>
      </c>
      <c r="G207" s="22">
        <f>IF('Brouillard ventes'!$F$74="","",IF('Brouillard ventes'!$E$74="Réparation",Paramètres!$B$9,Paramètres!$B$8))</f>
        <v/>
      </c>
      <c r="H207" s="22" t="inlineStr"/>
      <c r="I207" s="22" t="inlineStr"/>
      <c r="J207" s="22" t="inlineStr"/>
      <c r="K207" s="22">
        <f>IF('Brouillard ventes'!$F$74="","",Paramètres!$B$11)</f>
        <v/>
      </c>
      <c r="L207" s="23" t="n">
        <v>0</v>
      </c>
      <c r="M207" s="23">
        <f>IF('Brouillard ventes'!$F$74="","",'Brouillard ventes'!$F$74)</f>
        <v/>
      </c>
    </row>
    <row r="208">
      <c r="A208" s="22" t="inlineStr">
        <is>
          <t>1</t>
        </is>
      </c>
      <c r="B208" s="22">
        <f>IF('Brouillard ventes'!$F$74="","","VD"&amp;TEXT(ROW('Brouillard ventes'!$F$74)-5,"00000"))</f>
        <v/>
      </c>
      <c r="C208" s="22">
        <f>IF('Brouillard ventes'!$F$74="","",YEAR('Brouillard ventes'!$A$74)*10000+MONTH('Brouillard ventes'!$A$74)*100+DAY('Brouillard ventes'!$A$74))</f>
        <v/>
      </c>
      <c r="D208" s="22">
        <f>IF('Brouillard ventes'!$F$74="","",'Brouillard ventes'!$B$74)</f>
        <v/>
      </c>
      <c r="E208" s="22">
        <f>IF('Brouillard ventes'!$F$74="","",LEFT('Brouillard ventes'!$D$74,30))</f>
        <v/>
      </c>
      <c r="F208" s="22" t="inlineStr">
        <is>
          <t>15001</t>
        </is>
      </c>
      <c r="G208" s="22">
        <f>IF('Brouillard ventes'!$F$74="","",Paramètres!$B$10)</f>
        <v/>
      </c>
      <c r="H208" s="22" t="inlineStr"/>
      <c r="I208" s="22" t="inlineStr"/>
      <c r="J208" s="22" t="inlineStr"/>
      <c r="K208" s="22">
        <f>IF('Brouillard ventes'!$F$74="","",Paramètres!$B$11)</f>
        <v/>
      </c>
      <c r="L208" s="23" t="n">
        <v>0</v>
      </c>
      <c r="M208" s="23">
        <f>IF('Brouillard ventes'!$F$74="","",'Brouillard ventes'!$H$74)</f>
        <v/>
      </c>
    </row>
    <row r="209">
      <c r="A209" s="22" t="inlineStr">
        <is>
          <t>1</t>
        </is>
      </c>
      <c r="B209" s="22">
        <f>IF('Brouillard ventes'!$F$75="","","VD"&amp;TEXT(ROW('Brouillard ventes'!$F$75)-5,"00000"))</f>
        <v/>
      </c>
      <c r="C209" s="22">
        <f>IF('Brouillard ventes'!$F$75="","",YEAR('Brouillard ventes'!$A$75)*10000+MONTH('Brouillard ventes'!$A$75)*100+DAY('Brouillard ventes'!$A$75))</f>
        <v/>
      </c>
      <c r="D209" s="22">
        <f>IF('Brouillard ventes'!$F$75="","",'Brouillard ventes'!$B$75)</f>
        <v/>
      </c>
      <c r="E209" s="22">
        <f>IF('Brouillard ventes'!$F$75="","",LEFT('Brouillard ventes'!$D$75,30))</f>
        <v/>
      </c>
      <c r="F209" s="22" t="inlineStr">
        <is>
          <t>15001</t>
        </is>
      </c>
      <c r="G209" s="22">
        <f>IF('Brouillard ventes'!$F$75="","",Paramètres!$B$7)</f>
        <v/>
      </c>
      <c r="H209" s="22">
        <f>IF('Brouillard ventes'!$F$75="","",IF('Brouillard ventes'!$C$75="","CD001",'Brouillard ventes'!$C$75))</f>
        <v/>
      </c>
      <c r="I209" s="22" t="inlineStr"/>
      <c r="J209" s="22" t="inlineStr"/>
      <c r="K209" s="22">
        <f>IF('Brouillard ventes'!$F$75="","",Paramètres!$B$11)</f>
        <v/>
      </c>
      <c r="L209" s="23">
        <f>IF('Brouillard ventes'!$F$75="","",'Brouillard ventes'!$I$75)</f>
        <v/>
      </c>
      <c r="M209" s="23" t="n">
        <v>0</v>
      </c>
    </row>
    <row r="210">
      <c r="A210" s="22" t="inlineStr">
        <is>
          <t>1</t>
        </is>
      </c>
      <c r="B210" s="22">
        <f>IF('Brouillard ventes'!$F$75="","","VD"&amp;TEXT(ROW('Brouillard ventes'!$F$75)-5,"00000"))</f>
        <v/>
      </c>
      <c r="C210" s="22">
        <f>IF('Brouillard ventes'!$F$75="","",YEAR('Brouillard ventes'!$A$75)*10000+MONTH('Brouillard ventes'!$A$75)*100+DAY('Brouillard ventes'!$A$75))</f>
        <v/>
      </c>
      <c r="D210" s="22">
        <f>IF('Brouillard ventes'!$F$75="","",'Brouillard ventes'!$B$75)</f>
        <v/>
      </c>
      <c r="E210" s="22">
        <f>IF('Brouillard ventes'!$F$75="","",LEFT('Brouillard ventes'!$D$75,30))</f>
        <v/>
      </c>
      <c r="F210" s="22" t="inlineStr">
        <is>
          <t>15001</t>
        </is>
      </c>
      <c r="G210" s="22">
        <f>IF('Brouillard ventes'!$F$75="","",IF('Brouillard ventes'!$E$75="Réparation",Paramètres!$B$9,Paramètres!$B$8))</f>
        <v/>
      </c>
      <c r="H210" s="22" t="inlineStr"/>
      <c r="I210" s="22" t="inlineStr"/>
      <c r="J210" s="22" t="inlineStr"/>
      <c r="K210" s="22">
        <f>IF('Brouillard ventes'!$F$75="","",Paramètres!$B$11)</f>
        <v/>
      </c>
      <c r="L210" s="23" t="n">
        <v>0</v>
      </c>
      <c r="M210" s="23">
        <f>IF('Brouillard ventes'!$F$75="","",'Brouillard ventes'!$F$75)</f>
        <v/>
      </c>
    </row>
    <row r="211">
      <c r="A211" s="22" t="inlineStr">
        <is>
          <t>1</t>
        </is>
      </c>
      <c r="B211" s="22">
        <f>IF('Brouillard ventes'!$F$75="","","VD"&amp;TEXT(ROW('Brouillard ventes'!$F$75)-5,"00000"))</f>
        <v/>
      </c>
      <c r="C211" s="22">
        <f>IF('Brouillard ventes'!$F$75="","",YEAR('Brouillard ventes'!$A$75)*10000+MONTH('Brouillard ventes'!$A$75)*100+DAY('Brouillard ventes'!$A$75))</f>
        <v/>
      </c>
      <c r="D211" s="22">
        <f>IF('Brouillard ventes'!$F$75="","",'Brouillard ventes'!$B$75)</f>
        <v/>
      </c>
      <c r="E211" s="22">
        <f>IF('Brouillard ventes'!$F$75="","",LEFT('Brouillard ventes'!$D$75,30))</f>
        <v/>
      </c>
      <c r="F211" s="22" t="inlineStr">
        <is>
          <t>15001</t>
        </is>
      </c>
      <c r="G211" s="22">
        <f>IF('Brouillard ventes'!$F$75="","",Paramètres!$B$10)</f>
        <v/>
      </c>
      <c r="H211" s="22" t="inlineStr"/>
      <c r="I211" s="22" t="inlineStr"/>
      <c r="J211" s="22" t="inlineStr"/>
      <c r="K211" s="22">
        <f>IF('Brouillard ventes'!$F$75="","",Paramètres!$B$11)</f>
        <v/>
      </c>
      <c r="L211" s="23" t="n">
        <v>0</v>
      </c>
      <c r="M211" s="23">
        <f>IF('Brouillard ventes'!$F$75="","",'Brouillard ventes'!$H$75)</f>
        <v/>
      </c>
    </row>
    <row r="212">
      <c r="A212" s="22" t="inlineStr">
        <is>
          <t>1</t>
        </is>
      </c>
      <c r="B212" s="22">
        <f>IF('Brouillard ventes'!$F$76="","","VD"&amp;TEXT(ROW('Brouillard ventes'!$F$76)-5,"00000"))</f>
        <v/>
      </c>
      <c r="C212" s="22">
        <f>IF('Brouillard ventes'!$F$76="","",YEAR('Brouillard ventes'!$A$76)*10000+MONTH('Brouillard ventes'!$A$76)*100+DAY('Brouillard ventes'!$A$76))</f>
        <v/>
      </c>
      <c r="D212" s="22">
        <f>IF('Brouillard ventes'!$F$76="","",'Brouillard ventes'!$B$76)</f>
        <v/>
      </c>
      <c r="E212" s="22">
        <f>IF('Brouillard ventes'!$F$76="","",LEFT('Brouillard ventes'!$D$76,30))</f>
        <v/>
      </c>
      <c r="F212" s="22" t="inlineStr">
        <is>
          <t>15001</t>
        </is>
      </c>
      <c r="G212" s="22">
        <f>IF('Brouillard ventes'!$F$76="","",Paramètres!$B$7)</f>
        <v/>
      </c>
      <c r="H212" s="22">
        <f>IF('Brouillard ventes'!$F$76="","",IF('Brouillard ventes'!$C$76="","CD001",'Brouillard ventes'!$C$76))</f>
        <v/>
      </c>
      <c r="I212" s="22" t="inlineStr"/>
      <c r="J212" s="22" t="inlineStr"/>
      <c r="K212" s="22">
        <f>IF('Brouillard ventes'!$F$76="","",Paramètres!$B$11)</f>
        <v/>
      </c>
      <c r="L212" s="23">
        <f>IF('Brouillard ventes'!$F$76="","",'Brouillard ventes'!$I$76)</f>
        <v/>
      </c>
      <c r="M212" s="23" t="n">
        <v>0</v>
      </c>
    </row>
    <row r="213">
      <c r="A213" s="22" t="inlineStr">
        <is>
          <t>1</t>
        </is>
      </c>
      <c r="B213" s="22">
        <f>IF('Brouillard ventes'!$F$76="","","VD"&amp;TEXT(ROW('Brouillard ventes'!$F$76)-5,"00000"))</f>
        <v/>
      </c>
      <c r="C213" s="22">
        <f>IF('Brouillard ventes'!$F$76="","",YEAR('Brouillard ventes'!$A$76)*10000+MONTH('Brouillard ventes'!$A$76)*100+DAY('Brouillard ventes'!$A$76))</f>
        <v/>
      </c>
      <c r="D213" s="22">
        <f>IF('Brouillard ventes'!$F$76="","",'Brouillard ventes'!$B$76)</f>
        <v/>
      </c>
      <c r="E213" s="22">
        <f>IF('Brouillard ventes'!$F$76="","",LEFT('Brouillard ventes'!$D$76,30))</f>
        <v/>
      </c>
      <c r="F213" s="22" t="inlineStr">
        <is>
          <t>15001</t>
        </is>
      </c>
      <c r="G213" s="22">
        <f>IF('Brouillard ventes'!$F$76="","",IF('Brouillard ventes'!$E$76="Réparation",Paramètres!$B$9,Paramètres!$B$8))</f>
        <v/>
      </c>
      <c r="H213" s="22" t="inlineStr"/>
      <c r="I213" s="22" t="inlineStr"/>
      <c r="J213" s="22" t="inlineStr"/>
      <c r="K213" s="22">
        <f>IF('Brouillard ventes'!$F$76="","",Paramètres!$B$11)</f>
        <v/>
      </c>
      <c r="L213" s="23" t="n">
        <v>0</v>
      </c>
      <c r="M213" s="23">
        <f>IF('Brouillard ventes'!$F$76="","",'Brouillard ventes'!$F$76)</f>
        <v/>
      </c>
    </row>
    <row r="214">
      <c r="A214" s="22" t="inlineStr">
        <is>
          <t>1</t>
        </is>
      </c>
      <c r="B214" s="22">
        <f>IF('Brouillard ventes'!$F$76="","","VD"&amp;TEXT(ROW('Brouillard ventes'!$F$76)-5,"00000"))</f>
        <v/>
      </c>
      <c r="C214" s="22">
        <f>IF('Brouillard ventes'!$F$76="","",YEAR('Brouillard ventes'!$A$76)*10000+MONTH('Brouillard ventes'!$A$76)*100+DAY('Brouillard ventes'!$A$76))</f>
        <v/>
      </c>
      <c r="D214" s="22">
        <f>IF('Brouillard ventes'!$F$76="","",'Brouillard ventes'!$B$76)</f>
        <v/>
      </c>
      <c r="E214" s="22">
        <f>IF('Brouillard ventes'!$F$76="","",LEFT('Brouillard ventes'!$D$76,30))</f>
        <v/>
      </c>
      <c r="F214" s="22" t="inlineStr">
        <is>
          <t>15001</t>
        </is>
      </c>
      <c r="G214" s="22">
        <f>IF('Brouillard ventes'!$F$76="","",Paramètres!$B$10)</f>
        <v/>
      </c>
      <c r="H214" s="22" t="inlineStr"/>
      <c r="I214" s="22" t="inlineStr"/>
      <c r="J214" s="22" t="inlineStr"/>
      <c r="K214" s="22">
        <f>IF('Brouillard ventes'!$F$76="","",Paramètres!$B$11)</f>
        <v/>
      </c>
      <c r="L214" s="23" t="n">
        <v>0</v>
      </c>
      <c r="M214" s="23">
        <f>IF('Brouillard ventes'!$F$76="","",'Brouillard ventes'!$H$76)</f>
        <v/>
      </c>
    </row>
    <row r="215">
      <c r="A215" s="22" t="inlineStr">
        <is>
          <t>1</t>
        </is>
      </c>
      <c r="B215" s="22">
        <f>IF('Brouillard ventes'!$F$77="","","VD"&amp;TEXT(ROW('Brouillard ventes'!$F$77)-5,"00000"))</f>
        <v/>
      </c>
      <c r="C215" s="22">
        <f>IF('Brouillard ventes'!$F$77="","",YEAR('Brouillard ventes'!$A$77)*10000+MONTH('Brouillard ventes'!$A$77)*100+DAY('Brouillard ventes'!$A$77))</f>
        <v/>
      </c>
      <c r="D215" s="22">
        <f>IF('Brouillard ventes'!$F$77="","",'Brouillard ventes'!$B$77)</f>
        <v/>
      </c>
      <c r="E215" s="22">
        <f>IF('Brouillard ventes'!$F$77="","",LEFT('Brouillard ventes'!$D$77,30))</f>
        <v/>
      </c>
      <c r="F215" s="22" t="inlineStr">
        <is>
          <t>15001</t>
        </is>
      </c>
      <c r="G215" s="22">
        <f>IF('Brouillard ventes'!$F$77="","",Paramètres!$B$7)</f>
        <v/>
      </c>
      <c r="H215" s="22">
        <f>IF('Brouillard ventes'!$F$77="","",IF('Brouillard ventes'!$C$77="","CD001",'Brouillard ventes'!$C$77))</f>
        <v/>
      </c>
      <c r="I215" s="22" t="inlineStr"/>
      <c r="J215" s="22" t="inlineStr"/>
      <c r="K215" s="22">
        <f>IF('Brouillard ventes'!$F$77="","",Paramètres!$B$11)</f>
        <v/>
      </c>
      <c r="L215" s="23">
        <f>IF('Brouillard ventes'!$F$77="","",'Brouillard ventes'!$I$77)</f>
        <v/>
      </c>
      <c r="M215" s="23" t="n">
        <v>0</v>
      </c>
    </row>
    <row r="216">
      <c r="A216" s="22" t="inlineStr">
        <is>
          <t>1</t>
        </is>
      </c>
      <c r="B216" s="22">
        <f>IF('Brouillard ventes'!$F$77="","","VD"&amp;TEXT(ROW('Brouillard ventes'!$F$77)-5,"00000"))</f>
        <v/>
      </c>
      <c r="C216" s="22">
        <f>IF('Brouillard ventes'!$F$77="","",YEAR('Brouillard ventes'!$A$77)*10000+MONTH('Brouillard ventes'!$A$77)*100+DAY('Brouillard ventes'!$A$77))</f>
        <v/>
      </c>
      <c r="D216" s="22">
        <f>IF('Brouillard ventes'!$F$77="","",'Brouillard ventes'!$B$77)</f>
        <v/>
      </c>
      <c r="E216" s="22">
        <f>IF('Brouillard ventes'!$F$77="","",LEFT('Brouillard ventes'!$D$77,30))</f>
        <v/>
      </c>
      <c r="F216" s="22" t="inlineStr">
        <is>
          <t>15001</t>
        </is>
      </c>
      <c r="G216" s="22">
        <f>IF('Brouillard ventes'!$F$77="","",IF('Brouillard ventes'!$E$77="Réparation",Paramètres!$B$9,Paramètres!$B$8))</f>
        <v/>
      </c>
      <c r="H216" s="22" t="inlineStr"/>
      <c r="I216" s="22" t="inlineStr"/>
      <c r="J216" s="22" t="inlineStr"/>
      <c r="K216" s="22">
        <f>IF('Brouillard ventes'!$F$77="","",Paramètres!$B$11)</f>
        <v/>
      </c>
      <c r="L216" s="23" t="n">
        <v>0</v>
      </c>
      <c r="M216" s="23">
        <f>IF('Brouillard ventes'!$F$77="","",'Brouillard ventes'!$F$77)</f>
        <v/>
      </c>
    </row>
    <row r="217">
      <c r="A217" s="22" t="inlineStr">
        <is>
          <t>1</t>
        </is>
      </c>
      <c r="B217" s="22">
        <f>IF('Brouillard ventes'!$F$77="","","VD"&amp;TEXT(ROW('Brouillard ventes'!$F$77)-5,"00000"))</f>
        <v/>
      </c>
      <c r="C217" s="22">
        <f>IF('Brouillard ventes'!$F$77="","",YEAR('Brouillard ventes'!$A$77)*10000+MONTH('Brouillard ventes'!$A$77)*100+DAY('Brouillard ventes'!$A$77))</f>
        <v/>
      </c>
      <c r="D217" s="22">
        <f>IF('Brouillard ventes'!$F$77="","",'Brouillard ventes'!$B$77)</f>
        <v/>
      </c>
      <c r="E217" s="22">
        <f>IF('Brouillard ventes'!$F$77="","",LEFT('Brouillard ventes'!$D$77,30))</f>
        <v/>
      </c>
      <c r="F217" s="22" t="inlineStr">
        <is>
          <t>15001</t>
        </is>
      </c>
      <c r="G217" s="22">
        <f>IF('Brouillard ventes'!$F$77="","",Paramètres!$B$10)</f>
        <v/>
      </c>
      <c r="H217" s="22" t="inlineStr"/>
      <c r="I217" s="22" t="inlineStr"/>
      <c r="J217" s="22" t="inlineStr"/>
      <c r="K217" s="22">
        <f>IF('Brouillard ventes'!$F$77="","",Paramètres!$B$11)</f>
        <v/>
      </c>
      <c r="L217" s="23" t="n">
        <v>0</v>
      </c>
      <c r="M217" s="23">
        <f>IF('Brouillard ventes'!$F$77="","",'Brouillard ventes'!$H$77)</f>
        <v/>
      </c>
    </row>
    <row r="218">
      <c r="A218" s="22" t="inlineStr">
        <is>
          <t>1</t>
        </is>
      </c>
      <c r="B218" s="22">
        <f>IF('Brouillard ventes'!$F$78="","","VD"&amp;TEXT(ROW('Brouillard ventes'!$F$78)-5,"00000"))</f>
        <v/>
      </c>
      <c r="C218" s="22">
        <f>IF('Brouillard ventes'!$F$78="","",YEAR('Brouillard ventes'!$A$78)*10000+MONTH('Brouillard ventes'!$A$78)*100+DAY('Brouillard ventes'!$A$78))</f>
        <v/>
      </c>
      <c r="D218" s="22">
        <f>IF('Brouillard ventes'!$F$78="","",'Brouillard ventes'!$B$78)</f>
        <v/>
      </c>
      <c r="E218" s="22">
        <f>IF('Brouillard ventes'!$F$78="","",LEFT('Brouillard ventes'!$D$78,30))</f>
        <v/>
      </c>
      <c r="F218" s="22" t="inlineStr">
        <is>
          <t>15001</t>
        </is>
      </c>
      <c r="G218" s="22">
        <f>IF('Brouillard ventes'!$F$78="","",Paramètres!$B$7)</f>
        <v/>
      </c>
      <c r="H218" s="22">
        <f>IF('Brouillard ventes'!$F$78="","",IF('Brouillard ventes'!$C$78="","CD001",'Brouillard ventes'!$C$78))</f>
        <v/>
      </c>
      <c r="I218" s="22" t="inlineStr"/>
      <c r="J218" s="22" t="inlineStr"/>
      <c r="K218" s="22">
        <f>IF('Brouillard ventes'!$F$78="","",Paramètres!$B$11)</f>
        <v/>
      </c>
      <c r="L218" s="23">
        <f>IF('Brouillard ventes'!$F$78="","",'Brouillard ventes'!$I$78)</f>
        <v/>
      </c>
      <c r="M218" s="23" t="n">
        <v>0</v>
      </c>
    </row>
    <row r="219">
      <c r="A219" s="22" t="inlineStr">
        <is>
          <t>1</t>
        </is>
      </c>
      <c r="B219" s="22">
        <f>IF('Brouillard ventes'!$F$78="","","VD"&amp;TEXT(ROW('Brouillard ventes'!$F$78)-5,"00000"))</f>
        <v/>
      </c>
      <c r="C219" s="22">
        <f>IF('Brouillard ventes'!$F$78="","",YEAR('Brouillard ventes'!$A$78)*10000+MONTH('Brouillard ventes'!$A$78)*100+DAY('Brouillard ventes'!$A$78))</f>
        <v/>
      </c>
      <c r="D219" s="22">
        <f>IF('Brouillard ventes'!$F$78="","",'Brouillard ventes'!$B$78)</f>
        <v/>
      </c>
      <c r="E219" s="22">
        <f>IF('Brouillard ventes'!$F$78="","",LEFT('Brouillard ventes'!$D$78,30))</f>
        <v/>
      </c>
      <c r="F219" s="22" t="inlineStr">
        <is>
          <t>15001</t>
        </is>
      </c>
      <c r="G219" s="22">
        <f>IF('Brouillard ventes'!$F$78="","",IF('Brouillard ventes'!$E$78="Réparation",Paramètres!$B$9,Paramètres!$B$8))</f>
        <v/>
      </c>
      <c r="H219" s="22" t="inlineStr"/>
      <c r="I219" s="22" t="inlineStr"/>
      <c r="J219" s="22" t="inlineStr"/>
      <c r="K219" s="22">
        <f>IF('Brouillard ventes'!$F$78="","",Paramètres!$B$11)</f>
        <v/>
      </c>
      <c r="L219" s="23" t="n">
        <v>0</v>
      </c>
      <c r="M219" s="23">
        <f>IF('Brouillard ventes'!$F$78="","",'Brouillard ventes'!$F$78)</f>
        <v/>
      </c>
    </row>
    <row r="220">
      <c r="A220" s="22" t="inlineStr">
        <is>
          <t>1</t>
        </is>
      </c>
      <c r="B220" s="22">
        <f>IF('Brouillard ventes'!$F$78="","","VD"&amp;TEXT(ROW('Brouillard ventes'!$F$78)-5,"00000"))</f>
        <v/>
      </c>
      <c r="C220" s="22">
        <f>IF('Brouillard ventes'!$F$78="","",YEAR('Brouillard ventes'!$A$78)*10000+MONTH('Brouillard ventes'!$A$78)*100+DAY('Brouillard ventes'!$A$78))</f>
        <v/>
      </c>
      <c r="D220" s="22">
        <f>IF('Brouillard ventes'!$F$78="","",'Brouillard ventes'!$B$78)</f>
        <v/>
      </c>
      <c r="E220" s="22">
        <f>IF('Brouillard ventes'!$F$78="","",LEFT('Brouillard ventes'!$D$78,30))</f>
        <v/>
      </c>
      <c r="F220" s="22" t="inlineStr">
        <is>
          <t>15001</t>
        </is>
      </c>
      <c r="G220" s="22">
        <f>IF('Brouillard ventes'!$F$78="","",Paramètres!$B$10)</f>
        <v/>
      </c>
      <c r="H220" s="22" t="inlineStr"/>
      <c r="I220" s="22" t="inlineStr"/>
      <c r="J220" s="22" t="inlineStr"/>
      <c r="K220" s="22">
        <f>IF('Brouillard ventes'!$F$78="","",Paramètres!$B$11)</f>
        <v/>
      </c>
      <c r="L220" s="23" t="n">
        <v>0</v>
      </c>
      <c r="M220" s="23">
        <f>IF('Brouillard ventes'!$F$78="","",'Brouillard ventes'!$H$78)</f>
        <v/>
      </c>
    </row>
    <row r="221">
      <c r="A221" s="22" t="inlineStr">
        <is>
          <t>1</t>
        </is>
      </c>
      <c r="B221" s="22">
        <f>IF('Brouillard ventes'!$F$79="","","VD"&amp;TEXT(ROW('Brouillard ventes'!$F$79)-5,"00000"))</f>
        <v/>
      </c>
      <c r="C221" s="22">
        <f>IF('Brouillard ventes'!$F$79="","",YEAR('Brouillard ventes'!$A$79)*10000+MONTH('Brouillard ventes'!$A$79)*100+DAY('Brouillard ventes'!$A$79))</f>
        <v/>
      </c>
      <c r="D221" s="22">
        <f>IF('Brouillard ventes'!$F$79="","",'Brouillard ventes'!$B$79)</f>
        <v/>
      </c>
      <c r="E221" s="22">
        <f>IF('Brouillard ventes'!$F$79="","",LEFT('Brouillard ventes'!$D$79,30))</f>
        <v/>
      </c>
      <c r="F221" s="22" t="inlineStr">
        <is>
          <t>15001</t>
        </is>
      </c>
      <c r="G221" s="22">
        <f>IF('Brouillard ventes'!$F$79="","",Paramètres!$B$7)</f>
        <v/>
      </c>
      <c r="H221" s="22">
        <f>IF('Brouillard ventes'!$F$79="","",IF('Brouillard ventes'!$C$79="","CD001",'Brouillard ventes'!$C$79))</f>
        <v/>
      </c>
      <c r="I221" s="22" t="inlineStr"/>
      <c r="J221" s="22" t="inlineStr"/>
      <c r="K221" s="22">
        <f>IF('Brouillard ventes'!$F$79="","",Paramètres!$B$11)</f>
        <v/>
      </c>
      <c r="L221" s="23">
        <f>IF('Brouillard ventes'!$F$79="","",'Brouillard ventes'!$I$79)</f>
        <v/>
      </c>
      <c r="M221" s="23" t="n">
        <v>0</v>
      </c>
    </row>
    <row r="222">
      <c r="A222" s="22" t="inlineStr">
        <is>
          <t>1</t>
        </is>
      </c>
      <c r="B222" s="22">
        <f>IF('Brouillard ventes'!$F$79="","","VD"&amp;TEXT(ROW('Brouillard ventes'!$F$79)-5,"00000"))</f>
        <v/>
      </c>
      <c r="C222" s="22">
        <f>IF('Brouillard ventes'!$F$79="","",YEAR('Brouillard ventes'!$A$79)*10000+MONTH('Brouillard ventes'!$A$79)*100+DAY('Brouillard ventes'!$A$79))</f>
        <v/>
      </c>
      <c r="D222" s="22">
        <f>IF('Brouillard ventes'!$F$79="","",'Brouillard ventes'!$B$79)</f>
        <v/>
      </c>
      <c r="E222" s="22">
        <f>IF('Brouillard ventes'!$F$79="","",LEFT('Brouillard ventes'!$D$79,30))</f>
        <v/>
      </c>
      <c r="F222" s="22" t="inlineStr">
        <is>
          <t>15001</t>
        </is>
      </c>
      <c r="G222" s="22">
        <f>IF('Brouillard ventes'!$F$79="","",IF('Brouillard ventes'!$E$79="Réparation",Paramètres!$B$9,Paramètres!$B$8))</f>
        <v/>
      </c>
      <c r="H222" s="22" t="inlineStr"/>
      <c r="I222" s="22" t="inlineStr"/>
      <c r="J222" s="22" t="inlineStr"/>
      <c r="K222" s="22">
        <f>IF('Brouillard ventes'!$F$79="","",Paramètres!$B$11)</f>
        <v/>
      </c>
      <c r="L222" s="23" t="n">
        <v>0</v>
      </c>
      <c r="M222" s="23">
        <f>IF('Brouillard ventes'!$F$79="","",'Brouillard ventes'!$F$79)</f>
        <v/>
      </c>
    </row>
    <row r="223">
      <c r="A223" s="22" t="inlineStr">
        <is>
          <t>1</t>
        </is>
      </c>
      <c r="B223" s="22">
        <f>IF('Brouillard ventes'!$F$79="","","VD"&amp;TEXT(ROW('Brouillard ventes'!$F$79)-5,"00000"))</f>
        <v/>
      </c>
      <c r="C223" s="22">
        <f>IF('Brouillard ventes'!$F$79="","",YEAR('Brouillard ventes'!$A$79)*10000+MONTH('Brouillard ventes'!$A$79)*100+DAY('Brouillard ventes'!$A$79))</f>
        <v/>
      </c>
      <c r="D223" s="22">
        <f>IF('Brouillard ventes'!$F$79="","",'Brouillard ventes'!$B$79)</f>
        <v/>
      </c>
      <c r="E223" s="22">
        <f>IF('Brouillard ventes'!$F$79="","",LEFT('Brouillard ventes'!$D$79,30))</f>
        <v/>
      </c>
      <c r="F223" s="22" t="inlineStr">
        <is>
          <t>15001</t>
        </is>
      </c>
      <c r="G223" s="22">
        <f>IF('Brouillard ventes'!$F$79="","",Paramètres!$B$10)</f>
        <v/>
      </c>
      <c r="H223" s="22" t="inlineStr"/>
      <c r="I223" s="22" t="inlineStr"/>
      <c r="J223" s="22" t="inlineStr"/>
      <c r="K223" s="22">
        <f>IF('Brouillard ventes'!$F$79="","",Paramètres!$B$11)</f>
        <v/>
      </c>
      <c r="L223" s="23" t="n">
        <v>0</v>
      </c>
      <c r="M223" s="23">
        <f>IF('Brouillard ventes'!$F$79="","",'Brouillard ventes'!$H$79)</f>
        <v/>
      </c>
    </row>
    <row r="224">
      <c r="A224" s="22" t="inlineStr">
        <is>
          <t>1</t>
        </is>
      </c>
      <c r="B224" s="22">
        <f>IF('Brouillard ventes'!$F$80="","","VD"&amp;TEXT(ROW('Brouillard ventes'!$F$80)-5,"00000"))</f>
        <v/>
      </c>
      <c r="C224" s="22">
        <f>IF('Brouillard ventes'!$F$80="","",YEAR('Brouillard ventes'!$A$80)*10000+MONTH('Brouillard ventes'!$A$80)*100+DAY('Brouillard ventes'!$A$80))</f>
        <v/>
      </c>
      <c r="D224" s="22">
        <f>IF('Brouillard ventes'!$F$80="","",'Brouillard ventes'!$B$80)</f>
        <v/>
      </c>
      <c r="E224" s="22">
        <f>IF('Brouillard ventes'!$F$80="","",LEFT('Brouillard ventes'!$D$80,30))</f>
        <v/>
      </c>
      <c r="F224" s="22" t="inlineStr">
        <is>
          <t>15001</t>
        </is>
      </c>
      <c r="G224" s="22">
        <f>IF('Brouillard ventes'!$F$80="","",Paramètres!$B$7)</f>
        <v/>
      </c>
      <c r="H224" s="22">
        <f>IF('Brouillard ventes'!$F$80="","",IF('Brouillard ventes'!$C$80="","CD001",'Brouillard ventes'!$C$80))</f>
        <v/>
      </c>
      <c r="I224" s="22" t="inlineStr"/>
      <c r="J224" s="22" t="inlineStr"/>
      <c r="K224" s="22">
        <f>IF('Brouillard ventes'!$F$80="","",Paramètres!$B$11)</f>
        <v/>
      </c>
      <c r="L224" s="23">
        <f>IF('Brouillard ventes'!$F$80="","",'Brouillard ventes'!$I$80)</f>
        <v/>
      </c>
      <c r="M224" s="23" t="n">
        <v>0</v>
      </c>
    </row>
    <row r="225">
      <c r="A225" s="22" t="inlineStr">
        <is>
          <t>1</t>
        </is>
      </c>
      <c r="B225" s="22">
        <f>IF('Brouillard ventes'!$F$80="","","VD"&amp;TEXT(ROW('Brouillard ventes'!$F$80)-5,"00000"))</f>
        <v/>
      </c>
      <c r="C225" s="22">
        <f>IF('Brouillard ventes'!$F$80="","",YEAR('Brouillard ventes'!$A$80)*10000+MONTH('Brouillard ventes'!$A$80)*100+DAY('Brouillard ventes'!$A$80))</f>
        <v/>
      </c>
      <c r="D225" s="22">
        <f>IF('Brouillard ventes'!$F$80="","",'Brouillard ventes'!$B$80)</f>
        <v/>
      </c>
      <c r="E225" s="22">
        <f>IF('Brouillard ventes'!$F$80="","",LEFT('Brouillard ventes'!$D$80,30))</f>
        <v/>
      </c>
      <c r="F225" s="22" t="inlineStr">
        <is>
          <t>15001</t>
        </is>
      </c>
      <c r="G225" s="22">
        <f>IF('Brouillard ventes'!$F$80="","",IF('Brouillard ventes'!$E$80="Réparation",Paramètres!$B$9,Paramètres!$B$8))</f>
        <v/>
      </c>
      <c r="H225" s="22" t="inlineStr"/>
      <c r="I225" s="22" t="inlineStr"/>
      <c r="J225" s="22" t="inlineStr"/>
      <c r="K225" s="22">
        <f>IF('Brouillard ventes'!$F$80="","",Paramètres!$B$11)</f>
        <v/>
      </c>
      <c r="L225" s="23" t="n">
        <v>0</v>
      </c>
      <c r="M225" s="23">
        <f>IF('Brouillard ventes'!$F$80="","",'Brouillard ventes'!$F$80)</f>
        <v/>
      </c>
    </row>
    <row r="226">
      <c r="A226" s="22" t="inlineStr">
        <is>
          <t>1</t>
        </is>
      </c>
      <c r="B226" s="22">
        <f>IF('Brouillard ventes'!$F$80="","","VD"&amp;TEXT(ROW('Brouillard ventes'!$F$80)-5,"00000"))</f>
        <v/>
      </c>
      <c r="C226" s="22">
        <f>IF('Brouillard ventes'!$F$80="","",YEAR('Brouillard ventes'!$A$80)*10000+MONTH('Brouillard ventes'!$A$80)*100+DAY('Brouillard ventes'!$A$80))</f>
        <v/>
      </c>
      <c r="D226" s="22">
        <f>IF('Brouillard ventes'!$F$80="","",'Brouillard ventes'!$B$80)</f>
        <v/>
      </c>
      <c r="E226" s="22">
        <f>IF('Brouillard ventes'!$F$80="","",LEFT('Brouillard ventes'!$D$80,30))</f>
        <v/>
      </c>
      <c r="F226" s="22" t="inlineStr">
        <is>
          <t>15001</t>
        </is>
      </c>
      <c r="G226" s="22">
        <f>IF('Brouillard ventes'!$F$80="","",Paramètres!$B$10)</f>
        <v/>
      </c>
      <c r="H226" s="22" t="inlineStr"/>
      <c r="I226" s="22" t="inlineStr"/>
      <c r="J226" s="22" t="inlineStr"/>
      <c r="K226" s="22">
        <f>IF('Brouillard ventes'!$F$80="","",Paramètres!$B$11)</f>
        <v/>
      </c>
      <c r="L226" s="23" t="n">
        <v>0</v>
      </c>
      <c r="M226" s="23">
        <f>IF('Brouillard ventes'!$F$80="","",'Brouillard ventes'!$H$80)</f>
        <v/>
      </c>
    </row>
    <row r="227">
      <c r="A227" s="22" t="inlineStr">
        <is>
          <t>1</t>
        </is>
      </c>
      <c r="B227" s="22">
        <f>IF('Brouillard ventes'!$F$81="","","VD"&amp;TEXT(ROW('Brouillard ventes'!$F$81)-5,"00000"))</f>
        <v/>
      </c>
      <c r="C227" s="22">
        <f>IF('Brouillard ventes'!$F$81="","",YEAR('Brouillard ventes'!$A$81)*10000+MONTH('Brouillard ventes'!$A$81)*100+DAY('Brouillard ventes'!$A$81))</f>
        <v/>
      </c>
      <c r="D227" s="22">
        <f>IF('Brouillard ventes'!$F$81="","",'Brouillard ventes'!$B$81)</f>
        <v/>
      </c>
      <c r="E227" s="22">
        <f>IF('Brouillard ventes'!$F$81="","",LEFT('Brouillard ventes'!$D$81,30))</f>
        <v/>
      </c>
      <c r="F227" s="22" t="inlineStr">
        <is>
          <t>15001</t>
        </is>
      </c>
      <c r="G227" s="22">
        <f>IF('Brouillard ventes'!$F$81="","",Paramètres!$B$7)</f>
        <v/>
      </c>
      <c r="H227" s="22">
        <f>IF('Brouillard ventes'!$F$81="","",IF('Brouillard ventes'!$C$81="","CD001",'Brouillard ventes'!$C$81))</f>
        <v/>
      </c>
      <c r="I227" s="22" t="inlineStr"/>
      <c r="J227" s="22" t="inlineStr"/>
      <c r="K227" s="22">
        <f>IF('Brouillard ventes'!$F$81="","",Paramètres!$B$11)</f>
        <v/>
      </c>
      <c r="L227" s="23">
        <f>IF('Brouillard ventes'!$F$81="","",'Brouillard ventes'!$I$81)</f>
        <v/>
      </c>
      <c r="M227" s="23" t="n">
        <v>0</v>
      </c>
    </row>
    <row r="228">
      <c r="A228" s="22" t="inlineStr">
        <is>
          <t>1</t>
        </is>
      </c>
      <c r="B228" s="22">
        <f>IF('Brouillard ventes'!$F$81="","","VD"&amp;TEXT(ROW('Brouillard ventes'!$F$81)-5,"00000"))</f>
        <v/>
      </c>
      <c r="C228" s="22">
        <f>IF('Brouillard ventes'!$F$81="","",YEAR('Brouillard ventes'!$A$81)*10000+MONTH('Brouillard ventes'!$A$81)*100+DAY('Brouillard ventes'!$A$81))</f>
        <v/>
      </c>
      <c r="D228" s="22">
        <f>IF('Brouillard ventes'!$F$81="","",'Brouillard ventes'!$B$81)</f>
        <v/>
      </c>
      <c r="E228" s="22">
        <f>IF('Brouillard ventes'!$F$81="","",LEFT('Brouillard ventes'!$D$81,30))</f>
        <v/>
      </c>
      <c r="F228" s="22" t="inlineStr">
        <is>
          <t>15001</t>
        </is>
      </c>
      <c r="G228" s="22">
        <f>IF('Brouillard ventes'!$F$81="","",IF('Brouillard ventes'!$E$81="Réparation",Paramètres!$B$9,Paramètres!$B$8))</f>
        <v/>
      </c>
      <c r="H228" s="22" t="inlineStr"/>
      <c r="I228" s="22" t="inlineStr"/>
      <c r="J228" s="22" t="inlineStr"/>
      <c r="K228" s="22">
        <f>IF('Brouillard ventes'!$F$81="","",Paramètres!$B$11)</f>
        <v/>
      </c>
      <c r="L228" s="23" t="n">
        <v>0</v>
      </c>
      <c r="M228" s="23">
        <f>IF('Brouillard ventes'!$F$81="","",'Brouillard ventes'!$F$81)</f>
        <v/>
      </c>
    </row>
    <row r="229">
      <c r="A229" s="22" t="inlineStr">
        <is>
          <t>1</t>
        </is>
      </c>
      <c r="B229" s="22">
        <f>IF('Brouillard ventes'!$F$81="","","VD"&amp;TEXT(ROW('Brouillard ventes'!$F$81)-5,"00000"))</f>
        <v/>
      </c>
      <c r="C229" s="22">
        <f>IF('Brouillard ventes'!$F$81="","",YEAR('Brouillard ventes'!$A$81)*10000+MONTH('Brouillard ventes'!$A$81)*100+DAY('Brouillard ventes'!$A$81))</f>
        <v/>
      </c>
      <c r="D229" s="22">
        <f>IF('Brouillard ventes'!$F$81="","",'Brouillard ventes'!$B$81)</f>
        <v/>
      </c>
      <c r="E229" s="22">
        <f>IF('Brouillard ventes'!$F$81="","",LEFT('Brouillard ventes'!$D$81,30))</f>
        <v/>
      </c>
      <c r="F229" s="22" t="inlineStr">
        <is>
          <t>15001</t>
        </is>
      </c>
      <c r="G229" s="22">
        <f>IF('Brouillard ventes'!$F$81="","",Paramètres!$B$10)</f>
        <v/>
      </c>
      <c r="H229" s="22" t="inlineStr"/>
      <c r="I229" s="22" t="inlineStr"/>
      <c r="J229" s="22" t="inlineStr"/>
      <c r="K229" s="22">
        <f>IF('Brouillard ventes'!$F$81="","",Paramètres!$B$11)</f>
        <v/>
      </c>
      <c r="L229" s="23" t="n">
        <v>0</v>
      </c>
      <c r="M229" s="23">
        <f>IF('Brouillard ventes'!$F$81="","",'Brouillard ventes'!$H$81)</f>
        <v/>
      </c>
    </row>
    <row r="230">
      <c r="A230" s="22" t="inlineStr">
        <is>
          <t>1</t>
        </is>
      </c>
      <c r="B230" s="22">
        <f>IF('Brouillard ventes'!$F$82="","","VD"&amp;TEXT(ROW('Brouillard ventes'!$F$82)-5,"00000"))</f>
        <v/>
      </c>
      <c r="C230" s="22">
        <f>IF('Brouillard ventes'!$F$82="","",YEAR('Brouillard ventes'!$A$82)*10000+MONTH('Brouillard ventes'!$A$82)*100+DAY('Brouillard ventes'!$A$82))</f>
        <v/>
      </c>
      <c r="D230" s="22">
        <f>IF('Brouillard ventes'!$F$82="","",'Brouillard ventes'!$B$82)</f>
        <v/>
      </c>
      <c r="E230" s="22">
        <f>IF('Brouillard ventes'!$F$82="","",LEFT('Brouillard ventes'!$D$82,30))</f>
        <v/>
      </c>
      <c r="F230" s="22" t="inlineStr">
        <is>
          <t>15001</t>
        </is>
      </c>
      <c r="G230" s="22">
        <f>IF('Brouillard ventes'!$F$82="","",Paramètres!$B$7)</f>
        <v/>
      </c>
      <c r="H230" s="22">
        <f>IF('Brouillard ventes'!$F$82="","",IF('Brouillard ventes'!$C$82="","CD001",'Brouillard ventes'!$C$82))</f>
        <v/>
      </c>
      <c r="I230" s="22" t="inlineStr"/>
      <c r="J230" s="22" t="inlineStr"/>
      <c r="K230" s="22">
        <f>IF('Brouillard ventes'!$F$82="","",Paramètres!$B$11)</f>
        <v/>
      </c>
      <c r="L230" s="23">
        <f>IF('Brouillard ventes'!$F$82="","",'Brouillard ventes'!$I$82)</f>
        <v/>
      </c>
      <c r="M230" s="23" t="n">
        <v>0</v>
      </c>
    </row>
    <row r="231">
      <c r="A231" s="22" t="inlineStr">
        <is>
          <t>1</t>
        </is>
      </c>
      <c r="B231" s="22">
        <f>IF('Brouillard ventes'!$F$82="","","VD"&amp;TEXT(ROW('Brouillard ventes'!$F$82)-5,"00000"))</f>
        <v/>
      </c>
      <c r="C231" s="22">
        <f>IF('Brouillard ventes'!$F$82="","",YEAR('Brouillard ventes'!$A$82)*10000+MONTH('Brouillard ventes'!$A$82)*100+DAY('Brouillard ventes'!$A$82))</f>
        <v/>
      </c>
      <c r="D231" s="22">
        <f>IF('Brouillard ventes'!$F$82="","",'Brouillard ventes'!$B$82)</f>
        <v/>
      </c>
      <c r="E231" s="22">
        <f>IF('Brouillard ventes'!$F$82="","",LEFT('Brouillard ventes'!$D$82,30))</f>
        <v/>
      </c>
      <c r="F231" s="22" t="inlineStr">
        <is>
          <t>15001</t>
        </is>
      </c>
      <c r="G231" s="22">
        <f>IF('Brouillard ventes'!$F$82="","",IF('Brouillard ventes'!$E$82="Réparation",Paramètres!$B$9,Paramètres!$B$8))</f>
        <v/>
      </c>
      <c r="H231" s="22" t="inlineStr"/>
      <c r="I231" s="22" t="inlineStr"/>
      <c r="J231" s="22" t="inlineStr"/>
      <c r="K231" s="22">
        <f>IF('Brouillard ventes'!$F$82="","",Paramètres!$B$11)</f>
        <v/>
      </c>
      <c r="L231" s="23" t="n">
        <v>0</v>
      </c>
      <c r="M231" s="23">
        <f>IF('Brouillard ventes'!$F$82="","",'Brouillard ventes'!$F$82)</f>
        <v/>
      </c>
    </row>
    <row r="232">
      <c r="A232" s="22" t="inlineStr">
        <is>
          <t>1</t>
        </is>
      </c>
      <c r="B232" s="22">
        <f>IF('Brouillard ventes'!$F$82="","","VD"&amp;TEXT(ROW('Brouillard ventes'!$F$82)-5,"00000"))</f>
        <v/>
      </c>
      <c r="C232" s="22">
        <f>IF('Brouillard ventes'!$F$82="","",YEAR('Brouillard ventes'!$A$82)*10000+MONTH('Brouillard ventes'!$A$82)*100+DAY('Brouillard ventes'!$A$82))</f>
        <v/>
      </c>
      <c r="D232" s="22">
        <f>IF('Brouillard ventes'!$F$82="","",'Brouillard ventes'!$B$82)</f>
        <v/>
      </c>
      <c r="E232" s="22">
        <f>IF('Brouillard ventes'!$F$82="","",LEFT('Brouillard ventes'!$D$82,30))</f>
        <v/>
      </c>
      <c r="F232" s="22" t="inlineStr">
        <is>
          <t>15001</t>
        </is>
      </c>
      <c r="G232" s="22">
        <f>IF('Brouillard ventes'!$F$82="","",Paramètres!$B$10)</f>
        <v/>
      </c>
      <c r="H232" s="22" t="inlineStr"/>
      <c r="I232" s="22" t="inlineStr"/>
      <c r="J232" s="22" t="inlineStr"/>
      <c r="K232" s="22">
        <f>IF('Brouillard ventes'!$F$82="","",Paramètres!$B$11)</f>
        <v/>
      </c>
      <c r="L232" s="23" t="n">
        <v>0</v>
      </c>
      <c r="M232" s="23">
        <f>IF('Brouillard ventes'!$F$82="","",'Brouillard ventes'!$H$82)</f>
        <v/>
      </c>
    </row>
    <row r="233">
      <c r="A233" s="22" t="inlineStr">
        <is>
          <t>1</t>
        </is>
      </c>
      <c r="B233" s="22">
        <f>IF('Brouillard ventes'!$F$83="","","VD"&amp;TEXT(ROW('Brouillard ventes'!$F$83)-5,"00000"))</f>
        <v/>
      </c>
      <c r="C233" s="22">
        <f>IF('Brouillard ventes'!$F$83="","",YEAR('Brouillard ventes'!$A$83)*10000+MONTH('Brouillard ventes'!$A$83)*100+DAY('Brouillard ventes'!$A$83))</f>
        <v/>
      </c>
      <c r="D233" s="22">
        <f>IF('Brouillard ventes'!$F$83="","",'Brouillard ventes'!$B$83)</f>
        <v/>
      </c>
      <c r="E233" s="22">
        <f>IF('Brouillard ventes'!$F$83="","",LEFT('Brouillard ventes'!$D$83,30))</f>
        <v/>
      </c>
      <c r="F233" s="22" t="inlineStr">
        <is>
          <t>15001</t>
        </is>
      </c>
      <c r="G233" s="22">
        <f>IF('Brouillard ventes'!$F$83="","",Paramètres!$B$7)</f>
        <v/>
      </c>
      <c r="H233" s="22">
        <f>IF('Brouillard ventes'!$F$83="","",IF('Brouillard ventes'!$C$83="","CD001",'Brouillard ventes'!$C$83))</f>
        <v/>
      </c>
      <c r="I233" s="22" t="inlineStr"/>
      <c r="J233" s="22" t="inlineStr"/>
      <c r="K233" s="22">
        <f>IF('Brouillard ventes'!$F$83="","",Paramètres!$B$11)</f>
        <v/>
      </c>
      <c r="L233" s="23">
        <f>IF('Brouillard ventes'!$F$83="","",'Brouillard ventes'!$I$83)</f>
        <v/>
      </c>
      <c r="M233" s="23" t="n">
        <v>0</v>
      </c>
    </row>
    <row r="234">
      <c r="A234" s="22" t="inlineStr">
        <is>
          <t>1</t>
        </is>
      </c>
      <c r="B234" s="22">
        <f>IF('Brouillard ventes'!$F$83="","","VD"&amp;TEXT(ROW('Brouillard ventes'!$F$83)-5,"00000"))</f>
        <v/>
      </c>
      <c r="C234" s="22">
        <f>IF('Brouillard ventes'!$F$83="","",YEAR('Brouillard ventes'!$A$83)*10000+MONTH('Brouillard ventes'!$A$83)*100+DAY('Brouillard ventes'!$A$83))</f>
        <v/>
      </c>
      <c r="D234" s="22">
        <f>IF('Brouillard ventes'!$F$83="","",'Brouillard ventes'!$B$83)</f>
        <v/>
      </c>
      <c r="E234" s="22">
        <f>IF('Brouillard ventes'!$F$83="","",LEFT('Brouillard ventes'!$D$83,30))</f>
        <v/>
      </c>
      <c r="F234" s="22" t="inlineStr">
        <is>
          <t>15001</t>
        </is>
      </c>
      <c r="G234" s="22">
        <f>IF('Brouillard ventes'!$F$83="","",IF('Brouillard ventes'!$E$83="Réparation",Paramètres!$B$9,Paramètres!$B$8))</f>
        <v/>
      </c>
      <c r="H234" s="22" t="inlineStr"/>
      <c r="I234" s="22" t="inlineStr"/>
      <c r="J234" s="22" t="inlineStr"/>
      <c r="K234" s="22">
        <f>IF('Brouillard ventes'!$F$83="","",Paramètres!$B$11)</f>
        <v/>
      </c>
      <c r="L234" s="23" t="n">
        <v>0</v>
      </c>
      <c r="M234" s="23">
        <f>IF('Brouillard ventes'!$F$83="","",'Brouillard ventes'!$F$83)</f>
        <v/>
      </c>
    </row>
    <row r="235">
      <c r="A235" s="22" t="inlineStr">
        <is>
          <t>1</t>
        </is>
      </c>
      <c r="B235" s="22">
        <f>IF('Brouillard ventes'!$F$83="","","VD"&amp;TEXT(ROW('Brouillard ventes'!$F$83)-5,"00000"))</f>
        <v/>
      </c>
      <c r="C235" s="22">
        <f>IF('Brouillard ventes'!$F$83="","",YEAR('Brouillard ventes'!$A$83)*10000+MONTH('Brouillard ventes'!$A$83)*100+DAY('Brouillard ventes'!$A$83))</f>
        <v/>
      </c>
      <c r="D235" s="22">
        <f>IF('Brouillard ventes'!$F$83="","",'Brouillard ventes'!$B$83)</f>
        <v/>
      </c>
      <c r="E235" s="22">
        <f>IF('Brouillard ventes'!$F$83="","",LEFT('Brouillard ventes'!$D$83,30))</f>
        <v/>
      </c>
      <c r="F235" s="22" t="inlineStr">
        <is>
          <t>15001</t>
        </is>
      </c>
      <c r="G235" s="22">
        <f>IF('Brouillard ventes'!$F$83="","",Paramètres!$B$10)</f>
        <v/>
      </c>
      <c r="H235" s="22" t="inlineStr"/>
      <c r="I235" s="22" t="inlineStr"/>
      <c r="J235" s="22" t="inlineStr"/>
      <c r="K235" s="22">
        <f>IF('Brouillard ventes'!$F$83="","",Paramètres!$B$11)</f>
        <v/>
      </c>
      <c r="L235" s="23" t="n">
        <v>0</v>
      </c>
      <c r="M235" s="23">
        <f>IF('Brouillard ventes'!$F$83="","",'Brouillard ventes'!$H$83)</f>
        <v/>
      </c>
    </row>
    <row r="236">
      <c r="A236" s="22" t="inlineStr">
        <is>
          <t>1</t>
        </is>
      </c>
      <c r="B236" s="22">
        <f>IF('Brouillard ventes'!$F$84="","","VD"&amp;TEXT(ROW('Brouillard ventes'!$F$84)-5,"00000"))</f>
        <v/>
      </c>
      <c r="C236" s="22">
        <f>IF('Brouillard ventes'!$F$84="","",YEAR('Brouillard ventes'!$A$84)*10000+MONTH('Brouillard ventes'!$A$84)*100+DAY('Brouillard ventes'!$A$84))</f>
        <v/>
      </c>
      <c r="D236" s="22">
        <f>IF('Brouillard ventes'!$F$84="","",'Brouillard ventes'!$B$84)</f>
        <v/>
      </c>
      <c r="E236" s="22">
        <f>IF('Brouillard ventes'!$F$84="","",LEFT('Brouillard ventes'!$D$84,30))</f>
        <v/>
      </c>
      <c r="F236" s="22" t="inlineStr">
        <is>
          <t>15001</t>
        </is>
      </c>
      <c r="G236" s="22">
        <f>IF('Brouillard ventes'!$F$84="","",Paramètres!$B$7)</f>
        <v/>
      </c>
      <c r="H236" s="22">
        <f>IF('Brouillard ventes'!$F$84="","",IF('Brouillard ventes'!$C$84="","CD001",'Brouillard ventes'!$C$84))</f>
        <v/>
      </c>
      <c r="I236" s="22" t="inlineStr"/>
      <c r="J236" s="22" t="inlineStr"/>
      <c r="K236" s="22">
        <f>IF('Brouillard ventes'!$F$84="","",Paramètres!$B$11)</f>
        <v/>
      </c>
      <c r="L236" s="23">
        <f>IF('Brouillard ventes'!$F$84="","",'Brouillard ventes'!$I$84)</f>
        <v/>
      </c>
      <c r="M236" s="23" t="n">
        <v>0</v>
      </c>
    </row>
    <row r="237">
      <c r="A237" s="22" t="inlineStr">
        <is>
          <t>1</t>
        </is>
      </c>
      <c r="B237" s="22">
        <f>IF('Brouillard ventes'!$F$84="","","VD"&amp;TEXT(ROW('Brouillard ventes'!$F$84)-5,"00000"))</f>
        <v/>
      </c>
      <c r="C237" s="22">
        <f>IF('Brouillard ventes'!$F$84="","",YEAR('Brouillard ventes'!$A$84)*10000+MONTH('Brouillard ventes'!$A$84)*100+DAY('Brouillard ventes'!$A$84))</f>
        <v/>
      </c>
      <c r="D237" s="22">
        <f>IF('Brouillard ventes'!$F$84="","",'Brouillard ventes'!$B$84)</f>
        <v/>
      </c>
      <c r="E237" s="22">
        <f>IF('Brouillard ventes'!$F$84="","",LEFT('Brouillard ventes'!$D$84,30))</f>
        <v/>
      </c>
      <c r="F237" s="22" t="inlineStr">
        <is>
          <t>15001</t>
        </is>
      </c>
      <c r="G237" s="22">
        <f>IF('Brouillard ventes'!$F$84="","",IF('Brouillard ventes'!$E$84="Réparation",Paramètres!$B$9,Paramètres!$B$8))</f>
        <v/>
      </c>
      <c r="H237" s="22" t="inlineStr"/>
      <c r="I237" s="22" t="inlineStr"/>
      <c r="J237" s="22" t="inlineStr"/>
      <c r="K237" s="22">
        <f>IF('Brouillard ventes'!$F$84="","",Paramètres!$B$11)</f>
        <v/>
      </c>
      <c r="L237" s="23" t="n">
        <v>0</v>
      </c>
      <c r="M237" s="23">
        <f>IF('Brouillard ventes'!$F$84="","",'Brouillard ventes'!$F$84)</f>
        <v/>
      </c>
    </row>
    <row r="238">
      <c r="A238" s="22" t="inlineStr">
        <is>
          <t>1</t>
        </is>
      </c>
      <c r="B238" s="22">
        <f>IF('Brouillard ventes'!$F$84="","","VD"&amp;TEXT(ROW('Brouillard ventes'!$F$84)-5,"00000"))</f>
        <v/>
      </c>
      <c r="C238" s="22">
        <f>IF('Brouillard ventes'!$F$84="","",YEAR('Brouillard ventes'!$A$84)*10000+MONTH('Brouillard ventes'!$A$84)*100+DAY('Brouillard ventes'!$A$84))</f>
        <v/>
      </c>
      <c r="D238" s="22">
        <f>IF('Brouillard ventes'!$F$84="","",'Brouillard ventes'!$B$84)</f>
        <v/>
      </c>
      <c r="E238" s="22">
        <f>IF('Brouillard ventes'!$F$84="","",LEFT('Brouillard ventes'!$D$84,30))</f>
        <v/>
      </c>
      <c r="F238" s="22" t="inlineStr">
        <is>
          <t>15001</t>
        </is>
      </c>
      <c r="G238" s="22">
        <f>IF('Brouillard ventes'!$F$84="","",Paramètres!$B$10)</f>
        <v/>
      </c>
      <c r="H238" s="22" t="inlineStr"/>
      <c r="I238" s="22" t="inlineStr"/>
      <c r="J238" s="22" t="inlineStr"/>
      <c r="K238" s="22">
        <f>IF('Brouillard ventes'!$F$84="","",Paramètres!$B$11)</f>
        <v/>
      </c>
      <c r="L238" s="23" t="n">
        <v>0</v>
      </c>
      <c r="M238" s="23">
        <f>IF('Brouillard ventes'!$F$84="","",'Brouillard ventes'!$H$84)</f>
        <v/>
      </c>
    </row>
    <row r="239">
      <c r="A239" s="22" t="inlineStr">
        <is>
          <t>1</t>
        </is>
      </c>
      <c r="B239" s="22">
        <f>IF('Brouillard ventes'!$F$85="","","VD"&amp;TEXT(ROW('Brouillard ventes'!$F$85)-5,"00000"))</f>
        <v/>
      </c>
      <c r="C239" s="22">
        <f>IF('Brouillard ventes'!$F$85="","",YEAR('Brouillard ventes'!$A$85)*10000+MONTH('Brouillard ventes'!$A$85)*100+DAY('Brouillard ventes'!$A$85))</f>
        <v/>
      </c>
      <c r="D239" s="22">
        <f>IF('Brouillard ventes'!$F$85="","",'Brouillard ventes'!$B$85)</f>
        <v/>
      </c>
      <c r="E239" s="22">
        <f>IF('Brouillard ventes'!$F$85="","",LEFT('Brouillard ventes'!$D$85,30))</f>
        <v/>
      </c>
      <c r="F239" s="22" t="inlineStr">
        <is>
          <t>15001</t>
        </is>
      </c>
      <c r="G239" s="22">
        <f>IF('Brouillard ventes'!$F$85="","",Paramètres!$B$7)</f>
        <v/>
      </c>
      <c r="H239" s="22">
        <f>IF('Brouillard ventes'!$F$85="","",IF('Brouillard ventes'!$C$85="","CD001",'Brouillard ventes'!$C$85))</f>
        <v/>
      </c>
      <c r="I239" s="22" t="inlineStr"/>
      <c r="J239" s="22" t="inlineStr"/>
      <c r="K239" s="22">
        <f>IF('Brouillard ventes'!$F$85="","",Paramètres!$B$11)</f>
        <v/>
      </c>
      <c r="L239" s="23">
        <f>IF('Brouillard ventes'!$F$85="","",'Brouillard ventes'!$I$85)</f>
        <v/>
      </c>
      <c r="M239" s="23" t="n">
        <v>0</v>
      </c>
    </row>
    <row r="240">
      <c r="A240" s="22" t="inlineStr">
        <is>
          <t>1</t>
        </is>
      </c>
      <c r="B240" s="22">
        <f>IF('Brouillard ventes'!$F$85="","","VD"&amp;TEXT(ROW('Brouillard ventes'!$F$85)-5,"00000"))</f>
        <v/>
      </c>
      <c r="C240" s="22">
        <f>IF('Brouillard ventes'!$F$85="","",YEAR('Brouillard ventes'!$A$85)*10000+MONTH('Brouillard ventes'!$A$85)*100+DAY('Brouillard ventes'!$A$85))</f>
        <v/>
      </c>
      <c r="D240" s="22">
        <f>IF('Brouillard ventes'!$F$85="","",'Brouillard ventes'!$B$85)</f>
        <v/>
      </c>
      <c r="E240" s="22">
        <f>IF('Brouillard ventes'!$F$85="","",LEFT('Brouillard ventes'!$D$85,30))</f>
        <v/>
      </c>
      <c r="F240" s="22" t="inlineStr">
        <is>
          <t>15001</t>
        </is>
      </c>
      <c r="G240" s="22">
        <f>IF('Brouillard ventes'!$F$85="","",IF('Brouillard ventes'!$E$85="Réparation",Paramètres!$B$9,Paramètres!$B$8))</f>
        <v/>
      </c>
      <c r="H240" s="22" t="inlineStr"/>
      <c r="I240" s="22" t="inlineStr"/>
      <c r="J240" s="22" t="inlineStr"/>
      <c r="K240" s="22">
        <f>IF('Brouillard ventes'!$F$85="","",Paramètres!$B$11)</f>
        <v/>
      </c>
      <c r="L240" s="23" t="n">
        <v>0</v>
      </c>
      <c r="M240" s="23">
        <f>IF('Brouillard ventes'!$F$85="","",'Brouillard ventes'!$F$85)</f>
        <v/>
      </c>
    </row>
    <row r="241">
      <c r="A241" s="22" t="inlineStr">
        <is>
          <t>1</t>
        </is>
      </c>
      <c r="B241" s="22">
        <f>IF('Brouillard ventes'!$F$85="","","VD"&amp;TEXT(ROW('Brouillard ventes'!$F$85)-5,"00000"))</f>
        <v/>
      </c>
      <c r="C241" s="22">
        <f>IF('Brouillard ventes'!$F$85="","",YEAR('Brouillard ventes'!$A$85)*10000+MONTH('Brouillard ventes'!$A$85)*100+DAY('Brouillard ventes'!$A$85))</f>
        <v/>
      </c>
      <c r="D241" s="22">
        <f>IF('Brouillard ventes'!$F$85="","",'Brouillard ventes'!$B$85)</f>
        <v/>
      </c>
      <c r="E241" s="22">
        <f>IF('Brouillard ventes'!$F$85="","",LEFT('Brouillard ventes'!$D$85,30))</f>
        <v/>
      </c>
      <c r="F241" s="22" t="inlineStr">
        <is>
          <t>15001</t>
        </is>
      </c>
      <c r="G241" s="22">
        <f>IF('Brouillard ventes'!$F$85="","",Paramètres!$B$10)</f>
        <v/>
      </c>
      <c r="H241" s="22" t="inlineStr"/>
      <c r="I241" s="22" t="inlineStr"/>
      <c r="J241" s="22" t="inlineStr"/>
      <c r="K241" s="22">
        <f>IF('Brouillard ventes'!$F$85="","",Paramètres!$B$11)</f>
        <v/>
      </c>
      <c r="L241" s="23" t="n">
        <v>0</v>
      </c>
      <c r="M241" s="23">
        <f>IF('Brouillard ventes'!$F$85="","",'Brouillard ventes'!$H$85)</f>
        <v/>
      </c>
    </row>
    <row r="242">
      <c r="A242" s="22" t="inlineStr">
        <is>
          <t>1</t>
        </is>
      </c>
      <c r="B242" s="22">
        <f>IF('Brouillard ventes'!$F$86="","","VD"&amp;TEXT(ROW('Brouillard ventes'!$F$86)-5,"00000"))</f>
        <v/>
      </c>
      <c r="C242" s="22">
        <f>IF('Brouillard ventes'!$F$86="","",YEAR('Brouillard ventes'!$A$86)*10000+MONTH('Brouillard ventes'!$A$86)*100+DAY('Brouillard ventes'!$A$86))</f>
        <v/>
      </c>
      <c r="D242" s="22">
        <f>IF('Brouillard ventes'!$F$86="","",'Brouillard ventes'!$B$86)</f>
        <v/>
      </c>
      <c r="E242" s="22">
        <f>IF('Brouillard ventes'!$F$86="","",LEFT('Brouillard ventes'!$D$86,30))</f>
        <v/>
      </c>
      <c r="F242" s="22" t="inlineStr">
        <is>
          <t>15001</t>
        </is>
      </c>
      <c r="G242" s="22">
        <f>IF('Brouillard ventes'!$F$86="","",Paramètres!$B$7)</f>
        <v/>
      </c>
      <c r="H242" s="22">
        <f>IF('Brouillard ventes'!$F$86="","",IF('Brouillard ventes'!$C$86="","CD001",'Brouillard ventes'!$C$86))</f>
        <v/>
      </c>
      <c r="I242" s="22" t="inlineStr"/>
      <c r="J242" s="22" t="inlineStr"/>
      <c r="K242" s="22">
        <f>IF('Brouillard ventes'!$F$86="","",Paramètres!$B$11)</f>
        <v/>
      </c>
      <c r="L242" s="23">
        <f>IF('Brouillard ventes'!$F$86="","",'Brouillard ventes'!$I$86)</f>
        <v/>
      </c>
      <c r="M242" s="23" t="n">
        <v>0</v>
      </c>
    </row>
    <row r="243">
      <c r="A243" s="22" t="inlineStr">
        <is>
          <t>1</t>
        </is>
      </c>
      <c r="B243" s="22">
        <f>IF('Brouillard ventes'!$F$86="","","VD"&amp;TEXT(ROW('Brouillard ventes'!$F$86)-5,"00000"))</f>
        <v/>
      </c>
      <c r="C243" s="22">
        <f>IF('Brouillard ventes'!$F$86="","",YEAR('Brouillard ventes'!$A$86)*10000+MONTH('Brouillard ventes'!$A$86)*100+DAY('Brouillard ventes'!$A$86))</f>
        <v/>
      </c>
      <c r="D243" s="22">
        <f>IF('Brouillard ventes'!$F$86="","",'Brouillard ventes'!$B$86)</f>
        <v/>
      </c>
      <c r="E243" s="22">
        <f>IF('Brouillard ventes'!$F$86="","",LEFT('Brouillard ventes'!$D$86,30))</f>
        <v/>
      </c>
      <c r="F243" s="22" t="inlineStr">
        <is>
          <t>15001</t>
        </is>
      </c>
      <c r="G243" s="22">
        <f>IF('Brouillard ventes'!$F$86="","",IF('Brouillard ventes'!$E$86="Réparation",Paramètres!$B$9,Paramètres!$B$8))</f>
        <v/>
      </c>
      <c r="H243" s="22" t="inlineStr"/>
      <c r="I243" s="22" t="inlineStr"/>
      <c r="J243" s="22" t="inlineStr"/>
      <c r="K243" s="22">
        <f>IF('Brouillard ventes'!$F$86="","",Paramètres!$B$11)</f>
        <v/>
      </c>
      <c r="L243" s="23" t="n">
        <v>0</v>
      </c>
      <c r="M243" s="23">
        <f>IF('Brouillard ventes'!$F$86="","",'Brouillard ventes'!$F$86)</f>
        <v/>
      </c>
    </row>
    <row r="244">
      <c r="A244" s="22" t="inlineStr">
        <is>
          <t>1</t>
        </is>
      </c>
      <c r="B244" s="22">
        <f>IF('Brouillard ventes'!$F$86="","","VD"&amp;TEXT(ROW('Brouillard ventes'!$F$86)-5,"00000"))</f>
        <v/>
      </c>
      <c r="C244" s="22">
        <f>IF('Brouillard ventes'!$F$86="","",YEAR('Brouillard ventes'!$A$86)*10000+MONTH('Brouillard ventes'!$A$86)*100+DAY('Brouillard ventes'!$A$86))</f>
        <v/>
      </c>
      <c r="D244" s="22">
        <f>IF('Brouillard ventes'!$F$86="","",'Brouillard ventes'!$B$86)</f>
        <v/>
      </c>
      <c r="E244" s="22">
        <f>IF('Brouillard ventes'!$F$86="","",LEFT('Brouillard ventes'!$D$86,30))</f>
        <v/>
      </c>
      <c r="F244" s="22" t="inlineStr">
        <is>
          <t>15001</t>
        </is>
      </c>
      <c r="G244" s="22">
        <f>IF('Brouillard ventes'!$F$86="","",Paramètres!$B$10)</f>
        <v/>
      </c>
      <c r="H244" s="22" t="inlineStr"/>
      <c r="I244" s="22" t="inlineStr"/>
      <c r="J244" s="22" t="inlineStr"/>
      <c r="K244" s="22">
        <f>IF('Brouillard ventes'!$F$86="","",Paramètres!$B$11)</f>
        <v/>
      </c>
      <c r="L244" s="23" t="n">
        <v>0</v>
      </c>
      <c r="M244" s="23">
        <f>IF('Brouillard ventes'!$F$86="","",'Brouillard ventes'!$H$86)</f>
        <v/>
      </c>
    </row>
    <row r="245">
      <c r="A245" s="22" t="inlineStr">
        <is>
          <t>1</t>
        </is>
      </c>
      <c r="B245" s="22">
        <f>IF('Brouillard ventes'!$F$87="","","VD"&amp;TEXT(ROW('Brouillard ventes'!$F$87)-5,"00000"))</f>
        <v/>
      </c>
      <c r="C245" s="22">
        <f>IF('Brouillard ventes'!$F$87="","",YEAR('Brouillard ventes'!$A$87)*10000+MONTH('Brouillard ventes'!$A$87)*100+DAY('Brouillard ventes'!$A$87))</f>
        <v/>
      </c>
      <c r="D245" s="22">
        <f>IF('Brouillard ventes'!$F$87="","",'Brouillard ventes'!$B$87)</f>
        <v/>
      </c>
      <c r="E245" s="22">
        <f>IF('Brouillard ventes'!$F$87="","",LEFT('Brouillard ventes'!$D$87,30))</f>
        <v/>
      </c>
      <c r="F245" s="22" t="inlineStr">
        <is>
          <t>15001</t>
        </is>
      </c>
      <c r="G245" s="22">
        <f>IF('Brouillard ventes'!$F$87="","",Paramètres!$B$7)</f>
        <v/>
      </c>
      <c r="H245" s="22">
        <f>IF('Brouillard ventes'!$F$87="","",IF('Brouillard ventes'!$C$87="","CD001",'Brouillard ventes'!$C$87))</f>
        <v/>
      </c>
      <c r="I245" s="22" t="inlineStr"/>
      <c r="J245" s="22" t="inlineStr"/>
      <c r="K245" s="22">
        <f>IF('Brouillard ventes'!$F$87="","",Paramètres!$B$11)</f>
        <v/>
      </c>
      <c r="L245" s="23">
        <f>IF('Brouillard ventes'!$F$87="","",'Brouillard ventes'!$I$87)</f>
        <v/>
      </c>
      <c r="M245" s="23" t="n">
        <v>0</v>
      </c>
    </row>
    <row r="246">
      <c r="A246" s="22" t="inlineStr">
        <is>
          <t>1</t>
        </is>
      </c>
      <c r="B246" s="22">
        <f>IF('Brouillard ventes'!$F$87="","","VD"&amp;TEXT(ROW('Brouillard ventes'!$F$87)-5,"00000"))</f>
        <v/>
      </c>
      <c r="C246" s="22">
        <f>IF('Brouillard ventes'!$F$87="","",YEAR('Brouillard ventes'!$A$87)*10000+MONTH('Brouillard ventes'!$A$87)*100+DAY('Brouillard ventes'!$A$87))</f>
        <v/>
      </c>
      <c r="D246" s="22">
        <f>IF('Brouillard ventes'!$F$87="","",'Brouillard ventes'!$B$87)</f>
        <v/>
      </c>
      <c r="E246" s="22">
        <f>IF('Brouillard ventes'!$F$87="","",LEFT('Brouillard ventes'!$D$87,30))</f>
        <v/>
      </c>
      <c r="F246" s="22" t="inlineStr">
        <is>
          <t>15001</t>
        </is>
      </c>
      <c r="G246" s="22">
        <f>IF('Brouillard ventes'!$F$87="","",IF('Brouillard ventes'!$E$87="Réparation",Paramètres!$B$9,Paramètres!$B$8))</f>
        <v/>
      </c>
      <c r="H246" s="22" t="inlineStr"/>
      <c r="I246" s="22" t="inlineStr"/>
      <c r="J246" s="22" t="inlineStr"/>
      <c r="K246" s="22">
        <f>IF('Brouillard ventes'!$F$87="","",Paramètres!$B$11)</f>
        <v/>
      </c>
      <c r="L246" s="23" t="n">
        <v>0</v>
      </c>
      <c r="M246" s="23">
        <f>IF('Brouillard ventes'!$F$87="","",'Brouillard ventes'!$F$87)</f>
        <v/>
      </c>
    </row>
    <row r="247">
      <c r="A247" s="22" t="inlineStr">
        <is>
          <t>1</t>
        </is>
      </c>
      <c r="B247" s="22">
        <f>IF('Brouillard ventes'!$F$87="","","VD"&amp;TEXT(ROW('Brouillard ventes'!$F$87)-5,"00000"))</f>
        <v/>
      </c>
      <c r="C247" s="22">
        <f>IF('Brouillard ventes'!$F$87="","",YEAR('Brouillard ventes'!$A$87)*10000+MONTH('Brouillard ventes'!$A$87)*100+DAY('Brouillard ventes'!$A$87))</f>
        <v/>
      </c>
      <c r="D247" s="22">
        <f>IF('Brouillard ventes'!$F$87="","",'Brouillard ventes'!$B$87)</f>
        <v/>
      </c>
      <c r="E247" s="22">
        <f>IF('Brouillard ventes'!$F$87="","",LEFT('Brouillard ventes'!$D$87,30))</f>
        <v/>
      </c>
      <c r="F247" s="22" t="inlineStr">
        <is>
          <t>15001</t>
        </is>
      </c>
      <c r="G247" s="22">
        <f>IF('Brouillard ventes'!$F$87="","",Paramètres!$B$10)</f>
        <v/>
      </c>
      <c r="H247" s="22" t="inlineStr"/>
      <c r="I247" s="22" t="inlineStr"/>
      <c r="J247" s="22" t="inlineStr"/>
      <c r="K247" s="22">
        <f>IF('Brouillard ventes'!$F$87="","",Paramètres!$B$11)</f>
        <v/>
      </c>
      <c r="L247" s="23" t="n">
        <v>0</v>
      </c>
      <c r="M247" s="23">
        <f>IF('Brouillard ventes'!$F$87="","",'Brouillard ventes'!$H$87)</f>
        <v/>
      </c>
    </row>
    <row r="248">
      <c r="A248" s="22" t="inlineStr">
        <is>
          <t>1</t>
        </is>
      </c>
      <c r="B248" s="22">
        <f>IF('Brouillard ventes'!$F$88="","","VD"&amp;TEXT(ROW('Brouillard ventes'!$F$88)-5,"00000"))</f>
        <v/>
      </c>
      <c r="C248" s="22">
        <f>IF('Brouillard ventes'!$F$88="","",YEAR('Brouillard ventes'!$A$88)*10000+MONTH('Brouillard ventes'!$A$88)*100+DAY('Brouillard ventes'!$A$88))</f>
        <v/>
      </c>
      <c r="D248" s="22">
        <f>IF('Brouillard ventes'!$F$88="","",'Brouillard ventes'!$B$88)</f>
        <v/>
      </c>
      <c r="E248" s="22">
        <f>IF('Brouillard ventes'!$F$88="","",LEFT('Brouillard ventes'!$D$88,30))</f>
        <v/>
      </c>
      <c r="F248" s="22" t="inlineStr">
        <is>
          <t>15001</t>
        </is>
      </c>
      <c r="G248" s="22">
        <f>IF('Brouillard ventes'!$F$88="","",Paramètres!$B$7)</f>
        <v/>
      </c>
      <c r="H248" s="22">
        <f>IF('Brouillard ventes'!$F$88="","",IF('Brouillard ventes'!$C$88="","CD001",'Brouillard ventes'!$C$88))</f>
        <v/>
      </c>
      <c r="I248" s="22" t="inlineStr"/>
      <c r="J248" s="22" t="inlineStr"/>
      <c r="K248" s="22">
        <f>IF('Brouillard ventes'!$F$88="","",Paramètres!$B$11)</f>
        <v/>
      </c>
      <c r="L248" s="23">
        <f>IF('Brouillard ventes'!$F$88="","",'Brouillard ventes'!$I$88)</f>
        <v/>
      </c>
      <c r="M248" s="23" t="n">
        <v>0</v>
      </c>
    </row>
    <row r="249">
      <c r="A249" s="22" t="inlineStr">
        <is>
          <t>1</t>
        </is>
      </c>
      <c r="B249" s="22">
        <f>IF('Brouillard ventes'!$F$88="","","VD"&amp;TEXT(ROW('Brouillard ventes'!$F$88)-5,"00000"))</f>
        <v/>
      </c>
      <c r="C249" s="22">
        <f>IF('Brouillard ventes'!$F$88="","",YEAR('Brouillard ventes'!$A$88)*10000+MONTH('Brouillard ventes'!$A$88)*100+DAY('Brouillard ventes'!$A$88))</f>
        <v/>
      </c>
      <c r="D249" s="22">
        <f>IF('Brouillard ventes'!$F$88="","",'Brouillard ventes'!$B$88)</f>
        <v/>
      </c>
      <c r="E249" s="22">
        <f>IF('Brouillard ventes'!$F$88="","",LEFT('Brouillard ventes'!$D$88,30))</f>
        <v/>
      </c>
      <c r="F249" s="22" t="inlineStr">
        <is>
          <t>15001</t>
        </is>
      </c>
      <c r="G249" s="22">
        <f>IF('Brouillard ventes'!$F$88="","",IF('Brouillard ventes'!$E$88="Réparation",Paramètres!$B$9,Paramètres!$B$8))</f>
        <v/>
      </c>
      <c r="H249" s="22" t="inlineStr"/>
      <c r="I249" s="22" t="inlineStr"/>
      <c r="J249" s="22" t="inlineStr"/>
      <c r="K249" s="22">
        <f>IF('Brouillard ventes'!$F$88="","",Paramètres!$B$11)</f>
        <v/>
      </c>
      <c r="L249" s="23" t="n">
        <v>0</v>
      </c>
      <c r="M249" s="23">
        <f>IF('Brouillard ventes'!$F$88="","",'Brouillard ventes'!$F$88)</f>
        <v/>
      </c>
    </row>
    <row r="250">
      <c r="A250" s="22" t="inlineStr">
        <is>
          <t>1</t>
        </is>
      </c>
      <c r="B250" s="22">
        <f>IF('Brouillard ventes'!$F$88="","","VD"&amp;TEXT(ROW('Brouillard ventes'!$F$88)-5,"00000"))</f>
        <v/>
      </c>
      <c r="C250" s="22">
        <f>IF('Brouillard ventes'!$F$88="","",YEAR('Brouillard ventes'!$A$88)*10000+MONTH('Brouillard ventes'!$A$88)*100+DAY('Brouillard ventes'!$A$88))</f>
        <v/>
      </c>
      <c r="D250" s="22">
        <f>IF('Brouillard ventes'!$F$88="","",'Brouillard ventes'!$B$88)</f>
        <v/>
      </c>
      <c r="E250" s="22">
        <f>IF('Brouillard ventes'!$F$88="","",LEFT('Brouillard ventes'!$D$88,30))</f>
        <v/>
      </c>
      <c r="F250" s="22" t="inlineStr">
        <is>
          <t>15001</t>
        </is>
      </c>
      <c r="G250" s="22">
        <f>IF('Brouillard ventes'!$F$88="","",Paramètres!$B$10)</f>
        <v/>
      </c>
      <c r="H250" s="22" t="inlineStr"/>
      <c r="I250" s="22" t="inlineStr"/>
      <c r="J250" s="22" t="inlineStr"/>
      <c r="K250" s="22">
        <f>IF('Brouillard ventes'!$F$88="","",Paramètres!$B$11)</f>
        <v/>
      </c>
      <c r="L250" s="23" t="n">
        <v>0</v>
      </c>
      <c r="M250" s="23">
        <f>IF('Brouillard ventes'!$F$88="","",'Brouillard ventes'!$H$88)</f>
        <v/>
      </c>
    </row>
    <row r="251">
      <c r="A251" s="22" t="inlineStr">
        <is>
          <t>1</t>
        </is>
      </c>
      <c r="B251" s="22">
        <f>IF('Brouillard ventes'!$F$89="","","VD"&amp;TEXT(ROW('Brouillard ventes'!$F$89)-5,"00000"))</f>
        <v/>
      </c>
      <c r="C251" s="22">
        <f>IF('Brouillard ventes'!$F$89="","",YEAR('Brouillard ventes'!$A$89)*10000+MONTH('Brouillard ventes'!$A$89)*100+DAY('Brouillard ventes'!$A$89))</f>
        <v/>
      </c>
      <c r="D251" s="22">
        <f>IF('Brouillard ventes'!$F$89="","",'Brouillard ventes'!$B$89)</f>
        <v/>
      </c>
      <c r="E251" s="22">
        <f>IF('Brouillard ventes'!$F$89="","",LEFT('Brouillard ventes'!$D$89,30))</f>
        <v/>
      </c>
      <c r="F251" s="22" t="inlineStr">
        <is>
          <t>15001</t>
        </is>
      </c>
      <c r="G251" s="22">
        <f>IF('Brouillard ventes'!$F$89="","",Paramètres!$B$7)</f>
        <v/>
      </c>
      <c r="H251" s="22">
        <f>IF('Brouillard ventes'!$F$89="","",IF('Brouillard ventes'!$C$89="","CD001",'Brouillard ventes'!$C$89))</f>
        <v/>
      </c>
      <c r="I251" s="22" t="inlineStr"/>
      <c r="J251" s="22" t="inlineStr"/>
      <c r="K251" s="22">
        <f>IF('Brouillard ventes'!$F$89="","",Paramètres!$B$11)</f>
        <v/>
      </c>
      <c r="L251" s="23">
        <f>IF('Brouillard ventes'!$F$89="","",'Brouillard ventes'!$I$89)</f>
        <v/>
      </c>
      <c r="M251" s="23" t="n">
        <v>0</v>
      </c>
    </row>
    <row r="252">
      <c r="A252" s="22" t="inlineStr">
        <is>
          <t>1</t>
        </is>
      </c>
      <c r="B252" s="22">
        <f>IF('Brouillard ventes'!$F$89="","","VD"&amp;TEXT(ROW('Brouillard ventes'!$F$89)-5,"00000"))</f>
        <v/>
      </c>
      <c r="C252" s="22">
        <f>IF('Brouillard ventes'!$F$89="","",YEAR('Brouillard ventes'!$A$89)*10000+MONTH('Brouillard ventes'!$A$89)*100+DAY('Brouillard ventes'!$A$89))</f>
        <v/>
      </c>
      <c r="D252" s="22">
        <f>IF('Brouillard ventes'!$F$89="","",'Brouillard ventes'!$B$89)</f>
        <v/>
      </c>
      <c r="E252" s="22">
        <f>IF('Brouillard ventes'!$F$89="","",LEFT('Brouillard ventes'!$D$89,30))</f>
        <v/>
      </c>
      <c r="F252" s="22" t="inlineStr">
        <is>
          <t>15001</t>
        </is>
      </c>
      <c r="G252" s="22">
        <f>IF('Brouillard ventes'!$F$89="","",IF('Brouillard ventes'!$E$89="Réparation",Paramètres!$B$9,Paramètres!$B$8))</f>
        <v/>
      </c>
      <c r="H252" s="22" t="inlineStr"/>
      <c r="I252" s="22" t="inlineStr"/>
      <c r="J252" s="22" t="inlineStr"/>
      <c r="K252" s="22">
        <f>IF('Brouillard ventes'!$F$89="","",Paramètres!$B$11)</f>
        <v/>
      </c>
      <c r="L252" s="23" t="n">
        <v>0</v>
      </c>
      <c r="M252" s="23">
        <f>IF('Brouillard ventes'!$F$89="","",'Brouillard ventes'!$F$89)</f>
        <v/>
      </c>
    </row>
    <row r="253">
      <c r="A253" s="22" t="inlineStr">
        <is>
          <t>1</t>
        </is>
      </c>
      <c r="B253" s="22">
        <f>IF('Brouillard ventes'!$F$89="","","VD"&amp;TEXT(ROW('Brouillard ventes'!$F$89)-5,"00000"))</f>
        <v/>
      </c>
      <c r="C253" s="22">
        <f>IF('Brouillard ventes'!$F$89="","",YEAR('Brouillard ventes'!$A$89)*10000+MONTH('Brouillard ventes'!$A$89)*100+DAY('Brouillard ventes'!$A$89))</f>
        <v/>
      </c>
      <c r="D253" s="22">
        <f>IF('Brouillard ventes'!$F$89="","",'Brouillard ventes'!$B$89)</f>
        <v/>
      </c>
      <c r="E253" s="22">
        <f>IF('Brouillard ventes'!$F$89="","",LEFT('Brouillard ventes'!$D$89,30))</f>
        <v/>
      </c>
      <c r="F253" s="22" t="inlineStr">
        <is>
          <t>15001</t>
        </is>
      </c>
      <c r="G253" s="22">
        <f>IF('Brouillard ventes'!$F$89="","",Paramètres!$B$10)</f>
        <v/>
      </c>
      <c r="H253" s="22" t="inlineStr"/>
      <c r="I253" s="22" t="inlineStr"/>
      <c r="J253" s="22" t="inlineStr"/>
      <c r="K253" s="22">
        <f>IF('Brouillard ventes'!$F$89="","",Paramètres!$B$11)</f>
        <v/>
      </c>
      <c r="L253" s="23" t="n">
        <v>0</v>
      </c>
      <c r="M253" s="23">
        <f>IF('Brouillard ventes'!$F$89="","",'Brouillard ventes'!$H$89)</f>
        <v/>
      </c>
    </row>
    <row r="254">
      <c r="A254" s="22" t="inlineStr">
        <is>
          <t>1</t>
        </is>
      </c>
      <c r="B254" s="22">
        <f>IF('Brouillard ventes'!$F$90="","","VD"&amp;TEXT(ROW('Brouillard ventes'!$F$90)-5,"00000"))</f>
        <v/>
      </c>
      <c r="C254" s="22">
        <f>IF('Brouillard ventes'!$F$90="","",YEAR('Brouillard ventes'!$A$90)*10000+MONTH('Brouillard ventes'!$A$90)*100+DAY('Brouillard ventes'!$A$90))</f>
        <v/>
      </c>
      <c r="D254" s="22">
        <f>IF('Brouillard ventes'!$F$90="","",'Brouillard ventes'!$B$90)</f>
        <v/>
      </c>
      <c r="E254" s="22">
        <f>IF('Brouillard ventes'!$F$90="","",LEFT('Brouillard ventes'!$D$90,30))</f>
        <v/>
      </c>
      <c r="F254" s="22" t="inlineStr">
        <is>
          <t>15001</t>
        </is>
      </c>
      <c r="G254" s="22">
        <f>IF('Brouillard ventes'!$F$90="","",Paramètres!$B$7)</f>
        <v/>
      </c>
      <c r="H254" s="22">
        <f>IF('Brouillard ventes'!$F$90="","",IF('Brouillard ventes'!$C$90="","CD001",'Brouillard ventes'!$C$90))</f>
        <v/>
      </c>
      <c r="I254" s="22" t="inlineStr"/>
      <c r="J254" s="22" t="inlineStr"/>
      <c r="K254" s="22">
        <f>IF('Brouillard ventes'!$F$90="","",Paramètres!$B$11)</f>
        <v/>
      </c>
      <c r="L254" s="23">
        <f>IF('Brouillard ventes'!$F$90="","",'Brouillard ventes'!$I$90)</f>
        <v/>
      </c>
      <c r="M254" s="23" t="n">
        <v>0</v>
      </c>
    </row>
    <row r="255">
      <c r="A255" s="22" t="inlineStr">
        <is>
          <t>1</t>
        </is>
      </c>
      <c r="B255" s="22">
        <f>IF('Brouillard ventes'!$F$90="","","VD"&amp;TEXT(ROW('Brouillard ventes'!$F$90)-5,"00000"))</f>
        <v/>
      </c>
      <c r="C255" s="22">
        <f>IF('Brouillard ventes'!$F$90="","",YEAR('Brouillard ventes'!$A$90)*10000+MONTH('Brouillard ventes'!$A$90)*100+DAY('Brouillard ventes'!$A$90))</f>
        <v/>
      </c>
      <c r="D255" s="22">
        <f>IF('Brouillard ventes'!$F$90="","",'Brouillard ventes'!$B$90)</f>
        <v/>
      </c>
      <c r="E255" s="22">
        <f>IF('Brouillard ventes'!$F$90="","",LEFT('Brouillard ventes'!$D$90,30))</f>
        <v/>
      </c>
      <c r="F255" s="22" t="inlineStr">
        <is>
          <t>15001</t>
        </is>
      </c>
      <c r="G255" s="22">
        <f>IF('Brouillard ventes'!$F$90="","",IF('Brouillard ventes'!$E$90="Réparation",Paramètres!$B$9,Paramètres!$B$8))</f>
        <v/>
      </c>
      <c r="H255" s="22" t="inlineStr"/>
      <c r="I255" s="22" t="inlineStr"/>
      <c r="J255" s="22" t="inlineStr"/>
      <c r="K255" s="22">
        <f>IF('Brouillard ventes'!$F$90="","",Paramètres!$B$11)</f>
        <v/>
      </c>
      <c r="L255" s="23" t="n">
        <v>0</v>
      </c>
      <c r="M255" s="23">
        <f>IF('Brouillard ventes'!$F$90="","",'Brouillard ventes'!$F$90)</f>
        <v/>
      </c>
    </row>
    <row r="256">
      <c r="A256" s="22" t="inlineStr">
        <is>
          <t>1</t>
        </is>
      </c>
      <c r="B256" s="22">
        <f>IF('Brouillard ventes'!$F$90="","","VD"&amp;TEXT(ROW('Brouillard ventes'!$F$90)-5,"00000"))</f>
        <v/>
      </c>
      <c r="C256" s="22">
        <f>IF('Brouillard ventes'!$F$90="","",YEAR('Brouillard ventes'!$A$90)*10000+MONTH('Brouillard ventes'!$A$90)*100+DAY('Brouillard ventes'!$A$90))</f>
        <v/>
      </c>
      <c r="D256" s="22">
        <f>IF('Brouillard ventes'!$F$90="","",'Brouillard ventes'!$B$90)</f>
        <v/>
      </c>
      <c r="E256" s="22">
        <f>IF('Brouillard ventes'!$F$90="","",LEFT('Brouillard ventes'!$D$90,30))</f>
        <v/>
      </c>
      <c r="F256" s="22" t="inlineStr">
        <is>
          <t>15001</t>
        </is>
      </c>
      <c r="G256" s="22">
        <f>IF('Brouillard ventes'!$F$90="","",Paramètres!$B$10)</f>
        <v/>
      </c>
      <c r="H256" s="22" t="inlineStr"/>
      <c r="I256" s="22" t="inlineStr"/>
      <c r="J256" s="22" t="inlineStr"/>
      <c r="K256" s="22">
        <f>IF('Brouillard ventes'!$F$90="","",Paramètres!$B$11)</f>
        <v/>
      </c>
      <c r="L256" s="23" t="n">
        <v>0</v>
      </c>
      <c r="M256" s="23">
        <f>IF('Brouillard ventes'!$F$90="","",'Brouillard ventes'!$H$90)</f>
        <v/>
      </c>
    </row>
    <row r="257">
      <c r="A257" s="22" t="inlineStr">
        <is>
          <t>1</t>
        </is>
      </c>
      <c r="B257" s="22">
        <f>IF('Brouillard ventes'!$F$91="","","VD"&amp;TEXT(ROW('Brouillard ventes'!$F$91)-5,"00000"))</f>
        <v/>
      </c>
      <c r="C257" s="22">
        <f>IF('Brouillard ventes'!$F$91="","",YEAR('Brouillard ventes'!$A$91)*10000+MONTH('Brouillard ventes'!$A$91)*100+DAY('Brouillard ventes'!$A$91))</f>
        <v/>
      </c>
      <c r="D257" s="22">
        <f>IF('Brouillard ventes'!$F$91="","",'Brouillard ventes'!$B$91)</f>
        <v/>
      </c>
      <c r="E257" s="22">
        <f>IF('Brouillard ventes'!$F$91="","",LEFT('Brouillard ventes'!$D$91,30))</f>
        <v/>
      </c>
      <c r="F257" s="22" t="inlineStr">
        <is>
          <t>15001</t>
        </is>
      </c>
      <c r="G257" s="22">
        <f>IF('Brouillard ventes'!$F$91="","",Paramètres!$B$7)</f>
        <v/>
      </c>
      <c r="H257" s="22">
        <f>IF('Brouillard ventes'!$F$91="","",IF('Brouillard ventes'!$C$91="","CD001",'Brouillard ventes'!$C$91))</f>
        <v/>
      </c>
      <c r="I257" s="22" t="inlineStr"/>
      <c r="J257" s="22" t="inlineStr"/>
      <c r="K257" s="22">
        <f>IF('Brouillard ventes'!$F$91="","",Paramètres!$B$11)</f>
        <v/>
      </c>
      <c r="L257" s="23">
        <f>IF('Brouillard ventes'!$F$91="","",'Brouillard ventes'!$I$91)</f>
        <v/>
      </c>
      <c r="M257" s="23" t="n">
        <v>0</v>
      </c>
    </row>
    <row r="258">
      <c r="A258" s="22" t="inlineStr">
        <is>
          <t>1</t>
        </is>
      </c>
      <c r="B258" s="22">
        <f>IF('Brouillard ventes'!$F$91="","","VD"&amp;TEXT(ROW('Brouillard ventes'!$F$91)-5,"00000"))</f>
        <v/>
      </c>
      <c r="C258" s="22">
        <f>IF('Brouillard ventes'!$F$91="","",YEAR('Brouillard ventes'!$A$91)*10000+MONTH('Brouillard ventes'!$A$91)*100+DAY('Brouillard ventes'!$A$91))</f>
        <v/>
      </c>
      <c r="D258" s="22">
        <f>IF('Brouillard ventes'!$F$91="","",'Brouillard ventes'!$B$91)</f>
        <v/>
      </c>
      <c r="E258" s="22">
        <f>IF('Brouillard ventes'!$F$91="","",LEFT('Brouillard ventes'!$D$91,30))</f>
        <v/>
      </c>
      <c r="F258" s="22" t="inlineStr">
        <is>
          <t>15001</t>
        </is>
      </c>
      <c r="G258" s="22">
        <f>IF('Brouillard ventes'!$F$91="","",IF('Brouillard ventes'!$E$91="Réparation",Paramètres!$B$9,Paramètres!$B$8))</f>
        <v/>
      </c>
      <c r="H258" s="22" t="inlineStr"/>
      <c r="I258" s="22" t="inlineStr"/>
      <c r="J258" s="22" t="inlineStr"/>
      <c r="K258" s="22">
        <f>IF('Brouillard ventes'!$F$91="","",Paramètres!$B$11)</f>
        <v/>
      </c>
      <c r="L258" s="23" t="n">
        <v>0</v>
      </c>
      <c r="M258" s="23">
        <f>IF('Brouillard ventes'!$F$91="","",'Brouillard ventes'!$F$91)</f>
        <v/>
      </c>
    </row>
    <row r="259">
      <c r="A259" s="22" t="inlineStr">
        <is>
          <t>1</t>
        </is>
      </c>
      <c r="B259" s="22">
        <f>IF('Brouillard ventes'!$F$91="","","VD"&amp;TEXT(ROW('Brouillard ventes'!$F$91)-5,"00000"))</f>
        <v/>
      </c>
      <c r="C259" s="22">
        <f>IF('Brouillard ventes'!$F$91="","",YEAR('Brouillard ventes'!$A$91)*10000+MONTH('Brouillard ventes'!$A$91)*100+DAY('Brouillard ventes'!$A$91))</f>
        <v/>
      </c>
      <c r="D259" s="22">
        <f>IF('Brouillard ventes'!$F$91="","",'Brouillard ventes'!$B$91)</f>
        <v/>
      </c>
      <c r="E259" s="22">
        <f>IF('Brouillard ventes'!$F$91="","",LEFT('Brouillard ventes'!$D$91,30))</f>
        <v/>
      </c>
      <c r="F259" s="22" t="inlineStr">
        <is>
          <t>15001</t>
        </is>
      </c>
      <c r="G259" s="22">
        <f>IF('Brouillard ventes'!$F$91="","",Paramètres!$B$10)</f>
        <v/>
      </c>
      <c r="H259" s="22" t="inlineStr"/>
      <c r="I259" s="22" t="inlineStr"/>
      <c r="J259" s="22" t="inlineStr"/>
      <c r="K259" s="22">
        <f>IF('Brouillard ventes'!$F$91="","",Paramètres!$B$11)</f>
        <v/>
      </c>
      <c r="L259" s="23" t="n">
        <v>0</v>
      </c>
      <c r="M259" s="23">
        <f>IF('Brouillard ventes'!$F$91="","",'Brouillard ventes'!$H$91)</f>
        <v/>
      </c>
    </row>
    <row r="260">
      <c r="A260" s="22" t="inlineStr">
        <is>
          <t>1</t>
        </is>
      </c>
      <c r="B260" s="22">
        <f>IF('Brouillard ventes'!$F$92="","","VD"&amp;TEXT(ROW('Brouillard ventes'!$F$92)-5,"00000"))</f>
        <v/>
      </c>
      <c r="C260" s="22">
        <f>IF('Brouillard ventes'!$F$92="","",YEAR('Brouillard ventes'!$A$92)*10000+MONTH('Brouillard ventes'!$A$92)*100+DAY('Brouillard ventes'!$A$92))</f>
        <v/>
      </c>
      <c r="D260" s="22">
        <f>IF('Brouillard ventes'!$F$92="","",'Brouillard ventes'!$B$92)</f>
        <v/>
      </c>
      <c r="E260" s="22">
        <f>IF('Brouillard ventes'!$F$92="","",LEFT('Brouillard ventes'!$D$92,30))</f>
        <v/>
      </c>
      <c r="F260" s="22" t="inlineStr">
        <is>
          <t>15001</t>
        </is>
      </c>
      <c r="G260" s="22">
        <f>IF('Brouillard ventes'!$F$92="","",Paramètres!$B$7)</f>
        <v/>
      </c>
      <c r="H260" s="22">
        <f>IF('Brouillard ventes'!$F$92="","",IF('Brouillard ventes'!$C$92="","CD001",'Brouillard ventes'!$C$92))</f>
        <v/>
      </c>
      <c r="I260" s="22" t="inlineStr"/>
      <c r="J260" s="22" t="inlineStr"/>
      <c r="K260" s="22">
        <f>IF('Brouillard ventes'!$F$92="","",Paramètres!$B$11)</f>
        <v/>
      </c>
      <c r="L260" s="23">
        <f>IF('Brouillard ventes'!$F$92="","",'Brouillard ventes'!$I$92)</f>
        <v/>
      </c>
      <c r="M260" s="23" t="n">
        <v>0</v>
      </c>
    </row>
    <row r="261">
      <c r="A261" s="22" t="inlineStr">
        <is>
          <t>1</t>
        </is>
      </c>
      <c r="B261" s="22">
        <f>IF('Brouillard ventes'!$F$92="","","VD"&amp;TEXT(ROW('Brouillard ventes'!$F$92)-5,"00000"))</f>
        <v/>
      </c>
      <c r="C261" s="22">
        <f>IF('Brouillard ventes'!$F$92="","",YEAR('Brouillard ventes'!$A$92)*10000+MONTH('Brouillard ventes'!$A$92)*100+DAY('Brouillard ventes'!$A$92))</f>
        <v/>
      </c>
      <c r="D261" s="22">
        <f>IF('Brouillard ventes'!$F$92="","",'Brouillard ventes'!$B$92)</f>
        <v/>
      </c>
      <c r="E261" s="22">
        <f>IF('Brouillard ventes'!$F$92="","",LEFT('Brouillard ventes'!$D$92,30))</f>
        <v/>
      </c>
      <c r="F261" s="22" t="inlineStr">
        <is>
          <t>15001</t>
        </is>
      </c>
      <c r="G261" s="22">
        <f>IF('Brouillard ventes'!$F$92="","",IF('Brouillard ventes'!$E$92="Réparation",Paramètres!$B$9,Paramètres!$B$8))</f>
        <v/>
      </c>
      <c r="H261" s="22" t="inlineStr"/>
      <c r="I261" s="22" t="inlineStr"/>
      <c r="J261" s="22" t="inlineStr"/>
      <c r="K261" s="22">
        <f>IF('Brouillard ventes'!$F$92="","",Paramètres!$B$11)</f>
        <v/>
      </c>
      <c r="L261" s="23" t="n">
        <v>0</v>
      </c>
      <c r="M261" s="23">
        <f>IF('Brouillard ventes'!$F$92="","",'Brouillard ventes'!$F$92)</f>
        <v/>
      </c>
    </row>
    <row r="262">
      <c r="A262" s="22" t="inlineStr">
        <is>
          <t>1</t>
        </is>
      </c>
      <c r="B262" s="22">
        <f>IF('Brouillard ventes'!$F$92="","","VD"&amp;TEXT(ROW('Brouillard ventes'!$F$92)-5,"00000"))</f>
        <v/>
      </c>
      <c r="C262" s="22">
        <f>IF('Brouillard ventes'!$F$92="","",YEAR('Brouillard ventes'!$A$92)*10000+MONTH('Brouillard ventes'!$A$92)*100+DAY('Brouillard ventes'!$A$92))</f>
        <v/>
      </c>
      <c r="D262" s="22">
        <f>IF('Brouillard ventes'!$F$92="","",'Brouillard ventes'!$B$92)</f>
        <v/>
      </c>
      <c r="E262" s="22">
        <f>IF('Brouillard ventes'!$F$92="","",LEFT('Brouillard ventes'!$D$92,30))</f>
        <v/>
      </c>
      <c r="F262" s="22" t="inlineStr">
        <is>
          <t>15001</t>
        </is>
      </c>
      <c r="G262" s="22">
        <f>IF('Brouillard ventes'!$F$92="","",Paramètres!$B$10)</f>
        <v/>
      </c>
      <c r="H262" s="22" t="inlineStr"/>
      <c r="I262" s="22" t="inlineStr"/>
      <c r="J262" s="22" t="inlineStr"/>
      <c r="K262" s="22">
        <f>IF('Brouillard ventes'!$F$92="","",Paramètres!$B$11)</f>
        <v/>
      </c>
      <c r="L262" s="23" t="n">
        <v>0</v>
      </c>
      <c r="M262" s="23">
        <f>IF('Brouillard ventes'!$F$92="","",'Brouillard ventes'!$H$92)</f>
        <v/>
      </c>
    </row>
    <row r="263">
      <c r="A263" s="22" t="inlineStr">
        <is>
          <t>1</t>
        </is>
      </c>
      <c r="B263" s="22">
        <f>IF('Brouillard ventes'!$F$93="","","VD"&amp;TEXT(ROW('Brouillard ventes'!$F$93)-5,"00000"))</f>
        <v/>
      </c>
      <c r="C263" s="22">
        <f>IF('Brouillard ventes'!$F$93="","",YEAR('Brouillard ventes'!$A$93)*10000+MONTH('Brouillard ventes'!$A$93)*100+DAY('Brouillard ventes'!$A$93))</f>
        <v/>
      </c>
      <c r="D263" s="22">
        <f>IF('Brouillard ventes'!$F$93="","",'Brouillard ventes'!$B$93)</f>
        <v/>
      </c>
      <c r="E263" s="22">
        <f>IF('Brouillard ventes'!$F$93="","",LEFT('Brouillard ventes'!$D$93,30))</f>
        <v/>
      </c>
      <c r="F263" s="22" t="inlineStr">
        <is>
          <t>15001</t>
        </is>
      </c>
      <c r="G263" s="22">
        <f>IF('Brouillard ventes'!$F$93="","",Paramètres!$B$7)</f>
        <v/>
      </c>
      <c r="H263" s="22">
        <f>IF('Brouillard ventes'!$F$93="","",IF('Brouillard ventes'!$C$93="","CD001",'Brouillard ventes'!$C$93))</f>
        <v/>
      </c>
      <c r="I263" s="22" t="inlineStr"/>
      <c r="J263" s="22" t="inlineStr"/>
      <c r="K263" s="22">
        <f>IF('Brouillard ventes'!$F$93="","",Paramètres!$B$11)</f>
        <v/>
      </c>
      <c r="L263" s="23">
        <f>IF('Brouillard ventes'!$F$93="","",'Brouillard ventes'!$I$93)</f>
        <v/>
      </c>
      <c r="M263" s="23" t="n">
        <v>0</v>
      </c>
    </row>
    <row r="264">
      <c r="A264" s="22" t="inlineStr">
        <is>
          <t>1</t>
        </is>
      </c>
      <c r="B264" s="22">
        <f>IF('Brouillard ventes'!$F$93="","","VD"&amp;TEXT(ROW('Brouillard ventes'!$F$93)-5,"00000"))</f>
        <v/>
      </c>
      <c r="C264" s="22">
        <f>IF('Brouillard ventes'!$F$93="","",YEAR('Brouillard ventes'!$A$93)*10000+MONTH('Brouillard ventes'!$A$93)*100+DAY('Brouillard ventes'!$A$93))</f>
        <v/>
      </c>
      <c r="D264" s="22">
        <f>IF('Brouillard ventes'!$F$93="","",'Brouillard ventes'!$B$93)</f>
        <v/>
      </c>
      <c r="E264" s="22">
        <f>IF('Brouillard ventes'!$F$93="","",LEFT('Brouillard ventes'!$D$93,30))</f>
        <v/>
      </c>
      <c r="F264" s="22" t="inlineStr">
        <is>
          <t>15001</t>
        </is>
      </c>
      <c r="G264" s="22">
        <f>IF('Brouillard ventes'!$F$93="","",IF('Brouillard ventes'!$E$93="Réparation",Paramètres!$B$9,Paramètres!$B$8))</f>
        <v/>
      </c>
      <c r="H264" s="22" t="inlineStr"/>
      <c r="I264" s="22" t="inlineStr"/>
      <c r="J264" s="22" t="inlineStr"/>
      <c r="K264" s="22">
        <f>IF('Brouillard ventes'!$F$93="","",Paramètres!$B$11)</f>
        <v/>
      </c>
      <c r="L264" s="23" t="n">
        <v>0</v>
      </c>
      <c r="M264" s="23">
        <f>IF('Brouillard ventes'!$F$93="","",'Brouillard ventes'!$F$93)</f>
        <v/>
      </c>
    </row>
    <row r="265">
      <c r="A265" s="22" t="inlineStr">
        <is>
          <t>1</t>
        </is>
      </c>
      <c r="B265" s="22">
        <f>IF('Brouillard ventes'!$F$93="","","VD"&amp;TEXT(ROW('Brouillard ventes'!$F$93)-5,"00000"))</f>
        <v/>
      </c>
      <c r="C265" s="22">
        <f>IF('Brouillard ventes'!$F$93="","",YEAR('Brouillard ventes'!$A$93)*10000+MONTH('Brouillard ventes'!$A$93)*100+DAY('Brouillard ventes'!$A$93))</f>
        <v/>
      </c>
      <c r="D265" s="22">
        <f>IF('Brouillard ventes'!$F$93="","",'Brouillard ventes'!$B$93)</f>
        <v/>
      </c>
      <c r="E265" s="22">
        <f>IF('Brouillard ventes'!$F$93="","",LEFT('Brouillard ventes'!$D$93,30))</f>
        <v/>
      </c>
      <c r="F265" s="22" t="inlineStr">
        <is>
          <t>15001</t>
        </is>
      </c>
      <c r="G265" s="22">
        <f>IF('Brouillard ventes'!$F$93="","",Paramètres!$B$10)</f>
        <v/>
      </c>
      <c r="H265" s="22" t="inlineStr"/>
      <c r="I265" s="22" t="inlineStr"/>
      <c r="J265" s="22" t="inlineStr"/>
      <c r="K265" s="22">
        <f>IF('Brouillard ventes'!$F$93="","",Paramètres!$B$11)</f>
        <v/>
      </c>
      <c r="L265" s="23" t="n">
        <v>0</v>
      </c>
      <c r="M265" s="23">
        <f>IF('Brouillard ventes'!$F$93="","",'Brouillard ventes'!$H$93)</f>
        <v/>
      </c>
    </row>
    <row r="266">
      <c r="A266" s="22" t="inlineStr">
        <is>
          <t>1</t>
        </is>
      </c>
      <c r="B266" s="22">
        <f>IF('Brouillard ventes'!$F$94="","","VD"&amp;TEXT(ROW('Brouillard ventes'!$F$94)-5,"00000"))</f>
        <v/>
      </c>
      <c r="C266" s="22">
        <f>IF('Brouillard ventes'!$F$94="","",YEAR('Brouillard ventes'!$A$94)*10000+MONTH('Brouillard ventes'!$A$94)*100+DAY('Brouillard ventes'!$A$94))</f>
        <v/>
      </c>
      <c r="D266" s="22">
        <f>IF('Brouillard ventes'!$F$94="","",'Brouillard ventes'!$B$94)</f>
        <v/>
      </c>
      <c r="E266" s="22">
        <f>IF('Brouillard ventes'!$F$94="","",LEFT('Brouillard ventes'!$D$94,30))</f>
        <v/>
      </c>
      <c r="F266" s="22" t="inlineStr">
        <is>
          <t>15001</t>
        </is>
      </c>
      <c r="G266" s="22">
        <f>IF('Brouillard ventes'!$F$94="","",Paramètres!$B$7)</f>
        <v/>
      </c>
      <c r="H266" s="22">
        <f>IF('Brouillard ventes'!$F$94="","",IF('Brouillard ventes'!$C$94="","CD001",'Brouillard ventes'!$C$94))</f>
        <v/>
      </c>
      <c r="I266" s="22" t="inlineStr"/>
      <c r="J266" s="22" t="inlineStr"/>
      <c r="K266" s="22">
        <f>IF('Brouillard ventes'!$F$94="","",Paramètres!$B$11)</f>
        <v/>
      </c>
      <c r="L266" s="23">
        <f>IF('Brouillard ventes'!$F$94="","",'Brouillard ventes'!$I$94)</f>
        <v/>
      </c>
      <c r="M266" s="23" t="n">
        <v>0</v>
      </c>
    </row>
    <row r="267">
      <c r="A267" s="22" t="inlineStr">
        <is>
          <t>1</t>
        </is>
      </c>
      <c r="B267" s="22">
        <f>IF('Brouillard ventes'!$F$94="","","VD"&amp;TEXT(ROW('Brouillard ventes'!$F$94)-5,"00000"))</f>
        <v/>
      </c>
      <c r="C267" s="22">
        <f>IF('Brouillard ventes'!$F$94="","",YEAR('Brouillard ventes'!$A$94)*10000+MONTH('Brouillard ventes'!$A$94)*100+DAY('Brouillard ventes'!$A$94))</f>
        <v/>
      </c>
      <c r="D267" s="22">
        <f>IF('Brouillard ventes'!$F$94="","",'Brouillard ventes'!$B$94)</f>
        <v/>
      </c>
      <c r="E267" s="22">
        <f>IF('Brouillard ventes'!$F$94="","",LEFT('Brouillard ventes'!$D$94,30))</f>
        <v/>
      </c>
      <c r="F267" s="22" t="inlineStr">
        <is>
          <t>15001</t>
        </is>
      </c>
      <c r="G267" s="22">
        <f>IF('Brouillard ventes'!$F$94="","",IF('Brouillard ventes'!$E$94="Réparation",Paramètres!$B$9,Paramètres!$B$8))</f>
        <v/>
      </c>
      <c r="H267" s="22" t="inlineStr"/>
      <c r="I267" s="22" t="inlineStr"/>
      <c r="J267" s="22" t="inlineStr"/>
      <c r="K267" s="22">
        <f>IF('Brouillard ventes'!$F$94="","",Paramètres!$B$11)</f>
        <v/>
      </c>
      <c r="L267" s="23" t="n">
        <v>0</v>
      </c>
      <c r="M267" s="23">
        <f>IF('Brouillard ventes'!$F$94="","",'Brouillard ventes'!$F$94)</f>
        <v/>
      </c>
    </row>
    <row r="268">
      <c r="A268" s="22" t="inlineStr">
        <is>
          <t>1</t>
        </is>
      </c>
      <c r="B268" s="22">
        <f>IF('Brouillard ventes'!$F$94="","","VD"&amp;TEXT(ROW('Brouillard ventes'!$F$94)-5,"00000"))</f>
        <v/>
      </c>
      <c r="C268" s="22">
        <f>IF('Brouillard ventes'!$F$94="","",YEAR('Brouillard ventes'!$A$94)*10000+MONTH('Brouillard ventes'!$A$94)*100+DAY('Brouillard ventes'!$A$94))</f>
        <v/>
      </c>
      <c r="D268" s="22">
        <f>IF('Brouillard ventes'!$F$94="","",'Brouillard ventes'!$B$94)</f>
        <v/>
      </c>
      <c r="E268" s="22">
        <f>IF('Brouillard ventes'!$F$94="","",LEFT('Brouillard ventes'!$D$94,30))</f>
        <v/>
      </c>
      <c r="F268" s="22" t="inlineStr">
        <is>
          <t>15001</t>
        </is>
      </c>
      <c r="G268" s="22">
        <f>IF('Brouillard ventes'!$F$94="","",Paramètres!$B$10)</f>
        <v/>
      </c>
      <c r="H268" s="22" t="inlineStr"/>
      <c r="I268" s="22" t="inlineStr"/>
      <c r="J268" s="22" t="inlineStr"/>
      <c r="K268" s="22">
        <f>IF('Brouillard ventes'!$F$94="","",Paramètres!$B$11)</f>
        <v/>
      </c>
      <c r="L268" s="23" t="n">
        <v>0</v>
      </c>
      <c r="M268" s="23">
        <f>IF('Brouillard ventes'!$F$94="","",'Brouillard ventes'!$H$94)</f>
        <v/>
      </c>
    </row>
    <row r="269">
      <c r="A269" s="22" t="inlineStr">
        <is>
          <t>1</t>
        </is>
      </c>
      <c r="B269" s="22">
        <f>IF('Brouillard ventes'!$F$95="","","VD"&amp;TEXT(ROW('Brouillard ventes'!$F$95)-5,"00000"))</f>
        <v/>
      </c>
      <c r="C269" s="22">
        <f>IF('Brouillard ventes'!$F$95="","",YEAR('Brouillard ventes'!$A$95)*10000+MONTH('Brouillard ventes'!$A$95)*100+DAY('Brouillard ventes'!$A$95))</f>
        <v/>
      </c>
      <c r="D269" s="22">
        <f>IF('Brouillard ventes'!$F$95="","",'Brouillard ventes'!$B$95)</f>
        <v/>
      </c>
      <c r="E269" s="22">
        <f>IF('Brouillard ventes'!$F$95="","",LEFT('Brouillard ventes'!$D$95,30))</f>
        <v/>
      </c>
      <c r="F269" s="22" t="inlineStr">
        <is>
          <t>15001</t>
        </is>
      </c>
      <c r="G269" s="22">
        <f>IF('Brouillard ventes'!$F$95="","",Paramètres!$B$7)</f>
        <v/>
      </c>
      <c r="H269" s="22">
        <f>IF('Brouillard ventes'!$F$95="","",IF('Brouillard ventes'!$C$95="","CD001",'Brouillard ventes'!$C$95))</f>
        <v/>
      </c>
      <c r="I269" s="22" t="inlineStr"/>
      <c r="J269" s="22" t="inlineStr"/>
      <c r="K269" s="22">
        <f>IF('Brouillard ventes'!$F$95="","",Paramètres!$B$11)</f>
        <v/>
      </c>
      <c r="L269" s="23">
        <f>IF('Brouillard ventes'!$F$95="","",'Brouillard ventes'!$I$95)</f>
        <v/>
      </c>
      <c r="M269" s="23" t="n">
        <v>0</v>
      </c>
    </row>
    <row r="270">
      <c r="A270" s="22" t="inlineStr">
        <is>
          <t>1</t>
        </is>
      </c>
      <c r="B270" s="22">
        <f>IF('Brouillard ventes'!$F$95="","","VD"&amp;TEXT(ROW('Brouillard ventes'!$F$95)-5,"00000"))</f>
        <v/>
      </c>
      <c r="C270" s="22">
        <f>IF('Brouillard ventes'!$F$95="","",YEAR('Brouillard ventes'!$A$95)*10000+MONTH('Brouillard ventes'!$A$95)*100+DAY('Brouillard ventes'!$A$95))</f>
        <v/>
      </c>
      <c r="D270" s="22">
        <f>IF('Brouillard ventes'!$F$95="","",'Brouillard ventes'!$B$95)</f>
        <v/>
      </c>
      <c r="E270" s="22">
        <f>IF('Brouillard ventes'!$F$95="","",LEFT('Brouillard ventes'!$D$95,30))</f>
        <v/>
      </c>
      <c r="F270" s="22" t="inlineStr">
        <is>
          <t>15001</t>
        </is>
      </c>
      <c r="G270" s="22">
        <f>IF('Brouillard ventes'!$F$95="","",IF('Brouillard ventes'!$E$95="Réparation",Paramètres!$B$9,Paramètres!$B$8))</f>
        <v/>
      </c>
      <c r="H270" s="22" t="inlineStr"/>
      <c r="I270" s="22" t="inlineStr"/>
      <c r="J270" s="22" t="inlineStr"/>
      <c r="K270" s="22">
        <f>IF('Brouillard ventes'!$F$95="","",Paramètres!$B$11)</f>
        <v/>
      </c>
      <c r="L270" s="23" t="n">
        <v>0</v>
      </c>
      <c r="M270" s="23">
        <f>IF('Brouillard ventes'!$F$95="","",'Brouillard ventes'!$F$95)</f>
        <v/>
      </c>
    </row>
    <row r="271">
      <c r="A271" s="22" t="inlineStr">
        <is>
          <t>1</t>
        </is>
      </c>
      <c r="B271" s="22">
        <f>IF('Brouillard ventes'!$F$95="","","VD"&amp;TEXT(ROW('Brouillard ventes'!$F$95)-5,"00000"))</f>
        <v/>
      </c>
      <c r="C271" s="22">
        <f>IF('Brouillard ventes'!$F$95="","",YEAR('Brouillard ventes'!$A$95)*10000+MONTH('Brouillard ventes'!$A$95)*100+DAY('Brouillard ventes'!$A$95))</f>
        <v/>
      </c>
      <c r="D271" s="22">
        <f>IF('Brouillard ventes'!$F$95="","",'Brouillard ventes'!$B$95)</f>
        <v/>
      </c>
      <c r="E271" s="22">
        <f>IF('Brouillard ventes'!$F$95="","",LEFT('Brouillard ventes'!$D$95,30))</f>
        <v/>
      </c>
      <c r="F271" s="22" t="inlineStr">
        <is>
          <t>15001</t>
        </is>
      </c>
      <c r="G271" s="22">
        <f>IF('Brouillard ventes'!$F$95="","",Paramètres!$B$10)</f>
        <v/>
      </c>
      <c r="H271" s="22" t="inlineStr"/>
      <c r="I271" s="22" t="inlineStr"/>
      <c r="J271" s="22" t="inlineStr"/>
      <c r="K271" s="22">
        <f>IF('Brouillard ventes'!$F$95="","",Paramètres!$B$11)</f>
        <v/>
      </c>
      <c r="L271" s="23" t="n">
        <v>0</v>
      </c>
      <c r="M271" s="23">
        <f>IF('Brouillard ventes'!$F$95="","",'Brouillard ventes'!$H$95)</f>
        <v/>
      </c>
    </row>
    <row r="272">
      <c r="A272" s="22" t="inlineStr">
        <is>
          <t>1</t>
        </is>
      </c>
      <c r="B272" s="22">
        <f>IF('Brouillard ventes'!$F$96="","","VD"&amp;TEXT(ROW('Brouillard ventes'!$F$96)-5,"00000"))</f>
        <v/>
      </c>
      <c r="C272" s="22">
        <f>IF('Brouillard ventes'!$F$96="","",YEAR('Brouillard ventes'!$A$96)*10000+MONTH('Brouillard ventes'!$A$96)*100+DAY('Brouillard ventes'!$A$96))</f>
        <v/>
      </c>
      <c r="D272" s="22">
        <f>IF('Brouillard ventes'!$F$96="","",'Brouillard ventes'!$B$96)</f>
        <v/>
      </c>
      <c r="E272" s="22">
        <f>IF('Brouillard ventes'!$F$96="","",LEFT('Brouillard ventes'!$D$96,30))</f>
        <v/>
      </c>
      <c r="F272" s="22" t="inlineStr">
        <is>
          <t>15001</t>
        </is>
      </c>
      <c r="G272" s="22">
        <f>IF('Brouillard ventes'!$F$96="","",Paramètres!$B$7)</f>
        <v/>
      </c>
      <c r="H272" s="22">
        <f>IF('Brouillard ventes'!$F$96="","",IF('Brouillard ventes'!$C$96="","CD001",'Brouillard ventes'!$C$96))</f>
        <v/>
      </c>
      <c r="I272" s="22" t="inlineStr"/>
      <c r="J272" s="22" t="inlineStr"/>
      <c r="K272" s="22">
        <f>IF('Brouillard ventes'!$F$96="","",Paramètres!$B$11)</f>
        <v/>
      </c>
      <c r="L272" s="23">
        <f>IF('Brouillard ventes'!$F$96="","",'Brouillard ventes'!$I$96)</f>
        <v/>
      </c>
      <c r="M272" s="23" t="n">
        <v>0</v>
      </c>
    </row>
    <row r="273">
      <c r="A273" s="22" t="inlineStr">
        <is>
          <t>1</t>
        </is>
      </c>
      <c r="B273" s="22">
        <f>IF('Brouillard ventes'!$F$96="","","VD"&amp;TEXT(ROW('Brouillard ventes'!$F$96)-5,"00000"))</f>
        <v/>
      </c>
      <c r="C273" s="22">
        <f>IF('Brouillard ventes'!$F$96="","",YEAR('Brouillard ventes'!$A$96)*10000+MONTH('Brouillard ventes'!$A$96)*100+DAY('Brouillard ventes'!$A$96))</f>
        <v/>
      </c>
      <c r="D273" s="22">
        <f>IF('Brouillard ventes'!$F$96="","",'Brouillard ventes'!$B$96)</f>
        <v/>
      </c>
      <c r="E273" s="22">
        <f>IF('Brouillard ventes'!$F$96="","",LEFT('Brouillard ventes'!$D$96,30))</f>
        <v/>
      </c>
      <c r="F273" s="22" t="inlineStr">
        <is>
          <t>15001</t>
        </is>
      </c>
      <c r="G273" s="22">
        <f>IF('Brouillard ventes'!$F$96="","",IF('Brouillard ventes'!$E$96="Réparation",Paramètres!$B$9,Paramètres!$B$8))</f>
        <v/>
      </c>
      <c r="H273" s="22" t="inlineStr"/>
      <c r="I273" s="22" t="inlineStr"/>
      <c r="J273" s="22" t="inlineStr"/>
      <c r="K273" s="22">
        <f>IF('Brouillard ventes'!$F$96="","",Paramètres!$B$11)</f>
        <v/>
      </c>
      <c r="L273" s="23" t="n">
        <v>0</v>
      </c>
      <c r="M273" s="23">
        <f>IF('Brouillard ventes'!$F$96="","",'Brouillard ventes'!$F$96)</f>
        <v/>
      </c>
    </row>
    <row r="274">
      <c r="A274" s="22" t="inlineStr">
        <is>
          <t>1</t>
        </is>
      </c>
      <c r="B274" s="22">
        <f>IF('Brouillard ventes'!$F$96="","","VD"&amp;TEXT(ROW('Brouillard ventes'!$F$96)-5,"00000"))</f>
        <v/>
      </c>
      <c r="C274" s="22">
        <f>IF('Brouillard ventes'!$F$96="","",YEAR('Brouillard ventes'!$A$96)*10000+MONTH('Brouillard ventes'!$A$96)*100+DAY('Brouillard ventes'!$A$96))</f>
        <v/>
      </c>
      <c r="D274" s="22">
        <f>IF('Brouillard ventes'!$F$96="","",'Brouillard ventes'!$B$96)</f>
        <v/>
      </c>
      <c r="E274" s="22">
        <f>IF('Brouillard ventes'!$F$96="","",LEFT('Brouillard ventes'!$D$96,30))</f>
        <v/>
      </c>
      <c r="F274" s="22" t="inlineStr">
        <is>
          <t>15001</t>
        </is>
      </c>
      <c r="G274" s="22">
        <f>IF('Brouillard ventes'!$F$96="","",Paramètres!$B$10)</f>
        <v/>
      </c>
      <c r="H274" s="22" t="inlineStr"/>
      <c r="I274" s="22" t="inlineStr"/>
      <c r="J274" s="22" t="inlineStr"/>
      <c r="K274" s="22">
        <f>IF('Brouillard ventes'!$F$96="","",Paramètres!$B$11)</f>
        <v/>
      </c>
      <c r="L274" s="23" t="n">
        <v>0</v>
      </c>
      <c r="M274" s="23">
        <f>IF('Brouillard ventes'!$F$96="","",'Brouillard ventes'!$H$96)</f>
        <v/>
      </c>
    </row>
    <row r="275">
      <c r="A275" s="22" t="inlineStr">
        <is>
          <t>1</t>
        </is>
      </c>
      <c r="B275" s="22">
        <f>IF('Brouillard ventes'!$F$97="","","VD"&amp;TEXT(ROW('Brouillard ventes'!$F$97)-5,"00000"))</f>
        <v/>
      </c>
      <c r="C275" s="22">
        <f>IF('Brouillard ventes'!$F$97="","",YEAR('Brouillard ventes'!$A$97)*10000+MONTH('Brouillard ventes'!$A$97)*100+DAY('Brouillard ventes'!$A$97))</f>
        <v/>
      </c>
      <c r="D275" s="22">
        <f>IF('Brouillard ventes'!$F$97="","",'Brouillard ventes'!$B$97)</f>
        <v/>
      </c>
      <c r="E275" s="22">
        <f>IF('Brouillard ventes'!$F$97="","",LEFT('Brouillard ventes'!$D$97,30))</f>
        <v/>
      </c>
      <c r="F275" s="22" t="inlineStr">
        <is>
          <t>15001</t>
        </is>
      </c>
      <c r="G275" s="22">
        <f>IF('Brouillard ventes'!$F$97="","",Paramètres!$B$7)</f>
        <v/>
      </c>
      <c r="H275" s="22">
        <f>IF('Brouillard ventes'!$F$97="","",IF('Brouillard ventes'!$C$97="","CD001",'Brouillard ventes'!$C$97))</f>
        <v/>
      </c>
      <c r="I275" s="22" t="inlineStr"/>
      <c r="J275" s="22" t="inlineStr"/>
      <c r="K275" s="22">
        <f>IF('Brouillard ventes'!$F$97="","",Paramètres!$B$11)</f>
        <v/>
      </c>
      <c r="L275" s="23">
        <f>IF('Brouillard ventes'!$F$97="","",'Brouillard ventes'!$I$97)</f>
        <v/>
      </c>
      <c r="M275" s="23" t="n">
        <v>0</v>
      </c>
    </row>
    <row r="276">
      <c r="A276" s="22" t="inlineStr">
        <is>
          <t>1</t>
        </is>
      </c>
      <c r="B276" s="22">
        <f>IF('Brouillard ventes'!$F$97="","","VD"&amp;TEXT(ROW('Brouillard ventes'!$F$97)-5,"00000"))</f>
        <v/>
      </c>
      <c r="C276" s="22">
        <f>IF('Brouillard ventes'!$F$97="","",YEAR('Brouillard ventes'!$A$97)*10000+MONTH('Brouillard ventes'!$A$97)*100+DAY('Brouillard ventes'!$A$97))</f>
        <v/>
      </c>
      <c r="D276" s="22">
        <f>IF('Brouillard ventes'!$F$97="","",'Brouillard ventes'!$B$97)</f>
        <v/>
      </c>
      <c r="E276" s="22">
        <f>IF('Brouillard ventes'!$F$97="","",LEFT('Brouillard ventes'!$D$97,30))</f>
        <v/>
      </c>
      <c r="F276" s="22" t="inlineStr">
        <is>
          <t>15001</t>
        </is>
      </c>
      <c r="G276" s="22">
        <f>IF('Brouillard ventes'!$F$97="","",IF('Brouillard ventes'!$E$97="Réparation",Paramètres!$B$9,Paramètres!$B$8))</f>
        <v/>
      </c>
      <c r="H276" s="22" t="inlineStr"/>
      <c r="I276" s="22" t="inlineStr"/>
      <c r="J276" s="22" t="inlineStr"/>
      <c r="K276" s="22">
        <f>IF('Brouillard ventes'!$F$97="","",Paramètres!$B$11)</f>
        <v/>
      </c>
      <c r="L276" s="23" t="n">
        <v>0</v>
      </c>
      <c r="M276" s="23">
        <f>IF('Brouillard ventes'!$F$97="","",'Brouillard ventes'!$F$97)</f>
        <v/>
      </c>
    </row>
    <row r="277">
      <c r="A277" s="22" t="inlineStr">
        <is>
          <t>1</t>
        </is>
      </c>
      <c r="B277" s="22">
        <f>IF('Brouillard ventes'!$F$97="","","VD"&amp;TEXT(ROW('Brouillard ventes'!$F$97)-5,"00000"))</f>
        <v/>
      </c>
      <c r="C277" s="22">
        <f>IF('Brouillard ventes'!$F$97="","",YEAR('Brouillard ventes'!$A$97)*10000+MONTH('Brouillard ventes'!$A$97)*100+DAY('Brouillard ventes'!$A$97))</f>
        <v/>
      </c>
      <c r="D277" s="22">
        <f>IF('Brouillard ventes'!$F$97="","",'Brouillard ventes'!$B$97)</f>
        <v/>
      </c>
      <c r="E277" s="22">
        <f>IF('Brouillard ventes'!$F$97="","",LEFT('Brouillard ventes'!$D$97,30))</f>
        <v/>
      </c>
      <c r="F277" s="22" t="inlineStr">
        <is>
          <t>15001</t>
        </is>
      </c>
      <c r="G277" s="22">
        <f>IF('Brouillard ventes'!$F$97="","",Paramètres!$B$10)</f>
        <v/>
      </c>
      <c r="H277" s="22" t="inlineStr"/>
      <c r="I277" s="22" t="inlineStr"/>
      <c r="J277" s="22" t="inlineStr"/>
      <c r="K277" s="22">
        <f>IF('Brouillard ventes'!$F$97="","",Paramètres!$B$11)</f>
        <v/>
      </c>
      <c r="L277" s="23" t="n">
        <v>0</v>
      </c>
      <c r="M277" s="23">
        <f>IF('Brouillard ventes'!$F$97="","",'Brouillard ventes'!$H$97)</f>
        <v/>
      </c>
    </row>
    <row r="278">
      <c r="A278" s="22" t="inlineStr">
        <is>
          <t>1</t>
        </is>
      </c>
      <c r="B278" s="22">
        <f>IF('Brouillard ventes'!$F$98="","","VD"&amp;TEXT(ROW('Brouillard ventes'!$F$98)-5,"00000"))</f>
        <v/>
      </c>
      <c r="C278" s="22">
        <f>IF('Brouillard ventes'!$F$98="","",YEAR('Brouillard ventes'!$A$98)*10000+MONTH('Brouillard ventes'!$A$98)*100+DAY('Brouillard ventes'!$A$98))</f>
        <v/>
      </c>
      <c r="D278" s="22">
        <f>IF('Brouillard ventes'!$F$98="","",'Brouillard ventes'!$B$98)</f>
        <v/>
      </c>
      <c r="E278" s="22">
        <f>IF('Brouillard ventes'!$F$98="","",LEFT('Brouillard ventes'!$D$98,30))</f>
        <v/>
      </c>
      <c r="F278" s="22" t="inlineStr">
        <is>
          <t>15001</t>
        </is>
      </c>
      <c r="G278" s="22">
        <f>IF('Brouillard ventes'!$F$98="","",Paramètres!$B$7)</f>
        <v/>
      </c>
      <c r="H278" s="22">
        <f>IF('Brouillard ventes'!$F$98="","",IF('Brouillard ventes'!$C$98="","CD001",'Brouillard ventes'!$C$98))</f>
        <v/>
      </c>
      <c r="I278" s="22" t="inlineStr"/>
      <c r="J278" s="22" t="inlineStr"/>
      <c r="K278" s="22">
        <f>IF('Brouillard ventes'!$F$98="","",Paramètres!$B$11)</f>
        <v/>
      </c>
      <c r="L278" s="23">
        <f>IF('Brouillard ventes'!$F$98="","",'Brouillard ventes'!$I$98)</f>
        <v/>
      </c>
      <c r="M278" s="23" t="n">
        <v>0</v>
      </c>
    </row>
    <row r="279">
      <c r="A279" s="22" t="inlineStr">
        <is>
          <t>1</t>
        </is>
      </c>
      <c r="B279" s="22">
        <f>IF('Brouillard ventes'!$F$98="","","VD"&amp;TEXT(ROW('Brouillard ventes'!$F$98)-5,"00000"))</f>
        <v/>
      </c>
      <c r="C279" s="22">
        <f>IF('Brouillard ventes'!$F$98="","",YEAR('Brouillard ventes'!$A$98)*10000+MONTH('Brouillard ventes'!$A$98)*100+DAY('Brouillard ventes'!$A$98))</f>
        <v/>
      </c>
      <c r="D279" s="22">
        <f>IF('Brouillard ventes'!$F$98="","",'Brouillard ventes'!$B$98)</f>
        <v/>
      </c>
      <c r="E279" s="22">
        <f>IF('Brouillard ventes'!$F$98="","",LEFT('Brouillard ventes'!$D$98,30))</f>
        <v/>
      </c>
      <c r="F279" s="22" t="inlineStr">
        <is>
          <t>15001</t>
        </is>
      </c>
      <c r="G279" s="22">
        <f>IF('Brouillard ventes'!$F$98="","",IF('Brouillard ventes'!$E$98="Réparation",Paramètres!$B$9,Paramètres!$B$8))</f>
        <v/>
      </c>
      <c r="H279" s="22" t="inlineStr"/>
      <c r="I279" s="22" t="inlineStr"/>
      <c r="J279" s="22" t="inlineStr"/>
      <c r="K279" s="22">
        <f>IF('Brouillard ventes'!$F$98="","",Paramètres!$B$11)</f>
        <v/>
      </c>
      <c r="L279" s="23" t="n">
        <v>0</v>
      </c>
      <c r="M279" s="23">
        <f>IF('Brouillard ventes'!$F$98="","",'Brouillard ventes'!$F$98)</f>
        <v/>
      </c>
    </row>
    <row r="280">
      <c r="A280" s="22" t="inlineStr">
        <is>
          <t>1</t>
        </is>
      </c>
      <c r="B280" s="22">
        <f>IF('Brouillard ventes'!$F$98="","","VD"&amp;TEXT(ROW('Brouillard ventes'!$F$98)-5,"00000"))</f>
        <v/>
      </c>
      <c r="C280" s="22">
        <f>IF('Brouillard ventes'!$F$98="","",YEAR('Brouillard ventes'!$A$98)*10000+MONTH('Brouillard ventes'!$A$98)*100+DAY('Brouillard ventes'!$A$98))</f>
        <v/>
      </c>
      <c r="D280" s="22">
        <f>IF('Brouillard ventes'!$F$98="","",'Brouillard ventes'!$B$98)</f>
        <v/>
      </c>
      <c r="E280" s="22">
        <f>IF('Brouillard ventes'!$F$98="","",LEFT('Brouillard ventes'!$D$98,30))</f>
        <v/>
      </c>
      <c r="F280" s="22" t="inlineStr">
        <is>
          <t>15001</t>
        </is>
      </c>
      <c r="G280" s="22">
        <f>IF('Brouillard ventes'!$F$98="","",Paramètres!$B$10)</f>
        <v/>
      </c>
      <c r="H280" s="22" t="inlineStr"/>
      <c r="I280" s="22" t="inlineStr"/>
      <c r="J280" s="22" t="inlineStr"/>
      <c r="K280" s="22">
        <f>IF('Brouillard ventes'!$F$98="","",Paramètres!$B$11)</f>
        <v/>
      </c>
      <c r="L280" s="23" t="n">
        <v>0</v>
      </c>
      <c r="M280" s="23">
        <f>IF('Brouillard ventes'!$F$98="","",'Brouillard ventes'!$H$98)</f>
        <v/>
      </c>
    </row>
    <row r="281">
      <c r="A281" s="22" t="inlineStr">
        <is>
          <t>1</t>
        </is>
      </c>
      <c r="B281" s="22">
        <f>IF('Brouillard ventes'!$F$99="","","VD"&amp;TEXT(ROW('Brouillard ventes'!$F$99)-5,"00000"))</f>
        <v/>
      </c>
      <c r="C281" s="22">
        <f>IF('Brouillard ventes'!$F$99="","",YEAR('Brouillard ventes'!$A$99)*10000+MONTH('Brouillard ventes'!$A$99)*100+DAY('Brouillard ventes'!$A$99))</f>
        <v/>
      </c>
      <c r="D281" s="22">
        <f>IF('Brouillard ventes'!$F$99="","",'Brouillard ventes'!$B$99)</f>
        <v/>
      </c>
      <c r="E281" s="22">
        <f>IF('Brouillard ventes'!$F$99="","",LEFT('Brouillard ventes'!$D$99,30))</f>
        <v/>
      </c>
      <c r="F281" s="22" t="inlineStr">
        <is>
          <t>15001</t>
        </is>
      </c>
      <c r="G281" s="22">
        <f>IF('Brouillard ventes'!$F$99="","",Paramètres!$B$7)</f>
        <v/>
      </c>
      <c r="H281" s="22">
        <f>IF('Brouillard ventes'!$F$99="","",IF('Brouillard ventes'!$C$99="","CD001",'Brouillard ventes'!$C$99))</f>
        <v/>
      </c>
      <c r="I281" s="22" t="inlineStr"/>
      <c r="J281" s="22" t="inlineStr"/>
      <c r="K281" s="22">
        <f>IF('Brouillard ventes'!$F$99="","",Paramètres!$B$11)</f>
        <v/>
      </c>
      <c r="L281" s="23">
        <f>IF('Brouillard ventes'!$F$99="","",'Brouillard ventes'!$I$99)</f>
        <v/>
      </c>
      <c r="M281" s="23" t="n">
        <v>0</v>
      </c>
    </row>
    <row r="282">
      <c r="A282" s="22" t="inlineStr">
        <is>
          <t>1</t>
        </is>
      </c>
      <c r="B282" s="22">
        <f>IF('Brouillard ventes'!$F$99="","","VD"&amp;TEXT(ROW('Brouillard ventes'!$F$99)-5,"00000"))</f>
        <v/>
      </c>
      <c r="C282" s="22">
        <f>IF('Brouillard ventes'!$F$99="","",YEAR('Brouillard ventes'!$A$99)*10000+MONTH('Brouillard ventes'!$A$99)*100+DAY('Brouillard ventes'!$A$99))</f>
        <v/>
      </c>
      <c r="D282" s="22">
        <f>IF('Brouillard ventes'!$F$99="","",'Brouillard ventes'!$B$99)</f>
        <v/>
      </c>
      <c r="E282" s="22">
        <f>IF('Brouillard ventes'!$F$99="","",LEFT('Brouillard ventes'!$D$99,30))</f>
        <v/>
      </c>
      <c r="F282" s="22" t="inlineStr">
        <is>
          <t>15001</t>
        </is>
      </c>
      <c r="G282" s="22">
        <f>IF('Brouillard ventes'!$F$99="","",IF('Brouillard ventes'!$E$99="Réparation",Paramètres!$B$9,Paramètres!$B$8))</f>
        <v/>
      </c>
      <c r="H282" s="22" t="inlineStr"/>
      <c r="I282" s="22" t="inlineStr"/>
      <c r="J282" s="22" t="inlineStr"/>
      <c r="K282" s="22">
        <f>IF('Brouillard ventes'!$F$99="","",Paramètres!$B$11)</f>
        <v/>
      </c>
      <c r="L282" s="23" t="n">
        <v>0</v>
      </c>
      <c r="M282" s="23">
        <f>IF('Brouillard ventes'!$F$99="","",'Brouillard ventes'!$F$99)</f>
        <v/>
      </c>
    </row>
    <row r="283">
      <c r="A283" s="22" t="inlineStr">
        <is>
          <t>1</t>
        </is>
      </c>
      <c r="B283" s="22">
        <f>IF('Brouillard ventes'!$F$99="","","VD"&amp;TEXT(ROW('Brouillard ventes'!$F$99)-5,"00000"))</f>
        <v/>
      </c>
      <c r="C283" s="22">
        <f>IF('Brouillard ventes'!$F$99="","",YEAR('Brouillard ventes'!$A$99)*10000+MONTH('Brouillard ventes'!$A$99)*100+DAY('Brouillard ventes'!$A$99))</f>
        <v/>
      </c>
      <c r="D283" s="22">
        <f>IF('Brouillard ventes'!$F$99="","",'Brouillard ventes'!$B$99)</f>
        <v/>
      </c>
      <c r="E283" s="22">
        <f>IF('Brouillard ventes'!$F$99="","",LEFT('Brouillard ventes'!$D$99,30))</f>
        <v/>
      </c>
      <c r="F283" s="22" t="inlineStr">
        <is>
          <t>15001</t>
        </is>
      </c>
      <c r="G283" s="22">
        <f>IF('Brouillard ventes'!$F$99="","",Paramètres!$B$10)</f>
        <v/>
      </c>
      <c r="H283" s="22" t="inlineStr"/>
      <c r="I283" s="22" t="inlineStr"/>
      <c r="J283" s="22" t="inlineStr"/>
      <c r="K283" s="22">
        <f>IF('Brouillard ventes'!$F$99="","",Paramètres!$B$11)</f>
        <v/>
      </c>
      <c r="L283" s="23" t="n">
        <v>0</v>
      </c>
      <c r="M283" s="23">
        <f>IF('Brouillard ventes'!$F$99="","",'Brouillard ventes'!$H$99)</f>
        <v/>
      </c>
    </row>
    <row r="284">
      <c r="A284" s="22" t="inlineStr">
        <is>
          <t>1</t>
        </is>
      </c>
      <c r="B284" s="22">
        <f>IF('Brouillard ventes'!$F$100="","","VD"&amp;TEXT(ROW('Brouillard ventes'!$F$100)-5,"00000"))</f>
        <v/>
      </c>
      <c r="C284" s="22">
        <f>IF('Brouillard ventes'!$F$100="","",YEAR('Brouillard ventes'!$A$100)*10000+MONTH('Brouillard ventes'!$A$100)*100+DAY('Brouillard ventes'!$A$100))</f>
        <v/>
      </c>
      <c r="D284" s="22">
        <f>IF('Brouillard ventes'!$F$100="","",'Brouillard ventes'!$B$100)</f>
        <v/>
      </c>
      <c r="E284" s="22">
        <f>IF('Brouillard ventes'!$F$100="","",LEFT('Brouillard ventes'!$D$100,30))</f>
        <v/>
      </c>
      <c r="F284" s="22" t="inlineStr">
        <is>
          <t>15001</t>
        </is>
      </c>
      <c r="G284" s="22">
        <f>IF('Brouillard ventes'!$F$100="","",Paramètres!$B$7)</f>
        <v/>
      </c>
      <c r="H284" s="22">
        <f>IF('Brouillard ventes'!$F$100="","",IF('Brouillard ventes'!$C$100="","CD001",'Brouillard ventes'!$C$100))</f>
        <v/>
      </c>
      <c r="I284" s="22" t="inlineStr"/>
      <c r="J284" s="22" t="inlineStr"/>
      <c r="K284" s="22">
        <f>IF('Brouillard ventes'!$F$100="","",Paramètres!$B$11)</f>
        <v/>
      </c>
      <c r="L284" s="23">
        <f>IF('Brouillard ventes'!$F$100="","",'Brouillard ventes'!$I$100)</f>
        <v/>
      </c>
      <c r="M284" s="23" t="n">
        <v>0</v>
      </c>
    </row>
    <row r="285">
      <c r="A285" s="22" t="inlineStr">
        <is>
          <t>1</t>
        </is>
      </c>
      <c r="B285" s="22">
        <f>IF('Brouillard ventes'!$F$100="","","VD"&amp;TEXT(ROW('Brouillard ventes'!$F$100)-5,"00000"))</f>
        <v/>
      </c>
      <c r="C285" s="22">
        <f>IF('Brouillard ventes'!$F$100="","",YEAR('Brouillard ventes'!$A$100)*10000+MONTH('Brouillard ventes'!$A$100)*100+DAY('Brouillard ventes'!$A$100))</f>
        <v/>
      </c>
      <c r="D285" s="22">
        <f>IF('Brouillard ventes'!$F$100="","",'Brouillard ventes'!$B$100)</f>
        <v/>
      </c>
      <c r="E285" s="22">
        <f>IF('Brouillard ventes'!$F$100="","",LEFT('Brouillard ventes'!$D$100,30))</f>
        <v/>
      </c>
      <c r="F285" s="22" t="inlineStr">
        <is>
          <t>15001</t>
        </is>
      </c>
      <c r="G285" s="22">
        <f>IF('Brouillard ventes'!$F$100="","",IF('Brouillard ventes'!$E$100="Réparation",Paramètres!$B$9,Paramètres!$B$8))</f>
        <v/>
      </c>
      <c r="H285" s="22" t="inlineStr"/>
      <c r="I285" s="22" t="inlineStr"/>
      <c r="J285" s="22" t="inlineStr"/>
      <c r="K285" s="22">
        <f>IF('Brouillard ventes'!$F$100="","",Paramètres!$B$11)</f>
        <v/>
      </c>
      <c r="L285" s="23" t="n">
        <v>0</v>
      </c>
      <c r="M285" s="23">
        <f>IF('Brouillard ventes'!$F$100="","",'Brouillard ventes'!$F$100)</f>
        <v/>
      </c>
    </row>
    <row r="286">
      <c r="A286" s="22" t="inlineStr">
        <is>
          <t>1</t>
        </is>
      </c>
      <c r="B286" s="22">
        <f>IF('Brouillard ventes'!$F$100="","","VD"&amp;TEXT(ROW('Brouillard ventes'!$F$100)-5,"00000"))</f>
        <v/>
      </c>
      <c r="C286" s="22">
        <f>IF('Brouillard ventes'!$F$100="","",YEAR('Brouillard ventes'!$A$100)*10000+MONTH('Brouillard ventes'!$A$100)*100+DAY('Brouillard ventes'!$A$100))</f>
        <v/>
      </c>
      <c r="D286" s="22">
        <f>IF('Brouillard ventes'!$F$100="","",'Brouillard ventes'!$B$100)</f>
        <v/>
      </c>
      <c r="E286" s="22">
        <f>IF('Brouillard ventes'!$F$100="","",LEFT('Brouillard ventes'!$D$100,30))</f>
        <v/>
      </c>
      <c r="F286" s="22" t="inlineStr">
        <is>
          <t>15001</t>
        </is>
      </c>
      <c r="G286" s="22">
        <f>IF('Brouillard ventes'!$F$100="","",Paramètres!$B$10)</f>
        <v/>
      </c>
      <c r="H286" s="22" t="inlineStr"/>
      <c r="I286" s="22" t="inlineStr"/>
      <c r="J286" s="22" t="inlineStr"/>
      <c r="K286" s="22">
        <f>IF('Brouillard ventes'!$F$100="","",Paramètres!$B$11)</f>
        <v/>
      </c>
      <c r="L286" s="23" t="n">
        <v>0</v>
      </c>
      <c r="M286" s="23">
        <f>IF('Brouillard ventes'!$F$100="","",'Brouillard ventes'!$H$100)</f>
        <v/>
      </c>
    </row>
    <row r="287">
      <c r="A287" s="22" t="inlineStr">
        <is>
          <t>1</t>
        </is>
      </c>
      <c r="B287" s="22">
        <f>IF('Brouillard ventes'!$F$101="","","VD"&amp;TEXT(ROW('Brouillard ventes'!$F$101)-5,"00000"))</f>
        <v/>
      </c>
      <c r="C287" s="22">
        <f>IF('Brouillard ventes'!$F$101="","",YEAR('Brouillard ventes'!$A$101)*10000+MONTH('Brouillard ventes'!$A$101)*100+DAY('Brouillard ventes'!$A$101))</f>
        <v/>
      </c>
      <c r="D287" s="22">
        <f>IF('Brouillard ventes'!$F$101="","",'Brouillard ventes'!$B$101)</f>
        <v/>
      </c>
      <c r="E287" s="22">
        <f>IF('Brouillard ventes'!$F$101="","",LEFT('Brouillard ventes'!$D$101,30))</f>
        <v/>
      </c>
      <c r="F287" s="22" t="inlineStr">
        <is>
          <t>15001</t>
        </is>
      </c>
      <c r="G287" s="22">
        <f>IF('Brouillard ventes'!$F$101="","",Paramètres!$B$7)</f>
        <v/>
      </c>
      <c r="H287" s="22">
        <f>IF('Brouillard ventes'!$F$101="","",IF('Brouillard ventes'!$C$101="","CD001",'Brouillard ventes'!$C$101))</f>
        <v/>
      </c>
      <c r="I287" s="22" t="inlineStr"/>
      <c r="J287" s="22" t="inlineStr"/>
      <c r="K287" s="22">
        <f>IF('Brouillard ventes'!$F$101="","",Paramètres!$B$11)</f>
        <v/>
      </c>
      <c r="L287" s="23">
        <f>IF('Brouillard ventes'!$F$101="","",'Brouillard ventes'!$I$101)</f>
        <v/>
      </c>
      <c r="M287" s="23" t="n">
        <v>0</v>
      </c>
    </row>
    <row r="288">
      <c r="A288" s="22" t="inlineStr">
        <is>
          <t>1</t>
        </is>
      </c>
      <c r="B288" s="22">
        <f>IF('Brouillard ventes'!$F$101="","","VD"&amp;TEXT(ROW('Brouillard ventes'!$F$101)-5,"00000"))</f>
        <v/>
      </c>
      <c r="C288" s="22">
        <f>IF('Brouillard ventes'!$F$101="","",YEAR('Brouillard ventes'!$A$101)*10000+MONTH('Brouillard ventes'!$A$101)*100+DAY('Brouillard ventes'!$A$101))</f>
        <v/>
      </c>
      <c r="D288" s="22">
        <f>IF('Brouillard ventes'!$F$101="","",'Brouillard ventes'!$B$101)</f>
        <v/>
      </c>
      <c r="E288" s="22">
        <f>IF('Brouillard ventes'!$F$101="","",LEFT('Brouillard ventes'!$D$101,30))</f>
        <v/>
      </c>
      <c r="F288" s="22" t="inlineStr">
        <is>
          <t>15001</t>
        </is>
      </c>
      <c r="G288" s="22">
        <f>IF('Brouillard ventes'!$F$101="","",IF('Brouillard ventes'!$E$101="Réparation",Paramètres!$B$9,Paramètres!$B$8))</f>
        <v/>
      </c>
      <c r="H288" s="22" t="inlineStr"/>
      <c r="I288" s="22" t="inlineStr"/>
      <c r="J288" s="22" t="inlineStr"/>
      <c r="K288" s="22">
        <f>IF('Brouillard ventes'!$F$101="","",Paramètres!$B$11)</f>
        <v/>
      </c>
      <c r="L288" s="23" t="n">
        <v>0</v>
      </c>
      <c r="M288" s="23">
        <f>IF('Brouillard ventes'!$F$101="","",'Brouillard ventes'!$F$101)</f>
        <v/>
      </c>
    </row>
    <row r="289">
      <c r="A289" s="22" t="inlineStr">
        <is>
          <t>1</t>
        </is>
      </c>
      <c r="B289" s="22">
        <f>IF('Brouillard ventes'!$F$101="","","VD"&amp;TEXT(ROW('Brouillard ventes'!$F$101)-5,"00000"))</f>
        <v/>
      </c>
      <c r="C289" s="22">
        <f>IF('Brouillard ventes'!$F$101="","",YEAR('Brouillard ventes'!$A$101)*10000+MONTH('Brouillard ventes'!$A$101)*100+DAY('Brouillard ventes'!$A$101))</f>
        <v/>
      </c>
      <c r="D289" s="22">
        <f>IF('Brouillard ventes'!$F$101="","",'Brouillard ventes'!$B$101)</f>
        <v/>
      </c>
      <c r="E289" s="22">
        <f>IF('Brouillard ventes'!$F$101="","",LEFT('Brouillard ventes'!$D$101,30))</f>
        <v/>
      </c>
      <c r="F289" s="22" t="inlineStr">
        <is>
          <t>15001</t>
        </is>
      </c>
      <c r="G289" s="22">
        <f>IF('Brouillard ventes'!$F$101="","",Paramètres!$B$10)</f>
        <v/>
      </c>
      <c r="H289" s="22" t="inlineStr"/>
      <c r="I289" s="22" t="inlineStr"/>
      <c r="J289" s="22" t="inlineStr"/>
      <c r="K289" s="22">
        <f>IF('Brouillard ventes'!$F$101="","",Paramètres!$B$11)</f>
        <v/>
      </c>
      <c r="L289" s="23" t="n">
        <v>0</v>
      </c>
      <c r="M289" s="23">
        <f>IF('Brouillard ventes'!$F$101="","",'Brouillard ventes'!$H$101)</f>
        <v/>
      </c>
    </row>
    <row r="290">
      <c r="A290" s="22" t="inlineStr">
        <is>
          <t>1</t>
        </is>
      </c>
      <c r="B290" s="22">
        <f>IF('Brouillard ventes'!$F$102="","","VD"&amp;TEXT(ROW('Brouillard ventes'!$F$102)-5,"00000"))</f>
        <v/>
      </c>
      <c r="C290" s="22">
        <f>IF('Brouillard ventes'!$F$102="","",YEAR('Brouillard ventes'!$A$102)*10000+MONTH('Brouillard ventes'!$A$102)*100+DAY('Brouillard ventes'!$A$102))</f>
        <v/>
      </c>
      <c r="D290" s="22">
        <f>IF('Brouillard ventes'!$F$102="","",'Brouillard ventes'!$B$102)</f>
        <v/>
      </c>
      <c r="E290" s="22">
        <f>IF('Brouillard ventes'!$F$102="","",LEFT('Brouillard ventes'!$D$102,30))</f>
        <v/>
      </c>
      <c r="F290" s="22" t="inlineStr">
        <is>
          <t>15001</t>
        </is>
      </c>
      <c r="G290" s="22">
        <f>IF('Brouillard ventes'!$F$102="","",Paramètres!$B$7)</f>
        <v/>
      </c>
      <c r="H290" s="22">
        <f>IF('Brouillard ventes'!$F$102="","",IF('Brouillard ventes'!$C$102="","CD001",'Brouillard ventes'!$C$102))</f>
        <v/>
      </c>
      <c r="I290" s="22" t="inlineStr"/>
      <c r="J290" s="22" t="inlineStr"/>
      <c r="K290" s="22">
        <f>IF('Brouillard ventes'!$F$102="","",Paramètres!$B$11)</f>
        <v/>
      </c>
      <c r="L290" s="23">
        <f>IF('Brouillard ventes'!$F$102="","",'Brouillard ventes'!$I$102)</f>
        <v/>
      </c>
      <c r="M290" s="23" t="n">
        <v>0</v>
      </c>
    </row>
    <row r="291">
      <c r="A291" s="22" t="inlineStr">
        <is>
          <t>1</t>
        </is>
      </c>
      <c r="B291" s="22">
        <f>IF('Brouillard ventes'!$F$102="","","VD"&amp;TEXT(ROW('Brouillard ventes'!$F$102)-5,"00000"))</f>
        <v/>
      </c>
      <c r="C291" s="22">
        <f>IF('Brouillard ventes'!$F$102="","",YEAR('Brouillard ventes'!$A$102)*10000+MONTH('Brouillard ventes'!$A$102)*100+DAY('Brouillard ventes'!$A$102))</f>
        <v/>
      </c>
      <c r="D291" s="22">
        <f>IF('Brouillard ventes'!$F$102="","",'Brouillard ventes'!$B$102)</f>
        <v/>
      </c>
      <c r="E291" s="22">
        <f>IF('Brouillard ventes'!$F$102="","",LEFT('Brouillard ventes'!$D$102,30))</f>
        <v/>
      </c>
      <c r="F291" s="22" t="inlineStr">
        <is>
          <t>15001</t>
        </is>
      </c>
      <c r="G291" s="22">
        <f>IF('Brouillard ventes'!$F$102="","",IF('Brouillard ventes'!$E$102="Réparation",Paramètres!$B$9,Paramètres!$B$8))</f>
        <v/>
      </c>
      <c r="H291" s="22" t="inlineStr"/>
      <c r="I291" s="22" t="inlineStr"/>
      <c r="J291" s="22" t="inlineStr"/>
      <c r="K291" s="22">
        <f>IF('Brouillard ventes'!$F$102="","",Paramètres!$B$11)</f>
        <v/>
      </c>
      <c r="L291" s="23" t="n">
        <v>0</v>
      </c>
      <c r="M291" s="23">
        <f>IF('Brouillard ventes'!$F$102="","",'Brouillard ventes'!$F$102)</f>
        <v/>
      </c>
    </row>
    <row r="292">
      <c r="A292" s="22" t="inlineStr">
        <is>
          <t>1</t>
        </is>
      </c>
      <c r="B292" s="22">
        <f>IF('Brouillard ventes'!$F$102="","","VD"&amp;TEXT(ROW('Brouillard ventes'!$F$102)-5,"00000"))</f>
        <v/>
      </c>
      <c r="C292" s="22">
        <f>IF('Brouillard ventes'!$F$102="","",YEAR('Brouillard ventes'!$A$102)*10000+MONTH('Brouillard ventes'!$A$102)*100+DAY('Brouillard ventes'!$A$102))</f>
        <v/>
      </c>
      <c r="D292" s="22">
        <f>IF('Brouillard ventes'!$F$102="","",'Brouillard ventes'!$B$102)</f>
        <v/>
      </c>
      <c r="E292" s="22">
        <f>IF('Brouillard ventes'!$F$102="","",LEFT('Brouillard ventes'!$D$102,30))</f>
        <v/>
      </c>
      <c r="F292" s="22" t="inlineStr">
        <is>
          <t>15001</t>
        </is>
      </c>
      <c r="G292" s="22">
        <f>IF('Brouillard ventes'!$F$102="","",Paramètres!$B$10)</f>
        <v/>
      </c>
      <c r="H292" s="22" t="inlineStr"/>
      <c r="I292" s="22" t="inlineStr"/>
      <c r="J292" s="22" t="inlineStr"/>
      <c r="K292" s="22">
        <f>IF('Brouillard ventes'!$F$102="","",Paramètres!$B$11)</f>
        <v/>
      </c>
      <c r="L292" s="23" t="n">
        <v>0</v>
      </c>
      <c r="M292" s="23">
        <f>IF('Brouillard ventes'!$F$102="","",'Brouillard ventes'!$H$102)</f>
        <v/>
      </c>
    </row>
    <row r="293">
      <c r="A293" s="22" t="inlineStr">
        <is>
          <t>1</t>
        </is>
      </c>
      <c r="B293" s="22">
        <f>IF('Brouillard ventes'!$F$103="","","VD"&amp;TEXT(ROW('Brouillard ventes'!$F$103)-5,"00000"))</f>
        <v/>
      </c>
      <c r="C293" s="22">
        <f>IF('Brouillard ventes'!$F$103="","",YEAR('Brouillard ventes'!$A$103)*10000+MONTH('Brouillard ventes'!$A$103)*100+DAY('Brouillard ventes'!$A$103))</f>
        <v/>
      </c>
      <c r="D293" s="22">
        <f>IF('Brouillard ventes'!$F$103="","",'Brouillard ventes'!$B$103)</f>
        <v/>
      </c>
      <c r="E293" s="22">
        <f>IF('Brouillard ventes'!$F$103="","",LEFT('Brouillard ventes'!$D$103,30))</f>
        <v/>
      </c>
      <c r="F293" s="22" t="inlineStr">
        <is>
          <t>15001</t>
        </is>
      </c>
      <c r="G293" s="22">
        <f>IF('Brouillard ventes'!$F$103="","",Paramètres!$B$7)</f>
        <v/>
      </c>
      <c r="H293" s="22">
        <f>IF('Brouillard ventes'!$F$103="","",IF('Brouillard ventes'!$C$103="","CD001",'Brouillard ventes'!$C$103))</f>
        <v/>
      </c>
      <c r="I293" s="22" t="inlineStr"/>
      <c r="J293" s="22" t="inlineStr"/>
      <c r="K293" s="22">
        <f>IF('Brouillard ventes'!$F$103="","",Paramètres!$B$11)</f>
        <v/>
      </c>
      <c r="L293" s="23">
        <f>IF('Brouillard ventes'!$F$103="","",'Brouillard ventes'!$I$103)</f>
        <v/>
      </c>
      <c r="M293" s="23" t="n">
        <v>0</v>
      </c>
    </row>
    <row r="294">
      <c r="A294" s="22" t="inlineStr">
        <is>
          <t>1</t>
        </is>
      </c>
      <c r="B294" s="22">
        <f>IF('Brouillard ventes'!$F$103="","","VD"&amp;TEXT(ROW('Brouillard ventes'!$F$103)-5,"00000"))</f>
        <v/>
      </c>
      <c r="C294" s="22">
        <f>IF('Brouillard ventes'!$F$103="","",YEAR('Brouillard ventes'!$A$103)*10000+MONTH('Brouillard ventes'!$A$103)*100+DAY('Brouillard ventes'!$A$103))</f>
        <v/>
      </c>
      <c r="D294" s="22">
        <f>IF('Brouillard ventes'!$F$103="","",'Brouillard ventes'!$B$103)</f>
        <v/>
      </c>
      <c r="E294" s="22">
        <f>IF('Brouillard ventes'!$F$103="","",LEFT('Brouillard ventes'!$D$103,30))</f>
        <v/>
      </c>
      <c r="F294" s="22" t="inlineStr">
        <is>
          <t>15001</t>
        </is>
      </c>
      <c r="G294" s="22">
        <f>IF('Brouillard ventes'!$F$103="","",IF('Brouillard ventes'!$E$103="Réparation",Paramètres!$B$9,Paramètres!$B$8))</f>
        <v/>
      </c>
      <c r="H294" s="22" t="inlineStr"/>
      <c r="I294" s="22" t="inlineStr"/>
      <c r="J294" s="22" t="inlineStr"/>
      <c r="K294" s="22">
        <f>IF('Brouillard ventes'!$F$103="","",Paramètres!$B$11)</f>
        <v/>
      </c>
      <c r="L294" s="23" t="n">
        <v>0</v>
      </c>
      <c r="M294" s="23">
        <f>IF('Brouillard ventes'!$F$103="","",'Brouillard ventes'!$F$103)</f>
        <v/>
      </c>
    </row>
    <row r="295">
      <c r="A295" s="22" t="inlineStr">
        <is>
          <t>1</t>
        </is>
      </c>
      <c r="B295" s="22">
        <f>IF('Brouillard ventes'!$F$103="","","VD"&amp;TEXT(ROW('Brouillard ventes'!$F$103)-5,"00000"))</f>
        <v/>
      </c>
      <c r="C295" s="22">
        <f>IF('Brouillard ventes'!$F$103="","",YEAR('Brouillard ventes'!$A$103)*10000+MONTH('Brouillard ventes'!$A$103)*100+DAY('Brouillard ventes'!$A$103))</f>
        <v/>
      </c>
      <c r="D295" s="22">
        <f>IF('Brouillard ventes'!$F$103="","",'Brouillard ventes'!$B$103)</f>
        <v/>
      </c>
      <c r="E295" s="22">
        <f>IF('Brouillard ventes'!$F$103="","",LEFT('Brouillard ventes'!$D$103,30))</f>
        <v/>
      </c>
      <c r="F295" s="22" t="inlineStr">
        <is>
          <t>15001</t>
        </is>
      </c>
      <c r="G295" s="22">
        <f>IF('Brouillard ventes'!$F$103="","",Paramètres!$B$10)</f>
        <v/>
      </c>
      <c r="H295" s="22" t="inlineStr"/>
      <c r="I295" s="22" t="inlineStr"/>
      <c r="J295" s="22" t="inlineStr"/>
      <c r="K295" s="22">
        <f>IF('Brouillard ventes'!$F$103="","",Paramètres!$B$11)</f>
        <v/>
      </c>
      <c r="L295" s="23" t="n">
        <v>0</v>
      </c>
      <c r="M295" s="23">
        <f>IF('Brouillard ventes'!$F$103="","",'Brouillard ventes'!$H$103)</f>
        <v/>
      </c>
    </row>
    <row r="296">
      <c r="A296" s="22" t="inlineStr">
        <is>
          <t>1</t>
        </is>
      </c>
      <c r="B296" s="22">
        <f>IF('Brouillard ventes'!$F$104="","","VD"&amp;TEXT(ROW('Brouillard ventes'!$F$104)-5,"00000"))</f>
        <v/>
      </c>
      <c r="C296" s="22">
        <f>IF('Brouillard ventes'!$F$104="","",YEAR('Brouillard ventes'!$A$104)*10000+MONTH('Brouillard ventes'!$A$104)*100+DAY('Brouillard ventes'!$A$104))</f>
        <v/>
      </c>
      <c r="D296" s="22">
        <f>IF('Brouillard ventes'!$F$104="","",'Brouillard ventes'!$B$104)</f>
        <v/>
      </c>
      <c r="E296" s="22">
        <f>IF('Brouillard ventes'!$F$104="","",LEFT('Brouillard ventes'!$D$104,30))</f>
        <v/>
      </c>
      <c r="F296" s="22" t="inlineStr">
        <is>
          <t>15001</t>
        </is>
      </c>
      <c r="G296" s="22">
        <f>IF('Brouillard ventes'!$F$104="","",Paramètres!$B$7)</f>
        <v/>
      </c>
      <c r="H296" s="22">
        <f>IF('Brouillard ventes'!$F$104="","",IF('Brouillard ventes'!$C$104="","CD001",'Brouillard ventes'!$C$104))</f>
        <v/>
      </c>
      <c r="I296" s="22" t="inlineStr"/>
      <c r="J296" s="22" t="inlineStr"/>
      <c r="K296" s="22">
        <f>IF('Brouillard ventes'!$F$104="","",Paramètres!$B$11)</f>
        <v/>
      </c>
      <c r="L296" s="23">
        <f>IF('Brouillard ventes'!$F$104="","",'Brouillard ventes'!$I$104)</f>
        <v/>
      </c>
      <c r="M296" s="23" t="n">
        <v>0</v>
      </c>
    </row>
    <row r="297">
      <c r="A297" s="22" t="inlineStr">
        <is>
          <t>1</t>
        </is>
      </c>
      <c r="B297" s="22">
        <f>IF('Brouillard ventes'!$F$104="","","VD"&amp;TEXT(ROW('Brouillard ventes'!$F$104)-5,"00000"))</f>
        <v/>
      </c>
      <c r="C297" s="22">
        <f>IF('Brouillard ventes'!$F$104="","",YEAR('Brouillard ventes'!$A$104)*10000+MONTH('Brouillard ventes'!$A$104)*100+DAY('Brouillard ventes'!$A$104))</f>
        <v/>
      </c>
      <c r="D297" s="22">
        <f>IF('Brouillard ventes'!$F$104="","",'Brouillard ventes'!$B$104)</f>
        <v/>
      </c>
      <c r="E297" s="22">
        <f>IF('Brouillard ventes'!$F$104="","",LEFT('Brouillard ventes'!$D$104,30))</f>
        <v/>
      </c>
      <c r="F297" s="22" t="inlineStr">
        <is>
          <t>15001</t>
        </is>
      </c>
      <c r="G297" s="22">
        <f>IF('Brouillard ventes'!$F$104="","",IF('Brouillard ventes'!$E$104="Réparation",Paramètres!$B$9,Paramètres!$B$8))</f>
        <v/>
      </c>
      <c r="H297" s="22" t="inlineStr"/>
      <c r="I297" s="22" t="inlineStr"/>
      <c r="J297" s="22" t="inlineStr"/>
      <c r="K297" s="22">
        <f>IF('Brouillard ventes'!$F$104="","",Paramètres!$B$11)</f>
        <v/>
      </c>
      <c r="L297" s="23" t="n">
        <v>0</v>
      </c>
      <c r="M297" s="23">
        <f>IF('Brouillard ventes'!$F$104="","",'Brouillard ventes'!$F$104)</f>
        <v/>
      </c>
    </row>
    <row r="298">
      <c r="A298" s="22" t="inlineStr">
        <is>
          <t>1</t>
        </is>
      </c>
      <c r="B298" s="22">
        <f>IF('Brouillard ventes'!$F$104="","","VD"&amp;TEXT(ROW('Brouillard ventes'!$F$104)-5,"00000"))</f>
        <v/>
      </c>
      <c r="C298" s="22">
        <f>IF('Brouillard ventes'!$F$104="","",YEAR('Brouillard ventes'!$A$104)*10000+MONTH('Brouillard ventes'!$A$104)*100+DAY('Brouillard ventes'!$A$104))</f>
        <v/>
      </c>
      <c r="D298" s="22">
        <f>IF('Brouillard ventes'!$F$104="","",'Brouillard ventes'!$B$104)</f>
        <v/>
      </c>
      <c r="E298" s="22">
        <f>IF('Brouillard ventes'!$F$104="","",LEFT('Brouillard ventes'!$D$104,30))</f>
        <v/>
      </c>
      <c r="F298" s="22" t="inlineStr">
        <is>
          <t>15001</t>
        </is>
      </c>
      <c r="G298" s="22">
        <f>IF('Brouillard ventes'!$F$104="","",Paramètres!$B$10)</f>
        <v/>
      </c>
      <c r="H298" s="22" t="inlineStr"/>
      <c r="I298" s="22" t="inlineStr"/>
      <c r="J298" s="22" t="inlineStr"/>
      <c r="K298" s="22">
        <f>IF('Brouillard ventes'!$F$104="","",Paramètres!$B$11)</f>
        <v/>
      </c>
      <c r="L298" s="23" t="n">
        <v>0</v>
      </c>
      <c r="M298" s="23">
        <f>IF('Brouillard ventes'!$F$104="","",'Brouillard ventes'!$H$104)</f>
        <v/>
      </c>
    </row>
    <row r="299">
      <c r="A299" s="22" t="inlineStr">
        <is>
          <t>1</t>
        </is>
      </c>
      <c r="B299" s="22">
        <f>IF('Brouillard ventes'!$F$105="","","VD"&amp;TEXT(ROW('Brouillard ventes'!$F$105)-5,"00000"))</f>
        <v/>
      </c>
      <c r="C299" s="22">
        <f>IF('Brouillard ventes'!$F$105="","",YEAR('Brouillard ventes'!$A$105)*10000+MONTH('Brouillard ventes'!$A$105)*100+DAY('Brouillard ventes'!$A$105))</f>
        <v/>
      </c>
      <c r="D299" s="22">
        <f>IF('Brouillard ventes'!$F$105="","",'Brouillard ventes'!$B$105)</f>
        <v/>
      </c>
      <c r="E299" s="22">
        <f>IF('Brouillard ventes'!$F$105="","",LEFT('Brouillard ventes'!$D$105,30))</f>
        <v/>
      </c>
      <c r="F299" s="22" t="inlineStr">
        <is>
          <t>15001</t>
        </is>
      </c>
      <c r="G299" s="22">
        <f>IF('Brouillard ventes'!$F$105="","",Paramètres!$B$7)</f>
        <v/>
      </c>
      <c r="H299" s="22">
        <f>IF('Brouillard ventes'!$F$105="","",IF('Brouillard ventes'!$C$105="","CD001",'Brouillard ventes'!$C$105))</f>
        <v/>
      </c>
      <c r="I299" s="22" t="inlineStr"/>
      <c r="J299" s="22" t="inlineStr"/>
      <c r="K299" s="22">
        <f>IF('Brouillard ventes'!$F$105="","",Paramètres!$B$11)</f>
        <v/>
      </c>
      <c r="L299" s="23">
        <f>IF('Brouillard ventes'!$F$105="","",'Brouillard ventes'!$I$105)</f>
        <v/>
      </c>
      <c r="M299" s="23" t="n">
        <v>0</v>
      </c>
    </row>
    <row r="300">
      <c r="A300" s="22" t="inlineStr">
        <is>
          <t>1</t>
        </is>
      </c>
      <c r="B300" s="22">
        <f>IF('Brouillard ventes'!$F$105="","","VD"&amp;TEXT(ROW('Brouillard ventes'!$F$105)-5,"00000"))</f>
        <v/>
      </c>
      <c r="C300" s="22">
        <f>IF('Brouillard ventes'!$F$105="","",YEAR('Brouillard ventes'!$A$105)*10000+MONTH('Brouillard ventes'!$A$105)*100+DAY('Brouillard ventes'!$A$105))</f>
        <v/>
      </c>
      <c r="D300" s="22">
        <f>IF('Brouillard ventes'!$F$105="","",'Brouillard ventes'!$B$105)</f>
        <v/>
      </c>
      <c r="E300" s="22">
        <f>IF('Brouillard ventes'!$F$105="","",LEFT('Brouillard ventes'!$D$105,30))</f>
        <v/>
      </c>
      <c r="F300" s="22" t="inlineStr">
        <is>
          <t>15001</t>
        </is>
      </c>
      <c r="G300" s="22">
        <f>IF('Brouillard ventes'!$F$105="","",IF('Brouillard ventes'!$E$105="Réparation",Paramètres!$B$9,Paramètres!$B$8))</f>
        <v/>
      </c>
      <c r="H300" s="22" t="inlineStr"/>
      <c r="I300" s="22" t="inlineStr"/>
      <c r="J300" s="22" t="inlineStr"/>
      <c r="K300" s="22">
        <f>IF('Brouillard ventes'!$F$105="","",Paramètres!$B$11)</f>
        <v/>
      </c>
      <c r="L300" s="23" t="n">
        <v>0</v>
      </c>
      <c r="M300" s="23">
        <f>IF('Brouillard ventes'!$F$105="","",'Brouillard ventes'!$F$105)</f>
        <v/>
      </c>
    </row>
    <row r="301">
      <c r="A301" s="22" t="inlineStr">
        <is>
          <t>1</t>
        </is>
      </c>
      <c r="B301" s="22">
        <f>IF('Brouillard ventes'!$F$105="","","VD"&amp;TEXT(ROW('Brouillard ventes'!$F$105)-5,"00000"))</f>
        <v/>
      </c>
      <c r="C301" s="22">
        <f>IF('Brouillard ventes'!$F$105="","",YEAR('Brouillard ventes'!$A$105)*10000+MONTH('Brouillard ventes'!$A$105)*100+DAY('Brouillard ventes'!$A$105))</f>
        <v/>
      </c>
      <c r="D301" s="22">
        <f>IF('Brouillard ventes'!$F$105="","",'Brouillard ventes'!$B$105)</f>
        <v/>
      </c>
      <c r="E301" s="22">
        <f>IF('Brouillard ventes'!$F$105="","",LEFT('Brouillard ventes'!$D$105,30))</f>
        <v/>
      </c>
      <c r="F301" s="22" t="inlineStr">
        <is>
          <t>15001</t>
        </is>
      </c>
      <c r="G301" s="22">
        <f>IF('Brouillard ventes'!$F$105="","",Paramètres!$B$10)</f>
        <v/>
      </c>
      <c r="H301" s="22" t="inlineStr"/>
      <c r="I301" s="22" t="inlineStr"/>
      <c r="J301" s="22" t="inlineStr"/>
      <c r="K301" s="22">
        <f>IF('Brouillard ventes'!$F$105="","",Paramètres!$B$11)</f>
        <v/>
      </c>
      <c r="L301" s="23" t="n">
        <v>0</v>
      </c>
      <c r="M301" s="23">
        <f>IF('Brouillard ventes'!$F$105="","",'Brouillard ventes'!$H$105)</f>
        <v/>
      </c>
    </row>
    <row r="302">
      <c r="A302" s="22" t="inlineStr">
        <is>
          <t>1</t>
        </is>
      </c>
      <c r="B302" s="22">
        <f>IF('Brouillard ventes'!$F$106="","","VD"&amp;TEXT(ROW('Brouillard ventes'!$F$106)-5,"00000"))</f>
        <v/>
      </c>
      <c r="C302" s="22">
        <f>IF('Brouillard ventes'!$F$106="","",YEAR('Brouillard ventes'!$A$106)*10000+MONTH('Brouillard ventes'!$A$106)*100+DAY('Brouillard ventes'!$A$106))</f>
        <v/>
      </c>
      <c r="D302" s="22">
        <f>IF('Brouillard ventes'!$F$106="","",'Brouillard ventes'!$B$106)</f>
        <v/>
      </c>
      <c r="E302" s="22">
        <f>IF('Brouillard ventes'!$F$106="","",LEFT('Brouillard ventes'!$D$106,30))</f>
        <v/>
      </c>
      <c r="F302" s="22" t="inlineStr">
        <is>
          <t>15001</t>
        </is>
      </c>
      <c r="G302" s="22">
        <f>IF('Brouillard ventes'!$F$106="","",Paramètres!$B$7)</f>
        <v/>
      </c>
      <c r="H302" s="22">
        <f>IF('Brouillard ventes'!$F$106="","",IF('Brouillard ventes'!$C$106="","CD001",'Brouillard ventes'!$C$106))</f>
        <v/>
      </c>
      <c r="I302" s="22" t="inlineStr"/>
      <c r="J302" s="22" t="inlineStr"/>
      <c r="K302" s="22">
        <f>IF('Brouillard ventes'!$F$106="","",Paramètres!$B$11)</f>
        <v/>
      </c>
      <c r="L302" s="23">
        <f>IF('Brouillard ventes'!$F$106="","",'Brouillard ventes'!$I$106)</f>
        <v/>
      </c>
      <c r="M302" s="23" t="n">
        <v>0</v>
      </c>
    </row>
    <row r="303">
      <c r="A303" s="22" t="inlineStr">
        <is>
          <t>1</t>
        </is>
      </c>
      <c r="B303" s="22">
        <f>IF('Brouillard ventes'!$F$106="","","VD"&amp;TEXT(ROW('Brouillard ventes'!$F$106)-5,"00000"))</f>
        <v/>
      </c>
      <c r="C303" s="22">
        <f>IF('Brouillard ventes'!$F$106="","",YEAR('Brouillard ventes'!$A$106)*10000+MONTH('Brouillard ventes'!$A$106)*100+DAY('Brouillard ventes'!$A$106))</f>
        <v/>
      </c>
      <c r="D303" s="22">
        <f>IF('Brouillard ventes'!$F$106="","",'Brouillard ventes'!$B$106)</f>
        <v/>
      </c>
      <c r="E303" s="22">
        <f>IF('Brouillard ventes'!$F$106="","",LEFT('Brouillard ventes'!$D$106,30))</f>
        <v/>
      </c>
      <c r="F303" s="22" t="inlineStr">
        <is>
          <t>15001</t>
        </is>
      </c>
      <c r="G303" s="22">
        <f>IF('Brouillard ventes'!$F$106="","",IF('Brouillard ventes'!$E$106="Réparation",Paramètres!$B$9,Paramètres!$B$8))</f>
        <v/>
      </c>
      <c r="H303" s="22" t="inlineStr"/>
      <c r="I303" s="22" t="inlineStr"/>
      <c r="J303" s="22" t="inlineStr"/>
      <c r="K303" s="22">
        <f>IF('Brouillard ventes'!$F$106="","",Paramètres!$B$11)</f>
        <v/>
      </c>
      <c r="L303" s="23" t="n">
        <v>0</v>
      </c>
      <c r="M303" s="23">
        <f>IF('Brouillard ventes'!$F$106="","",'Brouillard ventes'!$F$106)</f>
        <v/>
      </c>
    </row>
    <row r="304">
      <c r="A304" s="22" t="inlineStr">
        <is>
          <t>1</t>
        </is>
      </c>
      <c r="B304" s="22">
        <f>IF('Brouillard ventes'!$F$106="","","VD"&amp;TEXT(ROW('Brouillard ventes'!$F$106)-5,"00000"))</f>
        <v/>
      </c>
      <c r="C304" s="22">
        <f>IF('Brouillard ventes'!$F$106="","",YEAR('Brouillard ventes'!$A$106)*10000+MONTH('Brouillard ventes'!$A$106)*100+DAY('Brouillard ventes'!$A$106))</f>
        <v/>
      </c>
      <c r="D304" s="22">
        <f>IF('Brouillard ventes'!$F$106="","",'Brouillard ventes'!$B$106)</f>
        <v/>
      </c>
      <c r="E304" s="22">
        <f>IF('Brouillard ventes'!$F$106="","",LEFT('Brouillard ventes'!$D$106,30))</f>
        <v/>
      </c>
      <c r="F304" s="22" t="inlineStr">
        <is>
          <t>15001</t>
        </is>
      </c>
      <c r="G304" s="22">
        <f>IF('Brouillard ventes'!$F$106="","",Paramètres!$B$10)</f>
        <v/>
      </c>
      <c r="H304" s="22" t="inlineStr"/>
      <c r="I304" s="22" t="inlineStr"/>
      <c r="J304" s="22" t="inlineStr"/>
      <c r="K304" s="22">
        <f>IF('Brouillard ventes'!$F$106="","",Paramètres!$B$11)</f>
        <v/>
      </c>
      <c r="L304" s="23" t="n">
        <v>0</v>
      </c>
      <c r="M304" s="23">
        <f>IF('Brouillard ventes'!$F$106="","",'Brouillard ventes'!$H$106)</f>
        <v/>
      </c>
    </row>
    <row r="305">
      <c r="A305" s="22" t="inlineStr">
        <is>
          <t>1</t>
        </is>
      </c>
      <c r="B305" s="22">
        <f>IF('Brouillard ventes'!$F$107="","","VD"&amp;TEXT(ROW('Brouillard ventes'!$F$107)-5,"00000"))</f>
        <v/>
      </c>
      <c r="C305" s="22">
        <f>IF('Brouillard ventes'!$F$107="","",YEAR('Brouillard ventes'!$A$107)*10000+MONTH('Brouillard ventes'!$A$107)*100+DAY('Brouillard ventes'!$A$107))</f>
        <v/>
      </c>
      <c r="D305" s="22">
        <f>IF('Brouillard ventes'!$F$107="","",'Brouillard ventes'!$B$107)</f>
        <v/>
      </c>
      <c r="E305" s="22">
        <f>IF('Brouillard ventes'!$F$107="","",LEFT('Brouillard ventes'!$D$107,30))</f>
        <v/>
      </c>
      <c r="F305" s="22" t="inlineStr">
        <is>
          <t>15001</t>
        </is>
      </c>
      <c r="G305" s="22">
        <f>IF('Brouillard ventes'!$F$107="","",Paramètres!$B$7)</f>
        <v/>
      </c>
      <c r="H305" s="22">
        <f>IF('Brouillard ventes'!$F$107="","",IF('Brouillard ventes'!$C$107="","CD001",'Brouillard ventes'!$C$107))</f>
        <v/>
      </c>
      <c r="I305" s="22" t="inlineStr"/>
      <c r="J305" s="22" t="inlineStr"/>
      <c r="K305" s="22">
        <f>IF('Brouillard ventes'!$F$107="","",Paramètres!$B$11)</f>
        <v/>
      </c>
      <c r="L305" s="23">
        <f>IF('Brouillard ventes'!$F$107="","",'Brouillard ventes'!$I$107)</f>
        <v/>
      </c>
      <c r="M305" s="23" t="n">
        <v>0</v>
      </c>
    </row>
    <row r="306">
      <c r="A306" s="22" t="inlineStr">
        <is>
          <t>1</t>
        </is>
      </c>
      <c r="B306" s="22">
        <f>IF('Brouillard ventes'!$F$107="","","VD"&amp;TEXT(ROW('Brouillard ventes'!$F$107)-5,"00000"))</f>
        <v/>
      </c>
      <c r="C306" s="22">
        <f>IF('Brouillard ventes'!$F$107="","",YEAR('Brouillard ventes'!$A$107)*10000+MONTH('Brouillard ventes'!$A$107)*100+DAY('Brouillard ventes'!$A$107))</f>
        <v/>
      </c>
      <c r="D306" s="22">
        <f>IF('Brouillard ventes'!$F$107="","",'Brouillard ventes'!$B$107)</f>
        <v/>
      </c>
      <c r="E306" s="22">
        <f>IF('Brouillard ventes'!$F$107="","",LEFT('Brouillard ventes'!$D$107,30))</f>
        <v/>
      </c>
      <c r="F306" s="22" t="inlineStr">
        <is>
          <t>15001</t>
        </is>
      </c>
      <c r="G306" s="22">
        <f>IF('Brouillard ventes'!$F$107="","",IF('Brouillard ventes'!$E$107="Réparation",Paramètres!$B$9,Paramètres!$B$8))</f>
        <v/>
      </c>
      <c r="H306" s="22" t="inlineStr"/>
      <c r="I306" s="22" t="inlineStr"/>
      <c r="J306" s="22" t="inlineStr"/>
      <c r="K306" s="22">
        <f>IF('Brouillard ventes'!$F$107="","",Paramètres!$B$11)</f>
        <v/>
      </c>
      <c r="L306" s="23" t="n">
        <v>0</v>
      </c>
      <c r="M306" s="23">
        <f>IF('Brouillard ventes'!$F$107="","",'Brouillard ventes'!$F$107)</f>
        <v/>
      </c>
    </row>
    <row r="307">
      <c r="A307" s="22" t="inlineStr">
        <is>
          <t>1</t>
        </is>
      </c>
      <c r="B307" s="22">
        <f>IF('Brouillard ventes'!$F$107="","","VD"&amp;TEXT(ROW('Brouillard ventes'!$F$107)-5,"00000"))</f>
        <v/>
      </c>
      <c r="C307" s="22">
        <f>IF('Brouillard ventes'!$F$107="","",YEAR('Brouillard ventes'!$A$107)*10000+MONTH('Brouillard ventes'!$A$107)*100+DAY('Brouillard ventes'!$A$107))</f>
        <v/>
      </c>
      <c r="D307" s="22">
        <f>IF('Brouillard ventes'!$F$107="","",'Brouillard ventes'!$B$107)</f>
        <v/>
      </c>
      <c r="E307" s="22">
        <f>IF('Brouillard ventes'!$F$107="","",LEFT('Brouillard ventes'!$D$107,30))</f>
        <v/>
      </c>
      <c r="F307" s="22" t="inlineStr">
        <is>
          <t>15001</t>
        </is>
      </c>
      <c r="G307" s="22">
        <f>IF('Brouillard ventes'!$F$107="","",Paramètres!$B$10)</f>
        <v/>
      </c>
      <c r="H307" s="22" t="inlineStr"/>
      <c r="I307" s="22" t="inlineStr"/>
      <c r="J307" s="22" t="inlineStr"/>
      <c r="K307" s="22">
        <f>IF('Brouillard ventes'!$F$107="","",Paramètres!$B$11)</f>
        <v/>
      </c>
      <c r="L307" s="23" t="n">
        <v>0</v>
      </c>
      <c r="M307" s="23">
        <f>IF('Brouillard ventes'!$F$107="","",'Brouillard ventes'!$H$107)</f>
        <v/>
      </c>
    </row>
    <row r="308">
      <c r="A308" s="22" t="inlineStr">
        <is>
          <t>1</t>
        </is>
      </c>
      <c r="B308" s="22">
        <f>IF('Brouillard ventes'!$F$108="","","VD"&amp;TEXT(ROW('Brouillard ventes'!$F$108)-5,"00000"))</f>
        <v/>
      </c>
      <c r="C308" s="22">
        <f>IF('Brouillard ventes'!$F$108="","",YEAR('Brouillard ventes'!$A$108)*10000+MONTH('Brouillard ventes'!$A$108)*100+DAY('Brouillard ventes'!$A$108))</f>
        <v/>
      </c>
      <c r="D308" s="22">
        <f>IF('Brouillard ventes'!$F$108="","",'Brouillard ventes'!$B$108)</f>
        <v/>
      </c>
      <c r="E308" s="22">
        <f>IF('Brouillard ventes'!$F$108="","",LEFT('Brouillard ventes'!$D$108,30))</f>
        <v/>
      </c>
      <c r="F308" s="22" t="inlineStr">
        <is>
          <t>15001</t>
        </is>
      </c>
      <c r="G308" s="22">
        <f>IF('Brouillard ventes'!$F$108="","",Paramètres!$B$7)</f>
        <v/>
      </c>
      <c r="H308" s="22">
        <f>IF('Brouillard ventes'!$F$108="","",IF('Brouillard ventes'!$C$108="","CD001",'Brouillard ventes'!$C$108))</f>
        <v/>
      </c>
      <c r="I308" s="22" t="inlineStr"/>
      <c r="J308" s="22" t="inlineStr"/>
      <c r="K308" s="22">
        <f>IF('Brouillard ventes'!$F$108="","",Paramètres!$B$11)</f>
        <v/>
      </c>
      <c r="L308" s="23">
        <f>IF('Brouillard ventes'!$F$108="","",'Brouillard ventes'!$I$108)</f>
        <v/>
      </c>
      <c r="M308" s="23" t="n">
        <v>0</v>
      </c>
    </row>
    <row r="309">
      <c r="A309" s="22" t="inlineStr">
        <is>
          <t>1</t>
        </is>
      </c>
      <c r="B309" s="22">
        <f>IF('Brouillard ventes'!$F$108="","","VD"&amp;TEXT(ROW('Brouillard ventes'!$F$108)-5,"00000"))</f>
        <v/>
      </c>
      <c r="C309" s="22">
        <f>IF('Brouillard ventes'!$F$108="","",YEAR('Brouillard ventes'!$A$108)*10000+MONTH('Brouillard ventes'!$A$108)*100+DAY('Brouillard ventes'!$A$108))</f>
        <v/>
      </c>
      <c r="D309" s="22">
        <f>IF('Brouillard ventes'!$F$108="","",'Brouillard ventes'!$B$108)</f>
        <v/>
      </c>
      <c r="E309" s="22">
        <f>IF('Brouillard ventes'!$F$108="","",LEFT('Brouillard ventes'!$D$108,30))</f>
        <v/>
      </c>
      <c r="F309" s="22" t="inlineStr">
        <is>
          <t>15001</t>
        </is>
      </c>
      <c r="G309" s="22">
        <f>IF('Brouillard ventes'!$F$108="","",IF('Brouillard ventes'!$E$108="Réparation",Paramètres!$B$9,Paramètres!$B$8))</f>
        <v/>
      </c>
      <c r="H309" s="22" t="inlineStr"/>
      <c r="I309" s="22" t="inlineStr"/>
      <c r="J309" s="22" t="inlineStr"/>
      <c r="K309" s="22">
        <f>IF('Brouillard ventes'!$F$108="","",Paramètres!$B$11)</f>
        <v/>
      </c>
      <c r="L309" s="23" t="n">
        <v>0</v>
      </c>
      <c r="M309" s="23">
        <f>IF('Brouillard ventes'!$F$108="","",'Brouillard ventes'!$F$108)</f>
        <v/>
      </c>
    </row>
    <row r="310">
      <c r="A310" s="22" t="inlineStr">
        <is>
          <t>1</t>
        </is>
      </c>
      <c r="B310" s="22">
        <f>IF('Brouillard ventes'!$F$108="","","VD"&amp;TEXT(ROW('Brouillard ventes'!$F$108)-5,"00000"))</f>
        <v/>
      </c>
      <c r="C310" s="22">
        <f>IF('Brouillard ventes'!$F$108="","",YEAR('Brouillard ventes'!$A$108)*10000+MONTH('Brouillard ventes'!$A$108)*100+DAY('Brouillard ventes'!$A$108))</f>
        <v/>
      </c>
      <c r="D310" s="22">
        <f>IF('Brouillard ventes'!$F$108="","",'Brouillard ventes'!$B$108)</f>
        <v/>
      </c>
      <c r="E310" s="22">
        <f>IF('Brouillard ventes'!$F$108="","",LEFT('Brouillard ventes'!$D$108,30))</f>
        <v/>
      </c>
      <c r="F310" s="22" t="inlineStr">
        <is>
          <t>15001</t>
        </is>
      </c>
      <c r="G310" s="22">
        <f>IF('Brouillard ventes'!$F$108="","",Paramètres!$B$10)</f>
        <v/>
      </c>
      <c r="H310" s="22" t="inlineStr"/>
      <c r="I310" s="22" t="inlineStr"/>
      <c r="J310" s="22" t="inlineStr"/>
      <c r="K310" s="22">
        <f>IF('Brouillard ventes'!$F$108="","",Paramètres!$B$11)</f>
        <v/>
      </c>
      <c r="L310" s="23" t="n">
        <v>0</v>
      </c>
      <c r="M310" s="23">
        <f>IF('Brouillard ventes'!$F$108="","",'Brouillard ventes'!$H$108)</f>
        <v/>
      </c>
    </row>
    <row r="311">
      <c r="A311" s="22" t="inlineStr">
        <is>
          <t>1</t>
        </is>
      </c>
      <c r="B311" s="22">
        <f>IF('Brouillard ventes'!$F$109="","","VD"&amp;TEXT(ROW('Brouillard ventes'!$F$109)-5,"00000"))</f>
        <v/>
      </c>
      <c r="C311" s="22">
        <f>IF('Brouillard ventes'!$F$109="","",YEAR('Brouillard ventes'!$A$109)*10000+MONTH('Brouillard ventes'!$A$109)*100+DAY('Brouillard ventes'!$A$109))</f>
        <v/>
      </c>
      <c r="D311" s="22">
        <f>IF('Brouillard ventes'!$F$109="","",'Brouillard ventes'!$B$109)</f>
        <v/>
      </c>
      <c r="E311" s="22">
        <f>IF('Brouillard ventes'!$F$109="","",LEFT('Brouillard ventes'!$D$109,30))</f>
        <v/>
      </c>
      <c r="F311" s="22" t="inlineStr">
        <is>
          <t>15001</t>
        </is>
      </c>
      <c r="G311" s="22">
        <f>IF('Brouillard ventes'!$F$109="","",Paramètres!$B$7)</f>
        <v/>
      </c>
      <c r="H311" s="22">
        <f>IF('Brouillard ventes'!$F$109="","",IF('Brouillard ventes'!$C$109="","CD001",'Brouillard ventes'!$C$109))</f>
        <v/>
      </c>
      <c r="I311" s="22" t="inlineStr"/>
      <c r="J311" s="22" t="inlineStr"/>
      <c r="K311" s="22">
        <f>IF('Brouillard ventes'!$F$109="","",Paramètres!$B$11)</f>
        <v/>
      </c>
      <c r="L311" s="23">
        <f>IF('Brouillard ventes'!$F$109="","",'Brouillard ventes'!$I$109)</f>
        <v/>
      </c>
      <c r="M311" s="23" t="n">
        <v>0</v>
      </c>
    </row>
    <row r="312">
      <c r="A312" s="22" t="inlineStr">
        <is>
          <t>1</t>
        </is>
      </c>
      <c r="B312" s="22">
        <f>IF('Brouillard ventes'!$F$109="","","VD"&amp;TEXT(ROW('Brouillard ventes'!$F$109)-5,"00000"))</f>
        <v/>
      </c>
      <c r="C312" s="22">
        <f>IF('Brouillard ventes'!$F$109="","",YEAR('Brouillard ventes'!$A$109)*10000+MONTH('Brouillard ventes'!$A$109)*100+DAY('Brouillard ventes'!$A$109))</f>
        <v/>
      </c>
      <c r="D312" s="22">
        <f>IF('Brouillard ventes'!$F$109="","",'Brouillard ventes'!$B$109)</f>
        <v/>
      </c>
      <c r="E312" s="22">
        <f>IF('Brouillard ventes'!$F$109="","",LEFT('Brouillard ventes'!$D$109,30))</f>
        <v/>
      </c>
      <c r="F312" s="22" t="inlineStr">
        <is>
          <t>15001</t>
        </is>
      </c>
      <c r="G312" s="22">
        <f>IF('Brouillard ventes'!$F$109="","",IF('Brouillard ventes'!$E$109="Réparation",Paramètres!$B$9,Paramètres!$B$8))</f>
        <v/>
      </c>
      <c r="H312" s="22" t="inlineStr"/>
      <c r="I312" s="22" t="inlineStr"/>
      <c r="J312" s="22" t="inlineStr"/>
      <c r="K312" s="22">
        <f>IF('Brouillard ventes'!$F$109="","",Paramètres!$B$11)</f>
        <v/>
      </c>
      <c r="L312" s="23" t="n">
        <v>0</v>
      </c>
      <c r="M312" s="23">
        <f>IF('Brouillard ventes'!$F$109="","",'Brouillard ventes'!$F$109)</f>
        <v/>
      </c>
    </row>
    <row r="313">
      <c r="A313" s="22" t="inlineStr">
        <is>
          <t>1</t>
        </is>
      </c>
      <c r="B313" s="22">
        <f>IF('Brouillard ventes'!$F$109="","","VD"&amp;TEXT(ROW('Brouillard ventes'!$F$109)-5,"00000"))</f>
        <v/>
      </c>
      <c r="C313" s="22">
        <f>IF('Brouillard ventes'!$F$109="","",YEAR('Brouillard ventes'!$A$109)*10000+MONTH('Brouillard ventes'!$A$109)*100+DAY('Brouillard ventes'!$A$109))</f>
        <v/>
      </c>
      <c r="D313" s="22">
        <f>IF('Brouillard ventes'!$F$109="","",'Brouillard ventes'!$B$109)</f>
        <v/>
      </c>
      <c r="E313" s="22">
        <f>IF('Brouillard ventes'!$F$109="","",LEFT('Brouillard ventes'!$D$109,30))</f>
        <v/>
      </c>
      <c r="F313" s="22" t="inlineStr">
        <is>
          <t>15001</t>
        </is>
      </c>
      <c r="G313" s="22">
        <f>IF('Brouillard ventes'!$F$109="","",Paramètres!$B$10)</f>
        <v/>
      </c>
      <c r="H313" s="22" t="inlineStr"/>
      <c r="I313" s="22" t="inlineStr"/>
      <c r="J313" s="22" t="inlineStr"/>
      <c r="K313" s="22">
        <f>IF('Brouillard ventes'!$F$109="","",Paramètres!$B$11)</f>
        <v/>
      </c>
      <c r="L313" s="23" t="n">
        <v>0</v>
      </c>
      <c r="M313" s="23">
        <f>IF('Brouillard ventes'!$F$109="","",'Brouillard ventes'!$H$109)</f>
        <v/>
      </c>
    </row>
    <row r="314">
      <c r="A314" s="22" t="inlineStr">
        <is>
          <t>1</t>
        </is>
      </c>
      <c r="B314" s="22">
        <f>IF('Brouillard ventes'!$F$110="","","VD"&amp;TEXT(ROW('Brouillard ventes'!$F$110)-5,"00000"))</f>
        <v/>
      </c>
      <c r="C314" s="22">
        <f>IF('Brouillard ventes'!$F$110="","",YEAR('Brouillard ventes'!$A$110)*10000+MONTH('Brouillard ventes'!$A$110)*100+DAY('Brouillard ventes'!$A$110))</f>
        <v/>
      </c>
      <c r="D314" s="22">
        <f>IF('Brouillard ventes'!$F$110="","",'Brouillard ventes'!$B$110)</f>
        <v/>
      </c>
      <c r="E314" s="22">
        <f>IF('Brouillard ventes'!$F$110="","",LEFT('Brouillard ventes'!$D$110,30))</f>
        <v/>
      </c>
      <c r="F314" s="22" t="inlineStr">
        <is>
          <t>15001</t>
        </is>
      </c>
      <c r="G314" s="22">
        <f>IF('Brouillard ventes'!$F$110="","",Paramètres!$B$7)</f>
        <v/>
      </c>
      <c r="H314" s="22">
        <f>IF('Brouillard ventes'!$F$110="","",IF('Brouillard ventes'!$C$110="","CD001",'Brouillard ventes'!$C$110))</f>
        <v/>
      </c>
      <c r="I314" s="22" t="inlineStr"/>
      <c r="J314" s="22" t="inlineStr"/>
      <c r="K314" s="22">
        <f>IF('Brouillard ventes'!$F$110="","",Paramètres!$B$11)</f>
        <v/>
      </c>
      <c r="L314" s="23">
        <f>IF('Brouillard ventes'!$F$110="","",'Brouillard ventes'!$I$110)</f>
        <v/>
      </c>
      <c r="M314" s="23" t="n">
        <v>0</v>
      </c>
    </row>
    <row r="315">
      <c r="A315" s="22" t="inlineStr">
        <is>
          <t>1</t>
        </is>
      </c>
      <c r="B315" s="22">
        <f>IF('Brouillard ventes'!$F$110="","","VD"&amp;TEXT(ROW('Brouillard ventes'!$F$110)-5,"00000"))</f>
        <v/>
      </c>
      <c r="C315" s="22">
        <f>IF('Brouillard ventes'!$F$110="","",YEAR('Brouillard ventes'!$A$110)*10000+MONTH('Brouillard ventes'!$A$110)*100+DAY('Brouillard ventes'!$A$110))</f>
        <v/>
      </c>
      <c r="D315" s="22">
        <f>IF('Brouillard ventes'!$F$110="","",'Brouillard ventes'!$B$110)</f>
        <v/>
      </c>
      <c r="E315" s="22">
        <f>IF('Brouillard ventes'!$F$110="","",LEFT('Brouillard ventes'!$D$110,30))</f>
        <v/>
      </c>
      <c r="F315" s="22" t="inlineStr">
        <is>
          <t>15001</t>
        </is>
      </c>
      <c r="G315" s="22">
        <f>IF('Brouillard ventes'!$F$110="","",IF('Brouillard ventes'!$E$110="Réparation",Paramètres!$B$9,Paramètres!$B$8))</f>
        <v/>
      </c>
      <c r="H315" s="22" t="inlineStr"/>
      <c r="I315" s="22" t="inlineStr"/>
      <c r="J315" s="22" t="inlineStr"/>
      <c r="K315" s="22">
        <f>IF('Brouillard ventes'!$F$110="","",Paramètres!$B$11)</f>
        <v/>
      </c>
      <c r="L315" s="23" t="n">
        <v>0</v>
      </c>
      <c r="M315" s="23">
        <f>IF('Brouillard ventes'!$F$110="","",'Brouillard ventes'!$F$110)</f>
        <v/>
      </c>
    </row>
    <row r="316">
      <c r="A316" s="22" t="inlineStr">
        <is>
          <t>1</t>
        </is>
      </c>
      <c r="B316" s="22">
        <f>IF('Brouillard ventes'!$F$110="","","VD"&amp;TEXT(ROW('Brouillard ventes'!$F$110)-5,"00000"))</f>
        <v/>
      </c>
      <c r="C316" s="22">
        <f>IF('Brouillard ventes'!$F$110="","",YEAR('Brouillard ventes'!$A$110)*10000+MONTH('Brouillard ventes'!$A$110)*100+DAY('Brouillard ventes'!$A$110))</f>
        <v/>
      </c>
      <c r="D316" s="22">
        <f>IF('Brouillard ventes'!$F$110="","",'Brouillard ventes'!$B$110)</f>
        <v/>
      </c>
      <c r="E316" s="22">
        <f>IF('Brouillard ventes'!$F$110="","",LEFT('Brouillard ventes'!$D$110,30))</f>
        <v/>
      </c>
      <c r="F316" s="22" t="inlineStr">
        <is>
          <t>15001</t>
        </is>
      </c>
      <c r="G316" s="22">
        <f>IF('Brouillard ventes'!$F$110="","",Paramètres!$B$10)</f>
        <v/>
      </c>
      <c r="H316" s="22" t="inlineStr"/>
      <c r="I316" s="22" t="inlineStr"/>
      <c r="J316" s="22" t="inlineStr"/>
      <c r="K316" s="22">
        <f>IF('Brouillard ventes'!$F$110="","",Paramètres!$B$11)</f>
        <v/>
      </c>
      <c r="L316" s="23" t="n">
        <v>0</v>
      </c>
      <c r="M316" s="23">
        <f>IF('Brouillard ventes'!$F$110="","",'Brouillard ventes'!$H$110)</f>
        <v/>
      </c>
    </row>
    <row r="317">
      <c r="A317" s="22" t="inlineStr">
        <is>
          <t>1</t>
        </is>
      </c>
      <c r="B317" s="22">
        <f>IF('Brouillard ventes'!$F$111="","","VD"&amp;TEXT(ROW('Brouillard ventes'!$F$111)-5,"00000"))</f>
        <v/>
      </c>
      <c r="C317" s="22">
        <f>IF('Brouillard ventes'!$F$111="","",YEAR('Brouillard ventes'!$A$111)*10000+MONTH('Brouillard ventes'!$A$111)*100+DAY('Brouillard ventes'!$A$111))</f>
        <v/>
      </c>
      <c r="D317" s="22">
        <f>IF('Brouillard ventes'!$F$111="","",'Brouillard ventes'!$B$111)</f>
        <v/>
      </c>
      <c r="E317" s="22">
        <f>IF('Brouillard ventes'!$F$111="","",LEFT('Brouillard ventes'!$D$111,30))</f>
        <v/>
      </c>
      <c r="F317" s="22" t="inlineStr">
        <is>
          <t>15001</t>
        </is>
      </c>
      <c r="G317" s="22">
        <f>IF('Brouillard ventes'!$F$111="","",Paramètres!$B$7)</f>
        <v/>
      </c>
      <c r="H317" s="22">
        <f>IF('Brouillard ventes'!$F$111="","",IF('Brouillard ventes'!$C$111="","CD001",'Brouillard ventes'!$C$111))</f>
        <v/>
      </c>
      <c r="I317" s="22" t="inlineStr"/>
      <c r="J317" s="22" t="inlineStr"/>
      <c r="K317" s="22">
        <f>IF('Brouillard ventes'!$F$111="","",Paramètres!$B$11)</f>
        <v/>
      </c>
      <c r="L317" s="23">
        <f>IF('Brouillard ventes'!$F$111="","",'Brouillard ventes'!$I$111)</f>
        <v/>
      </c>
      <c r="M317" s="23" t="n">
        <v>0</v>
      </c>
    </row>
    <row r="318">
      <c r="A318" s="22" t="inlineStr">
        <is>
          <t>1</t>
        </is>
      </c>
      <c r="B318" s="22">
        <f>IF('Brouillard ventes'!$F$111="","","VD"&amp;TEXT(ROW('Brouillard ventes'!$F$111)-5,"00000"))</f>
        <v/>
      </c>
      <c r="C318" s="22">
        <f>IF('Brouillard ventes'!$F$111="","",YEAR('Brouillard ventes'!$A$111)*10000+MONTH('Brouillard ventes'!$A$111)*100+DAY('Brouillard ventes'!$A$111))</f>
        <v/>
      </c>
      <c r="D318" s="22">
        <f>IF('Brouillard ventes'!$F$111="","",'Brouillard ventes'!$B$111)</f>
        <v/>
      </c>
      <c r="E318" s="22">
        <f>IF('Brouillard ventes'!$F$111="","",LEFT('Brouillard ventes'!$D$111,30))</f>
        <v/>
      </c>
      <c r="F318" s="22" t="inlineStr">
        <is>
          <t>15001</t>
        </is>
      </c>
      <c r="G318" s="22">
        <f>IF('Brouillard ventes'!$F$111="","",IF('Brouillard ventes'!$E$111="Réparation",Paramètres!$B$9,Paramètres!$B$8))</f>
        <v/>
      </c>
      <c r="H318" s="22" t="inlineStr"/>
      <c r="I318" s="22" t="inlineStr"/>
      <c r="J318" s="22" t="inlineStr"/>
      <c r="K318" s="22">
        <f>IF('Brouillard ventes'!$F$111="","",Paramètres!$B$11)</f>
        <v/>
      </c>
      <c r="L318" s="23" t="n">
        <v>0</v>
      </c>
      <c r="M318" s="23">
        <f>IF('Brouillard ventes'!$F$111="","",'Brouillard ventes'!$F$111)</f>
        <v/>
      </c>
    </row>
    <row r="319">
      <c r="A319" s="22" t="inlineStr">
        <is>
          <t>1</t>
        </is>
      </c>
      <c r="B319" s="22">
        <f>IF('Brouillard ventes'!$F$111="","","VD"&amp;TEXT(ROW('Brouillard ventes'!$F$111)-5,"00000"))</f>
        <v/>
      </c>
      <c r="C319" s="22">
        <f>IF('Brouillard ventes'!$F$111="","",YEAR('Brouillard ventes'!$A$111)*10000+MONTH('Brouillard ventes'!$A$111)*100+DAY('Brouillard ventes'!$A$111))</f>
        <v/>
      </c>
      <c r="D319" s="22">
        <f>IF('Brouillard ventes'!$F$111="","",'Brouillard ventes'!$B$111)</f>
        <v/>
      </c>
      <c r="E319" s="22">
        <f>IF('Brouillard ventes'!$F$111="","",LEFT('Brouillard ventes'!$D$111,30))</f>
        <v/>
      </c>
      <c r="F319" s="22" t="inlineStr">
        <is>
          <t>15001</t>
        </is>
      </c>
      <c r="G319" s="22">
        <f>IF('Brouillard ventes'!$F$111="","",Paramètres!$B$10)</f>
        <v/>
      </c>
      <c r="H319" s="22" t="inlineStr"/>
      <c r="I319" s="22" t="inlineStr"/>
      <c r="J319" s="22" t="inlineStr"/>
      <c r="K319" s="22">
        <f>IF('Brouillard ventes'!$F$111="","",Paramètres!$B$11)</f>
        <v/>
      </c>
      <c r="L319" s="23" t="n">
        <v>0</v>
      </c>
      <c r="M319" s="23">
        <f>IF('Brouillard ventes'!$F$111="","",'Brouillard ventes'!$H$111)</f>
        <v/>
      </c>
    </row>
    <row r="320">
      <c r="A320" s="22" t="inlineStr">
        <is>
          <t>1</t>
        </is>
      </c>
      <c r="B320" s="22">
        <f>IF('Brouillard ventes'!$F$112="","","VD"&amp;TEXT(ROW('Brouillard ventes'!$F$112)-5,"00000"))</f>
        <v/>
      </c>
      <c r="C320" s="22">
        <f>IF('Brouillard ventes'!$F$112="","",YEAR('Brouillard ventes'!$A$112)*10000+MONTH('Brouillard ventes'!$A$112)*100+DAY('Brouillard ventes'!$A$112))</f>
        <v/>
      </c>
      <c r="D320" s="22">
        <f>IF('Brouillard ventes'!$F$112="","",'Brouillard ventes'!$B$112)</f>
        <v/>
      </c>
      <c r="E320" s="22">
        <f>IF('Brouillard ventes'!$F$112="","",LEFT('Brouillard ventes'!$D$112,30))</f>
        <v/>
      </c>
      <c r="F320" s="22" t="inlineStr">
        <is>
          <t>15001</t>
        </is>
      </c>
      <c r="G320" s="22">
        <f>IF('Brouillard ventes'!$F$112="","",Paramètres!$B$7)</f>
        <v/>
      </c>
      <c r="H320" s="22">
        <f>IF('Brouillard ventes'!$F$112="","",IF('Brouillard ventes'!$C$112="","CD001",'Brouillard ventes'!$C$112))</f>
        <v/>
      </c>
      <c r="I320" s="22" t="inlineStr"/>
      <c r="J320" s="22" t="inlineStr"/>
      <c r="K320" s="22">
        <f>IF('Brouillard ventes'!$F$112="","",Paramètres!$B$11)</f>
        <v/>
      </c>
      <c r="L320" s="23">
        <f>IF('Brouillard ventes'!$F$112="","",'Brouillard ventes'!$I$112)</f>
        <v/>
      </c>
      <c r="M320" s="23" t="n">
        <v>0</v>
      </c>
    </row>
    <row r="321">
      <c r="A321" s="22" t="inlineStr">
        <is>
          <t>1</t>
        </is>
      </c>
      <c r="B321" s="22">
        <f>IF('Brouillard ventes'!$F$112="","","VD"&amp;TEXT(ROW('Brouillard ventes'!$F$112)-5,"00000"))</f>
        <v/>
      </c>
      <c r="C321" s="22">
        <f>IF('Brouillard ventes'!$F$112="","",YEAR('Brouillard ventes'!$A$112)*10000+MONTH('Brouillard ventes'!$A$112)*100+DAY('Brouillard ventes'!$A$112))</f>
        <v/>
      </c>
      <c r="D321" s="22">
        <f>IF('Brouillard ventes'!$F$112="","",'Brouillard ventes'!$B$112)</f>
        <v/>
      </c>
      <c r="E321" s="22">
        <f>IF('Brouillard ventes'!$F$112="","",LEFT('Brouillard ventes'!$D$112,30))</f>
        <v/>
      </c>
      <c r="F321" s="22" t="inlineStr">
        <is>
          <t>15001</t>
        </is>
      </c>
      <c r="G321" s="22">
        <f>IF('Brouillard ventes'!$F$112="","",IF('Brouillard ventes'!$E$112="Réparation",Paramètres!$B$9,Paramètres!$B$8))</f>
        <v/>
      </c>
      <c r="H321" s="22" t="inlineStr"/>
      <c r="I321" s="22" t="inlineStr"/>
      <c r="J321" s="22" t="inlineStr"/>
      <c r="K321" s="22">
        <f>IF('Brouillard ventes'!$F$112="","",Paramètres!$B$11)</f>
        <v/>
      </c>
      <c r="L321" s="23" t="n">
        <v>0</v>
      </c>
      <c r="M321" s="23">
        <f>IF('Brouillard ventes'!$F$112="","",'Brouillard ventes'!$F$112)</f>
        <v/>
      </c>
    </row>
    <row r="322">
      <c r="A322" s="22" t="inlineStr">
        <is>
          <t>1</t>
        </is>
      </c>
      <c r="B322" s="22">
        <f>IF('Brouillard ventes'!$F$112="","","VD"&amp;TEXT(ROW('Brouillard ventes'!$F$112)-5,"00000"))</f>
        <v/>
      </c>
      <c r="C322" s="22">
        <f>IF('Brouillard ventes'!$F$112="","",YEAR('Brouillard ventes'!$A$112)*10000+MONTH('Brouillard ventes'!$A$112)*100+DAY('Brouillard ventes'!$A$112))</f>
        <v/>
      </c>
      <c r="D322" s="22">
        <f>IF('Brouillard ventes'!$F$112="","",'Brouillard ventes'!$B$112)</f>
        <v/>
      </c>
      <c r="E322" s="22">
        <f>IF('Brouillard ventes'!$F$112="","",LEFT('Brouillard ventes'!$D$112,30))</f>
        <v/>
      </c>
      <c r="F322" s="22" t="inlineStr">
        <is>
          <t>15001</t>
        </is>
      </c>
      <c r="G322" s="22">
        <f>IF('Brouillard ventes'!$F$112="","",Paramètres!$B$10)</f>
        <v/>
      </c>
      <c r="H322" s="22" t="inlineStr"/>
      <c r="I322" s="22" t="inlineStr"/>
      <c r="J322" s="22" t="inlineStr"/>
      <c r="K322" s="22">
        <f>IF('Brouillard ventes'!$F$112="","",Paramètres!$B$11)</f>
        <v/>
      </c>
      <c r="L322" s="23" t="n">
        <v>0</v>
      </c>
      <c r="M322" s="23">
        <f>IF('Brouillard ventes'!$F$112="","",'Brouillard ventes'!$H$112)</f>
        <v/>
      </c>
    </row>
    <row r="323">
      <c r="A323" s="22" t="inlineStr">
        <is>
          <t>1</t>
        </is>
      </c>
      <c r="B323" s="22">
        <f>IF('Brouillard ventes'!$F$113="","","VD"&amp;TEXT(ROW('Brouillard ventes'!$F$113)-5,"00000"))</f>
        <v/>
      </c>
      <c r="C323" s="22">
        <f>IF('Brouillard ventes'!$F$113="","",YEAR('Brouillard ventes'!$A$113)*10000+MONTH('Brouillard ventes'!$A$113)*100+DAY('Brouillard ventes'!$A$113))</f>
        <v/>
      </c>
      <c r="D323" s="22">
        <f>IF('Brouillard ventes'!$F$113="","",'Brouillard ventes'!$B$113)</f>
        <v/>
      </c>
      <c r="E323" s="22">
        <f>IF('Brouillard ventes'!$F$113="","",LEFT('Brouillard ventes'!$D$113,30))</f>
        <v/>
      </c>
      <c r="F323" s="22" t="inlineStr">
        <is>
          <t>15001</t>
        </is>
      </c>
      <c r="G323" s="22">
        <f>IF('Brouillard ventes'!$F$113="","",Paramètres!$B$7)</f>
        <v/>
      </c>
      <c r="H323" s="22">
        <f>IF('Brouillard ventes'!$F$113="","",IF('Brouillard ventes'!$C$113="","CD001",'Brouillard ventes'!$C$113))</f>
        <v/>
      </c>
      <c r="I323" s="22" t="inlineStr"/>
      <c r="J323" s="22" t="inlineStr"/>
      <c r="K323" s="22">
        <f>IF('Brouillard ventes'!$F$113="","",Paramètres!$B$11)</f>
        <v/>
      </c>
      <c r="L323" s="23">
        <f>IF('Brouillard ventes'!$F$113="","",'Brouillard ventes'!$I$113)</f>
        <v/>
      </c>
      <c r="M323" s="23" t="n">
        <v>0</v>
      </c>
    </row>
    <row r="324">
      <c r="A324" s="22" t="inlineStr">
        <is>
          <t>1</t>
        </is>
      </c>
      <c r="B324" s="22">
        <f>IF('Brouillard ventes'!$F$113="","","VD"&amp;TEXT(ROW('Brouillard ventes'!$F$113)-5,"00000"))</f>
        <v/>
      </c>
      <c r="C324" s="22">
        <f>IF('Brouillard ventes'!$F$113="","",YEAR('Brouillard ventes'!$A$113)*10000+MONTH('Brouillard ventes'!$A$113)*100+DAY('Brouillard ventes'!$A$113))</f>
        <v/>
      </c>
      <c r="D324" s="22">
        <f>IF('Brouillard ventes'!$F$113="","",'Brouillard ventes'!$B$113)</f>
        <v/>
      </c>
      <c r="E324" s="22">
        <f>IF('Brouillard ventes'!$F$113="","",LEFT('Brouillard ventes'!$D$113,30))</f>
        <v/>
      </c>
      <c r="F324" s="22" t="inlineStr">
        <is>
          <t>15001</t>
        </is>
      </c>
      <c r="G324" s="22">
        <f>IF('Brouillard ventes'!$F$113="","",IF('Brouillard ventes'!$E$113="Réparation",Paramètres!$B$9,Paramètres!$B$8))</f>
        <v/>
      </c>
      <c r="H324" s="22" t="inlineStr"/>
      <c r="I324" s="22" t="inlineStr"/>
      <c r="J324" s="22" t="inlineStr"/>
      <c r="K324" s="22">
        <f>IF('Brouillard ventes'!$F$113="","",Paramètres!$B$11)</f>
        <v/>
      </c>
      <c r="L324" s="23" t="n">
        <v>0</v>
      </c>
      <c r="M324" s="23">
        <f>IF('Brouillard ventes'!$F$113="","",'Brouillard ventes'!$F$113)</f>
        <v/>
      </c>
    </row>
    <row r="325">
      <c r="A325" s="22" t="inlineStr">
        <is>
          <t>1</t>
        </is>
      </c>
      <c r="B325" s="22">
        <f>IF('Brouillard ventes'!$F$113="","","VD"&amp;TEXT(ROW('Brouillard ventes'!$F$113)-5,"00000"))</f>
        <v/>
      </c>
      <c r="C325" s="22">
        <f>IF('Brouillard ventes'!$F$113="","",YEAR('Brouillard ventes'!$A$113)*10000+MONTH('Brouillard ventes'!$A$113)*100+DAY('Brouillard ventes'!$A$113))</f>
        <v/>
      </c>
      <c r="D325" s="22">
        <f>IF('Brouillard ventes'!$F$113="","",'Brouillard ventes'!$B$113)</f>
        <v/>
      </c>
      <c r="E325" s="22">
        <f>IF('Brouillard ventes'!$F$113="","",LEFT('Brouillard ventes'!$D$113,30))</f>
        <v/>
      </c>
      <c r="F325" s="22" t="inlineStr">
        <is>
          <t>15001</t>
        </is>
      </c>
      <c r="G325" s="22">
        <f>IF('Brouillard ventes'!$F$113="","",Paramètres!$B$10)</f>
        <v/>
      </c>
      <c r="H325" s="22" t="inlineStr"/>
      <c r="I325" s="22" t="inlineStr"/>
      <c r="J325" s="22" t="inlineStr"/>
      <c r="K325" s="22">
        <f>IF('Brouillard ventes'!$F$113="","",Paramètres!$B$11)</f>
        <v/>
      </c>
      <c r="L325" s="23" t="n">
        <v>0</v>
      </c>
      <c r="M325" s="23">
        <f>IF('Brouillard ventes'!$F$113="","",'Brouillard ventes'!$H$113)</f>
        <v/>
      </c>
    </row>
    <row r="326">
      <c r="A326" s="22" t="inlineStr">
        <is>
          <t>1</t>
        </is>
      </c>
      <c r="B326" s="22">
        <f>IF('Brouillard ventes'!$F$114="","","VD"&amp;TEXT(ROW('Brouillard ventes'!$F$114)-5,"00000"))</f>
        <v/>
      </c>
      <c r="C326" s="22">
        <f>IF('Brouillard ventes'!$F$114="","",YEAR('Brouillard ventes'!$A$114)*10000+MONTH('Brouillard ventes'!$A$114)*100+DAY('Brouillard ventes'!$A$114))</f>
        <v/>
      </c>
      <c r="D326" s="22">
        <f>IF('Brouillard ventes'!$F$114="","",'Brouillard ventes'!$B$114)</f>
        <v/>
      </c>
      <c r="E326" s="22">
        <f>IF('Brouillard ventes'!$F$114="","",LEFT('Brouillard ventes'!$D$114,30))</f>
        <v/>
      </c>
      <c r="F326" s="22" t="inlineStr">
        <is>
          <t>15001</t>
        </is>
      </c>
      <c r="G326" s="22">
        <f>IF('Brouillard ventes'!$F$114="","",Paramètres!$B$7)</f>
        <v/>
      </c>
      <c r="H326" s="22">
        <f>IF('Brouillard ventes'!$F$114="","",IF('Brouillard ventes'!$C$114="","CD001",'Brouillard ventes'!$C$114))</f>
        <v/>
      </c>
      <c r="I326" s="22" t="inlineStr"/>
      <c r="J326" s="22" t="inlineStr"/>
      <c r="K326" s="22">
        <f>IF('Brouillard ventes'!$F$114="","",Paramètres!$B$11)</f>
        <v/>
      </c>
      <c r="L326" s="23">
        <f>IF('Brouillard ventes'!$F$114="","",'Brouillard ventes'!$I$114)</f>
        <v/>
      </c>
      <c r="M326" s="23" t="n">
        <v>0</v>
      </c>
    </row>
    <row r="327">
      <c r="A327" s="22" t="inlineStr">
        <is>
          <t>1</t>
        </is>
      </c>
      <c r="B327" s="22">
        <f>IF('Brouillard ventes'!$F$114="","","VD"&amp;TEXT(ROW('Brouillard ventes'!$F$114)-5,"00000"))</f>
        <v/>
      </c>
      <c r="C327" s="22">
        <f>IF('Brouillard ventes'!$F$114="","",YEAR('Brouillard ventes'!$A$114)*10000+MONTH('Brouillard ventes'!$A$114)*100+DAY('Brouillard ventes'!$A$114))</f>
        <v/>
      </c>
      <c r="D327" s="22">
        <f>IF('Brouillard ventes'!$F$114="","",'Brouillard ventes'!$B$114)</f>
        <v/>
      </c>
      <c r="E327" s="22">
        <f>IF('Brouillard ventes'!$F$114="","",LEFT('Brouillard ventes'!$D$114,30))</f>
        <v/>
      </c>
      <c r="F327" s="22" t="inlineStr">
        <is>
          <t>15001</t>
        </is>
      </c>
      <c r="G327" s="22">
        <f>IF('Brouillard ventes'!$F$114="","",IF('Brouillard ventes'!$E$114="Réparation",Paramètres!$B$9,Paramètres!$B$8))</f>
        <v/>
      </c>
      <c r="H327" s="22" t="inlineStr"/>
      <c r="I327" s="22" t="inlineStr"/>
      <c r="J327" s="22" t="inlineStr"/>
      <c r="K327" s="22">
        <f>IF('Brouillard ventes'!$F$114="","",Paramètres!$B$11)</f>
        <v/>
      </c>
      <c r="L327" s="23" t="n">
        <v>0</v>
      </c>
      <c r="M327" s="23">
        <f>IF('Brouillard ventes'!$F$114="","",'Brouillard ventes'!$F$114)</f>
        <v/>
      </c>
    </row>
    <row r="328">
      <c r="A328" s="22" t="inlineStr">
        <is>
          <t>1</t>
        </is>
      </c>
      <c r="B328" s="22">
        <f>IF('Brouillard ventes'!$F$114="","","VD"&amp;TEXT(ROW('Brouillard ventes'!$F$114)-5,"00000"))</f>
        <v/>
      </c>
      <c r="C328" s="22">
        <f>IF('Brouillard ventes'!$F$114="","",YEAR('Brouillard ventes'!$A$114)*10000+MONTH('Brouillard ventes'!$A$114)*100+DAY('Brouillard ventes'!$A$114))</f>
        <v/>
      </c>
      <c r="D328" s="22">
        <f>IF('Brouillard ventes'!$F$114="","",'Brouillard ventes'!$B$114)</f>
        <v/>
      </c>
      <c r="E328" s="22">
        <f>IF('Brouillard ventes'!$F$114="","",LEFT('Brouillard ventes'!$D$114,30))</f>
        <v/>
      </c>
      <c r="F328" s="22" t="inlineStr">
        <is>
          <t>15001</t>
        </is>
      </c>
      <c r="G328" s="22">
        <f>IF('Brouillard ventes'!$F$114="","",Paramètres!$B$10)</f>
        <v/>
      </c>
      <c r="H328" s="22" t="inlineStr"/>
      <c r="I328" s="22" t="inlineStr"/>
      <c r="J328" s="22" t="inlineStr"/>
      <c r="K328" s="22">
        <f>IF('Brouillard ventes'!$F$114="","",Paramètres!$B$11)</f>
        <v/>
      </c>
      <c r="L328" s="23" t="n">
        <v>0</v>
      </c>
      <c r="M328" s="23">
        <f>IF('Brouillard ventes'!$F$114="","",'Brouillard ventes'!$H$114)</f>
        <v/>
      </c>
    </row>
    <row r="329">
      <c r="A329" s="22" t="inlineStr">
        <is>
          <t>1</t>
        </is>
      </c>
      <c r="B329" s="22">
        <f>IF('Brouillard ventes'!$F$115="","","VD"&amp;TEXT(ROW('Brouillard ventes'!$F$115)-5,"00000"))</f>
        <v/>
      </c>
      <c r="C329" s="22">
        <f>IF('Brouillard ventes'!$F$115="","",YEAR('Brouillard ventes'!$A$115)*10000+MONTH('Brouillard ventes'!$A$115)*100+DAY('Brouillard ventes'!$A$115))</f>
        <v/>
      </c>
      <c r="D329" s="22">
        <f>IF('Brouillard ventes'!$F$115="","",'Brouillard ventes'!$B$115)</f>
        <v/>
      </c>
      <c r="E329" s="22">
        <f>IF('Brouillard ventes'!$F$115="","",LEFT('Brouillard ventes'!$D$115,30))</f>
        <v/>
      </c>
      <c r="F329" s="22" t="inlineStr">
        <is>
          <t>15001</t>
        </is>
      </c>
      <c r="G329" s="22">
        <f>IF('Brouillard ventes'!$F$115="","",Paramètres!$B$7)</f>
        <v/>
      </c>
      <c r="H329" s="22">
        <f>IF('Brouillard ventes'!$F$115="","",IF('Brouillard ventes'!$C$115="","CD001",'Brouillard ventes'!$C$115))</f>
        <v/>
      </c>
      <c r="I329" s="22" t="inlineStr"/>
      <c r="J329" s="22" t="inlineStr"/>
      <c r="K329" s="22">
        <f>IF('Brouillard ventes'!$F$115="","",Paramètres!$B$11)</f>
        <v/>
      </c>
      <c r="L329" s="23">
        <f>IF('Brouillard ventes'!$F$115="","",'Brouillard ventes'!$I$115)</f>
        <v/>
      </c>
      <c r="M329" s="23" t="n">
        <v>0</v>
      </c>
    </row>
    <row r="330">
      <c r="A330" s="22" t="inlineStr">
        <is>
          <t>1</t>
        </is>
      </c>
      <c r="B330" s="22">
        <f>IF('Brouillard ventes'!$F$115="","","VD"&amp;TEXT(ROW('Brouillard ventes'!$F$115)-5,"00000"))</f>
        <v/>
      </c>
      <c r="C330" s="22">
        <f>IF('Brouillard ventes'!$F$115="","",YEAR('Brouillard ventes'!$A$115)*10000+MONTH('Brouillard ventes'!$A$115)*100+DAY('Brouillard ventes'!$A$115))</f>
        <v/>
      </c>
      <c r="D330" s="22">
        <f>IF('Brouillard ventes'!$F$115="","",'Brouillard ventes'!$B$115)</f>
        <v/>
      </c>
      <c r="E330" s="22">
        <f>IF('Brouillard ventes'!$F$115="","",LEFT('Brouillard ventes'!$D$115,30))</f>
        <v/>
      </c>
      <c r="F330" s="22" t="inlineStr">
        <is>
          <t>15001</t>
        </is>
      </c>
      <c r="G330" s="22">
        <f>IF('Brouillard ventes'!$F$115="","",IF('Brouillard ventes'!$E$115="Réparation",Paramètres!$B$9,Paramètres!$B$8))</f>
        <v/>
      </c>
      <c r="H330" s="22" t="inlineStr"/>
      <c r="I330" s="22" t="inlineStr"/>
      <c r="J330" s="22" t="inlineStr"/>
      <c r="K330" s="22">
        <f>IF('Brouillard ventes'!$F$115="","",Paramètres!$B$11)</f>
        <v/>
      </c>
      <c r="L330" s="23" t="n">
        <v>0</v>
      </c>
      <c r="M330" s="23">
        <f>IF('Brouillard ventes'!$F$115="","",'Brouillard ventes'!$F$115)</f>
        <v/>
      </c>
    </row>
    <row r="331">
      <c r="A331" s="22" t="inlineStr">
        <is>
          <t>1</t>
        </is>
      </c>
      <c r="B331" s="22">
        <f>IF('Brouillard ventes'!$F$115="","","VD"&amp;TEXT(ROW('Brouillard ventes'!$F$115)-5,"00000"))</f>
        <v/>
      </c>
      <c r="C331" s="22">
        <f>IF('Brouillard ventes'!$F$115="","",YEAR('Brouillard ventes'!$A$115)*10000+MONTH('Brouillard ventes'!$A$115)*100+DAY('Brouillard ventes'!$A$115))</f>
        <v/>
      </c>
      <c r="D331" s="22">
        <f>IF('Brouillard ventes'!$F$115="","",'Brouillard ventes'!$B$115)</f>
        <v/>
      </c>
      <c r="E331" s="22">
        <f>IF('Brouillard ventes'!$F$115="","",LEFT('Brouillard ventes'!$D$115,30))</f>
        <v/>
      </c>
      <c r="F331" s="22" t="inlineStr">
        <is>
          <t>15001</t>
        </is>
      </c>
      <c r="G331" s="22">
        <f>IF('Brouillard ventes'!$F$115="","",Paramètres!$B$10)</f>
        <v/>
      </c>
      <c r="H331" s="22" t="inlineStr"/>
      <c r="I331" s="22" t="inlineStr"/>
      <c r="J331" s="22" t="inlineStr"/>
      <c r="K331" s="22">
        <f>IF('Brouillard ventes'!$F$115="","",Paramètres!$B$11)</f>
        <v/>
      </c>
      <c r="L331" s="23" t="n">
        <v>0</v>
      </c>
      <c r="M331" s="23">
        <f>IF('Brouillard ventes'!$F$115="","",'Brouillard ventes'!$H$115)</f>
        <v/>
      </c>
    </row>
    <row r="332">
      <c r="A332" s="22" t="inlineStr">
        <is>
          <t>1</t>
        </is>
      </c>
      <c r="B332" s="22">
        <f>IF('Brouillard ventes'!$F$116="","","VD"&amp;TEXT(ROW('Brouillard ventes'!$F$116)-5,"00000"))</f>
        <v/>
      </c>
      <c r="C332" s="22">
        <f>IF('Brouillard ventes'!$F$116="","",YEAR('Brouillard ventes'!$A$116)*10000+MONTH('Brouillard ventes'!$A$116)*100+DAY('Brouillard ventes'!$A$116))</f>
        <v/>
      </c>
      <c r="D332" s="22">
        <f>IF('Brouillard ventes'!$F$116="","",'Brouillard ventes'!$B$116)</f>
        <v/>
      </c>
      <c r="E332" s="22">
        <f>IF('Brouillard ventes'!$F$116="","",LEFT('Brouillard ventes'!$D$116,30))</f>
        <v/>
      </c>
      <c r="F332" s="22" t="inlineStr">
        <is>
          <t>15001</t>
        </is>
      </c>
      <c r="G332" s="22">
        <f>IF('Brouillard ventes'!$F$116="","",Paramètres!$B$7)</f>
        <v/>
      </c>
      <c r="H332" s="22">
        <f>IF('Brouillard ventes'!$F$116="","",IF('Brouillard ventes'!$C$116="","CD001",'Brouillard ventes'!$C$116))</f>
        <v/>
      </c>
      <c r="I332" s="22" t="inlineStr"/>
      <c r="J332" s="22" t="inlineStr"/>
      <c r="K332" s="22">
        <f>IF('Brouillard ventes'!$F$116="","",Paramètres!$B$11)</f>
        <v/>
      </c>
      <c r="L332" s="23">
        <f>IF('Brouillard ventes'!$F$116="","",'Brouillard ventes'!$I$116)</f>
        <v/>
      </c>
      <c r="M332" s="23" t="n">
        <v>0</v>
      </c>
    </row>
    <row r="333">
      <c r="A333" s="22" t="inlineStr">
        <is>
          <t>1</t>
        </is>
      </c>
      <c r="B333" s="22">
        <f>IF('Brouillard ventes'!$F$116="","","VD"&amp;TEXT(ROW('Brouillard ventes'!$F$116)-5,"00000"))</f>
        <v/>
      </c>
      <c r="C333" s="22">
        <f>IF('Brouillard ventes'!$F$116="","",YEAR('Brouillard ventes'!$A$116)*10000+MONTH('Brouillard ventes'!$A$116)*100+DAY('Brouillard ventes'!$A$116))</f>
        <v/>
      </c>
      <c r="D333" s="22">
        <f>IF('Brouillard ventes'!$F$116="","",'Brouillard ventes'!$B$116)</f>
        <v/>
      </c>
      <c r="E333" s="22">
        <f>IF('Brouillard ventes'!$F$116="","",LEFT('Brouillard ventes'!$D$116,30))</f>
        <v/>
      </c>
      <c r="F333" s="22" t="inlineStr">
        <is>
          <t>15001</t>
        </is>
      </c>
      <c r="G333" s="22">
        <f>IF('Brouillard ventes'!$F$116="","",IF('Brouillard ventes'!$E$116="Réparation",Paramètres!$B$9,Paramètres!$B$8))</f>
        <v/>
      </c>
      <c r="H333" s="22" t="inlineStr"/>
      <c r="I333" s="22" t="inlineStr"/>
      <c r="J333" s="22" t="inlineStr"/>
      <c r="K333" s="22">
        <f>IF('Brouillard ventes'!$F$116="","",Paramètres!$B$11)</f>
        <v/>
      </c>
      <c r="L333" s="23" t="n">
        <v>0</v>
      </c>
      <c r="M333" s="23">
        <f>IF('Brouillard ventes'!$F$116="","",'Brouillard ventes'!$F$116)</f>
        <v/>
      </c>
    </row>
    <row r="334">
      <c r="A334" s="22" t="inlineStr">
        <is>
          <t>1</t>
        </is>
      </c>
      <c r="B334" s="22">
        <f>IF('Brouillard ventes'!$F$116="","","VD"&amp;TEXT(ROW('Brouillard ventes'!$F$116)-5,"00000"))</f>
        <v/>
      </c>
      <c r="C334" s="22">
        <f>IF('Brouillard ventes'!$F$116="","",YEAR('Brouillard ventes'!$A$116)*10000+MONTH('Brouillard ventes'!$A$116)*100+DAY('Brouillard ventes'!$A$116))</f>
        <v/>
      </c>
      <c r="D334" s="22">
        <f>IF('Brouillard ventes'!$F$116="","",'Brouillard ventes'!$B$116)</f>
        <v/>
      </c>
      <c r="E334" s="22">
        <f>IF('Brouillard ventes'!$F$116="","",LEFT('Brouillard ventes'!$D$116,30))</f>
        <v/>
      </c>
      <c r="F334" s="22" t="inlineStr">
        <is>
          <t>15001</t>
        </is>
      </c>
      <c r="G334" s="22">
        <f>IF('Brouillard ventes'!$F$116="","",Paramètres!$B$10)</f>
        <v/>
      </c>
      <c r="H334" s="22" t="inlineStr"/>
      <c r="I334" s="22" t="inlineStr"/>
      <c r="J334" s="22" t="inlineStr"/>
      <c r="K334" s="22">
        <f>IF('Brouillard ventes'!$F$116="","",Paramètres!$B$11)</f>
        <v/>
      </c>
      <c r="L334" s="23" t="n">
        <v>0</v>
      </c>
      <c r="M334" s="23">
        <f>IF('Brouillard ventes'!$F$116="","",'Brouillard ventes'!$H$116)</f>
        <v/>
      </c>
    </row>
    <row r="335">
      <c r="A335" s="22" t="inlineStr">
        <is>
          <t>1</t>
        </is>
      </c>
      <c r="B335" s="22">
        <f>IF('Brouillard ventes'!$F$117="","","VD"&amp;TEXT(ROW('Brouillard ventes'!$F$117)-5,"00000"))</f>
        <v/>
      </c>
      <c r="C335" s="22">
        <f>IF('Brouillard ventes'!$F$117="","",YEAR('Brouillard ventes'!$A$117)*10000+MONTH('Brouillard ventes'!$A$117)*100+DAY('Brouillard ventes'!$A$117))</f>
        <v/>
      </c>
      <c r="D335" s="22">
        <f>IF('Brouillard ventes'!$F$117="","",'Brouillard ventes'!$B$117)</f>
        <v/>
      </c>
      <c r="E335" s="22">
        <f>IF('Brouillard ventes'!$F$117="","",LEFT('Brouillard ventes'!$D$117,30))</f>
        <v/>
      </c>
      <c r="F335" s="22" t="inlineStr">
        <is>
          <t>15001</t>
        </is>
      </c>
      <c r="G335" s="22">
        <f>IF('Brouillard ventes'!$F$117="","",Paramètres!$B$7)</f>
        <v/>
      </c>
      <c r="H335" s="22">
        <f>IF('Brouillard ventes'!$F$117="","",IF('Brouillard ventes'!$C$117="","CD001",'Brouillard ventes'!$C$117))</f>
        <v/>
      </c>
      <c r="I335" s="22" t="inlineStr"/>
      <c r="J335" s="22" t="inlineStr"/>
      <c r="K335" s="22">
        <f>IF('Brouillard ventes'!$F$117="","",Paramètres!$B$11)</f>
        <v/>
      </c>
      <c r="L335" s="23">
        <f>IF('Brouillard ventes'!$F$117="","",'Brouillard ventes'!$I$117)</f>
        <v/>
      </c>
      <c r="M335" s="23" t="n">
        <v>0</v>
      </c>
    </row>
    <row r="336">
      <c r="A336" s="22" t="inlineStr">
        <is>
          <t>1</t>
        </is>
      </c>
      <c r="B336" s="22">
        <f>IF('Brouillard ventes'!$F$117="","","VD"&amp;TEXT(ROW('Brouillard ventes'!$F$117)-5,"00000"))</f>
        <v/>
      </c>
      <c r="C336" s="22">
        <f>IF('Brouillard ventes'!$F$117="","",YEAR('Brouillard ventes'!$A$117)*10000+MONTH('Brouillard ventes'!$A$117)*100+DAY('Brouillard ventes'!$A$117))</f>
        <v/>
      </c>
      <c r="D336" s="22">
        <f>IF('Brouillard ventes'!$F$117="","",'Brouillard ventes'!$B$117)</f>
        <v/>
      </c>
      <c r="E336" s="22">
        <f>IF('Brouillard ventes'!$F$117="","",LEFT('Brouillard ventes'!$D$117,30))</f>
        <v/>
      </c>
      <c r="F336" s="22" t="inlineStr">
        <is>
          <t>15001</t>
        </is>
      </c>
      <c r="G336" s="22">
        <f>IF('Brouillard ventes'!$F$117="","",IF('Brouillard ventes'!$E$117="Réparation",Paramètres!$B$9,Paramètres!$B$8))</f>
        <v/>
      </c>
      <c r="H336" s="22" t="inlineStr"/>
      <c r="I336" s="22" t="inlineStr"/>
      <c r="J336" s="22" t="inlineStr"/>
      <c r="K336" s="22">
        <f>IF('Brouillard ventes'!$F$117="","",Paramètres!$B$11)</f>
        <v/>
      </c>
      <c r="L336" s="23" t="n">
        <v>0</v>
      </c>
      <c r="M336" s="23">
        <f>IF('Brouillard ventes'!$F$117="","",'Brouillard ventes'!$F$117)</f>
        <v/>
      </c>
    </row>
    <row r="337">
      <c r="A337" s="22" t="inlineStr">
        <is>
          <t>1</t>
        </is>
      </c>
      <c r="B337" s="22">
        <f>IF('Brouillard ventes'!$F$117="","","VD"&amp;TEXT(ROW('Brouillard ventes'!$F$117)-5,"00000"))</f>
        <v/>
      </c>
      <c r="C337" s="22">
        <f>IF('Brouillard ventes'!$F$117="","",YEAR('Brouillard ventes'!$A$117)*10000+MONTH('Brouillard ventes'!$A$117)*100+DAY('Brouillard ventes'!$A$117))</f>
        <v/>
      </c>
      <c r="D337" s="22">
        <f>IF('Brouillard ventes'!$F$117="","",'Brouillard ventes'!$B$117)</f>
        <v/>
      </c>
      <c r="E337" s="22">
        <f>IF('Brouillard ventes'!$F$117="","",LEFT('Brouillard ventes'!$D$117,30))</f>
        <v/>
      </c>
      <c r="F337" s="22" t="inlineStr">
        <is>
          <t>15001</t>
        </is>
      </c>
      <c r="G337" s="22">
        <f>IF('Brouillard ventes'!$F$117="","",Paramètres!$B$10)</f>
        <v/>
      </c>
      <c r="H337" s="22" t="inlineStr"/>
      <c r="I337" s="22" t="inlineStr"/>
      <c r="J337" s="22" t="inlineStr"/>
      <c r="K337" s="22">
        <f>IF('Brouillard ventes'!$F$117="","",Paramètres!$B$11)</f>
        <v/>
      </c>
      <c r="L337" s="23" t="n">
        <v>0</v>
      </c>
      <c r="M337" s="23">
        <f>IF('Brouillard ventes'!$F$117="","",'Brouillard ventes'!$H$117)</f>
        <v/>
      </c>
    </row>
    <row r="338">
      <c r="A338" s="22" t="inlineStr">
        <is>
          <t>1</t>
        </is>
      </c>
      <c r="B338" s="22">
        <f>IF('Brouillard ventes'!$F$118="","","VD"&amp;TEXT(ROW('Brouillard ventes'!$F$118)-5,"00000"))</f>
        <v/>
      </c>
      <c r="C338" s="22">
        <f>IF('Brouillard ventes'!$F$118="","",YEAR('Brouillard ventes'!$A$118)*10000+MONTH('Brouillard ventes'!$A$118)*100+DAY('Brouillard ventes'!$A$118))</f>
        <v/>
      </c>
      <c r="D338" s="22">
        <f>IF('Brouillard ventes'!$F$118="","",'Brouillard ventes'!$B$118)</f>
        <v/>
      </c>
      <c r="E338" s="22">
        <f>IF('Brouillard ventes'!$F$118="","",LEFT('Brouillard ventes'!$D$118,30))</f>
        <v/>
      </c>
      <c r="F338" s="22" t="inlineStr">
        <is>
          <t>15001</t>
        </is>
      </c>
      <c r="G338" s="22">
        <f>IF('Brouillard ventes'!$F$118="","",Paramètres!$B$7)</f>
        <v/>
      </c>
      <c r="H338" s="22">
        <f>IF('Brouillard ventes'!$F$118="","",IF('Brouillard ventes'!$C$118="","CD001",'Brouillard ventes'!$C$118))</f>
        <v/>
      </c>
      <c r="I338" s="22" t="inlineStr"/>
      <c r="J338" s="22" t="inlineStr"/>
      <c r="K338" s="22">
        <f>IF('Brouillard ventes'!$F$118="","",Paramètres!$B$11)</f>
        <v/>
      </c>
      <c r="L338" s="23">
        <f>IF('Brouillard ventes'!$F$118="","",'Brouillard ventes'!$I$118)</f>
        <v/>
      </c>
      <c r="M338" s="23" t="n">
        <v>0</v>
      </c>
    </row>
    <row r="339">
      <c r="A339" s="22" t="inlineStr">
        <is>
          <t>1</t>
        </is>
      </c>
      <c r="B339" s="22">
        <f>IF('Brouillard ventes'!$F$118="","","VD"&amp;TEXT(ROW('Brouillard ventes'!$F$118)-5,"00000"))</f>
        <v/>
      </c>
      <c r="C339" s="22">
        <f>IF('Brouillard ventes'!$F$118="","",YEAR('Brouillard ventes'!$A$118)*10000+MONTH('Brouillard ventes'!$A$118)*100+DAY('Brouillard ventes'!$A$118))</f>
        <v/>
      </c>
      <c r="D339" s="22">
        <f>IF('Brouillard ventes'!$F$118="","",'Brouillard ventes'!$B$118)</f>
        <v/>
      </c>
      <c r="E339" s="22">
        <f>IF('Brouillard ventes'!$F$118="","",LEFT('Brouillard ventes'!$D$118,30))</f>
        <v/>
      </c>
      <c r="F339" s="22" t="inlineStr">
        <is>
          <t>15001</t>
        </is>
      </c>
      <c r="G339" s="22">
        <f>IF('Brouillard ventes'!$F$118="","",IF('Brouillard ventes'!$E$118="Réparation",Paramètres!$B$9,Paramètres!$B$8))</f>
        <v/>
      </c>
      <c r="H339" s="22" t="inlineStr"/>
      <c r="I339" s="22" t="inlineStr"/>
      <c r="J339" s="22" t="inlineStr"/>
      <c r="K339" s="22">
        <f>IF('Brouillard ventes'!$F$118="","",Paramètres!$B$11)</f>
        <v/>
      </c>
      <c r="L339" s="23" t="n">
        <v>0</v>
      </c>
      <c r="M339" s="23">
        <f>IF('Brouillard ventes'!$F$118="","",'Brouillard ventes'!$F$118)</f>
        <v/>
      </c>
    </row>
    <row r="340">
      <c r="A340" s="22" t="inlineStr">
        <is>
          <t>1</t>
        </is>
      </c>
      <c r="B340" s="22">
        <f>IF('Brouillard ventes'!$F$118="","","VD"&amp;TEXT(ROW('Brouillard ventes'!$F$118)-5,"00000"))</f>
        <v/>
      </c>
      <c r="C340" s="22">
        <f>IF('Brouillard ventes'!$F$118="","",YEAR('Brouillard ventes'!$A$118)*10000+MONTH('Brouillard ventes'!$A$118)*100+DAY('Brouillard ventes'!$A$118))</f>
        <v/>
      </c>
      <c r="D340" s="22">
        <f>IF('Brouillard ventes'!$F$118="","",'Brouillard ventes'!$B$118)</f>
        <v/>
      </c>
      <c r="E340" s="22">
        <f>IF('Brouillard ventes'!$F$118="","",LEFT('Brouillard ventes'!$D$118,30))</f>
        <v/>
      </c>
      <c r="F340" s="22" t="inlineStr">
        <is>
          <t>15001</t>
        </is>
      </c>
      <c r="G340" s="22">
        <f>IF('Brouillard ventes'!$F$118="","",Paramètres!$B$10)</f>
        <v/>
      </c>
      <c r="H340" s="22" t="inlineStr"/>
      <c r="I340" s="22" t="inlineStr"/>
      <c r="J340" s="22" t="inlineStr"/>
      <c r="K340" s="22">
        <f>IF('Brouillard ventes'!$F$118="","",Paramètres!$B$11)</f>
        <v/>
      </c>
      <c r="L340" s="23" t="n">
        <v>0</v>
      </c>
      <c r="M340" s="23">
        <f>IF('Brouillard ventes'!$F$118="","",'Brouillard ventes'!$H$118)</f>
        <v/>
      </c>
    </row>
    <row r="341">
      <c r="A341" s="22" t="inlineStr">
        <is>
          <t>1</t>
        </is>
      </c>
      <c r="B341" s="22">
        <f>IF('Brouillard ventes'!$F$119="","","VD"&amp;TEXT(ROW('Brouillard ventes'!$F$119)-5,"00000"))</f>
        <v/>
      </c>
      <c r="C341" s="22">
        <f>IF('Brouillard ventes'!$F$119="","",YEAR('Brouillard ventes'!$A$119)*10000+MONTH('Brouillard ventes'!$A$119)*100+DAY('Brouillard ventes'!$A$119))</f>
        <v/>
      </c>
      <c r="D341" s="22">
        <f>IF('Brouillard ventes'!$F$119="","",'Brouillard ventes'!$B$119)</f>
        <v/>
      </c>
      <c r="E341" s="22">
        <f>IF('Brouillard ventes'!$F$119="","",LEFT('Brouillard ventes'!$D$119,30))</f>
        <v/>
      </c>
      <c r="F341" s="22" t="inlineStr">
        <is>
          <t>15001</t>
        </is>
      </c>
      <c r="G341" s="22">
        <f>IF('Brouillard ventes'!$F$119="","",Paramètres!$B$7)</f>
        <v/>
      </c>
      <c r="H341" s="22">
        <f>IF('Brouillard ventes'!$F$119="","",IF('Brouillard ventes'!$C$119="","CD001",'Brouillard ventes'!$C$119))</f>
        <v/>
      </c>
      <c r="I341" s="22" t="inlineStr"/>
      <c r="J341" s="22" t="inlineStr"/>
      <c r="K341" s="22">
        <f>IF('Brouillard ventes'!$F$119="","",Paramètres!$B$11)</f>
        <v/>
      </c>
      <c r="L341" s="23">
        <f>IF('Brouillard ventes'!$F$119="","",'Brouillard ventes'!$I$119)</f>
        <v/>
      </c>
      <c r="M341" s="23" t="n">
        <v>0</v>
      </c>
    </row>
    <row r="342">
      <c r="A342" s="22" t="inlineStr">
        <is>
          <t>1</t>
        </is>
      </c>
      <c r="B342" s="22">
        <f>IF('Brouillard ventes'!$F$119="","","VD"&amp;TEXT(ROW('Brouillard ventes'!$F$119)-5,"00000"))</f>
        <v/>
      </c>
      <c r="C342" s="22">
        <f>IF('Brouillard ventes'!$F$119="","",YEAR('Brouillard ventes'!$A$119)*10000+MONTH('Brouillard ventes'!$A$119)*100+DAY('Brouillard ventes'!$A$119))</f>
        <v/>
      </c>
      <c r="D342" s="22">
        <f>IF('Brouillard ventes'!$F$119="","",'Brouillard ventes'!$B$119)</f>
        <v/>
      </c>
      <c r="E342" s="22">
        <f>IF('Brouillard ventes'!$F$119="","",LEFT('Brouillard ventes'!$D$119,30))</f>
        <v/>
      </c>
      <c r="F342" s="22" t="inlineStr">
        <is>
          <t>15001</t>
        </is>
      </c>
      <c r="G342" s="22">
        <f>IF('Brouillard ventes'!$F$119="","",IF('Brouillard ventes'!$E$119="Réparation",Paramètres!$B$9,Paramètres!$B$8))</f>
        <v/>
      </c>
      <c r="H342" s="22" t="inlineStr"/>
      <c r="I342" s="22" t="inlineStr"/>
      <c r="J342" s="22" t="inlineStr"/>
      <c r="K342" s="22">
        <f>IF('Brouillard ventes'!$F$119="","",Paramètres!$B$11)</f>
        <v/>
      </c>
      <c r="L342" s="23" t="n">
        <v>0</v>
      </c>
      <c r="M342" s="23">
        <f>IF('Brouillard ventes'!$F$119="","",'Brouillard ventes'!$F$119)</f>
        <v/>
      </c>
    </row>
    <row r="343">
      <c r="A343" s="22" t="inlineStr">
        <is>
          <t>1</t>
        </is>
      </c>
      <c r="B343" s="22">
        <f>IF('Brouillard ventes'!$F$119="","","VD"&amp;TEXT(ROW('Brouillard ventes'!$F$119)-5,"00000"))</f>
        <v/>
      </c>
      <c r="C343" s="22">
        <f>IF('Brouillard ventes'!$F$119="","",YEAR('Brouillard ventes'!$A$119)*10000+MONTH('Brouillard ventes'!$A$119)*100+DAY('Brouillard ventes'!$A$119))</f>
        <v/>
      </c>
      <c r="D343" s="22">
        <f>IF('Brouillard ventes'!$F$119="","",'Brouillard ventes'!$B$119)</f>
        <v/>
      </c>
      <c r="E343" s="22">
        <f>IF('Brouillard ventes'!$F$119="","",LEFT('Brouillard ventes'!$D$119,30))</f>
        <v/>
      </c>
      <c r="F343" s="22" t="inlineStr">
        <is>
          <t>15001</t>
        </is>
      </c>
      <c r="G343" s="22">
        <f>IF('Brouillard ventes'!$F$119="","",Paramètres!$B$10)</f>
        <v/>
      </c>
      <c r="H343" s="22" t="inlineStr"/>
      <c r="I343" s="22" t="inlineStr"/>
      <c r="J343" s="22" t="inlineStr"/>
      <c r="K343" s="22">
        <f>IF('Brouillard ventes'!$F$119="","",Paramètres!$B$11)</f>
        <v/>
      </c>
      <c r="L343" s="23" t="n">
        <v>0</v>
      </c>
      <c r="M343" s="23">
        <f>IF('Brouillard ventes'!$F$119="","",'Brouillard ventes'!$H$119)</f>
        <v/>
      </c>
    </row>
    <row r="344">
      <c r="A344" s="22" t="inlineStr">
        <is>
          <t>1</t>
        </is>
      </c>
      <c r="B344" s="22">
        <f>IF('Brouillard ventes'!$F$120="","","VD"&amp;TEXT(ROW('Brouillard ventes'!$F$120)-5,"00000"))</f>
        <v/>
      </c>
      <c r="C344" s="22">
        <f>IF('Brouillard ventes'!$F$120="","",YEAR('Brouillard ventes'!$A$120)*10000+MONTH('Brouillard ventes'!$A$120)*100+DAY('Brouillard ventes'!$A$120))</f>
        <v/>
      </c>
      <c r="D344" s="22">
        <f>IF('Brouillard ventes'!$F$120="","",'Brouillard ventes'!$B$120)</f>
        <v/>
      </c>
      <c r="E344" s="22">
        <f>IF('Brouillard ventes'!$F$120="","",LEFT('Brouillard ventes'!$D$120,30))</f>
        <v/>
      </c>
      <c r="F344" s="22" t="inlineStr">
        <is>
          <t>15001</t>
        </is>
      </c>
      <c r="G344" s="22">
        <f>IF('Brouillard ventes'!$F$120="","",Paramètres!$B$7)</f>
        <v/>
      </c>
      <c r="H344" s="22">
        <f>IF('Brouillard ventes'!$F$120="","",IF('Brouillard ventes'!$C$120="","CD001",'Brouillard ventes'!$C$120))</f>
        <v/>
      </c>
      <c r="I344" s="22" t="inlineStr"/>
      <c r="J344" s="22" t="inlineStr"/>
      <c r="K344" s="22">
        <f>IF('Brouillard ventes'!$F$120="","",Paramètres!$B$11)</f>
        <v/>
      </c>
      <c r="L344" s="23">
        <f>IF('Brouillard ventes'!$F$120="","",'Brouillard ventes'!$I$120)</f>
        <v/>
      </c>
      <c r="M344" s="23" t="n">
        <v>0</v>
      </c>
    </row>
    <row r="345">
      <c r="A345" s="22" t="inlineStr">
        <is>
          <t>1</t>
        </is>
      </c>
      <c r="B345" s="22">
        <f>IF('Brouillard ventes'!$F$120="","","VD"&amp;TEXT(ROW('Brouillard ventes'!$F$120)-5,"00000"))</f>
        <v/>
      </c>
      <c r="C345" s="22">
        <f>IF('Brouillard ventes'!$F$120="","",YEAR('Brouillard ventes'!$A$120)*10000+MONTH('Brouillard ventes'!$A$120)*100+DAY('Brouillard ventes'!$A$120))</f>
        <v/>
      </c>
      <c r="D345" s="22">
        <f>IF('Brouillard ventes'!$F$120="","",'Brouillard ventes'!$B$120)</f>
        <v/>
      </c>
      <c r="E345" s="22">
        <f>IF('Brouillard ventes'!$F$120="","",LEFT('Brouillard ventes'!$D$120,30))</f>
        <v/>
      </c>
      <c r="F345" s="22" t="inlineStr">
        <is>
          <t>15001</t>
        </is>
      </c>
      <c r="G345" s="22">
        <f>IF('Brouillard ventes'!$F$120="","",IF('Brouillard ventes'!$E$120="Réparation",Paramètres!$B$9,Paramètres!$B$8))</f>
        <v/>
      </c>
      <c r="H345" s="22" t="inlineStr"/>
      <c r="I345" s="22" t="inlineStr"/>
      <c r="J345" s="22" t="inlineStr"/>
      <c r="K345" s="22">
        <f>IF('Brouillard ventes'!$F$120="","",Paramètres!$B$11)</f>
        <v/>
      </c>
      <c r="L345" s="23" t="n">
        <v>0</v>
      </c>
      <c r="M345" s="23">
        <f>IF('Brouillard ventes'!$F$120="","",'Brouillard ventes'!$F$120)</f>
        <v/>
      </c>
    </row>
    <row r="346">
      <c r="A346" s="22" t="inlineStr">
        <is>
          <t>1</t>
        </is>
      </c>
      <c r="B346" s="22">
        <f>IF('Brouillard ventes'!$F$120="","","VD"&amp;TEXT(ROW('Brouillard ventes'!$F$120)-5,"00000"))</f>
        <v/>
      </c>
      <c r="C346" s="22">
        <f>IF('Brouillard ventes'!$F$120="","",YEAR('Brouillard ventes'!$A$120)*10000+MONTH('Brouillard ventes'!$A$120)*100+DAY('Brouillard ventes'!$A$120))</f>
        <v/>
      </c>
      <c r="D346" s="22">
        <f>IF('Brouillard ventes'!$F$120="","",'Brouillard ventes'!$B$120)</f>
        <v/>
      </c>
      <c r="E346" s="22">
        <f>IF('Brouillard ventes'!$F$120="","",LEFT('Brouillard ventes'!$D$120,30))</f>
        <v/>
      </c>
      <c r="F346" s="22" t="inlineStr">
        <is>
          <t>15001</t>
        </is>
      </c>
      <c r="G346" s="22">
        <f>IF('Brouillard ventes'!$F$120="","",Paramètres!$B$10)</f>
        <v/>
      </c>
      <c r="H346" s="22" t="inlineStr"/>
      <c r="I346" s="22" t="inlineStr"/>
      <c r="J346" s="22" t="inlineStr"/>
      <c r="K346" s="22">
        <f>IF('Brouillard ventes'!$F$120="","",Paramètres!$B$11)</f>
        <v/>
      </c>
      <c r="L346" s="23" t="n">
        <v>0</v>
      </c>
      <c r="M346" s="23">
        <f>IF('Brouillard ventes'!$F$120="","",'Brouillard ventes'!$H$120)</f>
        <v/>
      </c>
    </row>
    <row r="347">
      <c r="A347" s="22" t="inlineStr">
        <is>
          <t>1</t>
        </is>
      </c>
      <c r="B347" s="22">
        <f>IF('Brouillard ventes'!$F$121="","","VD"&amp;TEXT(ROW('Brouillard ventes'!$F$121)-5,"00000"))</f>
        <v/>
      </c>
      <c r="C347" s="22">
        <f>IF('Brouillard ventes'!$F$121="","",YEAR('Brouillard ventes'!$A$121)*10000+MONTH('Brouillard ventes'!$A$121)*100+DAY('Brouillard ventes'!$A$121))</f>
        <v/>
      </c>
      <c r="D347" s="22">
        <f>IF('Brouillard ventes'!$F$121="","",'Brouillard ventes'!$B$121)</f>
        <v/>
      </c>
      <c r="E347" s="22">
        <f>IF('Brouillard ventes'!$F$121="","",LEFT('Brouillard ventes'!$D$121,30))</f>
        <v/>
      </c>
      <c r="F347" s="22" t="inlineStr">
        <is>
          <t>15001</t>
        </is>
      </c>
      <c r="G347" s="22">
        <f>IF('Brouillard ventes'!$F$121="","",Paramètres!$B$7)</f>
        <v/>
      </c>
      <c r="H347" s="22">
        <f>IF('Brouillard ventes'!$F$121="","",IF('Brouillard ventes'!$C$121="","CD001",'Brouillard ventes'!$C$121))</f>
        <v/>
      </c>
      <c r="I347" s="22" t="inlineStr"/>
      <c r="J347" s="22" t="inlineStr"/>
      <c r="K347" s="22">
        <f>IF('Brouillard ventes'!$F$121="","",Paramètres!$B$11)</f>
        <v/>
      </c>
      <c r="L347" s="23">
        <f>IF('Brouillard ventes'!$F$121="","",'Brouillard ventes'!$I$121)</f>
        <v/>
      </c>
      <c r="M347" s="23" t="n">
        <v>0</v>
      </c>
    </row>
    <row r="348">
      <c r="A348" s="22" t="inlineStr">
        <is>
          <t>1</t>
        </is>
      </c>
      <c r="B348" s="22">
        <f>IF('Brouillard ventes'!$F$121="","","VD"&amp;TEXT(ROW('Brouillard ventes'!$F$121)-5,"00000"))</f>
        <v/>
      </c>
      <c r="C348" s="22">
        <f>IF('Brouillard ventes'!$F$121="","",YEAR('Brouillard ventes'!$A$121)*10000+MONTH('Brouillard ventes'!$A$121)*100+DAY('Brouillard ventes'!$A$121))</f>
        <v/>
      </c>
      <c r="D348" s="22">
        <f>IF('Brouillard ventes'!$F$121="","",'Brouillard ventes'!$B$121)</f>
        <v/>
      </c>
      <c r="E348" s="22">
        <f>IF('Brouillard ventes'!$F$121="","",LEFT('Brouillard ventes'!$D$121,30))</f>
        <v/>
      </c>
      <c r="F348" s="22" t="inlineStr">
        <is>
          <t>15001</t>
        </is>
      </c>
      <c r="G348" s="22">
        <f>IF('Brouillard ventes'!$F$121="","",IF('Brouillard ventes'!$E$121="Réparation",Paramètres!$B$9,Paramètres!$B$8))</f>
        <v/>
      </c>
      <c r="H348" s="22" t="inlineStr"/>
      <c r="I348" s="22" t="inlineStr"/>
      <c r="J348" s="22" t="inlineStr"/>
      <c r="K348" s="22">
        <f>IF('Brouillard ventes'!$F$121="","",Paramètres!$B$11)</f>
        <v/>
      </c>
      <c r="L348" s="23" t="n">
        <v>0</v>
      </c>
      <c r="M348" s="23">
        <f>IF('Brouillard ventes'!$F$121="","",'Brouillard ventes'!$F$121)</f>
        <v/>
      </c>
    </row>
    <row r="349">
      <c r="A349" s="22" t="inlineStr">
        <is>
          <t>1</t>
        </is>
      </c>
      <c r="B349" s="22">
        <f>IF('Brouillard ventes'!$F$121="","","VD"&amp;TEXT(ROW('Brouillard ventes'!$F$121)-5,"00000"))</f>
        <v/>
      </c>
      <c r="C349" s="22">
        <f>IF('Brouillard ventes'!$F$121="","",YEAR('Brouillard ventes'!$A$121)*10000+MONTH('Brouillard ventes'!$A$121)*100+DAY('Brouillard ventes'!$A$121))</f>
        <v/>
      </c>
      <c r="D349" s="22">
        <f>IF('Brouillard ventes'!$F$121="","",'Brouillard ventes'!$B$121)</f>
        <v/>
      </c>
      <c r="E349" s="22">
        <f>IF('Brouillard ventes'!$F$121="","",LEFT('Brouillard ventes'!$D$121,30))</f>
        <v/>
      </c>
      <c r="F349" s="22" t="inlineStr">
        <is>
          <t>15001</t>
        </is>
      </c>
      <c r="G349" s="22">
        <f>IF('Brouillard ventes'!$F$121="","",Paramètres!$B$10)</f>
        <v/>
      </c>
      <c r="H349" s="22" t="inlineStr"/>
      <c r="I349" s="22" t="inlineStr"/>
      <c r="J349" s="22" t="inlineStr"/>
      <c r="K349" s="22">
        <f>IF('Brouillard ventes'!$F$121="","",Paramètres!$B$11)</f>
        <v/>
      </c>
      <c r="L349" s="23" t="n">
        <v>0</v>
      </c>
      <c r="M349" s="23">
        <f>IF('Brouillard ventes'!$F$121="","",'Brouillard ventes'!$H$121)</f>
        <v/>
      </c>
    </row>
    <row r="350">
      <c r="A350" s="22" t="inlineStr">
        <is>
          <t>1</t>
        </is>
      </c>
      <c r="B350" s="22">
        <f>IF('Brouillard ventes'!$F$122="","","VD"&amp;TEXT(ROW('Brouillard ventes'!$F$122)-5,"00000"))</f>
        <v/>
      </c>
      <c r="C350" s="22">
        <f>IF('Brouillard ventes'!$F$122="","",YEAR('Brouillard ventes'!$A$122)*10000+MONTH('Brouillard ventes'!$A$122)*100+DAY('Brouillard ventes'!$A$122))</f>
        <v/>
      </c>
      <c r="D350" s="22">
        <f>IF('Brouillard ventes'!$F$122="","",'Brouillard ventes'!$B$122)</f>
        <v/>
      </c>
      <c r="E350" s="22">
        <f>IF('Brouillard ventes'!$F$122="","",LEFT('Brouillard ventes'!$D$122,30))</f>
        <v/>
      </c>
      <c r="F350" s="22" t="inlineStr">
        <is>
          <t>15001</t>
        </is>
      </c>
      <c r="G350" s="22">
        <f>IF('Brouillard ventes'!$F$122="","",Paramètres!$B$7)</f>
        <v/>
      </c>
      <c r="H350" s="22">
        <f>IF('Brouillard ventes'!$F$122="","",IF('Brouillard ventes'!$C$122="","CD001",'Brouillard ventes'!$C$122))</f>
        <v/>
      </c>
      <c r="I350" s="22" t="inlineStr"/>
      <c r="J350" s="22" t="inlineStr"/>
      <c r="K350" s="22">
        <f>IF('Brouillard ventes'!$F$122="","",Paramètres!$B$11)</f>
        <v/>
      </c>
      <c r="L350" s="23">
        <f>IF('Brouillard ventes'!$F$122="","",'Brouillard ventes'!$I$122)</f>
        <v/>
      </c>
      <c r="M350" s="23" t="n">
        <v>0</v>
      </c>
    </row>
    <row r="351">
      <c r="A351" s="22" t="inlineStr">
        <is>
          <t>1</t>
        </is>
      </c>
      <c r="B351" s="22">
        <f>IF('Brouillard ventes'!$F$122="","","VD"&amp;TEXT(ROW('Brouillard ventes'!$F$122)-5,"00000"))</f>
        <v/>
      </c>
      <c r="C351" s="22">
        <f>IF('Brouillard ventes'!$F$122="","",YEAR('Brouillard ventes'!$A$122)*10000+MONTH('Brouillard ventes'!$A$122)*100+DAY('Brouillard ventes'!$A$122))</f>
        <v/>
      </c>
      <c r="D351" s="22">
        <f>IF('Brouillard ventes'!$F$122="","",'Brouillard ventes'!$B$122)</f>
        <v/>
      </c>
      <c r="E351" s="22">
        <f>IF('Brouillard ventes'!$F$122="","",LEFT('Brouillard ventes'!$D$122,30))</f>
        <v/>
      </c>
      <c r="F351" s="22" t="inlineStr">
        <is>
          <t>15001</t>
        </is>
      </c>
      <c r="G351" s="22">
        <f>IF('Brouillard ventes'!$F$122="","",IF('Brouillard ventes'!$E$122="Réparation",Paramètres!$B$9,Paramètres!$B$8))</f>
        <v/>
      </c>
      <c r="H351" s="22" t="inlineStr"/>
      <c r="I351" s="22" t="inlineStr"/>
      <c r="J351" s="22" t="inlineStr"/>
      <c r="K351" s="22">
        <f>IF('Brouillard ventes'!$F$122="","",Paramètres!$B$11)</f>
        <v/>
      </c>
      <c r="L351" s="23" t="n">
        <v>0</v>
      </c>
      <c r="M351" s="23">
        <f>IF('Brouillard ventes'!$F$122="","",'Brouillard ventes'!$F$122)</f>
        <v/>
      </c>
    </row>
    <row r="352">
      <c r="A352" s="22" t="inlineStr">
        <is>
          <t>1</t>
        </is>
      </c>
      <c r="B352" s="22">
        <f>IF('Brouillard ventes'!$F$122="","","VD"&amp;TEXT(ROW('Brouillard ventes'!$F$122)-5,"00000"))</f>
        <v/>
      </c>
      <c r="C352" s="22">
        <f>IF('Brouillard ventes'!$F$122="","",YEAR('Brouillard ventes'!$A$122)*10000+MONTH('Brouillard ventes'!$A$122)*100+DAY('Brouillard ventes'!$A$122))</f>
        <v/>
      </c>
      <c r="D352" s="22">
        <f>IF('Brouillard ventes'!$F$122="","",'Brouillard ventes'!$B$122)</f>
        <v/>
      </c>
      <c r="E352" s="22">
        <f>IF('Brouillard ventes'!$F$122="","",LEFT('Brouillard ventes'!$D$122,30))</f>
        <v/>
      </c>
      <c r="F352" s="22" t="inlineStr">
        <is>
          <t>15001</t>
        </is>
      </c>
      <c r="G352" s="22">
        <f>IF('Brouillard ventes'!$F$122="","",Paramètres!$B$10)</f>
        <v/>
      </c>
      <c r="H352" s="22" t="inlineStr"/>
      <c r="I352" s="22" t="inlineStr"/>
      <c r="J352" s="22" t="inlineStr"/>
      <c r="K352" s="22">
        <f>IF('Brouillard ventes'!$F$122="","",Paramètres!$B$11)</f>
        <v/>
      </c>
      <c r="L352" s="23" t="n">
        <v>0</v>
      </c>
      <c r="M352" s="23">
        <f>IF('Brouillard ventes'!$F$122="","",'Brouillard ventes'!$H$122)</f>
        <v/>
      </c>
    </row>
    <row r="353">
      <c r="A353" s="22" t="inlineStr">
        <is>
          <t>1</t>
        </is>
      </c>
      <c r="B353" s="22">
        <f>IF('Brouillard ventes'!$F$123="","","VD"&amp;TEXT(ROW('Brouillard ventes'!$F$123)-5,"00000"))</f>
        <v/>
      </c>
      <c r="C353" s="22">
        <f>IF('Brouillard ventes'!$F$123="","",YEAR('Brouillard ventes'!$A$123)*10000+MONTH('Brouillard ventes'!$A$123)*100+DAY('Brouillard ventes'!$A$123))</f>
        <v/>
      </c>
      <c r="D353" s="22">
        <f>IF('Brouillard ventes'!$F$123="","",'Brouillard ventes'!$B$123)</f>
        <v/>
      </c>
      <c r="E353" s="22">
        <f>IF('Brouillard ventes'!$F$123="","",LEFT('Brouillard ventes'!$D$123,30))</f>
        <v/>
      </c>
      <c r="F353" s="22" t="inlineStr">
        <is>
          <t>15001</t>
        </is>
      </c>
      <c r="G353" s="22">
        <f>IF('Brouillard ventes'!$F$123="","",Paramètres!$B$7)</f>
        <v/>
      </c>
      <c r="H353" s="22">
        <f>IF('Brouillard ventes'!$F$123="","",IF('Brouillard ventes'!$C$123="","CD001",'Brouillard ventes'!$C$123))</f>
        <v/>
      </c>
      <c r="I353" s="22" t="inlineStr"/>
      <c r="J353" s="22" t="inlineStr"/>
      <c r="K353" s="22">
        <f>IF('Brouillard ventes'!$F$123="","",Paramètres!$B$11)</f>
        <v/>
      </c>
      <c r="L353" s="23">
        <f>IF('Brouillard ventes'!$F$123="","",'Brouillard ventes'!$I$123)</f>
        <v/>
      </c>
      <c r="M353" s="23" t="n">
        <v>0</v>
      </c>
    </row>
    <row r="354">
      <c r="A354" s="22" t="inlineStr">
        <is>
          <t>1</t>
        </is>
      </c>
      <c r="B354" s="22">
        <f>IF('Brouillard ventes'!$F$123="","","VD"&amp;TEXT(ROW('Brouillard ventes'!$F$123)-5,"00000"))</f>
        <v/>
      </c>
      <c r="C354" s="22">
        <f>IF('Brouillard ventes'!$F$123="","",YEAR('Brouillard ventes'!$A$123)*10000+MONTH('Brouillard ventes'!$A$123)*100+DAY('Brouillard ventes'!$A$123))</f>
        <v/>
      </c>
      <c r="D354" s="22">
        <f>IF('Brouillard ventes'!$F$123="","",'Brouillard ventes'!$B$123)</f>
        <v/>
      </c>
      <c r="E354" s="22">
        <f>IF('Brouillard ventes'!$F$123="","",LEFT('Brouillard ventes'!$D$123,30))</f>
        <v/>
      </c>
      <c r="F354" s="22" t="inlineStr">
        <is>
          <t>15001</t>
        </is>
      </c>
      <c r="G354" s="22">
        <f>IF('Brouillard ventes'!$F$123="","",IF('Brouillard ventes'!$E$123="Réparation",Paramètres!$B$9,Paramètres!$B$8))</f>
        <v/>
      </c>
      <c r="H354" s="22" t="inlineStr"/>
      <c r="I354" s="22" t="inlineStr"/>
      <c r="J354" s="22" t="inlineStr"/>
      <c r="K354" s="22">
        <f>IF('Brouillard ventes'!$F$123="","",Paramètres!$B$11)</f>
        <v/>
      </c>
      <c r="L354" s="23" t="n">
        <v>0</v>
      </c>
      <c r="M354" s="23">
        <f>IF('Brouillard ventes'!$F$123="","",'Brouillard ventes'!$F$123)</f>
        <v/>
      </c>
    </row>
    <row r="355">
      <c r="A355" s="22" t="inlineStr">
        <is>
          <t>1</t>
        </is>
      </c>
      <c r="B355" s="22">
        <f>IF('Brouillard ventes'!$F$123="","","VD"&amp;TEXT(ROW('Brouillard ventes'!$F$123)-5,"00000"))</f>
        <v/>
      </c>
      <c r="C355" s="22">
        <f>IF('Brouillard ventes'!$F$123="","",YEAR('Brouillard ventes'!$A$123)*10000+MONTH('Brouillard ventes'!$A$123)*100+DAY('Brouillard ventes'!$A$123))</f>
        <v/>
      </c>
      <c r="D355" s="22">
        <f>IF('Brouillard ventes'!$F$123="","",'Brouillard ventes'!$B$123)</f>
        <v/>
      </c>
      <c r="E355" s="22">
        <f>IF('Brouillard ventes'!$F$123="","",LEFT('Brouillard ventes'!$D$123,30))</f>
        <v/>
      </c>
      <c r="F355" s="22" t="inlineStr">
        <is>
          <t>15001</t>
        </is>
      </c>
      <c r="G355" s="22">
        <f>IF('Brouillard ventes'!$F$123="","",Paramètres!$B$10)</f>
        <v/>
      </c>
      <c r="H355" s="22" t="inlineStr"/>
      <c r="I355" s="22" t="inlineStr"/>
      <c r="J355" s="22" t="inlineStr"/>
      <c r="K355" s="22">
        <f>IF('Brouillard ventes'!$F$123="","",Paramètres!$B$11)</f>
        <v/>
      </c>
      <c r="L355" s="23" t="n">
        <v>0</v>
      </c>
      <c r="M355" s="23">
        <f>IF('Brouillard ventes'!$F$123="","",'Brouillard ventes'!$H$123)</f>
        <v/>
      </c>
    </row>
    <row r="356">
      <c r="A356" s="22" t="inlineStr">
        <is>
          <t>1</t>
        </is>
      </c>
      <c r="B356" s="22">
        <f>IF('Brouillard ventes'!$F$124="","","VD"&amp;TEXT(ROW('Brouillard ventes'!$F$124)-5,"00000"))</f>
        <v/>
      </c>
      <c r="C356" s="22">
        <f>IF('Brouillard ventes'!$F$124="","",YEAR('Brouillard ventes'!$A$124)*10000+MONTH('Brouillard ventes'!$A$124)*100+DAY('Brouillard ventes'!$A$124))</f>
        <v/>
      </c>
      <c r="D356" s="22">
        <f>IF('Brouillard ventes'!$F$124="","",'Brouillard ventes'!$B$124)</f>
        <v/>
      </c>
      <c r="E356" s="22">
        <f>IF('Brouillard ventes'!$F$124="","",LEFT('Brouillard ventes'!$D$124,30))</f>
        <v/>
      </c>
      <c r="F356" s="22" t="inlineStr">
        <is>
          <t>15001</t>
        </is>
      </c>
      <c r="G356" s="22">
        <f>IF('Brouillard ventes'!$F$124="","",Paramètres!$B$7)</f>
        <v/>
      </c>
      <c r="H356" s="22">
        <f>IF('Brouillard ventes'!$F$124="","",IF('Brouillard ventes'!$C$124="","CD001",'Brouillard ventes'!$C$124))</f>
        <v/>
      </c>
      <c r="I356" s="22" t="inlineStr"/>
      <c r="J356" s="22" t="inlineStr"/>
      <c r="K356" s="22">
        <f>IF('Brouillard ventes'!$F$124="","",Paramètres!$B$11)</f>
        <v/>
      </c>
      <c r="L356" s="23">
        <f>IF('Brouillard ventes'!$F$124="","",'Brouillard ventes'!$I$124)</f>
        <v/>
      </c>
      <c r="M356" s="23" t="n">
        <v>0</v>
      </c>
    </row>
    <row r="357">
      <c r="A357" s="22" t="inlineStr">
        <is>
          <t>1</t>
        </is>
      </c>
      <c r="B357" s="22">
        <f>IF('Brouillard ventes'!$F$124="","","VD"&amp;TEXT(ROW('Brouillard ventes'!$F$124)-5,"00000"))</f>
        <v/>
      </c>
      <c r="C357" s="22">
        <f>IF('Brouillard ventes'!$F$124="","",YEAR('Brouillard ventes'!$A$124)*10000+MONTH('Brouillard ventes'!$A$124)*100+DAY('Brouillard ventes'!$A$124))</f>
        <v/>
      </c>
      <c r="D357" s="22">
        <f>IF('Brouillard ventes'!$F$124="","",'Brouillard ventes'!$B$124)</f>
        <v/>
      </c>
      <c r="E357" s="22">
        <f>IF('Brouillard ventes'!$F$124="","",LEFT('Brouillard ventes'!$D$124,30))</f>
        <v/>
      </c>
      <c r="F357" s="22" t="inlineStr">
        <is>
          <t>15001</t>
        </is>
      </c>
      <c r="G357" s="22">
        <f>IF('Brouillard ventes'!$F$124="","",IF('Brouillard ventes'!$E$124="Réparation",Paramètres!$B$9,Paramètres!$B$8))</f>
        <v/>
      </c>
      <c r="H357" s="22" t="inlineStr"/>
      <c r="I357" s="22" t="inlineStr"/>
      <c r="J357" s="22" t="inlineStr"/>
      <c r="K357" s="22">
        <f>IF('Brouillard ventes'!$F$124="","",Paramètres!$B$11)</f>
        <v/>
      </c>
      <c r="L357" s="23" t="n">
        <v>0</v>
      </c>
      <c r="M357" s="23">
        <f>IF('Brouillard ventes'!$F$124="","",'Brouillard ventes'!$F$124)</f>
        <v/>
      </c>
    </row>
    <row r="358">
      <c r="A358" s="22" t="inlineStr">
        <is>
          <t>1</t>
        </is>
      </c>
      <c r="B358" s="22">
        <f>IF('Brouillard ventes'!$F$124="","","VD"&amp;TEXT(ROW('Brouillard ventes'!$F$124)-5,"00000"))</f>
        <v/>
      </c>
      <c r="C358" s="22">
        <f>IF('Brouillard ventes'!$F$124="","",YEAR('Brouillard ventes'!$A$124)*10000+MONTH('Brouillard ventes'!$A$124)*100+DAY('Brouillard ventes'!$A$124))</f>
        <v/>
      </c>
      <c r="D358" s="22">
        <f>IF('Brouillard ventes'!$F$124="","",'Brouillard ventes'!$B$124)</f>
        <v/>
      </c>
      <c r="E358" s="22">
        <f>IF('Brouillard ventes'!$F$124="","",LEFT('Brouillard ventes'!$D$124,30))</f>
        <v/>
      </c>
      <c r="F358" s="22" t="inlineStr">
        <is>
          <t>15001</t>
        </is>
      </c>
      <c r="G358" s="22">
        <f>IF('Brouillard ventes'!$F$124="","",Paramètres!$B$10)</f>
        <v/>
      </c>
      <c r="H358" s="22" t="inlineStr"/>
      <c r="I358" s="22" t="inlineStr"/>
      <c r="J358" s="22" t="inlineStr"/>
      <c r="K358" s="22">
        <f>IF('Brouillard ventes'!$F$124="","",Paramètres!$B$11)</f>
        <v/>
      </c>
      <c r="L358" s="23" t="n">
        <v>0</v>
      </c>
      <c r="M358" s="23">
        <f>IF('Brouillard ventes'!$F$124="","",'Brouillard ventes'!$H$124)</f>
        <v/>
      </c>
    </row>
    <row r="359">
      <c r="A359" s="22" t="inlineStr">
        <is>
          <t>1</t>
        </is>
      </c>
      <c r="B359" s="22">
        <f>IF('Brouillard ventes'!$F$125="","","VD"&amp;TEXT(ROW('Brouillard ventes'!$F$125)-5,"00000"))</f>
        <v/>
      </c>
      <c r="C359" s="22">
        <f>IF('Brouillard ventes'!$F$125="","",YEAR('Brouillard ventes'!$A$125)*10000+MONTH('Brouillard ventes'!$A$125)*100+DAY('Brouillard ventes'!$A$125))</f>
        <v/>
      </c>
      <c r="D359" s="22">
        <f>IF('Brouillard ventes'!$F$125="","",'Brouillard ventes'!$B$125)</f>
        <v/>
      </c>
      <c r="E359" s="22">
        <f>IF('Brouillard ventes'!$F$125="","",LEFT('Brouillard ventes'!$D$125,30))</f>
        <v/>
      </c>
      <c r="F359" s="22" t="inlineStr">
        <is>
          <t>15001</t>
        </is>
      </c>
      <c r="G359" s="22">
        <f>IF('Brouillard ventes'!$F$125="","",Paramètres!$B$7)</f>
        <v/>
      </c>
      <c r="H359" s="22">
        <f>IF('Brouillard ventes'!$F$125="","",IF('Brouillard ventes'!$C$125="","CD001",'Brouillard ventes'!$C$125))</f>
        <v/>
      </c>
      <c r="I359" s="22" t="inlineStr"/>
      <c r="J359" s="22" t="inlineStr"/>
      <c r="K359" s="22">
        <f>IF('Brouillard ventes'!$F$125="","",Paramètres!$B$11)</f>
        <v/>
      </c>
      <c r="L359" s="23">
        <f>IF('Brouillard ventes'!$F$125="","",'Brouillard ventes'!$I$125)</f>
        <v/>
      </c>
      <c r="M359" s="23" t="n">
        <v>0</v>
      </c>
    </row>
    <row r="360">
      <c r="A360" s="22" t="inlineStr">
        <is>
          <t>1</t>
        </is>
      </c>
      <c r="B360" s="22">
        <f>IF('Brouillard ventes'!$F$125="","","VD"&amp;TEXT(ROW('Brouillard ventes'!$F$125)-5,"00000"))</f>
        <v/>
      </c>
      <c r="C360" s="22">
        <f>IF('Brouillard ventes'!$F$125="","",YEAR('Brouillard ventes'!$A$125)*10000+MONTH('Brouillard ventes'!$A$125)*100+DAY('Brouillard ventes'!$A$125))</f>
        <v/>
      </c>
      <c r="D360" s="22">
        <f>IF('Brouillard ventes'!$F$125="","",'Brouillard ventes'!$B$125)</f>
        <v/>
      </c>
      <c r="E360" s="22">
        <f>IF('Brouillard ventes'!$F$125="","",LEFT('Brouillard ventes'!$D$125,30))</f>
        <v/>
      </c>
      <c r="F360" s="22" t="inlineStr">
        <is>
          <t>15001</t>
        </is>
      </c>
      <c r="G360" s="22">
        <f>IF('Brouillard ventes'!$F$125="","",IF('Brouillard ventes'!$E$125="Réparation",Paramètres!$B$9,Paramètres!$B$8))</f>
        <v/>
      </c>
      <c r="H360" s="22" t="inlineStr"/>
      <c r="I360" s="22" t="inlineStr"/>
      <c r="J360" s="22" t="inlineStr"/>
      <c r="K360" s="22">
        <f>IF('Brouillard ventes'!$F$125="","",Paramètres!$B$11)</f>
        <v/>
      </c>
      <c r="L360" s="23" t="n">
        <v>0</v>
      </c>
      <c r="M360" s="23">
        <f>IF('Brouillard ventes'!$F$125="","",'Brouillard ventes'!$F$125)</f>
        <v/>
      </c>
    </row>
    <row r="361">
      <c r="A361" s="22" t="inlineStr">
        <is>
          <t>1</t>
        </is>
      </c>
      <c r="B361" s="22">
        <f>IF('Brouillard ventes'!$F$125="","","VD"&amp;TEXT(ROW('Brouillard ventes'!$F$125)-5,"00000"))</f>
        <v/>
      </c>
      <c r="C361" s="22">
        <f>IF('Brouillard ventes'!$F$125="","",YEAR('Brouillard ventes'!$A$125)*10000+MONTH('Brouillard ventes'!$A$125)*100+DAY('Brouillard ventes'!$A$125))</f>
        <v/>
      </c>
      <c r="D361" s="22">
        <f>IF('Brouillard ventes'!$F$125="","",'Brouillard ventes'!$B$125)</f>
        <v/>
      </c>
      <c r="E361" s="22">
        <f>IF('Brouillard ventes'!$F$125="","",LEFT('Brouillard ventes'!$D$125,30))</f>
        <v/>
      </c>
      <c r="F361" s="22" t="inlineStr">
        <is>
          <t>15001</t>
        </is>
      </c>
      <c r="G361" s="22">
        <f>IF('Brouillard ventes'!$F$125="","",Paramètres!$B$10)</f>
        <v/>
      </c>
      <c r="H361" s="22" t="inlineStr"/>
      <c r="I361" s="22" t="inlineStr"/>
      <c r="J361" s="22" t="inlineStr"/>
      <c r="K361" s="22">
        <f>IF('Brouillard ventes'!$F$125="","",Paramètres!$B$11)</f>
        <v/>
      </c>
      <c r="L361" s="23" t="n">
        <v>0</v>
      </c>
      <c r="M361" s="23">
        <f>IF('Brouillard ventes'!$F$125="","",'Brouillard ventes'!$H$125)</f>
        <v/>
      </c>
    </row>
    <row r="362">
      <c r="A362" s="22" t="inlineStr">
        <is>
          <t>1</t>
        </is>
      </c>
      <c r="B362" s="22">
        <f>IF('Brouillard ventes'!$F$126="","","VD"&amp;TEXT(ROW('Brouillard ventes'!$F$126)-5,"00000"))</f>
        <v/>
      </c>
      <c r="C362" s="22">
        <f>IF('Brouillard ventes'!$F$126="","",YEAR('Brouillard ventes'!$A$126)*10000+MONTH('Brouillard ventes'!$A$126)*100+DAY('Brouillard ventes'!$A$126))</f>
        <v/>
      </c>
      <c r="D362" s="22">
        <f>IF('Brouillard ventes'!$F$126="","",'Brouillard ventes'!$B$126)</f>
        <v/>
      </c>
      <c r="E362" s="22">
        <f>IF('Brouillard ventes'!$F$126="","",LEFT('Brouillard ventes'!$D$126,30))</f>
        <v/>
      </c>
      <c r="F362" s="22" t="inlineStr">
        <is>
          <t>15001</t>
        </is>
      </c>
      <c r="G362" s="22">
        <f>IF('Brouillard ventes'!$F$126="","",Paramètres!$B$7)</f>
        <v/>
      </c>
      <c r="H362" s="22">
        <f>IF('Brouillard ventes'!$F$126="","",IF('Brouillard ventes'!$C$126="","CD001",'Brouillard ventes'!$C$126))</f>
        <v/>
      </c>
      <c r="I362" s="22" t="inlineStr"/>
      <c r="J362" s="22" t="inlineStr"/>
      <c r="K362" s="22">
        <f>IF('Brouillard ventes'!$F$126="","",Paramètres!$B$11)</f>
        <v/>
      </c>
      <c r="L362" s="23">
        <f>IF('Brouillard ventes'!$F$126="","",'Brouillard ventes'!$I$126)</f>
        <v/>
      </c>
      <c r="M362" s="23" t="n">
        <v>0</v>
      </c>
    </row>
    <row r="363">
      <c r="A363" s="22" t="inlineStr">
        <is>
          <t>1</t>
        </is>
      </c>
      <c r="B363" s="22">
        <f>IF('Brouillard ventes'!$F$126="","","VD"&amp;TEXT(ROW('Brouillard ventes'!$F$126)-5,"00000"))</f>
        <v/>
      </c>
      <c r="C363" s="22">
        <f>IF('Brouillard ventes'!$F$126="","",YEAR('Brouillard ventes'!$A$126)*10000+MONTH('Brouillard ventes'!$A$126)*100+DAY('Brouillard ventes'!$A$126))</f>
        <v/>
      </c>
      <c r="D363" s="22">
        <f>IF('Brouillard ventes'!$F$126="","",'Brouillard ventes'!$B$126)</f>
        <v/>
      </c>
      <c r="E363" s="22">
        <f>IF('Brouillard ventes'!$F$126="","",LEFT('Brouillard ventes'!$D$126,30))</f>
        <v/>
      </c>
      <c r="F363" s="22" t="inlineStr">
        <is>
          <t>15001</t>
        </is>
      </c>
      <c r="G363" s="22">
        <f>IF('Brouillard ventes'!$F$126="","",IF('Brouillard ventes'!$E$126="Réparation",Paramètres!$B$9,Paramètres!$B$8))</f>
        <v/>
      </c>
      <c r="H363" s="22" t="inlineStr"/>
      <c r="I363" s="22" t="inlineStr"/>
      <c r="J363" s="22" t="inlineStr"/>
      <c r="K363" s="22">
        <f>IF('Brouillard ventes'!$F$126="","",Paramètres!$B$11)</f>
        <v/>
      </c>
      <c r="L363" s="23" t="n">
        <v>0</v>
      </c>
      <c r="M363" s="23">
        <f>IF('Brouillard ventes'!$F$126="","",'Brouillard ventes'!$F$126)</f>
        <v/>
      </c>
    </row>
    <row r="364">
      <c r="A364" s="22" t="inlineStr">
        <is>
          <t>1</t>
        </is>
      </c>
      <c r="B364" s="22">
        <f>IF('Brouillard ventes'!$F$126="","","VD"&amp;TEXT(ROW('Brouillard ventes'!$F$126)-5,"00000"))</f>
        <v/>
      </c>
      <c r="C364" s="22">
        <f>IF('Brouillard ventes'!$F$126="","",YEAR('Brouillard ventes'!$A$126)*10000+MONTH('Brouillard ventes'!$A$126)*100+DAY('Brouillard ventes'!$A$126))</f>
        <v/>
      </c>
      <c r="D364" s="22">
        <f>IF('Brouillard ventes'!$F$126="","",'Brouillard ventes'!$B$126)</f>
        <v/>
      </c>
      <c r="E364" s="22">
        <f>IF('Brouillard ventes'!$F$126="","",LEFT('Brouillard ventes'!$D$126,30))</f>
        <v/>
      </c>
      <c r="F364" s="22" t="inlineStr">
        <is>
          <t>15001</t>
        </is>
      </c>
      <c r="G364" s="22">
        <f>IF('Brouillard ventes'!$F$126="","",Paramètres!$B$10)</f>
        <v/>
      </c>
      <c r="H364" s="22" t="inlineStr"/>
      <c r="I364" s="22" t="inlineStr"/>
      <c r="J364" s="22" t="inlineStr"/>
      <c r="K364" s="22">
        <f>IF('Brouillard ventes'!$F$126="","",Paramètres!$B$11)</f>
        <v/>
      </c>
      <c r="L364" s="23" t="n">
        <v>0</v>
      </c>
      <c r="M364" s="23">
        <f>IF('Brouillard ventes'!$F$126="","",'Brouillard ventes'!$H$126)</f>
        <v/>
      </c>
    </row>
    <row r="365">
      <c r="A365" s="22" t="inlineStr">
        <is>
          <t>1</t>
        </is>
      </c>
      <c r="B365" s="22">
        <f>IF('Brouillard ventes'!$F$127="","","VD"&amp;TEXT(ROW('Brouillard ventes'!$F$127)-5,"00000"))</f>
        <v/>
      </c>
      <c r="C365" s="22">
        <f>IF('Brouillard ventes'!$F$127="","",YEAR('Brouillard ventes'!$A$127)*10000+MONTH('Brouillard ventes'!$A$127)*100+DAY('Brouillard ventes'!$A$127))</f>
        <v/>
      </c>
      <c r="D365" s="22">
        <f>IF('Brouillard ventes'!$F$127="","",'Brouillard ventes'!$B$127)</f>
        <v/>
      </c>
      <c r="E365" s="22">
        <f>IF('Brouillard ventes'!$F$127="","",LEFT('Brouillard ventes'!$D$127,30))</f>
        <v/>
      </c>
      <c r="F365" s="22" t="inlineStr">
        <is>
          <t>15001</t>
        </is>
      </c>
      <c r="G365" s="22">
        <f>IF('Brouillard ventes'!$F$127="","",Paramètres!$B$7)</f>
        <v/>
      </c>
      <c r="H365" s="22">
        <f>IF('Brouillard ventes'!$F$127="","",IF('Brouillard ventes'!$C$127="","CD001",'Brouillard ventes'!$C$127))</f>
        <v/>
      </c>
      <c r="I365" s="22" t="inlineStr"/>
      <c r="J365" s="22" t="inlineStr"/>
      <c r="K365" s="22">
        <f>IF('Brouillard ventes'!$F$127="","",Paramètres!$B$11)</f>
        <v/>
      </c>
      <c r="L365" s="23">
        <f>IF('Brouillard ventes'!$F$127="","",'Brouillard ventes'!$I$127)</f>
        <v/>
      </c>
      <c r="M365" s="23" t="n">
        <v>0</v>
      </c>
    </row>
    <row r="366">
      <c r="A366" s="22" t="inlineStr">
        <is>
          <t>1</t>
        </is>
      </c>
      <c r="B366" s="22">
        <f>IF('Brouillard ventes'!$F$127="","","VD"&amp;TEXT(ROW('Brouillard ventes'!$F$127)-5,"00000"))</f>
        <v/>
      </c>
      <c r="C366" s="22">
        <f>IF('Brouillard ventes'!$F$127="","",YEAR('Brouillard ventes'!$A$127)*10000+MONTH('Brouillard ventes'!$A$127)*100+DAY('Brouillard ventes'!$A$127))</f>
        <v/>
      </c>
      <c r="D366" s="22">
        <f>IF('Brouillard ventes'!$F$127="","",'Brouillard ventes'!$B$127)</f>
        <v/>
      </c>
      <c r="E366" s="22">
        <f>IF('Brouillard ventes'!$F$127="","",LEFT('Brouillard ventes'!$D$127,30))</f>
        <v/>
      </c>
      <c r="F366" s="22" t="inlineStr">
        <is>
          <t>15001</t>
        </is>
      </c>
      <c r="G366" s="22">
        <f>IF('Brouillard ventes'!$F$127="","",IF('Brouillard ventes'!$E$127="Réparation",Paramètres!$B$9,Paramètres!$B$8))</f>
        <v/>
      </c>
      <c r="H366" s="22" t="inlineStr"/>
      <c r="I366" s="22" t="inlineStr"/>
      <c r="J366" s="22" t="inlineStr"/>
      <c r="K366" s="22">
        <f>IF('Brouillard ventes'!$F$127="","",Paramètres!$B$11)</f>
        <v/>
      </c>
      <c r="L366" s="23" t="n">
        <v>0</v>
      </c>
      <c r="M366" s="23">
        <f>IF('Brouillard ventes'!$F$127="","",'Brouillard ventes'!$F$127)</f>
        <v/>
      </c>
    </row>
    <row r="367">
      <c r="A367" s="22" t="inlineStr">
        <is>
          <t>1</t>
        </is>
      </c>
      <c r="B367" s="22">
        <f>IF('Brouillard ventes'!$F$127="","","VD"&amp;TEXT(ROW('Brouillard ventes'!$F$127)-5,"00000"))</f>
        <v/>
      </c>
      <c r="C367" s="22">
        <f>IF('Brouillard ventes'!$F$127="","",YEAR('Brouillard ventes'!$A$127)*10000+MONTH('Brouillard ventes'!$A$127)*100+DAY('Brouillard ventes'!$A$127))</f>
        <v/>
      </c>
      <c r="D367" s="22">
        <f>IF('Brouillard ventes'!$F$127="","",'Brouillard ventes'!$B$127)</f>
        <v/>
      </c>
      <c r="E367" s="22">
        <f>IF('Brouillard ventes'!$F$127="","",LEFT('Brouillard ventes'!$D$127,30))</f>
        <v/>
      </c>
      <c r="F367" s="22" t="inlineStr">
        <is>
          <t>15001</t>
        </is>
      </c>
      <c r="G367" s="22">
        <f>IF('Brouillard ventes'!$F$127="","",Paramètres!$B$10)</f>
        <v/>
      </c>
      <c r="H367" s="22" t="inlineStr"/>
      <c r="I367" s="22" t="inlineStr"/>
      <c r="J367" s="22" t="inlineStr"/>
      <c r="K367" s="22">
        <f>IF('Brouillard ventes'!$F$127="","",Paramètres!$B$11)</f>
        <v/>
      </c>
      <c r="L367" s="23" t="n">
        <v>0</v>
      </c>
      <c r="M367" s="23">
        <f>IF('Brouillard ventes'!$F$127="","",'Brouillard ventes'!$H$127)</f>
        <v/>
      </c>
    </row>
    <row r="368">
      <c r="A368" s="22" t="inlineStr">
        <is>
          <t>1</t>
        </is>
      </c>
      <c r="B368" s="22">
        <f>IF('Brouillard ventes'!$F$128="","","VD"&amp;TEXT(ROW('Brouillard ventes'!$F$128)-5,"00000"))</f>
        <v/>
      </c>
      <c r="C368" s="22">
        <f>IF('Brouillard ventes'!$F$128="","",YEAR('Brouillard ventes'!$A$128)*10000+MONTH('Brouillard ventes'!$A$128)*100+DAY('Brouillard ventes'!$A$128))</f>
        <v/>
      </c>
      <c r="D368" s="22">
        <f>IF('Brouillard ventes'!$F$128="","",'Brouillard ventes'!$B$128)</f>
        <v/>
      </c>
      <c r="E368" s="22">
        <f>IF('Brouillard ventes'!$F$128="","",LEFT('Brouillard ventes'!$D$128,30))</f>
        <v/>
      </c>
      <c r="F368" s="22" t="inlineStr">
        <is>
          <t>15001</t>
        </is>
      </c>
      <c r="G368" s="22">
        <f>IF('Brouillard ventes'!$F$128="","",Paramètres!$B$7)</f>
        <v/>
      </c>
      <c r="H368" s="22">
        <f>IF('Brouillard ventes'!$F$128="","",IF('Brouillard ventes'!$C$128="","CD001",'Brouillard ventes'!$C$128))</f>
        <v/>
      </c>
      <c r="I368" s="22" t="inlineStr"/>
      <c r="J368" s="22" t="inlineStr"/>
      <c r="K368" s="22">
        <f>IF('Brouillard ventes'!$F$128="","",Paramètres!$B$11)</f>
        <v/>
      </c>
      <c r="L368" s="23">
        <f>IF('Brouillard ventes'!$F$128="","",'Brouillard ventes'!$I$128)</f>
        <v/>
      </c>
      <c r="M368" s="23" t="n">
        <v>0</v>
      </c>
    </row>
    <row r="369">
      <c r="A369" s="22" t="inlineStr">
        <is>
          <t>1</t>
        </is>
      </c>
      <c r="B369" s="22">
        <f>IF('Brouillard ventes'!$F$128="","","VD"&amp;TEXT(ROW('Brouillard ventes'!$F$128)-5,"00000"))</f>
        <v/>
      </c>
      <c r="C369" s="22">
        <f>IF('Brouillard ventes'!$F$128="","",YEAR('Brouillard ventes'!$A$128)*10000+MONTH('Brouillard ventes'!$A$128)*100+DAY('Brouillard ventes'!$A$128))</f>
        <v/>
      </c>
      <c r="D369" s="22">
        <f>IF('Brouillard ventes'!$F$128="","",'Brouillard ventes'!$B$128)</f>
        <v/>
      </c>
      <c r="E369" s="22">
        <f>IF('Brouillard ventes'!$F$128="","",LEFT('Brouillard ventes'!$D$128,30))</f>
        <v/>
      </c>
      <c r="F369" s="22" t="inlineStr">
        <is>
          <t>15001</t>
        </is>
      </c>
      <c r="G369" s="22">
        <f>IF('Brouillard ventes'!$F$128="","",IF('Brouillard ventes'!$E$128="Réparation",Paramètres!$B$9,Paramètres!$B$8))</f>
        <v/>
      </c>
      <c r="H369" s="22" t="inlineStr"/>
      <c r="I369" s="22" t="inlineStr"/>
      <c r="J369" s="22" t="inlineStr"/>
      <c r="K369" s="22">
        <f>IF('Brouillard ventes'!$F$128="","",Paramètres!$B$11)</f>
        <v/>
      </c>
      <c r="L369" s="23" t="n">
        <v>0</v>
      </c>
      <c r="M369" s="23">
        <f>IF('Brouillard ventes'!$F$128="","",'Brouillard ventes'!$F$128)</f>
        <v/>
      </c>
    </row>
    <row r="370">
      <c r="A370" s="22" t="inlineStr">
        <is>
          <t>1</t>
        </is>
      </c>
      <c r="B370" s="22">
        <f>IF('Brouillard ventes'!$F$128="","","VD"&amp;TEXT(ROW('Brouillard ventes'!$F$128)-5,"00000"))</f>
        <v/>
      </c>
      <c r="C370" s="22">
        <f>IF('Brouillard ventes'!$F$128="","",YEAR('Brouillard ventes'!$A$128)*10000+MONTH('Brouillard ventes'!$A$128)*100+DAY('Brouillard ventes'!$A$128))</f>
        <v/>
      </c>
      <c r="D370" s="22">
        <f>IF('Brouillard ventes'!$F$128="","",'Brouillard ventes'!$B$128)</f>
        <v/>
      </c>
      <c r="E370" s="22">
        <f>IF('Brouillard ventes'!$F$128="","",LEFT('Brouillard ventes'!$D$128,30))</f>
        <v/>
      </c>
      <c r="F370" s="22" t="inlineStr">
        <is>
          <t>15001</t>
        </is>
      </c>
      <c r="G370" s="22">
        <f>IF('Brouillard ventes'!$F$128="","",Paramètres!$B$10)</f>
        <v/>
      </c>
      <c r="H370" s="22" t="inlineStr"/>
      <c r="I370" s="22" t="inlineStr"/>
      <c r="J370" s="22" t="inlineStr"/>
      <c r="K370" s="22">
        <f>IF('Brouillard ventes'!$F$128="","",Paramètres!$B$11)</f>
        <v/>
      </c>
      <c r="L370" s="23" t="n">
        <v>0</v>
      </c>
      <c r="M370" s="23">
        <f>IF('Brouillard ventes'!$F$128="","",'Brouillard ventes'!$H$128)</f>
        <v/>
      </c>
    </row>
    <row r="371">
      <c r="A371" s="22" t="inlineStr">
        <is>
          <t>1</t>
        </is>
      </c>
      <c r="B371" s="22">
        <f>IF('Brouillard ventes'!$F$129="","","VD"&amp;TEXT(ROW('Brouillard ventes'!$F$129)-5,"00000"))</f>
        <v/>
      </c>
      <c r="C371" s="22">
        <f>IF('Brouillard ventes'!$F$129="","",YEAR('Brouillard ventes'!$A$129)*10000+MONTH('Brouillard ventes'!$A$129)*100+DAY('Brouillard ventes'!$A$129))</f>
        <v/>
      </c>
      <c r="D371" s="22">
        <f>IF('Brouillard ventes'!$F$129="","",'Brouillard ventes'!$B$129)</f>
        <v/>
      </c>
      <c r="E371" s="22">
        <f>IF('Brouillard ventes'!$F$129="","",LEFT('Brouillard ventes'!$D$129,30))</f>
        <v/>
      </c>
      <c r="F371" s="22" t="inlineStr">
        <is>
          <t>15001</t>
        </is>
      </c>
      <c r="G371" s="22">
        <f>IF('Brouillard ventes'!$F$129="","",Paramètres!$B$7)</f>
        <v/>
      </c>
      <c r="H371" s="22">
        <f>IF('Brouillard ventes'!$F$129="","",IF('Brouillard ventes'!$C$129="","CD001",'Brouillard ventes'!$C$129))</f>
        <v/>
      </c>
      <c r="I371" s="22" t="inlineStr"/>
      <c r="J371" s="22" t="inlineStr"/>
      <c r="K371" s="22">
        <f>IF('Brouillard ventes'!$F$129="","",Paramètres!$B$11)</f>
        <v/>
      </c>
      <c r="L371" s="23">
        <f>IF('Brouillard ventes'!$F$129="","",'Brouillard ventes'!$I$129)</f>
        <v/>
      </c>
      <c r="M371" s="23" t="n">
        <v>0</v>
      </c>
    </row>
    <row r="372">
      <c r="A372" s="22" t="inlineStr">
        <is>
          <t>1</t>
        </is>
      </c>
      <c r="B372" s="22">
        <f>IF('Brouillard ventes'!$F$129="","","VD"&amp;TEXT(ROW('Brouillard ventes'!$F$129)-5,"00000"))</f>
        <v/>
      </c>
      <c r="C372" s="22">
        <f>IF('Brouillard ventes'!$F$129="","",YEAR('Brouillard ventes'!$A$129)*10000+MONTH('Brouillard ventes'!$A$129)*100+DAY('Brouillard ventes'!$A$129))</f>
        <v/>
      </c>
      <c r="D372" s="22">
        <f>IF('Brouillard ventes'!$F$129="","",'Brouillard ventes'!$B$129)</f>
        <v/>
      </c>
      <c r="E372" s="22">
        <f>IF('Brouillard ventes'!$F$129="","",LEFT('Brouillard ventes'!$D$129,30))</f>
        <v/>
      </c>
      <c r="F372" s="22" t="inlineStr">
        <is>
          <t>15001</t>
        </is>
      </c>
      <c r="G372" s="22">
        <f>IF('Brouillard ventes'!$F$129="","",IF('Brouillard ventes'!$E$129="Réparation",Paramètres!$B$9,Paramètres!$B$8))</f>
        <v/>
      </c>
      <c r="H372" s="22" t="inlineStr"/>
      <c r="I372" s="22" t="inlineStr"/>
      <c r="J372" s="22" t="inlineStr"/>
      <c r="K372" s="22">
        <f>IF('Brouillard ventes'!$F$129="","",Paramètres!$B$11)</f>
        <v/>
      </c>
      <c r="L372" s="23" t="n">
        <v>0</v>
      </c>
      <c r="M372" s="23">
        <f>IF('Brouillard ventes'!$F$129="","",'Brouillard ventes'!$F$129)</f>
        <v/>
      </c>
    </row>
    <row r="373">
      <c r="A373" s="22" t="inlineStr">
        <is>
          <t>1</t>
        </is>
      </c>
      <c r="B373" s="22">
        <f>IF('Brouillard ventes'!$F$129="","","VD"&amp;TEXT(ROW('Brouillard ventes'!$F$129)-5,"00000"))</f>
        <v/>
      </c>
      <c r="C373" s="22">
        <f>IF('Brouillard ventes'!$F$129="","",YEAR('Brouillard ventes'!$A$129)*10000+MONTH('Brouillard ventes'!$A$129)*100+DAY('Brouillard ventes'!$A$129))</f>
        <v/>
      </c>
      <c r="D373" s="22">
        <f>IF('Brouillard ventes'!$F$129="","",'Brouillard ventes'!$B$129)</f>
        <v/>
      </c>
      <c r="E373" s="22">
        <f>IF('Brouillard ventes'!$F$129="","",LEFT('Brouillard ventes'!$D$129,30))</f>
        <v/>
      </c>
      <c r="F373" s="22" t="inlineStr">
        <is>
          <t>15001</t>
        </is>
      </c>
      <c r="G373" s="22">
        <f>IF('Brouillard ventes'!$F$129="","",Paramètres!$B$10)</f>
        <v/>
      </c>
      <c r="H373" s="22" t="inlineStr"/>
      <c r="I373" s="22" t="inlineStr"/>
      <c r="J373" s="22" t="inlineStr"/>
      <c r="K373" s="22">
        <f>IF('Brouillard ventes'!$F$129="","",Paramètres!$B$11)</f>
        <v/>
      </c>
      <c r="L373" s="23" t="n">
        <v>0</v>
      </c>
      <c r="M373" s="23">
        <f>IF('Brouillard ventes'!$F$129="","",'Brouillard ventes'!$H$129)</f>
        <v/>
      </c>
    </row>
    <row r="374">
      <c r="A374" s="22" t="inlineStr">
        <is>
          <t>1</t>
        </is>
      </c>
      <c r="B374" s="22">
        <f>IF('Brouillard ventes'!$F$130="","","VD"&amp;TEXT(ROW('Brouillard ventes'!$F$130)-5,"00000"))</f>
        <v/>
      </c>
      <c r="C374" s="22">
        <f>IF('Brouillard ventes'!$F$130="","",YEAR('Brouillard ventes'!$A$130)*10000+MONTH('Brouillard ventes'!$A$130)*100+DAY('Brouillard ventes'!$A$130))</f>
        <v/>
      </c>
      <c r="D374" s="22">
        <f>IF('Brouillard ventes'!$F$130="","",'Brouillard ventes'!$B$130)</f>
        <v/>
      </c>
      <c r="E374" s="22">
        <f>IF('Brouillard ventes'!$F$130="","",LEFT('Brouillard ventes'!$D$130,30))</f>
        <v/>
      </c>
      <c r="F374" s="22" t="inlineStr">
        <is>
          <t>15001</t>
        </is>
      </c>
      <c r="G374" s="22">
        <f>IF('Brouillard ventes'!$F$130="","",Paramètres!$B$7)</f>
        <v/>
      </c>
      <c r="H374" s="22">
        <f>IF('Brouillard ventes'!$F$130="","",IF('Brouillard ventes'!$C$130="","CD001",'Brouillard ventes'!$C$130))</f>
        <v/>
      </c>
      <c r="I374" s="22" t="inlineStr"/>
      <c r="J374" s="22" t="inlineStr"/>
      <c r="K374" s="22">
        <f>IF('Brouillard ventes'!$F$130="","",Paramètres!$B$11)</f>
        <v/>
      </c>
      <c r="L374" s="23">
        <f>IF('Brouillard ventes'!$F$130="","",'Brouillard ventes'!$I$130)</f>
        <v/>
      </c>
      <c r="M374" s="23" t="n">
        <v>0</v>
      </c>
    </row>
    <row r="375">
      <c r="A375" s="22" t="inlineStr">
        <is>
          <t>1</t>
        </is>
      </c>
      <c r="B375" s="22">
        <f>IF('Brouillard ventes'!$F$130="","","VD"&amp;TEXT(ROW('Brouillard ventes'!$F$130)-5,"00000"))</f>
        <v/>
      </c>
      <c r="C375" s="22">
        <f>IF('Brouillard ventes'!$F$130="","",YEAR('Brouillard ventes'!$A$130)*10000+MONTH('Brouillard ventes'!$A$130)*100+DAY('Brouillard ventes'!$A$130))</f>
        <v/>
      </c>
      <c r="D375" s="22">
        <f>IF('Brouillard ventes'!$F$130="","",'Brouillard ventes'!$B$130)</f>
        <v/>
      </c>
      <c r="E375" s="22">
        <f>IF('Brouillard ventes'!$F$130="","",LEFT('Brouillard ventes'!$D$130,30))</f>
        <v/>
      </c>
      <c r="F375" s="22" t="inlineStr">
        <is>
          <t>15001</t>
        </is>
      </c>
      <c r="G375" s="22">
        <f>IF('Brouillard ventes'!$F$130="","",IF('Brouillard ventes'!$E$130="Réparation",Paramètres!$B$9,Paramètres!$B$8))</f>
        <v/>
      </c>
      <c r="H375" s="22" t="inlineStr"/>
      <c r="I375" s="22" t="inlineStr"/>
      <c r="J375" s="22" t="inlineStr"/>
      <c r="K375" s="22">
        <f>IF('Brouillard ventes'!$F$130="","",Paramètres!$B$11)</f>
        <v/>
      </c>
      <c r="L375" s="23" t="n">
        <v>0</v>
      </c>
      <c r="M375" s="23">
        <f>IF('Brouillard ventes'!$F$130="","",'Brouillard ventes'!$F$130)</f>
        <v/>
      </c>
    </row>
    <row r="376">
      <c r="A376" s="22" t="inlineStr">
        <is>
          <t>1</t>
        </is>
      </c>
      <c r="B376" s="22">
        <f>IF('Brouillard ventes'!$F$130="","","VD"&amp;TEXT(ROW('Brouillard ventes'!$F$130)-5,"00000"))</f>
        <v/>
      </c>
      <c r="C376" s="22">
        <f>IF('Brouillard ventes'!$F$130="","",YEAR('Brouillard ventes'!$A$130)*10000+MONTH('Brouillard ventes'!$A$130)*100+DAY('Brouillard ventes'!$A$130))</f>
        <v/>
      </c>
      <c r="D376" s="22">
        <f>IF('Brouillard ventes'!$F$130="","",'Brouillard ventes'!$B$130)</f>
        <v/>
      </c>
      <c r="E376" s="22">
        <f>IF('Brouillard ventes'!$F$130="","",LEFT('Brouillard ventes'!$D$130,30))</f>
        <v/>
      </c>
      <c r="F376" s="22" t="inlineStr">
        <is>
          <t>15001</t>
        </is>
      </c>
      <c r="G376" s="22">
        <f>IF('Brouillard ventes'!$F$130="","",Paramètres!$B$10)</f>
        <v/>
      </c>
      <c r="H376" s="22" t="inlineStr"/>
      <c r="I376" s="22" t="inlineStr"/>
      <c r="J376" s="22" t="inlineStr"/>
      <c r="K376" s="22">
        <f>IF('Brouillard ventes'!$F$130="","",Paramètres!$B$11)</f>
        <v/>
      </c>
      <c r="L376" s="23" t="n">
        <v>0</v>
      </c>
      <c r="M376" s="23">
        <f>IF('Brouillard ventes'!$F$130="","",'Brouillard ventes'!$H$130)</f>
        <v/>
      </c>
    </row>
    <row r="377">
      <c r="A377" s="22" t="inlineStr">
        <is>
          <t>1</t>
        </is>
      </c>
      <c r="B377" s="22">
        <f>IF('Brouillard ventes'!$F$131="","","VD"&amp;TEXT(ROW('Brouillard ventes'!$F$131)-5,"00000"))</f>
        <v/>
      </c>
      <c r="C377" s="22">
        <f>IF('Brouillard ventes'!$F$131="","",YEAR('Brouillard ventes'!$A$131)*10000+MONTH('Brouillard ventes'!$A$131)*100+DAY('Brouillard ventes'!$A$131))</f>
        <v/>
      </c>
      <c r="D377" s="22">
        <f>IF('Brouillard ventes'!$F$131="","",'Brouillard ventes'!$B$131)</f>
        <v/>
      </c>
      <c r="E377" s="22">
        <f>IF('Brouillard ventes'!$F$131="","",LEFT('Brouillard ventes'!$D$131,30))</f>
        <v/>
      </c>
      <c r="F377" s="22" t="inlineStr">
        <is>
          <t>15001</t>
        </is>
      </c>
      <c r="G377" s="22">
        <f>IF('Brouillard ventes'!$F$131="","",Paramètres!$B$7)</f>
        <v/>
      </c>
      <c r="H377" s="22">
        <f>IF('Brouillard ventes'!$F$131="","",IF('Brouillard ventes'!$C$131="","CD001",'Brouillard ventes'!$C$131))</f>
        <v/>
      </c>
      <c r="I377" s="22" t="inlineStr"/>
      <c r="J377" s="22" t="inlineStr"/>
      <c r="K377" s="22">
        <f>IF('Brouillard ventes'!$F$131="","",Paramètres!$B$11)</f>
        <v/>
      </c>
      <c r="L377" s="23">
        <f>IF('Brouillard ventes'!$F$131="","",'Brouillard ventes'!$I$131)</f>
        <v/>
      </c>
      <c r="M377" s="23" t="n">
        <v>0</v>
      </c>
    </row>
    <row r="378">
      <c r="A378" s="22" t="inlineStr">
        <is>
          <t>1</t>
        </is>
      </c>
      <c r="B378" s="22">
        <f>IF('Brouillard ventes'!$F$131="","","VD"&amp;TEXT(ROW('Brouillard ventes'!$F$131)-5,"00000"))</f>
        <v/>
      </c>
      <c r="C378" s="22">
        <f>IF('Brouillard ventes'!$F$131="","",YEAR('Brouillard ventes'!$A$131)*10000+MONTH('Brouillard ventes'!$A$131)*100+DAY('Brouillard ventes'!$A$131))</f>
        <v/>
      </c>
      <c r="D378" s="22">
        <f>IF('Brouillard ventes'!$F$131="","",'Brouillard ventes'!$B$131)</f>
        <v/>
      </c>
      <c r="E378" s="22">
        <f>IF('Brouillard ventes'!$F$131="","",LEFT('Brouillard ventes'!$D$131,30))</f>
        <v/>
      </c>
      <c r="F378" s="22" t="inlineStr">
        <is>
          <t>15001</t>
        </is>
      </c>
      <c r="G378" s="22">
        <f>IF('Brouillard ventes'!$F$131="","",IF('Brouillard ventes'!$E$131="Réparation",Paramètres!$B$9,Paramètres!$B$8))</f>
        <v/>
      </c>
      <c r="H378" s="22" t="inlineStr"/>
      <c r="I378" s="22" t="inlineStr"/>
      <c r="J378" s="22" t="inlineStr"/>
      <c r="K378" s="22">
        <f>IF('Brouillard ventes'!$F$131="","",Paramètres!$B$11)</f>
        <v/>
      </c>
      <c r="L378" s="23" t="n">
        <v>0</v>
      </c>
      <c r="M378" s="23">
        <f>IF('Brouillard ventes'!$F$131="","",'Brouillard ventes'!$F$131)</f>
        <v/>
      </c>
    </row>
    <row r="379">
      <c r="A379" s="22" t="inlineStr">
        <is>
          <t>1</t>
        </is>
      </c>
      <c r="B379" s="22">
        <f>IF('Brouillard ventes'!$F$131="","","VD"&amp;TEXT(ROW('Brouillard ventes'!$F$131)-5,"00000"))</f>
        <v/>
      </c>
      <c r="C379" s="22">
        <f>IF('Brouillard ventes'!$F$131="","",YEAR('Brouillard ventes'!$A$131)*10000+MONTH('Brouillard ventes'!$A$131)*100+DAY('Brouillard ventes'!$A$131))</f>
        <v/>
      </c>
      <c r="D379" s="22">
        <f>IF('Brouillard ventes'!$F$131="","",'Brouillard ventes'!$B$131)</f>
        <v/>
      </c>
      <c r="E379" s="22">
        <f>IF('Brouillard ventes'!$F$131="","",LEFT('Brouillard ventes'!$D$131,30))</f>
        <v/>
      </c>
      <c r="F379" s="22" t="inlineStr">
        <is>
          <t>15001</t>
        </is>
      </c>
      <c r="G379" s="22">
        <f>IF('Brouillard ventes'!$F$131="","",Paramètres!$B$10)</f>
        <v/>
      </c>
      <c r="H379" s="22" t="inlineStr"/>
      <c r="I379" s="22" t="inlineStr"/>
      <c r="J379" s="22" t="inlineStr"/>
      <c r="K379" s="22">
        <f>IF('Brouillard ventes'!$F$131="","",Paramètres!$B$11)</f>
        <v/>
      </c>
      <c r="L379" s="23" t="n">
        <v>0</v>
      </c>
      <c r="M379" s="23">
        <f>IF('Brouillard ventes'!$F$131="","",'Brouillard ventes'!$H$131)</f>
        <v/>
      </c>
    </row>
    <row r="380">
      <c r="A380" s="22" t="inlineStr">
        <is>
          <t>1</t>
        </is>
      </c>
      <c r="B380" s="22">
        <f>IF('Brouillard ventes'!$F$132="","","VD"&amp;TEXT(ROW('Brouillard ventes'!$F$132)-5,"00000"))</f>
        <v/>
      </c>
      <c r="C380" s="22">
        <f>IF('Brouillard ventes'!$F$132="","",YEAR('Brouillard ventes'!$A$132)*10000+MONTH('Brouillard ventes'!$A$132)*100+DAY('Brouillard ventes'!$A$132))</f>
        <v/>
      </c>
      <c r="D380" s="22">
        <f>IF('Brouillard ventes'!$F$132="","",'Brouillard ventes'!$B$132)</f>
        <v/>
      </c>
      <c r="E380" s="22">
        <f>IF('Brouillard ventes'!$F$132="","",LEFT('Brouillard ventes'!$D$132,30))</f>
        <v/>
      </c>
      <c r="F380" s="22" t="inlineStr">
        <is>
          <t>15001</t>
        </is>
      </c>
      <c r="G380" s="22">
        <f>IF('Brouillard ventes'!$F$132="","",Paramètres!$B$7)</f>
        <v/>
      </c>
      <c r="H380" s="22">
        <f>IF('Brouillard ventes'!$F$132="","",IF('Brouillard ventes'!$C$132="","CD001",'Brouillard ventes'!$C$132))</f>
        <v/>
      </c>
      <c r="I380" s="22" t="inlineStr"/>
      <c r="J380" s="22" t="inlineStr"/>
      <c r="K380" s="22">
        <f>IF('Brouillard ventes'!$F$132="","",Paramètres!$B$11)</f>
        <v/>
      </c>
      <c r="L380" s="23">
        <f>IF('Brouillard ventes'!$F$132="","",'Brouillard ventes'!$I$132)</f>
        <v/>
      </c>
      <c r="M380" s="23" t="n">
        <v>0</v>
      </c>
    </row>
    <row r="381">
      <c r="A381" s="22" t="inlineStr">
        <is>
          <t>1</t>
        </is>
      </c>
      <c r="B381" s="22">
        <f>IF('Brouillard ventes'!$F$132="","","VD"&amp;TEXT(ROW('Brouillard ventes'!$F$132)-5,"00000"))</f>
        <v/>
      </c>
      <c r="C381" s="22">
        <f>IF('Brouillard ventes'!$F$132="","",YEAR('Brouillard ventes'!$A$132)*10000+MONTH('Brouillard ventes'!$A$132)*100+DAY('Brouillard ventes'!$A$132))</f>
        <v/>
      </c>
      <c r="D381" s="22">
        <f>IF('Brouillard ventes'!$F$132="","",'Brouillard ventes'!$B$132)</f>
        <v/>
      </c>
      <c r="E381" s="22">
        <f>IF('Brouillard ventes'!$F$132="","",LEFT('Brouillard ventes'!$D$132,30))</f>
        <v/>
      </c>
      <c r="F381" s="22" t="inlineStr">
        <is>
          <t>15001</t>
        </is>
      </c>
      <c r="G381" s="22">
        <f>IF('Brouillard ventes'!$F$132="","",IF('Brouillard ventes'!$E$132="Réparation",Paramètres!$B$9,Paramètres!$B$8))</f>
        <v/>
      </c>
      <c r="H381" s="22" t="inlineStr"/>
      <c r="I381" s="22" t="inlineStr"/>
      <c r="J381" s="22" t="inlineStr"/>
      <c r="K381" s="22">
        <f>IF('Brouillard ventes'!$F$132="","",Paramètres!$B$11)</f>
        <v/>
      </c>
      <c r="L381" s="23" t="n">
        <v>0</v>
      </c>
      <c r="M381" s="23">
        <f>IF('Brouillard ventes'!$F$132="","",'Brouillard ventes'!$F$132)</f>
        <v/>
      </c>
    </row>
    <row r="382">
      <c r="A382" s="22" t="inlineStr">
        <is>
          <t>1</t>
        </is>
      </c>
      <c r="B382" s="22">
        <f>IF('Brouillard ventes'!$F$132="","","VD"&amp;TEXT(ROW('Brouillard ventes'!$F$132)-5,"00000"))</f>
        <v/>
      </c>
      <c r="C382" s="22">
        <f>IF('Brouillard ventes'!$F$132="","",YEAR('Brouillard ventes'!$A$132)*10000+MONTH('Brouillard ventes'!$A$132)*100+DAY('Brouillard ventes'!$A$132))</f>
        <v/>
      </c>
      <c r="D382" s="22">
        <f>IF('Brouillard ventes'!$F$132="","",'Brouillard ventes'!$B$132)</f>
        <v/>
      </c>
      <c r="E382" s="22">
        <f>IF('Brouillard ventes'!$F$132="","",LEFT('Brouillard ventes'!$D$132,30))</f>
        <v/>
      </c>
      <c r="F382" s="22" t="inlineStr">
        <is>
          <t>15001</t>
        </is>
      </c>
      <c r="G382" s="22">
        <f>IF('Brouillard ventes'!$F$132="","",Paramètres!$B$10)</f>
        <v/>
      </c>
      <c r="H382" s="22" t="inlineStr"/>
      <c r="I382" s="22" t="inlineStr"/>
      <c r="J382" s="22" t="inlineStr"/>
      <c r="K382" s="22">
        <f>IF('Brouillard ventes'!$F$132="","",Paramètres!$B$11)</f>
        <v/>
      </c>
      <c r="L382" s="23" t="n">
        <v>0</v>
      </c>
      <c r="M382" s="23">
        <f>IF('Brouillard ventes'!$F$132="","",'Brouillard ventes'!$H$132)</f>
        <v/>
      </c>
    </row>
    <row r="383">
      <c r="A383" s="22" t="inlineStr">
        <is>
          <t>1</t>
        </is>
      </c>
      <c r="B383" s="22">
        <f>IF('Brouillard ventes'!$F$133="","","VD"&amp;TEXT(ROW('Brouillard ventes'!$F$133)-5,"00000"))</f>
        <v/>
      </c>
      <c r="C383" s="22">
        <f>IF('Brouillard ventes'!$F$133="","",YEAR('Brouillard ventes'!$A$133)*10000+MONTH('Brouillard ventes'!$A$133)*100+DAY('Brouillard ventes'!$A$133))</f>
        <v/>
      </c>
      <c r="D383" s="22">
        <f>IF('Brouillard ventes'!$F$133="","",'Brouillard ventes'!$B$133)</f>
        <v/>
      </c>
      <c r="E383" s="22">
        <f>IF('Brouillard ventes'!$F$133="","",LEFT('Brouillard ventes'!$D$133,30))</f>
        <v/>
      </c>
      <c r="F383" s="22" t="inlineStr">
        <is>
          <t>15001</t>
        </is>
      </c>
      <c r="G383" s="22">
        <f>IF('Brouillard ventes'!$F$133="","",Paramètres!$B$7)</f>
        <v/>
      </c>
      <c r="H383" s="22">
        <f>IF('Brouillard ventes'!$F$133="","",IF('Brouillard ventes'!$C$133="","CD001",'Brouillard ventes'!$C$133))</f>
        <v/>
      </c>
      <c r="I383" s="22" t="inlineStr"/>
      <c r="J383" s="22" t="inlineStr"/>
      <c r="K383" s="22">
        <f>IF('Brouillard ventes'!$F$133="","",Paramètres!$B$11)</f>
        <v/>
      </c>
      <c r="L383" s="23">
        <f>IF('Brouillard ventes'!$F$133="","",'Brouillard ventes'!$I$133)</f>
        <v/>
      </c>
      <c r="M383" s="23" t="n">
        <v>0</v>
      </c>
    </row>
    <row r="384">
      <c r="A384" s="22" t="inlineStr">
        <is>
          <t>1</t>
        </is>
      </c>
      <c r="B384" s="22">
        <f>IF('Brouillard ventes'!$F$133="","","VD"&amp;TEXT(ROW('Brouillard ventes'!$F$133)-5,"00000"))</f>
        <v/>
      </c>
      <c r="C384" s="22">
        <f>IF('Brouillard ventes'!$F$133="","",YEAR('Brouillard ventes'!$A$133)*10000+MONTH('Brouillard ventes'!$A$133)*100+DAY('Brouillard ventes'!$A$133))</f>
        <v/>
      </c>
      <c r="D384" s="22">
        <f>IF('Brouillard ventes'!$F$133="","",'Brouillard ventes'!$B$133)</f>
        <v/>
      </c>
      <c r="E384" s="22">
        <f>IF('Brouillard ventes'!$F$133="","",LEFT('Brouillard ventes'!$D$133,30))</f>
        <v/>
      </c>
      <c r="F384" s="22" t="inlineStr">
        <is>
          <t>15001</t>
        </is>
      </c>
      <c r="G384" s="22">
        <f>IF('Brouillard ventes'!$F$133="","",IF('Brouillard ventes'!$E$133="Réparation",Paramètres!$B$9,Paramètres!$B$8))</f>
        <v/>
      </c>
      <c r="H384" s="22" t="inlineStr"/>
      <c r="I384" s="22" t="inlineStr"/>
      <c r="J384" s="22" t="inlineStr"/>
      <c r="K384" s="22">
        <f>IF('Brouillard ventes'!$F$133="","",Paramètres!$B$11)</f>
        <v/>
      </c>
      <c r="L384" s="23" t="n">
        <v>0</v>
      </c>
      <c r="M384" s="23">
        <f>IF('Brouillard ventes'!$F$133="","",'Brouillard ventes'!$F$133)</f>
        <v/>
      </c>
    </row>
    <row r="385">
      <c r="A385" s="22" t="inlineStr">
        <is>
          <t>1</t>
        </is>
      </c>
      <c r="B385" s="22">
        <f>IF('Brouillard ventes'!$F$133="","","VD"&amp;TEXT(ROW('Brouillard ventes'!$F$133)-5,"00000"))</f>
        <v/>
      </c>
      <c r="C385" s="22">
        <f>IF('Brouillard ventes'!$F$133="","",YEAR('Brouillard ventes'!$A$133)*10000+MONTH('Brouillard ventes'!$A$133)*100+DAY('Brouillard ventes'!$A$133))</f>
        <v/>
      </c>
      <c r="D385" s="22">
        <f>IF('Brouillard ventes'!$F$133="","",'Brouillard ventes'!$B$133)</f>
        <v/>
      </c>
      <c r="E385" s="22">
        <f>IF('Brouillard ventes'!$F$133="","",LEFT('Brouillard ventes'!$D$133,30))</f>
        <v/>
      </c>
      <c r="F385" s="22" t="inlineStr">
        <is>
          <t>15001</t>
        </is>
      </c>
      <c r="G385" s="22">
        <f>IF('Brouillard ventes'!$F$133="","",Paramètres!$B$10)</f>
        <v/>
      </c>
      <c r="H385" s="22" t="inlineStr"/>
      <c r="I385" s="22" t="inlineStr"/>
      <c r="J385" s="22" t="inlineStr"/>
      <c r="K385" s="22">
        <f>IF('Brouillard ventes'!$F$133="","",Paramètres!$B$11)</f>
        <v/>
      </c>
      <c r="L385" s="23" t="n">
        <v>0</v>
      </c>
      <c r="M385" s="23">
        <f>IF('Brouillard ventes'!$F$133="","",'Brouillard ventes'!$H$133)</f>
        <v/>
      </c>
    </row>
    <row r="386">
      <c r="A386" s="22" t="inlineStr">
        <is>
          <t>1</t>
        </is>
      </c>
      <c r="B386" s="22">
        <f>IF('Brouillard ventes'!$F$134="","","VD"&amp;TEXT(ROW('Brouillard ventes'!$F$134)-5,"00000"))</f>
        <v/>
      </c>
      <c r="C386" s="22">
        <f>IF('Brouillard ventes'!$F$134="","",YEAR('Brouillard ventes'!$A$134)*10000+MONTH('Brouillard ventes'!$A$134)*100+DAY('Brouillard ventes'!$A$134))</f>
        <v/>
      </c>
      <c r="D386" s="22">
        <f>IF('Brouillard ventes'!$F$134="","",'Brouillard ventes'!$B$134)</f>
        <v/>
      </c>
      <c r="E386" s="22">
        <f>IF('Brouillard ventes'!$F$134="","",LEFT('Brouillard ventes'!$D$134,30))</f>
        <v/>
      </c>
      <c r="F386" s="22" t="inlineStr">
        <is>
          <t>15001</t>
        </is>
      </c>
      <c r="G386" s="22">
        <f>IF('Brouillard ventes'!$F$134="","",Paramètres!$B$7)</f>
        <v/>
      </c>
      <c r="H386" s="22">
        <f>IF('Brouillard ventes'!$F$134="","",IF('Brouillard ventes'!$C$134="","CD001",'Brouillard ventes'!$C$134))</f>
        <v/>
      </c>
      <c r="I386" s="22" t="inlineStr"/>
      <c r="J386" s="22" t="inlineStr"/>
      <c r="K386" s="22">
        <f>IF('Brouillard ventes'!$F$134="","",Paramètres!$B$11)</f>
        <v/>
      </c>
      <c r="L386" s="23">
        <f>IF('Brouillard ventes'!$F$134="","",'Brouillard ventes'!$I$134)</f>
        <v/>
      </c>
      <c r="M386" s="23" t="n">
        <v>0</v>
      </c>
    </row>
    <row r="387">
      <c r="A387" s="22" t="inlineStr">
        <is>
          <t>1</t>
        </is>
      </c>
      <c r="B387" s="22">
        <f>IF('Brouillard ventes'!$F$134="","","VD"&amp;TEXT(ROW('Brouillard ventes'!$F$134)-5,"00000"))</f>
        <v/>
      </c>
      <c r="C387" s="22">
        <f>IF('Brouillard ventes'!$F$134="","",YEAR('Brouillard ventes'!$A$134)*10000+MONTH('Brouillard ventes'!$A$134)*100+DAY('Brouillard ventes'!$A$134))</f>
        <v/>
      </c>
      <c r="D387" s="22">
        <f>IF('Brouillard ventes'!$F$134="","",'Brouillard ventes'!$B$134)</f>
        <v/>
      </c>
      <c r="E387" s="22">
        <f>IF('Brouillard ventes'!$F$134="","",LEFT('Brouillard ventes'!$D$134,30))</f>
        <v/>
      </c>
      <c r="F387" s="22" t="inlineStr">
        <is>
          <t>15001</t>
        </is>
      </c>
      <c r="G387" s="22">
        <f>IF('Brouillard ventes'!$F$134="","",IF('Brouillard ventes'!$E$134="Réparation",Paramètres!$B$9,Paramètres!$B$8))</f>
        <v/>
      </c>
      <c r="H387" s="22" t="inlineStr"/>
      <c r="I387" s="22" t="inlineStr"/>
      <c r="J387" s="22" t="inlineStr"/>
      <c r="K387" s="22">
        <f>IF('Brouillard ventes'!$F$134="","",Paramètres!$B$11)</f>
        <v/>
      </c>
      <c r="L387" s="23" t="n">
        <v>0</v>
      </c>
      <c r="M387" s="23">
        <f>IF('Brouillard ventes'!$F$134="","",'Brouillard ventes'!$F$134)</f>
        <v/>
      </c>
    </row>
    <row r="388">
      <c r="A388" s="22" t="inlineStr">
        <is>
          <t>1</t>
        </is>
      </c>
      <c r="B388" s="22">
        <f>IF('Brouillard ventes'!$F$134="","","VD"&amp;TEXT(ROW('Brouillard ventes'!$F$134)-5,"00000"))</f>
        <v/>
      </c>
      <c r="C388" s="22">
        <f>IF('Brouillard ventes'!$F$134="","",YEAR('Brouillard ventes'!$A$134)*10000+MONTH('Brouillard ventes'!$A$134)*100+DAY('Brouillard ventes'!$A$134))</f>
        <v/>
      </c>
      <c r="D388" s="22">
        <f>IF('Brouillard ventes'!$F$134="","",'Brouillard ventes'!$B$134)</f>
        <v/>
      </c>
      <c r="E388" s="22">
        <f>IF('Brouillard ventes'!$F$134="","",LEFT('Brouillard ventes'!$D$134,30))</f>
        <v/>
      </c>
      <c r="F388" s="22" t="inlineStr">
        <is>
          <t>15001</t>
        </is>
      </c>
      <c r="G388" s="22">
        <f>IF('Brouillard ventes'!$F$134="","",Paramètres!$B$10)</f>
        <v/>
      </c>
      <c r="H388" s="22" t="inlineStr"/>
      <c r="I388" s="22" t="inlineStr"/>
      <c r="J388" s="22" t="inlineStr"/>
      <c r="K388" s="22">
        <f>IF('Brouillard ventes'!$F$134="","",Paramètres!$B$11)</f>
        <v/>
      </c>
      <c r="L388" s="23" t="n">
        <v>0</v>
      </c>
      <c r="M388" s="23">
        <f>IF('Brouillard ventes'!$F$134="","",'Brouillard ventes'!$H$134)</f>
        <v/>
      </c>
    </row>
    <row r="389">
      <c r="A389" s="22" t="inlineStr">
        <is>
          <t>1</t>
        </is>
      </c>
      <c r="B389" s="22">
        <f>IF('Brouillard ventes'!$F$135="","","VD"&amp;TEXT(ROW('Brouillard ventes'!$F$135)-5,"00000"))</f>
        <v/>
      </c>
      <c r="C389" s="22">
        <f>IF('Brouillard ventes'!$F$135="","",YEAR('Brouillard ventes'!$A$135)*10000+MONTH('Brouillard ventes'!$A$135)*100+DAY('Brouillard ventes'!$A$135))</f>
        <v/>
      </c>
      <c r="D389" s="22">
        <f>IF('Brouillard ventes'!$F$135="","",'Brouillard ventes'!$B$135)</f>
        <v/>
      </c>
      <c r="E389" s="22">
        <f>IF('Brouillard ventes'!$F$135="","",LEFT('Brouillard ventes'!$D$135,30))</f>
        <v/>
      </c>
      <c r="F389" s="22" t="inlineStr">
        <is>
          <t>15001</t>
        </is>
      </c>
      <c r="G389" s="22">
        <f>IF('Brouillard ventes'!$F$135="","",Paramètres!$B$7)</f>
        <v/>
      </c>
      <c r="H389" s="22">
        <f>IF('Brouillard ventes'!$F$135="","",IF('Brouillard ventes'!$C$135="","CD001",'Brouillard ventes'!$C$135))</f>
        <v/>
      </c>
      <c r="I389" s="22" t="inlineStr"/>
      <c r="J389" s="22" t="inlineStr"/>
      <c r="K389" s="22">
        <f>IF('Brouillard ventes'!$F$135="","",Paramètres!$B$11)</f>
        <v/>
      </c>
      <c r="L389" s="23">
        <f>IF('Brouillard ventes'!$F$135="","",'Brouillard ventes'!$I$135)</f>
        <v/>
      </c>
      <c r="M389" s="23" t="n">
        <v>0</v>
      </c>
    </row>
    <row r="390">
      <c r="A390" s="22" t="inlineStr">
        <is>
          <t>1</t>
        </is>
      </c>
      <c r="B390" s="22">
        <f>IF('Brouillard ventes'!$F$135="","","VD"&amp;TEXT(ROW('Brouillard ventes'!$F$135)-5,"00000"))</f>
        <v/>
      </c>
      <c r="C390" s="22">
        <f>IF('Brouillard ventes'!$F$135="","",YEAR('Brouillard ventes'!$A$135)*10000+MONTH('Brouillard ventes'!$A$135)*100+DAY('Brouillard ventes'!$A$135))</f>
        <v/>
      </c>
      <c r="D390" s="22">
        <f>IF('Brouillard ventes'!$F$135="","",'Brouillard ventes'!$B$135)</f>
        <v/>
      </c>
      <c r="E390" s="22">
        <f>IF('Brouillard ventes'!$F$135="","",LEFT('Brouillard ventes'!$D$135,30))</f>
        <v/>
      </c>
      <c r="F390" s="22" t="inlineStr">
        <is>
          <t>15001</t>
        </is>
      </c>
      <c r="G390" s="22">
        <f>IF('Brouillard ventes'!$F$135="","",IF('Brouillard ventes'!$E$135="Réparation",Paramètres!$B$9,Paramètres!$B$8))</f>
        <v/>
      </c>
      <c r="H390" s="22" t="inlineStr"/>
      <c r="I390" s="22" t="inlineStr"/>
      <c r="J390" s="22" t="inlineStr"/>
      <c r="K390" s="22">
        <f>IF('Brouillard ventes'!$F$135="","",Paramètres!$B$11)</f>
        <v/>
      </c>
      <c r="L390" s="23" t="n">
        <v>0</v>
      </c>
      <c r="M390" s="23">
        <f>IF('Brouillard ventes'!$F$135="","",'Brouillard ventes'!$F$135)</f>
        <v/>
      </c>
    </row>
    <row r="391">
      <c r="A391" s="22" t="inlineStr">
        <is>
          <t>1</t>
        </is>
      </c>
      <c r="B391" s="22">
        <f>IF('Brouillard ventes'!$F$135="","","VD"&amp;TEXT(ROW('Brouillard ventes'!$F$135)-5,"00000"))</f>
        <v/>
      </c>
      <c r="C391" s="22">
        <f>IF('Brouillard ventes'!$F$135="","",YEAR('Brouillard ventes'!$A$135)*10000+MONTH('Brouillard ventes'!$A$135)*100+DAY('Brouillard ventes'!$A$135))</f>
        <v/>
      </c>
      <c r="D391" s="22">
        <f>IF('Brouillard ventes'!$F$135="","",'Brouillard ventes'!$B$135)</f>
        <v/>
      </c>
      <c r="E391" s="22">
        <f>IF('Brouillard ventes'!$F$135="","",LEFT('Brouillard ventes'!$D$135,30))</f>
        <v/>
      </c>
      <c r="F391" s="22" t="inlineStr">
        <is>
          <t>15001</t>
        </is>
      </c>
      <c r="G391" s="22">
        <f>IF('Brouillard ventes'!$F$135="","",Paramètres!$B$10)</f>
        <v/>
      </c>
      <c r="H391" s="22" t="inlineStr"/>
      <c r="I391" s="22" t="inlineStr"/>
      <c r="J391" s="22" t="inlineStr"/>
      <c r="K391" s="22">
        <f>IF('Brouillard ventes'!$F$135="","",Paramètres!$B$11)</f>
        <v/>
      </c>
      <c r="L391" s="23" t="n">
        <v>0</v>
      </c>
      <c r="M391" s="23">
        <f>IF('Brouillard ventes'!$F$135="","",'Brouillard ventes'!$H$135)</f>
        <v/>
      </c>
    </row>
    <row r="392">
      <c r="A392" s="22" t="inlineStr">
        <is>
          <t>1</t>
        </is>
      </c>
      <c r="B392" s="22">
        <f>IF('Brouillard ventes'!$F$136="","","VD"&amp;TEXT(ROW('Brouillard ventes'!$F$136)-5,"00000"))</f>
        <v/>
      </c>
      <c r="C392" s="22">
        <f>IF('Brouillard ventes'!$F$136="","",YEAR('Brouillard ventes'!$A$136)*10000+MONTH('Brouillard ventes'!$A$136)*100+DAY('Brouillard ventes'!$A$136))</f>
        <v/>
      </c>
      <c r="D392" s="22">
        <f>IF('Brouillard ventes'!$F$136="","",'Brouillard ventes'!$B$136)</f>
        <v/>
      </c>
      <c r="E392" s="22">
        <f>IF('Brouillard ventes'!$F$136="","",LEFT('Brouillard ventes'!$D$136,30))</f>
        <v/>
      </c>
      <c r="F392" s="22" t="inlineStr">
        <is>
          <t>15001</t>
        </is>
      </c>
      <c r="G392" s="22">
        <f>IF('Brouillard ventes'!$F$136="","",Paramètres!$B$7)</f>
        <v/>
      </c>
      <c r="H392" s="22">
        <f>IF('Brouillard ventes'!$F$136="","",IF('Brouillard ventes'!$C$136="","CD001",'Brouillard ventes'!$C$136))</f>
        <v/>
      </c>
      <c r="I392" s="22" t="inlineStr"/>
      <c r="J392" s="22" t="inlineStr"/>
      <c r="K392" s="22">
        <f>IF('Brouillard ventes'!$F$136="","",Paramètres!$B$11)</f>
        <v/>
      </c>
      <c r="L392" s="23">
        <f>IF('Brouillard ventes'!$F$136="","",'Brouillard ventes'!$I$136)</f>
        <v/>
      </c>
      <c r="M392" s="23" t="n">
        <v>0</v>
      </c>
    </row>
    <row r="393">
      <c r="A393" s="22" t="inlineStr">
        <is>
          <t>1</t>
        </is>
      </c>
      <c r="B393" s="22">
        <f>IF('Brouillard ventes'!$F$136="","","VD"&amp;TEXT(ROW('Brouillard ventes'!$F$136)-5,"00000"))</f>
        <v/>
      </c>
      <c r="C393" s="22">
        <f>IF('Brouillard ventes'!$F$136="","",YEAR('Brouillard ventes'!$A$136)*10000+MONTH('Brouillard ventes'!$A$136)*100+DAY('Brouillard ventes'!$A$136))</f>
        <v/>
      </c>
      <c r="D393" s="22">
        <f>IF('Brouillard ventes'!$F$136="","",'Brouillard ventes'!$B$136)</f>
        <v/>
      </c>
      <c r="E393" s="22">
        <f>IF('Brouillard ventes'!$F$136="","",LEFT('Brouillard ventes'!$D$136,30))</f>
        <v/>
      </c>
      <c r="F393" s="22" t="inlineStr">
        <is>
          <t>15001</t>
        </is>
      </c>
      <c r="G393" s="22">
        <f>IF('Brouillard ventes'!$F$136="","",IF('Brouillard ventes'!$E$136="Réparation",Paramètres!$B$9,Paramètres!$B$8))</f>
        <v/>
      </c>
      <c r="H393" s="22" t="inlineStr"/>
      <c r="I393" s="22" t="inlineStr"/>
      <c r="J393" s="22" t="inlineStr"/>
      <c r="K393" s="22">
        <f>IF('Brouillard ventes'!$F$136="","",Paramètres!$B$11)</f>
        <v/>
      </c>
      <c r="L393" s="23" t="n">
        <v>0</v>
      </c>
      <c r="M393" s="23">
        <f>IF('Brouillard ventes'!$F$136="","",'Brouillard ventes'!$F$136)</f>
        <v/>
      </c>
    </row>
    <row r="394">
      <c r="A394" s="22" t="inlineStr">
        <is>
          <t>1</t>
        </is>
      </c>
      <c r="B394" s="22">
        <f>IF('Brouillard ventes'!$F$136="","","VD"&amp;TEXT(ROW('Brouillard ventes'!$F$136)-5,"00000"))</f>
        <v/>
      </c>
      <c r="C394" s="22">
        <f>IF('Brouillard ventes'!$F$136="","",YEAR('Brouillard ventes'!$A$136)*10000+MONTH('Brouillard ventes'!$A$136)*100+DAY('Brouillard ventes'!$A$136))</f>
        <v/>
      </c>
      <c r="D394" s="22">
        <f>IF('Brouillard ventes'!$F$136="","",'Brouillard ventes'!$B$136)</f>
        <v/>
      </c>
      <c r="E394" s="22">
        <f>IF('Brouillard ventes'!$F$136="","",LEFT('Brouillard ventes'!$D$136,30))</f>
        <v/>
      </c>
      <c r="F394" s="22" t="inlineStr">
        <is>
          <t>15001</t>
        </is>
      </c>
      <c r="G394" s="22">
        <f>IF('Brouillard ventes'!$F$136="","",Paramètres!$B$10)</f>
        <v/>
      </c>
      <c r="H394" s="22" t="inlineStr"/>
      <c r="I394" s="22" t="inlineStr"/>
      <c r="J394" s="22" t="inlineStr"/>
      <c r="K394" s="22">
        <f>IF('Brouillard ventes'!$F$136="","",Paramètres!$B$11)</f>
        <v/>
      </c>
      <c r="L394" s="23" t="n">
        <v>0</v>
      </c>
      <c r="M394" s="23">
        <f>IF('Brouillard ventes'!$F$136="","",'Brouillard ventes'!$H$136)</f>
        <v/>
      </c>
    </row>
    <row r="395">
      <c r="A395" s="22" t="inlineStr">
        <is>
          <t>1</t>
        </is>
      </c>
      <c r="B395" s="22">
        <f>IF('Brouillard ventes'!$F$137="","","VD"&amp;TEXT(ROW('Brouillard ventes'!$F$137)-5,"00000"))</f>
        <v/>
      </c>
      <c r="C395" s="22">
        <f>IF('Brouillard ventes'!$F$137="","",YEAR('Brouillard ventes'!$A$137)*10000+MONTH('Brouillard ventes'!$A$137)*100+DAY('Brouillard ventes'!$A$137))</f>
        <v/>
      </c>
      <c r="D395" s="22">
        <f>IF('Brouillard ventes'!$F$137="","",'Brouillard ventes'!$B$137)</f>
        <v/>
      </c>
      <c r="E395" s="22">
        <f>IF('Brouillard ventes'!$F$137="","",LEFT('Brouillard ventes'!$D$137,30))</f>
        <v/>
      </c>
      <c r="F395" s="22" t="inlineStr">
        <is>
          <t>15001</t>
        </is>
      </c>
      <c r="G395" s="22">
        <f>IF('Brouillard ventes'!$F$137="","",Paramètres!$B$7)</f>
        <v/>
      </c>
      <c r="H395" s="22">
        <f>IF('Brouillard ventes'!$F$137="","",IF('Brouillard ventes'!$C$137="","CD001",'Brouillard ventes'!$C$137))</f>
        <v/>
      </c>
      <c r="I395" s="22" t="inlineStr"/>
      <c r="J395" s="22" t="inlineStr"/>
      <c r="K395" s="22">
        <f>IF('Brouillard ventes'!$F$137="","",Paramètres!$B$11)</f>
        <v/>
      </c>
      <c r="L395" s="23">
        <f>IF('Brouillard ventes'!$F$137="","",'Brouillard ventes'!$I$137)</f>
        <v/>
      </c>
      <c r="M395" s="23" t="n">
        <v>0</v>
      </c>
    </row>
    <row r="396">
      <c r="A396" s="22" t="inlineStr">
        <is>
          <t>1</t>
        </is>
      </c>
      <c r="B396" s="22">
        <f>IF('Brouillard ventes'!$F$137="","","VD"&amp;TEXT(ROW('Brouillard ventes'!$F$137)-5,"00000"))</f>
        <v/>
      </c>
      <c r="C396" s="22">
        <f>IF('Brouillard ventes'!$F$137="","",YEAR('Brouillard ventes'!$A$137)*10000+MONTH('Brouillard ventes'!$A$137)*100+DAY('Brouillard ventes'!$A$137))</f>
        <v/>
      </c>
      <c r="D396" s="22">
        <f>IF('Brouillard ventes'!$F$137="","",'Brouillard ventes'!$B$137)</f>
        <v/>
      </c>
      <c r="E396" s="22">
        <f>IF('Brouillard ventes'!$F$137="","",LEFT('Brouillard ventes'!$D$137,30))</f>
        <v/>
      </c>
      <c r="F396" s="22" t="inlineStr">
        <is>
          <t>15001</t>
        </is>
      </c>
      <c r="G396" s="22">
        <f>IF('Brouillard ventes'!$F$137="","",IF('Brouillard ventes'!$E$137="Réparation",Paramètres!$B$9,Paramètres!$B$8))</f>
        <v/>
      </c>
      <c r="H396" s="22" t="inlineStr"/>
      <c r="I396" s="22" t="inlineStr"/>
      <c r="J396" s="22" t="inlineStr"/>
      <c r="K396" s="22">
        <f>IF('Brouillard ventes'!$F$137="","",Paramètres!$B$11)</f>
        <v/>
      </c>
      <c r="L396" s="23" t="n">
        <v>0</v>
      </c>
      <c r="M396" s="23">
        <f>IF('Brouillard ventes'!$F$137="","",'Brouillard ventes'!$F$137)</f>
        <v/>
      </c>
    </row>
    <row r="397">
      <c r="A397" s="22" t="inlineStr">
        <is>
          <t>1</t>
        </is>
      </c>
      <c r="B397" s="22">
        <f>IF('Brouillard ventes'!$F$137="","","VD"&amp;TEXT(ROW('Brouillard ventes'!$F$137)-5,"00000"))</f>
        <v/>
      </c>
      <c r="C397" s="22">
        <f>IF('Brouillard ventes'!$F$137="","",YEAR('Brouillard ventes'!$A$137)*10000+MONTH('Brouillard ventes'!$A$137)*100+DAY('Brouillard ventes'!$A$137))</f>
        <v/>
      </c>
      <c r="D397" s="22">
        <f>IF('Brouillard ventes'!$F$137="","",'Brouillard ventes'!$B$137)</f>
        <v/>
      </c>
      <c r="E397" s="22">
        <f>IF('Brouillard ventes'!$F$137="","",LEFT('Brouillard ventes'!$D$137,30))</f>
        <v/>
      </c>
      <c r="F397" s="22" t="inlineStr">
        <is>
          <t>15001</t>
        </is>
      </c>
      <c r="G397" s="22">
        <f>IF('Brouillard ventes'!$F$137="","",Paramètres!$B$10)</f>
        <v/>
      </c>
      <c r="H397" s="22" t="inlineStr"/>
      <c r="I397" s="22" t="inlineStr"/>
      <c r="J397" s="22" t="inlineStr"/>
      <c r="K397" s="22">
        <f>IF('Brouillard ventes'!$F$137="","",Paramètres!$B$11)</f>
        <v/>
      </c>
      <c r="L397" s="23" t="n">
        <v>0</v>
      </c>
      <c r="M397" s="23">
        <f>IF('Brouillard ventes'!$F$137="","",'Brouillard ventes'!$H$137)</f>
        <v/>
      </c>
    </row>
    <row r="398">
      <c r="A398" s="22" t="inlineStr">
        <is>
          <t>1</t>
        </is>
      </c>
      <c r="B398" s="22">
        <f>IF('Brouillard ventes'!$F$138="","","VD"&amp;TEXT(ROW('Brouillard ventes'!$F$138)-5,"00000"))</f>
        <v/>
      </c>
      <c r="C398" s="22">
        <f>IF('Brouillard ventes'!$F$138="","",YEAR('Brouillard ventes'!$A$138)*10000+MONTH('Brouillard ventes'!$A$138)*100+DAY('Brouillard ventes'!$A$138))</f>
        <v/>
      </c>
      <c r="D398" s="22">
        <f>IF('Brouillard ventes'!$F$138="","",'Brouillard ventes'!$B$138)</f>
        <v/>
      </c>
      <c r="E398" s="22">
        <f>IF('Brouillard ventes'!$F$138="","",LEFT('Brouillard ventes'!$D$138,30))</f>
        <v/>
      </c>
      <c r="F398" s="22" t="inlineStr">
        <is>
          <t>15001</t>
        </is>
      </c>
      <c r="G398" s="22">
        <f>IF('Brouillard ventes'!$F$138="","",Paramètres!$B$7)</f>
        <v/>
      </c>
      <c r="H398" s="22">
        <f>IF('Brouillard ventes'!$F$138="","",IF('Brouillard ventes'!$C$138="","CD001",'Brouillard ventes'!$C$138))</f>
        <v/>
      </c>
      <c r="I398" s="22" t="inlineStr"/>
      <c r="J398" s="22" t="inlineStr"/>
      <c r="K398" s="22">
        <f>IF('Brouillard ventes'!$F$138="","",Paramètres!$B$11)</f>
        <v/>
      </c>
      <c r="L398" s="23">
        <f>IF('Brouillard ventes'!$F$138="","",'Brouillard ventes'!$I$138)</f>
        <v/>
      </c>
      <c r="M398" s="23" t="n">
        <v>0</v>
      </c>
    </row>
    <row r="399">
      <c r="A399" s="22" t="inlineStr">
        <is>
          <t>1</t>
        </is>
      </c>
      <c r="B399" s="22">
        <f>IF('Brouillard ventes'!$F$138="","","VD"&amp;TEXT(ROW('Brouillard ventes'!$F$138)-5,"00000"))</f>
        <v/>
      </c>
      <c r="C399" s="22">
        <f>IF('Brouillard ventes'!$F$138="","",YEAR('Brouillard ventes'!$A$138)*10000+MONTH('Brouillard ventes'!$A$138)*100+DAY('Brouillard ventes'!$A$138))</f>
        <v/>
      </c>
      <c r="D399" s="22">
        <f>IF('Brouillard ventes'!$F$138="","",'Brouillard ventes'!$B$138)</f>
        <v/>
      </c>
      <c r="E399" s="22">
        <f>IF('Brouillard ventes'!$F$138="","",LEFT('Brouillard ventes'!$D$138,30))</f>
        <v/>
      </c>
      <c r="F399" s="22" t="inlineStr">
        <is>
          <t>15001</t>
        </is>
      </c>
      <c r="G399" s="22">
        <f>IF('Brouillard ventes'!$F$138="","",IF('Brouillard ventes'!$E$138="Réparation",Paramètres!$B$9,Paramètres!$B$8))</f>
        <v/>
      </c>
      <c r="H399" s="22" t="inlineStr"/>
      <c r="I399" s="22" t="inlineStr"/>
      <c r="J399" s="22" t="inlineStr"/>
      <c r="K399" s="22">
        <f>IF('Brouillard ventes'!$F$138="","",Paramètres!$B$11)</f>
        <v/>
      </c>
      <c r="L399" s="23" t="n">
        <v>0</v>
      </c>
      <c r="M399" s="23">
        <f>IF('Brouillard ventes'!$F$138="","",'Brouillard ventes'!$F$138)</f>
        <v/>
      </c>
    </row>
    <row r="400">
      <c r="A400" s="22" t="inlineStr">
        <is>
          <t>1</t>
        </is>
      </c>
      <c r="B400" s="22">
        <f>IF('Brouillard ventes'!$F$138="","","VD"&amp;TEXT(ROW('Brouillard ventes'!$F$138)-5,"00000"))</f>
        <v/>
      </c>
      <c r="C400" s="22">
        <f>IF('Brouillard ventes'!$F$138="","",YEAR('Brouillard ventes'!$A$138)*10000+MONTH('Brouillard ventes'!$A$138)*100+DAY('Brouillard ventes'!$A$138))</f>
        <v/>
      </c>
      <c r="D400" s="22">
        <f>IF('Brouillard ventes'!$F$138="","",'Brouillard ventes'!$B$138)</f>
        <v/>
      </c>
      <c r="E400" s="22">
        <f>IF('Brouillard ventes'!$F$138="","",LEFT('Brouillard ventes'!$D$138,30))</f>
        <v/>
      </c>
      <c r="F400" s="22" t="inlineStr">
        <is>
          <t>15001</t>
        </is>
      </c>
      <c r="G400" s="22">
        <f>IF('Brouillard ventes'!$F$138="","",Paramètres!$B$10)</f>
        <v/>
      </c>
      <c r="H400" s="22" t="inlineStr"/>
      <c r="I400" s="22" t="inlineStr"/>
      <c r="J400" s="22" t="inlineStr"/>
      <c r="K400" s="22">
        <f>IF('Brouillard ventes'!$F$138="","",Paramètres!$B$11)</f>
        <v/>
      </c>
      <c r="L400" s="23" t="n">
        <v>0</v>
      </c>
      <c r="M400" s="23">
        <f>IF('Brouillard ventes'!$F$138="","",'Brouillard ventes'!$H$138)</f>
        <v/>
      </c>
    </row>
    <row r="401">
      <c r="A401" s="22" t="inlineStr">
        <is>
          <t>1</t>
        </is>
      </c>
      <c r="B401" s="22">
        <f>IF('Brouillard ventes'!$F$139="","","VD"&amp;TEXT(ROW('Brouillard ventes'!$F$139)-5,"00000"))</f>
        <v/>
      </c>
      <c r="C401" s="22">
        <f>IF('Brouillard ventes'!$F$139="","",YEAR('Brouillard ventes'!$A$139)*10000+MONTH('Brouillard ventes'!$A$139)*100+DAY('Brouillard ventes'!$A$139))</f>
        <v/>
      </c>
      <c r="D401" s="22">
        <f>IF('Brouillard ventes'!$F$139="","",'Brouillard ventes'!$B$139)</f>
        <v/>
      </c>
      <c r="E401" s="22">
        <f>IF('Brouillard ventes'!$F$139="","",LEFT('Brouillard ventes'!$D$139,30))</f>
        <v/>
      </c>
      <c r="F401" s="22" t="inlineStr">
        <is>
          <t>15001</t>
        </is>
      </c>
      <c r="G401" s="22">
        <f>IF('Brouillard ventes'!$F$139="","",Paramètres!$B$7)</f>
        <v/>
      </c>
      <c r="H401" s="22">
        <f>IF('Brouillard ventes'!$F$139="","",IF('Brouillard ventes'!$C$139="","CD001",'Brouillard ventes'!$C$139))</f>
        <v/>
      </c>
      <c r="I401" s="22" t="inlineStr"/>
      <c r="J401" s="22" t="inlineStr"/>
      <c r="K401" s="22">
        <f>IF('Brouillard ventes'!$F$139="","",Paramètres!$B$11)</f>
        <v/>
      </c>
      <c r="L401" s="23">
        <f>IF('Brouillard ventes'!$F$139="","",'Brouillard ventes'!$I$139)</f>
        <v/>
      </c>
      <c r="M401" s="23" t="n">
        <v>0</v>
      </c>
    </row>
    <row r="402">
      <c r="A402" s="22" t="inlineStr">
        <is>
          <t>1</t>
        </is>
      </c>
      <c r="B402" s="22">
        <f>IF('Brouillard ventes'!$F$139="","","VD"&amp;TEXT(ROW('Brouillard ventes'!$F$139)-5,"00000"))</f>
        <v/>
      </c>
      <c r="C402" s="22">
        <f>IF('Brouillard ventes'!$F$139="","",YEAR('Brouillard ventes'!$A$139)*10000+MONTH('Brouillard ventes'!$A$139)*100+DAY('Brouillard ventes'!$A$139))</f>
        <v/>
      </c>
      <c r="D402" s="22">
        <f>IF('Brouillard ventes'!$F$139="","",'Brouillard ventes'!$B$139)</f>
        <v/>
      </c>
      <c r="E402" s="22">
        <f>IF('Brouillard ventes'!$F$139="","",LEFT('Brouillard ventes'!$D$139,30))</f>
        <v/>
      </c>
      <c r="F402" s="22" t="inlineStr">
        <is>
          <t>15001</t>
        </is>
      </c>
      <c r="G402" s="22">
        <f>IF('Brouillard ventes'!$F$139="","",IF('Brouillard ventes'!$E$139="Réparation",Paramètres!$B$9,Paramètres!$B$8))</f>
        <v/>
      </c>
      <c r="H402" s="22" t="inlineStr"/>
      <c r="I402" s="22" t="inlineStr"/>
      <c r="J402" s="22" t="inlineStr"/>
      <c r="K402" s="22">
        <f>IF('Brouillard ventes'!$F$139="","",Paramètres!$B$11)</f>
        <v/>
      </c>
      <c r="L402" s="23" t="n">
        <v>0</v>
      </c>
      <c r="M402" s="23">
        <f>IF('Brouillard ventes'!$F$139="","",'Brouillard ventes'!$F$139)</f>
        <v/>
      </c>
    </row>
    <row r="403">
      <c r="A403" s="22" t="inlineStr">
        <is>
          <t>1</t>
        </is>
      </c>
      <c r="B403" s="22">
        <f>IF('Brouillard ventes'!$F$139="","","VD"&amp;TEXT(ROW('Brouillard ventes'!$F$139)-5,"00000"))</f>
        <v/>
      </c>
      <c r="C403" s="22">
        <f>IF('Brouillard ventes'!$F$139="","",YEAR('Brouillard ventes'!$A$139)*10000+MONTH('Brouillard ventes'!$A$139)*100+DAY('Brouillard ventes'!$A$139))</f>
        <v/>
      </c>
      <c r="D403" s="22">
        <f>IF('Brouillard ventes'!$F$139="","",'Brouillard ventes'!$B$139)</f>
        <v/>
      </c>
      <c r="E403" s="22">
        <f>IF('Brouillard ventes'!$F$139="","",LEFT('Brouillard ventes'!$D$139,30))</f>
        <v/>
      </c>
      <c r="F403" s="22" t="inlineStr">
        <is>
          <t>15001</t>
        </is>
      </c>
      <c r="G403" s="22">
        <f>IF('Brouillard ventes'!$F$139="","",Paramètres!$B$10)</f>
        <v/>
      </c>
      <c r="H403" s="22" t="inlineStr"/>
      <c r="I403" s="22" t="inlineStr"/>
      <c r="J403" s="22" t="inlineStr"/>
      <c r="K403" s="22">
        <f>IF('Brouillard ventes'!$F$139="","",Paramètres!$B$11)</f>
        <v/>
      </c>
      <c r="L403" s="23" t="n">
        <v>0</v>
      </c>
      <c r="M403" s="23">
        <f>IF('Brouillard ventes'!$F$139="","",'Brouillard ventes'!$H$139)</f>
        <v/>
      </c>
    </row>
    <row r="404">
      <c r="A404" s="22" t="inlineStr">
        <is>
          <t>1</t>
        </is>
      </c>
      <c r="B404" s="22">
        <f>IF('Brouillard ventes'!$F$140="","","VD"&amp;TEXT(ROW('Brouillard ventes'!$F$140)-5,"00000"))</f>
        <v/>
      </c>
      <c r="C404" s="22">
        <f>IF('Brouillard ventes'!$F$140="","",YEAR('Brouillard ventes'!$A$140)*10000+MONTH('Brouillard ventes'!$A$140)*100+DAY('Brouillard ventes'!$A$140))</f>
        <v/>
      </c>
      <c r="D404" s="22">
        <f>IF('Brouillard ventes'!$F$140="","",'Brouillard ventes'!$B$140)</f>
        <v/>
      </c>
      <c r="E404" s="22">
        <f>IF('Brouillard ventes'!$F$140="","",LEFT('Brouillard ventes'!$D$140,30))</f>
        <v/>
      </c>
      <c r="F404" s="22" t="inlineStr">
        <is>
          <t>15001</t>
        </is>
      </c>
      <c r="G404" s="22">
        <f>IF('Brouillard ventes'!$F$140="","",Paramètres!$B$7)</f>
        <v/>
      </c>
      <c r="H404" s="22">
        <f>IF('Brouillard ventes'!$F$140="","",IF('Brouillard ventes'!$C$140="","CD001",'Brouillard ventes'!$C$140))</f>
        <v/>
      </c>
      <c r="I404" s="22" t="inlineStr"/>
      <c r="J404" s="22" t="inlineStr"/>
      <c r="K404" s="22">
        <f>IF('Brouillard ventes'!$F$140="","",Paramètres!$B$11)</f>
        <v/>
      </c>
      <c r="L404" s="23">
        <f>IF('Brouillard ventes'!$F$140="","",'Brouillard ventes'!$I$140)</f>
        <v/>
      </c>
      <c r="M404" s="23" t="n">
        <v>0</v>
      </c>
    </row>
    <row r="405">
      <c r="A405" s="22" t="inlineStr">
        <is>
          <t>1</t>
        </is>
      </c>
      <c r="B405" s="22">
        <f>IF('Brouillard ventes'!$F$140="","","VD"&amp;TEXT(ROW('Brouillard ventes'!$F$140)-5,"00000"))</f>
        <v/>
      </c>
      <c r="C405" s="22">
        <f>IF('Brouillard ventes'!$F$140="","",YEAR('Brouillard ventes'!$A$140)*10000+MONTH('Brouillard ventes'!$A$140)*100+DAY('Brouillard ventes'!$A$140))</f>
        <v/>
      </c>
      <c r="D405" s="22">
        <f>IF('Brouillard ventes'!$F$140="","",'Brouillard ventes'!$B$140)</f>
        <v/>
      </c>
      <c r="E405" s="22">
        <f>IF('Brouillard ventes'!$F$140="","",LEFT('Brouillard ventes'!$D$140,30))</f>
        <v/>
      </c>
      <c r="F405" s="22" t="inlineStr">
        <is>
          <t>15001</t>
        </is>
      </c>
      <c r="G405" s="22">
        <f>IF('Brouillard ventes'!$F$140="","",IF('Brouillard ventes'!$E$140="Réparation",Paramètres!$B$9,Paramètres!$B$8))</f>
        <v/>
      </c>
      <c r="H405" s="22" t="inlineStr"/>
      <c r="I405" s="22" t="inlineStr"/>
      <c r="J405" s="22" t="inlineStr"/>
      <c r="K405" s="22">
        <f>IF('Brouillard ventes'!$F$140="","",Paramètres!$B$11)</f>
        <v/>
      </c>
      <c r="L405" s="23" t="n">
        <v>0</v>
      </c>
      <c r="M405" s="23">
        <f>IF('Brouillard ventes'!$F$140="","",'Brouillard ventes'!$F$140)</f>
        <v/>
      </c>
    </row>
    <row r="406">
      <c r="A406" s="22" t="inlineStr">
        <is>
          <t>1</t>
        </is>
      </c>
      <c r="B406" s="22">
        <f>IF('Brouillard ventes'!$F$140="","","VD"&amp;TEXT(ROW('Brouillard ventes'!$F$140)-5,"00000"))</f>
        <v/>
      </c>
      <c r="C406" s="22">
        <f>IF('Brouillard ventes'!$F$140="","",YEAR('Brouillard ventes'!$A$140)*10000+MONTH('Brouillard ventes'!$A$140)*100+DAY('Brouillard ventes'!$A$140))</f>
        <v/>
      </c>
      <c r="D406" s="22">
        <f>IF('Brouillard ventes'!$F$140="","",'Brouillard ventes'!$B$140)</f>
        <v/>
      </c>
      <c r="E406" s="22">
        <f>IF('Brouillard ventes'!$F$140="","",LEFT('Brouillard ventes'!$D$140,30))</f>
        <v/>
      </c>
      <c r="F406" s="22" t="inlineStr">
        <is>
          <t>15001</t>
        </is>
      </c>
      <c r="G406" s="22">
        <f>IF('Brouillard ventes'!$F$140="","",Paramètres!$B$10)</f>
        <v/>
      </c>
      <c r="H406" s="22" t="inlineStr"/>
      <c r="I406" s="22" t="inlineStr"/>
      <c r="J406" s="22" t="inlineStr"/>
      <c r="K406" s="22">
        <f>IF('Brouillard ventes'!$F$140="","",Paramètres!$B$11)</f>
        <v/>
      </c>
      <c r="L406" s="23" t="n">
        <v>0</v>
      </c>
      <c r="M406" s="23">
        <f>IF('Brouillard ventes'!$F$140="","",'Brouillard ventes'!$H$140)</f>
        <v/>
      </c>
    </row>
    <row r="407">
      <c r="A407" s="22" t="inlineStr">
        <is>
          <t>1</t>
        </is>
      </c>
      <c r="B407" s="22">
        <f>IF('Brouillard ventes'!$F$141="","","VD"&amp;TEXT(ROW('Brouillard ventes'!$F$141)-5,"00000"))</f>
        <v/>
      </c>
      <c r="C407" s="22">
        <f>IF('Brouillard ventes'!$F$141="","",YEAR('Brouillard ventes'!$A$141)*10000+MONTH('Brouillard ventes'!$A$141)*100+DAY('Brouillard ventes'!$A$141))</f>
        <v/>
      </c>
      <c r="D407" s="22">
        <f>IF('Brouillard ventes'!$F$141="","",'Brouillard ventes'!$B$141)</f>
        <v/>
      </c>
      <c r="E407" s="22">
        <f>IF('Brouillard ventes'!$F$141="","",LEFT('Brouillard ventes'!$D$141,30))</f>
        <v/>
      </c>
      <c r="F407" s="22" t="inlineStr">
        <is>
          <t>15001</t>
        </is>
      </c>
      <c r="G407" s="22">
        <f>IF('Brouillard ventes'!$F$141="","",Paramètres!$B$7)</f>
        <v/>
      </c>
      <c r="H407" s="22">
        <f>IF('Brouillard ventes'!$F$141="","",IF('Brouillard ventes'!$C$141="","CD001",'Brouillard ventes'!$C$141))</f>
        <v/>
      </c>
      <c r="I407" s="22" t="inlineStr"/>
      <c r="J407" s="22" t="inlineStr"/>
      <c r="K407" s="22">
        <f>IF('Brouillard ventes'!$F$141="","",Paramètres!$B$11)</f>
        <v/>
      </c>
      <c r="L407" s="23">
        <f>IF('Brouillard ventes'!$F$141="","",'Brouillard ventes'!$I$141)</f>
        <v/>
      </c>
      <c r="M407" s="23" t="n">
        <v>0</v>
      </c>
    </row>
    <row r="408">
      <c r="A408" s="22" t="inlineStr">
        <is>
          <t>1</t>
        </is>
      </c>
      <c r="B408" s="22">
        <f>IF('Brouillard ventes'!$F$141="","","VD"&amp;TEXT(ROW('Brouillard ventes'!$F$141)-5,"00000"))</f>
        <v/>
      </c>
      <c r="C408" s="22">
        <f>IF('Brouillard ventes'!$F$141="","",YEAR('Brouillard ventes'!$A$141)*10000+MONTH('Brouillard ventes'!$A$141)*100+DAY('Brouillard ventes'!$A$141))</f>
        <v/>
      </c>
      <c r="D408" s="22">
        <f>IF('Brouillard ventes'!$F$141="","",'Brouillard ventes'!$B$141)</f>
        <v/>
      </c>
      <c r="E408" s="22">
        <f>IF('Brouillard ventes'!$F$141="","",LEFT('Brouillard ventes'!$D$141,30))</f>
        <v/>
      </c>
      <c r="F408" s="22" t="inlineStr">
        <is>
          <t>15001</t>
        </is>
      </c>
      <c r="G408" s="22">
        <f>IF('Brouillard ventes'!$F$141="","",IF('Brouillard ventes'!$E$141="Réparation",Paramètres!$B$9,Paramètres!$B$8))</f>
        <v/>
      </c>
      <c r="H408" s="22" t="inlineStr"/>
      <c r="I408" s="22" t="inlineStr"/>
      <c r="J408" s="22" t="inlineStr"/>
      <c r="K408" s="22">
        <f>IF('Brouillard ventes'!$F$141="","",Paramètres!$B$11)</f>
        <v/>
      </c>
      <c r="L408" s="23" t="n">
        <v>0</v>
      </c>
      <c r="M408" s="23">
        <f>IF('Brouillard ventes'!$F$141="","",'Brouillard ventes'!$F$141)</f>
        <v/>
      </c>
    </row>
    <row r="409">
      <c r="A409" s="22" t="inlineStr">
        <is>
          <t>1</t>
        </is>
      </c>
      <c r="B409" s="22">
        <f>IF('Brouillard ventes'!$F$141="","","VD"&amp;TEXT(ROW('Brouillard ventes'!$F$141)-5,"00000"))</f>
        <v/>
      </c>
      <c r="C409" s="22">
        <f>IF('Brouillard ventes'!$F$141="","",YEAR('Brouillard ventes'!$A$141)*10000+MONTH('Brouillard ventes'!$A$141)*100+DAY('Brouillard ventes'!$A$141))</f>
        <v/>
      </c>
      <c r="D409" s="22">
        <f>IF('Brouillard ventes'!$F$141="","",'Brouillard ventes'!$B$141)</f>
        <v/>
      </c>
      <c r="E409" s="22">
        <f>IF('Brouillard ventes'!$F$141="","",LEFT('Brouillard ventes'!$D$141,30))</f>
        <v/>
      </c>
      <c r="F409" s="22" t="inlineStr">
        <is>
          <t>15001</t>
        </is>
      </c>
      <c r="G409" s="22">
        <f>IF('Brouillard ventes'!$F$141="","",Paramètres!$B$10)</f>
        <v/>
      </c>
      <c r="H409" s="22" t="inlineStr"/>
      <c r="I409" s="22" t="inlineStr"/>
      <c r="J409" s="22" t="inlineStr"/>
      <c r="K409" s="22">
        <f>IF('Brouillard ventes'!$F$141="","",Paramètres!$B$11)</f>
        <v/>
      </c>
      <c r="L409" s="23" t="n">
        <v>0</v>
      </c>
      <c r="M409" s="23">
        <f>IF('Brouillard ventes'!$F$141="","",'Brouillard ventes'!$H$141)</f>
        <v/>
      </c>
    </row>
    <row r="410">
      <c r="A410" s="22" t="inlineStr">
        <is>
          <t>1</t>
        </is>
      </c>
      <c r="B410" s="22">
        <f>IF('Brouillard ventes'!$F$142="","","VD"&amp;TEXT(ROW('Brouillard ventes'!$F$142)-5,"00000"))</f>
        <v/>
      </c>
      <c r="C410" s="22">
        <f>IF('Brouillard ventes'!$F$142="","",YEAR('Brouillard ventes'!$A$142)*10000+MONTH('Brouillard ventes'!$A$142)*100+DAY('Brouillard ventes'!$A$142))</f>
        <v/>
      </c>
      <c r="D410" s="22">
        <f>IF('Brouillard ventes'!$F$142="","",'Brouillard ventes'!$B$142)</f>
        <v/>
      </c>
      <c r="E410" s="22">
        <f>IF('Brouillard ventes'!$F$142="","",LEFT('Brouillard ventes'!$D$142,30))</f>
        <v/>
      </c>
      <c r="F410" s="22" t="inlineStr">
        <is>
          <t>15001</t>
        </is>
      </c>
      <c r="G410" s="22">
        <f>IF('Brouillard ventes'!$F$142="","",Paramètres!$B$7)</f>
        <v/>
      </c>
      <c r="H410" s="22">
        <f>IF('Brouillard ventes'!$F$142="","",IF('Brouillard ventes'!$C$142="","CD001",'Brouillard ventes'!$C$142))</f>
        <v/>
      </c>
      <c r="I410" s="22" t="inlineStr"/>
      <c r="J410" s="22" t="inlineStr"/>
      <c r="K410" s="22">
        <f>IF('Brouillard ventes'!$F$142="","",Paramètres!$B$11)</f>
        <v/>
      </c>
      <c r="L410" s="23">
        <f>IF('Brouillard ventes'!$F$142="","",'Brouillard ventes'!$I$142)</f>
        <v/>
      </c>
      <c r="M410" s="23" t="n">
        <v>0</v>
      </c>
    </row>
    <row r="411">
      <c r="A411" s="22" t="inlineStr">
        <is>
          <t>1</t>
        </is>
      </c>
      <c r="B411" s="22">
        <f>IF('Brouillard ventes'!$F$142="","","VD"&amp;TEXT(ROW('Brouillard ventes'!$F$142)-5,"00000"))</f>
        <v/>
      </c>
      <c r="C411" s="22">
        <f>IF('Brouillard ventes'!$F$142="","",YEAR('Brouillard ventes'!$A$142)*10000+MONTH('Brouillard ventes'!$A$142)*100+DAY('Brouillard ventes'!$A$142))</f>
        <v/>
      </c>
      <c r="D411" s="22">
        <f>IF('Brouillard ventes'!$F$142="","",'Brouillard ventes'!$B$142)</f>
        <v/>
      </c>
      <c r="E411" s="22">
        <f>IF('Brouillard ventes'!$F$142="","",LEFT('Brouillard ventes'!$D$142,30))</f>
        <v/>
      </c>
      <c r="F411" s="22" t="inlineStr">
        <is>
          <t>15001</t>
        </is>
      </c>
      <c r="G411" s="22">
        <f>IF('Brouillard ventes'!$F$142="","",IF('Brouillard ventes'!$E$142="Réparation",Paramètres!$B$9,Paramètres!$B$8))</f>
        <v/>
      </c>
      <c r="H411" s="22" t="inlineStr"/>
      <c r="I411" s="22" t="inlineStr"/>
      <c r="J411" s="22" t="inlineStr"/>
      <c r="K411" s="22">
        <f>IF('Brouillard ventes'!$F$142="","",Paramètres!$B$11)</f>
        <v/>
      </c>
      <c r="L411" s="23" t="n">
        <v>0</v>
      </c>
      <c r="M411" s="23">
        <f>IF('Brouillard ventes'!$F$142="","",'Brouillard ventes'!$F$142)</f>
        <v/>
      </c>
    </row>
    <row r="412">
      <c r="A412" s="22" t="inlineStr">
        <is>
          <t>1</t>
        </is>
      </c>
      <c r="B412" s="22">
        <f>IF('Brouillard ventes'!$F$142="","","VD"&amp;TEXT(ROW('Brouillard ventes'!$F$142)-5,"00000"))</f>
        <v/>
      </c>
      <c r="C412" s="22">
        <f>IF('Brouillard ventes'!$F$142="","",YEAR('Brouillard ventes'!$A$142)*10000+MONTH('Brouillard ventes'!$A$142)*100+DAY('Brouillard ventes'!$A$142))</f>
        <v/>
      </c>
      <c r="D412" s="22">
        <f>IF('Brouillard ventes'!$F$142="","",'Brouillard ventes'!$B$142)</f>
        <v/>
      </c>
      <c r="E412" s="22">
        <f>IF('Brouillard ventes'!$F$142="","",LEFT('Brouillard ventes'!$D$142,30))</f>
        <v/>
      </c>
      <c r="F412" s="22" t="inlineStr">
        <is>
          <t>15001</t>
        </is>
      </c>
      <c r="G412" s="22">
        <f>IF('Brouillard ventes'!$F$142="","",Paramètres!$B$10)</f>
        <v/>
      </c>
      <c r="H412" s="22" t="inlineStr"/>
      <c r="I412" s="22" t="inlineStr"/>
      <c r="J412" s="22" t="inlineStr"/>
      <c r="K412" s="22">
        <f>IF('Brouillard ventes'!$F$142="","",Paramètres!$B$11)</f>
        <v/>
      </c>
      <c r="L412" s="23" t="n">
        <v>0</v>
      </c>
      <c r="M412" s="23">
        <f>IF('Brouillard ventes'!$F$142="","",'Brouillard ventes'!$H$142)</f>
        <v/>
      </c>
    </row>
    <row r="413">
      <c r="A413" s="22" t="inlineStr">
        <is>
          <t>1</t>
        </is>
      </c>
      <c r="B413" s="22">
        <f>IF('Brouillard ventes'!$F$143="","","VD"&amp;TEXT(ROW('Brouillard ventes'!$F$143)-5,"00000"))</f>
        <v/>
      </c>
      <c r="C413" s="22">
        <f>IF('Brouillard ventes'!$F$143="","",YEAR('Brouillard ventes'!$A$143)*10000+MONTH('Brouillard ventes'!$A$143)*100+DAY('Brouillard ventes'!$A$143))</f>
        <v/>
      </c>
      <c r="D413" s="22">
        <f>IF('Brouillard ventes'!$F$143="","",'Brouillard ventes'!$B$143)</f>
        <v/>
      </c>
      <c r="E413" s="22">
        <f>IF('Brouillard ventes'!$F$143="","",LEFT('Brouillard ventes'!$D$143,30))</f>
        <v/>
      </c>
      <c r="F413" s="22" t="inlineStr">
        <is>
          <t>15001</t>
        </is>
      </c>
      <c r="G413" s="22">
        <f>IF('Brouillard ventes'!$F$143="","",Paramètres!$B$7)</f>
        <v/>
      </c>
      <c r="H413" s="22">
        <f>IF('Brouillard ventes'!$F$143="","",IF('Brouillard ventes'!$C$143="","CD001",'Brouillard ventes'!$C$143))</f>
        <v/>
      </c>
      <c r="I413" s="22" t="inlineStr"/>
      <c r="J413" s="22" t="inlineStr"/>
      <c r="K413" s="22">
        <f>IF('Brouillard ventes'!$F$143="","",Paramètres!$B$11)</f>
        <v/>
      </c>
      <c r="L413" s="23">
        <f>IF('Brouillard ventes'!$F$143="","",'Brouillard ventes'!$I$143)</f>
        <v/>
      </c>
      <c r="M413" s="23" t="n">
        <v>0</v>
      </c>
    </row>
    <row r="414">
      <c r="A414" s="22" t="inlineStr">
        <is>
          <t>1</t>
        </is>
      </c>
      <c r="B414" s="22">
        <f>IF('Brouillard ventes'!$F$143="","","VD"&amp;TEXT(ROW('Brouillard ventes'!$F$143)-5,"00000"))</f>
        <v/>
      </c>
      <c r="C414" s="22">
        <f>IF('Brouillard ventes'!$F$143="","",YEAR('Brouillard ventes'!$A$143)*10000+MONTH('Brouillard ventes'!$A$143)*100+DAY('Brouillard ventes'!$A$143))</f>
        <v/>
      </c>
      <c r="D414" s="22">
        <f>IF('Brouillard ventes'!$F$143="","",'Brouillard ventes'!$B$143)</f>
        <v/>
      </c>
      <c r="E414" s="22">
        <f>IF('Brouillard ventes'!$F$143="","",LEFT('Brouillard ventes'!$D$143,30))</f>
        <v/>
      </c>
      <c r="F414" s="22" t="inlineStr">
        <is>
          <t>15001</t>
        </is>
      </c>
      <c r="G414" s="22">
        <f>IF('Brouillard ventes'!$F$143="","",IF('Brouillard ventes'!$E$143="Réparation",Paramètres!$B$9,Paramètres!$B$8))</f>
        <v/>
      </c>
      <c r="H414" s="22" t="inlineStr"/>
      <c r="I414" s="22" t="inlineStr"/>
      <c r="J414" s="22" t="inlineStr"/>
      <c r="K414" s="22">
        <f>IF('Brouillard ventes'!$F$143="","",Paramètres!$B$11)</f>
        <v/>
      </c>
      <c r="L414" s="23" t="n">
        <v>0</v>
      </c>
      <c r="M414" s="23">
        <f>IF('Brouillard ventes'!$F$143="","",'Brouillard ventes'!$F$143)</f>
        <v/>
      </c>
    </row>
    <row r="415">
      <c r="A415" s="22" t="inlineStr">
        <is>
          <t>1</t>
        </is>
      </c>
      <c r="B415" s="22">
        <f>IF('Brouillard ventes'!$F$143="","","VD"&amp;TEXT(ROW('Brouillard ventes'!$F$143)-5,"00000"))</f>
        <v/>
      </c>
      <c r="C415" s="22">
        <f>IF('Brouillard ventes'!$F$143="","",YEAR('Brouillard ventes'!$A$143)*10000+MONTH('Brouillard ventes'!$A$143)*100+DAY('Brouillard ventes'!$A$143))</f>
        <v/>
      </c>
      <c r="D415" s="22">
        <f>IF('Brouillard ventes'!$F$143="","",'Brouillard ventes'!$B$143)</f>
        <v/>
      </c>
      <c r="E415" s="22">
        <f>IF('Brouillard ventes'!$F$143="","",LEFT('Brouillard ventes'!$D$143,30))</f>
        <v/>
      </c>
      <c r="F415" s="22" t="inlineStr">
        <is>
          <t>15001</t>
        </is>
      </c>
      <c r="G415" s="22">
        <f>IF('Brouillard ventes'!$F$143="","",Paramètres!$B$10)</f>
        <v/>
      </c>
      <c r="H415" s="22" t="inlineStr"/>
      <c r="I415" s="22" t="inlineStr"/>
      <c r="J415" s="22" t="inlineStr"/>
      <c r="K415" s="22">
        <f>IF('Brouillard ventes'!$F$143="","",Paramètres!$B$11)</f>
        <v/>
      </c>
      <c r="L415" s="23" t="n">
        <v>0</v>
      </c>
      <c r="M415" s="23">
        <f>IF('Brouillard ventes'!$F$143="","",'Brouillard ventes'!$H$143)</f>
        <v/>
      </c>
    </row>
    <row r="416">
      <c r="A416" s="22" t="inlineStr">
        <is>
          <t>1</t>
        </is>
      </c>
      <c r="B416" s="22">
        <f>IF('Brouillard ventes'!$F$144="","","VD"&amp;TEXT(ROW('Brouillard ventes'!$F$144)-5,"00000"))</f>
        <v/>
      </c>
      <c r="C416" s="22">
        <f>IF('Brouillard ventes'!$F$144="","",YEAR('Brouillard ventes'!$A$144)*10000+MONTH('Brouillard ventes'!$A$144)*100+DAY('Brouillard ventes'!$A$144))</f>
        <v/>
      </c>
      <c r="D416" s="22">
        <f>IF('Brouillard ventes'!$F$144="","",'Brouillard ventes'!$B$144)</f>
        <v/>
      </c>
      <c r="E416" s="22">
        <f>IF('Brouillard ventes'!$F$144="","",LEFT('Brouillard ventes'!$D$144,30))</f>
        <v/>
      </c>
      <c r="F416" s="22" t="inlineStr">
        <is>
          <t>15001</t>
        </is>
      </c>
      <c r="G416" s="22">
        <f>IF('Brouillard ventes'!$F$144="","",Paramètres!$B$7)</f>
        <v/>
      </c>
      <c r="H416" s="22">
        <f>IF('Brouillard ventes'!$F$144="","",IF('Brouillard ventes'!$C$144="","CD001",'Brouillard ventes'!$C$144))</f>
        <v/>
      </c>
      <c r="I416" s="22" t="inlineStr"/>
      <c r="J416" s="22" t="inlineStr"/>
      <c r="K416" s="22">
        <f>IF('Brouillard ventes'!$F$144="","",Paramètres!$B$11)</f>
        <v/>
      </c>
      <c r="L416" s="23">
        <f>IF('Brouillard ventes'!$F$144="","",'Brouillard ventes'!$I$144)</f>
        <v/>
      </c>
      <c r="M416" s="23" t="n">
        <v>0</v>
      </c>
    </row>
    <row r="417">
      <c r="A417" s="22" t="inlineStr">
        <is>
          <t>1</t>
        </is>
      </c>
      <c r="B417" s="22">
        <f>IF('Brouillard ventes'!$F$144="","","VD"&amp;TEXT(ROW('Brouillard ventes'!$F$144)-5,"00000"))</f>
        <v/>
      </c>
      <c r="C417" s="22">
        <f>IF('Brouillard ventes'!$F$144="","",YEAR('Brouillard ventes'!$A$144)*10000+MONTH('Brouillard ventes'!$A$144)*100+DAY('Brouillard ventes'!$A$144))</f>
        <v/>
      </c>
      <c r="D417" s="22">
        <f>IF('Brouillard ventes'!$F$144="","",'Brouillard ventes'!$B$144)</f>
        <v/>
      </c>
      <c r="E417" s="22">
        <f>IF('Brouillard ventes'!$F$144="","",LEFT('Brouillard ventes'!$D$144,30))</f>
        <v/>
      </c>
      <c r="F417" s="22" t="inlineStr">
        <is>
          <t>15001</t>
        </is>
      </c>
      <c r="G417" s="22">
        <f>IF('Brouillard ventes'!$F$144="","",IF('Brouillard ventes'!$E$144="Réparation",Paramètres!$B$9,Paramètres!$B$8))</f>
        <v/>
      </c>
      <c r="H417" s="22" t="inlineStr"/>
      <c r="I417" s="22" t="inlineStr"/>
      <c r="J417" s="22" t="inlineStr"/>
      <c r="K417" s="22">
        <f>IF('Brouillard ventes'!$F$144="","",Paramètres!$B$11)</f>
        <v/>
      </c>
      <c r="L417" s="23" t="n">
        <v>0</v>
      </c>
      <c r="M417" s="23">
        <f>IF('Brouillard ventes'!$F$144="","",'Brouillard ventes'!$F$144)</f>
        <v/>
      </c>
    </row>
    <row r="418">
      <c r="A418" s="22" t="inlineStr">
        <is>
          <t>1</t>
        </is>
      </c>
      <c r="B418" s="22">
        <f>IF('Brouillard ventes'!$F$144="","","VD"&amp;TEXT(ROW('Brouillard ventes'!$F$144)-5,"00000"))</f>
        <v/>
      </c>
      <c r="C418" s="22">
        <f>IF('Brouillard ventes'!$F$144="","",YEAR('Brouillard ventes'!$A$144)*10000+MONTH('Brouillard ventes'!$A$144)*100+DAY('Brouillard ventes'!$A$144))</f>
        <v/>
      </c>
      <c r="D418" s="22">
        <f>IF('Brouillard ventes'!$F$144="","",'Brouillard ventes'!$B$144)</f>
        <v/>
      </c>
      <c r="E418" s="22">
        <f>IF('Brouillard ventes'!$F$144="","",LEFT('Brouillard ventes'!$D$144,30))</f>
        <v/>
      </c>
      <c r="F418" s="22" t="inlineStr">
        <is>
          <t>15001</t>
        </is>
      </c>
      <c r="G418" s="22">
        <f>IF('Brouillard ventes'!$F$144="","",Paramètres!$B$10)</f>
        <v/>
      </c>
      <c r="H418" s="22" t="inlineStr"/>
      <c r="I418" s="22" t="inlineStr"/>
      <c r="J418" s="22" t="inlineStr"/>
      <c r="K418" s="22">
        <f>IF('Brouillard ventes'!$F$144="","",Paramètres!$B$11)</f>
        <v/>
      </c>
      <c r="L418" s="23" t="n">
        <v>0</v>
      </c>
      <c r="M418" s="23">
        <f>IF('Brouillard ventes'!$F$144="","",'Brouillard ventes'!$H$144)</f>
        <v/>
      </c>
    </row>
    <row r="419">
      <c r="A419" s="22" t="inlineStr">
        <is>
          <t>1</t>
        </is>
      </c>
      <c r="B419" s="22">
        <f>IF('Brouillard ventes'!$F$145="","","VD"&amp;TEXT(ROW('Brouillard ventes'!$F$145)-5,"00000"))</f>
        <v/>
      </c>
      <c r="C419" s="22">
        <f>IF('Brouillard ventes'!$F$145="","",YEAR('Brouillard ventes'!$A$145)*10000+MONTH('Brouillard ventes'!$A$145)*100+DAY('Brouillard ventes'!$A$145))</f>
        <v/>
      </c>
      <c r="D419" s="22">
        <f>IF('Brouillard ventes'!$F$145="","",'Brouillard ventes'!$B$145)</f>
        <v/>
      </c>
      <c r="E419" s="22">
        <f>IF('Brouillard ventes'!$F$145="","",LEFT('Brouillard ventes'!$D$145,30))</f>
        <v/>
      </c>
      <c r="F419" s="22" t="inlineStr">
        <is>
          <t>15001</t>
        </is>
      </c>
      <c r="G419" s="22">
        <f>IF('Brouillard ventes'!$F$145="","",Paramètres!$B$7)</f>
        <v/>
      </c>
      <c r="H419" s="22">
        <f>IF('Brouillard ventes'!$F$145="","",IF('Brouillard ventes'!$C$145="","CD001",'Brouillard ventes'!$C$145))</f>
        <v/>
      </c>
      <c r="I419" s="22" t="inlineStr"/>
      <c r="J419" s="22" t="inlineStr"/>
      <c r="K419" s="22">
        <f>IF('Brouillard ventes'!$F$145="","",Paramètres!$B$11)</f>
        <v/>
      </c>
      <c r="L419" s="23">
        <f>IF('Brouillard ventes'!$F$145="","",'Brouillard ventes'!$I$145)</f>
        <v/>
      </c>
      <c r="M419" s="23" t="n">
        <v>0</v>
      </c>
    </row>
    <row r="420">
      <c r="A420" s="22" t="inlineStr">
        <is>
          <t>1</t>
        </is>
      </c>
      <c r="B420" s="22">
        <f>IF('Brouillard ventes'!$F$145="","","VD"&amp;TEXT(ROW('Brouillard ventes'!$F$145)-5,"00000"))</f>
        <v/>
      </c>
      <c r="C420" s="22">
        <f>IF('Brouillard ventes'!$F$145="","",YEAR('Brouillard ventes'!$A$145)*10000+MONTH('Brouillard ventes'!$A$145)*100+DAY('Brouillard ventes'!$A$145))</f>
        <v/>
      </c>
      <c r="D420" s="22">
        <f>IF('Brouillard ventes'!$F$145="","",'Brouillard ventes'!$B$145)</f>
        <v/>
      </c>
      <c r="E420" s="22">
        <f>IF('Brouillard ventes'!$F$145="","",LEFT('Brouillard ventes'!$D$145,30))</f>
        <v/>
      </c>
      <c r="F420" s="22" t="inlineStr">
        <is>
          <t>15001</t>
        </is>
      </c>
      <c r="G420" s="22">
        <f>IF('Brouillard ventes'!$F$145="","",IF('Brouillard ventes'!$E$145="Réparation",Paramètres!$B$9,Paramètres!$B$8))</f>
        <v/>
      </c>
      <c r="H420" s="22" t="inlineStr"/>
      <c r="I420" s="22" t="inlineStr"/>
      <c r="J420" s="22" t="inlineStr"/>
      <c r="K420" s="22">
        <f>IF('Brouillard ventes'!$F$145="","",Paramètres!$B$11)</f>
        <v/>
      </c>
      <c r="L420" s="23" t="n">
        <v>0</v>
      </c>
      <c r="M420" s="23">
        <f>IF('Brouillard ventes'!$F$145="","",'Brouillard ventes'!$F$145)</f>
        <v/>
      </c>
    </row>
    <row r="421">
      <c r="A421" s="22" t="inlineStr">
        <is>
          <t>1</t>
        </is>
      </c>
      <c r="B421" s="22">
        <f>IF('Brouillard ventes'!$F$145="","","VD"&amp;TEXT(ROW('Brouillard ventes'!$F$145)-5,"00000"))</f>
        <v/>
      </c>
      <c r="C421" s="22">
        <f>IF('Brouillard ventes'!$F$145="","",YEAR('Brouillard ventes'!$A$145)*10000+MONTH('Brouillard ventes'!$A$145)*100+DAY('Brouillard ventes'!$A$145))</f>
        <v/>
      </c>
      <c r="D421" s="22">
        <f>IF('Brouillard ventes'!$F$145="","",'Brouillard ventes'!$B$145)</f>
        <v/>
      </c>
      <c r="E421" s="22">
        <f>IF('Brouillard ventes'!$F$145="","",LEFT('Brouillard ventes'!$D$145,30))</f>
        <v/>
      </c>
      <c r="F421" s="22" t="inlineStr">
        <is>
          <t>15001</t>
        </is>
      </c>
      <c r="G421" s="22">
        <f>IF('Brouillard ventes'!$F$145="","",Paramètres!$B$10)</f>
        <v/>
      </c>
      <c r="H421" s="22" t="inlineStr"/>
      <c r="I421" s="22" t="inlineStr"/>
      <c r="J421" s="22" t="inlineStr"/>
      <c r="K421" s="22">
        <f>IF('Brouillard ventes'!$F$145="","",Paramètres!$B$11)</f>
        <v/>
      </c>
      <c r="L421" s="23" t="n">
        <v>0</v>
      </c>
      <c r="M421" s="23">
        <f>IF('Brouillard ventes'!$F$145="","",'Brouillard ventes'!$H$145)</f>
        <v/>
      </c>
    </row>
    <row r="422">
      <c r="A422" s="22" t="inlineStr">
        <is>
          <t>1</t>
        </is>
      </c>
      <c r="B422" s="22">
        <f>IF('Brouillard ventes'!$F$146="","","VD"&amp;TEXT(ROW('Brouillard ventes'!$F$146)-5,"00000"))</f>
        <v/>
      </c>
      <c r="C422" s="22">
        <f>IF('Brouillard ventes'!$F$146="","",YEAR('Brouillard ventes'!$A$146)*10000+MONTH('Brouillard ventes'!$A$146)*100+DAY('Brouillard ventes'!$A$146))</f>
        <v/>
      </c>
      <c r="D422" s="22">
        <f>IF('Brouillard ventes'!$F$146="","",'Brouillard ventes'!$B$146)</f>
        <v/>
      </c>
      <c r="E422" s="22">
        <f>IF('Brouillard ventes'!$F$146="","",LEFT('Brouillard ventes'!$D$146,30))</f>
        <v/>
      </c>
      <c r="F422" s="22" t="inlineStr">
        <is>
          <t>15001</t>
        </is>
      </c>
      <c r="G422" s="22">
        <f>IF('Brouillard ventes'!$F$146="","",Paramètres!$B$7)</f>
        <v/>
      </c>
      <c r="H422" s="22">
        <f>IF('Brouillard ventes'!$F$146="","",IF('Brouillard ventes'!$C$146="","CD001",'Brouillard ventes'!$C$146))</f>
        <v/>
      </c>
      <c r="I422" s="22" t="inlineStr"/>
      <c r="J422" s="22" t="inlineStr"/>
      <c r="K422" s="22">
        <f>IF('Brouillard ventes'!$F$146="","",Paramètres!$B$11)</f>
        <v/>
      </c>
      <c r="L422" s="23">
        <f>IF('Brouillard ventes'!$F$146="","",'Brouillard ventes'!$I$146)</f>
        <v/>
      </c>
      <c r="M422" s="23" t="n">
        <v>0</v>
      </c>
    </row>
    <row r="423">
      <c r="A423" s="22" t="inlineStr">
        <is>
          <t>1</t>
        </is>
      </c>
      <c r="B423" s="22">
        <f>IF('Brouillard ventes'!$F$146="","","VD"&amp;TEXT(ROW('Brouillard ventes'!$F$146)-5,"00000"))</f>
        <v/>
      </c>
      <c r="C423" s="22">
        <f>IF('Brouillard ventes'!$F$146="","",YEAR('Brouillard ventes'!$A$146)*10000+MONTH('Brouillard ventes'!$A$146)*100+DAY('Brouillard ventes'!$A$146))</f>
        <v/>
      </c>
      <c r="D423" s="22">
        <f>IF('Brouillard ventes'!$F$146="","",'Brouillard ventes'!$B$146)</f>
        <v/>
      </c>
      <c r="E423" s="22">
        <f>IF('Brouillard ventes'!$F$146="","",LEFT('Brouillard ventes'!$D$146,30))</f>
        <v/>
      </c>
      <c r="F423" s="22" t="inlineStr">
        <is>
          <t>15001</t>
        </is>
      </c>
      <c r="G423" s="22">
        <f>IF('Brouillard ventes'!$F$146="","",IF('Brouillard ventes'!$E$146="Réparation",Paramètres!$B$9,Paramètres!$B$8))</f>
        <v/>
      </c>
      <c r="H423" s="22" t="inlineStr"/>
      <c r="I423" s="22" t="inlineStr"/>
      <c r="J423" s="22" t="inlineStr"/>
      <c r="K423" s="22">
        <f>IF('Brouillard ventes'!$F$146="","",Paramètres!$B$11)</f>
        <v/>
      </c>
      <c r="L423" s="23" t="n">
        <v>0</v>
      </c>
      <c r="M423" s="23">
        <f>IF('Brouillard ventes'!$F$146="","",'Brouillard ventes'!$F$146)</f>
        <v/>
      </c>
    </row>
    <row r="424">
      <c r="A424" s="22" t="inlineStr">
        <is>
          <t>1</t>
        </is>
      </c>
      <c r="B424" s="22">
        <f>IF('Brouillard ventes'!$F$146="","","VD"&amp;TEXT(ROW('Brouillard ventes'!$F$146)-5,"00000"))</f>
        <v/>
      </c>
      <c r="C424" s="22">
        <f>IF('Brouillard ventes'!$F$146="","",YEAR('Brouillard ventes'!$A$146)*10000+MONTH('Brouillard ventes'!$A$146)*100+DAY('Brouillard ventes'!$A$146))</f>
        <v/>
      </c>
      <c r="D424" s="22">
        <f>IF('Brouillard ventes'!$F$146="","",'Brouillard ventes'!$B$146)</f>
        <v/>
      </c>
      <c r="E424" s="22">
        <f>IF('Brouillard ventes'!$F$146="","",LEFT('Brouillard ventes'!$D$146,30))</f>
        <v/>
      </c>
      <c r="F424" s="22" t="inlineStr">
        <is>
          <t>15001</t>
        </is>
      </c>
      <c r="G424" s="22">
        <f>IF('Brouillard ventes'!$F$146="","",Paramètres!$B$10)</f>
        <v/>
      </c>
      <c r="H424" s="22" t="inlineStr"/>
      <c r="I424" s="22" t="inlineStr"/>
      <c r="J424" s="22" t="inlineStr"/>
      <c r="K424" s="22">
        <f>IF('Brouillard ventes'!$F$146="","",Paramètres!$B$11)</f>
        <v/>
      </c>
      <c r="L424" s="23" t="n">
        <v>0</v>
      </c>
      <c r="M424" s="23">
        <f>IF('Brouillard ventes'!$F$146="","",'Brouillard ventes'!$H$146)</f>
        <v/>
      </c>
    </row>
    <row r="425">
      <c r="A425" s="22" t="inlineStr">
        <is>
          <t>1</t>
        </is>
      </c>
      <c r="B425" s="22">
        <f>IF('Brouillard ventes'!$F$147="","","VD"&amp;TEXT(ROW('Brouillard ventes'!$F$147)-5,"00000"))</f>
        <v/>
      </c>
      <c r="C425" s="22">
        <f>IF('Brouillard ventes'!$F$147="","",YEAR('Brouillard ventes'!$A$147)*10000+MONTH('Brouillard ventes'!$A$147)*100+DAY('Brouillard ventes'!$A$147))</f>
        <v/>
      </c>
      <c r="D425" s="22">
        <f>IF('Brouillard ventes'!$F$147="","",'Brouillard ventes'!$B$147)</f>
        <v/>
      </c>
      <c r="E425" s="22">
        <f>IF('Brouillard ventes'!$F$147="","",LEFT('Brouillard ventes'!$D$147,30))</f>
        <v/>
      </c>
      <c r="F425" s="22" t="inlineStr">
        <is>
          <t>15001</t>
        </is>
      </c>
      <c r="G425" s="22">
        <f>IF('Brouillard ventes'!$F$147="","",Paramètres!$B$7)</f>
        <v/>
      </c>
      <c r="H425" s="22">
        <f>IF('Brouillard ventes'!$F$147="","",IF('Brouillard ventes'!$C$147="","CD001",'Brouillard ventes'!$C$147))</f>
        <v/>
      </c>
      <c r="I425" s="22" t="inlineStr"/>
      <c r="J425" s="22" t="inlineStr"/>
      <c r="K425" s="22">
        <f>IF('Brouillard ventes'!$F$147="","",Paramètres!$B$11)</f>
        <v/>
      </c>
      <c r="L425" s="23">
        <f>IF('Brouillard ventes'!$F$147="","",'Brouillard ventes'!$I$147)</f>
        <v/>
      </c>
      <c r="M425" s="23" t="n">
        <v>0</v>
      </c>
    </row>
    <row r="426">
      <c r="A426" s="22" t="inlineStr">
        <is>
          <t>1</t>
        </is>
      </c>
      <c r="B426" s="22">
        <f>IF('Brouillard ventes'!$F$147="","","VD"&amp;TEXT(ROW('Brouillard ventes'!$F$147)-5,"00000"))</f>
        <v/>
      </c>
      <c r="C426" s="22">
        <f>IF('Brouillard ventes'!$F$147="","",YEAR('Brouillard ventes'!$A$147)*10000+MONTH('Brouillard ventes'!$A$147)*100+DAY('Brouillard ventes'!$A$147))</f>
        <v/>
      </c>
      <c r="D426" s="22">
        <f>IF('Brouillard ventes'!$F$147="","",'Brouillard ventes'!$B$147)</f>
        <v/>
      </c>
      <c r="E426" s="22">
        <f>IF('Brouillard ventes'!$F$147="","",LEFT('Brouillard ventes'!$D$147,30))</f>
        <v/>
      </c>
      <c r="F426" s="22" t="inlineStr">
        <is>
          <t>15001</t>
        </is>
      </c>
      <c r="G426" s="22">
        <f>IF('Brouillard ventes'!$F$147="","",IF('Brouillard ventes'!$E$147="Réparation",Paramètres!$B$9,Paramètres!$B$8))</f>
        <v/>
      </c>
      <c r="H426" s="22" t="inlineStr"/>
      <c r="I426" s="22" t="inlineStr"/>
      <c r="J426" s="22" t="inlineStr"/>
      <c r="K426" s="22">
        <f>IF('Brouillard ventes'!$F$147="","",Paramètres!$B$11)</f>
        <v/>
      </c>
      <c r="L426" s="23" t="n">
        <v>0</v>
      </c>
      <c r="M426" s="23">
        <f>IF('Brouillard ventes'!$F$147="","",'Brouillard ventes'!$F$147)</f>
        <v/>
      </c>
    </row>
    <row r="427">
      <c r="A427" s="22" t="inlineStr">
        <is>
          <t>1</t>
        </is>
      </c>
      <c r="B427" s="22">
        <f>IF('Brouillard ventes'!$F$147="","","VD"&amp;TEXT(ROW('Brouillard ventes'!$F$147)-5,"00000"))</f>
        <v/>
      </c>
      <c r="C427" s="22">
        <f>IF('Brouillard ventes'!$F$147="","",YEAR('Brouillard ventes'!$A$147)*10000+MONTH('Brouillard ventes'!$A$147)*100+DAY('Brouillard ventes'!$A$147))</f>
        <v/>
      </c>
      <c r="D427" s="22">
        <f>IF('Brouillard ventes'!$F$147="","",'Brouillard ventes'!$B$147)</f>
        <v/>
      </c>
      <c r="E427" s="22">
        <f>IF('Brouillard ventes'!$F$147="","",LEFT('Brouillard ventes'!$D$147,30))</f>
        <v/>
      </c>
      <c r="F427" s="22" t="inlineStr">
        <is>
          <t>15001</t>
        </is>
      </c>
      <c r="G427" s="22">
        <f>IF('Brouillard ventes'!$F$147="","",Paramètres!$B$10)</f>
        <v/>
      </c>
      <c r="H427" s="22" t="inlineStr"/>
      <c r="I427" s="22" t="inlineStr"/>
      <c r="J427" s="22" t="inlineStr"/>
      <c r="K427" s="22">
        <f>IF('Brouillard ventes'!$F$147="","",Paramètres!$B$11)</f>
        <v/>
      </c>
      <c r="L427" s="23" t="n">
        <v>0</v>
      </c>
      <c r="M427" s="23">
        <f>IF('Brouillard ventes'!$F$147="","",'Brouillard ventes'!$H$147)</f>
        <v/>
      </c>
    </row>
    <row r="428">
      <c r="A428" s="22" t="inlineStr">
        <is>
          <t>1</t>
        </is>
      </c>
      <c r="B428" s="22">
        <f>IF('Brouillard ventes'!$F$148="","","VD"&amp;TEXT(ROW('Brouillard ventes'!$F$148)-5,"00000"))</f>
        <v/>
      </c>
      <c r="C428" s="22">
        <f>IF('Brouillard ventes'!$F$148="","",YEAR('Brouillard ventes'!$A$148)*10000+MONTH('Brouillard ventes'!$A$148)*100+DAY('Brouillard ventes'!$A$148))</f>
        <v/>
      </c>
      <c r="D428" s="22">
        <f>IF('Brouillard ventes'!$F$148="","",'Brouillard ventes'!$B$148)</f>
        <v/>
      </c>
      <c r="E428" s="22">
        <f>IF('Brouillard ventes'!$F$148="","",LEFT('Brouillard ventes'!$D$148,30))</f>
        <v/>
      </c>
      <c r="F428" s="22" t="inlineStr">
        <is>
          <t>15001</t>
        </is>
      </c>
      <c r="G428" s="22">
        <f>IF('Brouillard ventes'!$F$148="","",Paramètres!$B$7)</f>
        <v/>
      </c>
      <c r="H428" s="22">
        <f>IF('Brouillard ventes'!$F$148="","",IF('Brouillard ventes'!$C$148="","CD001",'Brouillard ventes'!$C$148))</f>
        <v/>
      </c>
      <c r="I428" s="22" t="inlineStr"/>
      <c r="J428" s="22" t="inlineStr"/>
      <c r="K428" s="22">
        <f>IF('Brouillard ventes'!$F$148="","",Paramètres!$B$11)</f>
        <v/>
      </c>
      <c r="L428" s="23">
        <f>IF('Brouillard ventes'!$F$148="","",'Brouillard ventes'!$I$148)</f>
        <v/>
      </c>
      <c r="M428" s="23" t="n">
        <v>0</v>
      </c>
    </row>
    <row r="429">
      <c r="A429" s="22" t="inlineStr">
        <is>
          <t>1</t>
        </is>
      </c>
      <c r="B429" s="22">
        <f>IF('Brouillard ventes'!$F$148="","","VD"&amp;TEXT(ROW('Brouillard ventes'!$F$148)-5,"00000"))</f>
        <v/>
      </c>
      <c r="C429" s="22">
        <f>IF('Brouillard ventes'!$F$148="","",YEAR('Brouillard ventes'!$A$148)*10000+MONTH('Brouillard ventes'!$A$148)*100+DAY('Brouillard ventes'!$A$148))</f>
        <v/>
      </c>
      <c r="D429" s="22">
        <f>IF('Brouillard ventes'!$F$148="","",'Brouillard ventes'!$B$148)</f>
        <v/>
      </c>
      <c r="E429" s="22">
        <f>IF('Brouillard ventes'!$F$148="","",LEFT('Brouillard ventes'!$D$148,30))</f>
        <v/>
      </c>
      <c r="F429" s="22" t="inlineStr">
        <is>
          <t>15001</t>
        </is>
      </c>
      <c r="G429" s="22">
        <f>IF('Brouillard ventes'!$F$148="","",IF('Brouillard ventes'!$E$148="Réparation",Paramètres!$B$9,Paramètres!$B$8))</f>
        <v/>
      </c>
      <c r="H429" s="22" t="inlineStr"/>
      <c r="I429" s="22" t="inlineStr"/>
      <c r="J429" s="22" t="inlineStr"/>
      <c r="K429" s="22">
        <f>IF('Brouillard ventes'!$F$148="","",Paramètres!$B$11)</f>
        <v/>
      </c>
      <c r="L429" s="23" t="n">
        <v>0</v>
      </c>
      <c r="M429" s="23">
        <f>IF('Brouillard ventes'!$F$148="","",'Brouillard ventes'!$F$148)</f>
        <v/>
      </c>
    </row>
    <row r="430">
      <c r="A430" s="22" t="inlineStr">
        <is>
          <t>1</t>
        </is>
      </c>
      <c r="B430" s="22">
        <f>IF('Brouillard ventes'!$F$148="","","VD"&amp;TEXT(ROW('Brouillard ventes'!$F$148)-5,"00000"))</f>
        <v/>
      </c>
      <c r="C430" s="22">
        <f>IF('Brouillard ventes'!$F$148="","",YEAR('Brouillard ventes'!$A$148)*10000+MONTH('Brouillard ventes'!$A$148)*100+DAY('Brouillard ventes'!$A$148))</f>
        <v/>
      </c>
      <c r="D430" s="22">
        <f>IF('Brouillard ventes'!$F$148="","",'Brouillard ventes'!$B$148)</f>
        <v/>
      </c>
      <c r="E430" s="22">
        <f>IF('Brouillard ventes'!$F$148="","",LEFT('Brouillard ventes'!$D$148,30))</f>
        <v/>
      </c>
      <c r="F430" s="22" t="inlineStr">
        <is>
          <t>15001</t>
        </is>
      </c>
      <c r="G430" s="22">
        <f>IF('Brouillard ventes'!$F$148="","",Paramètres!$B$10)</f>
        <v/>
      </c>
      <c r="H430" s="22" t="inlineStr"/>
      <c r="I430" s="22" t="inlineStr"/>
      <c r="J430" s="22" t="inlineStr"/>
      <c r="K430" s="22">
        <f>IF('Brouillard ventes'!$F$148="","",Paramètres!$B$11)</f>
        <v/>
      </c>
      <c r="L430" s="23" t="n">
        <v>0</v>
      </c>
      <c r="M430" s="23">
        <f>IF('Brouillard ventes'!$F$148="","",'Brouillard ventes'!$H$148)</f>
        <v/>
      </c>
    </row>
    <row r="431">
      <c r="A431" s="22" t="inlineStr">
        <is>
          <t>1</t>
        </is>
      </c>
      <c r="B431" s="22">
        <f>IF('Brouillard ventes'!$F$149="","","VD"&amp;TEXT(ROW('Brouillard ventes'!$F$149)-5,"00000"))</f>
        <v/>
      </c>
      <c r="C431" s="22">
        <f>IF('Brouillard ventes'!$F$149="","",YEAR('Brouillard ventes'!$A$149)*10000+MONTH('Brouillard ventes'!$A$149)*100+DAY('Brouillard ventes'!$A$149))</f>
        <v/>
      </c>
      <c r="D431" s="22">
        <f>IF('Brouillard ventes'!$F$149="","",'Brouillard ventes'!$B$149)</f>
        <v/>
      </c>
      <c r="E431" s="22">
        <f>IF('Brouillard ventes'!$F$149="","",LEFT('Brouillard ventes'!$D$149,30))</f>
        <v/>
      </c>
      <c r="F431" s="22" t="inlineStr">
        <is>
          <t>15001</t>
        </is>
      </c>
      <c r="G431" s="22">
        <f>IF('Brouillard ventes'!$F$149="","",Paramètres!$B$7)</f>
        <v/>
      </c>
      <c r="H431" s="22">
        <f>IF('Brouillard ventes'!$F$149="","",IF('Brouillard ventes'!$C$149="","CD001",'Brouillard ventes'!$C$149))</f>
        <v/>
      </c>
      <c r="I431" s="22" t="inlineStr"/>
      <c r="J431" s="22" t="inlineStr"/>
      <c r="K431" s="22">
        <f>IF('Brouillard ventes'!$F$149="","",Paramètres!$B$11)</f>
        <v/>
      </c>
      <c r="L431" s="23">
        <f>IF('Brouillard ventes'!$F$149="","",'Brouillard ventes'!$I$149)</f>
        <v/>
      </c>
      <c r="M431" s="23" t="n">
        <v>0</v>
      </c>
    </row>
    <row r="432">
      <c r="A432" s="22" t="inlineStr">
        <is>
          <t>1</t>
        </is>
      </c>
      <c r="B432" s="22">
        <f>IF('Brouillard ventes'!$F$149="","","VD"&amp;TEXT(ROW('Brouillard ventes'!$F$149)-5,"00000"))</f>
        <v/>
      </c>
      <c r="C432" s="22">
        <f>IF('Brouillard ventes'!$F$149="","",YEAR('Brouillard ventes'!$A$149)*10000+MONTH('Brouillard ventes'!$A$149)*100+DAY('Brouillard ventes'!$A$149))</f>
        <v/>
      </c>
      <c r="D432" s="22">
        <f>IF('Brouillard ventes'!$F$149="","",'Brouillard ventes'!$B$149)</f>
        <v/>
      </c>
      <c r="E432" s="22">
        <f>IF('Brouillard ventes'!$F$149="","",LEFT('Brouillard ventes'!$D$149,30))</f>
        <v/>
      </c>
      <c r="F432" s="22" t="inlineStr">
        <is>
          <t>15001</t>
        </is>
      </c>
      <c r="G432" s="22">
        <f>IF('Brouillard ventes'!$F$149="","",IF('Brouillard ventes'!$E$149="Réparation",Paramètres!$B$9,Paramètres!$B$8))</f>
        <v/>
      </c>
      <c r="H432" s="22" t="inlineStr"/>
      <c r="I432" s="22" t="inlineStr"/>
      <c r="J432" s="22" t="inlineStr"/>
      <c r="K432" s="22">
        <f>IF('Brouillard ventes'!$F$149="","",Paramètres!$B$11)</f>
        <v/>
      </c>
      <c r="L432" s="23" t="n">
        <v>0</v>
      </c>
      <c r="M432" s="23">
        <f>IF('Brouillard ventes'!$F$149="","",'Brouillard ventes'!$F$149)</f>
        <v/>
      </c>
    </row>
    <row r="433">
      <c r="A433" s="22" t="inlineStr">
        <is>
          <t>1</t>
        </is>
      </c>
      <c r="B433" s="22">
        <f>IF('Brouillard ventes'!$F$149="","","VD"&amp;TEXT(ROW('Brouillard ventes'!$F$149)-5,"00000"))</f>
        <v/>
      </c>
      <c r="C433" s="22">
        <f>IF('Brouillard ventes'!$F$149="","",YEAR('Brouillard ventes'!$A$149)*10000+MONTH('Brouillard ventes'!$A$149)*100+DAY('Brouillard ventes'!$A$149))</f>
        <v/>
      </c>
      <c r="D433" s="22">
        <f>IF('Brouillard ventes'!$F$149="","",'Brouillard ventes'!$B$149)</f>
        <v/>
      </c>
      <c r="E433" s="22">
        <f>IF('Brouillard ventes'!$F$149="","",LEFT('Brouillard ventes'!$D$149,30))</f>
        <v/>
      </c>
      <c r="F433" s="22" t="inlineStr">
        <is>
          <t>15001</t>
        </is>
      </c>
      <c r="G433" s="22">
        <f>IF('Brouillard ventes'!$F$149="","",Paramètres!$B$10)</f>
        <v/>
      </c>
      <c r="H433" s="22" t="inlineStr"/>
      <c r="I433" s="22" t="inlineStr"/>
      <c r="J433" s="22" t="inlineStr"/>
      <c r="K433" s="22">
        <f>IF('Brouillard ventes'!$F$149="","",Paramètres!$B$11)</f>
        <v/>
      </c>
      <c r="L433" s="23" t="n">
        <v>0</v>
      </c>
      <c r="M433" s="23">
        <f>IF('Brouillard ventes'!$F$149="","",'Brouillard ventes'!$H$149)</f>
        <v/>
      </c>
    </row>
    <row r="434">
      <c r="A434" s="22" t="inlineStr">
        <is>
          <t>1</t>
        </is>
      </c>
      <c r="B434" s="22">
        <f>IF('Brouillard ventes'!$F$150="","","VD"&amp;TEXT(ROW('Brouillard ventes'!$F$150)-5,"00000"))</f>
        <v/>
      </c>
      <c r="C434" s="22">
        <f>IF('Brouillard ventes'!$F$150="","",YEAR('Brouillard ventes'!$A$150)*10000+MONTH('Brouillard ventes'!$A$150)*100+DAY('Brouillard ventes'!$A$150))</f>
        <v/>
      </c>
      <c r="D434" s="22">
        <f>IF('Brouillard ventes'!$F$150="","",'Brouillard ventes'!$B$150)</f>
        <v/>
      </c>
      <c r="E434" s="22">
        <f>IF('Brouillard ventes'!$F$150="","",LEFT('Brouillard ventes'!$D$150,30))</f>
        <v/>
      </c>
      <c r="F434" s="22" t="inlineStr">
        <is>
          <t>15001</t>
        </is>
      </c>
      <c r="G434" s="22">
        <f>IF('Brouillard ventes'!$F$150="","",Paramètres!$B$7)</f>
        <v/>
      </c>
      <c r="H434" s="22">
        <f>IF('Brouillard ventes'!$F$150="","",IF('Brouillard ventes'!$C$150="","CD001",'Brouillard ventes'!$C$150))</f>
        <v/>
      </c>
      <c r="I434" s="22" t="inlineStr"/>
      <c r="J434" s="22" t="inlineStr"/>
      <c r="K434" s="22">
        <f>IF('Brouillard ventes'!$F$150="","",Paramètres!$B$11)</f>
        <v/>
      </c>
      <c r="L434" s="23">
        <f>IF('Brouillard ventes'!$F$150="","",'Brouillard ventes'!$I$150)</f>
        <v/>
      </c>
      <c r="M434" s="23" t="n">
        <v>0</v>
      </c>
    </row>
    <row r="435">
      <c r="A435" s="22" t="inlineStr">
        <is>
          <t>1</t>
        </is>
      </c>
      <c r="B435" s="22">
        <f>IF('Brouillard ventes'!$F$150="","","VD"&amp;TEXT(ROW('Brouillard ventes'!$F$150)-5,"00000"))</f>
        <v/>
      </c>
      <c r="C435" s="22">
        <f>IF('Brouillard ventes'!$F$150="","",YEAR('Brouillard ventes'!$A$150)*10000+MONTH('Brouillard ventes'!$A$150)*100+DAY('Brouillard ventes'!$A$150))</f>
        <v/>
      </c>
      <c r="D435" s="22">
        <f>IF('Brouillard ventes'!$F$150="","",'Brouillard ventes'!$B$150)</f>
        <v/>
      </c>
      <c r="E435" s="22">
        <f>IF('Brouillard ventes'!$F$150="","",LEFT('Brouillard ventes'!$D$150,30))</f>
        <v/>
      </c>
      <c r="F435" s="22" t="inlineStr">
        <is>
          <t>15001</t>
        </is>
      </c>
      <c r="G435" s="22">
        <f>IF('Brouillard ventes'!$F$150="","",IF('Brouillard ventes'!$E$150="Réparation",Paramètres!$B$9,Paramètres!$B$8))</f>
        <v/>
      </c>
      <c r="H435" s="22" t="inlineStr"/>
      <c r="I435" s="22" t="inlineStr"/>
      <c r="J435" s="22" t="inlineStr"/>
      <c r="K435" s="22">
        <f>IF('Brouillard ventes'!$F$150="","",Paramètres!$B$11)</f>
        <v/>
      </c>
      <c r="L435" s="23" t="n">
        <v>0</v>
      </c>
      <c r="M435" s="23">
        <f>IF('Brouillard ventes'!$F$150="","",'Brouillard ventes'!$F$150)</f>
        <v/>
      </c>
    </row>
    <row r="436">
      <c r="A436" s="22" t="inlineStr">
        <is>
          <t>1</t>
        </is>
      </c>
      <c r="B436" s="22">
        <f>IF('Brouillard ventes'!$F$150="","","VD"&amp;TEXT(ROW('Brouillard ventes'!$F$150)-5,"00000"))</f>
        <v/>
      </c>
      <c r="C436" s="22">
        <f>IF('Brouillard ventes'!$F$150="","",YEAR('Brouillard ventes'!$A$150)*10000+MONTH('Brouillard ventes'!$A$150)*100+DAY('Brouillard ventes'!$A$150))</f>
        <v/>
      </c>
      <c r="D436" s="22">
        <f>IF('Brouillard ventes'!$F$150="","",'Brouillard ventes'!$B$150)</f>
        <v/>
      </c>
      <c r="E436" s="22">
        <f>IF('Brouillard ventes'!$F$150="","",LEFT('Brouillard ventes'!$D$150,30))</f>
        <v/>
      </c>
      <c r="F436" s="22" t="inlineStr">
        <is>
          <t>15001</t>
        </is>
      </c>
      <c r="G436" s="22">
        <f>IF('Brouillard ventes'!$F$150="","",Paramètres!$B$10)</f>
        <v/>
      </c>
      <c r="H436" s="22" t="inlineStr"/>
      <c r="I436" s="22" t="inlineStr"/>
      <c r="J436" s="22" t="inlineStr"/>
      <c r="K436" s="22">
        <f>IF('Brouillard ventes'!$F$150="","",Paramètres!$B$11)</f>
        <v/>
      </c>
      <c r="L436" s="23" t="n">
        <v>0</v>
      </c>
      <c r="M436" s="23">
        <f>IF('Brouillard ventes'!$F$150="","",'Brouillard ventes'!$H$150)</f>
        <v/>
      </c>
    </row>
    <row r="437">
      <c r="A437" s="22" t="inlineStr">
        <is>
          <t>1</t>
        </is>
      </c>
      <c r="B437" s="22">
        <f>IF('Brouillard ventes'!$F$151="","","VD"&amp;TEXT(ROW('Brouillard ventes'!$F$151)-5,"00000"))</f>
        <v/>
      </c>
      <c r="C437" s="22">
        <f>IF('Brouillard ventes'!$F$151="","",YEAR('Brouillard ventes'!$A$151)*10000+MONTH('Brouillard ventes'!$A$151)*100+DAY('Brouillard ventes'!$A$151))</f>
        <v/>
      </c>
      <c r="D437" s="22">
        <f>IF('Brouillard ventes'!$F$151="","",'Brouillard ventes'!$B$151)</f>
        <v/>
      </c>
      <c r="E437" s="22">
        <f>IF('Brouillard ventes'!$F$151="","",LEFT('Brouillard ventes'!$D$151,30))</f>
        <v/>
      </c>
      <c r="F437" s="22" t="inlineStr">
        <is>
          <t>15001</t>
        </is>
      </c>
      <c r="G437" s="22">
        <f>IF('Brouillard ventes'!$F$151="","",Paramètres!$B$7)</f>
        <v/>
      </c>
      <c r="H437" s="22">
        <f>IF('Brouillard ventes'!$F$151="","",IF('Brouillard ventes'!$C$151="","CD001",'Brouillard ventes'!$C$151))</f>
        <v/>
      </c>
      <c r="I437" s="22" t="inlineStr"/>
      <c r="J437" s="22" t="inlineStr"/>
      <c r="K437" s="22">
        <f>IF('Brouillard ventes'!$F$151="","",Paramètres!$B$11)</f>
        <v/>
      </c>
      <c r="L437" s="23">
        <f>IF('Brouillard ventes'!$F$151="","",'Brouillard ventes'!$I$151)</f>
        <v/>
      </c>
      <c r="M437" s="23" t="n">
        <v>0</v>
      </c>
    </row>
    <row r="438">
      <c r="A438" s="22" t="inlineStr">
        <is>
          <t>1</t>
        </is>
      </c>
      <c r="B438" s="22">
        <f>IF('Brouillard ventes'!$F$151="","","VD"&amp;TEXT(ROW('Brouillard ventes'!$F$151)-5,"00000"))</f>
        <v/>
      </c>
      <c r="C438" s="22">
        <f>IF('Brouillard ventes'!$F$151="","",YEAR('Brouillard ventes'!$A$151)*10000+MONTH('Brouillard ventes'!$A$151)*100+DAY('Brouillard ventes'!$A$151))</f>
        <v/>
      </c>
      <c r="D438" s="22">
        <f>IF('Brouillard ventes'!$F$151="","",'Brouillard ventes'!$B$151)</f>
        <v/>
      </c>
      <c r="E438" s="22">
        <f>IF('Brouillard ventes'!$F$151="","",LEFT('Brouillard ventes'!$D$151,30))</f>
        <v/>
      </c>
      <c r="F438" s="22" t="inlineStr">
        <is>
          <t>15001</t>
        </is>
      </c>
      <c r="G438" s="22">
        <f>IF('Brouillard ventes'!$F$151="","",IF('Brouillard ventes'!$E$151="Réparation",Paramètres!$B$9,Paramètres!$B$8))</f>
        <v/>
      </c>
      <c r="H438" s="22" t="inlineStr"/>
      <c r="I438" s="22" t="inlineStr"/>
      <c r="J438" s="22" t="inlineStr"/>
      <c r="K438" s="22">
        <f>IF('Brouillard ventes'!$F$151="","",Paramètres!$B$11)</f>
        <v/>
      </c>
      <c r="L438" s="23" t="n">
        <v>0</v>
      </c>
      <c r="M438" s="23">
        <f>IF('Brouillard ventes'!$F$151="","",'Brouillard ventes'!$F$151)</f>
        <v/>
      </c>
    </row>
    <row r="439">
      <c r="A439" s="22" t="inlineStr">
        <is>
          <t>1</t>
        </is>
      </c>
      <c r="B439" s="22">
        <f>IF('Brouillard ventes'!$F$151="","","VD"&amp;TEXT(ROW('Brouillard ventes'!$F$151)-5,"00000"))</f>
        <v/>
      </c>
      <c r="C439" s="22">
        <f>IF('Brouillard ventes'!$F$151="","",YEAR('Brouillard ventes'!$A$151)*10000+MONTH('Brouillard ventes'!$A$151)*100+DAY('Brouillard ventes'!$A$151))</f>
        <v/>
      </c>
      <c r="D439" s="22">
        <f>IF('Brouillard ventes'!$F$151="","",'Brouillard ventes'!$B$151)</f>
        <v/>
      </c>
      <c r="E439" s="22">
        <f>IF('Brouillard ventes'!$F$151="","",LEFT('Brouillard ventes'!$D$151,30))</f>
        <v/>
      </c>
      <c r="F439" s="22" t="inlineStr">
        <is>
          <t>15001</t>
        </is>
      </c>
      <c r="G439" s="22">
        <f>IF('Brouillard ventes'!$F$151="","",Paramètres!$B$10)</f>
        <v/>
      </c>
      <c r="H439" s="22" t="inlineStr"/>
      <c r="I439" s="22" t="inlineStr"/>
      <c r="J439" s="22" t="inlineStr"/>
      <c r="K439" s="22">
        <f>IF('Brouillard ventes'!$F$151="","",Paramètres!$B$11)</f>
        <v/>
      </c>
      <c r="L439" s="23" t="n">
        <v>0</v>
      </c>
      <c r="M439" s="23">
        <f>IF('Brouillard ventes'!$F$151="","",'Brouillard ventes'!$H$151)</f>
        <v/>
      </c>
    </row>
    <row r="440">
      <c r="A440" s="22" t="inlineStr">
        <is>
          <t>1</t>
        </is>
      </c>
      <c r="B440" s="22">
        <f>IF('Brouillard ventes'!$F$152="","","VD"&amp;TEXT(ROW('Brouillard ventes'!$F$152)-5,"00000"))</f>
        <v/>
      </c>
      <c r="C440" s="22">
        <f>IF('Brouillard ventes'!$F$152="","",YEAR('Brouillard ventes'!$A$152)*10000+MONTH('Brouillard ventes'!$A$152)*100+DAY('Brouillard ventes'!$A$152))</f>
        <v/>
      </c>
      <c r="D440" s="22">
        <f>IF('Brouillard ventes'!$F$152="","",'Brouillard ventes'!$B$152)</f>
        <v/>
      </c>
      <c r="E440" s="22">
        <f>IF('Brouillard ventes'!$F$152="","",LEFT('Brouillard ventes'!$D$152,30))</f>
        <v/>
      </c>
      <c r="F440" s="22" t="inlineStr">
        <is>
          <t>15001</t>
        </is>
      </c>
      <c r="G440" s="22">
        <f>IF('Brouillard ventes'!$F$152="","",Paramètres!$B$7)</f>
        <v/>
      </c>
      <c r="H440" s="22">
        <f>IF('Brouillard ventes'!$F$152="","",IF('Brouillard ventes'!$C$152="","CD001",'Brouillard ventes'!$C$152))</f>
        <v/>
      </c>
      <c r="I440" s="22" t="inlineStr"/>
      <c r="J440" s="22" t="inlineStr"/>
      <c r="K440" s="22">
        <f>IF('Brouillard ventes'!$F$152="","",Paramètres!$B$11)</f>
        <v/>
      </c>
      <c r="L440" s="23">
        <f>IF('Brouillard ventes'!$F$152="","",'Brouillard ventes'!$I$152)</f>
        <v/>
      </c>
      <c r="M440" s="23" t="n">
        <v>0</v>
      </c>
    </row>
    <row r="441">
      <c r="A441" s="22" t="inlineStr">
        <is>
          <t>1</t>
        </is>
      </c>
      <c r="B441" s="22">
        <f>IF('Brouillard ventes'!$F$152="","","VD"&amp;TEXT(ROW('Brouillard ventes'!$F$152)-5,"00000"))</f>
        <v/>
      </c>
      <c r="C441" s="22">
        <f>IF('Brouillard ventes'!$F$152="","",YEAR('Brouillard ventes'!$A$152)*10000+MONTH('Brouillard ventes'!$A$152)*100+DAY('Brouillard ventes'!$A$152))</f>
        <v/>
      </c>
      <c r="D441" s="22">
        <f>IF('Brouillard ventes'!$F$152="","",'Brouillard ventes'!$B$152)</f>
        <v/>
      </c>
      <c r="E441" s="22">
        <f>IF('Brouillard ventes'!$F$152="","",LEFT('Brouillard ventes'!$D$152,30))</f>
        <v/>
      </c>
      <c r="F441" s="22" t="inlineStr">
        <is>
          <t>15001</t>
        </is>
      </c>
      <c r="G441" s="22">
        <f>IF('Brouillard ventes'!$F$152="","",IF('Brouillard ventes'!$E$152="Réparation",Paramètres!$B$9,Paramètres!$B$8))</f>
        <v/>
      </c>
      <c r="H441" s="22" t="inlineStr"/>
      <c r="I441" s="22" t="inlineStr"/>
      <c r="J441" s="22" t="inlineStr"/>
      <c r="K441" s="22">
        <f>IF('Brouillard ventes'!$F$152="","",Paramètres!$B$11)</f>
        <v/>
      </c>
      <c r="L441" s="23" t="n">
        <v>0</v>
      </c>
      <c r="M441" s="23">
        <f>IF('Brouillard ventes'!$F$152="","",'Brouillard ventes'!$F$152)</f>
        <v/>
      </c>
    </row>
    <row r="442">
      <c r="A442" s="22" t="inlineStr">
        <is>
          <t>1</t>
        </is>
      </c>
      <c r="B442" s="22">
        <f>IF('Brouillard ventes'!$F$152="","","VD"&amp;TEXT(ROW('Brouillard ventes'!$F$152)-5,"00000"))</f>
        <v/>
      </c>
      <c r="C442" s="22">
        <f>IF('Brouillard ventes'!$F$152="","",YEAR('Brouillard ventes'!$A$152)*10000+MONTH('Brouillard ventes'!$A$152)*100+DAY('Brouillard ventes'!$A$152))</f>
        <v/>
      </c>
      <c r="D442" s="22">
        <f>IF('Brouillard ventes'!$F$152="","",'Brouillard ventes'!$B$152)</f>
        <v/>
      </c>
      <c r="E442" s="22">
        <f>IF('Brouillard ventes'!$F$152="","",LEFT('Brouillard ventes'!$D$152,30))</f>
        <v/>
      </c>
      <c r="F442" s="22" t="inlineStr">
        <is>
          <t>15001</t>
        </is>
      </c>
      <c r="G442" s="22">
        <f>IF('Brouillard ventes'!$F$152="","",Paramètres!$B$10)</f>
        <v/>
      </c>
      <c r="H442" s="22" t="inlineStr"/>
      <c r="I442" s="22" t="inlineStr"/>
      <c r="J442" s="22" t="inlineStr"/>
      <c r="K442" s="22">
        <f>IF('Brouillard ventes'!$F$152="","",Paramètres!$B$11)</f>
        <v/>
      </c>
      <c r="L442" s="23" t="n">
        <v>0</v>
      </c>
      <c r="M442" s="23">
        <f>IF('Brouillard ventes'!$F$152="","",'Brouillard ventes'!$H$152)</f>
        <v/>
      </c>
    </row>
    <row r="443">
      <c r="A443" s="22" t="inlineStr">
        <is>
          <t>1</t>
        </is>
      </c>
      <c r="B443" s="22">
        <f>IF('Brouillard ventes'!$F$153="","","VD"&amp;TEXT(ROW('Brouillard ventes'!$F$153)-5,"00000"))</f>
        <v/>
      </c>
      <c r="C443" s="22">
        <f>IF('Brouillard ventes'!$F$153="","",YEAR('Brouillard ventes'!$A$153)*10000+MONTH('Brouillard ventes'!$A$153)*100+DAY('Brouillard ventes'!$A$153))</f>
        <v/>
      </c>
      <c r="D443" s="22">
        <f>IF('Brouillard ventes'!$F$153="","",'Brouillard ventes'!$B$153)</f>
        <v/>
      </c>
      <c r="E443" s="22">
        <f>IF('Brouillard ventes'!$F$153="","",LEFT('Brouillard ventes'!$D$153,30))</f>
        <v/>
      </c>
      <c r="F443" s="22" t="inlineStr">
        <is>
          <t>15001</t>
        </is>
      </c>
      <c r="G443" s="22">
        <f>IF('Brouillard ventes'!$F$153="","",Paramètres!$B$7)</f>
        <v/>
      </c>
      <c r="H443" s="22">
        <f>IF('Brouillard ventes'!$F$153="","",IF('Brouillard ventes'!$C$153="","CD001",'Brouillard ventes'!$C$153))</f>
        <v/>
      </c>
      <c r="I443" s="22" t="inlineStr"/>
      <c r="J443" s="22" t="inlineStr"/>
      <c r="K443" s="22">
        <f>IF('Brouillard ventes'!$F$153="","",Paramètres!$B$11)</f>
        <v/>
      </c>
      <c r="L443" s="23">
        <f>IF('Brouillard ventes'!$F$153="","",'Brouillard ventes'!$I$153)</f>
        <v/>
      </c>
      <c r="M443" s="23" t="n">
        <v>0</v>
      </c>
    </row>
    <row r="444">
      <c r="A444" s="22" t="inlineStr">
        <is>
          <t>1</t>
        </is>
      </c>
      <c r="B444" s="22">
        <f>IF('Brouillard ventes'!$F$153="","","VD"&amp;TEXT(ROW('Brouillard ventes'!$F$153)-5,"00000"))</f>
        <v/>
      </c>
      <c r="C444" s="22">
        <f>IF('Brouillard ventes'!$F$153="","",YEAR('Brouillard ventes'!$A$153)*10000+MONTH('Brouillard ventes'!$A$153)*100+DAY('Brouillard ventes'!$A$153))</f>
        <v/>
      </c>
      <c r="D444" s="22">
        <f>IF('Brouillard ventes'!$F$153="","",'Brouillard ventes'!$B$153)</f>
        <v/>
      </c>
      <c r="E444" s="22">
        <f>IF('Brouillard ventes'!$F$153="","",LEFT('Brouillard ventes'!$D$153,30))</f>
        <v/>
      </c>
      <c r="F444" s="22" t="inlineStr">
        <is>
          <t>15001</t>
        </is>
      </c>
      <c r="G444" s="22">
        <f>IF('Brouillard ventes'!$F$153="","",IF('Brouillard ventes'!$E$153="Réparation",Paramètres!$B$9,Paramètres!$B$8))</f>
        <v/>
      </c>
      <c r="H444" s="22" t="inlineStr"/>
      <c r="I444" s="22" t="inlineStr"/>
      <c r="J444" s="22" t="inlineStr"/>
      <c r="K444" s="22">
        <f>IF('Brouillard ventes'!$F$153="","",Paramètres!$B$11)</f>
        <v/>
      </c>
      <c r="L444" s="23" t="n">
        <v>0</v>
      </c>
      <c r="M444" s="23">
        <f>IF('Brouillard ventes'!$F$153="","",'Brouillard ventes'!$F$153)</f>
        <v/>
      </c>
    </row>
    <row r="445">
      <c r="A445" s="22" t="inlineStr">
        <is>
          <t>1</t>
        </is>
      </c>
      <c r="B445" s="22">
        <f>IF('Brouillard ventes'!$F$153="","","VD"&amp;TEXT(ROW('Brouillard ventes'!$F$153)-5,"00000"))</f>
        <v/>
      </c>
      <c r="C445" s="22">
        <f>IF('Brouillard ventes'!$F$153="","",YEAR('Brouillard ventes'!$A$153)*10000+MONTH('Brouillard ventes'!$A$153)*100+DAY('Brouillard ventes'!$A$153))</f>
        <v/>
      </c>
      <c r="D445" s="22">
        <f>IF('Brouillard ventes'!$F$153="","",'Brouillard ventes'!$B$153)</f>
        <v/>
      </c>
      <c r="E445" s="22">
        <f>IF('Brouillard ventes'!$F$153="","",LEFT('Brouillard ventes'!$D$153,30))</f>
        <v/>
      </c>
      <c r="F445" s="22" t="inlineStr">
        <is>
          <t>15001</t>
        </is>
      </c>
      <c r="G445" s="22">
        <f>IF('Brouillard ventes'!$F$153="","",Paramètres!$B$10)</f>
        <v/>
      </c>
      <c r="H445" s="22" t="inlineStr"/>
      <c r="I445" s="22" t="inlineStr"/>
      <c r="J445" s="22" t="inlineStr"/>
      <c r="K445" s="22">
        <f>IF('Brouillard ventes'!$F$153="","",Paramètres!$B$11)</f>
        <v/>
      </c>
      <c r="L445" s="23" t="n">
        <v>0</v>
      </c>
      <c r="M445" s="23">
        <f>IF('Brouillard ventes'!$F$153="","",'Brouillard ventes'!$H$153)</f>
        <v/>
      </c>
    </row>
    <row r="446">
      <c r="A446" s="22" t="inlineStr">
        <is>
          <t>1</t>
        </is>
      </c>
      <c r="B446" s="22">
        <f>IF('Brouillard ventes'!$F$154="","","VD"&amp;TEXT(ROW('Brouillard ventes'!$F$154)-5,"00000"))</f>
        <v/>
      </c>
      <c r="C446" s="22">
        <f>IF('Brouillard ventes'!$F$154="","",YEAR('Brouillard ventes'!$A$154)*10000+MONTH('Brouillard ventes'!$A$154)*100+DAY('Brouillard ventes'!$A$154))</f>
        <v/>
      </c>
      <c r="D446" s="22">
        <f>IF('Brouillard ventes'!$F$154="","",'Brouillard ventes'!$B$154)</f>
        <v/>
      </c>
      <c r="E446" s="22">
        <f>IF('Brouillard ventes'!$F$154="","",LEFT('Brouillard ventes'!$D$154,30))</f>
        <v/>
      </c>
      <c r="F446" s="22" t="inlineStr">
        <is>
          <t>15001</t>
        </is>
      </c>
      <c r="G446" s="22">
        <f>IF('Brouillard ventes'!$F$154="","",Paramètres!$B$7)</f>
        <v/>
      </c>
      <c r="H446" s="22">
        <f>IF('Brouillard ventes'!$F$154="","",IF('Brouillard ventes'!$C$154="","CD001",'Brouillard ventes'!$C$154))</f>
        <v/>
      </c>
      <c r="I446" s="22" t="inlineStr"/>
      <c r="J446" s="22" t="inlineStr"/>
      <c r="K446" s="22">
        <f>IF('Brouillard ventes'!$F$154="","",Paramètres!$B$11)</f>
        <v/>
      </c>
      <c r="L446" s="23">
        <f>IF('Brouillard ventes'!$F$154="","",'Brouillard ventes'!$I$154)</f>
        <v/>
      </c>
      <c r="M446" s="23" t="n">
        <v>0</v>
      </c>
    </row>
    <row r="447">
      <c r="A447" s="22" t="inlineStr">
        <is>
          <t>1</t>
        </is>
      </c>
      <c r="B447" s="22">
        <f>IF('Brouillard ventes'!$F$154="","","VD"&amp;TEXT(ROW('Brouillard ventes'!$F$154)-5,"00000"))</f>
        <v/>
      </c>
      <c r="C447" s="22">
        <f>IF('Brouillard ventes'!$F$154="","",YEAR('Brouillard ventes'!$A$154)*10000+MONTH('Brouillard ventes'!$A$154)*100+DAY('Brouillard ventes'!$A$154))</f>
        <v/>
      </c>
      <c r="D447" s="22">
        <f>IF('Brouillard ventes'!$F$154="","",'Brouillard ventes'!$B$154)</f>
        <v/>
      </c>
      <c r="E447" s="22">
        <f>IF('Brouillard ventes'!$F$154="","",LEFT('Brouillard ventes'!$D$154,30))</f>
        <v/>
      </c>
      <c r="F447" s="22" t="inlineStr">
        <is>
          <t>15001</t>
        </is>
      </c>
      <c r="G447" s="22">
        <f>IF('Brouillard ventes'!$F$154="","",IF('Brouillard ventes'!$E$154="Réparation",Paramètres!$B$9,Paramètres!$B$8))</f>
        <v/>
      </c>
      <c r="H447" s="22" t="inlineStr"/>
      <c r="I447" s="22" t="inlineStr"/>
      <c r="J447" s="22" t="inlineStr"/>
      <c r="K447" s="22">
        <f>IF('Brouillard ventes'!$F$154="","",Paramètres!$B$11)</f>
        <v/>
      </c>
      <c r="L447" s="23" t="n">
        <v>0</v>
      </c>
      <c r="M447" s="23">
        <f>IF('Brouillard ventes'!$F$154="","",'Brouillard ventes'!$F$154)</f>
        <v/>
      </c>
    </row>
    <row r="448">
      <c r="A448" s="22" t="inlineStr">
        <is>
          <t>1</t>
        </is>
      </c>
      <c r="B448" s="22">
        <f>IF('Brouillard ventes'!$F$154="","","VD"&amp;TEXT(ROW('Brouillard ventes'!$F$154)-5,"00000"))</f>
        <v/>
      </c>
      <c r="C448" s="22">
        <f>IF('Brouillard ventes'!$F$154="","",YEAR('Brouillard ventes'!$A$154)*10000+MONTH('Brouillard ventes'!$A$154)*100+DAY('Brouillard ventes'!$A$154))</f>
        <v/>
      </c>
      <c r="D448" s="22">
        <f>IF('Brouillard ventes'!$F$154="","",'Brouillard ventes'!$B$154)</f>
        <v/>
      </c>
      <c r="E448" s="22">
        <f>IF('Brouillard ventes'!$F$154="","",LEFT('Brouillard ventes'!$D$154,30))</f>
        <v/>
      </c>
      <c r="F448" s="22" t="inlineStr">
        <is>
          <t>15001</t>
        </is>
      </c>
      <c r="G448" s="22">
        <f>IF('Brouillard ventes'!$F$154="","",Paramètres!$B$10)</f>
        <v/>
      </c>
      <c r="H448" s="22" t="inlineStr"/>
      <c r="I448" s="22" t="inlineStr"/>
      <c r="J448" s="22" t="inlineStr"/>
      <c r="K448" s="22">
        <f>IF('Brouillard ventes'!$F$154="","",Paramètres!$B$11)</f>
        <v/>
      </c>
      <c r="L448" s="23" t="n">
        <v>0</v>
      </c>
      <c r="M448" s="23">
        <f>IF('Brouillard ventes'!$F$154="","",'Brouillard ventes'!$H$154)</f>
        <v/>
      </c>
    </row>
    <row r="449">
      <c r="A449" s="22" t="inlineStr">
        <is>
          <t>1</t>
        </is>
      </c>
      <c r="B449" s="22">
        <f>IF('Brouillard ventes'!$F$155="","","VD"&amp;TEXT(ROW('Brouillard ventes'!$F$155)-5,"00000"))</f>
        <v/>
      </c>
      <c r="C449" s="22">
        <f>IF('Brouillard ventes'!$F$155="","",YEAR('Brouillard ventes'!$A$155)*10000+MONTH('Brouillard ventes'!$A$155)*100+DAY('Brouillard ventes'!$A$155))</f>
        <v/>
      </c>
      <c r="D449" s="22">
        <f>IF('Brouillard ventes'!$F$155="","",'Brouillard ventes'!$B$155)</f>
        <v/>
      </c>
      <c r="E449" s="22">
        <f>IF('Brouillard ventes'!$F$155="","",LEFT('Brouillard ventes'!$D$155,30))</f>
        <v/>
      </c>
      <c r="F449" s="22" t="inlineStr">
        <is>
          <t>15001</t>
        </is>
      </c>
      <c r="G449" s="22">
        <f>IF('Brouillard ventes'!$F$155="","",Paramètres!$B$7)</f>
        <v/>
      </c>
      <c r="H449" s="22">
        <f>IF('Brouillard ventes'!$F$155="","",IF('Brouillard ventes'!$C$155="","CD001",'Brouillard ventes'!$C$155))</f>
        <v/>
      </c>
      <c r="I449" s="22" t="inlineStr"/>
      <c r="J449" s="22" t="inlineStr"/>
      <c r="K449" s="22">
        <f>IF('Brouillard ventes'!$F$155="","",Paramètres!$B$11)</f>
        <v/>
      </c>
      <c r="L449" s="23">
        <f>IF('Brouillard ventes'!$F$155="","",'Brouillard ventes'!$I$155)</f>
        <v/>
      </c>
      <c r="M449" s="23" t="n">
        <v>0</v>
      </c>
    </row>
    <row r="450">
      <c r="A450" s="22" t="inlineStr">
        <is>
          <t>1</t>
        </is>
      </c>
      <c r="B450" s="22">
        <f>IF('Brouillard ventes'!$F$155="","","VD"&amp;TEXT(ROW('Brouillard ventes'!$F$155)-5,"00000"))</f>
        <v/>
      </c>
      <c r="C450" s="22">
        <f>IF('Brouillard ventes'!$F$155="","",YEAR('Brouillard ventes'!$A$155)*10000+MONTH('Brouillard ventes'!$A$155)*100+DAY('Brouillard ventes'!$A$155))</f>
        <v/>
      </c>
      <c r="D450" s="22">
        <f>IF('Brouillard ventes'!$F$155="","",'Brouillard ventes'!$B$155)</f>
        <v/>
      </c>
      <c r="E450" s="22">
        <f>IF('Brouillard ventes'!$F$155="","",LEFT('Brouillard ventes'!$D$155,30))</f>
        <v/>
      </c>
      <c r="F450" s="22" t="inlineStr">
        <is>
          <t>15001</t>
        </is>
      </c>
      <c r="G450" s="22">
        <f>IF('Brouillard ventes'!$F$155="","",IF('Brouillard ventes'!$E$155="Réparation",Paramètres!$B$9,Paramètres!$B$8))</f>
        <v/>
      </c>
      <c r="H450" s="22" t="inlineStr"/>
      <c r="I450" s="22" t="inlineStr"/>
      <c r="J450" s="22" t="inlineStr"/>
      <c r="K450" s="22">
        <f>IF('Brouillard ventes'!$F$155="","",Paramètres!$B$11)</f>
        <v/>
      </c>
      <c r="L450" s="23" t="n">
        <v>0</v>
      </c>
      <c r="M450" s="23">
        <f>IF('Brouillard ventes'!$F$155="","",'Brouillard ventes'!$F$155)</f>
        <v/>
      </c>
    </row>
    <row r="451">
      <c r="A451" s="22" t="inlineStr">
        <is>
          <t>1</t>
        </is>
      </c>
      <c r="B451" s="22">
        <f>IF('Brouillard ventes'!$F$155="","","VD"&amp;TEXT(ROW('Brouillard ventes'!$F$155)-5,"00000"))</f>
        <v/>
      </c>
      <c r="C451" s="22">
        <f>IF('Brouillard ventes'!$F$155="","",YEAR('Brouillard ventes'!$A$155)*10000+MONTH('Brouillard ventes'!$A$155)*100+DAY('Brouillard ventes'!$A$155))</f>
        <v/>
      </c>
      <c r="D451" s="22">
        <f>IF('Brouillard ventes'!$F$155="","",'Brouillard ventes'!$B$155)</f>
        <v/>
      </c>
      <c r="E451" s="22">
        <f>IF('Brouillard ventes'!$F$155="","",LEFT('Brouillard ventes'!$D$155,30))</f>
        <v/>
      </c>
      <c r="F451" s="22" t="inlineStr">
        <is>
          <t>15001</t>
        </is>
      </c>
      <c r="G451" s="22">
        <f>IF('Brouillard ventes'!$F$155="","",Paramètres!$B$10)</f>
        <v/>
      </c>
      <c r="H451" s="22" t="inlineStr"/>
      <c r="I451" s="22" t="inlineStr"/>
      <c r="J451" s="22" t="inlineStr"/>
      <c r="K451" s="22">
        <f>IF('Brouillard ventes'!$F$155="","",Paramètres!$B$11)</f>
        <v/>
      </c>
      <c r="L451" s="23" t="n">
        <v>0</v>
      </c>
      <c r="M451" s="23">
        <f>IF('Brouillard ventes'!$F$155="","",'Brouillard ventes'!$H$155)</f>
        <v/>
      </c>
    </row>
    <row r="452">
      <c r="A452" s="22" t="inlineStr">
        <is>
          <t>1</t>
        </is>
      </c>
      <c r="B452" s="22">
        <f>IF('Brouillard ventes'!$F$156="","","VD"&amp;TEXT(ROW('Brouillard ventes'!$F$156)-5,"00000"))</f>
        <v/>
      </c>
      <c r="C452" s="22">
        <f>IF('Brouillard ventes'!$F$156="","",YEAR('Brouillard ventes'!$A$156)*10000+MONTH('Brouillard ventes'!$A$156)*100+DAY('Brouillard ventes'!$A$156))</f>
        <v/>
      </c>
      <c r="D452" s="22">
        <f>IF('Brouillard ventes'!$F$156="","",'Brouillard ventes'!$B$156)</f>
        <v/>
      </c>
      <c r="E452" s="22">
        <f>IF('Brouillard ventes'!$F$156="","",LEFT('Brouillard ventes'!$D$156,30))</f>
        <v/>
      </c>
      <c r="F452" s="22" t="inlineStr">
        <is>
          <t>15001</t>
        </is>
      </c>
      <c r="G452" s="22">
        <f>IF('Brouillard ventes'!$F$156="","",Paramètres!$B$7)</f>
        <v/>
      </c>
      <c r="H452" s="22">
        <f>IF('Brouillard ventes'!$F$156="","",IF('Brouillard ventes'!$C$156="","CD001",'Brouillard ventes'!$C$156))</f>
        <v/>
      </c>
      <c r="I452" s="22" t="inlineStr"/>
      <c r="J452" s="22" t="inlineStr"/>
      <c r="K452" s="22">
        <f>IF('Brouillard ventes'!$F$156="","",Paramètres!$B$11)</f>
        <v/>
      </c>
      <c r="L452" s="23">
        <f>IF('Brouillard ventes'!$F$156="","",'Brouillard ventes'!$I$156)</f>
        <v/>
      </c>
      <c r="M452" s="23" t="n">
        <v>0</v>
      </c>
    </row>
    <row r="453">
      <c r="A453" s="22" t="inlineStr">
        <is>
          <t>1</t>
        </is>
      </c>
      <c r="B453" s="22">
        <f>IF('Brouillard ventes'!$F$156="","","VD"&amp;TEXT(ROW('Brouillard ventes'!$F$156)-5,"00000"))</f>
        <v/>
      </c>
      <c r="C453" s="22">
        <f>IF('Brouillard ventes'!$F$156="","",YEAR('Brouillard ventes'!$A$156)*10000+MONTH('Brouillard ventes'!$A$156)*100+DAY('Brouillard ventes'!$A$156))</f>
        <v/>
      </c>
      <c r="D453" s="22">
        <f>IF('Brouillard ventes'!$F$156="","",'Brouillard ventes'!$B$156)</f>
        <v/>
      </c>
      <c r="E453" s="22">
        <f>IF('Brouillard ventes'!$F$156="","",LEFT('Brouillard ventes'!$D$156,30))</f>
        <v/>
      </c>
      <c r="F453" s="22" t="inlineStr">
        <is>
          <t>15001</t>
        </is>
      </c>
      <c r="G453" s="22">
        <f>IF('Brouillard ventes'!$F$156="","",IF('Brouillard ventes'!$E$156="Réparation",Paramètres!$B$9,Paramètres!$B$8))</f>
        <v/>
      </c>
      <c r="H453" s="22" t="inlineStr"/>
      <c r="I453" s="22" t="inlineStr"/>
      <c r="J453" s="22" t="inlineStr"/>
      <c r="K453" s="22">
        <f>IF('Brouillard ventes'!$F$156="","",Paramètres!$B$11)</f>
        <v/>
      </c>
      <c r="L453" s="23" t="n">
        <v>0</v>
      </c>
      <c r="M453" s="23">
        <f>IF('Brouillard ventes'!$F$156="","",'Brouillard ventes'!$F$156)</f>
        <v/>
      </c>
    </row>
    <row r="454">
      <c r="A454" s="22" t="inlineStr">
        <is>
          <t>1</t>
        </is>
      </c>
      <c r="B454" s="22">
        <f>IF('Brouillard ventes'!$F$156="","","VD"&amp;TEXT(ROW('Brouillard ventes'!$F$156)-5,"00000"))</f>
        <v/>
      </c>
      <c r="C454" s="22">
        <f>IF('Brouillard ventes'!$F$156="","",YEAR('Brouillard ventes'!$A$156)*10000+MONTH('Brouillard ventes'!$A$156)*100+DAY('Brouillard ventes'!$A$156))</f>
        <v/>
      </c>
      <c r="D454" s="22">
        <f>IF('Brouillard ventes'!$F$156="","",'Brouillard ventes'!$B$156)</f>
        <v/>
      </c>
      <c r="E454" s="22">
        <f>IF('Brouillard ventes'!$F$156="","",LEFT('Brouillard ventes'!$D$156,30))</f>
        <v/>
      </c>
      <c r="F454" s="22" t="inlineStr">
        <is>
          <t>15001</t>
        </is>
      </c>
      <c r="G454" s="22">
        <f>IF('Brouillard ventes'!$F$156="","",Paramètres!$B$10)</f>
        <v/>
      </c>
      <c r="H454" s="22" t="inlineStr"/>
      <c r="I454" s="22" t="inlineStr"/>
      <c r="J454" s="22" t="inlineStr"/>
      <c r="K454" s="22">
        <f>IF('Brouillard ventes'!$F$156="","",Paramètres!$B$11)</f>
        <v/>
      </c>
      <c r="L454" s="23" t="n">
        <v>0</v>
      </c>
      <c r="M454" s="23">
        <f>IF('Brouillard ventes'!$F$156="","",'Brouillard ventes'!$H$156)</f>
        <v/>
      </c>
    </row>
    <row r="455">
      <c r="A455" s="22" t="inlineStr">
        <is>
          <t>1</t>
        </is>
      </c>
      <c r="B455" s="22">
        <f>IF('Brouillard ventes'!$F$157="","","VD"&amp;TEXT(ROW('Brouillard ventes'!$F$157)-5,"00000"))</f>
        <v/>
      </c>
      <c r="C455" s="22">
        <f>IF('Brouillard ventes'!$F$157="","",YEAR('Brouillard ventes'!$A$157)*10000+MONTH('Brouillard ventes'!$A$157)*100+DAY('Brouillard ventes'!$A$157))</f>
        <v/>
      </c>
      <c r="D455" s="22">
        <f>IF('Brouillard ventes'!$F$157="","",'Brouillard ventes'!$B$157)</f>
        <v/>
      </c>
      <c r="E455" s="22">
        <f>IF('Brouillard ventes'!$F$157="","",LEFT('Brouillard ventes'!$D$157,30))</f>
        <v/>
      </c>
      <c r="F455" s="22" t="inlineStr">
        <is>
          <t>15001</t>
        </is>
      </c>
      <c r="G455" s="22">
        <f>IF('Brouillard ventes'!$F$157="","",Paramètres!$B$7)</f>
        <v/>
      </c>
      <c r="H455" s="22">
        <f>IF('Brouillard ventes'!$F$157="","",IF('Brouillard ventes'!$C$157="","CD001",'Brouillard ventes'!$C$157))</f>
        <v/>
      </c>
      <c r="I455" s="22" t="inlineStr"/>
      <c r="J455" s="22" t="inlineStr"/>
      <c r="K455" s="22">
        <f>IF('Brouillard ventes'!$F$157="","",Paramètres!$B$11)</f>
        <v/>
      </c>
      <c r="L455" s="23">
        <f>IF('Brouillard ventes'!$F$157="","",'Brouillard ventes'!$I$157)</f>
        <v/>
      </c>
      <c r="M455" s="23" t="n">
        <v>0</v>
      </c>
    </row>
    <row r="456">
      <c r="A456" s="22" t="inlineStr">
        <is>
          <t>1</t>
        </is>
      </c>
      <c r="B456" s="22">
        <f>IF('Brouillard ventes'!$F$157="","","VD"&amp;TEXT(ROW('Brouillard ventes'!$F$157)-5,"00000"))</f>
        <v/>
      </c>
      <c r="C456" s="22">
        <f>IF('Brouillard ventes'!$F$157="","",YEAR('Brouillard ventes'!$A$157)*10000+MONTH('Brouillard ventes'!$A$157)*100+DAY('Brouillard ventes'!$A$157))</f>
        <v/>
      </c>
      <c r="D456" s="22">
        <f>IF('Brouillard ventes'!$F$157="","",'Brouillard ventes'!$B$157)</f>
        <v/>
      </c>
      <c r="E456" s="22">
        <f>IF('Brouillard ventes'!$F$157="","",LEFT('Brouillard ventes'!$D$157,30))</f>
        <v/>
      </c>
      <c r="F456" s="22" t="inlineStr">
        <is>
          <t>15001</t>
        </is>
      </c>
      <c r="G456" s="22">
        <f>IF('Brouillard ventes'!$F$157="","",IF('Brouillard ventes'!$E$157="Réparation",Paramètres!$B$9,Paramètres!$B$8))</f>
        <v/>
      </c>
      <c r="H456" s="22" t="inlineStr"/>
      <c r="I456" s="22" t="inlineStr"/>
      <c r="J456" s="22" t="inlineStr"/>
      <c r="K456" s="22">
        <f>IF('Brouillard ventes'!$F$157="","",Paramètres!$B$11)</f>
        <v/>
      </c>
      <c r="L456" s="23" t="n">
        <v>0</v>
      </c>
      <c r="M456" s="23">
        <f>IF('Brouillard ventes'!$F$157="","",'Brouillard ventes'!$F$157)</f>
        <v/>
      </c>
    </row>
    <row r="457">
      <c r="A457" s="22" t="inlineStr">
        <is>
          <t>1</t>
        </is>
      </c>
      <c r="B457" s="22">
        <f>IF('Brouillard ventes'!$F$157="","","VD"&amp;TEXT(ROW('Brouillard ventes'!$F$157)-5,"00000"))</f>
        <v/>
      </c>
      <c r="C457" s="22">
        <f>IF('Brouillard ventes'!$F$157="","",YEAR('Brouillard ventes'!$A$157)*10000+MONTH('Brouillard ventes'!$A$157)*100+DAY('Brouillard ventes'!$A$157))</f>
        <v/>
      </c>
      <c r="D457" s="22">
        <f>IF('Brouillard ventes'!$F$157="","",'Brouillard ventes'!$B$157)</f>
        <v/>
      </c>
      <c r="E457" s="22">
        <f>IF('Brouillard ventes'!$F$157="","",LEFT('Brouillard ventes'!$D$157,30))</f>
        <v/>
      </c>
      <c r="F457" s="22" t="inlineStr">
        <is>
          <t>15001</t>
        </is>
      </c>
      <c r="G457" s="22">
        <f>IF('Brouillard ventes'!$F$157="","",Paramètres!$B$10)</f>
        <v/>
      </c>
      <c r="H457" s="22" t="inlineStr"/>
      <c r="I457" s="22" t="inlineStr"/>
      <c r="J457" s="22" t="inlineStr"/>
      <c r="K457" s="22">
        <f>IF('Brouillard ventes'!$F$157="","",Paramètres!$B$11)</f>
        <v/>
      </c>
      <c r="L457" s="23" t="n">
        <v>0</v>
      </c>
      <c r="M457" s="23">
        <f>IF('Brouillard ventes'!$F$157="","",'Brouillard ventes'!$H$157)</f>
        <v/>
      </c>
    </row>
    <row r="458">
      <c r="A458" s="22" t="inlineStr">
        <is>
          <t>1</t>
        </is>
      </c>
      <c r="B458" s="22">
        <f>IF('Brouillard ventes'!$F$158="","","VD"&amp;TEXT(ROW('Brouillard ventes'!$F$158)-5,"00000"))</f>
        <v/>
      </c>
      <c r="C458" s="22">
        <f>IF('Brouillard ventes'!$F$158="","",YEAR('Brouillard ventes'!$A$158)*10000+MONTH('Brouillard ventes'!$A$158)*100+DAY('Brouillard ventes'!$A$158))</f>
        <v/>
      </c>
      <c r="D458" s="22">
        <f>IF('Brouillard ventes'!$F$158="","",'Brouillard ventes'!$B$158)</f>
        <v/>
      </c>
      <c r="E458" s="22">
        <f>IF('Brouillard ventes'!$F$158="","",LEFT('Brouillard ventes'!$D$158,30))</f>
        <v/>
      </c>
      <c r="F458" s="22" t="inlineStr">
        <is>
          <t>15001</t>
        </is>
      </c>
      <c r="G458" s="22">
        <f>IF('Brouillard ventes'!$F$158="","",Paramètres!$B$7)</f>
        <v/>
      </c>
      <c r="H458" s="22">
        <f>IF('Brouillard ventes'!$F$158="","",IF('Brouillard ventes'!$C$158="","CD001",'Brouillard ventes'!$C$158))</f>
        <v/>
      </c>
      <c r="I458" s="22" t="inlineStr"/>
      <c r="J458" s="22" t="inlineStr"/>
      <c r="K458" s="22">
        <f>IF('Brouillard ventes'!$F$158="","",Paramètres!$B$11)</f>
        <v/>
      </c>
      <c r="L458" s="23">
        <f>IF('Brouillard ventes'!$F$158="","",'Brouillard ventes'!$I$158)</f>
        <v/>
      </c>
      <c r="M458" s="23" t="n">
        <v>0</v>
      </c>
    </row>
    <row r="459">
      <c r="A459" s="22" t="inlineStr">
        <is>
          <t>1</t>
        </is>
      </c>
      <c r="B459" s="22">
        <f>IF('Brouillard ventes'!$F$158="","","VD"&amp;TEXT(ROW('Brouillard ventes'!$F$158)-5,"00000"))</f>
        <v/>
      </c>
      <c r="C459" s="22">
        <f>IF('Brouillard ventes'!$F$158="","",YEAR('Brouillard ventes'!$A$158)*10000+MONTH('Brouillard ventes'!$A$158)*100+DAY('Brouillard ventes'!$A$158))</f>
        <v/>
      </c>
      <c r="D459" s="22">
        <f>IF('Brouillard ventes'!$F$158="","",'Brouillard ventes'!$B$158)</f>
        <v/>
      </c>
      <c r="E459" s="22">
        <f>IF('Brouillard ventes'!$F$158="","",LEFT('Brouillard ventes'!$D$158,30))</f>
        <v/>
      </c>
      <c r="F459" s="22" t="inlineStr">
        <is>
          <t>15001</t>
        </is>
      </c>
      <c r="G459" s="22">
        <f>IF('Brouillard ventes'!$F$158="","",IF('Brouillard ventes'!$E$158="Réparation",Paramètres!$B$9,Paramètres!$B$8))</f>
        <v/>
      </c>
      <c r="H459" s="22" t="inlineStr"/>
      <c r="I459" s="22" t="inlineStr"/>
      <c r="J459" s="22" t="inlineStr"/>
      <c r="K459" s="22">
        <f>IF('Brouillard ventes'!$F$158="","",Paramètres!$B$11)</f>
        <v/>
      </c>
      <c r="L459" s="23" t="n">
        <v>0</v>
      </c>
      <c r="M459" s="23">
        <f>IF('Brouillard ventes'!$F$158="","",'Brouillard ventes'!$F$158)</f>
        <v/>
      </c>
    </row>
    <row r="460">
      <c r="A460" s="22" t="inlineStr">
        <is>
          <t>1</t>
        </is>
      </c>
      <c r="B460" s="22">
        <f>IF('Brouillard ventes'!$F$158="","","VD"&amp;TEXT(ROW('Brouillard ventes'!$F$158)-5,"00000"))</f>
        <v/>
      </c>
      <c r="C460" s="22">
        <f>IF('Brouillard ventes'!$F$158="","",YEAR('Brouillard ventes'!$A$158)*10000+MONTH('Brouillard ventes'!$A$158)*100+DAY('Brouillard ventes'!$A$158))</f>
        <v/>
      </c>
      <c r="D460" s="22">
        <f>IF('Brouillard ventes'!$F$158="","",'Brouillard ventes'!$B$158)</f>
        <v/>
      </c>
      <c r="E460" s="22">
        <f>IF('Brouillard ventes'!$F$158="","",LEFT('Brouillard ventes'!$D$158,30))</f>
        <v/>
      </c>
      <c r="F460" s="22" t="inlineStr">
        <is>
          <t>15001</t>
        </is>
      </c>
      <c r="G460" s="22">
        <f>IF('Brouillard ventes'!$F$158="","",Paramètres!$B$10)</f>
        <v/>
      </c>
      <c r="H460" s="22" t="inlineStr"/>
      <c r="I460" s="22" t="inlineStr"/>
      <c r="J460" s="22" t="inlineStr"/>
      <c r="K460" s="22">
        <f>IF('Brouillard ventes'!$F$158="","",Paramètres!$B$11)</f>
        <v/>
      </c>
      <c r="L460" s="23" t="n">
        <v>0</v>
      </c>
      <c r="M460" s="23">
        <f>IF('Brouillard ventes'!$F$158="","",'Brouillard ventes'!$H$158)</f>
        <v/>
      </c>
    </row>
    <row r="461">
      <c r="A461" s="22" t="inlineStr">
        <is>
          <t>1</t>
        </is>
      </c>
      <c r="B461" s="22">
        <f>IF('Brouillard ventes'!$F$159="","","VD"&amp;TEXT(ROW('Brouillard ventes'!$F$159)-5,"00000"))</f>
        <v/>
      </c>
      <c r="C461" s="22">
        <f>IF('Brouillard ventes'!$F$159="","",YEAR('Brouillard ventes'!$A$159)*10000+MONTH('Brouillard ventes'!$A$159)*100+DAY('Brouillard ventes'!$A$159))</f>
        <v/>
      </c>
      <c r="D461" s="22">
        <f>IF('Brouillard ventes'!$F$159="","",'Brouillard ventes'!$B$159)</f>
        <v/>
      </c>
      <c r="E461" s="22">
        <f>IF('Brouillard ventes'!$F$159="","",LEFT('Brouillard ventes'!$D$159,30))</f>
        <v/>
      </c>
      <c r="F461" s="22" t="inlineStr">
        <is>
          <t>15001</t>
        </is>
      </c>
      <c r="G461" s="22">
        <f>IF('Brouillard ventes'!$F$159="","",Paramètres!$B$7)</f>
        <v/>
      </c>
      <c r="H461" s="22">
        <f>IF('Brouillard ventes'!$F$159="","",IF('Brouillard ventes'!$C$159="","CD001",'Brouillard ventes'!$C$159))</f>
        <v/>
      </c>
      <c r="I461" s="22" t="inlineStr"/>
      <c r="J461" s="22" t="inlineStr"/>
      <c r="K461" s="22">
        <f>IF('Brouillard ventes'!$F$159="","",Paramètres!$B$11)</f>
        <v/>
      </c>
      <c r="L461" s="23">
        <f>IF('Brouillard ventes'!$F$159="","",'Brouillard ventes'!$I$159)</f>
        <v/>
      </c>
      <c r="M461" s="23" t="n">
        <v>0</v>
      </c>
    </row>
    <row r="462">
      <c r="A462" s="22" t="inlineStr">
        <is>
          <t>1</t>
        </is>
      </c>
      <c r="B462" s="22">
        <f>IF('Brouillard ventes'!$F$159="","","VD"&amp;TEXT(ROW('Brouillard ventes'!$F$159)-5,"00000"))</f>
        <v/>
      </c>
      <c r="C462" s="22">
        <f>IF('Brouillard ventes'!$F$159="","",YEAR('Brouillard ventes'!$A$159)*10000+MONTH('Brouillard ventes'!$A$159)*100+DAY('Brouillard ventes'!$A$159))</f>
        <v/>
      </c>
      <c r="D462" s="22">
        <f>IF('Brouillard ventes'!$F$159="","",'Brouillard ventes'!$B$159)</f>
        <v/>
      </c>
      <c r="E462" s="22">
        <f>IF('Brouillard ventes'!$F$159="","",LEFT('Brouillard ventes'!$D$159,30))</f>
        <v/>
      </c>
      <c r="F462" s="22" t="inlineStr">
        <is>
          <t>15001</t>
        </is>
      </c>
      <c r="G462" s="22">
        <f>IF('Brouillard ventes'!$F$159="","",IF('Brouillard ventes'!$E$159="Réparation",Paramètres!$B$9,Paramètres!$B$8))</f>
        <v/>
      </c>
      <c r="H462" s="22" t="inlineStr"/>
      <c r="I462" s="22" t="inlineStr"/>
      <c r="J462" s="22" t="inlineStr"/>
      <c r="K462" s="22">
        <f>IF('Brouillard ventes'!$F$159="","",Paramètres!$B$11)</f>
        <v/>
      </c>
      <c r="L462" s="23" t="n">
        <v>0</v>
      </c>
      <c r="M462" s="23">
        <f>IF('Brouillard ventes'!$F$159="","",'Brouillard ventes'!$F$159)</f>
        <v/>
      </c>
    </row>
    <row r="463">
      <c r="A463" s="22" t="inlineStr">
        <is>
          <t>1</t>
        </is>
      </c>
      <c r="B463" s="22">
        <f>IF('Brouillard ventes'!$F$159="","","VD"&amp;TEXT(ROW('Brouillard ventes'!$F$159)-5,"00000"))</f>
        <v/>
      </c>
      <c r="C463" s="22">
        <f>IF('Brouillard ventes'!$F$159="","",YEAR('Brouillard ventes'!$A$159)*10000+MONTH('Brouillard ventes'!$A$159)*100+DAY('Brouillard ventes'!$A$159))</f>
        <v/>
      </c>
      <c r="D463" s="22">
        <f>IF('Brouillard ventes'!$F$159="","",'Brouillard ventes'!$B$159)</f>
        <v/>
      </c>
      <c r="E463" s="22">
        <f>IF('Brouillard ventes'!$F$159="","",LEFT('Brouillard ventes'!$D$159,30))</f>
        <v/>
      </c>
      <c r="F463" s="22" t="inlineStr">
        <is>
          <t>15001</t>
        </is>
      </c>
      <c r="G463" s="22">
        <f>IF('Brouillard ventes'!$F$159="","",Paramètres!$B$10)</f>
        <v/>
      </c>
      <c r="H463" s="22" t="inlineStr"/>
      <c r="I463" s="22" t="inlineStr"/>
      <c r="J463" s="22" t="inlineStr"/>
      <c r="K463" s="22">
        <f>IF('Brouillard ventes'!$F$159="","",Paramètres!$B$11)</f>
        <v/>
      </c>
      <c r="L463" s="23" t="n">
        <v>0</v>
      </c>
      <c r="M463" s="23">
        <f>IF('Brouillard ventes'!$F$159="","",'Brouillard ventes'!$H$159)</f>
        <v/>
      </c>
    </row>
    <row r="464">
      <c r="A464" s="22" t="inlineStr">
        <is>
          <t>1</t>
        </is>
      </c>
      <c r="B464" s="22">
        <f>IF('Brouillard ventes'!$F$160="","","VD"&amp;TEXT(ROW('Brouillard ventes'!$F$160)-5,"00000"))</f>
        <v/>
      </c>
      <c r="C464" s="22">
        <f>IF('Brouillard ventes'!$F$160="","",YEAR('Brouillard ventes'!$A$160)*10000+MONTH('Brouillard ventes'!$A$160)*100+DAY('Brouillard ventes'!$A$160))</f>
        <v/>
      </c>
      <c r="D464" s="22">
        <f>IF('Brouillard ventes'!$F$160="","",'Brouillard ventes'!$B$160)</f>
        <v/>
      </c>
      <c r="E464" s="22">
        <f>IF('Brouillard ventes'!$F$160="","",LEFT('Brouillard ventes'!$D$160,30))</f>
        <v/>
      </c>
      <c r="F464" s="22" t="inlineStr">
        <is>
          <t>15001</t>
        </is>
      </c>
      <c r="G464" s="22">
        <f>IF('Brouillard ventes'!$F$160="","",Paramètres!$B$7)</f>
        <v/>
      </c>
      <c r="H464" s="22">
        <f>IF('Brouillard ventes'!$F$160="","",IF('Brouillard ventes'!$C$160="","CD001",'Brouillard ventes'!$C$160))</f>
        <v/>
      </c>
      <c r="I464" s="22" t="inlineStr"/>
      <c r="J464" s="22" t="inlineStr"/>
      <c r="K464" s="22">
        <f>IF('Brouillard ventes'!$F$160="","",Paramètres!$B$11)</f>
        <v/>
      </c>
      <c r="L464" s="23">
        <f>IF('Brouillard ventes'!$F$160="","",'Brouillard ventes'!$I$160)</f>
        <v/>
      </c>
      <c r="M464" s="23" t="n">
        <v>0</v>
      </c>
    </row>
    <row r="465">
      <c r="A465" s="22" t="inlineStr">
        <is>
          <t>1</t>
        </is>
      </c>
      <c r="B465" s="22">
        <f>IF('Brouillard ventes'!$F$160="","","VD"&amp;TEXT(ROW('Brouillard ventes'!$F$160)-5,"00000"))</f>
        <v/>
      </c>
      <c r="C465" s="22">
        <f>IF('Brouillard ventes'!$F$160="","",YEAR('Brouillard ventes'!$A$160)*10000+MONTH('Brouillard ventes'!$A$160)*100+DAY('Brouillard ventes'!$A$160))</f>
        <v/>
      </c>
      <c r="D465" s="22">
        <f>IF('Brouillard ventes'!$F$160="","",'Brouillard ventes'!$B$160)</f>
        <v/>
      </c>
      <c r="E465" s="22">
        <f>IF('Brouillard ventes'!$F$160="","",LEFT('Brouillard ventes'!$D$160,30))</f>
        <v/>
      </c>
      <c r="F465" s="22" t="inlineStr">
        <is>
          <t>15001</t>
        </is>
      </c>
      <c r="G465" s="22">
        <f>IF('Brouillard ventes'!$F$160="","",IF('Brouillard ventes'!$E$160="Réparation",Paramètres!$B$9,Paramètres!$B$8))</f>
        <v/>
      </c>
      <c r="H465" s="22" t="inlineStr"/>
      <c r="I465" s="22" t="inlineStr"/>
      <c r="J465" s="22" t="inlineStr"/>
      <c r="K465" s="22">
        <f>IF('Brouillard ventes'!$F$160="","",Paramètres!$B$11)</f>
        <v/>
      </c>
      <c r="L465" s="23" t="n">
        <v>0</v>
      </c>
      <c r="M465" s="23">
        <f>IF('Brouillard ventes'!$F$160="","",'Brouillard ventes'!$F$160)</f>
        <v/>
      </c>
    </row>
    <row r="466">
      <c r="A466" s="22" t="inlineStr">
        <is>
          <t>1</t>
        </is>
      </c>
      <c r="B466" s="22">
        <f>IF('Brouillard ventes'!$F$160="","","VD"&amp;TEXT(ROW('Brouillard ventes'!$F$160)-5,"00000"))</f>
        <v/>
      </c>
      <c r="C466" s="22">
        <f>IF('Brouillard ventes'!$F$160="","",YEAR('Brouillard ventes'!$A$160)*10000+MONTH('Brouillard ventes'!$A$160)*100+DAY('Brouillard ventes'!$A$160))</f>
        <v/>
      </c>
      <c r="D466" s="22">
        <f>IF('Brouillard ventes'!$F$160="","",'Brouillard ventes'!$B$160)</f>
        <v/>
      </c>
      <c r="E466" s="22">
        <f>IF('Brouillard ventes'!$F$160="","",LEFT('Brouillard ventes'!$D$160,30))</f>
        <v/>
      </c>
      <c r="F466" s="22" t="inlineStr">
        <is>
          <t>15001</t>
        </is>
      </c>
      <c r="G466" s="22">
        <f>IF('Brouillard ventes'!$F$160="","",Paramètres!$B$10)</f>
        <v/>
      </c>
      <c r="H466" s="22" t="inlineStr"/>
      <c r="I466" s="22" t="inlineStr"/>
      <c r="J466" s="22" t="inlineStr"/>
      <c r="K466" s="22">
        <f>IF('Brouillard ventes'!$F$160="","",Paramètres!$B$11)</f>
        <v/>
      </c>
      <c r="L466" s="23" t="n">
        <v>0</v>
      </c>
      <c r="M466" s="23">
        <f>IF('Brouillard ventes'!$F$160="","",'Brouillard ventes'!$H$160)</f>
        <v/>
      </c>
    </row>
    <row r="467">
      <c r="A467" s="22" t="inlineStr">
        <is>
          <t>1</t>
        </is>
      </c>
      <c r="B467" s="22">
        <f>IF('Brouillard ventes'!$F$161="","","VD"&amp;TEXT(ROW('Brouillard ventes'!$F$161)-5,"00000"))</f>
        <v/>
      </c>
      <c r="C467" s="22">
        <f>IF('Brouillard ventes'!$F$161="","",YEAR('Brouillard ventes'!$A$161)*10000+MONTH('Brouillard ventes'!$A$161)*100+DAY('Brouillard ventes'!$A$161))</f>
        <v/>
      </c>
      <c r="D467" s="22">
        <f>IF('Brouillard ventes'!$F$161="","",'Brouillard ventes'!$B$161)</f>
        <v/>
      </c>
      <c r="E467" s="22">
        <f>IF('Brouillard ventes'!$F$161="","",LEFT('Brouillard ventes'!$D$161,30))</f>
        <v/>
      </c>
      <c r="F467" s="22" t="inlineStr">
        <is>
          <t>15001</t>
        </is>
      </c>
      <c r="G467" s="22">
        <f>IF('Brouillard ventes'!$F$161="","",Paramètres!$B$7)</f>
        <v/>
      </c>
      <c r="H467" s="22">
        <f>IF('Brouillard ventes'!$F$161="","",IF('Brouillard ventes'!$C$161="","CD001",'Brouillard ventes'!$C$161))</f>
        <v/>
      </c>
      <c r="I467" s="22" t="inlineStr"/>
      <c r="J467" s="22" t="inlineStr"/>
      <c r="K467" s="22">
        <f>IF('Brouillard ventes'!$F$161="","",Paramètres!$B$11)</f>
        <v/>
      </c>
      <c r="L467" s="23">
        <f>IF('Brouillard ventes'!$F$161="","",'Brouillard ventes'!$I$161)</f>
        <v/>
      </c>
      <c r="M467" s="23" t="n">
        <v>0</v>
      </c>
    </row>
    <row r="468">
      <c r="A468" s="22" t="inlineStr">
        <is>
          <t>1</t>
        </is>
      </c>
      <c r="B468" s="22">
        <f>IF('Brouillard ventes'!$F$161="","","VD"&amp;TEXT(ROW('Brouillard ventes'!$F$161)-5,"00000"))</f>
        <v/>
      </c>
      <c r="C468" s="22">
        <f>IF('Brouillard ventes'!$F$161="","",YEAR('Brouillard ventes'!$A$161)*10000+MONTH('Brouillard ventes'!$A$161)*100+DAY('Brouillard ventes'!$A$161))</f>
        <v/>
      </c>
      <c r="D468" s="22">
        <f>IF('Brouillard ventes'!$F$161="","",'Brouillard ventes'!$B$161)</f>
        <v/>
      </c>
      <c r="E468" s="22">
        <f>IF('Brouillard ventes'!$F$161="","",LEFT('Brouillard ventes'!$D$161,30))</f>
        <v/>
      </c>
      <c r="F468" s="22" t="inlineStr">
        <is>
          <t>15001</t>
        </is>
      </c>
      <c r="G468" s="22">
        <f>IF('Brouillard ventes'!$F$161="","",IF('Brouillard ventes'!$E$161="Réparation",Paramètres!$B$9,Paramètres!$B$8))</f>
        <v/>
      </c>
      <c r="H468" s="22" t="inlineStr"/>
      <c r="I468" s="22" t="inlineStr"/>
      <c r="J468" s="22" t="inlineStr"/>
      <c r="K468" s="22">
        <f>IF('Brouillard ventes'!$F$161="","",Paramètres!$B$11)</f>
        <v/>
      </c>
      <c r="L468" s="23" t="n">
        <v>0</v>
      </c>
      <c r="M468" s="23">
        <f>IF('Brouillard ventes'!$F$161="","",'Brouillard ventes'!$F$161)</f>
        <v/>
      </c>
    </row>
    <row r="469">
      <c r="A469" s="22" t="inlineStr">
        <is>
          <t>1</t>
        </is>
      </c>
      <c r="B469" s="22">
        <f>IF('Brouillard ventes'!$F$161="","","VD"&amp;TEXT(ROW('Brouillard ventes'!$F$161)-5,"00000"))</f>
        <v/>
      </c>
      <c r="C469" s="22">
        <f>IF('Brouillard ventes'!$F$161="","",YEAR('Brouillard ventes'!$A$161)*10000+MONTH('Brouillard ventes'!$A$161)*100+DAY('Brouillard ventes'!$A$161))</f>
        <v/>
      </c>
      <c r="D469" s="22">
        <f>IF('Brouillard ventes'!$F$161="","",'Brouillard ventes'!$B$161)</f>
        <v/>
      </c>
      <c r="E469" s="22">
        <f>IF('Brouillard ventes'!$F$161="","",LEFT('Brouillard ventes'!$D$161,30))</f>
        <v/>
      </c>
      <c r="F469" s="22" t="inlineStr">
        <is>
          <t>15001</t>
        </is>
      </c>
      <c r="G469" s="22">
        <f>IF('Brouillard ventes'!$F$161="","",Paramètres!$B$10)</f>
        <v/>
      </c>
      <c r="H469" s="22" t="inlineStr"/>
      <c r="I469" s="22" t="inlineStr"/>
      <c r="J469" s="22" t="inlineStr"/>
      <c r="K469" s="22">
        <f>IF('Brouillard ventes'!$F$161="","",Paramètres!$B$11)</f>
        <v/>
      </c>
      <c r="L469" s="23" t="n">
        <v>0</v>
      </c>
      <c r="M469" s="23">
        <f>IF('Brouillard ventes'!$F$161="","",'Brouillard ventes'!$H$161)</f>
        <v/>
      </c>
    </row>
    <row r="470">
      <c r="A470" s="22" t="inlineStr">
        <is>
          <t>1</t>
        </is>
      </c>
      <c r="B470" s="22">
        <f>IF('Brouillard ventes'!$F$162="","","VD"&amp;TEXT(ROW('Brouillard ventes'!$F$162)-5,"00000"))</f>
        <v/>
      </c>
      <c r="C470" s="22">
        <f>IF('Brouillard ventes'!$F$162="","",YEAR('Brouillard ventes'!$A$162)*10000+MONTH('Brouillard ventes'!$A$162)*100+DAY('Brouillard ventes'!$A$162))</f>
        <v/>
      </c>
      <c r="D470" s="22">
        <f>IF('Brouillard ventes'!$F$162="","",'Brouillard ventes'!$B$162)</f>
        <v/>
      </c>
      <c r="E470" s="22">
        <f>IF('Brouillard ventes'!$F$162="","",LEFT('Brouillard ventes'!$D$162,30))</f>
        <v/>
      </c>
      <c r="F470" s="22" t="inlineStr">
        <is>
          <t>15001</t>
        </is>
      </c>
      <c r="G470" s="22">
        <f>IF('Brouillard ventes'!$F$162="","",Paramètres!$B$7)</f>
        <v/>
      </c>
      <c r="H470" s="22">
        <f>IF('Brouillard ventes'!$F$162="","",IF('Brouillard ventes'!$C$162="","CD001",'Brouillard ventes'!$C$162))</f>
        <v/>
      </c>
      <c r="I470" s="22" t="inlineStr"/>
      <c r="J470" s="22" t="inlineStr"/>
      <c r="K470" s="22">
        <f>IF('Brouillard ventes'!$F$162="","",Paramètres!$B$11)</f>
        <v/>
      </c>
      <c r="L470" s="23">
        <f>IF('Brouillard ventes'!$F$162="","",'Brouillard ventes'!$I$162)</f>
        <v/>
      </c>
      <c r="M470" s="23" t="n">
        <v>0</v>
      </c>
    </row>
    <row r="471">
      <c r="A471" s="22" t="inlineStr">
        <is>
          <t>1</t>
        </is>
      </c>
      <c r="B471" s="22">
        <f>IF('Brouillard ventes'!$F$162="","","VD"&amp;TEXT(ROW('Brouillard ventes'!$F$162)-5,"00000"))</f>
        <v/>
      </c>
      <c r="C471" s="22">
        <f>IF('Brouillard ventes'!$F$162="","",YEAR('Brouillard ventes'!$A$162)*10000+MONTH('Brouillard ventes'!$A$162)*100+DAY('Brouillard ventes'!$A$162))</f>
        <v/>
      </c>
      <c r="D471" s="22">
        <f>IF('Brouillard ventes'!$F$162="","",'Brouillard ventes'!$B$162)</f>
        <v/>
      </c>
      <c r="E471" s="22">
        <f>IF('Brouillard ventes'!$F$162="","",LEFT('Brouillard ventes'!$D$162,30))</f>
        <v/>
      </c>
      <c r="F471" s="22" t="inlineStr">
        <is>
          <t>15001</t>
        </is>
      </c>
      <c r="G471" s="22">
        <f>IF('Brouillard ventes'!$F$162="","",IF('Brouillard ventes'!$E$162="Réparation",Paramètres!$B$9,Paramètres!$B$8))</f>
        <v/>
      </c>
      <c r="H471" s="22" t="inlineStr"/>
      <c r="I471" s="22" t="inlineStr"/>
      <c r="J471" s="22" t="inlineStr"/>
      <c r="K471" s="22">
        <f>IF('Brouillard ventes'!$F$162="","",Paramètres!$B$11)</f>
        <v/>
      </c>
      <c r="L471" s="23" t="n">
        <v>0</v>
      </c>
      <c r="M471" s="23">
        <f>IF('Brouillard ventes'!$F$162="","",'Brouillard ventes'!$F$162)</f>
        <v/>
      </c>
    </row>
    <row r="472">
      <c r="A472" s="22" t="inlineStr">
        <is>
          <t>1</t>
        </is>
      </c>
      <c r="B472" s="22">
        <f>IF('Brouillard ventes'!$F$162="","","VD"&amp;TEXT(ROW('Brouillard ventes'!$F$162)-5,"00000"))</f>
        <v/>
      </c>
      <c r="C472" s="22">
        <f>IF('Brouillard ventes'!$F$162="","",YEAR('Brouillard ventes'!$A$162)*10000+MONTH('Brouillard ventes'!$A$162)*100+DAY('Brouillard ventes'!$A$162))</f>
        <v/>
      </c>
      <c r="D472" s="22">
        <f>IF('Brouillard ventes'!$F$162="","",'Brouillard ventes'!$B$162)</f>
        <v/>
      </c>
      <c r="E472" s="22">
        <f>IF('Brouillard ventes'!$F$162="","",LEFT('Brouillard ventes'!$D$162,30))</f>
        <v/>
      </c>
      <c r="F472" s="22" t="inlineStr">
        <is>
          <t>15001</t>
        </is>
      </c>
      <c r="G472" s="22">
        <f>IF('Brouillard ventes'!$F$162="","",Paramètres!$B$10)</f>
        <v/>
      </c>
      <c r="H472" s="22" t="inlineStr"/>
      <c r="I472" s="22" t="inlineStr"/>
      <c r="J472" s="22" t="inlineStr"/>
      <c r="K472" s="22">
        <f>IF('Brouillard ventes'!$F$162="","",Paramètres!$B$11)</f>
        <v/>
      </c>
      <c r="L472" s="23" t="n">
        <v>0</v>
      </c>
      <c r="M472" s="23">
        <f>IF('Brouillard ventes'!$F$162="","",'Brouillard ventes'!$H$162)</f>
        <v/>
      </c>
    </row>
    <row r="473">
      <c r="A473" s="22" t="inlineStr">
        <is>
          <t>1</t>
        </is>
      </c>
      <c r="B473" s="22">
        <f>IF('Brouillard ventes'!$F$163="","","VD"&amp;TEXT(ROW('Brouillard ventes'!$F$163)-5,"00000"))</f>
        <v/>
      </c>
      <c r="C473" s="22">
        <f>IF('Brouillard ventes'!$F$163="","",YEAR('Brouillard ventes'!$A$163)*10000+MONTH('Brouillard ventes'!$A$163)*100+DAY('Brouillard ventes'!$A$163))</f>
        <v/>
      </c>
      <c r="D473" s="22">
        <f>IF('Brouillard ventes'!$F$163="","",'Brouillard ventes'!$B$163)</f>
        <v/>
      </c>
      <c r="E473" s="22">
        <f>IF('Brouillard ventes'!$F$163="","",LEFT('Brouillard ventes'!$D$163,30))</f>
        <v/>
      </c>
      <c r="F473" s="22" t="inlineStr">
        <is>
          <t>15001</t>
        </is>
      </c>
      <c r="G473" s="22">
        <f>IF('Brouillard ventes'!$F$163="","",Paramètres!$B$7)</f>
        <v/>
      </c>
      <c r="H473" s="22">
        <f>IF('Brouillard ventes'!$F$163="","",IF('Brouillard ventes'!$C$163="","CD001",'Brouillard ventes'!$C$163))</f>
        <v/>
      </c>
      <c r="I473" s="22" t="inlineStr"/>
      <c r="J473" s="22" t="inlineStr"/>
      <c r="K473" s="22">
        <f>IF('Brouillard ventes'!$F$163="","",Paramètres!$B$11)</f>
        <v/>
      </c>
      <c r="L473" s="23">
        <f>IF('Brouillard ventes'!$F$163="","",'Brouillard ventes'!$I$163)</f>
        <v/>
      </c>
      <c r="M473" s="23" t="n">
        <v>0</v>
      </c>
    </row>
    <row r="474">
      <c r="A474" s="22" t="inlineStr">
        <is>
          <t>1</t>
        </is>
      </c>
      <c r="B474" s="22">
        <f>IF('Brouillard ventes'!$F$163="","","VD"&amp;TEXT(ROW('Brouillard ventes'!$F$163)-5,"00000"))</f>
        <v/>
      </c>
      <c r="C474" s="22">
        <f>IF('Brouillard ventes'!$F$163="","",YEAR('Brouillard ventes'!$A$163)*10000+MONTH('Brouillard ventes'!$A$163)*100+DAY('Brouillard ventes'!$A$163))</f>
        <v/>
      </c>
      <c r="D474" s="22">
        <f>IF('Brouillard ventes'!$F$163="","",'Brouillard ventes'!$B$163)</f>
        <v/>
      </c>
      <c r="E474" s="22">
        <f>IF('Brouillard ventes'!$F$163="","",LEFT('Brouillard ventes'!$D$163,30))</f>
        <v/>
      </c>
      <c r="F474" s="22" t="inlineStr">
        <is>
          <t>15001</t>
        </is>
      </c>
      <c r="G474" s="22">
        <f>IF('Brouillard ventes'!$F$163="","",IF('Brouillard ventes'!$E$163="Réparation",Paramètres!$B$9,Paramètres!$B$8))</f>
        <v/>
      </c>
      <c r="H474" s="22" t="inlineStr"/>
      <c r="I474" s="22" t="inlineStr"/>
      <c r="J474" s="22" t="inlineStr"/>
      <c r="K474" s="22">
        <f>IF('Brouillard ventes'!$F$163="","",Paramètres!$B$11)</f>
        <v/>
      </c>
      <c r="L474" s="23" t="n">
        <v>0</v>
      </c>
      <c r="M474" s="23">
        <f>IF('Brouillard ventes'!$F$163="","",'Brouillard ventes'!$F$163)</f>
        <v/>
      </c>
    </row>
    <row r="475">
      <c r="A475" s="22" t="inlineStr">
        <is>
          <t>1</t>
        </is>
      </c>
      <c r="B475" s="22">
        <f>IF('Brouillard ventes'!$F$163="","","VD"&amp;TEXT(ROW('Brouillard ventes'!$F$163)-5,"00000"))</f>
        <v/>
      </c>
      <c r="C475" s="22">
        <f>IF('Brouillard ventes'!$F$163="","",YEAR('Brouillard ventes'!$A$163)*10000+MONTH('Brouillard ventes'!$A$163)*100+DAY('Brouillard ventes'!$A$163))</f>
        <v/>
      </c>
      <c r="D475" s="22">
        <f>IF('Brouillard ventes'!$F$163="","",'Brouillard ventes'!$B$163)</f>
        <v/>
      </c>
      <c r="E475" s="22">
        <f>IF('Brouillard ventes'!$F$163="","",LEFT('Brouillard ventes'!$D$163,30))</f>
        <v/>
      </c>
      <c r="F475" s="22" t="inlineStr">
        <is>
          <t>15001</t>
        </is>
      </c>
      <c r="G475" s="22">
        <f>IF('Brouillard ventes'!$F$163="","",Paramètres!$B$10)</f>
        <v/>
      </c>
      <c r="H475" s="22" t="inlineStr"/>
      <c r="I475" s="22" t="inlineStr"/>
      <c r="J475" s="22" t="inlineStr"/>
      <c r="K475" s="22">
        <f>IF('Brouillard ventes'!$F$163="","",Paramètres!$B$11)</f>
        <v/>
      </c>
      <c r="L475" s="23" t="n">
        <v>0</v>
      </c>
      <c r="M475" s="23">
        <f>IF('Brouillard ventes'!$F$163="","",'Brouillard ventes'!$H$163)</f>
        <v/>
      </c>
    </row>
    <row r="476">
      <c r="A476" s="22" t="inlineStr">
        <is>
          <t>1</t>
        </is>
      </c>
      <c r="B476" s="22">
        <f>IF('Brouillard ventes'!$F$164="","","VD"&amp;TEXT(ROW('Brouillard ventes'!$F$164)-5,"00000"))</f>
        <v/>
      </c>
      <c r="C476" s="22">
        <f>IF('Brouillard ventes'!$F$164="","",YEAR('Brouillard ventes'!$A$164)*10000+MONTH('Brouillard ventes'!$A$164)*100+DAY('Brouillard ventes'!$A$164))</f>
        <v/>
      </c>
      <c r="D476" s="22">
        <f>IF('Brouillard ventes'!$F$164="","",'Brouillard ventes'!$B$164)</f>
        <v/>
      </c>
      <c r="E476" s="22">
        <f>IF('Brouillard ventes'!$F$164="","",LEFT('Brouillard ventes'!$D$164,30))</f>
        <v/>
      </c>
      <c r="F476" s="22" t="inlineStr">
        <is>
          <t>15001</t>
        </is>
      </c>
      <c r="G476" s="22">
        <f>IF('Brouillard ventes'!$F$164="","",Paramètres!$B$7)</f>
        <v/>
      </c>
      <c r="H476" s="22">
        <f>IF('Brouillard ventes'!$F$164="","",IF('Brouillard ventes'!$C$164="","CD001",'Brouillard ventes'!$C$164))</f>
        <v/>
      </c>
      <c r="I476" s="22" t="inlineStr"/>
      <c r="J476" s="22" t="inlineStr"/>
      <c r="K476" s="22">
        <f>IF('Brouillard ventes'!$F$164="","",Paramètres!$B$11)</f>
        <v/>
      </c>
      <c r="L476" s="23">
        <f>IF('Brouillard ventes'!$F$164="","",'Brouillard ventes'!$I$164)</f>
        <v/>
      </c>
      <c r="M476" s="23" t="n">
        <v>0</v>
      </c>
    </row>
    <row r="477">
      <c r="A477" s="22" t="inlineStr">
        <is>
          <t>1</t>
        </is>
      </c>
      <c r="B477" s="22">
        <f>IF('Brouillard ventes'!$F$164="","","VD"&amp;TEXT(ROW('Brouillard ventes'!$F$164)-5,"00000"))</f>
        <v/>
      </c>
      <c r="C477" s="22">
        <f>IF('Brouillard ventes'!$F$164="","",YEAR('Brouillard ventes'!$A$164)*10000+MONTH('Brouillard ventes'!$A$164)*100+DAY('Brouillard ventes'!$A$164))</f>
        <v/>
      </c>
      <c r="D477" s="22">
        <f>IF('Brouillard ventes'!$F$164="","",'Brouillard ventes'!$B$164)</f>
        <v/>
      </c>
      <c r="E477" s="22">
        <f>IF('Brouillard ventes'!$F$164="","",LEFT('Brouillard ventes'!$D$164,30))</f>
        <v/>
      </c>
      <c r="F477" s="22" t="inlineStr">
        <is>
          <t>15001</t>
        </is>
      </c>
      <c r="G477" s="22">
        <f>IF('Brouillard ventes'!$F$164="","",IF('Brouillard ventes'!$E$164="Réparation",Paramètres!$B$9,Paramètres!$B$8))</f>
        <v/>
      </c>
      <c r="H477" s="22" t="inlineStr"/>
      <c r="I477" s="22" t="inlineStr"/>
      <c r="J477" s="22" t="inlineStr"/>
      <c r="K477" s="22">
        <f>IF('Brouillard ventes'!$F$164="","",Paramètres!$B$11)</f>
        <v/>
      </c>
      <c r="L477" s="23" t="n">
        <v>0</v>
      </c>
      <c r="M477" s="23">
        <f>IF('Brouillard ventes'!$F$164="","",'Brouillard ventes'!$F$164)</f>
        <v/>
      </c>
    </row>
    <row r="478">
      <c r="A478" s="22" t="inlineStr">
        <is>
          <t>1</t>
        </is>
      </c>
      <c r="B478" s="22">
        <f>IF('Brouillard ventes'!$F$164="","","VD"&amp;TEXT(ROW('Brouillard ventes'!$F$164)-5,"00000"))</f>
        <v/>
      </c>
      <c r="C478" s="22">
        <f>IF('Brouillard ventes'!$F$164="","",YEAR('Brouillard ventes'!$A$164)*10000+MONTH('Brouillard ventes'!$A$164)*100+DAY('Brouillard ventes'!$A$164))</f>
        <v/>
      </c>
      <c r="D478" s="22">
        <f>IF('Brouillard ventes'!$F$164="","",'Brouillard ventes'!$B$164)</f>
        <v/>
      </c>
      <c r="E478" s="22">
        <f>IF('Brouillard ventes'!$F$164="","",LEFT('Brouillard ventes'!$D$164,30))</f>
        <v/>
      </c>
      <c r="F478" s="22" t="inlineStr">
        <is>
          <t>15001</t>
        </is>
      </c>
      <c r="G478" s="22">
        <f>IF('Brouillard ventes'!$F$164="","",Paramètres!$B$10)</f>
        <v/>
      </c>
      <c r="H478" s="22" t="inlineStr"/>
      <c r="I478" s="22" t="inlineStr"/>
      <c r="J478" s="22" t="inlineStr"/>
      <c r="K478" s="22">
        <f>IF('Brouillard ventes'!$F$164="","",Paramètres!$B$11)</f>
        <v/>
      </c>
      <c r="L478" s="23" t="n">
        <v>0</v>
      </c>
      <c r="M478" s="23">
        <f>IF('Brouillard ventes'!$F$164="","",'Brouillard ventes'!$H$164)</f>
        <v/>
      </c>
    </row>
    <row r="479">
      <c r="A479" s="22" t="inlineStr">
        <is>
          <t>1</t>
        </is>
      </c>
      <c r="B479" s="22">
        <f>IF('Brouillard ventes'!$F$165="","","VD"&amp;TEXT(ROW('Brouillard ventes'!$F$165)-5,"00000"))</f>
        <v/>
      </c>
      <c r="C479" s="22">
        <f>IF('Brouillard ventes'!$F$165="","",YEAR('Brouillard ventes'!$A$165)*10000+MONTH('Brouillard ventes'!$A$165)*100+DAY('Brouillard ventes'!$A$165))</f>
        <v/>
      </c>
      <c r="D479" s="22">
        <f>IF('Brouillard ventes'!$F$165="","",'Brouillard ventes'!$B$165)</f>
        <v/>
      </c>
      <c r="E479" s="22">
        <f>IF('Brouillard ventes'!$F$165="","",LEFT('Brouillard ventes'!$D$165,30))</f>
        <v/>
      </c>
      <c r="F479" s="22" t="inlineStr">
        <is>
          <t>15001</t>
        </is>
      </c>
      <c r="G479" s="22">
        <f>IF('Brouillard ventes'!$F$165="","",Paramètres!$B$7)</f>
        <v/>
      </c>
      <c r="H479" s="22">
        <f>IF('Brouillard ventes'!$F$165="","",IF('Brouillard ventes'!$C$165="","CD001",'Brouillard ventes'!$C$165))</f>
        <v/>
      </c>
      <c r="I479" s="22" t="inlineStr"/>
      <c r="J479" s="22" t="inlineStr"/>
      <c r="K479" s="22">
        <f>IF('Brouillard ventes'!$F$165="","",Paramètres!$B$11)</f>
        <v/>
      </c>
      <c r="L479" s="23">
        <f>IF('Brouillard ventes'!$F$165="","",'Brouillard ventes'!$I$165)</f>
        <v/>
      </c>
      <c r="M479" s="23" t="n">
        <v>0</v>
      </c>
    </row>
    <row r="480">
      <c r="A480" s="22" t="inlineStr">
        <is>
          <t>1</t>
        </is>
      </c>
      <c r="B480" s="22">
        <f>IF('Brouillard ventes'!$F$165="","","VD"&amp;TEXT(ROW('Brouillard ventes'!$F$165)-5,"00000"))</f>
        <v/>
      </c>
      <c r="C480" s="22">
        <f>IF('Brouillard ventes'!$F$165="","",YEAR('Brouillard ventes'!$A$165)*10000+MONTH('Brouillard ventes'!$A$165)*100+DAY('Brouillard ventes'!$A$165))</f>
        <v/>
      </c>
      <c r="D480" s="22">
        <f>IF('Brouillard ventes'!$F$165="","",'Brouillard ventes'!$B$165)</f>
        <v/>
      </c>
      <c r="E480" s="22">
        <f>IF('Brouillard ventes'!$F$165="","",LEFT('Brouillard ventes'!$D$165,30))</f>
        <v/>
      </c>
      <c r="F480" s="22" t="inlineStr">
        <is>
          <t>15001</t>
        </is>
      </c>
      <c r="G480" s="22">
        <f>IF('Brouillard ventes'!$F$165="","",IF('Brouillard ventes'!$E$165="Réparation",Paramètres!$B$9,Paramètres!$B$8))</f>
        <v/>
      </c>
      <c r="H480" s="22" t="inlineStr"/>
      <c r="I480" s="22" t="inlineStr"/>
      <c r="J480" s="22" t="inlineStr"/>
      <c r="K480" s="22">
        <f>IF('Brouillard ventes'!$F$165="","",Paramètres!$B$11)</f>
        <v/>
      </c>
      <c r="L480" s="23" t="n">
        <v>0</v>
      </c>
      <c r="M480" s="23">
        <f>IF('Brouillard ventes'!$F$165="","",'Brouillard ventes'!$F$165)</f>
        <v/>
      </c>
    </row>
    <row r="481">
      <c r="A481" s="22" t="inlineStr">
        <is>
          <t>1</t>
        </is>
      </c>
      <c r="B481" s="22">
        <f>IF('Brouillard ventes'!$F$165="","","VD"&amp;TEXT(ROW('Brouillard ventes'!$F$165)-5,"00000"))</f>
        <v/>
      </c>
      <c r="C481" s="22">
        <f>IF('Brouillard ventes'!$F$165="","",YEAR('Brouillard ventes'!$A$165)*10000+MONTH('Brouillard ventes'!$A$165)*100+DAY('Brouillard ventes'!$A$165))</f>
        <v/>
      </c>
      <c r="D481" s="22">
        <f>IF('Brouillard ventes'!$F$165="","",'Brouillard ventes'!$B$165)</f>
        <v/>
      </c>
      <c r="E481" s="22">
        <f>IF('Brouillard ventes'!$F$165="","",LEFT('Brouillard ventes'!$D$165,30))</f>
        <v/>
      </c>
      <c r="F481" s="22" t="inlineStr">
        <is>
          <t>15001</t>
        </is>
      </c>
      <c r="G481" s="22">
        <f>IF('Brouillard ventes'!$F$165="","",Paramètres!$B$10)</f>
        <v/>
      </c>
      <c r="H481" s="22" t="inlineStr"/>
      <c r="I481" s="22" t="inlineStr"/>
      <c r="J481" s="22" t="inlineStr"/>
      <c r="K481" s="22">
        <f>IF('Brouillard ventes'!$F$165="","",Paramètres!$B$11)</f>
        <v/>
      </c>
      <c r="L481" s="23" t="n">
        <v>0</v>
      </c>
      <c r="M481" s="23">
        <f>IF('Brouillard ventes'!$F$165="","",'Brouillard ventes'!$H$165)</f>
        <v/>
      </c>
    </row>
    <row r="482">
      <c r="A482" s="22" t="inlineStr">
        <is>
          <t>1</t>
        </is>
      </c>
      <c r="B482" s="22">
        <f>IF('Brouillard ventes'!$F$166="","","VD"&amp;TEXT(ROW('Brouillard ventes'!$F$166)-5,"00000"))</f>
        <v/>
      </c>
      <c r="C482" s="22">
        <f>IF('Brouillard ventes'!$F$166="","",YEAR('Brouillard ventes'!$A$166)*10000+MONTH('Brouillard ventes'!$A$166)*100+DAY('Brouillard ventes'!$A$166))</f>
        <v/>
      </c>
      <c r="D482" s="22">
        <f>IF('Brouillard ventes'!$F$166="","",'Brouillard ventes'!$B$166)</f>
        <v/>
      </c>
      <c r="E482" s="22">
        <f>IF('Brouillard ventes'!$F$166="","",LEFT('Brouillard ventes'!$D$166,30))</f>
        <v/>
      </c>
      <c r="F482" s="22" t="inlineStr">
        <is>
          <t>15001</t>
        </is>
      </c>
      <c r="G482" s="22">
        <f>IF('Brouillard ventes'!$F$166="","",Paramètres!$B$7)</f>
        <v/>
      </c>
      <c r="H482" s="22">
        <f>IF('Brouillard ventes'!$F$166="","",IF('Brouillard ventes'!$C$166="","CD001",'Brouillard ventes'!$C$166))</f>
        <v/>
      </c>
      <c r="I482" s="22" t="inlineStr"/>
      <c r="J482" s="22" t="inlineStr"/>
      <c r="K482" s="22">
        <f>IF('Brouillard ventes'!$F$166="","",Paramètres!$B$11)</f>
        <v/>
      </c>
      <c r="L482" s="23">
        <f>IF('Brouillard ventes'!$F$166="","",'Brouillard ventes'!$I$166)</f>
        <v/>
      </c>
      <c r="M482" s="23" t="n">
        <v>0</v>
      </c>
    </row>
    <row r="483">
      <c r="A483" s="22" t="inlineStr">
        <is>
          <t>1</t>
        </is>
      </c>
      <c r="B483" s="22">
        <f>IF('Brouillard ventes'!$F$166="","","VD"&amp;TEXT(ROW('Brouillard ventes'!$F$166)-5,"00000"))</f>
        <v/>
      </c>
      <c r="C483" s="22">
        <f>IF('Brouillard ventes'!$F$166="","",YEAR('Brouillard ventes'!$A$166)*10000+MONTH('Brouillard ventes'!$A$166)*100+DAY('Brouillard ventes'!$A$166))</f>
        <v/>
      </c>
      <c r="D483" s="22">
        <f>IF('Brouillard ventes'!$F$166="","",'Brouillard ventes'!$B$166)</f>
        <v/>
      </c>
      <c r="E483" s="22">
        <f>IF('Brouillard ventes'!$F$166="","",LEFT('Brouillard ventes'!$D$166,30))</f>
        <v/>
      </c>
      <c r="F483" s="22" t="inlineStr">
        <is>
          <t>15001</t>
        </is>
      </c>
      <c r="G483" s="22">
        <f>IF('Brouillard ventes'!$F$166="","",IF('Brouillard ventes'!$E$166="Réparation",Paramètres!$B$9,Paramètres!$B$8))</f>
        <v/>
      </c>
      <c r="H483" s="22" t="inlineStr"/>
      <c r="I483" s="22" t="inlineStr"/>
      <c r="J483" s="22" t="inlineStr"/>
      <c r="K483" s="22">
        <f>IF('Brouillard ventes'!$F$166="","",Paramètres!$B$11)</f>
        <v/>
      </c>
      <c r="L483" s="23" t="n">
        <v>0</v>
      </c>
      <c r="M483" s="23">
        <f>IF('Brouillard ventes'!$F$166="","",'Brouillard ventes'!$F$166)</f>
        <v/>
      </c>
    </row>
    <row r="484">
      <c r="A484" s="22" t="inlineStr">
        <is>
          <t>1</t>
        </is>
      </c>
      <c r="B484" s="22">
        <f>IF('Brouillard ventes'!$F$166="","","VD"&amp;TEXT(ROW('Brouillard ventes'!$F$166)-5,"00000"))</f>
        <v/>
      </c>
      <c r="C484" s="22">
        <f>IF('Brouillard ventes'!$F$166="","",YEAR('Brouillard ventes'!$A$166)*10000+MONTH('Brouillard ventes'!$A$166)*100+DAY('Brouillard ventes'!$A$166))</f>
        <v/>
      </c>
      <c r="D484" s="22">
        <f>IF('Brouillard ventes'!$F$166="","",'Brouillard ventes'!$B$166)</f>
        <v/>
      </c>
      <c r="E484" s="22">
        <f>IF('Brouillard ventes'!$F$166="","",LEFT('Brouillard ventes'!$D$166,30))</f>
        <v/>
      </c>
      <c r="F484" s="22" t="inlineStr">
        <is>
          <t>15001</t>
        </is>
      </c>
      <c r="G484" s="22">
        <f>IF('Brouillard ventes'!$F$166="","",Paramètres!$B$10)</f>
        <v/>
      </c>
      <c r="H484" s="22" t="inlineStr"/>
      <c r="I484" s="22" t="inlineStr"/>
      <c r="J484" s="22" t="inlineStr"/>
      <c r="K484" s="22">
        <f>IF('Brouillard ventes'!$F$166="","",Paramètres!$B$11)</f>
        <v/>
      </c>
      <c r="L484" s="23" t="n">
        <v>0</v>
      </c>
      <c r="M484" s="23">
        <f>IF('Brouillard ventes'!$F$166="","",'Brouillard ventes'!$H$166)</f>
        <v/>
      </c>
    </row>
    <row r="485">
      <c r="A485" s="22" t="inlineStr">
        <is>
          <t>1</t>
        </is>
      </c>
      <c r="B485" s="22">
        <f>IF('Brouillard ventes'!$F$167="","","VD"&amp;TEXT(ROW('Brouillard ventes'!$F$167)-5,"00000"))</f>
        <v/>
      </c>
      <c r="C485" s="22">
        <f>IF('Brouillard ventes'!$F$167="","",YEAR('Brouillard ventes'!$A$167)*10000+MONTH('Brouillard ventes'!$A$167)*100+DAY('Brouillard ventes'!$A$167))</f>
        <v/>
      </c>
      <c r="D485" s="22">
        <f>IF('Brouillard ventes'!$F$167="","",'Brouillard ventes'!$B$167)</f>
        <v/>
      </c>
      <c r="E485" s="22">
        <f>IF('Brouillard ventes'!$F$167="","",LEFT('Brouillard ventes'!$D$167,30))</f>
        <v/>
      </c>
      <c r="F485" s="22" t="inlineStr">
        <is>
          <t>15001</t>
        </is>
      </c>
      <c r="G485" s="22">
        <f>IF('Brouillard ventes'!$F$167="","",Paramètres!$B$7)</f>
        <v/>
      </c>
      <c r="H485" s="22">
        <f>IF('Brouillard ventes'!$F$167="","",IF('Brouillard ventes'!$C$167="","CD001",'Brouillard ventes'!$C$167))</f>
        <v/>
      </c>
      <c r="I485" s="22" t="inlineStr"/>
      <c r="J485" s="22" t="inlineStr"/>
      <c r="K485" s="22">
        <f>IF('Brouillard ventes'!$F$167="","",Paramètres!$B$11)</f>
        <v/>
      </c>
      <c r="L485" s="23">
        <f>IF('Brouillard ventes'!$F$167="","",'Brouillard ventes'!$I$167)</f>
        <v/>
      </c>
      <c r="M485" s="23" t="n">
        <v>0</v>
      </c>
    </row>
    <row r="486">
      <c r="A486" s="22" t="inlineStr">
        <is>
          <t>1</t>
        </is>
      </c>
      <c r="B486" s="22">
        <f>IF('Brouillard ventes'!$F$167="","","VD"&amp;TEXT(ROW('Brouillard ventes'!$F$167)-5,"00000"))</f>
        <v/>
      </c>
      <c r="C486" s="22">
        <f>IF('Brouillard ventes'!$F$167="","",YEAR('Brouillard ventes'!$A$167)*10000+MONTH('Brouillard ventes'!$A$167)*100+DAY('Brouillard ventes'!$A$167))</f>
        <v/>
      </c>
      <c r="D486" s="22">
        <f>IF('Brouillard ventes'!$F$167="","",'Brouillard ventes'!$B$167)</f>
        <v/>
      </c>
      <c r="E486" s="22">
        <f>IF('Brouillard ventes'!$F$167="","",LEFT('Brouillard ventes'!$D$167,30))</f>
        <v/>
      </c>
      <c r="F486" s="22" t="inlineStr">
        <is>
          <t>15001</t>
        </is>
      </c>
      <c r="G486" s="22">
        <f>IF('Brouillard ventes'!$F$167="","",IF('Brouillard ventes'!$E$167="Réparation",Paramètres!$B$9,Paramètres!$B$8))</f>
        <v/>
      </c>
      <c r="H486" s="22" t="inlineStr"/>
      <c r="I486" s="22" t="inlineStr"/>
      <c r="J486" s="22" t="inlineStr"/>
      <c r="K486" s="22">
        <f>IF('Brouillard ventes'!$F$167="","",Paramètres!$B$11)</f>
        <v/>
      </c>
      <c r="L486" s="23" t="n">
        <v>0</v>
      </c>
      <c r="M486" s="23">
        <f>IF('Brouillard ventes'!$F$167="","",'Brouillard ventes'!$F$167)</f>
        <v/>
      </c>
    </row>
    <row r="487">
      <c r="A487" s="22" t="inlineStr">
        <is>
          <t>1</t>
        </is>
      </c>
      <c r="B487" s="22">
        <f>IF('Brouillard ventes'!$F$167="","","VD"&amp;TEXT(ROW('Brouillard ventes'!$F$167)-5,"00000"))</f>
        <v/>
      </c>
      <c r="C487" s="22">
        <f>IF('Brouillard ventes'!$F$167="","",YEAR('Brouillard ventes'!$A$167)*10000+MONTH('Brouillard ventes'!$A$167)*100+DAY('Brouillard ventes'!$A$167))</f>
        <v/>
      </c>
      <c r="D487" s="22">
        <f>IF('Brouillard ventes'!$F$167="","",'Brouillard ventes'!$B$167)</f>
        <v/>
      </c>
      <c r="E487" s="22">
        <f>IF('Brouillard ventes'!$F$167="","",LEFT('Brouillard ventes'!$D$167,30))</f>
        <v/>
      </c>
      <c r="F487" s="22" t="inlineStr">
        <is>
          <t>15001</t>
        </is>
      </c>
      <c r="G487" s="22">
        <f>IF('Brouillard ventes'!$F$167="","",Paramètres!$B$10)</f>
        <v/>
      </c>
      <c r="H487" s="22" t="inlineStr"/>
      <c r="I487" s="22" t="inlineStr"/>
      <c r="J487" s="22" t="inlineStr"/>
      <c r="K487" s="22">
        <f>IF('Brouillard ventes'!$F$167="","",Paramètres!$B$11)</f>
        <v/>
      </c>
      <c r="L487" s="23" t="n">
        <v>0</v>
      </c>
      <c r="M487" s="23">
        <f>IF('Brouillard ventes'!$F$167="","",'Brouillard ventes'!$H$167)</f>
        <v/>
      </c>
    </row>
    <row r="488">
      <c r="A488" s="22" t="inlineStr">
        <is>
          <t>1</t>
        </is>
      </c>
      <c r="B488" s="22">
        <f>IF('Brouillard ventes'!$F$168="","","VD"&amp;TEXT(ROW('Brouillard ventes'!$F$168)-5,"00000"))</f>
        <v/>
      </c>
      <c r="C488" s="22">
        <f>IF('Brouillard ventes'!$F$168="","",YEAR('Brouillard ventes'!$A$168)*10000+MONTH('Brouillard ventes'!$A$168)*100+DAY('Brouillard ventes'!$A$168))</f>
        <v/>
      </c>
      <c r="D488" s="22">
        <f>IF('Brouillard ventes'!$F$168="","",'Brouillard ventes'!$B$168)</f>
        <v/>
      </c>
      <c r="E488" s="22">
        <f>IF('Brouillard ventes'!$F$168="","",LEFT('Brouillard ventes'!$D$168,30))</f>
        <v/>
      </c>
      <c r="F488" s="22" t="inlineStr">
        <is>
          <t>15001</t>
        </is>
      </c>
      <c r="G488" s="22">
        <f>IF('Brouillard ventes'!$F$168="","",Paramètres!$B$7)</f>
        <v/>
      </c>
      <c r="H488" s="22">
        <f>IF('Brouillard ventes'!$F$168="","",IF('Brouillard ventes'!$C$168="","CD001",'Brouillard ventes'!$C$168))</f>
        <v/>
      </c>
      <c r="I488" s="22" t="inlineStr"/>
      <c r="J488" s="22" t="inlineStr"/>
      <c r="K488" s="22">
        <f>IF('Brouillard ventes'!$F$168="","",Paramètres!$B$11)</f>
        <v/>
      </c>
      <c r="L488" s="23">
        <f>IF('Brouillard ventes'!$F$168="","",'Brouillard ventes'!$I$168)</f>
        <v/>
      </c>
      <c r="M488" s="23" t="n">
        <v>0</v>
      </c>
    </row>
    <row r="489">
      <c r="A489" s="22" t="inlineStr">
        <is>
          <t>1</t>
        </is>
      </c>
      <c r="B489" s="22">
        <f>IF('Brouillard ventes'!$F$168="","","VD"&amp;TEXT(ROW('Brouillard ventes'!$F$168)-5,"00000"))</f>
        <v/>
      </c>
      <c r="C489" s="22">
        <f>IF('Brouillard ventes'!$F$168="","",YEAR('Brouillard ventes'!$A$168)*10000+MONTH('Brouillard ventes'!$A$168)*100+DAY('Brouillard ventes'!$A$168))</f>
        <v/>
      </c>
      <c r="D489" s="22">
        <f>IF('Brouillard ventes'!$F$168="","",'Brouillard ventes'!$B$168)</f>
        <v/>
      </c>
      <c r="E489" s="22">
        <f>IF('Brouillard ventes'!$F$168="","",LEFT('Brouillard ventes'!$D$168,30))</f>
        <v/>
      </c>
      <c r="F489" s="22" t="inlineStr">
        <is>
          <t>15001</t>
        </is>
      </c>
      <c r="G489" s="22">
        <f>IF('Brouillard ventes'!$F$168="","",IF('Brouillard ventes'!$E$168="Réparation",Paramètres!$B$9,Paramètres!$B$8))</f>
        <v/>
      </c>
      <c r="H489" s="22" t="inlineStr"/>
      <c r="I489" s="22" t="inlineStr"/>
      <c r="J489" s="22" t="inlineStr"/>
      <c r="K489" s="22">
        <f>IF('Brouillard ventes'!$F$168="","",Paramètres!$B$11)</f>
        <v/>
      </c>
      <c r="L489" s="23" t="n">
        <v>0</v>
      </c>
      <c r="M489" s="23">
        <f>IF('Brouillard ventes'!$F$168="","",'Brouillard ventes'!$F$168)</f>
        <v/>
      </c>
    </row>
    <row r="490">
      <c r="A490" s="22" t="inlineStr">
        <is>
          <t>1</t>
        </is>
      </c>
      <c r="B490" s="22">
        <f>IF('Brouillard ventes'!$F$168="","","VD"&amp;TEXT(ROW('Brouillard ventes'!$F$168)-5,"00000"))</f>
        <v/>
      </c>
      <c r="C490" s="22">
        <f>IF('Brouillard ventes'!$F$168="","",YEAR('Brouillard ventes'!$A$168)*10000+MONTH('Brouillard ventes'!$A$168)*100+DAY('Brouillard ventes'!$A$168))</f>
        <v/>
      </c>
      <c r="D490" s="22">
        <f>IF('Brouillard ventes'!$F$168="","",'Brouillard ventes'!$B$168)</f>
        <v/>
      </c>
      <c r="E490" s="22">
        <f>IF('Brouillard ventes'!$F$168="","",LEFT('Brouillard ventes'!$D$168,30))</f>
        <v/>
      </c>
      <c r="F490" s="22" t="inlineStr">
        <is>
          <t>15001</t>
        </is>
      </c>
      <c r="G490" s="22">
        <f>IF('Brouillard ventes'!$F$168="","",Paramètres!$B$10)</f>
        <v/>
      </c>
      <c r="H490" s="22" t="inlineStr"/>
      <c r="I490" s="22" t="inlineStr"/>
      <c r="J490" s="22" t="inlineStr"/>
      <c r="K490" s="22">
        <f>IF('Brouillard ventes'!$F$168="","",Paramètres!$B$11)</f>
        <v/>
      </c>
      <c r="L490" s="23" t="n">
        <v>0</v>
      </c>
      <c r="M490" s="23">
        <f>IF('Brouillard ventes'!$F$168="","",'Brouillard ventes'!$H$168)</f>
        <v/>
      </c>
    </row>
    <row r="491">
      <c r="A491" s="22" t="inlineStr">
        <is>
          <t>1</t>
        </is>
      </c>
      <c r="B491" s="22">
        <f>IF('Brouillard ventes'!$F$169="","","VD"&amp;TEXT(ROW('Brouillard ventes'!$F$169)-5,"00000"))</f>
        <v/>
      </c>
      <c r="C491" s="22">
        <f>IF('Brouillard ventes'!$F$169="","",YEAR('Brouillard ventes'!$A$169)*10000+MONTH('Brouillard ventes'!$A$169)*100+DAY('Brouillard ventes'!$A$169))</f>
        <v/>
      </c>
      <c r="D491" s="22">
        <f>IF('Brouillard ventes'!$F$169="","",'Brouillard ventes'!$B$169)</f>
        <v/>
      </c>
      <c r="E491" s="22">
        <f>IF('Brouillard ventes'!$F$169="","",LEFT('Brouillard ventes'!$D$169,30))</f>
        <v/>
      </c>
      <c r="F491" s="22" t="inlineStr">
        <is>
          <t>15001</t>
        </is>
      </c>
      <c r="G491" s="22">
        <f>IF('Brouillard ventes'!$F$169="","",Paramètres!$B$7)</f>
        <v/>
      </c>
      <c r="H491" s="22">
        <f>IF('Brouillard ventes'!$F$169="","",IF('Brouillard ventes'!$C$169="","CD001",'Brouillard ventes'!$C$169))</f>
        <v/>
      </c>
      <c r="I491" s="22" t="inlineStr"/>
      <c r="J491" s="22" t="inlineStr"/>
      <c r="K491" s="22">
        <f>IF('Brouillard ventes'!$F$169="","",Paramètres!$B$11)</f>
        <v/>
      </c>
      <c r="L491" s="23">
        <f>IF('Brouillard ventes'!$F$169="","",'Brouillard ventes'!$I$169)</f>
        <v/>
      </c>
      <c r="M491" s="23" t="n">
        <v>0</v>
      </c>
    </row>
    <row r="492">
      <c r="A492" s="22" t="inlineStr">
        <is>
          <t>1</t>
        </is>
      </c>
      <c r="B492" s="22">
        <f>IF('Brouillard ventes'!$F$169="","","VD"&amp;TEXT(ROW('Brouillard ventes'!$F$169)-5,"00000"))</f>
        <v/>
      </c>
      <c r="C492" s="22">
        <f>IF('Brouillard ventes'!$F$169="","",YEAR('Brouillard ventes'!$A$169)*10000+MONTH('Brouillard ventes'!$A$169)*100+DAY('Brouillard ventes'!$A$169))</f>
        <v/>
      </c>
      <c r="D492" s="22">
        <f>IF('Brouillard ventes'!$F$169="","",'Brouillard ventes'!$B$169)</f>
        <v/>
      </c>
      <c r="E492" s="22">
        <f>IF('Brouillard ventes'!$F$169="","",LEFT('Brouillard ventes'!$D$169,30))</f>
        <v/>
      </c>
      <c r="F492" s="22" t="inlineStr">
        <is>
          <t>15001</t>
        </is>
      </c>
      <c r="G492" s="22">
        <f>IF('Brouillard ventes'!$F$169="","",IF('Brouillard ventes'!$E$169="Réparation",Paramètres!$B$9,Paramètres!$B$8))</f>
        <v/>
      </c>
      <c r="H492" s="22" t="inlineStr"/>
      <c r="I492" s="22" t="inlineStr"/>
      <c r="J492" s="22" t="inlineStr"/>
      <c r="K492" s="22">
        <f>IF('Brouillard ventes'!$F$169="","",Paramètres!$B$11)</f>
        <v/>
      </c>
      <c r="L492" s="23" t="n">
        <v>0</v>
      </c>
      <c r="M492" s="23">
        <f>IF('Brouillard ventes'!$F$169="","",'Brouillard ventes'!$F$169)</f>
        <v/>
      </c>
    </row>
    <row r="493">
      <c r="A493" s="22" t="inlineStr">
        <is>
          <t>1</t>
        </is>
      </c>
      <c r="B493" s="22">
        <f>IF('Brouillard ventes'!$F$169="","","VD"&amp;TEXT(ROW('Brouillard ventes'!$F$169)-5,"00000"))</f>
        <v/>
      </c>
      <c r="C493" s="22">
        <f>IF('Brouillard ventes'!$F$169="","",YEAR('Brouillard ventes'!$A$169)*10000+MONTH('Brouillard ventes'!$A$169)*100+DAY('Brouillard ventes'!$A$169))</f>
        <v/>
      </c>
      <c r="D493" s="22">
        <f>IF('Brouillard ventes'!$F$169="","",'Brouillard ventes'!$B$169)</f>
        <v/>
      </c>
      <c r="E493" s="22">
        <f>IF('Brouillard ventes'!$F$169="","",LEFT('Brouillard ventes'!$D$169,30))</f>
        <v/>
      </c>
      <c r="F493" s="22" t="inlineStr">
        <is>
          <t>15001</t>
        </is>
      </c>
      <c r="G493" s="22">
        <f>IF('Brouillard ventes'!$F$169="","",Paramètres!$B$10)</f>
        <v/>
      </c>
      <c r="H493" s="22" t="inlineStr"/>
      <c r="I493" s="22" t="inlineStr"/>
      <c r="J493" s="22" t="inlineStr"/>
      <c r="K493" s="22">
        <f>IF('Brouillard ventes'!$F$169="","",Paramètres!$B$11)</f>
        <v/>
      </c>
      <c r="L493" s="23" t="n">
        <v>0</v>
      </c>
      <c r="M493" s="23">
        <f>IF('Brouillard ventes'!$F$169="","",'Brouillard ventes'!$H$169)</f>
        <v/>
      </c>
    </row>
    <row r="494">
      <c r="A494" s="22" t="inlineStr">
        <is>
          <t>1</t>
        </is>
      </c>
      <c r="B494" s="22">
        <f>IF('Brouillard ventes'!$F$170="","","VD"&amp;TEXT(ROW('Brouillard ventes'!$F$170)-5,"00000"))</f>
        <v/>
      </c>
      <c r="C494" s="22">
        <f>IF('Brouillard ventes'!$F$170="","",YEAR('Brouillard ventes'!$A$170)*10000+MONTH('Brouillard ventes'!$A$170)*100+DAY('Brouillard ventes'!$A$170))</f>
        <v/>
      </c>
      <c r="D494" s="22">
        <f>IF('Brouillard ventes'!$F$170="","",'Brouillard ventes'!$B$170)</f>
        <v/>
      </c>
      <c r="E494" s="22">
        <f>IF('Brouillard ventes'!$F$170="","",LEFT('Brouillard ventes'!$D$170,30))</f>
        <v/>
      </c>
      <c r="F494" s="22" t="inlineStr">
        <is>
          <t>15001</t>
        </is>
      </c>
      <c r="G494" s="22">
        <f>IF('Brouillard ventes'!$F$170="","",Paramètres!$B$7)</f>
        <v/>
      </c>
      <c r="H494" s="22">
        <f>IF('Brouillard ventes'!$F$170="","",IF('Brouillard ventes'!$C$170="","CD001",'Brouillard ventes'!$C$170))</f>
        <v/>
      </c>
      <c r="I494" s="22" t="inlineStr"/>
      <c r="J494" s="22" t="inlineStr"/>
      <c r="K494" s="22">
        <f>IF('Brouillard ventes'!$F$170="","",Paramètres!$B$11)</f>
        <v/>
      </c>
      <c r="L494" s="23">
        <f>IF('Brouillard ventes'!$F$170="","",'Brouillard ventes'!$I$170)</f>
        <v/>
      </c>
      <c r="M494" s="23" t="n">
        <v>0</v>
      </c>
    </row>
    <row r="495">
      <c r="A495" s="22" t="inlineStr">
        <is>
          <t>1</t>
        </is>
      </c>
      <c r="B495" s="22">
        <f>IF('Brouillard ventes'!$F$170="","","VD"&amp;TEXT(ROW('Brouillard ventes'!$F$170)-5,"00000"))</f>
        <v/>
      </c>
      <c r="C495" s="22">
        <f>IF('Brouillard ventes'!$F$170="","",YEAR('Brouillard ventes'!$A$170)*10000+MONTH('Brouillard ventes'!$A$170)*100+DAY('Brouillard ventes'!$A$170))</f>
        <v/>
      </c>
      <c r="D495" s="22">
        <f>IF('Brouillard ventes'!$F$170="","",'Brouillard ventes'!$B$170)</f>
        <v/>
      </c>
      <c r="E495" s="22">
        <f>IF('Brouillard ventes'!$F$170="","",LEFT('Brouillard ventes'!$D$170,30))</f>
        <v/>
      </c>
      <c r="F495" s="22" t="inlineStr">
        <is>
          <t>15001</t>
        </is>
      </c>
      <c r="G495" s="22">
        <f>IF('Brouillard ventes'!$F$170="","",IF('Brouillard ventes'!$E$170="Réparation",Paramètres!$B$9,Paramètres!$B$8))</f>
        <v/>
      </c>
      <c r="H495" s="22" t="inlineStr"/>
      <c r="I495" s="22" t="inlineStr"/>
      <c r="J495" s="22" t="inlineStr"/>
      <c r="K495" s="22">
        <f>IF('Brouillard ventes'!$F$170="","",Paramètres!$B$11)</f>
        <v/>
      </c>
      <c r="L495" s="23" t="n">
        <v>0</v>
      </c>
      <c r="M495" s="23">
        <f>IF('Brouillard ventes'!$F$170="","",'Brouillard ventes'!$F$170)</f>
        <v/>
      </c>
    </row>
    <row r="496">
      <c r="A496" s="22" t="inlineStr">
        <is>
          <t>1</t>
        </is>
      </c>
      <c r="B496" s="22">
        <f>IF('Brouillard ventes'!$F$170="","","VD"&amp;TEXT(ROW('Brouillard ventes'!$F$170)-5,"00000"))</f>
        <v/>
      </c>
      <c r="C496" s="22">
        <f>IF('Brouillard ventes'!$F$170="","",YEAR('Brouillard ventes'!$A$170)*10000+MONTH('Brouillard ventes'!$A$170)*100+DAY('Brouillard ventes'!$A$170))</f>
        <v/>
      </c>
      <c r="D496" s="22">
        <f>IF('Brouillard ventes'!$F$170="","",'Brouillard ventes'!$B$170)</f>
        <v/>
      </c>
      <c r="E496" s="22">
        <f>IF('Brouillard ventes'!$F$170="","",LEFT('Brouillard ventes'!$D$170,30))</f>
        <v/>
      </c>
      <c r="F496" s="22" t="inlineStr">
        <is>
          <t>15001</t>
        </is>
      </c>
      <c r="G496" s="22">
        <f>IF('Brouillard ventes'!$F$170="","",Paramètres!$B$10)</f>
        <v/>
      </c>
      <c r="H496" s="22" t="inlineStr"/>
      <c r="I496" s="22" t="inlineStr"/>
      <c r="J496" s="22" t="inlineStr"/>
      <c r="K496" s="22">
        <f>IF('Brouillard ventes'!$F$170="","",Paramètres!$B$11)</f>
        <v/>
      </c>
      <c r="L496" s="23" t="n">
        <v>0</v>
      </c>
      <c r="M496" s="23">
        <f>IF('Brouillard ventes'!$F$170="","",'Brouillard ventes'!$H$170)</f>
        <v/>
      </c>
    </row>
    <row r="497">
      <c r="A497" s="22" t="inlineStr">
        <is>
          <t>1</t>
        </is>
      </c>
      <c r="B497" s="22">
        <f>IF('Brouillard ventes'!$F$171="","","VD"&amp;TEXT(ROW('Brouillard ventes'!$F$171)-5,"00000"))</f>
        <v/>
      </c>
      <c r="C497" s="22">
        <f>IF('Brouillard ventes'!$F$171="","",YEAR('Brouillard ventes'!$A$171)*10000+MONTH('Brouillard ventes'!$A$171)*100+DAY('Brouillard ventes'!$A$171))</f>
        <v/>
      </c>
      <c r="D497" s="22">
        <f>IF('Brouillard ventes'!$F$171="","",'Brouillard ventes'!$B$171)</f>
        <v/>
      </c>
      <c r="E497" s="22">
        <f>IF('Brouillard ventes'!$F$171="","",LEFT('Brouillard ventes'!$D$171,30))</f>
        <v/>
      </c>
      <c r="F497" s="22" t="inlineStr">
        <is>
          <t>15001</t>
        </is>
      </c>
      <c r="G497" s="22">
        <f>IF('Brouillard ventes'!$F$171="","",Paramètres!$B$7)</f>
        <v/>
      </c>
      <c r="H497" s="22">
        <f>IF('Brouillard ventes'!$F$171="","",IF('Brouillard ventes'!$C$171="","CD001",'Brouillard ventes'!$C$171))</f>
        <v/>
      </c>
      <c r="I497" s="22" t="inlineStr"/>
      <c r="J497" s="22" t="inlineStr"/>
      <c r="K497" s="22">
        <f>IF('Brouillard ventes'!$F$171="","",Paramètres!$B$11)</f>
        <v/>
      </c>
      <c r="L497" s="23">
        <f>IF('Brouillard ventes'!$F$171="","",'Brouillard ventes'!$I$171)</f>
        <v/>
      </c>
      <c r="M497" s="23" t="n">
        <v>0</v>
      </c>
    </row>
    <row r="498">
      <c r="A498" s="22" t="inlineStr">
        <is>
          <t>1</t>
        </is>
      </c>
      <c r="B498" s="22">
        <f>IF('Brouillard ventes'!$F$171="","","VD"&amp;TEXT(ROW('Brouillard ventes'!$F$171)-5,"00000"))</f>
        <v/>
      </c>
      <c r="C498" s="22">
        <f>IF('Brouillard ventes'!$F$171="","",YEAR('Brouillard ventes'!$A$171)*10000+MONTH('Brouillard ventes'!$A$171)*100+DAY('Brouillard ventes'!$A$171))</f>
        <v/>
      </c>
      <c r="D498" s="22">
        <f>IF('Brouillard ventes'!$F$171="","",'Brouillard ventes'!$B$171)</f>
        <v/>
      </c>
      <c r="E498" s="22">
        <f>IF('Brouillard ventes'!$F$171="","",LEFT('Brouillard ventes'!$D$171,30))</f>
        <v/>
      </c>
      <c r="F498" s="22" t="inlineStr">
        <is>
          <t>15001</t>
        </is>
      </c>
      <c r="G498" s="22">
        <f>IF('Brouillard ventes'!$F$171="","",IF('Brouillard ventes'!$E$171="Réparation",Paramètres!$B$9,Paramètres!$B$8))</f>
        <v/>
      </c>
      <c r="H498" s="22" t="inlineStr"/>
      <c r="I498" s="22" t="inlineStr"/>
      <c r="J498" s="22" t="inlineStr"/>
      <c r="K498" s="22">
        <f>IF('Brouillard ventes'!$F$171="","",Paramètres!$B$11)</f>
        <v/>
      </c>
      <c r="L498" s="23" t="n">
        <v>0</v>
      </c>
      <c r="M498" s="23">
        <f>IF('Brouillard ventes'!$F$171="","",'Brouillard ventes'!$F$171)</f>
        <v/>
      </c>
    </row>
    <row r="499">
      <c r="A499" s="22" t="inlineStr">
        <is>
          <t>1</t>
        </is>
      </c>
      <c r="B499" s="22">
        <f>IF('Brouillard ventes'!$F$171="","","VD"&amp;TEXT(ROW('Brouillard ventes'!$F$171)-5,"00000"))</f>
        <v/>
      </c>
      <c r="C499" s="22">
        <f>IF('Brouillard ventes'!$F$171="","",YEAR('Brouillard ventes'!$A$171)*10000+MONTH('Brouillard ventes'!$A$171)*100+DAY('Brouillard ventes'!$A$171))</f>
        <v/>
      </c>
      <c r="D499" s="22">
        <f>IF('Brouillard ventes'!$F$171="","",'Brouillard ventes'!$B$171)</f>
        <v/>
      </c>
      <c r="E499" s="22">
        <f>IF('Brouillard ventes'!$F$171="","",LEFT('Brouillard ventes'!$D$171,30))</f>
        <v/>
      </c>
      <c r="F499" s="22" t="inlineStr">
        <is>
          <t>15001</t>
        </is>
      </c>
      <c r="G499" s="22">
        <f>IF('Brouillard ventes'!$F$171="","",Paramètres!$B$10)</f>
        <v/>
      </c>
      <c r="H499" s="22" t="inlineStr"/>
      <c r="I499" s="22" t="inlineStr"/>
      <c r="J499" s="22" t="inlineStr"/>
      <c r="K499" s="22">
        <f>IF('Brouillard ventes'!$F$171="","",Paramètres!$B$11)</f>
        <v/>
      </c>
      <c r="L499" s="23" t="n">
        <v>0</v>
      </c>
      <c r="M499" s="23">
        <f>IF('Brouillard ventes'!$F$171="","",'Brouillard ventes'!$H$171)</f>
        <v/>
      </c>
    </row>
    <row r="500">
      <c r="A500" s="22" t="inlineStr">
        <is>
          <t>1</t>
        </is>
      </c>
      <c r="B500" s="22">
        <f>IF('Brouillard ventes'!$F$172="","","VD"&amp;TEXT(ROW('Brouillard ventes'!$F$172)-5,"00000"))</f>
        <v/>
      </c>
      <c r="C500" s="22">
        <f>IF('Brouillard ventes'!$F$172="","",YEAR('Brouillard ventes'!$A$172)*10000+MONTH('Brouillard ventes'!$A$172)*100+DAY('Brouillard ventes'!$A$172))</f>
        <v/>
      </c>
      <c r="D500" s="22">
        <f>IF('Brouillard ventes'!$F$172="","",'Brouillard ventes'!$B$172)</f>
        <v/>
      </c>
      <c r="E500" s="22">
        <f>IF('Brouillard ventes'!$F$172="","",LEFT('Brouillard ventes'!$D$172,30))</f>
        <v/>
      </c>
      <c r="F500" s="22" t="inlineStr">
        <is>
          <t>15001</t>
        </is>
      </c>
      <c r="G500" s="22">
        <f>IF('Brouillard ventes'!$F$172="","",Paramètres!$B$7)</f>
        <v/>
      </c>
      <c r="H500" s="22">
        <f>IF('Brouillard ventes'!$F$172="","",IF('Brouillard ventes'!$C$172="","CD001",'Brouillard ventes'!$C$172))</f>
        <v/>
      </c>
      <c r="I500" s="22" t="inlineStr"/>
      <c r="J500" s="22" t="inlineStr"/>
      <c r="K500" s="22">
        <f>IF('Brouillard ventes'!$F$172="","",Paramètres!$B$11)</f>
        <v/>
      </c>
      <c r="L500" s="23">
        <f>IF('Brouillard ventes'!$F$172="","",'Brouillard ventes'!$I$172)</f>
        <v/>
      </c>
      <c r="M500" s="23" t="n">
        <v>0</v>
      </c>
    </row>
    <row r="501">
      <c r="A501" s="22" t="inlineStr">
        <is>
          <t>1</t>
        </is>
      </c>
      <c r="B501" s="22">
        <f>IF('Brouillard ventes'!$F$172="","","VD"&amp;TEXT(ROW('Brouillard ventes'!$F$172)-5,"00000"))</f>
        <v/>
      </c>
      <c r="C501" s="22">
        <f>IF('Brouillard ventes'!$F$172="","",YEAR('Brouillard ventes'!$A$172)*10000+MONTH('Brouillard ventes'!$A$172)*100+DAY('Brouillard ventes'!$A$172))</f>
        <v/>
      </c>
      <c r="D501" s="22">
        <f>IF('Brouillard ventes'!$F$172="","",'Brouillard ventes'!$B$172)</f>
        <v/>
      </c>
      <c r="E501" s="22">
        <f>IF('Brouillard ventes'!$F$172="","",LEFT('Brouillard ventes'!$D$172,30))</f>
        <v/>
      </c>
      <c r="F501" s="22" t="inlineStr">
        <is>
          <t>15001</t>
        </is>
      </c>
      <c r="G501" s="22">
        <f>IF('Brouillard ventes'!$F$172="","",IF('Brouillard ventes'!$E$172="Réparation",Paramètres!$B$9,Paramètres!$B$8))</f>
        <v/>
      </c>
      <c r="H501" s="22" t="inlineStr"/>
      <c r="I501" s="22" t="inlineStr"/>
      <c r="J501" s="22" t="inlineStr"/>
      <c r="K501" s="22">
        <f>IF('Brouillard ventes'!$F$172="","",Paramètres!$B$11)</f>
        <v/>
      </c>
      <c r="L501" s="23" t="n">
        <v>0</v>
      </c>
      <c r="M501" s="23">
        <f>IF('Brouillard ventes'!$F$172="","",'Brouillard ventes'!$F$172)</f>
        <v/>
      </c>
    </row>
    <row r="502">
      <c r="A502" s="22" t="inlineStr">
        <is>
          <t>1</t>
        </is>
      </c>
      <c r="B502" s="22">
        <f>IF('Brouillard ventes'!$F$172="","","VD"&amp;TEXT(ROW('Brouillard ventes'!$F$172)-5,"00000"))</f>
        <v/>
      </c>
      <c r="C502" s="22">
        <f>IF('Brouillard ventes'!$F$172="","",YEAR('Brouillard ventes'!$A$172)*10000+MONTH('Brouillard ventes'!$A$172)*100+DAY('Brouillard ventes'!$A$172))</f>
        <v/>
      </c>
      <c r="D502" s="22">
        <f>IF('Brouillard ventes'!$F$172="","",'Brouillard ventes'!$B$172)</f>
        <v/>
      </c>
      <c r="E502" s="22">
        <f>IF('Brouillard ventes'!$F$172="","",LEFT('Brouillard ventes'!$D$172,30))</f>
        <v/>
      </c>
      <c r="F502" s="22" t="inlineStr">
        <is>
          <t>15001</t>
        </is>
      </c>
      <c r="G502" s="22">
        <f>IF('Brouillard ventes'!$F$172="","",Paramètres!$B$10)</f>
        <v/>
      </c>
      <c r="H502" s="22" t="inlineStr"/>
      <c r="I502" s="22" t="inlineStr"/>
      <c r="J502" s="22" t="inlineStr"/>
      <c r="K502" s="22">
        <f>IF('Brouillard ventes'!$F$172="","",Paramètres!$B$11)</f>
        <v/>
      </c>
      <c r="L502" s="23" t="n">
        <v>0</v>
      </c>
      <c r="M502" s="23">
        <f>IF('Brouillard ventes'!$F$172="","",'Brouillard ventes'!$H$172)</f>
        <v/>
      </c>
    </row>
    <row r="503">
      <c r="A503" s="22" t="inlineStr">
        <is>
          <t>1</t>
        </is>
      </c>
      <c r="B503" s="22">
        <f>IF('Brouillard ventes'!$F$173="","","VD"&amp;TEXT(ROW('Brouillard ventes'!$F$173)-5,"00000"))</f>
        <v/>
      </c>
      <c r="C503" s="22">
        <f>IF('Brouillard ventes'!$F$173="","",YEAR('Brouillard ventes'!$A$173)*10000+MONTH('Brouillard ventes'!$A$173)*100+DAY('Brouillard ventes'!$A$173))</f>
        <v/>
      </c>
      <c r="D503" s="22">
        <f>IF('Brouillard ventes'!$F$173="","",'Brouillard ventes'!$B$173)</f>
        <v/>
      </c>
      <c r="E503" s="22">
        <f>IF('Brouillard ventes'!$F$173="","",LEFT('Brouillard ventes'!$D$173,30))</f>
        <v/>
      </c>
      <c r="F503" s="22" t="inlineStr">
        <is>
          <t>15001</t>
        </is>
      </c>
      <c r="G503" s="22">
        <f>IF('Brouillard ventes'!$F$173="","",Paramètres!$B$7)</f>
        <v/>
      </c>
      <c r="H503" s="22">
        <f>IF('Brouillard ventes'!$F$173="","",IF('Brouillard ventes'!$C$173="","CD001",'Brouillard ventes'!$C$173))</f>
        <v/>
      </c>
      <c r="I503" s="22" t="inlineStr"/>
      <c r="J503" s="22" t="inlineStr"/>
      <c r="K503" s="22">
        <f>IF('Brouillard ventes'!$F$173="","",Paramètres!$B$11)</f>
        <v/>
      </c>
      <c r="L503" s="23">
        <f>IF('Brouillard ventes'!$F$173="","",'Brouillard ventes'!$I$173)</f>
        <v/>
      </c>
      <c r="M503" s="23" t="n">
        <v>0</v>
      </c>
    </row>
    <row r="504">
      <c r="A504" s="22" t="inlineStr">
        <is>
          <t>1</t>
        </is>
      </c>
      <c r="B504" s="22">
        <f>IF('Brouillard ventes'!$F$173="","","VD"&amp;TEXT(ROW('Brouillard ventes'!$F$173)-5,"00000"))</f>
        <v/>
      </c>
      <c r="C504" s="22">
        <f>IF('Brouillard ventes'!$F$173="","",YEAR('Brouillard ventes'!$A$173)*10000+MONTH('Brouillard ventes'!$A$173)*100+DAY('Brouillard ventes'!$A$173))</f>
        <v/>
      </c>
      <c r="D504" s="22">
        <f>IF('Brouillard ventes'!$F$173="","",'Brouillard ventes'!$B$173)</f>
        <v/>
      </c>
      <c r="E504" s="22">
        <f>IF('Brouillard ventes'!$F$173="","",LEFT('Brouillard ventes'!$D$173,30))</f>
        <v/>
      </c>
      <c r="F504" s="22" t="inlineStr">
        <is>
          <t>15001</t>
        </is>
      </c>
      <c r="G504" s="22">
        <f>IF('Brouillard ventes'!$F$173="","",IF('Brouillard ventes'!$E$173="Réparation",Paramètres!$B$9,Paramètres!$B$8))</f>
        <v/>
      </c>
      <c r="H504" s="22" t="inlineStr"/>
      <c r="I504" s="22" t="inlineStr"/>
      <c r="J504" s="22" t="inlineStr"/>
      <c r="K504" s="22">
        <f>IF('Brouillard ventes'!$F$173="","",Paramètres!$B$11)</f>
        <v/>
      </c>
      <c r="L504" s="23" t="n">
        <v>0</v>
      </c>
      <c r="M504" s="23">
        <f>IF('Brouillard ventes'!$F$173="","",'Brouillard ventes'!$F$173)</f>
        <v/>
      </c>
    </row>
    <row r="505">
      <c r="A505" s="22" t="inlineStr">
        <is>
          <t>1</t>
        </is>
      </c>
      <c r="B505" s="22">
        <f>IF('Brouillard ventes'!$F$173="","","VD"&amp;TEXT(ROW('Brouillard ventes'!$F$173)-5,"00000"))</f>
        <v/>
      </c>
      <c r="C505" s="22">
        <f>IF('Brouillard ventes'!$F$173="","",YEAR('Brouillard ventes'!$A$173)*10000+MONTH('Brouillard ventes'!$A$173)*100+DAY('Brouillard ventes'!$A$173))</f>
        <v/>
      </c>
      <c r="D505" s="22">
        <f>IF('Brouillard ventes'!$F$173="","",'Brouillard ventes'!$B$173)</f>
        <v/>
      </c>
      <c r="E505" s="22">
        <f>IF('Brouillard ventes'!$F$173="","",LEFT('Brouillard ventes'!$D$173,30))</f>
        <v/>
      </c>
      <c r="F505" s="22" t="inlineStr">
        <is>
          <t>15001</t>
        </is>
      </c>
      <c r="G505" s="22">
        <f>IF('Brouillard ventes'!$F$173="","",Paramètres!$B$10)</f>
        <v/>
      </c>
      <c r="H505" s="22" t="inlineStr"/>
      <c r="I505" s="22" t="inlineStr"/>
      <c r="J505" s="22" t="inlineStr"/>
      <c r="K505" s="22">
        <f>IF('Brouillard ventes'!$F$173="","",Paramètres!$B$11)</f>
        <v/>
      </c>
      <c r="L505" s="23" t="n">
        <v>0</v>
      </c>
      <c r="M505" s="23">
        <f>IF('Brouillard ventes'!$F$173="","",'Brouillard ventes'!$H$173)</f>
        <v/>
      </c>
    </row>
    <row r="506">
      <c r="A506" s="22" t="inlineStr">
        <is>
          <t>1</t>
        </is>
      </c>
      <c r="B506" s="22">
        <f>IF('Brouillard ventes'!$F$174="","","VD"&amp;TEXT(ROW('Brouillard ventes'!$F$174)-5,"00000"))</f>
        <v/>
      </c>
      <c r="C506" s="22">
        <f>IF('Brouillard ventes'!$F$174="","",YEAR('Brouillard ventes'!$A$174)*10000+MONTH('Brouillard ventes'!$A$174)*100+DAY('Brouillard ventes'!$A$174))</f>
        <v/>
      </c>
      <c r="D506" s="22">
        <f>IF('Brouillard ventes'!$F$174="","",'Brouillard ventes'!$B$174)</f>
        <v/>
      </c>
      <c r="E506" s="22">
        <f>IF('Brouillard ventes'!$F$174="","",LEFT('Brouillard ventes'!$D$174,30))</f>
        <v/>
      </c>
      <c r="F506" s="22" t="inlineStr">
        <is>
          <t>15001</t>
        </is>
      </c>
      <c r="G506" s="22">
        <f>IF('Brouillard ventes'!$F$174="","",Paramètres!$B$7)</f>
        <v/>
      </c>
      <c r="H506" s="22">
        <f>IF('Brouillard ventes'!$F$174="","",IF('Brouillard ventes'!$C$174="","CD001",'Brouillard ventes'!$C$174))</f>
        <v/>
      </c>
      <c r="I506" s="22" t="inlineStr"/>
      <c r="J506" s="22" t="inlineStr"/>
      <c r="K506" s="22">
        <f>IF('Brouillard ventes'!$F$174="","",Paramètres!$B$11)</f>
        <v/>
      </c>
      <c r="L506" s="23">
        <f>IF('Brouillard ventes'!$F$174="","",'Brouillard ventes'!$I$174)</f>
        <v/>
      </c>
      <c r="M506" s="23" t="n">
        <v>0</v>
      </c>
    </row>
    <row r="507">
      <c r="A507" s="22" t="inlineStr">
        <is>
          <t>1</t>
        </is>
      </c>
      <c r="B507" s="22">
        <f>IF('Brouillard ventes'!$F$174="","","VD"&amp;TEXT(ROW('Brouillard ventes'!$F$174)-5,"00000"))</f>
        <v/>
      </c>
      <c r="C507" s="22">
        <f>IF('Brouillard ventes'!$F$174="","",YEAR('Brouillard ventes'!$A$174)*10000+MONTH('Brouillard ventes'!$A$174)*100+DAY('Brouillard ventes'!$A$174))</f>
        <v/>
      </c>
      <c r="D507" s="22">
        <f>IF('Brouillard ventes'!$F$174="","",'Brouillard ventes'!$B$174)</f>
        <v/>
      </c>
      <c r="E507" s="22">
        <f>IF('Brouillard ventes'!$F$174="","",LEFT('Brouillard ventes'!$D$174,30))</f>
        <v/>
      </c>
      <c r="F507" s="22" t="inlineStr">
        <is>
          <t>15001</t>
        </is>
      </c>
      <c r="G507" s="22">
        <f>IF('Brouillard ventes'!$F$174="","",IF('Brouillard ventes'!$E$174="Réparation",Paramètres!$B$9,Paramètres!$B$8))</f>
        <v/>
      </c>
      <c r="H507" s="22" t="inlineStr"/>
      <c r="I507" s="22" t="inlineStr"/>
      <c r="J507" s="22" t="inlineStr"/>
      <c r="K507" s="22">
        <f>IF('Brouillard ventes'!$F$174="","",Paramètres!$B$11)</f>
        <v/>
      </c>
      <c r="L507" s="23" t="n">
        <v>0</v>
      </c>
      <c r="M507" s="23">
        <f>IF('Brouillard ventes'!$F$174="","",'Brouillard ventes'!$F$174)</f>
        <v/>
      </c>
    </row>
    <row r="508">
      <c r="A508" s="22" t="inlineStr">
        <is>
          <t>1</t>
        </is>
      </c>
      <c r="B508" s="22">
        <f>IF('Brouillard ventes'!$F$174="","","VD"&amp;TEXT(ROW('Brouillard ventes'!$F$174)-5,"00000"))</f>
        <v/>
      </c>
      <c r="C508" s="22">
        <f>IF('Brouillard ventes'!$F$174="","",YEAR('Brouillard ventes'!$A$174)*10000+MONTH('Brouillard ventes'!$A$174)*100+DAY('Brouillard ventes'!$A$174))</f>
        <v/>
      </c>
      <c r="D508" s="22">
        <f>IF('Brouillard ventes'!$F$174="","",'Brouillard ventes'!$B$174)</f>
        <v/>
      </c>
      <c r="E508" s="22">
        <f>IF('Brouillard ventes'!$F$174="","",LEFT('Brouillard ventes'!$D$174,30))</f>
        <v/>
      </c>
      <c r="F508" s="22" t="inlineStr">
        <is>
          <t>15001</t>
        </is>
      </c>
      <c r="G508" s="22">
        <f>IF('Brouillard ventes'!$F$174="","",Paramètres!$B$10)</f>
        <v/>
      </c>
      <c r="H508" s="22" t="inlineStr"/>
      <c r="I508" s="22" t="inlineStr"/>
      <c r="J508" s="22" t="inlineStr"/>
      <c r="K508" s="22">
        <f>IF('Brouillard ventes'!$F$174="","",Paramètres!$B$11)</f>
        <v/>
      </c>
      <c r="L508" s="23" t="n">
        <v>0</v>
      </c>
      <c r="M508" s="23">
        <f>IF('Brouillard ventes'!$F$174="","",'Brouillard ventes'!$H$174)</f>
        <v/>
      </c>
    </row>
    <row r="509">
      <c r="A509" s="22" t="inlineStr">
        <is>
          <t>1</t>
        </is>
      </c>
      <c r="B509" s="22">
        <f>IF('Brouillard ventes'!$F$175="","","VD"&amp;TEXT(ROW('Brouillard ventes'!$F$175)-5,"00000"))</f>
        <v/>
      </c>
      <c r="C509" s="22">
        <f>IF('Brouillard ventes'!$F$175="","",YEAR('Brouillard ventes'!$A$175)*10000+MONTH('Brouillard ventes'!$A$175)*100+DAY('Brouillard ventes'!$A$175))</f>
        <v/>
      </c>
      <c r="D509" s="22">
        <f>IF('Brouillard ventes'!$F$175="","",'Brouillard ventes'!$B$175)</f>
        <v/>
      </c>
      <c r="E509" s="22">
        <f>IF('Brouillard ventes'!$F$175="","",LEFT('Brouillard ventes'!$D$175,30))</f>
        <v/>
      </c>
      <c r="F509" s="22" t="inlineStr">
        <is>
          <t>15001</t>
        </is>
      </c>
      <c r="G509" s="22">
        <f>IF('Brouillard ventes'!$F$175="","",Paramètres!$B$7)</f>
        <v/>
      </c>
      <c r="H509" s="22">
        <f>IF('Brouillard ventes'!$F$175="","",IF('Brouillard ventes'!$C$175="","CD001",'Brouillard ventes'!$C$175))</f>
        <v/>
      </c>
      <c r="I509" s="22" t="inlineStr"/>
      <c r="J509" s="22" t="inlineStr"/>
      <c r="K509" s="22">
        <f>IF('Brouillard ventes'!$F$175="","",Paramètres!$B$11)</f>
        <v/>
      </c>
      <c r="L509" s="23">
        <f>IF('Brouillard ventes'!$F$175="","",'Brouillard ventes'!$I$175)</f>
        <v/>
      </c>
      <c r="M509" s="23" t="n">
        <v>0</v>
      </c>
    </row>
    <row r="510">
      <c r="A510" s="22" t="inlineStr">
        <is>
          <t>1</t>
        </is>
      </c>
      <c r="B510" s="22">
        <f>IF('Brouillard ventes'!$F$175="","","VD"&amp;TEXT(ROW('Brouillard ventes'!$F$175)-5,"00000"))</f>
        <v/>
      </c>
      <c r="C510" s="22">
        <f>IF('Brouillard ventes'!$F$175="","",YEAR('Brouillard ventes'!$A$175)*10000+MONTH('Brouillard ventes'!$A$175)*100+DAY('Brouillard ventes'!$A$175))</f>
        <v/>
      </c>
      <c r="D510" s="22">
        <f>IF('Brouillard ventes'!$F$175="","",'Brouillard ventes'!$B$175)</f>
        <v/>
      </c>
      <c r="E510" s="22">
        <f>IF('Brouillard ventes'!$F$175="","",LEFT('Brouillard ventes'!$D$175,30))</f>
        <v/>
      </c>
      <c r="F510" s="22" t="inlineStr">
        <is>
          <t>15001</t>
        </is>
      </c>
      <c r="G510" s="22">
        <f>IF('Brouillard ventes'!$F$175="","",IF('Brouillard ventes'!$E$175="Réparation",Paramètres!$B$9,Paramètres!$B$8))</f>
        <v/>
      </c>
      <c r="H510" s="22" t="inlineStr"/>
      <c r="I510" s="22" t="inlineStr"/>
      <c r="J510" s="22" t="inlineStr"/>
      <c r="K510" s="22">
        <f>IF('Brouillard ventes'!$F$175="","",Paramètres!$B$11)</f>
        <v/>
      </c>
      <c r="L510" s="23" t="n">
        <v>0</v>
      </c>
      <c r="M510" s="23">
        <f>IF('Brouillard ventes'!$F$175="","",'Brouillard ventes'!$F$175)</f>
        <v/>
      </c>
    </row>
    <row r="511">
      <c r="A511" s="22" t="inlineStr">
        <is>
          <t>1</t>
        </is>
      </c>
      <c r="B511" s="22">
        <f>IF('Brouillard ventes'!$F$175="","","VD"&amp;TEXT(ROW('Brouillard ventes'!$F$175)-5,"00000"))</f>
        <v/>
      </c>
      <c r="C511" s="22">
        <f>IF('Brouillard ventes'!$F$175="","",YEAR('Brouillard ventes'!$A$175)*10000+MONTH('Brouillard ventes'!$A$175)*100+DAY('Brouillard ventes'!$A$175))</f>
        <v/>
      </c>
      <c r="D511" s="22">
        <f>IF('Brouillard ventes'!$F$175="","",'Brouillard ventes'!$B$175)</f>
        <v/>
      </c>
      <c r="E511" s="22">
        <f>IF('Brouillard ventes'!$F$175="","",LEFT('Brouillard ventes'!$D$175,30))</f>
        <v/>
      </c>
      <c r="F511" s="22" t="inlineStr">
        <is>
          <t>15001</t>
        </is>
      </c>
      <c r="G511" s="22">
        <f>IF('Brouillard ventes'!$F$175="","",Paramètres!$B$10)</f>
        <v/>
      </c>
      <c r="H511" s="22" t="inlineStr"/>
      <c r="I511" s="22" t="inlineStr"/>
      <c r="J511" s="22" t="inlineStr"/>
      <c r="K511" s="22">
        <f>IF('Brouillard ventes'!$F$175="","",Paramètres!$B$11)</f>
        <v/>
      </c>
      <c r="L511" s="23" t="n">
        <v>0</v>
      </c>
      <c r="M511" s="23">
        <f>IF('Brouillard ventes'!$F$175="","",'Brouillard ventes'!$H$175)</f>
        <v/>
      </c>
    </row>
    <row r="512">
      <c r="A512" s="22" t="inlineStr">
        <is>
          <t>1</t>
        </is>
      </c>
      <c r="B512" s="22">
        <f>IF('Brouillard ventes'!$F$176="","","VD"&amp;TEXT(ROW('Brouillard ventes'!$F$176)-5,"00000"))</f>
        <v/>
      </c>
      <c r="C512" s="22">
        <f>IF('Brouillard ventes'!$F$176="","",YEAR('Brouillard ventes'!$A$176)*10000+MONTH('Brouillard ventes'!$A$176)*100+DAY('Brouillard ventes'!$A$176))</f>
        <v/>
      </c>
      <c r="D512" s="22">
        <f>IF('Brouillard ventes'!$F$176="","",'Brouillard ventes'!$B$176)</f>
        <v/>
      </c>
      <c r="E512" s="22">
        <f>IF('Brouillard ventes'!$F$176="","",LEFT('Brouillard ventes'!$D$176,30))</f>
        <v/>
      </c>
      <c r="F512" s="22" t="inlineStr">
        <is>
          <t>15001</t>
        </is>
      </c>
      <c r="G512" s="22">
        <f>IF('Brouillard ventes'!$F$176="","",Paramètres!$B$7)</f>
        <v/>
      </c>
      <c r="H512" s="22">
        <f>IF('Brouillard ventes'!$F$176="","",IF('Brouillard ventes'!$C$176="","CD001",'Brouillard ventes'!$C$176))</f>
        <v/>
      </c>
      <c r="I512" s="22" t="inlineStr"/>
      <c r="J512" s="22" t="inlineStr"/>
      <c r="K512" s="22">
        <f>IF('Brouillard ventes'!$F$176="","",Paramètres!$B$11)</f>
        <v/>
      </c>
      <c r="L512" s="23">
        <f>IF('Brouillard ventes'!$F$176="","",'Brouillard ventes'!$I$176)</f>
        <v/>
      </c>
      <c r="M512" s="23" t="n">
        <v>0</v>
      </c>
    </row>
    <row r="513">
      <c r="A513" s="22" t="inlineStr">
        <is>
          <t>1</t>
        </is>
      </c>
      <c r="B513" s="22">
        <f>IF('Brouillard ventes'!$F$176="","","VD"&amp;TEXT(ROW('Brouillard ventes'!$F$176)-5,"00000"))</f>
        <v/>
      </c>
      <c r="C513" s="22">
        <f>IF('Brouillard ventes'!$F$176="","",YEAR('Brouillard ventes'!$A$176)*10000+MONTH('Brouillard ventes'!$A$176)*100+DAY('Brouillard ventes'!$A$176))</f>
        <v/>
      </c>
      <c r="D513" s="22">
        <f>IF('Brouillard ventes'!$F$176="","",'Brouillard ventes'!$B$176)</f>
        <v/>
      </c>
      <c r="E513" s="22">
        <f>IF('Brouillard ventes'!$F$176="","",LEFT('Brouillard ventes'!$D$176,30))</f>
        <v/>
      </c>
      <c r="F513" s="22" t="inlineStr">
        <is>
          <t>15001</t>
        </is>
      </c>
      <c r="G513" s="22">
        <f>IF('Brouillard ventes'!$F$176="","",IF('Brouillard ventes'!$E$176="Réparation",Paramètres!$B$9,Paramètres!$B$8))</f>
        <v/>
      </c>
      <c r="H513" s="22" t="inlineStr"/>
      <c r="I513" s="22" t="inlineStr"/>
      <c r="J513" s="22" t="inlineStr"/>
      <c r="K513" s="22">
        <f>IF('Brouillard ventes'!$F$176="","",Paramètres!$B$11)</f>
        <v/>
      </c>
      <c r="L513" s="23" t="n">
        <v>0</v>
      </c>
      <c r="M513" s="23">
        <f>IF('Brouillard ventes'!$F$176="","",'Brouillard ventes'!$F$176)</f>
        <v/>
      </c>
    </row>
    <row r="514">
      <c r="A514" s="22" t="inlineStr">
        <is>
          <t>1</t>
        </is>
      </c>
      <c r="B514" s="22">
        <f>IF('Brouillard ventes'!$F$176="","","VD"&amp;TEXT(ROW('Brouillard ventes'!$F$176)-5,"00000"))</f>
        <v/>
      </c>
      <c r="C514" s="22">
        <f>IF('Brouillard ventes'!$F$176="","",YEAR('Brouillard ventes'!$A$176)*10000+MONTH('Brouillard ventes'!$A$176)*100+DAY('Brouillard ventes'!$A$176))</f>
        <v/>
      </c>
      <c r="D514" s="22">
        <f>IF('Brouillard ventes'!$F$176="","",'Brouillard ventes'!$B$176)</f>
        <v/>
      </c>
      <c r="E514" s="22">
        <f>IF('Brouillard ventes'!$F$176="","",LEFT('Brouillard ventes'!$D$176,30))</f>
        <v/>
      </c>
      <c r="F514" s="22" t="inlineStr">
        <is>
          <t>15001</t>
        </is>
      </c>
      <c r="G514" s="22">
        <f>IF('Brouillard ventes'!$F$176="","",Paramètres!$B$10)</f>
        <v/>
      </c>
      <c r="H514" s="22" t="inlineStr"/>
      <c r="I514" s="22" t="inlineStr"/>
      <c r="J514" s="22" t="inlineStr"/>
      <c r="K514" s="22">
        <f>IF('Brouillard ventes'!$F$176="","",Paramètres!$B$11)</f>
        <v/>
      </c>
      <c r="L514" s="23" t="n">
        <v>0</v>
      </c>
      <c r="M514" s="23">
        <f>IF('Brouillard ventes'!$F$176="","",'Brouillard ventes'!$H$176)</f>
        <v/>
      </c>
    </row>
    <row r="515">
      <c r="A515" s="22" t="inlineStr">
        <is>
          <t>1</t>
        </is>
      </c>
      <c r="B515" s="22">
        <f>IF('Brouillard ventes'!$F$177="","","VD"&amp;TEXT(ROW('Brouillard ventes'!$F$177)-5,"00000"))</f>
        <v/>
      </c>
      <c r="C515" s="22">
        <f>IF('Brouillard ventes'!$F$177="","",YEAR('Brouillard ventes'!$A$177)*10000+MONTH('Brouillard ventes'!$A$177)*100+DAY('Brouillard ventes'!$A$177))</f>
        <v/>
      </c>
      <c r="D515" s="22">
        <f>IF('Brouillard ventes'!$F$177="","",'Brouillard ventes'!$B$177)</f>
        <v/>
      </c>
      <c r="E515" s="22">
        <f>IF('Brouillard ventes'!$F$177="","",LEFT('Brouillard ventes'!$D$177,30))</f>
        <v/>
      </c>
      <c r="F515" s="22" t="inlineStr">
        <is>
          <t>15001</t>
        </is>
      </c>
      <c r="G515" s="22">
        <f>IF('Brouillard ventes'!$F$177="","",Paramètres!$B$7)</f>
        <v/>
      </c>
      <c r="H515" s="22">
        <f>IF('Brouillard ventes'!$F$177="","",IF('Brouillard ventes'!$C$177="","CD001",'Brouillard ventes'!$C$177))</f>
        <v/>
      </c>
      <c r="I515" s="22" t="inlineStr"/>
      <c r="J515" s="22" t="inlineStr"/>
      <c r="K515" s="22">
        <f>IF('Brouillard ventes'!$F$177="","",Paramètres!$B$11)</f>
        <v/>
      </c>
      <c r="L515" s="23">
        <f>IF('Brouillard ventes'!$F$177="","",'Brouillard ventes'!$I$177)</f>
        <v/>
      </c>
      <c r="M515" s="23" t="n">
        <v>0</v>
      </c>
    </row>
    <row r="516">
      <c r="A516" s="22" t="inlineStr">
        <is>
          <t>1</t>
        </is>
      </c>
      <c r="B516" s="22">
        <f>IF('Brouillard ventes'!$F$177="","","VD"&amp;TEXT(ROW('Brouillard ventes'!$F$177)-5,"00000"))</f>
        <v/>
      </c>
      <c r="C516" s="22">
        <f>IF('Brouillard ventes'!$F$177="","",YEAR('Brouillard ventes'!$A$177)*10000+MONTH('Brouillard ventes'!$A$177)*100+DAY('Brouillard ventes'!$A$177))</f>
        <v/>
      </c>
      <c r="D516" s="22">
        <f>IF('Brouillard ventes'!$F$177="","",'Brouillard ventes'!$B$177)</f>
        <v/>
      </c>
      <c r="E516" s="22">
        <f>IF('Brouillard ventes'!$F$177="","",LEFT('Brouillard ventes'!$D$177,30))</f>
        <v/>
      </c>
      <c r="F516" s="22" t="inlineStr">
        <is>
          <t>15001</t>
        </is>
      </c>
      <c r="G516" s="22">
        <f>IF('Brouillard ventes'!$F$177="","",IF('Brouillard ventes'!$E$177="Réparation",Paramètres!$B$9,Paramètres!$B$8))</f>
        <v/>
      </c>
      <c r="H516" s="22" t="inlineStr"/>
      <c r="I516" s="22" t="inlineStr"/>
      <c r="J516" s="22" t="inlineStr"/>
      <c r="K516" s="22">
        <f>IF('Brouillard ventes'!$F$177="","",Paramètres!$B$11)</f>
        <v/>
      </c>
      <c r="L516" s="23" t="n">
        <v>0</v>
      </c>
      <c r="M516" s="23">
        <f>IF('Brouillard ventes'!$F$177="","",'Brouillard ventes'!$F$177)</f>
        <v/>
      </c>
    </row>
    <row r="517">
      <c r="A517" s="22" t="inlineStr">
        <is>
          <t>1</t>
        </is>
      </c>
      <c r="B517" s="22">
        <f>IF('Brouillard ventes'!$F$177="","","VD"&amp;TEXT(ROW('Brouillard ventes'!$F$177)-5,"00000"))</f>
        <v/>
      </c>
      <c r="C517" s="22">
        <f>IF('Brouillard ventes'!$F$177="","",YEAR('Brouillard ventes'!$A$177)*10000+MONTH('Brouillard ventes'!$A$177)*100+DAY('Brouillard ventes'!$A$177))</f>
        <v/>
      </c>
      <c r="D517" s="22">
        <f>IF('Brouillard ventes'!$F$177="","",'Brouillard ventes'!$B$177)</f>
        <v/>
      </c>
      <c r="E517" s="22">
        <f>IF('Brouillard ventes'!$F$177="","",LEFT('Brouillard ventes'!$D$177,30))</f>
        <v/>
      </c>
      <c r="F517" s="22" t="inlineStr">
        <is>
          <t>15001</t>
        </is>
      </c>
      <c r="G517" s="22">
        <f>IF('Brouillard ventes'!$F$177="","",Paramètres!$B$10)</f>
        <v/>
      </c>
      <c r="H517" s="22" t="inlineStr"/>
      <c r="I517" s="22" t="inlineStr"/>
      <c r="J517" s="22" t="inlineStr"/>
      <c r="K517" s="22">
        <f>IF('Brouillard ventes'!$F$177="","",Paramètres!$B$11)</f>
        <v/>
      </c>
      <c r="L517" s="23" t="n">
        <v>0</v>
      </c>
      <c r="M517" s="23">
        <f>IF('Brouillard ventes'!$F$177="","",'Brouillard ventes'!$H$177)</f>
        <v/>
      </c>
    </row>
    <row r="518">
      <c r="A518" s="22" t="inlineStr">
        <is>
          <t>1</t>
        </is>
      </c>
      <c r="B518" s="22">
        <f>IF('Brouillard ventes'!$F$178="","","VD"&amp;TEXT(ROW('Brouillard ventes'!$F$178)-5,"00000"))</f>
        <v/>
      </c>
      <c r="C518" s="22">
        <f>IF('Brouillard ventes'!$F$178="","",YEAR('Brouillard ventes'!$A$178)*10000+MONTH('Brouillard ventes'!$A$178)*100+DAY('Brouillard ventes'!$A$178))</f>
        <v/>
      </c>
      <c r="D518" s="22">
        <f>IF('Brouillard ventes'!$F$178="","",'Brouillard ventes'!$B$178)</f>
        <v/>
      </c>
      <c r="E518" s="22">
        <f>IF('Brouillard ventes'!$F$178="","",LEFT('Brouillard ventes'!$D$178,30))</f>
        <v/>
      </c>
      <c r="F518" s="22" t="inlineStr">
        <is>
          <t>15001</t>
        </is>
      </c>
      <c r="G518" s="22">
        <f>IF('Brouillard ventes'!$F$178="","",Paramètres!$B$7)</f>
        <v/>
      </c>
      <c r="H518" s="22">
        <f>IF('Brouillard ventes'!$F$178="","",IF('Brouillard ventes'!$C$178="","CD001",'Brouillard ventes'!$C$178))</f>
        <v/>
      </c>
      <c r="I518" s="22" t="inlineStr"/>
      <c r="J518" s="22" t="inlineStr"/>
      <c r="K518" s="22">
        <f>IF('Brouillard ventes'!$F$178="","",Paramètres!$B$11)</f>
        <v/>
      </c>
      <c r="L518" s="23">
        <f>IF('Brouillard ventes'!$F$178="","",'Brouillard ventes'!$I$178)</f>
        <v/>
      </c>
      <c r="M518" s="23" t="n">
        <v>0</v>
      </c>
    </row>
    <row r="519">
      <c r="A519" s="22" t="inlineStr">
        <is>
          <t>1</t>
        </is>
      </c>
      <c r="B519" s="22">
        <f>IF('Brouillard ventes'!$F$178="","","VD"&amp;TEXT(ROW('Brouillard ventes'!$F$178)-5,"00000"))</f>
        <v/>
      </c>
      <c r="C519" s="22">
        <f>IF('Brouillard ventes'!$F$178="","",YEAR('Brouillard ventes'!$A$178)*10000+MONTH('Brouillard ventes'!$A$178)*100+DAY('Brouillard ventes'!$A$178))</f>
        <v/>
      </c>
      <c r="D519" s="22">
        <f>IF('Brouillard ventes'!$F$178="","",'Brouillard ventes'!$B$178)</f>
        <v/>
      </c>
      <c r="E519" s="22">
        <f>IF('Brouillard ventes'!$F$178="","",LEFT('Brouillard ventes'!$D$178,30))</f>
        <v/>
      </c>
      <c r="F519" s="22" t="inlineStr">
        <is>
          <t>15001</t>
        </is>
      </c>
      <c r="G519" s="22">
        <f>IF('Brouillard ventes'!$F$178="","",IF('Brouillard ventes'!$E$178="Réparation",Paramètres!$B$9,Paramètres!$B$8))</f>
        <v/>
      </c>
      <c r="H519" s="22" t="inlineStr"/>
      <c r="I519" s="22" t="inlineStr"/>
      <c r="J519" s="22" t="inlineStr"/>
      <c r="K519" s="22">
        <f>IF('Brouillard ventes'!$F$178="","",Paramètres!$B$11)</f>
        <v/>
      </c>
      <c r="L519" s="23" t="n">
        <v>0</v>
      </c>
      <c r="M519" s="23">
        <f>IF('Brouillard ventes'!$F$178="","",'Brouillard ventes'!$F$178)</f>
        <v/>
      </c>
    </row>
    <row r="520">
      <c r="A520" s="22" t="inlineStr">
        <is>
          <t>1</t>
        </is>
      </c>
      <c r="B520" s="22">
        <f>IF('Brouillard ventes'!$F$178="","","VD"&amp;TEXT(ROW('Brouillard ventes'!$F$178)-5,"00000"))</f>
        <v/>
      </c>
      <c r="C520" s="22">
        <f>IF('Brouillard ventes'!$F$178="","",YEAR('Brouillard ventes'!$A$178)*10000+MONTH('Brouillard ventes'!$A$178)*100+DAY('Brouillard ventes'!$A$178))</f>
        <v/>
      </c>
      <c r="D520" s="22">
        <f>IF('Brouillard ventes'!$F$178="","",'Brouillard ventes'!$B$178)</f>
        <v/>
      </c>
      <c r="E520" s="22">
        <f>IF('Brouillard ventes'!$F$178="","",LEFT('Brouillard ventes'!$D$178,30))</f>
        <v/>
      </c>
      <c r="F520" s="22" t="inlineStr">
        <is>
          <t>15001</t>
        </is>
      </c>
      <c r="G520" s="22">
        <f>IF('Brouillard ventes'!$F$178="","",Paramètres!$B$10)</f>
        <v/>
      </c>
      <c r="H520" s="22" t="inlineStr"/>
      <c r="I520" s="22" t="inlineStr"/>
      <c r="J520" s="22" t="inlineStr"/>
      <c r="K520" s="22">
        <f>IF('Brouillard ventes'!$F$178="","",Paramètres!$B$11)</f>
        <v/>
      </c>
      <c r="L520" s="23" t="n">
        <v>0</v>
      </c>
      <c r="M520" s="23">
        <f>IF('Brouillard ventes'!$F$178="","",'Brouillard ventes'!$H$178)</f>
        <v/>
      </c>
    </row>
    <row r="521">
      <c r="A521" s="22" t="inlineStr">
        <is>
          <t>1</t>
        </is>
      </c>
      <c r="B521" s="22">
        <f>IF('Brouillard ventes'!$F$179="","","VD"&amp;TEXT(ROW('Brouillard ventes'!$F$179)-5,"00000"))</f>
        <v/>
      </c>
      <c r="C521" s="22">
        <f>IF('Brouillard ventes'!$F$179="","",YEAR('Brouillard ventes'!$A$179)*10000+MONTH('Brouillard ventes'!$A$179)*100+DAY('Brouillard ventes'!$A$179))</f>
        <v/>
      </c>
      <c r="D521" s="22">
        <f>IF('Brouillard ventes'!$F$179="","",'Brouillard ventes'!$B$179)</f>
        <v/>
      </c>
      <c r="E521" s="22">
        <f>IF('Brouillard ventes'!$F$179="","",LEFT('Brouillard ventes'!$D$179,30))</f>
        <v/>
      </c>
      <c r="F521" s="22" t="inlineStr">
        <is>
          <t>15001</t>
        </is>
      </c>
      <c r="G521" s="22">
        <f>IF('Brouillard ventes'!$F$179="","",Paramètres!$B$7)</f>
        <v/>
      </c>
      <c r="H521" s="22">
        <f>IF('Brouillard ventes'!$F$179="","",IF('Brouillard ventes'!$C$179="","CD001",'Brouillard ventes'!$C$179))</f>
        <v/>
      </c>
      <c r="I521" s="22" t="inlineStr"/>
      <c r="J521" s="22" t="inlineStr"/>
      <c r="K521" s="22">
        <f>IF('Brouillard ventes'!$F$179="","",Paramètres!$B$11)</f>
        <v/>
      </c>
      <c r="L521" s="23">
        <f>IF('Brouillard ventes'!$F$179="","",'Brouillard ventes'!$I$179)</f>
        <v/>
      </c>
      <c r="M521" s="23" t="n">
        <v>0</v>
      </c>
    </row>
    <row r="522">
      <c r="A522" s="22" t="inlineStr">
        <is>
          <t>1</t>
        </is>
      </c>
      <c r="B522" s="22">
        <f>IF('Brouillard ventes'!$F$179="","","VD"&amp;TEXT(ROW('Brouillard ventes'!$F$179)-5,"00000"))</f>
        <v/>
      </c>
      <c r="C522" s="22">
        <f>IF('Brouillard ventes'!$F$179="","",YEAR('Brouillard ventes'!$A$179)*10000+MONTH('Brouillard ventes'!$A$179)*100+DAY('Brouillard ventes'!$A$179))</f>
        <v/>
      </c>
      <c r="D522" s="22">
        <f>IF('Brouillard ventes'!$F$179="","",'Brouillard ventes'!$B$179)</f>
        <v/>
      </c>
      <c r="E522" s="22">
        <f>IF('Brouillard ventes'!$F$179="","",LEFT('Brouillard ventes'!$D$179,30))</f>
        <v/>
      </c>
      <c r="F522" s="22" t="inlineStr">
        <is>
          <t>15001</t>
        </is>
      </c>
      <c r="G522" s="22">
        <f>IF('Brouillard ventes'!$F$179="","",IF('Brouillard ventes'!$E$179="Réparation",Paramètres!$B$9,Paramètres!$B$8))</f>
        <v/>
      </c>
      <c r="H522" s="22" t="inlineStr"/>
      <c r="I522" s="22" t="inlineStr"/>
      <c r="J522" s="22" t="inlineStr"/>
      <c r="K522" s="22">
        <f>IF('Brouillard ventes'!$F$179="","",Paramètres!$B$11)</f>
        <v/>
      </c>
      <c r="L522" s="23" t="n">
        <v>0</v>
      </c>
      <c r="M522" s="23">
        <f>IF('Brouillard ventes'!$F$179="","",'Brouillard ventes'!$F$179)</f>
        <v/>
      </c>
    </row>
    <row r="523">
      <c r="A523" s="22" t="inlineStr">
        <is>
          <t>1</t>
        </is>
      </c>
      <c r="B523" s="22">
        <f>IF('Brouillard ventes'!$F$179="","","VD"&amp;TEXT(ROW('Brouillard ventes'!$F$179)-5,"00000"))</f>
        <v/>
      </c>
      <c r="C523" s="22">
        <f>IF('Brouillard ventes'!$F$179="","",YEAR('Brouillard ventes'!$A$179)*10000+MONTH('Brouillard ventes'!$A$179)*100+DAY('Brouillard ventes'!$A$179))</f>
        <v/>
      </c>
      <c r="D523" s="22">
        <f>IF('Brouillard ventes'!$F$179="","",'Brouillard ventes'!$B$179)</f>
        <v/>
      </c>
      <c r="E523" s="22">
        <f>IF('Brouillard ventes'!$F$179="","",LEFT('Brouillard ventes'!$D$179,30))</f>
        <v/>
      </c>
      <c r="F523" s="22" t="inlineStr">
        <is>
          <t>15001</t>
        </is>
      </c>
      <c r="G523" s="22">
        <f>IF('Brouillard ventes'!$F$179="","",Paramètres!$B$10)</f>
        <v/>
      </c>
      <c r="H523" s="22" t="inlineStr"/>
      <c r="I523" s="22" t="inlineStr"/>
      <c r="J523" s="22" t="inlineStr"/>
      <c r="K523" s="22">
        <f>IF('Brouillard ventes'!$F$179="","",Paramètres!$B$11)</f>
        <v/>
      </c>
      <c r="L523" s="23" t="n">
        <v>0</v>
      </c>
      <c r="M523" s="23">
        <f>IF('Brouillard ventes'!$F$179="","",'Brouillard ventes'!$H$179)</f>
        <v/>
      </c>
    </row>
    <row r="524">
      <c r="A524" s="22" t="inlineStr">
        <is>
          <t>1</t>
        </is>
      </c>
      <c r="B524" s="22">
        <f>IF('Brouillard ventes'!$F$180="","","VD"&amp;TEXT(ROW('Brouillard ventes'!$F$180)-5,"00000"))</f>
        <v/>
      </c>
      <c r="C524" s="22">
        <f>IF('Brouillard ventes'!$F$180="","",YEAR('Brouillard ventes'!$A$180)*10000+MONTH('Brouillard ventes'!$A$180)*100+DAY('Brouillard ventes'!$A$180))</f>
        <v/>
      </c>
      <c r="D524" s="22">
        <f>IF('Brouillard ventes'!$F$180="","",'Brouillard ventes'!$B$180)</f>
        <v/>
      </c>
      <c r="E524" s="22">
        <f>IF('Brouillard ventes'!$F$180="","",LEFT('Brouillard ventes'!$D$180,30))</f>
        <v/>
      </c>
      <c r="F524" s="22" t="inlineStr">
        <is>
          <t>15001</t>
        </is>
      </c>
      <c r="G524" s="22">
        <f>IF('Brouillard ventes'!$F$180="","",Paramètres!$B$7)</f>
        <v/>
      </c>
      <c r="H524" s="22">
        <f>IF('Brouillard ventes'!$F$180="","",IF('Brouillard ventes'!$C$180="","CD001",'Brouillard ventes'!$C$180))</f>
        <v/>
      </c>
      <c r="I524" s="22" t="inlineStr"/>
      <c r="J524" s="22" t="inlineStr"/>
      <c r="K524" s="22">
        <f>IF('Brouillard ventes'!$F$180="","",Paramètres!$B$11)</f>
        <v/>
      </c>
      <c r="L524" s="23">
        <f>IF('Brouillard ventes'!$F$180="","",'Brouillard ventes'!$I$180)</f>
        <v/>
      </c>
      <c r="M524" s="23" t="n">
        <v>0</v>
      </c>
    </row>
    <row r="525">
      <c r="A525" s="22" t="inlineStr">
        <is>
          <t>1</t>
        </is>
      </c>
      <c r="B525" s="22">
        <f>IF('Brouillard ventes'!$F$180="","","VD"&amp;TEXT(ROW('Brouillard ventes'!$F$180)-5,"00000"))</f>
        <v/>
      </c>
      <c r="C525" s="22">
        <f>IF('Brouillard ventes'!$F$180="","",YEAR('Brouillard ventes'!$A$180)*10000+MONTH('Brouillard ventes'!$A$180)*100+DAY('Brouillard ventes'!$A$180))</f>
        <v/>
      </c>
      <c r="D525" s="22">
        <f>IF('Brouillard ventes'!$F$180="","",'Brouillard ventes'!$B$180)</f>
        <v/>
      </c>
      <c r="E525" s="22">
        <f>IF('Brouillard ventes'!$F$180="","",LEFT('Brouillard ventes'!$D$180,30))</f>
        <v/>
      </c>
      <c r="F525" s="22" t="inlineStr">
        <is>
          <t>15001</t>
        </is>
      </c>
      <c r="G525" s="22">
        <f>IF('Brouillard ventes'!$F$180="","",IF('Brouillard ventes'!$E$180="Réparation",Paramètres!$B$9,Paramètres!$B$8))</f>
        <v/>
      </c>
      <c r="H525" s="22" t="inlineStr"/>
      <c r="I525" s="22" t="inlineStr"/>
      <c r="J525" s="22" t="inlineStr"/>
      <c r="K525" s="22">
        <f>IF('Brouillard ventes'!$F$180="","",Paramètres!$B$11)</f>
        <v/>
      </c>
      <c r="L525" s="23" t="n">
        <v>0</v>
      </c>
      <c r="M525" s="23">
        <f>IF('Brouillard ventes'!$F$180="","",'Brouillard ventes'!$F$180)</f>
        <v/>
      </c>
    </row>
    <row r="526">
      <c r="A526" s="22" t="inlineStr">
        <is>
          <t>1</t>
        </is>
      </c>
      <c r="B526" s="22">
        <f>IF('Brouillard ventes'!$F$180="","","VD"&amp;TEXT(ROW('Brouillard ventes'!$F$180)-5,"00000"))</f>
        <v/>
      </c>
      <c r="C526" s="22">
        <f>IF('Brouillard ventes'!$F$180="","",YEAR('Brouillard ventes'!$A$180)*10000+MONTH('Brouillard ventes'!$A$180)*100+DAY('Brouillard ventes'!$A$180))</f>
        <v/>
      </c>
      <c r="D526" s="22">
        <f>IF('Brouillard ventes'!$F$180="","",'Brouillard ventes'!$B$180)</f>
        <v/>
      </c>
      <c r="E526" s="22">
        <f>IF('Brouillard ventes'!$F$180="","",LEFT('Brouillard ventes'!$D$180,30))</f>
        <v/>
      </c>
      <c r="F526" s="22" t="inlineStr">
        <is>
          <t>15001</t>
        </is>
      </c>
      <c r="G526" s="22">
        <f>IF('Brouillard ventes'!$F$180="","",Paramètres!$B$10)</f>
        <v/>
      </c>
      <c r="H526" s="22" t="inlineStr"/>
      <c r="I526" s="22" t="inlineStr"/>
      <c r="J526" s="22" t="inlineStr"/>
      <c r="K526" s="22">
        <f>IF('Brouillard ventes'!$F$180="","",Paramètres!$B$11)</f>
        <v/>
      </c>
      <c r="L526" s="23" t="n">
        <v>0</v>
      </c>
      <c r="M526" s="23">
        <f>IF('Brouillard ventes'!$F$180="","",'Brouillard ventes'!$H$180)</f>
        <v/>
      </c>
    </row>
    <row r="527">
      <c r="A527" s="22" t="inlineStr">
        <is>
          <t>1</t>
        </is>
      </c>
      <c r="B527" s="22">
        <f>IF('Brouillard ventes'!$F$181="","","VD"&amp;TEXT(ROW('Brouillard ventes'!$F$181)-5,"00000"))</f>
        <v/>
      </c>
      <c r="C527" s="22">
        <f>IF('Brouillard ventes'!$F$181="","",YEAR('Brouillard ventes'!$A$181)*10000+MONTH('Brouillard ventes'!$A$181)*100+DAY('Brouillard ventes'!$A$181))</f>
        <v/>
      </c>
      <c r="D527" s="22">
        <f>IF('Brouillard ventes'!$F$181="","",'Brouillard ventes'!$B$181)</f>
        <v/>
      </c>
      <c r="E527" s="22">
        <f>IF('Brouillard ventes'!$F$181="","",LEFT('Brouillard ventes'!$D$181,30))</f>
        <v/>
      </c>
      <c r="F527" s="22" t="inlineStr">
        <is>
          <t>15001</t>
        </is>
      </c>
      <c r="G527" s="22">
        <f>IF('Brouillard ventes'!$F$181="","",Paramètres!$B$7)</f>
        <v/>
      </c>
      <c r="H527" s="22">
        <f>IF('Brouillard ventes'!$F$181="","",IF('Brouillard ventes'!$C$181="","CD001",'Brouillard ventes'!$C$181))</f>
        <v/>
      </c>
      <c r="I527" s="22" t="inlineStr"/>
      <c r="J527" s="22" t="inlineStr"/>
      <c r="K527" s="22">
        <f>IF('Brouillard ventes'!$F$181="","",Paramètres!$B$11)</f>
        <v/>
      </c>
      <c r="L527" s="23">
        <f>IF('Brouillard ventes'!$F$181="","",'Brouillard ventes'!$I$181)</f>
        <v/>
      </c>
      <c r="M527" s="23" t="n">
        <v>0</v>
      </c>
    </row>
    <row r="528">
      <c r="A528" s="22" t="inlineStr">
        <is>
          <t>1</t>
        </is>
      </c>
      <c r="B528" s="22">
        <f>IF('Brouillard ventes'!$F$181="","","VD"&amp;TEXT(ROW('Brouillard ventes'!$F$181)-5,"00000"))</f>
        <v/>
      </c>
      <c r="C528" s="22">
        <f>IF('Brouillard ventes'!$F$181="","",YEAR('Brouillard ventes'!$A$181)*10000+MONTH('Brouillard ventes'!$A$181)*100+DAY('Brouillard ventes'!$A$181))</f>
        <v/>
      </c>
      <c r="D528" s="22">
        <f>IF('Brouillard ventes'!$F$181="","",'Brouillard ventes'!$B$181)</f>
        <v/>
      </c>
      <c r="E528" s="22">
        <f>IF('Brouillard ventes'!$F$181="","",LEFT('Brouillard ventes'!$D$181,30))</f>
        <v/>
      </c>
      <c r="F528" s="22" t="inlineStr">
        <is>
          <t>15001</t>
        </is>
      </c>
      <c r="G528" s="22">
        <f>IF('Brouillard ventes'!$F$181="","",IF('Brouillard ventes'!$E$181="Réparation",Paramètres!$B$9,Paramètres!$B$8))</f>
        <v/>
      </c>
      <c r="H528" s="22" t="inlineStr"/>
      <c r="I528" s="22" t="inlineStr"/>
      <c r="J528" s="22" t="inlineStr"/>
      <c r="K528" s="22">
        <f>IF('Brouillard ventes'!$F$181="","",Paramètres!$B$11)</f>
        <v/>
      </c>
      <c r="L528" s="23" t="n">
        <v>0</v>
      </c>
      <c r="M528" s="23">
        <f>IF('Brouillard ventes'!$F$181="","",'Brouillard ventes'!$F$181)</f>
        <v/>
      </c>
    </row>
    <row r="529">
      <c r="A529" s="22" t="inlineStr">
        <is>
          <t>1</t>
        </is>
      </c>
      <c r="B529" s="22">
        <f>IF('Brouillard ventes'!$F$181="","","VD"&amp;TEXT(ROW('Brouillard ventes'!$F$181)-5,"00000"))</f>
        <v/>
      </c>
      <c r="C529" s="22">
        <f>IF('Brouillard ventes'!$F$181="","",YEAR('Brouillard ventes'!$A$181)*10000+MONTH('Brouillard ventes'!$A$181)*100+DAY('Brouillard ventes'!$A$181))</f>
        <v/>
      </c>
      <c r="D529" s="22">
        <f>IF('Brouillard ventes'!$F$181="","",'Brouillard ventes'!$B$181)</f>
        <v/>
      </c>
      <c r="E529" s="22">
        <f>IF('Brouillard ventes'!$F$181="","",LEFT('Brouillard ventes'!$D$181,30))</f>
        <v/>
      </c>
      <c r="F529" s="22" t="inlineStr">
        <is>
          <t>15001</t>
        </is>
      </c>
      <c r="G529" s="22">
        <f>IF('Brouillard ventes'!$F$181="","",Paramètres!$B$10)</f>
        <v/>
      </c>
      <c r="H529" s="22" t="inlineStr"/>
      <c r="I529" s="22" t="inlineStr"/>
      <c r="J529" s="22" t="inlineStr"/>
      <c r="K529" s="22">
        <f>IF('Brouillard ventes'!$F$181="","",Paramètres!$B$11)</f>
        <v/>
      </c>
      <c r="L529" s="23" t="n">
        <v>0</v>
      </c>
      <c r="M529" s="23">
        <f>IF('Brouillard ventes'!$F$181="","",'Brouillard ventes'!$H$181)</f>
        <v/>
      </c>
    </row>
    <row r="530">
      <c r="A530" s="22" t="inlineStr">
        <is>
          <t>1</t>
        </is>
      </c>
      <c r="B530" s="22">
        <f>IF('Brouillard ventes'!$F$182="","","VD"&amp;TEXT(ROW('Brouillard ventes'!$F$182)-5,"00000"))</f>
        <v/>
      </c>
      <c r="C530" s="22">
        <f>IF('Brouillard ventes'!$F$182="","",YEAR('Brouillard ventes'!$A$182)*10000+MONTH('Brouillard ventes'!$A$182)*100+DAY('Brouillard ventes'!$A$182))</f>
        <v/>
      </c>
      <c r="D530" s="22">
        <f>IF('Brouillard ventes'!$F$182="","",'Brouillard ventes'!$B$182)</f>
        <v/>
      </c>
      <c r="E530" s="22">
        <f>IF('Brouillard ventes'!$F$182="","",LEFT('Brouillard ventes'!$D$182,30))</f>
        <v/>
      </c>
      <c r="F530" s="22" t="inlineStr">
        <is>
          <t>15001</t>
        </is>
      </c>
      <c r="G530" s="22">
        <f>IF('Brouillard ventes'!$F$182="","",Paramètres!$B$7)</f>
        <v/>
      </c>
      <c r="H530" s="22">
        <f>IF('Brouillard ventes'!$F$182="","",IF('Brouillard ventes'!$C$182="","CD001",'Brouillard ventes'!$C$182))</f>
        <v/>
      </c>
      <c r="I530" s="22" t="inlineStr"/>
      <c r="J530" s="22" t="inlineStr"/>
      <c r="K530" s="22">
        <f>IF('Brouillard ventes'!$F$182="","",Paramètres!$B$11)</f>
        <v/>
      </c>
      <c r="L530" s="23">
        <f>IF('Brouillard ventes'!$F$182="","",'Brouillard ventes'!$I$182)</f>
        <v/>
      </c>
      <c r="M530" s="23" t="n">
        <v>0</v>
      </c>
    </row>
    <row r="531">
      <c r="A531" s="22" t="inlineStr">
        <is>
          <t>1</t>
        </is>
      </c>
      <c r="B531" s="22">
        <f>IF('Brouillard ventes'!$F$182="","","VD"&amp;TEXT(ROW('Brouillard ventes'!$F$182)-5,"00000"))</f>
        <v/>
      </c>
      <c r="C531" s="22">
        <f>IF('Brouillard ventes'!$F$182="","",YEAR('Brouillard ventes'!$A$182)*10000+MONTH('Brouillard ventes'!$A$182)*100+DAY('Brouillard ventes'!$A$182))</f>
        <v/>
      </c>
      <c r="D531" s="22">
        <f>IF('Brouillard ventes'!$F$182="","",'Brouillard ventes'!$B$182)</f>
        <v/>
      </c>
      <c r="E531" s="22">
        <f>IF('Brouillard ventes'!$F$182="","",LEFT('Brouillard ventes'!$D$182,30))</f>
        <v/>
      </c>
      <c r="F531" s="22" t="inlineStr">
        <is>
          <t>15001</t>
        </is>
      </c>
      <c r="G531" s="22">
        <f>IF('Brouillard ventes'!$F$182="","",IF('Brouillard ventes'!$E$182="Réparation",Paramètres!$B$9,Paramètres!$B$8))</f>
        <v/>
      </c>
      <c r="H531" s="22" t="inlineStr"/>
      <c r="I531" s="22" t="inlineStr"/>
      <c r="J531" s="22" t="inlineStr"/>
      <c r="K531" s="22">
        <f>IF('Brouillard ventes'!$F$182="","",Paramètres!$B$11)</f>
        <v/>
      </c>
      <c r="L531" s="23" t="n">
        <v>0</v>
      </c>
      <c r="M531" s="23">
        <f>IF('Brouillard ventes'!$F$182="","",'Brouillard ventes'!$F$182)</f>
        <v/>
      </c>
    </row>
    <row r="532">
      <c r="A532" s="22" t="inlineStr">
        <is>
          <t>1</t>
        </is>
      </c>
      <c r="B532" s="22">
        <f>IF('Brouillard ventes'!$F$182="","","VD"&amp;TEXT(ROW('Brouillard ventes'!$F$182)-5,"00000"))</f>
        <v/>
      </c>
      <c r="C532" s="22">
        <f>IF('Brouillard ventes'!$F$182="","",YEAR('Brouillard ventes'!$A$182)*10000+MONTH('Brouillard ventes'!$A$182)*100+DAY('Brouillard ventes'!$A$182))</f>
        <v/>
      </c>
      <c r="D532" s="22">
        <f>IF('Brouillard ventes'!$F$182="","",'Brouillard ventes'!$B$182)</f>
        <v/>
      </c>
      <c r="E532" s="22">
        <f>IF('Brouillard ventes'!$F$182="","",LEFT('Brouillard ventes'!$D$182,30))</f>
        <v/>
      </c>
      <c r="F532" s="22" t="inlineStr">
        <is>
          <t>15001</t>
        </is>
      </c>
      <c r="G532" s="22">
        <f>IF('Brouillard ventes'!$F$182="","",Paramètres!$B$10)</f>
        <v/>
      </c>
      <c r="H532" s="22" t="inlineStr"/>
      <c r="I532" s="22" t="inlineStr"/>
      <c r="J532" s="22" t="inlineStr"/>
      <c r="K532" s="22">
        <f>IF('Brouillard ventes'!$F$182="","",Paramètres!$B$11)</f>
        <v/>
      </c>
      <c r="L532" s="23" t="n">
        <v>0</v>
      </c>
      <c r="M532" s="23">
        <f>IF('Brouillard ventes'!$F$182="","",'Brouillard ventes'!$H$182)</f>
        <v/>
      </c>
    </row>
    <row r="533">
      <c r="A533" s="22" t="inlineStr">
        <is>
          <t>1</t>
        </is>
      </c>
      <c r="B533" s="22">
        <f>IF('Brouillard ventes'!$F$183="","","VD"&amp;TEXT(ROW('Brouillard ventes'!$F$183)-5,"00000"))</f>
        <v/>
      </c>
      <c r="C533" s="22">
        <f>IF('Brouillard ventes'!$F$183="","",YEAR('Brouillard ventes'!$A$183)*10000+MONTH('Brouillard ventes'!$A$183)*100+DAY('Brouillard ventes'!$A$183))</f>
        <v/>
      </c>
      <c r="D533" s="22">
        <f>IF('Brouillard ventes'!$F$183="","",'Brouillard ventes'!$B$183)</f>
        <v/>
      </c>
      <c r="E533" s="22">
        <f>IF('Brouillard ventes'!$F$183="","",LEFT('Brouillard ventes'!$D$183,30))</f>
        <v/>
      </c>
      <c r="F533" s="22" t="inlineStr">
        <is>
          <t>15001</t>
        </is>
      </c>
      <c r="G533" s="22">
        <f>IF('Brouillard ventes'!$F$183="","",Paramètres!$B$7)</f>
        <v/>
      </c>
      <c r="H533" s="22">
        <f>IF('Brouillard ventes'!$F$183="","",IF('Brouillard ventes'!$C$183="","CD001",'Brouillard ventes'!$C$183))</f>
        <v/>
      </c>
      <c r="I533" s="22" t="inlineStr"/>
      <c r="J533" s="22" t="inlineStr"/>
      <c r="K533" s="22">
        <f>IF('Brouillard ventes'!$F$183="","",Paramètres!$B$11)</f>
        <v/>
      </c>
      <c r="L533" s="23">
        <f>IF('Brouillard ventes'!$F$183="","",'Brouillard ventes'!$I$183)</f>
        <v/>
      </c>
      <c r="M533" s="23" t="n">
        <v>0</v>
      </c>
    </row>
    <row r="534">
      <c r="A534" s="22" t="inlineStr">
        <is>
          <t>1</t>
        </is>
      </c>
      <c r="B534" s="22">
        <f>IF('Brouillard ventes'!$F$183="","","VD"&amp;TEXT(ROW('Brouillard ventes'!$F$183)-5,"00000"))</f>
        <v/>
      </c>
      <c r="C534" s="22">
        <f>IF('Brouillard ventes'!$F$183="","",YEAR('Brouillard ventes'!$A$183)*10000+MONTH('Brouillard ventes'!$A$183)*100+DAY('Brouillard ventes'!$A$183))</f>
        <v/>
      </c>
      <c r="D534" s="22">
        <f>IF('Brouillard ventes'!$F$183="","",'Brouillard ventes'!$B$183)</f>
        <v/>
      </c>
      <c r="E534" s="22">
        <f>IF('Brouillard ventes'!$F$183="","",LEFT('Brouillard ventes'!$D$183,30))</f>
        <v/>
      </c>
      <c r="F534" s="22" t="inlineStr">
        <is>
          <t>15001</t>
        </is>
      </c>
      <c r="G534" s="22">
        <f>IF('Brouillard ventes'!$F$183="","",IF('Brouillard ventes'!$E$183="Réparation",Paramètres!$B$9,Paramètres!$B$8))</f>
        <v/>
      </c>
      <c r="H534" s="22" t="inlineStr"/>
      <c r="I534" s="22" t="inlineStr"/>
      <c r="J534" s="22" t="inlineStr"/>
      <c r="K534" s="22">
        <f>IF('Brouillard ventes'!$F$183="","",Paramètres!$B$11)</f>
        <v/>
      </c>
      <c r="L534" s="23" t="n">
        <v>0</v>
      </c>
      <c r="M534" s="23">
        <f>IF('Brouillard ventes'!$F$183="","",'Brouillard ventes'!$F$183)</f>
        <v/>
      </c>
    </row>
    <row r="535">
      <c r="A535" s="22" t="inlineStr">
        <is>
          <t>1</t>
        </is>
      </c>
      <c r="B535" s="22">
        <f>IF('Brouillard ventes'!$F$183="","","VD"&amp;TEXT(ROW('Brouillard ventes'!$F$183)-5,"00000"))</f>
        <v/>
      </c>
      <c r="C535" s="22">
        <f>IF('Brouillard ventes'!$F$183="","",YEAR('Brouillard ventes'!$A$183)*10000+MONTH('Brouillard ventes'!$A$183)*100+DAY('Brouillard ventes'!$A$183))</f>
        <v/>
      </c>
      <c r="D535" s="22">
        <f>IF('Brouillard ventes'!$F$183="","",'Brouillard ventes'!$B$183)</f>
        <v/>
      </c>
      <c r="E535" s="22">
        <f>IF('Brouillard ventes'!$F$183="","",LEFT('Brouillard ventes'!$D$183,30))</f>
        <v/>
      </c>
      <c r="F535" s="22" t="inlineStr">
        <is>
          <t>15001</t>
        </is>
      </c>
      <c r="G535" s="22">
        <f>IF('Brouillard ventes'!$F$183="","",Paramètres!$B$10)</f>
        <v/>
      </c>
      <c r="H535" s="22" t="inlineStr"/>
      <c r="I535" s="22" t="inlineStr"/>
      <c r="J535" s="22" t="inlineStr"/>
      <c r="K535" s="22">
        <f>IF('Brouillard ventes'!$F$183="","",Paramètres!$B$11)</f>
        <v/>
      </c>
      <c r="L535" s="23" t="n">
        <v>0</v>
      </c>
      <c r="M535" s="23">
        <f>IF('Brouillard ventes'!$F$183="","",'Brouillard ventes'!$H$183)</f>
        <v/>
      </c>
    </row>
    <row r="536">
      <c r="A536" s="22" t="inlineStr">
        <is>
          <t>1</t>
        </is>
      </c>
      <c r="B536" s="22">
        <f>IF('Brouillard ventes'!$F$184="","","VD"&amp;TEXT(ROW('Brouillard ventes'!$F$184)-5,"00000"))</f>
        <v/>
      </c>
      <c r="C536" s="22">
        <f>IF('Brouillard ventes'!$F$184="","",YEAR('Brouillard ventes'!$A$184)*10000+MONTH('Brouillard ventes'!$A$184)*100+DAY('Brouillard ventes'!$A$184))</f>
        <v/>
      </c>
      <c r="D536" s="22">
        <f>IF('Brouillard ventes'!$F$184="","",'Brouillard ventes'!$B$184)</f>
        <v/>
      </c>
      <c r="E536" s="22">
        <f>IF('Brouillard ventes'!$F$184="","",LEFT('Brouillard ventes'!$D$184,30))</f>
        <v/>
      </c>
      <c r="F536" s="22" t="inlineStr">
        <is>
          <t>15001</t>
        </is>
      </c>
      <c r="G536" s="22">
        <f>IF('Brouillard ventes'!$F$184="","",Paramètres!$B$7)</f>
        <v/>
      </c>
      <c r="H536" s="22">
        <f>IF('Brouillard ventes'!$F$184="","",IF('Brouillard ventes'!$C$184="","CD001",'Brouillard ventes'!$C$184))</f>
        <v/>
      </c>
      <c r="I536" s="22" t="inlineStr"/>
      <c r="J536" s="22" t="inlineStr"/>
      <c r="K536" s="22">
        <f>IF('Brouillard ventes'!$F$184="","",Paramètres!$B$11)</f>
        <v/>
      </c>
      <c r="L536" s="23">
        <f>IF('Brouillard ventes'!$F$184="","",'Brouillard ventes'!$I$184)</f>
        <v/>
      </c>
      <c r="M536" s="23" t="n">
        <v>0</v>
      </c>
    </row>
    <row r="537">
      <c r="A537" s="22" t="inlineStr">
        <is>
          <t>1</t>
        </is>
      </c>
      <c r="B537" s="22">
        <f>IF('Brouillard ventes'!$F$184="","","VD"&amp;TEXT(ROW('Brouillard ventes'!$F$184)-5,"00000"))</f>
        <v/>
      </c>
      <c r="C537" s="22">
        <f>IF('Brouillard ventes'!$F$184="","",YEAR('Brouillard ventes'!$A$184)*10000+MONTH('Brouillard ventes'!$A$184)*100+DAY('Brouillard ventes'!$A$184))</f>
        <v/>
      </c>
      <c r="D537" s="22">
        <f>IF('Brouillard ventes'!$F$184="","",'Brouillard ventes'!$B$184)</f>
        <v/>
      </c>
      <c r="E537" s="22">
        <f>IF('Brouillard ventes'!$F$184="","",LEFT('Brouillard ventes'!$D$184,30))</f>
        <v/>
      </c>
      <c r="F537" s="22" t="inlineStr">
        <is>
          <t>15001</t>
        </is>
      </c>
      <c r="G537" s="22">
        <f>IF('Brouillard ventes'!$F$184="","",IF('Brouillard ventes'!$E$184="Réparation",Paramètres!$B$9,Paramètres!$B$8))</f>
        <v/>
      </c>
      <c r="H537" s="22" t="inlineStr"/>
      <c r="I537" s="22" t="inlineStr"/>
      <c r="J537" s="22" t="inlineStr"/>
      <c r="K537" s="22">
        <f>IF('Brouillard ventes'!$F$184="","",Paramètres!$B$11)</f>
        <v/>
      </c>
      <c r="L537" s="23" t="n">
        <v>0</v>
      </c>
      <c r="M537" s="23">
        <f>IF('Brouillard ventes'!$F$184="","",'Brouillard ventes'!$F$184)</f>
        <v/>
      </c>
    </row>
    <row r="538">
      <c r="A538" s="22" t="inlineStr">
        <is>
          <t>1</t>
        </is>
      </c>
      <c r="B538" s="22">
        <f>IF('Brouillard ventes'!$F$184="","","VD"&amp;TEXT(ROW('Brouillard ventes'!$F$184)-5,"00000"))</f>
        <v/>
      </c>
      <c r="C538" s="22">
        <f>IF('Brouillard ventes'!$F$184="","",YEAR('Brouillard ventes'!$A$184)*10000+MONTH('Brouillard ventes'!$A$184)*100+DAY('Brouillard ventes'!$A$184))</f>
        <v/>
      </c>
      <c r="D538" s="22">
        <f>IF('Brouillard ventes'!$F$184="","",'Brouillard ventes'!$B$184)</f>
        <v/>
      </c>
      <c r="E538" s="22">
        <f>IF('Brouillard ventes'!$F$184="","",LEFT('Brouillard ventes'!$D$184,30))</f>
        <v/>
      </c>
      <c r="F538" s="22" t="inlineStr">
        <is>
          <t>15001</t>
        </is>
      </c>
      <c r="G538" s="22">
        <f>IF('Brouillard ventes'!$F$184="","",Paramètres!$B$10)</f>
        <v/>
      </c>
      <c r="H538" s="22" t="inlineStr"/>
      <c r="I538" s="22" t="inlineStr"/>
      <c r="J538" s="22" t="inlineStr"/>
      <c r="K538" s="22">
        <f>IF('Brouillard ventes'!$F$184="","",Paramètres!$B$11)</f>
        <v/>
      </c>
      <c r="L538" s="23" t="n">
        <v>0</v>
      </c>
      <c r="M538" s="23">
        <f>IF('Brouillard ventes'!$F$184="","",'Brouillard ventes'!$H$184)</f>
        <v/>
      </c>
    </row>
    <row r="539">
      <c r="A539" s="22" t="inlineStr">
        <is>
          <t>1</t>
        </is>
      </c>
      <c r="B539" s="22">
        <f>IF('Brouillard ventes'!$F$185="","","VD"&amp;TEXT(ROW('Brouillard ventes'!$F$185)-5,"00000"))</f>
        <v/>
      </c>
      <c r="C539" s="22">
        <f>IF('Brouillard ventes'!$F$185="","",YEAR('Brouillard ventes'!$A$185)*10000+MONTH('Brouillard ventes'!$A$185)*100+DAY('Brouillard ventes'!$A$185))</f>
        <v/>
      </c>
      <c r="D539" s="22">
        <f>IF('Brouillard ventes'!$F$185="","",'Brouillard ventes'!$B$185)</f>
        <v/>
      </c>
      <c r="E539" s="22">
        <f>IF('Brouillard ventes'!$F$185="","",LEFT('Brouillard ventes'!$D$185,30))</f>
        <v/>
      </c>
      <c r="F539" s="22" t="inlineStr">
        <is>
          <t>15001</t>
        </is>
      </c>
      <c r="G539" s="22">
        <f>IF('Brouillard ventes'!$F$185="","",Paramètres!$B$7)</f>
        <v/>
      </c>
      <c r="H539" s="22">
        <f>IF('Brouillard ventes'!$F$185="","",IF('Brouillard ventes'!$C$185="","CD001",'Brouillard ventes'!$C$185))</f>
        <v/>
      </c>
      <c r="I539" s="22" t="inlineStr"/>
      <c r="J539" s="22" t="inlineStr"/>
      <c r="K539" s="22">
        <f>IF('Brouillard ventes'!$F$185="","",Paramètres!$B$11)</f>
        <v/>
      </c>
      <c r="L539" s="23">
        <f>IF('Brouillard ventes'!$F$185="","",'Brouillard ventes'!$I$185)</f>
        <v/>
      </c>
      <c r="M539" s="23" t="n">
        <v>0</v>
      </c>
    </row>
    <row r="540">
      <c r="A540" s="22" t="inlineStr">
        <is>
          <t>1</t>
        </is>
      </c>
      <c r="B540" s="22">
        <f>IF('Brouillard ventes'!$F$185="","","VD"&amp;TEXT(ROW('Brouillard ventes'!$F$185)-5,"00000"))</f>
        <v/>
      </c>
      <c r="C540" s="22">
        <f>IF('Brouillard ventes'!$F$185="","",YEAR('Brouillard ventes'!$A$185)*10000+MONTH('Brouillard ventes'!$A$185)*100+DAY('Brouillard ventes'!$A$185))</f>
        <v/>
      </c>
      <c r="D540" s="22">
        <f>IF('Brouillard ventes'!$F$185="","",'Brouillard ventes'!$B$185)</f>
        <v/>
      </c>
      <c r="E540" s="22">
        <f>IF('Brouillard ventes'!$F$185="","",LEFT('Brouillard ventes'!$D$185,30))</f>
        <v/>
      </c>
      <c r="F540" s="22" t="inlineStr">
        <is>
          <t>15001</t>
        </is>
      </c>
      <c r="G540" s="22">
        <f>IF('Brouillard ventes'!$F$185="","",IF('Brouillard ventes'!$E$185="Réparation",Paramètres!$B$9,Paramètres!$B$8))</f>
        <v/>
      </c>
      <c r="H540" s="22" t="inlineStr"/>
      <c r="I540" s="22" t="inlineStr"/>
      <c r="J540" s="22" t="inlineStr"/>
      <c r="K540" s="22">
        <f>IF('Brouillard ventes'!$F$185="","",Paramètres!$B$11)</f>
        <v/>
      </c>
      <c r="L540" s="23" t="n">
        <v>0</v>
      </c>
      <c r="M540" s="23">
        <f>IF('Brouillard ventes'!$F$185="","",'Brouillard ventes'!$F$185)</f>
        <v/>
      </c>
    </row>
    <row r="541">
      <c r="A541" s="22" t="inlineStr">
        <is>
          <t>1</t>
        </is>
      </c>
      <c r="B541" s="22">
        <f>IF('Brouillard ventes'!$F$185="","","VD"&amp;TEXT(ROW('Brouillard ventes'!$F$185)-5,"00000"))</f>
        <v/>
      </c>
      <c r="C541" s="22">
        <f>IF('Brouillard ventes'!$F$185="","",YEAR('Brouillard ventes'!$A$185)*10000+MONTH('Brouillard ventes'!$A$185)*100+DAY('Brouillard ventes'!$A$185))</f>
        <v/>
      </c>
      <c r="D541" s="22">
        <f>IF('Brouillard ventes'!$F$185="","",'Brouillard ventes'!$B$185)</f>
        <v/>
      </c>
      <c r="E541" s="22">
        <f>IF('Brouillard ventes'!$F$185="","",LEFT('Brouillard ventes'!$D$185,30))</f>
        <v/>
      </c>
      <c r="F541" s="22" t="inlineStr">
        <is>
          <t>15001</t>
        </is>
      </c>
      <c r="G541" s="22">
        <f>IF('Brouillard ventes'!$F$185="","",Paramètres!$B$10)</f>
        <v/>
      </c>
      <c r="H541" s="22" t="inlineStr"/>
      <c r="I541" s="22" t="inlineStr"/>
      <c r="J541" s="22" t="inlineStr"/>
      <c r="K541" s="22">
        <f>IF('Brouillard ventes'!$F$185="","",Paramètres!$B$11)</f>
        <v/>
      </c>
      <c r="L541" s="23" t="n">
        <v>0</v>
      </c>
      <c r="M541" s="23">
        <f>IF('Brouillard ventes'!$F$185="","",'Brouillard ventes'!$H$185)</f>
        <v/>
      </c>
    </row>
    <row r="542">
      <c r="A542" s="22" t="inlineStr">
        <is>
          <t>1</t>
        </is>
      </c>
      <c r="B542" s="22">
        <f>IF('Brouillard ventes'!$F$186="","","VD"&amp;TEXT(ROW('Brouillard ventes'!$F$186)-5,"00000"))</f>
        <v/>
      </c>
      <c r="C542" s="22">
        <f>IF('Brouillard ventes'!$F$186="","",YEAR('Brouillard ventes'!$A$186)*10000+MONTH('Brouillard ventes'!$A$186)*100+DAY('Brouillard ventes'!$A$186))</f>
        <v/>
      </c>
      <c r="D542" s="22">
        <f>IF('Brouillard ventes'!$F$186="","",'Brouillard ventes'!$B$186)</f>
        <v/>
      </c>
      <c r="E542" s="22">
        <f>IF('Brouillard ventes'!$F$186="","",LEFT('Brouillard ventes'!$D$186,30))</f>
        <v/>
      </c>
      <c r="F542" s="22" t="inlineStr">
        <is>
          <t>15001</t>
        </is>
      </c>
      <c r="G542" s="22">
        <f>IF('Brouillard ventes'!$F$186="","",Paramètres!$B$7)</f>
        <v/>
      </c>
      <c r="H542" s="22">
        <f>IF('Brouillard ventes'!$F$186="","",IF('Brouillard ventes'!$C$186="","CD001",'Brouillard ventes'!$C$186))</f>
        <v/>
      </c>
      <c r="I542" s="22" t="inlineStr"/>
      <c r="J542" s="22" t="inlineStr"/>
      <c r="K542" s="22">
        <f>IF('Brouillard ventes'!$F$186="","",Paramètres!$B$11)</f>
        <v/>
      </c>
      <c r="L542" s="23">
        <f>IF('Brouillard ventes'!$F$186="","",'Brouillard ventes'!$I$186)</f>
        <v/>
      </c>
      <c r="M542" s="23" t="n">
        <v>0</v>
      </c>
    </row>
    <row r="543">
      <c r="A543" s="22" t="inlineStr">
        <is>
          <t>1</t>
        </is>
      </c>
      <c r="B543" s="22">
        <f>IF('Brouillard ventes'!$F$186="","","VD"&amp;TEXT(ROW('Brouillard ventes'!$F$186)-5,"00000"))</f>
        <v/>
      </c>
      <c r="C543" s="22">
        <f>IF('Brouillard ventes'!$F$186="","",YEAR('Brouillard ventes'!$A$186)*10000+MONTH('Brouillard ventes'!$A$186)*100+DAY('Brouillard ventes'!$A$186))</f>
        <v/>
      </c>
      <c r="D543" s="22">
        <f>IF('Brouillard ventes'!$F$186="","",'Brouillard ventes'!$B$186)</f>
        <v/>
      </c>
      <c r="E543" s="22">
        <f>IF('Brouillard ventes'!$F$186="","",LEFT('Brouillard ventes'!$D$186,30))</f>
        <v/>
      </c>
      <c r="F543" s="22" t="inlineStr">
        <is>
          <t>15001</t>
        </is>
      </c>
      <c r="G543" s="22">
        <f>IF('Brouillard ventes'!$F$186="","",IF('Brouillard ventes'!$E$186="Réparation",Paramètres!$B$9,Paramètres!$B$8))</f>
        <v/>
      </c>
      <c r="H543" s="22" t="inlineStr"/>
      <c r="I543" s="22" t="inlineStr"/>
      <c r="J543" s="22" t="inlineStr"/>
      <c r="K543" s="22">
        <f>IF('Brouillard ventes'!$F$186="","",Paramètres!$B$11)</f>
        <v/>
      </c>
      <c r="L543" s="23" t="n">
        <v>0</v>
      </c>
      <c r="M543" s="23">
        <f>IF('Brouillard ventes'!$F$186="","",'Brouillard ventes'!$F$186)</f>
        <v/>
      </c>
    </row>
    <row r="544">
      <c r="A544" s="22" t="inlineStr">
        <is>
          <t>1</t>
        </is>
      </c>
      <c r="B544" s="22">
        <f>IF('Brouillard ventes'!$F$186="","","VD"&amp;TEXT(ROW('Brouillard ventes'!$F$186)-5,"00000"))</f>
        <v/>
      </c>
      <c r="C544" s="22">
        <f>IF('Brouillard ventes'!$F$186="","",YEAR('Brouillard ventes'!$A$186)*10000+MONTH('Brouillard ventes'!$A$186)*100+DAY('Brouillard ventes'!$A$186))</f>
        <v/>
      </c>
      <c r="D544" s="22">
        <f>IF('Brouillard ventes'!$F$186="","",'Brouillard ventes'!$B$186)</f>
        <v/>
      </c>
      <c r="E544" s="22">
        <f>IF('Brouillard ventes'!$F$186="","",LEFT('Brouillard ventes'!$D$186,30))</f>
        <v/>
      </c>
      <c r="F544" s="22" t="inlineStr">
        <is>
          <t>15001</t>
        </is>
      </c>
      <c r="G544" s="22">
        <f>IF('Brouillard ventes'!$F$186="","",Paramètres!$B$10)</f>
        <v/>
      </c>
      <c r="H544" s="22" t="inlineStr"/>
      <c r="I544" s="22" t="inlineStr"/>
      <c r="J544" s="22" t="inlineStr"/>
      <c r="K544" s="22">
        <f>IF('Brouillard ventes'!$F$186="","",Paramètres!$B$11)</f>
        <v/>
      </c>
      <c r="L544" s="23" t="n">
        <v>0</v>
      </c>
      <c r="M544" s="23">
        <f>IF('Brouillard ventes'!$F$186="","",'Brouillard ventes'!$H$186)</f>
        <v/>
      </c>
    </row>
    <row r="545">
      <c r="A545" s="22" t="inlineStr">
        <is>
          <t>1</t>
        </is>
      </c>
      <c r="B545" s="22">
        <f>IF('Brouillard ventes'!$F$187="","","VD"&amp;TEXT(ROW('Brouillard ventes'!$F$187)-5,"00000"))</f>
        <v/>
      </c>
      <c r="C545" s="22">
        <f>IF('Brouillard ventes'!$F$187="","",YEAR('Brouillard ventes'!$A$187)*10000+MONTH('Brouillard ventes'!$A$187)*100+DAY('Brouillard ventes'!$A$187))</f>
        <v/>
      </c>
      <c r="D545" s="22">
        <f>IF('Brouillard ventes'!$F$187="","",'Brouillard ventes'!$B$187)</f>
        <v/>
      </c>
      <c r="E545" s="22">
        <f>IF('Brouillard ventes'!$F$187="","",LEFT('Brouillard ventes'!$D$187,30))</f>
        <v/>
      </c>
      <c r="F545" s="22" t="inlineStr">
        <is>
          <t>15001</t>
        </is>
      </c>
      <c r="G545" s="22">
        <f>IF('Brouillard ventes'!$F$187="","",Paramètres!$B$7)</f>
        <v/>
      </c>
      <c r="H545" s="22">
        <f>IF('Brouillard ventes'!$F$187="","",IF('Brouillard ventes'!$C$187="","CD001",'Brouillard ventes'!$C$187))</f>
        <v/>
      </c>
      <c r="I545" s="22" t="inlineStr"/>
      <c r="J545" s="22" t="inlineStr"/>
      <c r="K545" s="22">
        <f>IF('Brouillard ventes'!$F$187="","",Paramètres!$B$11)</f>
        <v/>
      </c>
      <c r="L545" s="23">
        <f>IF('Brouillard ventes'!$F$187="","",'Brouillard ventes'!$I$187)</f>
        <v/>
      </c>
      <c r="M545" s="23" t="n">
        <v>0</v>
      </c>
    </row>
    <row r="546">
      <c r="A546" s="22" t="inlineStr">
        <is>
          <t>1</t>
        </is>
      </c>
      <c r="B546" s="22">
        <f>IF('Brouillard ventes'!$F$187="","","VD"&amp;TEXT(ROW('Brouillard ventes'!$F$187)-5,"00000"))</f>
        <v/>
      </c>
      <c r="C546" s="22">
        <f>IF('Brouillard ventes'!$F$187="","",YEAR('Brouillard ventes'!$A$187)*10000+MONTH('Brouillard ventes'!$A$187)*100+DAY('Brouillard ventes'!$A$187))</f>
        <v/>
      </c>
      <c r="D546" s="22">
        <f>IF('Brouillard ventes'!$F$187="","",'Brouillard ventes'!$B$187)</f>
        <v/>
      </c>
      <c r="E546" s="22">
        <f>IF('Brouillard ventes'!$F$187="","",LEFT('Brouillard ventes'!$D$187,30))</f>
        <v/>
      </c>
      <c r="F546" s="22" t="inlineStr">
        <is>
          <t>15001</t>
        </is>
      </c>
      <c r="G546" s="22">
        <f>IF('Brouillard ventes'!$F$187="","",IF('Brouillard ventes'!$E$187="Réparation",Paramètres!$B$9,Paramètres!$B$8))</f>
        <v/>
      </c>
      <c r="H546" s="22" t="inlineStr"/>
      <c r="I546" s="22" t="inlineStr"/>
      <c r="J546" s="22" t="inlineStr"/>
      <c r="K546" s="22">
        <f>IF('Brouillard ventes'!$F$187="","",Paramètres!$B$11)</f>
        <v/>
      </c>
      <c r="L546" s="23" t="n">
        <v>0</v>
      </c>
      <c r="M546" s="23">
        <f>IF('Brouillard ventes'!$F$187="","",'Brouillard ventes'!$F$187)</f>
        <v/>
      </c>
    </row>
    <row r="547">
      <c r="A547" s="22" t="inlineStr">
        <is>
          <t>1</t>
        </is>
      </c>
      <c r="B547" s="22">
        <f>IF('Brouillard ventes'!$F$187="","","VD"&amp;TEXT(ROW('Brouillard ventes'!$F$187)-5,"00000"))</f>
        <v/>
      </c>
      <c r="C547" s="22">
        <f>IF('Brouillard ventes'!$F$187="","",YEAR('Brouillard ventes'!$A$187)*10000+MONTH('Brouillard ventes'!$A$187)*100+DAY('Brouillard ventes'!$A$187))</f>
        <v/>
      </c>
      <c r="D547" s="22">
        <f>IF('Brouillard ventes'!$F$187="","",'Brouillard ventes'!$B$187)</f>
        <v/>
      </c>
      <c r="E547" s="22">
        <f>IF('Brouillard ventes'!$F$187="","",LEFT('Brouillard ventes'!$D$187,30))</f>
        <v/>
      </c>
      <c r="F547" s="22" t="inlineStr">
        <is>
          <t>15001</t>
        </is>
      </c>
      <c r="G547" s="22">
        <f>IF('Brouillard ventes'!$F$187="","",Paramètres!$B$10)</f>
        <v/>
      </c>
      <c r="H547" s="22" t="inlineStr"/>
      <c r="I547" s="22" t="inlineStr"/>
      <c r="J547" s="22" t="inlineStr"/>
      <c r="K547" s="22">
        <f>IF('Brouillard ventes'!$F$187="","",Paramètres!$B$11)</f>
        <v/>
      </c>
      <c r="L547" s="23" t="n">
        <v>0</v>
      </c>
      <c r="M547" s="23">
        <f>IF('Brouillard ventes'!$F$187="","",'Brouillard ventes'!$H$187)</f>
        <v/>
      </c>
    </row>
    <row r="548">
      <c r="A548" s="22" t="inlineStr">
        <is>
          <t>1</t>
        </is>
      </c>
      <c r="B548" s="22">
        <f>IF('Brouillard ventes'!$F$188="","","VD"&amp;TEXT(ROW('Brouillard ventes'!$F$188)-5,"00000"))</f>
        <v/>
      </c>
      <c r="C548" s="22">
        <f>IF('Brouillard ventes'!$F$188="","",YEAR('Brouillard ventes'!$A$188)*10000+MONTH('Brouillard ventes'!$A$188)*100+DAY('Brouillard ventes'!$A$188))</f>
        <v/>
      </c>
      <c r="D548" s="22">
        <f>IF('Brouillard ventes'!$F$188="","",'Brouillard ventes'!$B$188)</f>
        <v/>
      </c>
      <c r="E548" s="22">
        <f>IF('Brouillard ventes'!$F$188="","",LEFT('Brouillard ventes'!$D$188,30))</f>
        <v/>
      </c>
      <c r="F548" s="22" t="inlineStr">
        <is>
          <t>15001</t>
        </is>
      </c>
      <c r="G548" s="22">
        <f>IF('Brouillard ventes'!$F$188="","",Paramètres!$B$7)</f>
        <v/>
      </c>
      <c r="H548" s="22">
        <f>IF('Brouillard ventes'!$F$188="","",IF('Brouillard ventes'!$C$188="","CD001",'Brouillard ventes'!$C$188))</f>
        <v/>
      </c>
      <c r="I548" s="22" t="inlineStr"/>
      <c r="J548" s="22" t="inlineStr"/>
      <c r="K548" s="22">
        <f>IF('Brouillard ventes'!$F$188="","",Paramètres!$B$11)</f>
        <v/>
      </c>
      <c r="L548" s="23">
        <f>IF('Brouillard ventes'!$F$188="","",'Brouillard ventes'!$I$188)</f>
        <v/>
      </c>
      <c r="M548" s="23" t="n">
        <v>0</v>
      </c>
    </row>
    <row r="549">
      <c r="A549" s="22" t="inlineStr">
        <is>
          <t>1</t>
        </is>
      </c>
      <c r="B549" s="22">
        <f>IF('Brouillard ventes'!$F$188="","","VD"&amp;TEXT(ROW('Brouillard ventes'!$F$188)-5,"00000"))</f>
        <v/>
      </c>
      <c r="C549" s="22">
        <f>IF('Brouillard ventes'!$F$188="","",YEAR('Brouillard ventes'!$A$188)*10000+MONTH('Brouillard ventes'!$A$188)*100+DAY('Brouillard ventes'!$A$188))</f>
        <v/>
      </c>
      <c r="D549" s="22">
        <f>IF('Brouillard ventes'!$F$188="","",'Brouillard ventes'!$B$188)</f>
        <v/>
      </c>
      <c r="E549" s="22">
        <f>IF('Brouillard ventes'!$F$188="","",LEFT('Brouillard ventes'!$D$188,30))</f>
        <v/>
      </c>
      <c r="F549" s="22" t="inlineStr">
        <is>
          <t>15001</t>
        </is>
      </c>
      <c r="G549" s="22">
        <f>IF('Brouillard ventes'!$F$188="","",IF('Brouillard ventes'!$E$188="Réparation",Paramètres!$B$9,Paramètres!$B$8))</f>
        <v/>
      </c>
      <c r="H549" s="22" t="inlineStr"/>
      <c r="I549" s="22" t="inlineStr"/>
      <c r="J549" s="22" t="inlineStr"/>
      <c r="K549" s="22">
        <f>IF('Brouillard ventes'!$F$188="","",Paramètres!$B$11)</f>
        <v/>
      </c>
      <c r="L549" s="23" t="n">
        <v>0</v>
      </c>
      <c r="M549" s="23">
        <f>IF('Brouillard ventes'!$F$188="","",'Brouillard ventes'!$F$188)</f>
        <v/>
      </c>
    </row>
    <row r="550">
      <c r="A550" s="22" t="inlineStr">
        <is>
          <t>1</t>
        </is>
      </c>
      <c r="B550" s="22">
        <f>IF('Brouillard ventes'!$F$188="","","VD"&amp;TEXT(ROW('Brouillard ventes'!$F$188)-5,"00000"))</f>
        <v/>
      </c>
      <c r="C550" s="22">
        <f>IF('Brouillard ventes'!$F$188="","",YEAR('Brouillard ventes'!$A$188)*10000+MONTH('Brouillard ventes'!$A$188)*100+DAY('Brouillard ventes'!$A$188))</f>
        <v/>
      </c>
      <c r="D550" s="22">
        <f>IF('Brouillard ventes'!$F$188="","",'Brouillard ventes'!$B$188)</f>
        <v/>
      </c>
      <c r="E550" s="22">
        <f>IF('Brouillard ventes'!$F$188="","",LEFT('Brouillard ventes'!$D$188,30))</f>
        <v/>
      </c>
      <c r="F550" s="22" t="inlineStr">
        <is>
          <t>15001</t>
        </is>
      </c>
      <c r="G550" s="22">
        <f>IF('Brouillard ventes'!$F$188="","",Paramètres!$B$10)</f>
        <v/>
      </c>
      <c r="H550" s="22" t="inlineStr"/>
      <c r="I550" s="22" t="inlineStr"/>
      <c r="J550" s="22" t="inlineStr"/>
      <c r="K550" s="22">
        <f>IF('Brouillard ventes'!$F$188="","",Paramètres!$B$11)</f>
        <v/>
      </c>
      <c r="L550" s="23" t="n">
        <v>0</v>
      </c>
      <c r="M550" s="23">
        <f>IF('Brouillard ventes'!$F$188="","",'Brouillard ventes'!$H$188)</f>
        <v/>
      </c>
    </row>
    <row r="551">
      <c r="A551" s="22" t="inlineStr">
        <is>
          <t>1</t>
        </is>
      </c>
      <c r="B551" s="22">
        <f>IF('Brouillard ventes'!$F$189="","","VD"&amp;TEXT(ROW('Brouillard ventes'!$F$189)-5,"00000"))</f>
        <v/>
      </c>
      <c r="C551" s="22">
        <f>IF('Brouillard ventes'!$F$189="","",YEAR('Brouillard ventes'!$A$189)*10000+MONTH('Brouillard ventes'!$A$189)*100+DAY('Brouillard ventes'!$A$189))</f>
        <v/>
      </c>
      <c r="D551" s="22">
        <f>IF('Brouillard ventes'!$F$189="","",'Brouillard ventes'!$B$189)</f>
        <v/>
      </c>
      <c r="E551" s="22">
        <f>IF('Brouillard ventes'!$F$189="","",LEFT('Brouillard ventes'!$D$189,30))</f>
        <v/>
      </c>
      <c r="F551" s="22" t="inlineStr">
        <is>
          <t>15001</t>
        </is>
      </c>
      <c r="G551" s="22">
        <f>IF('Brouillard ventes'!$F$189="","",Paramètres!$B$7)</f>
        <v/>
      </c>
      <c r="H551" s="22">
        <f>IF('Brouillard ventes'!$F$189="","",IF('Brouillard ventes'!$C$189="","CD001",'Brouillard ventes'!$C$189))</f>
        <v/>
      </c>
      <c r="I551" s="22" t="inlineStr"/>
      <c r="J551" s="22" t="inlineStr"/>
      <c r="K551" s="22">
        <f>IF('Brouillard ventes'!$F$189="","",Paramètres!$B$11)</f>
        <v/>
      </c>
      <c r="L551" s="23">
        <f>IF('Brouillard ventes'!$F$189="","",'Brouillard ventes'!$I$189)</f>
        <v/>
      </c>
      <c r="M551" s="23" t="n">
        <v>0</v>
      </c>
    </row>
    <row r="552">
      <c r="A552" s="22" t="inlineStr">
        <is>
          <t>1</t>
        </is>
      </c>
      <c r="B552" s="22">
        <f>IF('Brouillard ventes'!$F$189="","","VD"&amp;TEXT(ROW('Brouillard ventes'!$F$189)-5,"00000"))</f>
        <v/>
      </c>
      <c r="C552" s="22">
        <f>IF('Brouillard ventes'!$F$189="","",YEAR('Brouillard ventes'!$A$189)*10000+MONTH('Brouillard ventes'!$A$189)*100+DAY('Brouillard ventes'!$A$189))</f>
        <v/>
      </c>
      <c r="D552" s="22">
        <f>IF('Brouillard ventes'!$F$189="","",'Brouillard ventes'!$B$189)</f>
        <v/>
      </c>
      <c r="E552" s="22">
        <f>IF('Brouillard ventes'!$F$189="","",LEFT('Brouillard ventes'!$D$189,30))</f>
        <v/>
      </c>
      <c r="F552" s="22" t="inlineStr">
        <is>
          <t>15001</t>
        </is>
      </c>
      <c r="G552" s="22">
        <f>IF('Brouillard ventes'!$F$189="","",IF('Brouillard ventes'!$E$189="Réparation",Paramètres!$B$9,Paramètres!$B$8))</f>
        <v/>
      </c>
      <c r="H552" s="22" t="inlineStr"/>
      <c r="I552" s="22" t="inlineStr"/>
      <c r="J552" s="22" t="inlineStr"/>
      <c r="K552" s="22">
        <f>IF('Brouillard ventes'!$F$189="","",Paramètres!$B$11)</f>
        <v/>
      </c>
      <c r="L552" s="23" t="n">
        <v>0</v>
      </c>
      <c r="M552" s="23">
        <f>IF('Brouillard ventes'!$F$189="","",'Brouillard ventes'!$F$189)</f>
        <v/>
      </c>
    </row>
    <row r="553">
      <c r="A553" s="22" t="inlineStr">
        <is>
          <t>1</t>
        </is>
      </c>
      <c r="B553" s="22">
        <f>IF('Brouillard ventes'!$F$189="","","VD"&amp;TEXT(ROW('Brouillard ventes'!$F$189)-5,"00000"))</f>
        <v/>
      </c>
      <c r="C553" s="22">
        <f>IF('Brouillard ventes'!$F$189="","",YEAR('Brouillard ventes'!$A$189)*10000+MONTH('Brouillard ventes'!$A$189)*100+DAY('Brouillard ventes'!$A$189))</f>
        <v/>
      </c>
      <c r="D553" s="22">
        <f>IF('Brouillard ventes'!$F$189="","",'Brouillard ventes'!$B$189)</f>
        <v/>
      </c>
      <c r="E553" s="22">
        <f>IF('Brouillard ventes'!$F$189="","",LEFT('Brouillard ventes'!$D$189,30))</f>
        <v/>
      </c>
      <c r="F553" s="22" t="inlineStr">
        <is>
          <t>15001</t>
        </is>
      </c>
      <c r="G553" s="22">
        <f>IF('Brouillard ventes'!$F$189="","",Paramètres!$B$10)</f>
        <v/>
      </c>
      <c r="H553" s="22" t="inlineStr"/>
      <c r="I553" s="22" t="inlineStr"/>
      <c r="J553" s="22" t="inlineStr"/>
      <c r="K553" s="22">
        <f>IF('Brouillard ventes'!$F$189="","",Paramètres!$B$11)</f>
        <v/>
      </c>
      <c r="L553" s="23" t="n">
        <v>0</v>
      </c>
      <c r="M553" s="23">
        <f>IF('Brouillard ventes'!$F$189="","",'Brouillard ventes'!$H$189)</f>
        <v/>
      </c>
    </row>
    <row r="554">
      <c r="A554" s="22" t="inlineStr">
        <is>
          <t>1</t>
        </is>
      </c>
      <c r="B554" s="22">
        <f>IF('Brouillard ventes'!$F$190="","","VD"&amp;TEXT(ROW('Brouillard ventes'!$F$190)-5,"00000"))</f>
        <v/>
      </c>
      <c r="C554" s="22">
        <f>IF('Brouillard ventes'!$F$190="","",YEAR('Brouillard ventes'!$A$190)*10000+MONTH('Brouillard ventes'!$A$190)*100+DAY('Brouillard ventes'!$A$190))</f>
        <v/>
      </c>
      <c r="D554" s="22">
        <f>IF('Brouillard ventes'!$F$190="","",'Brouillard ventes'!$B$190)</f>
        <v/>
      </c>
      <c r="E554" s="22">
        <f>IF('Brouillard ventes'!$F$190="","",LEFT('Brouillard ventes'!$D$190,30))</f>
        <v/>
      </c>
      <c r="F554" s="22" t="inlineStr">
        <is>
          <t>15001</t>
        </is>
      </c>
      <c r="G554" s="22">
        <f>IF('Brouillard ventes'!$F$190="","",Paramètres!$B$7)</f>
        <v/>
      </c>
      <c r="H554" s="22">
        <f>IF('Brouillard ventes'!$F$190="","",IF('Brouillard ventes'!$C$190="","CD001",'Brouillard ventes'!$C$190))</f>
        <v/>
      </c>
      <c r="I554" s="22" t="inlineStr"/>
      <c r="J554" s="22" t="inlineStr"/>
      <c r="K554" s="22">
        <f>IF('Brouillard ventes'!$F$190="","",Paramètres!$B$11)</f>
        <v/>
      </c>
      <c r="L554" s="23">
        <f>IF('Brouillard ventes'!$F$190="","",'Brouillard ventes'!$I$190)</f>
        <v/>
      </c>
      <c r="M554" s="23" t="n">
        <v>0</v>
      </c>
    </row>
    <row r="555">
      <c r="A555" s="22" t="inlineStr">
        <is>
          <t>1</t>
        </is>
      </c>
      <c r="B555" s="22">
        <f>IF('Brouillard ventes'!$F$190="","","VD"&amp;TEXT(ROW('Brouillard ventes'!$F$190)-5,"00000"))</f>
        <v/>
      </c>
      <c r="C555" s="22">
        <f>IF('Brouillard ventes'!$F$190="","",YEAR('Brouillard ventes'!$A$190)*10000+MONTH('Brouillard ventes'!$A$190)*100+DAY('Brouillard ventes'!$A$190))</f>
        <v/>
      </c>
      <c r="D555" s="22">
        <f>IF('Brouillard ventes'!$F$190="","",'Brouillard ventes'!$B$190)</f>
        <v/>
      </c>
      <c r="E555" s="22">
        <f>IF('Brouillard ventes'!$F$190="","",LEFT('Brouillard ventes'!$D$190,30))</f>
        <v/>
      </c>
      <c r="F555" s="22" t="inlineStr">
        <is>
          <t>15001</t>
        </is>
      </c>
      <c r="G555" s="22">
        <f>IF('Brouillard ventes'!$F$190="","",IF('Brouillard ventes'!$E$190="Réparation",Paramètres!$B$9,Paramètres!$B$8))</f>
        <v/>
      </c>
      <c r="H555" s="22" t="inlineStr"/>
      <c r="I555" s="22" t="inlineStr"/>
      <c r="J555" s="22" t="inlineStr"/>
      <c r="K555" s="22">
        <f>IF('Brouillard ventes'!$F$190="","",Paramètres!$B$11)</f>
        <v/>
      </c>
      <c r="L555" s="23" t="n">
        <v>0</v>
      </c>
      <c r="M555" s="23">
        <f>IF('Brouillard ventes'!$F$190="","",'Brouillard ventes'!$F$190)</f>
        <v/>
      </c>
    </row>
    <row r="556">
      <c r="A556" s="22" t="inlineStr">
        <is>
          <t>1</t>
        </is>
      </c>
      <c r="B556" s="22">
        <f>IF('Brouillard ventes'!$F$190="","","VD"&amp;TEXT(ROW('Brouillard ventes'!$F$190)-5,"00000"))</f>
        <v/>
      </c>
      <c r="C556" s="22">
        <f>IF('Brouillard ventes'!$F$190="","",YEAR('Brouillard ventes'!$A$190)*10000+MONTH('Brouillard ventes'!$A$190)*100+DAY('Brouillard ventes'!$A$190))</f>
        <v/>
      </c>
      <c r="D556" s="22">
        <f>IF('Brouillard ventes'!$F$190="","",'Brouillard ventes'!$B$190)</f>
        <v/>
      </c>
      <c r="E556" s="22">
        <f>IF('Brouillard ventes'!$F$190="","",LEFT('Brouillard ventes'!$D$190,30))</f>
        <v/>
      </c>
      <c r="F556" s="22" t="inlineStr">
        <is>
          <t>15001</t>
        </is>
      </c>
      <c r="G556" s="22">
        <f>IF('Brouillard ventes'!$F$190="","",Paramètres!$B$10)</f>
        <v/>
      </c>
      <c r="H556" s="22" t="inlineStr"/>
      <c r="I556" s="22" t="inlineStr"/>
      <c r="J556" s="22" t="inlineStr"/>
      <c r="K556" s="22">
        <f>IF('Brouillard ventes'!$F$190="","",Paramètres!$B$11)</f>
        <v/>
      </c>
      <c r="L556" s="23" t="n">
        <v>0</v>
      </c>
      <c r="M556" s="23">
        <f>IF('Brouillard ventes'!$F$190="","",'Brouillard ventes'!$H$190)</f>
        <v/>
      </c>
    </row>
    <row r="557">
      <c r="A557" s="22" t="inlineStr">
        <is>
          <t>1</t>
        </is>
      </c>
      <c r="B557" s="22">
        <f>IF('Brouillard ventes'!$F$191="","","VD"&amp;TEXT(ROW('Brouillard ventes'!$F$191)-5,"00000"))</f>
        <v/>
      </c>
      <c r="C557" s="22">
        <f>IF('Brouillard ventes'!$F$191="","",YEAR('Brouillard ventes'!$A$191)*10000+MONTH('Brouillard ventes'!$A$191)*100+DAY('Brouillard ventes'!$A$191))</f>
        <v/>
      </c>
      <c r="D557" s="22">
        <f>IF('Brouillard ventes'!$F$191="","",'Brouillard ventes'!$B$191)</f>
        <v/>
      </c>
      <c r="E557" s="22">
        <f>IF('Brouillard ventes'!$F$191="","",LEFT('Brouillard ventes'!$D$191,30))</f>
        <v/>
      </c>
      <c r="F557" s="22" t="inlineStr">
        <is>
          <t>15001</t>
        </is>
      </c>
      <c r="G557" s="22">
        <f>IF('Brouillard ventes'!$F$191="","",Paramètres!$B$7)</f>
        <v/>
      </c>
      <c r="H557" s="22">
        <f>IF('Brouillard ventes'!$F$191="","",IF('Brouillard ventes'!$C$191="","CD001",'Brouillard ventes'!$C$191))</f>
        <v/>
      </c>
      <c r="I557" s="22" t="inlineStr"/>
      <c r="J557" s="22" t="inlineStr"/>
      <c r="K557" s="22">
        <f>IF('Brouillard ventes'!$F$191="","",Paramètres!$B$11)</f>
        <v/>
      </c>
      <c r="L557" s="23">
        <f>IF('Brouillard ventes'!$F$191="","",'Brouillard ventes'!$I$191)</f>
        <v/>
      </c>
      <c r="M557" s="23" t="n">
        <v>0</v>
      </c>
    </row>
    <row r="558">
      <c r="A558" s="22" t="inlineStr">
        <is>
          <t>1</t>
        </is>
      </c>
      <c r="B558" s="22">
        <f>IF('Brouillard ventes'!$F$191="","","VD"&amp;TEXT(ROW('Brouillard ventes'!$F$191)-5,"00000"))</f>
        <v/>
      </c>
      <c r="C558" s="22">
        <f>IF('Brouillard ventes'!$F$191="","",YEAR('Brouillard ventes'!$A$191)*10000+MONTH('Brouillard ventes'!$A$191)*100+DAY('Brouillard ventes'!$A$191))</f>
        <v/>
      </c>
      <c r="D558" s="22">
        <f>IF('Brouillard ventes'!$F$191="","",'Brouillard ventes'!$B$191)</f>
        <v/>
      </c>
      <c r="E558" s="22">
        <f>IF('Brouillard ventes'!$F$191="","",LEFT('Brouillard ventes'!$D$191,30))</f>
        <v/>
      </c>
      <c r="F558" s="22" t="inlineStr">
        <is>
          <t>15001</t>
        </is>
      </c>
      <c r="G558" s="22">
        <f>IF('Brouillard ventes'!$F$191="","",IF('Brouillard ventes'!$E$191="Réparation",Paramètres!$B$9,Paramètres!$B$8))</f>
        <v/>
      </c>
      <c r="H558" s="22" t="inlineStr"/>
      <c r="I558" s="22" t="inlineStr"/>
      <c r="J558" s="22" t="inlineStr"/>
      <c r="K558" s="22">
        <f>IF('Brouillard ventes'!$F$191="","",Paramètres!$B$11)</f>
        <v/>
      </c>
      <c r="L558" s="23" t="n">
        <v>0</v>
      </c>
      <c r="M558" s="23">
        <f>IF('Brouillard ventes'!$F$191="","",'Brouillard ventes'!$F$191)</f>
        <v/>
      </c>
    </row>
    <row r="559">
      <c r="A559" s="22" t="inlineStr">
        <is>
          <t>1</t>
        </is>
      </c>
      <c r="B559" s="22">
        <f>IF('Brouillard ventes'!$F$191="","","VD"&amp;TEXT(ROW('Brouillard ventes'!$F$191)-5,"00000"))</f>
        <v/>
      </c>
      <c r="C559" s="22">
        <f>IF('Brouillard ventes'!$F$191="","",YEAR('Brouillard ventes'!$A$191)*10000+MONTH('Brouillard ventes'!$A$191)*100+DAY('Brouillard ventes'!$A$191))</f>
        <v/>
      </c>
      <c r="D559" s="22">
        <f>IF('Brouillard ventes'!$F$191="","",'Brouillard ventes'!$B$191)</f>
        <v/>
      </c>
      <c r="E559" s="22">
        <f>IF('Brouillard ventes'!$F$191="","",LEFT('Brouillard ventes'!$D$191,30))</f>
        <v/>
      </c>
      <c r="F559" s="22" t="inlineStr">
        <is>
          <t>15001</t>
        </is>
      </c>
      <c r="G559" s="22">
        <f>IF('Brouillard ventes'!$F$191="","",Paramètres!$B$10)</f>
        <v/>
      </c>
      <c r="H559" s="22" t="inlineStr"/>
      <c r="I559" s="22" t="inlineStr"/>
      <c r="J559" s="22" t="inlineStr"/>
      <c r="K559" s="22">
        <f>IF('Brouillard ventes'!$F$191="","",Paramètres!$B$11)</f>
        <v/>
      </c>
      <c r="L559" s="23" t="n">
        <v>0</v>
      </c>
      <c r="M559" s="23">
        <f>IF('Brouillard ventes'!$F$191="","",'Brouillard ventes'!$H$191)</f>
        <v/>
      </c>
    </row>
    <row r="560">
      <c r="A560" s="22" t="inlineStr">
        <is>
          <t>1</t>
        </is>
      </c>
      <c r="B560" s="22">
        <f>IF('Brouillard ventes'!$F$192="","","VD"&amp;TEXT(ROW('Brouillard ventes'!$F$192)-5,"00000"))</f>
        <v/>
      </c>
      <c r="C560" s="22">
        <f>IF('Brouillard ventes'!$F$192="","",YEAR('Brouillard ventes'!$A$192)*10000+MONTH('Brouillard ventes'!$A$192)*100+DAY('Brouillard ventes'!$A$192))</f>
        <v/>
      </c>
      <c r="D560" s="22">
        <f>IF('Brouillard ventes'!$F$192="","",'Brouillard ventes'!$B$192)</f>
        <v/>
      </c>
      <c r="E560" s="22">
        <f>IF('Brouillard ventes'!$F$192="","",LEFT('Brouillard ventes'!$D$192,30))</f>
        <v/>
      </c>
      <c r="F560" s="22" t="inlineStr">
        <is>
          <t>15001</t>
        </is>
      </c>
      <c r="G560" s="22">
        <f>IF('Brouillard ventes'!$F$192="","",Paramètres!$B$7)</f>
        <v/>
      </c>
      <c r="H560" s="22">
        <f>IF('Brouillard ventes'!$F$192="","",IF('Brouillard ventes'!$C$192="","CD001",'Brouillard ventes'!$C$192))</f>
        <v/>
      </c>
      <c r="I560" s="22" t="inlineStr"/>
      <c r="J560" s="22" t="inlineStr"/>
      <c r="K560" s="22">
        <f>IF('Brouillard ventes'!$F$192="","",Paramètres!$B$11)</f>
        <v/>
      </c>
      <c r="L560" s="23">
        <f>IF('Brouillard ventes'!$F$192="","",'Brouillard ventes'!$I$192)</f>
        <v/>
      </c>
      <c r="M560" s="23" t="n">
        <v>0</v>
      </c>
    </row>
    <row r="561">
      <c r="A561" s="22" t="inlineStr">
        <is>
          <t>1</t>
        </is>
      </c>
      <c r="B561" s="22">
        <f>IF('Brouillard ventes'!$F$192="","","VD"&amp;TEXT(ROW('Brouillard ventes'!$F$192)-5,"00000"))</f>
        <v/>
      </c>
      <c r="C561" s="22">
        <f>IF('Brouillard ventes'!$F$192="","",YEAR('Brouillard ventes'!$A$192)*10000+MONTH('Brouillard ventes'!$A$192)*100+DAY('Brouillard ventes'!$A$192))</f>
        <v/>
      </c>
      <c r="D561" s="22">
        <f>IF('Brouillard ventes'!$F$192="","",'Brouillard ventes'!$B$192)</f>
        <v/>
      </c>
      <c r="E561" s="22">
        <f>IF('Brouillard ventes'!$F$192="","",LEFT('Brouillard ventes'!$D$192,30))</f>
        <v/>
      </c>
      <c r="F561" s="22" t="inlineStr">
        <is>
          <t>15001</t>
        </is>
      </c>
      <c r="G561" s="22">
        <f>IF('Brouillard ventes'!$F$192="","",IF('Brouillard ventes'!$E$192="Réparation",Paramètres!$B$9,Paramètres!$B$8))</f>
        <v/>
      </c>
      <c r="H561" s="22" t="inlineStr"/>
      <c r="I561" s="22" t="inlineStr"/>
      <c r="J561" s="22" t="inlineStr"/>
      <c r="K561" s="22">
        <f>IF('Brouillard ventes'!$F$192="","",Paramètres!$B$11)</f>
        <v/>
      </c>
      <c r="L561" s="23" t="n">
        <v>0</v>
      </c>
      <c r="M561" s="23">
        <f>IF('Brouillard ventes'!$F$192="","",'Brouillard ventes'!$F$192)</f>
        <v/>
      </c>
    </row>
    <row r="562">
      <c r="A562" s="22" t="inlineStr">
        <is>
          <t>1</t>
        </is>
      </c>
      <c r="B562" s="22">
        <f>IF('Brouillard ventes'!$F$192="","","VD"&amp;TEXT(ROW('Brouillard ventes'!$F$192)-5,"00000"))</f>
        <v/>
      </c>
      <c r="C562" s="22">
        <f>IF('Brouillard ventes'!$F$192="","",YEAR('Brouillard ventes'!$A$192)*10000+MONTH('Brouillard ventes'!$A$192)*100+DAY('Brouillard ventes'!$A$192))</f>
        <v/>
      </c>
      <c r="D562" s="22">
        <f>IF('Brouillard ventes'!$F$192="","",'Brouillard ventes'!$B$192)</f>
        <v/>
      </c>
      <c r="E562" s="22">
        <f>IF('Brouillard ventes'!$F$192="","",LEFT('Brouillard ventes'!$D$192,30))</f>
        <v/>
      </c>
      <c r="F562" s="22" t="inlineStr">
        <is>
          <t>15001</t>
        </is>
      </c>
      <c r="G562" s="22">
        <f>IF('Brouillard ventes'!$F$192="","",Paramètres!$B$10)</f>
        <v/>
      </c>
      <c r="H562" s="22" t="inlineStr"/>
      <c r="I562" s="22" t="inlineStr"/>
      <c r="J562" s="22" t="inlineStr"/>
      <c r="K562" s="22">
        <f>IF('Brouillard ventes'!$F$192="","",Paramètres!$B$11)</f>
        <v/>
      </c>
      <c r="L562" s="23" t="n">
        <v>0</v>
      </c>
      <c r="M562" s="23">
        <f>IF('Brouillard ventes'!$F$192="","",'Brouillard ventes'!$H$192)</f>
        <v/>
      </c>
    </row>
    <row r="563">
      <c r="A563" s="22" t="inlineStr">
        <is>
          <t>1</t>
        </is>
      </c>
      <c r="B563" s="22">
        <f>IF('Brouillard ventes'!$F$193="","","VD"&amp;TEXT(ROW('Brouillard ventes'!$F$193)-5,"00000"))</f>
        <v/>
      </c>
      <c r="C563" s="22">
        <f>IF('Brouillard ventes'!$F$193="","",YEAR('Brouillard ventes'!$A$193)*10000+MONTH('Brouillard ventes'!$A$193)*100+DAY('Brouillard ventes'!$A$193))</f>
        <v/>
      </c>
      <c r="D563" s="22">
        <f>IF('Brouillard ventes'!$F$193="","",'Brouillard ventes'!$B$193)</f>
        <v/>
      </c>
      <c r="E563" s="22">
        <f>IF('Brouillard ventes'!$F$193="","",LEFT('Brouillard ventes'!$D$193,30))</f>
        <v/>
      </c>
      <c r="F563" s="22" t="inlineStr">
        <is>
          <t>15001</t>
        </is>
      </c>
      <c r="G563" s="22">
        <f>IF('Brouillard ventes'!$F$193="","",Paramètres!$B$7)</f>
        <v/>
      </c>
      <c r="H563" s="22">
        <f>IF('Brouillard ventes'!$F$193="","",IF('Brouillard ventes'!$C$193="","CD001",'Brouillard ventes'!$C$193))</f>
        <v/>
      </c>
      <c r="I563" s="22" t="inlineStr"/>
      <c r="J563" s="22" t="inlineStr"/>
      <c r="K563" s="22">
        <f>IF('Brouillard ventes'!$F$193="","",Paramètres!$B$11)</f>
        <v/>
      </c>
      <c r="L563" s="23">
        <f>IF('Brouillard ventes'!$F$193="","",'Brouillard ventes'!$I$193)</f>
        <v/>
      </c>
      <c r="M563" s="23" t="n">
        <v>0</v>
      </c>
    </row>
    <row r="564">
      <c r="A564" s="22" t="inlineStr">
        <is>
          <t>1</t>
        </is>
      </c>
      <c r="B564" s="22">
        <f>IF('Brouillard ventes'!$F$193="","","VD"&amp;TEXT(ROW('Brouillard ventes'!$F$193)-5,"00000"))</f>
        <v/>
      </c>
      <c r="C564" s="22">
        <f>IF('Brouillard ventes'!$F$193="","",YEAR('Brouillard ventes'!$A$193)*10000+MONTH('Brouillard ventes'!$A$193)*100+DAY('Brouillard ventes'!$A$193))</f>
        <v/>
      </c>
      <c r="D564" s="22">
        <f>IF('Brouillard ventes'!$F$193="","",'Brouillard ventes'!$B$193)</f>
        <v/>
      </c>
      <c r="E564" s="22">
        <f>IF('Brouillard ventes'!$F$193="","",LEFT('Brouillard ventes'!$D$193,30))</f>
        <v/>
      </c>
      <c r="F564" s="22" t="inlineStr">
        <is>
          <t>15001</t>
        </is>
      </c>
      <c r="G564" s="22">
        <f>IF('Brouillard ventes'!$F$193="","",IF('Brouillard ventes'!$E$193="Réparation",Paramètres!$B$9,Paramètres!$B$8))</f>
        <v/>
      </c>
      <c r="H564" s="22" t="inlineStr"/>
      <c r="I564" s="22" t="inlineStr"/>
      <c r="J564" s="22" t="inlineStr"/>
      <c r="K564" s="22">
        <f>IF('Brouillard ventes'!$F$193="","",Paramètres!$B$11)</f>
        <v/>
      </c>
      <c r="L564" s="23" t="n">
        <v>0</v>
      </c>
      <c r="M564" s="23">
        <f>IF('Brouillard ventes'!$F$193="","",'Brouillard ventes'!$F$193)</f>
        <v/>
      </c>
    </row>
    <row r="565">
      <c r="A565" s="22" t="inlineStr">
        <is>
          <t>1</t>
        </is>
      </c>
      <c r="B565" s="22">
        <f>IF('Brouillard ventes'!$F$193="","","VD"&amp;TEXT(ROW('Brouillard ventes'!$F$193)-5,"00000"))</f>
        <v/>
      </c>
      <c r="C565" s="22">
        <f>IF('Brouillard ventes'!$F$193="","",YEAR('Brouillard ventes'!$A$193)*10000+MONTH('Brouillard ventes'!$A$193)*100+DAY('Brouillard ventes'!$A$193))</f>
        <v/>
      </c>
      <c r="D565" s="22">
        <f>IF('Brouillard ventes'!$F$193="","",'Brouillard ventes'!$B$193)</f>
        <v/>
      </c>
      <c r="E565" s="22">
        <f>IF('Brouillard ventes'!$F$193="","",LEFT('Brouillard ventes'!$D$193,30))</f>
        <v/>
      </c>
      <c r="F565" s="22" t="inlineStr">
        <is>
          <t>15001</t>
        </is>
      </c>
      <c r="G565" s="22">
        <f>IF('Brouillard ventes'!$F$193="","",Paramètres!$B$10)</f>
        <v/>
      </c>
      <c r="H565" s="22" t="inlineStr"/>
      <c r="I565" s="22" t="inlineStr"/>
      <c r="J565" s="22" t="inlineStr"/>
      <c r="K565" s="22">
        <f>IF('Brouillard ventes'!$F$193="","",Paramètres!$B$11)</f>
        <v/>
      </c>
      <c r="L565" s="23" t="n">
        <v>0</v>
      </c>
      <c r="M565" s="23">
        <f>IF('Brouillard ventes'!$F$193="","",'Brouillard ventes'!$H$193)</f>
        <v/>
      </c>
    </row>
    <row r="566">
      <c r="A566" s="22" t="inlineStr">
        <is>
          <t>1</t>
        </is>
      </c>
      <c r="B566" s="22">
        <f>IF('Brouillard ventes'!$F$194="","","VD"&amp;TEXT(ROW('Brouillard ventes'!$F$194)-5,"00000"))</f>
        <v/>
      </c>
      <c r="C566" s="22">
        <f>IF('Brouillard ventes'!$F$194="","",YEAR('Brouillard ventes'!$A$194)*10000+MONTH('Brouillard ventes'!$A$194)*100+DAY('Brouillard ventes'!$A$194))</f>
        <v/>
      </c>
      <c r="D566" s="22">
        <f>IF('Brouillard ventes'!$F$194="","",'Brouillard ventes'!$B$194)</f>
        <v/>
      </c>
      <c r="E566" s="22">
        <f>IF('Brouillard ventes'!$F$194="","",LEFT('Brouillard ventes'!$D$194,30))</f>
        <v/>
      </c>
      <c r="F566" s="22" t="inlineStr">
        <is>
          <t>15001</t>
        </is>
      </c>
      <c r="G566" s="22">
        <f>IF('Brouillard ventes'!$F$194="","",Paramètres!$B$7)</f>
        <v/>
      </c>
      <c r="H566" s="22">
        <f>IF('Brouillard ventes'!$F$194="","",IF('Brouillard ventes'!$C$194="","CD001",'Brouillard ventes'!$C$194))</f>
        <v/>
      </c>
      <c r="I566" s="22" t="inlineStr"/>
      <c r="J566" s="22" t="inlineStr"/>
      <c r="K566" s="22">
        <f>IF('Brouillard ventes'!$F$194="","",Paramètres!$B$11)</f>
        <v/>
      </c>
      <c r="L566" s="23">
        <f>IF('Brouillard ventes'!$F$194="","",'Brouillard ventes'!$I$194)</f>
        <v/>
      </c>
      <c r="M566" s="23" t="n">
        <v>0</v>
      </c>
    </row>
    <row r="567">
      <c r="A567" s="22" t="inlineStr">
        <is>
          <t>1</t>
        </is>
      </c>
      <c r="B567" s="22">
        <f>IF('Brouillard ventes'!$F$194="","","VD"&amp;TEXT(ROW('Brouillard ventes'!$F$194)-5,"00000"))</f>
        <v/>
      </c>
      <c r="C567" s="22">
        <f>IF('Brouillard ventes'!$F$194="","",YEAR('Brouillard ventes'!$A$194)*10000+MONTH('Brouillard ventes'!$A$194)*100+DAY('Brouillard ventes'!$A$194))</f>
        <v/>
      </c>
      <c r="D567" s="22">
        <f>IF('Brouillard ventes'!$F$194="","",'Brouillard ventes'!$B$194)</f>
        <v/>
      </c>
      <c r="E567" s="22">
        <f>IF('Brouillard ventes'!$F$194="","",LEFT('Brouillard ventes'!$D$194,30))</f>
        <v/>
      </c>
      <c r="F567" s="22" t="inlineStr">
        <is>
          <t>15001</t>
        </is>
      </c>
      <c r="G567" s="22">
        <f>IF('Brouillard ventes'!$F$194="","",IF('Brouillard ventes'!$E$194="Réparation",Paramètres!$B$9,Paramètres!$B$8))</f>
        <v/>
      </c>
      <c r="H567" s="22" t="inlineStr"/>
      <c r="I567" s="22" t="inlineStr"/>
      <c r="J567" s="22" t="inlineStr"/>
      <c r="K567" s="22">
        <f>IF('Brouillard ventes'!$F$194="","",Paramètres!$B$11)</f>
        <v/>
      </c>
      <c r="L567" s="23" t="n">
        <v>0</v>
      </c>
      <c r="M567" s="23">
        <f>IF('Brouillard ventes'!$F$194="","",'Brouillard ventes'!$F$194)</f>
        <v/>
      </c>
    </row>
    <row r="568">
      <c r="A568" s="22" t="inlineStr">
        <is>
          <t>1</t>
        </is>
      </c>
      <c r="B568" s="22">
        <f>IF('Brouillard ventes'!$F$194="","","VD"&amp;TEXT(ROW('Brouillard ventes'!$F$194)-5,"00000"))</f>
        <v/>
      </c>
      <c r="C568" s="22">
        <f>IF('Brouillard ventes'!$F$194="","",YEAR('Brouillard ventes'!$A$194)*10000+MONTH('Brouillard ventes'!$A$194)*100+DAY('Brouillard ventes'!$A$194))</f>
        <v/>
      </c>
      <c r="D568" s="22">
        <f>IF('Brouillard ventes'!$F$194="","",'Brouillard ventes'!$B$194)</f>
        <v/>
      </c>
      <c r="E568" s="22">
        <f>IF('Brouillard ventes'!$F$194="","",LEFT('Brouillard ventes'!$D$194,30))</f>
        <v/>
      </c>
      <c r="F568" s="22" t="inlineStr">
        <is>
          <t>15001</t>
        </is>
      </c>
      <c r="G568" s="22">
        <f>IF('Brouillard ventes'!$F$194="","",Paramètres!$B$10)</f>
        <v/>
      </c>
      <c r="H568" s="22" t="inlineStr"/>
      <c r="I568" s="22" t="inlineStr"/>
      <c r="J568" s="22" t="inlineStr"/>
      <c r="K568" s="22">
        <f>IF('Brouillard ventes'!$F$194="","",Paramètres!$B$11)</f>
        <v/>
      </c>
      <c r="L568" s="23" t="n">
        <v>0</v>
      </c>
      <c r="M568" s="23">
        <f>IF('Brouillard ventes'!$F$194="","",'Brouillard ventes'!$H$194)</f>
        <v/>
      </c>
    </row>
    <row r="569">
      <c r="A569" s="22" t="inlineStr">
        <is>
          <t>1</t>
        </is>
      </c>
      <c r="B569" s="22">
        <f>IF('Brouillard ventes'!$F$195="","","VD"&amp;TEXT(ROW('Brouillard ventes'!$F$195)-5,"00000"))</f>
        <v/>
      </c>
      <c r="C569" s="22">
        <f>IF('Brouillard ventes'!$F$195="","",YEAR('Brouillard ventes'!$A$195)*10000+MONTH('Brouillard ventes'!$A$195)*100+DAY('Brouillard ventes'!$A$195))</f>
        <v/>
      </c>
      <c r="D569" s="22">
        <f>IF('Brouillard ventes'!$F$195="","",'Brouillard ventes'!$B$195)</f>
        <v/>
      </c>
      <c r="E569" s="22">
        <f>IF('Brouillard ventes'!$F$195="","",LEFT('Brouillard ventes'!$D$195,30))</f>
        <v/>
      </c>
      <c r="F569" s="22" t="inlineStr">
        <is>
          <t>15001</t>
        </is>
      </c>
      <c r="G569" s="22">
        <f>IF('Brouillard ventes'!$F$195="","",Paramètres!$B$7)</f>
        <v/>
      </c>
      <c r="H569" s="22">
        <f>IF('Brouillard ventes'!$F$195="","",IF('Brouillard ventes'!$C$195="","CD001",'Brouillard ventes'!$C$195))</f>
        <v/>
      </c>
      <c r="I569" s="22" t="inlineStr"/>
      <c r="J569" s="22" t="inlineStr"/>
      <c r="K569" s="22">
        <f>IF('Brouillard ventes'!$F$195="","",Paramètres!$B$11)</f>
        <v/>
      </c>
      <c r="L569" s="23">
        <f>IF('Brouillard ventes'!$F$195="","",'Brouillard ventes'!$I$195)</f>
        <v/>
      </c>
      <c r="M569" s="23" t="n">
        <v>0</v>
      </c>
    </row>
    <row r="570">
      <c r="A570" s="22" t="inlineStr">
        <is>
          <t>1</t>
        </is>
      </c>
      <c r="B570" s="22">
        <f>IF('Brouillard ventes'!$F$195="","","VD"&amp;TEXT(ROW('Brouillard ventes'!$F$195)-5,"00000"))</f>
        <v/>
      </c>
      <c r="C570" s="22">
        <f>IF('Brouillard ventes'!$F$195="","",YEAR('Brouillard ventes'!$A$195)*10000+MONTH('Brouillard ventes'!$A$195)*100+DAY('Brouillard ventes'!$A$195))</f>
        <v/>
      </c>
      <c r="D570" s="22">
        <f>IF('Brouillard ventes'!$F$195="","",'Brouillard ventes'!$B$195)</f>
        <v/>
      </c>
      <c r="E570" s="22">
        <f>IF('Brouillard ventes'!$F$195="","",LEFT('Brouillard ventes'!$D$195,30))</f>
        <v/>
      </c>
      <c r="F570" s="22" t="inlineStr">
        <is>
          <t>15001</t>
        </is>
      </c>
      <c r="G570" s="22">
        <f>IF('Brouillard ventes'!$F$195="","",IF('Brouillard ventes'!$E$195="Réparation",Paramètres!$B$9,Paramètres!$B$8))</f>
        <v/>
      </c>
      <c r="H570" s="22" t="inlineStr"/>
      <c r="I570" s="22" t="inlineStr"/>
      <c r="J570" s="22" t="inlineStr"/>
      <c r="K570" s="22">
        <f>IF('Brouillard ventes'!$F$195="","",Paramètres!$B$11)</f>
        <v/>
      </c>
      <c r="L570" s="23" t="n">
        <v>0</v>
      </c>
      <c r="M570" s="23">
        <f>IF('Brouillard ventes'!$F$195="","",'Brouillard ventes'!$F$195)</f>
        <v/>
      </c>
    </row>
    <row r="571">
      <c r="A571" s="22" t="inlineStr">
        <is>
          <t>1</t>
        </is>
      </c>
      <c r="B571" s="22">
        <f>IF('Brouillard ventes'!$F$195="","","VD"&amp;TEXT(ROW('Brouillard ventes'!$F$195)-5,"00000"))</f>
        <v/>
      </c>
      <c r="C571" s="22">
        <f>IF('Brouillard ventes'!$F$195="","",YEAR('Brouillard ventes'!$A$195)*10000+MONTH('Brouillard ventes'!$A$195)*100+DAY('Brouillard ventes'!$A$195))</f>
        <v/>
      </c>
      <c r="D571" s="22">
        <f>IF('Brouillard ventes'!$F$195="","",'Brouillard ventes'!$B$195)</f>
        <v/>
      </c>
      <c r="E571" s="22">
        <f>IF('Brouillard ventes'!$F$195="","",LEFT('Brouillard ventes'!$D$195,30))</f>
        <v/>
      </c>
      <c r="F571" s="22" t="inlineStr">
        <is>
          <t>15001</t>
        </is>
      </c>
      <c r="G571" s="22">
        <f>IF('Brouillard ventes'!$F$195="","",Paramètres!$B$10)</f>
        <v/>
      </c>
      <c r="H571" s="22" t="inlineStr"/>
      <c r="I571" s="22" t="inlineStr"/>
      <c r="J571" s="22" t="inlineStr"/>
      <c r="K571" s="22">
        <f>IF('Brouillard ventes'!$F$195="","",Paramètres!$B$11)</f>
        <v/>
      </c>
      <c r="L571" s="23" t="n">
        <v>0</v>
      </c>
      <c r="M571" s="23">
        <f>IF('Brouillard ventes'!$F$195="","",'Brouillard ventes'!$H$195)</f>
        <v/>
      </c>
    </row>
    <row r="572">
      <c r="A572" s="22" t="inlineStr">
        <is>
          <t>1</t>
        </is>
      </c>
      <c r="B572" s="22">
        <f>IF('Brouillard ventes'!$F$196="","","VD"&amp;TEXT(ROW('Brouillard ventes'!$F$196)-5,"00000"))</f>
        <v/>
      </c>
      <c r="C572" s="22">
        <f>IF('Brouillard ventes'!$F$196="","",YEAR('Brouillard ventes'!$A$196)*10000+MONTH('Brouillard ventes'!$A$196)*100+DAY('Brouillard ventes'!$A$196))</f>
        <v/>
      </c>
      <c r="D572" s="22">
        <f>IF('Brouillard ventes'!$F$196="","",'Brouillard ventes'!$B$196)</f>
        <v/>
      </c>
      <c r="E572" s="22">
        <f>IF('Brouillard ventes'!$F$196="","",LEFT('Brouillard ventes'!$D$196,30))</f>
        <v/>
      </c>
      <c r="F572" s="22" t="inlineStr">
        <is>
          <t>15001</t>
        </is>
      </c>
      <c r="G572" s="22">
        <f>IF('Brouillard ventes'!$F$196="","",Paramètres!$B$7)</f>
        <v/>
      </c>
      <c r="H572" s="22">
        <f>IF('Brouillard ventes'!$F$196="","",IF('Brouillard ventes'!$C$196="","CD001",'Brouillard ventes'!$C$196))</f>
        <v/>
      </c>
      <c r="I572" s="22" t="inlineStr"/>
      <c r="J572" s="22" t="inlineStr"/>
      <c r="K572" s="22">
        <f>IF('Brouillard ventes'!$F$196="","",Paramètres!$B$11)</f>
        <v/>
      </c>
      <c r="L572" s="23">
        <f>IF('Brouillard ventes'!$F$196="","",'Brouillard ventes'!$I$196)</f>
        <v/>
      </c>
      <c r="M572" s="23" t="n">
        <v>0</v>
      </c>
    </row>
    <row r="573">
      <c r="A573" s="22" t="inlineStr">
        <is>
          <t>1</t>
        </is>
      </c>
      <c r="B573" s="22">
        <f>IF('Brouillard ventes'!$F$196="","","VD"&amp;TEXT(ROW('Brouillard ventes'!$F$196)-5,"00000"))</f>
        <v/>
      </c>
      <c r="C573" s="22">
        <f>IF('Brouillard ventes'!$F$196="","",YEAR('Brouillard ventes'!$A$196)*10000+MONTH('Brouillard ventes'!$A$196)*100+DAY('Brouillard ventes'!$A$196))</f>
        <v/>
      </c>
      <c r="D573" s="22">
        <f>IF('Brouillard ventes'!$F$196="","",'Brouillard ventes'!$B$196)</f>
        <v/>
      </c>
      <c r="E573" s="22">
        <f>IF('Brouillard ventes'!$F$196="","",LEFT('Brouillard ventes'!$D$196,30))</f>
        <v/>
      </c>
      <c r="F573" s="22" t="inlineStr">
        <is>
          <t>15001</t>
        </is>
      </c>
      <c r="G573" s="22">
        <f>IF('Brouillard ventes'!$F$196="","",IF('Brouillard ventes'!$E$196="Réparation",Paramètres!$B$9,Paramètres!$B$8))</f>
        <v/>
      </c>
      <c r="H573" s="22" t="inlineStr"/>
      <c r="I573" s="22" t="inlineStr"/>
      <c r="J573" s="22" t="inlineStr"/>
      <c r="K573" s="22">
        <f>IF('Brouillard ventes'!$F$196="","",Paramètres!$B$11)</f>
        <v/>
      </c>
      <c r="L573" s="23" t="n">
        <v>0</v>
      </c>
      <c r="M573" s="23">
        <f>IF('Brouillard ventes'!$F$196="","",'Brouillard ventes'!$F$196)</f>
        <v/>
      </c>
    </row>
    <row r="574">
      <c r="A574" s="22" t="inlineStr">
        <is>
          <t>1</t>
        </is>
      </c>
      <c r="B574" s="22">
        <f>IF('Brouillard ventes'!$F$196="","","VD"&amp;TEXT(ROW('Brouillard ventes'!$F$196)-5,"00000"))</f>
        <v/>
      </c>
      <c r="C574" s="22">
        <f>IF('Brouillard ventes'!$F$196="","",YEAR('Brouillard ventes'!$A$196)*10000+MONTH('Brouillard ventes'!$A$196)*100+DAY('Brouillard ventes'!$A$196))</f>
        <v/>
      </c>
      <c r="D574" s="22">
        <f>IF('Brouillard ventes'!$F$196="","",'Brouillard ventes'!$B$196)</f>
        <v/>
      </c>
      <c r="E574" s="22">
        <f>IF('Brouillard ventes'!$F$196="","",LEFT('Brouillard ventes'!$D$196,30))</f>
        <v/>
      </c>
      <c r="F574" s="22" t="inlineStr">
        <is>
          <t>15001</t>
        </is>
      </c>
      <c r="G574" s="22">
        <f>IF('Brouillard ventes'!$F$196="","",Paramètres!$B$10)</f>
        <v/>
      </c>
      <c r="H574" s="22" t="inlineStr"/>
      <c r="I574" s="22" t="inlineStr"/>
      <c r="J574" s="22" t="inlineStr"/>
      <c r="K574" s="22">
        <f>IF('Brouillard ventes'!$F$196="","",Paramètres!$B$11)</f>
        <v/>
      </c>
      <c r="L574" s="23" t="n">
        <v>0</v>
      </c>
      <c r="M574" s="23">
        <f>IF('Brouillard ventes'!$F$196="","",'Brouillard ventes'!$H$196)</f>
        <v/>
      </c>
    </row>
    <row r="575">
      <c r="A575" s="22" t="inlineStr">
        <is>
          <t>1</t>
        </is>
      </c>
      <c r="B575" s="22">
        <f>IF('Brouillard ventes'!$F$197="","","VD"&amp;TEXT(ROW('Brouillard ventes'!$F$197)-5,"00000"))</f>
        <v/>
      </c>
      <c r="C575" s="22">
        <f>IF('Brouillard ventes'!$F$197="","",YEAR('Brouillard ventes'!$A$197)*10000+MONTH('Brouillard ventes'!$A$197)*100+DAY('Brouillard ventes'!$A$197))</f>
        <v/>
      </c>
      <c r="D575" s="22">
        <f>IF('Brouillard ventes'!$F$197="","",'Brouillard ventes'!$B$197)</f>
        <v/>
      </c>
      <c r="E575" s="22">
        <f>IF('Brouillard ventes'!$F$197="","",LEFT('Brouillard ventes'!$D$197,30))</f>
        <v/>
      </c>
      <c r="F575" s="22" t="inlineStr">
        <is>
          <t>15001</t>
        </is>
      </c>
      <c r="G575" s="22">
        <f>IF('Brouillard ventes'!$F$197="","",Paramètres!$B$7)</f>
        <v/>
      </c>
      <c r="H575" s="22">
        <f>IF('Brouillard ventes'!$F$197="","",IF('Brouillard ventes'!$C$197="","CD001",'Brouillard ventes'!$C$197))</f>
        <v/>
      </c>
      <c r="I575" s="22" t="inlineStr"/>
      <c r="J575" s="22" t="inlineStr"/>
      <c r="K575" s="22">
        <f>IF('Brouillard ventes'!$F$197="","",Paramètres!$B$11)</f>
        <v/>
      </c>
      <c r="L575" s="23">
        <f>IF('Brouillard ventes'!$F$197="","",'Brouillard ventes'!$I$197)</f>
        <v/>
      </c>
      <c r="M575" s="23" t="n">
        <v>0</v>
      </c>
    </row>
    <row r="576">
      <c r="A576" s="22" t="inlineStr">
        <is>
          <t>1</t>
        </is>
      </c>
      <c r="B576" s="22">
        <f>IF('Brouillard ventes'!$F$197="","","VD"&amp;TEXT(ROW('Brouillard ventes'!$F$197)-5,"00000"))</f>
        <v/>
      </c>
      <c r="C576" s="22">
        <f>IF('Brouillard ventes'!$F$197="","",YEAR('Brouillard ventes'!$A$197)*10000+MONTH('Brouillard ventes'!$A$197)*100+DAY('Brouillard ventes'!$A$197))</f>
        <v/>
      </c>
      <c r="D576" s="22">
        <f>IF('Brouillard ventes'!$F$197="","",'Brouillard ventes'!$B$197)</f>
        <v/>
      </c>
      <c r="E576" s="22">
        <f>IF('Brouillard ventes'!$F$197="","",LEFT('Brouillard ventes'!$D$197,30))</f>
        <v/>
      </c>
      <c r="F576" s="22" t="inlineStr">
        <is>
          <t>15001</t>
        </is>
      </c>
      <c r="G576" s="22">
        <f>IF('Brouillard ventes'!$F$197="","",IF('Brouillard ventes'!$E$197="Réparation",Paramètres!$B$9,Paramètres!$B$8))</f>
        <v/>
      </c>
      <c r="H576" s="22" t="inlineStr"/>
      <c r="I576" s="22" t="inlineStr"/>
      <c r="J576" s="22" t="inlineStr"/>
      <c r="K576" s="22">
        <f>IF('Brouillard ventes'!$F$197="","",Paramètres!$B$11)</f>
        <v/>
      </c>
      <c r="L576" s="23" t="n">
        <v>0</v>
      </c>
      <c r="M576" s="23">
        <f>IF('Brouillard ventes'!$F$197="","",'Brouillard ventes'!$F$197)</f>
        <v/>
      </c>
    </row>
    <row r="577">
      <c r="A577" s="22" t="inlineStr">
        <is>
          <t>1</t>
        </is>
      </c>
      <c r="B577" s="22">
        <f>IF('Brouillard ventes'!$F$197="","","VD"&amp;TEXT(ROW('Brouillard ventes'!$F$197)-5,"00000"))</f>
        <v/>
      </c>
      <c r="C577" s="22">
        <f>IF('Brouillard ventes'!$F$197="","",YEAR('Brouillard ventes'!$A$197)*10000+MONTH('Brouillard ventes'!$A$197)*100+DAY('Brouillard ventes'!$A$197))</f>
        <v/>
      </c>
      <c r="D577" s="22">
        <f>IF('Brouillard ventes'!$F$197="","",'Brouillard ventes'!$B$197)</f>
        <v/>
      </c>
      <c r="E577" s="22">
        <f>IF('Brouillard ventes'!$F$197="","",LEFT('Brouillard ventes'!$D$197,30))</f>
        <v/>
      </c>
      <c r="F577" s="22" t="inlineStr">
        <is>
          <t>15001</t>
        </is>
      </c>
      <c r="G577" s="22">
        <f>IF('Brouillard ventes'!$F$197="","",Paramètres!$B$10)</f>
        <v/>
      </c>
      <c r="H577" s="22" t="inlineStr"/>
      <c r="I577" s="22" t="inlineStr"/>
      <c r="J577" s="22" t="inlineStr"/>
      <c r="K577" s="22">
        <f>IF('Brouillard ventes'!$F$197="","",Paramètres!$B$11)</f>
        <v/>
      </c>
      <c r="L577" s="23" t="n">
        <v>0</v>
      </c>
      <c r="M577" s="23">
        <f>IF('Brouillard ventes'!$F$197="","",'Brouillard ventes'!$H$197)</f>
        <v/>
      </c>
    </row>
    <row r="578">
      <c r="A578" s="22" t="inlineStr">
        <is>
          <t>1</t>
        </is>
      </c>
      <c r="B578" s="22">
        <f>IF('Brouillard ventes'!$F$198="","","VD"&amp;TEXT(ROW('Brouillard ventes'!$F$198)-5,"00000"))</f>
        <v/>
      </c>
      <c r="C578" s="22">
        <f>IF('Brouillard ventes'!$F$198="","",YEAR('Brouillard ventes'!$A$198)*10000+MONTH('Brouillard ventes'!$A$198)*100+DAY('Brouillard ventes'!$A$198))</f>
        <v/>
      </c>
      <c r="D578" s="22">
        <f>IF('Brouillard ventes'!$F$198="","",'Brouillard ventes'!$B$198)</f>
        <v/>
      </c>
      <c r="E578" s="22">
        <f>IF('Brouillard ventes'!$F$198="","",LEFT('Brouillard ventes'!$D$198,30))</f>
        <v/>
      </c>
      <c r="F578" s="22" t="inlineStr">
        <is>
          <t>15001</t>
        </is>
      </c>
      <c r="G578" s="22">
        <f>IF('Brouillard ventes'!$F$198="","",Paramètres!$B$7)</f>
        <v/>
      </c>
      <c r="H578" s="22">
        <f>IF('Brouillard ventes'!$F$198="","",IF('Brouillard ventes'!$C$198="","CD001",'Brouillard ventes'!$C$198))</f>
        <v/>
      </c>
      <c r="I578" s="22" t="inlineStr"/>
      <c r="J578" s="22" t="inlineStr"/>
      <c r="K578" s="22">
        <f>IF('Brouillard ventes'!$F$198="","",Paramètres!$B$11)</f>
        <v/>
      </c>
      <c r="L578" s="23">
        <f>IF('Brouillard ventes'!$F$198="","",'Brouillard ventes'!$I$198)</f>
        <v/>
      </c>
      <c r="M578" s="23" t="n">
        <v>0</v>
      </c>
    </row>
    <row r="579">
      <c r="A579" s="22" t="inlineStr">
        <is>
          <t>1</t>
        </is>
      </c>
      <c r="B579" s="22">
        <f>IF('Brouillard ventes'!$F$198="","","VD"&amp;TEXT(ROW('Brouillard ventes'!$F$198)-5,"00000"))</f>
        <v/>
      </c>
      <c r="C579" s="22">
        <f>IF('Brouillard ventes'!$F$198="","",YEAR('Brouillard ventes'!$A$198)*10000+MONTH('Brouillard ventes'!$A$198)*100+DAY('Brouillard ventes'!$A$198))</f>
        <v/>
      </c>
      <c r="D579" s="22">
        <f>IF('Brouillard ventes'!$F$198="","",'Brouillard ventes'!$B$198)</f>
        <v/>
      </c>
      <c r="E579" s="22">
        <f>IF('Brouillard ventes'!$F$198="","",LEFT('Brouillard ventes'!$D$198,30))</f>
        <v/>
      </c>
      <c r="F579" s="22" t="inlineStr">
        <is>
          <t>15001</t>
        </is>
      </c>
      <c r="G579" s="22">
        <f>IF('Brouillard ventes'!$F$198="","",IF('Brouillard ventes'!$E$198="Réparation",Paramètres!$B$9,Paramètres!$B$8))</f>
        <v/>
      </c>
      <c r="H579" s="22" t="inlineStr"/>
      <c r="I579" s="22" t="inlineStr"/>
      <c r="J579" s="22" t="inlineStr"/>
      <c r="K579" s="22">
        <f>IF('Brouillard ventes'!$F$198="","",Paramètres!$B$11)</f>
        <v/>
      </c>
      <c r="L579" s="23" t="n">
        <v>0</v>
      </c>
      <c r="M579" s="23">
        <f>IF('Brouillard ventes'!$F$198="","",'Brouillard ventes'!$F$198)</f>
        <v/>
      </c>
    </row>
    <row r="580">
      <c r="A580" s="22" t="inlineStr">
        <is>
          <t>1</t>
        </is>
      </c>
      <c r="B580" s="22">
        <f>IF('Brouillard ventes'!$F$198="","","VD"&amp;TEXT(ROW('Brouillard ventes'!$F$198)-5,"00000"))</f>
        <v/>
      </c>
      <c r="C580" s="22">
        <f>IF('Brouillard ventes'!$F$198="","",YEAR('Brouillard ventes'!$A$198)*10000+MONTH('Brouillard ventes'!$A$198)*100+DAY('Brouillard ventes'!$A$198))</f>
        <v/>
      </c>
      <c r="D580" s="22">
        <f>IF('Brouillard ventes'!$F$198="","",'Brouillard ventes'!$B$198)</f>
        <v/>
      </c>
      <c r="E580" s="22">
        <f>IF('Brouillard ventes'!$F$198="","",LEFT('Brouillard ventes'!$D$198,30))</f>
        <v/>
      </c>
      <c r="F580" s="22" t="inlineStr">
        <is>
          <t>15001</t>
        </is>
      </c>
      <c r="G580" s="22">
        <f>IF('Brouillard ventes'!$F$198="","",Paramètres!$B$10)</f>
        <v/>
      </c>
      <c r="H580" s="22" t="inlineStr"/>
      <c r="I580" s="22" t="inlineStr"/>
      <c r="J580" s="22" t="inlineStr"/>
      <c r="K580" s="22">
        <f>IF('Brouillard ventes'!$F$198="","",Paramètres!$B$11)</f>
        <v/>
      </c>
      <c r="L580" s="23" t="n">
        <v>0</v>
      </c>
      <c r="M580" s="23">
        <f>IF('Brouillard ventes'!$F$198="","",'Brouillard ventes'!$H$198)</f>
        <v/>
      </c>
    </row>
    <row r="581">
      <c r="A581" s="22" t="inlineStr">
        <is>
          <t>1</t>
        </is>
      </c>
      <c r="B581" s="22">
        <f>IF('Brouillard ventes'!$F$199="","","VD"&amp;TEXT(ROW('Brouillard ventes'!$F$199)-5,"00000"))</f>
        <v/>
      </c>
      <c r="C581" s="22">
        <f>IF('Brouillard ventes'!$F$199="","",YEAR('Brouillard ventes'!$A$199)*10000+MONTH('Brouillard ventes'!$A$199)*100+DAY('Brouillard ventes'!$A$199))</f>
        <v/>
      </c>
      <c r="D581" s="22">
        <f>IF('Brouillard ventes'!$F$199="","",'Brouillard ventes'!$B$199)</f>
        <v/>
      </c>
      <c r="E581" s="22">
        <f>IF('Brouillard ventes'!$F$199="","",LEFT('Brouillard ventes'!$D$199,30))</f>
        <v/>
      </c>
      <c r="F581" s="22" t="inlineStr">
        <is>
          <t>15001</t>
        </is>
      </c>
      <c r="G581" s="22">
        <f>IF('Brouillard ventes'!$F$199="","",Paramètres!$B$7)</f>
        <v/>
      </c>
      <c r="H581" s="22">
        <f>IF('Brouillard ventes'!$F$199="","",IF('Brouillard ventes'!$C$199="","CD001",'Brouillard ventes'!$C$199))</f>
        <v/>
      </c>
      <c r="I581" s="22" t="inlineStr"/>
      <c r="J581" s="22" t="inlineStr"/>
      <c r="K581" s="22">
        <f>IF('Brouillard ventes'!$F$199="","",Paramètres!$B$11)</f>
        <v/>
      </c>
      <c r="L581" s="23">
        <f>IF('Brouillard ventes'!$F$199="","",'Brouillard ventes'!$I$199)</f>
        <v/>
      </c>
      <c r="M581" s="23" t="n">
        <v>0</v>
      </c>
    </row>
    <row r="582">
      <c r="A582" s="22" t="inlineStr">
        <is>
          <t>1</t>
        </is>
      </c>
      <c r="B582" s="22">
        <f>IF('Brouillard ventes'!$F$199="","","VD"&amp;TEXT(ROW('Brouillard ventes'!$F$199)-5,"00000"))</f>
        <v/>
      </c>
      <c r="C582" s="22">
        <f>IF('Brouillard ventes'!$F$199="","",YEAR('Brouillard ventes'!$A$199)*10000+MONTH('Brouillard ventes'!$A$199)*100+DAY('Brouillard ventes'!$A$199))</f>
        <v/>
      </c>
      <c r="D582" s="22">
        <f>IF('Brouillard ventes'!$F$199="","",'Brouillard ventes'!$B$199)</f>
        <v/>
      </c>
      <c r="E582" s="22">
        <f>IF('Brouillard ventes'!$F$199="","",LEFT('Brouillard ventes'!$D$199,30))</f>
        <v/>
      </c>
      <c r="F582" s="22" t="inlineStr">
        <is>
          <t>15001</t>
        </is>
      </c>
      <c r="G582" s="22">
        <f>IF('Brouillard ventes'!$F$199="","",IF('Brouillard ventes'!$E$199="Réparation",Paramètres!$B$9,Paramètres!$B$8))</f>
        <v/>
      </c>
      <c r="H582" s="22" t="inlineStr"/>
      <c r="I582" s="22" t="inlineStr"/>
      <c r="J582" s="22" t="inlineStr"/>
      <c r="K582" s="22">
        <f>IF('Brouillard ventes'!$F$199="","",Paramètres!$B$11)</f>
        <v/>
      </c>
      <c r="L582" s="23" t="n">
        <v>0</v>
      </c>
      <c r="M582" s="23">
        <f>IF('Brouillard ventes'!$F$199="","",'Brouillard ventes'!$F$199)</f>
        <v/>
      </c>
    </row>
    <row r="583">
      <c r="A583" s="22" t="inlineStr">
        <is>
          <t>1</t>
        </is>
      </c>
      <c r="B583" s="22">
        <f>IF('Brouillard ventes'!$F$199="","","VD"&amp;TEXT(ROW('Brouillard ventes'!$F$199)-5,"00000"))</f>
        <v/>
      </c>
      <c r="C583" s="22">
        <f>IF('Brouillard ventes'!$F$199="","",YEAR('Brouillard ventes'!$A$199)*10000+MONTH('Brouillard ventes'!$A$199)*100+DAY('Brouillard ventes'!$A$199))</f>
        <v/>
      </c>
      <c r="D583" s="22">
        <f>IF('Brouillard ventes'!$F$199="","",'Brouillard ventes'!$B$199)</f>
        <v/>
      </c>
      <c r="E583" s="22">
        <f>IF('Brouillard ventes'!$F$199="","",LEFT('Brouillard ventes'!$D$199,30))</f>
        <v/>
      </c>
      <c r="F583" s="22" t="inlineStr">
        <is>
          <t>15001</t>
        </is>
      </c>
      <c r="G583" s="22">
        <f>IF('Brouillard ventes'!$F$199="","",Paramètres!$B$10)</f>
        <v/>
      </c>
      <c r="H583" s="22" t="inlineStr"/>
      <c r="I583" s="22" t="inlineStr"/>
      <c r="J583" s="22" t="inlineStr"/>
      <c r="K583" s="22">
        <f>IF('Brouillard ventes'!$F$199="","",Paramètres!$B$11)</f>
        <v/>
      </c>
      <c r="L583" s="23" t="n">
        <v>0</v>
      </c>
      <c r="M583" s="23">
        <f>IF('Brouillard ventes'!$F$199="","",'Brouillard ventes'!$H$199)</f>
        <v/>
      </c>
    </row>
    <row r="584">
      <c r="A584" s="22" t="inlineStr">
        <is>
          <t>1</t>
        </is>
      </c>
      <c r="B584" s="22">
        <f>IF('Brouillard ventes'!$F$200="","","VD"&amp;TEXT(ROW('Brouillard ventes'!$F$200)-5,"00000"))</f>
        <v/>
      </c>
      <c r="C584" s="22">
        <f>IF('Brouillard ventes'!$F$200="","",YEAR('Brouillard ventes'!$A$200)*10000+MONTH('Brouillard ventes'!$A$200)*100+DAY('Brouillard ventes'!$A$200))</f>
        <v/>
      </c>
      <c r="D584" s="22">
        <f>IF('Brouillard ventes'!$F$200="","",'Brouillard ventes'!$B$200)</f>
        <v/>
      </c>
      <c r="E584" s="22">
        <f>IF('Brouillard ventes'!$F$200="","",LEFT('Brouillard ventes'!$D$200,30))</f>
        <v/>
      </c>
      <c r="F584" s="22" t="inlineStr">
        <is>
          <t>15001</t>
        </is>
      </c>
      <c r="G584" s="22">
        <f>IF('Brouillard ventes'!$F$200="","",Paramètres!$B$7)</f>
        <v/>
      </c>
      <c r="H584" s="22">
        <f>IF('Brouillard ventes'!$F$200="","",IF('Brouillard ventes'!$C$200="","CD001",'Brouillard ventes'!$C$200))</f>
        <v/>
      </c>
      <c r="I584" s="22" t="inlineStr"/>
      <c r="J584" s="22" t="inlineStr"/>
      <c r="K584" s="22">
        <f>IF('Brouillard ventes'!$F$200="","",Paramètres!$B$11)</f>
        <v/>
      </c>
      <c r="L584" s="23">
        <f>IF('Brouillard ventes'!$F$200="","",'Brouillard ventes'!$I$200)</f>
        <v/>
      </c>
      <c r="M584" s="23" t="n">
        <v>0</v>
      </c>
    </row>
    <row r="585">
      <c r="A585" s="22" t="inlineStr">
        <is>
          <t>1</t>
        </is>
      </c>
      <c r="B585" s="22">
        <f>IF('Brouillard ventes'!$F$200="","","VD"&amp;TEXT(ROW('Brouillard ventes'!$F$200)-5,"00000"))</f>
        <v/>
      </c>
      <c r="C585" s="22">
        <f>IF('Brouillard ventes'!$F$200="","",YEAR('Brouillard ventes'!$A$200)*10000+MONTH('Brouillard ventes'!$A$200)*100+DAY('Brouillard ventes'!$A$200))</f>
        <v/>
      </c>
      <c r="D585" s="22">
        <f>IF('Brouillard ventes'!$F$200="","",'Brouillard ventes'!$B$200)</f>
        <v/>
      </c>
      <c r="E585" s="22">
        <f>IF('Brouillard ventes'!$F$200="","",LEFT('Brouillard ventes'!$D$200,30))</f>
        <v/>
      </c>
      <c r="F585" s="22" t="inlineStr">
        <is>
          <t>15001</t>
        </is>
      </c>
      <c r="G585" s="22">
        <f>IF('Brouillard ventes'!$F$200="","",IF('Brouillard ventes'!$E$200="Réparation",Paramètres!$B$9,Paramètres!$B$8))</f>
        <v/>
      </c>
      <c r="H585" s="22" t="inlineStr"/>
      <c r="I585" s="22" t="inlineStr"/>
      <c r="J585" s="22" t="inlineStr"/>
      <c r="K585" s="22">
        <f>IF('Brouillard ventes'!$F$200="","",Paramètres!$B$11)</f>
        <v/>
      </c>
      <c r="L585" s="23" t="n">
        <v>0</v>
      </c>
      <c r="M585" s="23">
        <f>IF('Brouillard ventes'!$F$200="","",'Brouillard ventes'!$F$200)</f>
        <v/>
      </c>
    </row>
    <row r="586">
      <c r="A586" s="22" t="inlineStr">
        <is>
          <t>1</t>
        </is>
      </c>
      <c r="B586" s="22">
        <f>IF('Brouillard ventes'!$F$200="","","VD"&amp;TEXT(ROW('Brouillard ventes'!$F$200)-5,"00000"))</f>
        <v/>
      </c>
      <c r="C586" s="22">
        <f>IF('Brouillard ventes'!$F$200="","",YEAR('Brouillard ventes'!$A$200)*10000+MONTH('Brouillard ventes'!$A$200)*100+DAY('Brouillard ventes'!$A$200))</f>
        <v/>
      </c>
      <c r="D586" s="22">
        <f>IF('Brouillard ventes'!$F$200="","",'Brouillard ventes'!$B$200)</f>
        <v/>
      </c>
      <c r="E586" s="22">
        <f>IF('Brouillard ventes'!$F$200="","",LEFT('Brouillard ventes'!$D$200,30))</f>
        <v/>
      </c>
      <c r="F586" s="22" t="inlineStr">
        <is>
          <t>15001</t>
        </is>
      </c>
      <c r="G586" s="22">
        <f>IF('Brouillard ventes'!$F$200="","",Paramètres!$B$10)</f>
        <v/>
      </c>
      <c r="H586" s="22" t="inlineStr"/>
      <c r="I586" s="22" t="inlineStr"/>
      <c r="J586" s="22" t="inlineStr"/>
      <c r="K586" s="22">
        <f>IF('Brouillard ventes'!$F$200="","",Paramètres!$B$11)</f>
        <v/>
      </c>
      <c r="L586" s="23" t="n">
        <v>0</v>
      </c>
      <c r="M586" s="23">
        <f>IF('Brouillard ventes'!$F$200="","",'Brouillard ventes'!$H$200)</f>
        <v/>
      </c>
    </row>
    <row r="587">
      <c r="A587" s="22" t="inlineStr">
        <is>
          <t>1</t>
        </is>
      </c>
      <c r="B587" s="22">
        <f>IF('Brouillard ventes'!$F$201="","","VD"&amp;TEXT(ROW('Brouillard ventes'!$F$201)-5,"00000"))</f>
        <v/>
      </c>
      <c r="C587" s="22">
        <f>IF('Brouillard ventes'!$F$201="","",YEAR('Brouillard ventes'!$A$201)*10000+MONTH('Brouillard ventes'!$A$201)*100+DAY('Brouillard ventes'!$A$201))</f>
        <v/>
      </c>
      <c r="D587" s="22">
        <f>IF('Brouillard ventes'!$F$201="","",'Brouillard ventes'!$B$201)</f>
        <v/>
      </c>
      <c r="E587" s="22">
        <f>IF('Brouillard ventes'!$F$201="","",LEFT('Brouillard ventes'!$D$201,30))</f>
        <v/>
      </c>
      <c r="F587" s="22" t="inlineStr">
        <is>
          <t>15001</t>
        </is>
      </c>
      <c r="G587" s="22">
        <f>IF('Brouillard ventes'!$F$201="","",Paramètres!$B$7)</f>
        <v/>
      </c>
      <c r="H587" s="22">
        <f>IF('Brouillard ventes'!$F$201="","",IF('Brouillard ventes'!$C$201="","CD001",'Brouillard ventes'!$C$201))</f>
        <v/>
      </c>
      <c r="I587" s="22" t="inlineStr"/>
      <c r="J587" s="22" t="inlineStr"/>
      <c r="K587" s="22">
        <f>IF('Brouillard ventes'!$F$201="","",Paramètres!$B$11)</f>
        <v/>
      </c>
      <c r="L587" s="23">
        <f>IF('Brouillard ventes'!$F$201="","",'Brouillard ventes'!$I$201)</f>
        <v/>
      </c>
      <c r="M587" s="23" t="n">
        <v>0</v>
      </c>
    </row>
    <row r="588">
      <c r="A588" s="22" t="inlineStr">
        <is>
          <t>1</t>
        </is>
      </c>
      <c r="B588" s="22">
        <f>IF('Brouillard ventes'!$F$201="","","VD"&amp;TEXT(ROW('Brouillard ventes'!$F$201)-5,"00000"))</f>
        <v/>
      </c>
      <c r="C588" s="22">
        <f>IF('Brouillard ventes'!$F$201="","",YEAR('Brouillard ventes'!$A$201)*10000+MONTH('Brouillard ventes'!$A$201)*100+DAY('Brouillard ventes'!$A$201))</f>
        <v/>
      </c>
      <c r="D588" s="22">
        <f>IF('Brouillard ventes'!$F$201="","",'Brouillard ventes'!$B$201)</f>
        <v/>
      </c>
      <c r="E588" s="22">
        <f>IF('Brouillard ventes'!$F$201="","",LEFT('Brouillard ventes'!$D$201,30))</f>
        <v/>
      </c>
      <c r="F588" s="22" t="inlineStr">
        <is>
          <t>15001</t>
        </is>
      </c>
      <c r="G588" s="22">
        <f>IF('Brouillard ventes'!$F$201="","",IF('Brouillard ventes'!$E$201="Réparation",Paramètres!$B$9,Paramètres!$B$8))</f>
        <v/>
      </c>
      <c r="H588" s="22" t="inlineStr"/>
      <c r="I588" s="22" t="inlineStr"/>
      <c r="J588" s="22" t="inlineStr"/>
      <c r="K588" s="22">
        <f>IF('Brouillard ventes'!$F$201="","",Paramètres!$B$11)</f>
        <v/>
      </c>
      <c r="L588" s="23" t="n">
        <v>0</v>
      </c>
      <c r="M588" s="23">
        <f>IF('Brouillard ventes'!$F$201="","",'Brouillard ventes'!$F$201)</f>
        <v/>
      </c>
    </row>
    <row r="589">
      <c r="A589" s="22" t="inlineStr">
        <is>
          <t>1</t>
        </is>
      </c>
      <c r="B589" s="22">
        <f>IF('Brouillard ventes'!$F$201="","","VD"&amp;TEXT(ROW('Brouillard ventes'!$F$201)-5,"00000"))</f>
        <v/>
      </c>
      <c r="C589" s="22">
        <f>IF('Brouillard ventes'!$F$201="","",YEAR('Brouillard ventes'!$A$201)*10000+MONTH('Brouillard ventes'!$A$201)*100+DAY('Brouillard ventes'!$A$201))</f>
        <v/>
      </c>
      <c r="D589" s="22">
        <f>IF('Brouillard ventes'!$F$201="","",'Brouillard ventes'!$B$201)</f>
        <v/>
      </c>
      <c r="E589" s="22">
        <f>IF('Brouillard ventes'!$F$201="","",LEFT('Brouillard ventes'!$D$201,30))</f>
        <v/>
      </c>
      <c r="F589" s="22" t="inlineStr">
        <is>
          <t>15001</t>
        </is>
      </c>
      <c r="G589" s="22">
        <f>IF('Brouillard ventes'!$F$201="","",Paramètres!$B$10)</f>
        <v/>
      </c>
      <c r="H589" s="22" t="inlineStr"/>
      <c r="I589" s="22" t="inlineStr"/>
      <c r="J589" s="22" t="inlineStr"/>
      <c r="K589" s="22">
        <f>IF('Brouillard ventes'!$F$201="","",Paramètres!$B$11)</f>
        <v/>
      </c>
      <c r="L589" s="23" t="n">
        <v>0</v>
      </c>
      <c r="M589" s="23">
        <f>IF('Brouillard ventes'!$F$201="","",'Brouillard ventes'!$H$201)</f>
        <v/>
      </c>
    </row>
    <row r="590">
      <c r="A590" s="22" t="inlineStr">
        <is>
          <t>1</t>
        </is>
      </c>
      <c r="B590" s="22">
        <f>IF('Brouillard ventes'!$F$202="","","VD"&amp;TEXT(ROW('Brouillard ventes'!$F$202)-5,"00000"))</f>
        <v/>
      </c>
      <c r="C590" s="22">
        <f>IF('Brouillard ventes'!$F$202="","",YEAR('Brouillard ventes'!$A$202)*10000+MONTH('Brouillard ventes'!$A$202)*100+DAY('Brouillard ventes'!$A$202))</f>
        <v/>
      </c>
      <c r="D590" s="22">
        <f>IF('Brouillard ventes'!$F$202="","",'Brouillard ventes'!$B$202)</f>
        <v/>
      </c>
      <c r="E590" s="22">
        <f>IF('Brouillard ventes'!$F$202="","",LEFT('Brouillard ventes'!$D$202,30))</f>
        <v/>
      </c>
      <c r="F590" s="22" t="inlineStr">
        <is>
          <t>15001</t>
        </is>
      </c>
      <c r="G590" s="22">
        <f>IF('Brouillard ventes'!$F$202="","",Paramètres!$B$7)</f>
        <v/>
      </c>
      <c r="H590" s="22">
        <f>IF('Brouillard ventes'!$F$202="","",IF('Brouillard ventes'!$C$202="","CD001",'Brouillard ventes'!$C$202))</f>
        <v/>
      </c>
      <c r="I590" s="22" t="inlineStr"/>
      <c r="J590" s="22" t="inlineStr"/>
      <c r="K590" s="22">
        <f>IF('Brouillard ventes'!$F$202="","",Paramètres!$B$11)</f>
        <v/>
      </c>
      <c r="L590" s="23">
        <f>IF('Brouillard ventes'!$F$202="","",'Brouillard ventes'!$I$202)</f>
        <v/>
      </c>
      <c r="M590" s="23" t="n">
        <v>0</v>
      </c>
    </row>
    <row r="591">
      <c r="A591" s="22" t="inlineStr">
        <is>
          <t>1</t>
        </is>
      </c>
      <c r="B591" s="22">
        <f>IF('Brouillard ventes'!$F$202="","","VD"&amp;TEXT(ROW('Brouillard ventes'!$F$202)-5,"00000"))</f>
        <v/>
      </c>
      <c r="C591" s="22">
        <f>IF('Brouillard ventes'!$F$202="","",YEAR('Brouillard ventes'!$A$202)*10000+MONTH('Brouillard ventes'!$A$202)*100+DAY('Brouillard ventes'!$A$202))</f>
        <v/>
      </c>
      <c r="D591" s="22">
        <f>IF('Brouillard ventes'!$F$202="","",'Brouillard ventes'!$B$202)</f>
        <v/>
      </c>
      <c r="E591" s="22">
        <f>IF('Brouillard ventes'!$F$202="","",LEFT('Brouillard ventes'!$D$202,30))</f>
        <v/>
      </c>
      <c r="F591" s="22" t="inlineStr">
        <is>
          <t>15001</t>
        </is>
      </c>
      <c r="G591" s="22">
        <f>IF('Brouillard ventes'!$F$202="","",IF('Brouillard ventes'!$E$202="Réparation",Paramètres!$B$9,Paramètres!$B$8))</f>
        <v/>
      </c>
      <c r="H591" s="22" t="inlineStr"/>
      <c r="I591" s="22" t="inlineStr"/>
      <c r="J591" s="22" t="inlineStr"/>
      <c r="K591" s="22">
        <f>IF('Brouillard ventes'!$F$202="","",Paramètres!$B$11)</f>
        <v/>
      </c>
      <c r="L591" s="23" t="n">
        <v>0</v>
      </c>
      <c r="M591" s="23">
        <f>IF('Brouillard ventes'!$F$202="","",'Brouillard ventes'!$F$202)</f>
        <v/>
      </c>
    </row>
    <row r="592">
      <c r="A592" s="22" t="inlineStr">
        <is>
          <t>1</t>
        </is>
      </c>
      <c r="B592" s="22">
        <f>IF('Brouillard ventes'!$F$202="","","VD"&amp;TEXT(ROW('Brouillard ventes'!$F$202)-5,"00000"))</f>
        <v/>
      </c>
      <c r="C592" s="22">
        <f>IF('Brouillard ventes'!$F$202="","",YEAR('Brouillard ventes'!$A$202)*10000+MONTH('Brouillard ventes'!$A$202)*100+DAY('Brouillard ventes'!$A$202))</f>
        <v/>
      </c>
      <c r="D592" s="22">
        <f>IF('Brouillard ventes'!$F$202="","",'Brouillard ventes'!$B$202)</f>
        <v/>
      </c>
      <c r="E592" s="22">
        <f>IF('Brouillard ventes'!$F$202="","",LEFT('Brouillard ventes'!$D$202,30))</f>
        <v/>
      </c>
      <c r="F592" s="22" t="inlineStr">
        <is>
          <t>15001</t>
        </is>
      </c>
      <c r="G592" s="22">
        <f>IF('Brouillard ventes'!$F$202="","",Paramètres!$B$10)</f>
        <v/>
      </c>
      <c r="H592" s="22" t="inlineStr"/>
      <c r="I592" s="22" t="inlineStr"/>
      <c r="J592" s="22" t="inlineStr"/>
      <c r="K592" s="22">
        <f>IF('Brouillard ventes'!$F$202="","",Paramètres!$B$11)</f>
        <v/>
      </c>
      <c r="L592" s="23" t="n">
        <v>0</v>
      </c>
      <c r="M592" s="23">
        <f>IF('Brouillard ventes'!$F$202="","",'Brouillard ventes'!$H$202)</f>
        <v/>
      </c>
    </row>
    <row r="593">
      <c r="A593" s="22" t="inlineStr">
        <is>
          <t>1</t>
        </is>
      </c>
      <c r="B593" s="22">
        <f>IF('Brouillard ventes'!$F$203="","","VD"&amp;TEXT(ROW('Brouillard ventes'!$F$203)-5,"00000"))</f>
        <v/>
      </c>
      <c r="C593" s="22">
        <f>IF('Brouillard ventes'!$F$203="","",YEAR('Brouillard ventes'!$A$203)*10000+MONTH('Brouillard ventes'!$A$203)*100+DAY('Brouillard ventes'!$A$203))</f>
        <v/>
      </c>
      <c r="D593" s="22">
        <f>IF('Brouillard ventes'!$F$203="","",'Brouillard ventes'!$B$203)</f>
        <v/>
      </c>
      <c r="E593" s="22">
        <f>IF('Brouillard ventes'!$F$203="","",LEFT('Brouillard ventes'!$D$203,30))</f>
        <v/>
      </c>
      <c r="F593" s="22" t="inlineStr">
        <is>
          <t>15001</t>
        </is>
      </c>
      <c r="G593" s="22">
        <f>IF('Brouillard ventes'!$F$203="","",Paramètres!$B$7)</f>
        <v/>
      </c>
      <c r="H593" s="22">
        <f>IF('Brouillard ventes'!$F$203="","",IF('Brouillard ventes'!$C$203="","CD001",'Brouillard ventes'!$C$203))</f>
        <v/>
      </c>
      <c r="I593" s="22" t="inlineStr"/>
      <c r="J593" s="22" t="inlineStr"/>
      <c r="K593" s="22">
        <f>IF('Brouillard ventes'!$F$203="","",Paramètres!$B$11)</f>
        <v/>
      </c>
      <c r="L593" s="23">
        <f>IF('Brouillard ventes'!$F$203="","",'Brouillard ventes'!$I$203)</f>
        <v/>
      </c>
      <c r="M593" s="23" t="n">
        <v>0</v>
      </c>
    </row>
    <row r="594">
      <c r="A594" s="22" t="inlineStr">
        <is>
          <t>1</t>
        </is>
      </c>
      <c r="B594" s="22">
        <f>IF('Brouillard ventes'!$F$203="","","VD"&amp;TEXT(ROW('Brouillard ventes'!$F$203)-5,"00000"))</f>
        <v/>
      </c>
      <c r="C594" s="22">
        <f>IF('Brouillard ventes'!$F$203="","",YEAR('Brouillard ventes'!$A$203)*10000+MONTH('Brouillard ventes'!$A$203)*100+DAY('Brouillard ventes'!$A$203))</f>
        <v/>
      </c>
      <c r="D594" s="22">
        <f>IF('Brouillard ventes'!$F$203="","",'Brouillard ventes'!$B$203)</f>
        <v/>
      </c>
      <c r="E594" s="22">
        <f>IF('Brouillard ventes'!$F$203="","",LEFT('Brouillard ventes'!$D$203,30))</f>
        <v/>
      </c>
      <c r="F594" s="22" t="inlineStr">
        <is>
          <t>15001</t>
        </is>
      </c>
      <c r="G594" s="22">
        <f>IF('Brouillard ventes'!$F$203="","",IF('Brouillard ventes'!$E$203="Réparation",Paramètres!$B$9,Paramètres!$B$8))</f>
        <v/>
      </c>
      <c r="H594" s="22" t="inlineStr"/>
      <c r="I594" s="22" t="inlineStr"/>
      <c r="J594" s="22" t="inlineStr"/>
      <c r="K594" s="22">
        <f>IF('Brouillard ventes'!$F$203="","",Paramètres!$B$11)</f>
        <v/>
      </c>
      <c r="L594" s="23" t="n">
        <v>0</v>
      </c>
      <c r="M594" s="23">
        <f>IF('Brouillard ventes'!$F$203="","",'Brouillard ventes'!$F$203)</f>
        <v/>
      </c>
    </row>
    <row r="595">
      <c r="A595" s="22" t="inlineStr">
        <is>
          <t>1</t>
        </is>
      </c>
      <c r="B595" s="22">
        <f>IF('Brouillard ventes'!$F$203="","","VD"&amp;TEXT(ROW('Brouillard ventes'!$F$203)-5,"00000"))</f>
        <v/>
      </c>
      <c r="C595" s="22">
        <f>IF('Brouillard ventes'!$F$203="","",YEAR('Brouillard ventes'!$A$203)*10000+MONTH('Brouillard ventes'!$A$203)*100+DAY('Brouillard ventes'!$A$203))</f>
        <v/>
      </c>
      <c r="D595" s="22">
        <f>IF('Brouillard ventes'!$F$203="","",'Brouillard ventes'!$B$203)</f>
        <v/>
      </c>
      <c r="E595" s="22">
        <f>IF('Brouillard ventes'!$F$203="","",LEFT('Brouillard ventes'!$D$203,30))</f>
        <v/>
      </c>
      <c r="F595" s="22" t="inlineStr">
        <is>
          <t>15001</t>
        </is>
      </c>
      <c r="G595" s="22">
        <f>IF('Brouillard ventes'!$F$203="","",Paramètres!$B$10)</f>
        <v/>
      </c>
      <c r="H595" s="22" t="inlineStr"/>
      <c r="I595" s="22" t="inlineStr"/>
      <c r="J595" s="22" t="inlineStr"/>
      <c r="K595" s="22">
        <f>IF('Brouillard ventes'!$F$203="","",Paramètres!$B$11)</f>
        <v/>
      </c>
      <c r="L595" s="23" t="n">
        <v>0</v>
      </c>
      <c r="M595" s="23">
        <f>IF('Brouillard ventes'!$F$203="","",'Brouillard ventes'!$H$203)</f>
        <v/>
      </c>
    </row>
    <row r="596">
      <c r="A596" s="22" t="inlineStr">
        <is>
          <t>1</t>
        </is>
      </c>
      <c r="B596" s="22">
        <f>IF('Brouillard ventes'!$F$204="","","VD"&amp;TEXT(ROW('Brouillard ventes'!$F$204)-5,"00000"))</f>
        <v/>
      </c>
      <c r="C596" s="22">
        <f>IF('Brouillard ventes'!$F$204="","",YEAR('Brouillard ventes'!$A$204)*10000+MONTH('Brouillard ventes'!$A$204)*100+DAY('Brouillard ventes'!$A$204))</f>
        <v/>
      </c>
      <c r="D596" s="22">
        <f>IF('Brouillard ventes'!$F$204="","",'Brouillard ventes'!$B$204)</f>
        <v/>
      </c>
      <c r="E596" s="22">
        <f>IF('Brouillard ventes'!$F$204="","",LEFT('Brouillard ventes'!$D$204,30))</f>
        <v/>
      </c>
      <c r="F596" s="22" t="inlineStr">
        <is>
          <t>15001</t>
        </is>
      </c>
      <c r="G596" s="22">
        <f>IF('Brouillard ventes'!$F$204="","",Paramètres!$B$7)</f>
        <v/>
      </c>
      <c r="H596" s="22">
        <f>IF('Brouillard ventes'!$F$204="","",IF('Brouillard ventes'!$C$204="","CD001",'Brouillard ventes'!$C$204))</f>
        <v/>
      </c>
      <c r="I596" s="22" t="inlineStr"/>
      <c r="J596" s="22" t="inlineStr"/>
      <c r="K596" s="22">
        <f>IF('Brouillard ventes'!$F$204="","",Paramètres!$B$11)</f>
        <v/>
      </c>
      <c r="L596" s="23">
        <f>IF('Brouillard ventes'!$F$204="","",'Brouillard ventes'!$I$204)</f>
        <v/>
      </c>
      <c r="M596" s="23" t="n">
        <v>0</v>
      </c>
    </row>
    <row r="597">
      <c r="A597" s="22" t="inlineStr">
        <is>
          <t>1</t>
        </is>
      </c>
      <c r="B597" s="22">
        <f>IF('Brouillard ventes'!$F$204="","","VD"&amp;TEXT(ROW('Brouillard ventes'!$F$204)-5,"00000"))</f>
        <v/>
      </c>
      <c r="C597" s="22">
        <f>IF('Brouillard ventes'!$F$204="","",YEAR('Brouillard ventes'!$A$204)*10000+MONTH('Brouillard ventes'!$A$204)*100+DAY('Brouillard ventes'!$A$204))</f>
        <v/>
      </c>
      <c r="D597" s="22">
        <f>IF('Brouillard ventes'!$F$204="","",'Brouillard ventes'!$B$204)</f>
        <v/>
      </c>
      <c r="E597" s="22">
        <f>IF('Brouillard ventes'!$F$204="","",LEFT('Brouillard ventes'!$D$204,30))</f>
        <v/>
      </c>
      <c r="F597" s="22" t="inlineStr">
        <is>
          <t>15001</t>
        </is>
      </c>
      <c r="G597" s="22">
        <f>IF('Brouillard ventes'!$F$204="","",IF('Brouillard ventes'!$E$204="Réparation",Paramètres!$B$9,Paramètres!$B$8))</f>
        <v/>
      </c>
      <c r="H597" s="22" t="inlineStr"/>
      <c r="I597" s="22" t="inlineStr"/>
      <c r="J597" s="22" t="inlineStr"/>
      <c r="K597" s="22">
        <f>IF('Brouillard ventes'!$F$204="","",Paramètres!$B$11)</f>
        <v/>
      </c>
      <c r="L597" s="23" t="n">
        <v>0</v>
      </c>
      <c r="M597" s="23">
        <f>IF('Brouillard ventes'!$F$204="","",'Brouillard ventes'!$F$204)</f>
        <v/>
      </c>
    </row>
    <row r="598">
      <c r="A598" s="22" t="inlineStr">
        <is>
          <t>1</t>
        </is>
      </c>
      <c r="B598" s="22">
        <f>IF('Brouillard ventes'!$F$204="","","VD"&amp;TEXT(ROW('Brouillard ventes'!$F$204)-5,"00000"))</f>
        <v/>
      </c>
      <c r="C598" s="22">
        <f>IF('Brouillard ventes'!$F$204="","",YEAR('Brouillard ventes'!$A$204)*10000+MONTH('Brouillard ventes'!$A$204)*100+DAY('Brouillard ventes'!$A$204))</f>
        <v/>
      </c>
      <c r="D598" s="22">
        <f>IF('Brouillard ventes'!$F$204="","",'Brouillard ventes'!$B$204)</f>
        <v/>
      </c>
      <c r="E598" s="22">
        <f>IF('Brouillard ventes'!$F$204="","",LEFT('Brouillard ventes'!$D$204,30))</f>
        <v/>
      </c>
      <c r="F598" s="22" t="inlineStr">
        <is>
          <t>15001</t>
        </is>
      </c>
      <c r="G598" s="22">
        <f>IF('Brouillard ventes'!$F$204="","",Paramètres!$B$10)</f>
        <v/>
      </c>
      <c r="H598" s="22" t="inlineStr"/>
      <c r="I598" s="22" t="inlineStr"/>
      <c r="J598" s="22" t="inlineStr"/>
      <c r="K598" s="22">
        <f>IF('Brouillard ventes'!$F$204="","",Paramètres!$B$11)</f>
        <v/>
      </c>
      <c r="L598" s="23" t="n">
        <v>0</v>
      </c>
      <c r="M598" s="23">
        <f>IF('Brouillard ventes'!$F$204="","",'Brouillard ventes'!$H$204)</f>
        <v/>
      </c>
    </row>
    <row r="599">
      <c r="A599" s="22" t="inlineStr">
        <is>
          <t>1</t>
        </is>
      </c>
      <c r="B599" s="22">
        <f>IF('Brouillard ventes'!$F$205="","","VD"&amp;TEXT(ROW('Brouillard ventes'!$F$205)-5,"00000"))</f>
        <v/>
      </c>
      <c r="C599" s="22">
        <f>IF('Brouillard ventes'!$F$205="","",YEAR('Brouillard ventes'!$A$205)*10000+MONTH('Brouillard ventes'!$A$205)*100+DAY('Brouillard ventes'!$A$205))</f>
        <v/>
      </c>
      <c r="D599" s="22">
        <f>IF('Brouillard ventes'!$F$205="","",'Brouillard ventes'!$B$205)</f>
        <v/>
      </c>
      <c r="E599" s="22">
        <f>IF('Brouillard ventes'!$F$205="","",LEFT('Brouillard ventes'!$D$205,30))</f>
        <v/>
      </c>
      <c r="F599" s="22" t="inlineStr">
        <is>
          <t>15001</t>
        </is>
      </c>
      <c r="G599" s="22">
        <f>IF('Brouillard ventes'!$F$205="","",Paramètres!$B$7)</f>
        <v/>
      </c>
      <c r="H599" s="22">
        <f>IF('Brouillard ventes'!$F$205="","",IF('Brouillard ventes'!$C$205="","CD001",'Brouillard ventes'!$C$205))</f>
        <v/>
      </c>
      <c r="I599" s="22" t="inlineStr"/>
      <c r="J599" s="22" t="inlineStr"/>
      <c r="K599" s="22">
        <f>IF('Brouillard ventes'!$F$205="","",Paramètres!$B$11)</f>
        <v/>
      </c>
      <c r="L599" s="23">
        <f>IF('Brouillard ventes'!$F$205="","",'Brouillard ventes'!$I$205)</f>
        <v/>
      </c>
      <c r="M599" s="23" t="n">
        <v>0</v>
      </c>
    </row>
    <row r="600">
      <c r="A600" s="22" t="inlineStr">
        <is>
          <t>1</t>
        </is>
      </c>
      <c r="B600" s="22">
        <f>IF('Brouillard ventes'!$F$205="","","VD"&amp;TEXT(ROW('Brouillard ventes'!$F$205)-5,"00000"))</f>
        <v/>
      </c>
      <c r="C600" s="22">
        <f>IF('Brouillard ventes'!$F$205="","",YEAR('Brouillard ventes'!$A$205)*10000+MONTH('Brouillard ventes'!$A$205)*100+DAY('Brouillard ventes'!$A$205))</f>
        <v/>
      </c>
      <c r="D600" s="22">
        <f>IF('Brouillard ventes'!$F$205="","",'Brouillard ventes'!$B$205)</f>
        <v/>
      </c>
      <c r="E600" s="22">
        <f>IF('Brouillard ventes'!$F$205="","",LEFT('Brouillard ventes'!$D$205,30))</f>
        <v/>
      </c>
      <c r="F600" s="22" t="inlineStr">
        <is>
          <t>15001</t>
        </is>
      </c>
      <c r="G600" s="22">
        <f>IF('Brouillard ventes'!$F$205="","",IF('Brouillard ventes'!$E$205="Réparation",Paramètres!$B$9,Paramètres!$B$8))</f>
        <v/>
      </c>
      <c r="H600" s="22" t="inlineStr"/>
      <c r="I600" s="22" t="inlineStr"/>
      <c r="J600" s="22" t="inlineStr"/>
      <c r="K600" s="22">
        <f>IF('Brouillard ventes'!$F$205="","",Paramètres!$B$11)</f>
        <v/>
      </c>
      <c r="L600" s="23" t="n">
        <v>0</v>
      </c>
      <c r="M600" s="23">
        <f>IF('Brouillard ventes'!$F$205="","",'Brouillard ventes'!$F$205)</f>
        <v/>
      </c>
    </row>
    <row r="601">
      <c r="A601" s="22" t="inlineStr">
        <is>
          <t>1</t>
        </is>
      </c>
      <c r="B601" s="22">
        <f>IF('Brouillard ventes'!$F$205="","","VD"&amp;TEXT(ROW('Brouillard ventes'!$F$205)-5,"00000"))</f>
        <v/>
      </c>
      <c r="C601" s="22">
        <f>IF('Brouillard ventes'!$F$205="","",YEAR('Brouillard ventes'!$A$205)*10000+MONTH('Brouillard ventes'!$A$205)*100+DAY('Brouillard ventes'!$A$205))</f>
        <v/>
      </c>
      <c r="D601" s="22">
        <f>IF('Brouillard ventes'!$F$205="","",'Brouillard ventes'!$B$205)</f>
        <v/>
      </c>
      <c r="E601" s="22">
        <f>IF('Brouillard ventes'!$F$205="","",LEFT('Brouillard ventes'!$D$205,30))</f>
        <v/>
      </c>
      <c r="F601" s="22" t="inlineStr">
        <is>
          <t>15001</t>
        </is>
      </c>
      <c r="G601" s="22">
        <f>IF('Brouillard ventes'!$F$205="","",Paramètres!$B$10)</f>
        <v/>
      </c>
      <c r="H601" s="22" t="inlineStr"/>
      <c r="I601" s="22" t="inlineStr"/>
      <c r="J601" s="22" t="inlineStr"/>
      <c r="K601" s="22">
        <f>IF('Brouillard ventes'!$F$205="","",Paramètres!$B$11)</f>
        <v/>
      </c>
      <c r="L601" s="23" t="n">
        <v>0</v>
      </c>
      <c r="M601" s="23">
        <f>IF('Brouillard ventes'!$F$205="","",'Brouillard ventes'!$H$205)</f>
        <v/>
      </c>
    </row>
    <row r="602">
      <c r="A602" s="22" t="inlineStr">
        <is>
          <t>1</t>
        </is>
      </c>
      <c r="B602" s="22">
        <f>IF('Brouillard ventes'!$F$206="","","VD"&amp;TEXT(ROW('Brouillard ventes'!$F$206)-5,"00000"))</f>
        <v/>
      </c>
      <c r="C602" s="22">
        <f>IF('Brouillard ventes'!$F$206="","",YEAR('Brouillard ventes'!$A$206)*10000+MONTH('Brouillard ventes'!$A$206)*100+DAY('Brouillard ventes'!$A$206))</f>
        <v/>
      </c>
      <c r="D602" s="22">
        <f>IF('Brouillard ventes'!$F$206="","",'Brouillard ventes'!$B$206)</f>
        <v/>
      </c>
      <c r="E602" s="22">
        <f>IF('Brouillard ventes'!$F$206="","",LEFT('Brouillard ventes'!$D$206,30))</f>
        <v/>
      </c>
      <c r="F602" s="22" t="inlineStr">
        <is>
          <t>15001</t>
        </is>
      </c>
      <c r="G602" s="22">
        <f>IF('Brouillard ventes'!$F$206="","",Paramètres!$B$7)</f>
        <v/>
      </c>
      <c r="H602" s="22">
        <f>IF('Brouillard ventes'!$F$206="","",IF('Brouillard ventes'!$C$206="","CD001",'Brouillard ventes'!$C$206))</f>
        <v/>
      </c>
      <c r="I602" s="22" t="inlineStr"/>
      <c r="J602" s="22" t="inlineStr"/>
      <c r="K602" s="22">
        <f>IF('Brouillard ventes'!$F$206="","",Paramètres!$B$11)</f>
        <v/>
      </c>
      <c r="L602" s="23">
        <f>IF('Brouillard ventes'!$F$206="","",'Brouillard ventes'!$I$206)</f>
        <v/>
      </c>
      <c r="M602" s="23" t="n">
        <v>0</v>
      </c>
    </row>
    <row r="603">
      <c r="A603" s="22" t="inlineStr">
        <is>
          <t>1</t>
        </is>
      </c>
      <c r="B603" s="22">
        <f>IF('Brouillard ventes'!$F$206="","","VD"&amp;TEXT(ROW('Brouillard ventes'!$F$206)-5,"00000"))</f>
        <v/>
      </c>
      <c r="C603" s="22">
        <f>IF('Brouillard ventes'!$F$206="","",YEAR('Brouillard ventes'!$A$206)*10000+MONTH('Brouillard ventes'!$A$206)*100+DAY('Brouillard ventes'!$A$206))</f>
        <v/>
      </c>
      <c r="D603" s="22">
        <f>IF('Brouillard ventes'!$F$206="","",'Brouillard ventes'!$B$206)</f>
        <v/>
      </c>
      <c r="E603" s="22">
        <f>IF('Brouillard ventes'!$F$206="","",LEFT('Brouillard ventes'!$D$206,30))</f>
        <v/>
      </c>
      <c r="F603" s="22" t="inlineStr">
        <is>
          <t>15001</t>
        </is>
      </c>
      <c r="G603" s="22">
        <f>IF('Brouillard ventes'!$F$206="","",IF('Brouillard ventes'!$E$206="Réparation",Paramètres!$B$9,Paramètres!$B$8))</f>
        <v/>
      </c>
      <c r="H603" s="22" t="inlineStr"/>
      <c r="I603" s="22" t="inlineStr"/>
      <c r="J603" s="22" t="inlineStr"/>
      <c r="K603" s="22">
        <f>IF('Brouillard ventes'!$F$206="","",Paramètres!$B$11)</f>
        <v/>
      </c>
      <c r="L603" s="23" t="n">
        <v>0</v>
      </c>
      <c r="M603" s="23">
        <f>IF('Brouillard ventes'!$F$206="","",'Brouillard ventes'!$F$206)</f>
        <v/>
      </c>
    </row>
    <row r="604">
      <c r="A604" s="22" t="inlineStr">
        <is>
          <t>1</t>
        </is>
      </c>
      <c r="B604" s="22">
        <f>IF('Brouillard ventes'!$F$206="","","VD"&amp;TEXT(ROW('Brouillard ventes'!$F$206)-5,"00000"))</f>
        <v/>
      </c>
      <c r="C604" s="22">
        <f>IF('Brouillard ventes'!$F$206="","",YEAR('Brouillard ventes'!$A$206)*10000+MONTH('Brouillard ventes'!$A$206)*100+DAY('Brouillard ventes'!$A$206))</f>
        <v/>
      </c>
      <c r="D604" s="22">
        <f>IF('Brouillard ventes'!$F$206="","",'Brouillard ventes'!$B$206)</f>
        <v/>
      </c>
      <c r="E604" s="22">
        <f>IF('Brouillard ventes'!$F$206="","",LEFT('Brouillard ventes'!$D$206,30))</f>
        <v/>
      </c>
      <c r="F604" s="22" t="inlineStr">
        <is>
          <t>15001</t>
        </is>
      </c>
      <c r="G604" s="22">
        <f>IF('Brouillard ventes'!$F$206="","",Paramètres!$B$10)</f>
        <v/>
      </c>
      <c r="H604" s="22" t="inlineStr"/>
      <c r="I604" s="22" t="inlineStr"/>
      <c r="J604" s="22" t="inlineStr"/>
      <c r="K604" s="22">
        <f>IF('Brouillard ventes'!$F$206="","",Paramètres!$B$11)</f>
        <v/>
      </c>
      <c r="L604" s="23" t="n">
        <v>0</v>
      </c>
      <c r="M604" s="23">
        <f>IF('Brouillard ventes'!$F$206="","",'Brouillard ventes'!$H$206)</f>
        <v/>
      </c>
    </row>
    <row r="605">
      <c r="A605" s="22" t="inlineStr">
        <is>
          <t>1</t>
        </is>
      </c>
      <c r="B605" s="22">
        <f>IF('Brouillard ventes'!$F$207="","","VD"&amp;TEXT(ROW('Brouillard ventes'!$F$207)-5,"00000"))</f>
        <v/>
      </c>
      <c r="C605" s="22">
        <f>IF('Brouillard ventes'!$F$207="","",YEAR('Brouillard ventes'!$A$207)*10000+MONTH('Brouillard ventes'!$A$207)*100+DAY('Brouillard ventes'!$A$207))</f>
        <v/>
      </c>
      <c r="D605" s="22">
        <f>IF('Brouillard ventes'!$F$207="","",'Brouillard ventes'!$B$207)</f>
        <v/>
      </c>
      <c r="E605" s="22">
        <f>IF('Brouillard ventes'!$F$207="","",LEFT('Brouillard ventes'!$D$207,30))</f>
        <v/>
      </c>
      <c r="F605" s="22" t="inlineStr">
        <is>
          <t>15001</t>
        </is>
      </c>
      <c r="G605" s="22">
        <f>IF('Brouillard ventes'!$F$207="","",Paramètres!$B$7)</f>
        <v/>
      </c>
      <c r="H605" s="22">
        <f>IF('Brouillard ventes'!$F$207="","",IF('Brouillard ventes'!$C$207="","CD001",'Brouillard ventes'!$C$207))</f>
        <v/>
      </c>
      <c r="I605" s="22" t="inlineStr"/>
      <c r="J605" s="22" t="inlineStr"/>
      <c r="K605" s="22">
        <f>IF('Brouillard ventes'!$F$207="","",Paramètres!$B$11)</f>
        <v/>
      </c>
      <c r="L605" s="23">
        <f>IF('Brouillard ventes'!$F$207="","",'Brouillard ventes'!$I$207)</f>
        <v/>
      </c>
      <c r="M605" s="23" t="n">
        <v>0</v>
      </c>
    </row>
    <row r="606">
      <c r="A606" s="22" t="inlineStr">
        <is>
          <t>1</t>
        </is>
      </c>
      <c r="B606" s="22">
        <f>IF('Brouillard ventes'!$F$207="","","VD"&amp;TEXT(ROW('Brouillard ventes'!$F$207)-5,"00000"))</f>
        <v/>
      </c>
      <c r="C606" s="22">
        <f>IF('Brouillard ventes'!$F$207="","",YEAR('Brouillard ventes'!$A$207)*10000+MONTH('Brouillard ventes'!$A$207)*100+DAY('Brouillard ventes'!$A$207))</f>
        <v/>
      </c>
      <c r="D606" s="22">
        <f>IF('Brouillard ventes'!$F$207="","",'Brouillard ventes'!$B$207)</f>
        <v/>
      </c>
      <c r="E606" s="22">
        <f>IF('Brouillard ventes'!$F$207="","",LEFT('Brouillard ventes'!$D$207,30))</f>
        <v/>
      </c>
      <c r="F606" s="22" t="inlineStr">
        <is>
          <t>15001</t>
        </is>
      </c>
      <c r="G606" s="22">
        <f>IF('Brouillard ventes'!$F$207="","",IF('Brouillard ventes'!$E$207="Réparation",Paramètres!$B$9,Paramètres!$B$8))</f>
        <v/>
      </c>
      <c r="H606" s="22" t="inlineStr"/>
      <c r="I606" s="22" t="inlineStr"/>
      <c r="J606" s="22" t="inlineStr"/>
      <c r="K606" s="22">
        <f>IF('Brouillard ventes'!$F$207="","",Paramètres!$B$11)</f>
        <v/>
      </c>
      <c r="L606" s="23" t="n">
        <v>0</v>
      </c>
      <c r="M606" s="23">
        <f>IF('Brouillard ventes'!$F$207="","",'Brouillard ventes'!$F$207)</f>
        <v/>
      </c>
    </row>
    <row r="607">
      <c r="A607" s="22" t="inlineStr">
        <is>
          <t>1</t>
        </is>
      </c>
      <c r="B607" s="22">
        <f>IF('Brouillard ventes'!$F$207="","","VD"&amp;TEXT(ROW('Brouillard ventes'!$F$207)-5,"00000"))</f>
        <v/>
      </c>
      <c r="C607" s="22">
        <f>IF('Brouillard ventes'!$F$207="","",YEAR('Brouillard ventes'!$A$207)*10000+MONTH('Brouillard ventes'!$A$207)*100+DAY('Brouillard ventes'!$A$207))</f>
        <v/>
      </c>
      <c r="D607" s="22">
        <f>IF('Brouillard ventes'!$F$207="","",'Brouillard ventes'!$B$207)</f>
        <v/>
      </c>
      <c r="E607" s="22">
        <f>IF('Brouillard ventes'!$F$207="","",LEFT('Brouillard ventes'!$D$207,30))</f>
        <v/>
      </c>
      <c r="F607" s="22" t="inlineStr">
        <is>
          <t>15001</t>
        </is>
      </c>
      <c r="G607" s="22">
        <f>IF('Brouillard ventes'!$F$207="","",Paramètres!$B$10)</f>
        <v/>
      </c>
      <c r="H607" s="22" t="inlineStr"/>
      <c r="I607" s="22" t="inlineStr"/>
      <c r="J607" s="22" t="inlineStr"/>
      <c r="K607" s="22">
        <f>IF('Brouillard ventes'!$F$207="","",Paramètres!$B$11)</f>
        <v/>
      </c>
      <c r="L607" s="23" t="n">
        <v>0</v>
      </c>
      <c r="M607" s="23">
        <f>IF('Brouillard ventes'!$F$207="","",'Brouillard ventes'!$H$207)</f>
        <v/>
      </c>
    </row>
    <row r="608">
      <c r="A608" s="22" t="inlineStr">
        <is>
          <t>1</t>
        </is>
      </c>
      <c r="B608" s="22">
        <f>IF('Brouillard ventes'!$F$208="","","VD"&amp;TEXT(ROW('Brouillard ventes'!$F$208)-5,"00000"))</f>
        <v/>
      </c>
      <c r="C608" s="22">
        <f>IF('Brouillard ventes'!$F$208="","",YEAR('Brouillard ventes'!$A$208)*10000+MONTH('Brouillard ventes'!$A$208)*100+DAY('Brouillard ventes'!$A$208))</f>
        <v/>
      </c>
      <c r="D608" s="22">
        <f>IF('Brouillard ventes'!$F$208="","",'Brouillard ventes'!$B$208)</f>
        <v/>
      </c>
      <c r="E608" s="22">
        <f>IF('Brouillard ventes'!$F$208="","",LEFT('Brouillard ventes'!$D$208,30))</f>
        <v/>
      </c>
      <c r="F608" s="22" t="inlineStr">
        <is>
          <t>15001</t>
        </is>
      </c>
      <c r="G608" s="22">
        <f>IF('Brouillard ventes'!$F$208="","",Paramètres!$B$7)</f>
        <v/>
      </c>
      <c r="H608" s="22">
        <f>IF('Brouillard ventes'!$F$208="","",IF('Brouillard ventes'!$C$208="","CD001",'Brouillard ventes'!$C$208))</f>
        <v/>
      </c>
      <c r="I608" s="22" t="inlineStr"/>
      <c r="J608" s="22" t="inlineStr"/>
      <c r="K608" s="22">
        <f>IF('Brouillard ventes'!$F$208="","",Paramètres!$B$11)</f>
        <v/>
      </c>
      <c r="L608" s="23">
        <f>IF('Brouillard ventes'!$F$208="","",'Brouillard ventes'!$I$208)</f>
        <v/>
      </c>
      <c r="M608" s="23" t="n">
        <v>0</v>
      </c>
    </row>
    <row r="609">
      <c r="A609" s="22" t="inlineStr">
        <is>
          <t>1</t>
        </is>
      </c>
      <c r="B609" s="22">
        <f>IF('Brouillard ventes'!$F$208="","","VD"&amp;TEXT(ROW('Brouillard ventes'!$F$208)-5,"00000"))</f>
        <v/>
      </c>
      <c r="C609" s="22">
        <f>IF('Brouillard ventes'!$F$208="","",YEAR('Brouillard ventes'!$A$208)*10000+MONTH('Brouillard ventes'!$A$208)*100+DAY('Brouillard ventes'!$A$208))</f>
        <v/>
      </c>
      <c r="D609" s="22">
        <f>IF('Brouillard ventes'!$F$208="","",'Brouillard ventes'!$B$208)</f>
        <v/>
      </c>
      <c r="E609" s="22">
        <f>IF('Brouillard ventes'!$F$208="","",LEFT('Brouillard ventes'!$D$208,30))</f>
        <v/>
      </c>
      <c r="F609" s="22" t="inlineStr">
        <is>
          <t>15001</t>
        </is>
      </c>
      <c r="G609" s="22">
        <f>IF('Brouillard ventes'!$F$208="","",IF('Brouillard ventes'!$E$208="Réparation",Paramètres!$B$9,Paramètres!$B$8))</f>
        <v/>
      </c>
      <c r="H609" s="22" t="inlineStr"/>
      <c r="I609" s="22" t="inlineStr"/>
      <c r="J609" s="22" t="inlineStr"/>
      <c r="K609" s="22">
        <f>IF('Brouillard ventes'!$F$208="","",Paramètres!$B$11)</f>
        <v/>
      </c>
      <c r="L609" s="23" t="n">
        <v>0</v>
      </c>
      <c r="M609" s="23">
        <f>IF('Brouillard ventes'!$F$208="","",'Brouillard ventes'!$F$208)</f>
        <v/>
      </c>
    </row>
    <row r="610">
      <c r="A610" s="22" t="inlineStr">
        <is>
          <t>1</t>
        </is>
      </c>
      <c r="B610" s="22">
        <f>IF('Brouillard ventes'!$F$208="","","VD"&amp;TEXT(ROW('Brouillard ventes'!$F$208)-5,"00000"))</f>
        <v/>
      </c>
      <c r="C610" s="22">
        <f>IF('Brouillard ventes'!$F$208="","",YEAR('Brouillard ventes'!$A$208)*10000+MONTH('Brouillard ventes'!$A$208)*100+DAY('Brouillard ventes'!$A$208))</f>
        <v/>
      </c>
      <c r="D610" s="22">
        <f>IF('Brouillard ventes'!$F$208="","",'Brouillard ventes'!$B$208)</f>
        <v/>
      </c>
      <c r="E610" s="22">
        <f>IF('Brouillard ventes'!$F$208="","",LEFT('Brouillard ventes'!$D$208,30))</f>
        <v/>
      </c>
      <c r="F610" s="22" t="inlineStr">
        <is>
          <t>15001</t>
        </is>
      </c>
      <c r="G610" s="22">
        <f>IF('Brouillard ventes'!$F$208="","",Paramètres!$B$10)</f>
        <v/>
      </c>
      <c r="H610" s="22" t="inlineStr"/>
      <c r="I610" s="22" t="inlineStr"/>
      <c r="J610" s="22" t="inlineStr"/>
      <c r="K610" s="22">
        <f>IF('Brouillard ventes'!$F$208="","",Paramètres!$B$11)</f>
        <v/>
      </c>
      <c r="L610" s="23" t="n">
        <v>0</v>
      </c>
      <c r="M610" s="23">
        <f>IF('Brouillard ventes'!$F$208="","",'Brouillard ventes'!$H$208)</f>
        <v/>
      </c>
    </row>
    <row r="611">
      <c r="A611" s="22" t="inlineStr">
        <is>
          <t>1</t>
        </is>
      </c>
      <c r="B611" s="22">
        <f>IF('Brouillard ventes'!$F$209="","","VD"&amp;TEXT(ROW('Brouillard ventes'!$F$209)-5,"00000"))</f>
        <v/>
      </c>
      <c r="C611" s="22">
        <f>IF('Brouillard ventes'!$F$209="","",YEAR('Brouillard ventes'!$A$209)*10000+MONTH('Brouillard ventes'!$A$209)*100+DAY('Brouillard ventes'!$A$209))</f>
        <v/>
      </c>
      <c r="D611" s="22">
        <f>IF('Brouillard ventes'!$F$209="","",'Brouillard ventes'!$B$209)</f>
        <v/>
      </c>
      <c r="E611" s="22">
        <f>IF('Brouillard ventes'!$F$209="","",LEFT('Brouillard ventes'!$D$209,30))</f>
        <v/>
      </c>
      <c r="F611" s="22" t="inlineStr">
        <is>
          <t>15001</t>
        </is>
      </c>
      <c r="G611" s="22">
        <f>IF('Brouillard ventes'!$F$209="","",Paramètres!$B$7)</f>
        <v/>
      </c>
      <c r="H611" s="22">
        <f>IF('Brouillard ventes'!$F$209="","",IF('Brouillard ventes'!$C$209="","CD001",'Brouillard ventes'!$C$209))</f>
        <v/>
      </c>
      <c r="I611" s="22" t="inlineStr"/>
      <c r="J611" s="22" t="inlineStr"/>
      <c r="K611" s="22">
        <f>IF('Brouillard ventes'!$F$209="","",Paramètres!$B$11)</f>
        <v/>
      </c>
      <c r="L611" s="23">
        <f>IF('Brouillard ventes'!$F$209="","",'Brouillard ventes'!$I$209)</f>
        <v/>
      </c>
      <c r="M611" s="23" t="n">
        <v>0</v>
      </c>
    </row>
    <row r="612">
      <c r="A612" s="22" t="inlineStr">
        <is>
          <t>1</t>
        </is>
      </c>
      <c r="B612" s="22">
        <f>IF('Brouillard ventes'!$F$209="","","VD"&amp;TEXT(ROW('Brouillard ventes'!$F$209)-5,"00000"))</f>
        <v/>
      </c>
      <c r="C612" s="22">
        <f>IF('Brouillard ventes'!$F$209="","",YEAR('Brouillard ventes'!$A$209)*10000+MONTH('Brouillard ventes'!$A$209)*100+DAY('Brouillard ventes'!$A$209))</f>
        <v/>
      </c>
      <c r="D612" s="22">
        <f>IF('Brouillard ventes'!$F$209="","",'Brouillard ventes'!$B$209)</f>
        <v/>
      </c>
      <c r="E612" s="22">
        <f>IF('Brouillard ventes'!$F$209="","",LEFT('Brouillard ventes'!$D$209,30))</f>
        <v/>
      </c>
      <c r="F612" s="22" t="inlineStr">
        <is>
          <t>15001</t>
        </is>
      </c>
      <c r="G612" s="22">
        <f>IF('Brouillard ventes'!$F$209="","",IF('Brouillard ventes'!$E$209="Réparation",Paramètres!$B$9,Paramètres!$B$8))</f>
        <v/>
      </c>
      <c r="H612" s="22" t="inlineStr"/>
      <c r="I612" s="22" t="inlineStr"/>
      <c r="J612" s="22" t="inlineStr"/>
      <c r="K612" s="22">
        <f>IF('Brouillard ventes'!$F$209="","",Paramètres!$B$11)</f>
        <v/>
      </c>
      <c r="L612" s="23" t="n">
        <v>0</v>
      </c>
      <c r="M612" s="23">
        <f>IF('Brouillard ventes'!$F$209="","",'Brouillard ventes'!$F$209)</f>
        <v/>
      </c>
    </row>
    <row r="613">
      <c r="A613" s="22" t="inlineStr">
        <is>
          <t>1</t>
        </is>
      </c>
      <c r="B613" s="22">
        <f>IF('Brouillard ventes'!$F$209="","","VD"&amp;TEXT(ROW('Brouillard ventes'!$F$209)-5,"00000"))</f>
        <v/>
      </c>
      <c r="C613" s="22">
        <f>IF('Brouillard ventes'!$F$209="","",YEAR('Brouillard ventes'!$A$209)*10000+MONTH('Brouillard ventes'!$A$209)*100+DAY('Brouillard ventes'!$A$209))</f>
        <v/>
      </c>
      <c r="D613" s="22">
        <f>IF('Brouillard ventes'!$F$209="","",'Brouillard ventes'!$B$209)</f>
        <v/>
      </c>
      <c r="E613" s="22">
        <f>IF('Brouillard ventes'!$F$209="","",LEFT('Brouillard ventes'!$D$209,30))</f>
        <v/>
      </c>
      <c r="F613" s="22" t="inlineStr">
        <is>
          <t>15001</t>
        </is>
      </c>
      <c r="G613" s="22">
        <f>IF('Brouillard ventes'!$F$209="","",Paramètres!$B$10)</f>
        <v/>
      </c>
      <c r="H613" s="22" t="inlineStr"/>
      <c r="I613" s="22" t="inlineStr"/>
      <c r="J613" s="22" t="inlineStr"/>
      <c r="K613" s="22">
        <f>IF('Brouillard ventes'!$F$209="","",Paramètres!$B$11)</f>
        <v/>
      </c>
      <c r="L613" s="23" t="n">
        <v>0</v>
      </c>
      <c r="M613" s="23">
        <f>IF('Brouillard ventes'!$F$209="","",'Brouillard ventes'!$H$209)</f>
        <v/>
      </c>
    </row>
    <row r="614">
      <c r="A614" s="22" t="inlineStr">
        <is>
          <t>1</t>
        </is>
      </c>
      <c r="B614" s="22">
        <f>IF('Brouillard ventes'!$F$210="","","VD"&amp;TEXT(ROW('Brouillard ventes'!$F$210)-5,"00000"))</f>
        <v/>
      </c>
      <c r="C614" s="22">
        <f>IF('Brouillard ventes'!$F$210="","",YEAR('Brouillard ventes'!$A$210)*10000+MONTH('Brouillard ventes'!$A$210)*100+DAY('Brouillard ventes'!$A$210))</f>
        <v/>
      </c>
      <c r="D614" s="22">
        <f>IF('Brouillard ventes'!$F$210="","",'Brouillard ventes'!$B$210)</f>
        <v/>
      </c>
      <c r="E614" s="22">
        <f>IF('Brouillard ventes'!$F$210="","",LEFT('Brouillard ventes'!$D$210,30))</f>
        <v/>
      </c>
      <c r="F614" s="22" t="inlineStr">
        <is>
          <t>15001</t>
        </is>
      </c>
      <c r="G614" s="22">
        <f>IF('Brouillard ventes'!$F$210="","",Paramètres!$B$7)</f>
        <v/>
      </c>
      <c r="H614" s="22">
        <f>IF('Brouillard ventes'!$F$210="","",IF('Brouillard ventes'!$C$210="","CD001",'Brouillard ventes'!$C$210))</f>
        <v/>
      </c>
      <c r="I614" s="22" t="inlineStr"/>
      <c r="J614" s="22" t="inlineStr"/>
      <c r="K614" s="22">
        <f>IF('Brouillard ventes'!$F$210="","",Paramètres!$B$11)</f>
        <v/>
      </c>
      <c r="L614" s="23">
        <f>IF('Brouillard ventes'!$F$210="","",'Brouillard ventes'!$I$210)</f>
        <v/>
      </c>
      <c r="M614" s="23" t="n">
        <v>0</v>
      </c>
    </row>
    <row r="615">
      <c r="A615" s="22" t="inlineStr">
        <is>
          <t>1</t>
        </is>
      </c>
      <c r="B615" s="22">
        <f>IF('Brouillard ventes'!$F$210="","","VD"&amp;TEXT(ROW('Brouillard ventes'!$F$210)-5,"00000"))</f>
        <v/>
      </c>
      <c r="C615" s="22">
        <f>IF('Brouillard ventes'!$F$210="","",YEAR('Brouillard ventes'!$A$210)*10000+MONTH('Brouillard ventes'!$A$210)*100+DAY('Brouillard ventes'!$A$210))</f>
        <v/>
      </c>
      <c r="D615" s="22">
        <f>IF('Brouillard ventes'!$F$210="","",'Brouillard ventes'!$B$210)</f>
        <v/>
      </c>
      <c r="E615" s="22">
        <f>IF('Brouillard ventes'!$F$210="","",LEFT('Brouillard ventes'!$D$210,30))</f>
        <v/>
      </c>
      <c r="F615" s="22" t="inlineStr">
        <is>
          <t>15001</t>
        </is>
      </c>
      <c r="G615" s="22">
        <f>IF('Brouillard ventes'!$F$210="","",IF('Brouillard ventes'!$E$210="Réparation",Paramètres!$B$9,Paramètres!$B$8))</f>
        <v/>
      </c>
      <c r="H615" s="22" t="inlineStr"/>
      <c r="I615" s="22" t="inlineStr"/>
      <c r="J615" s="22" t="inlineStr"/>
      <c r="K615" s="22">
        <f>IF('Brouillard ventes'!$F$210="","",Paramètres!$B$11)</f>
        <v/>
      </c>
      <c r="L615" s="23" t="n">
        <v>0</v>
      </c>
      <c r="M615" s="23">
        <f>IF('Brouillard ventes'!$F$210="","",'Brouillard ventes'!$F$210)</f>
        <v/>
      </c>
    </row>
    <row r="616">
      <c r="A616" s="22" t="inlineStr">
        <is>
          <t>1</t>
        </is>
      </c>
      <c r="B616" s="22">
        <f>IF('Brouillard ventes'!$F$210="","","VD"&amp;TEXT(ROW('Brouillard ventes'!$F$210)-5,"00000"))</f>
        <v/>
      </c>
      <c r="C616" s="22">
        <f>IF('Brouillard ventes'!$F$210="","",YEAR('Brouillard ventes'!$A$210)*10000+MONTH('Brouillard ventes'!$A$210)*100+DAY('Brouillard ventes'!$A$210))</f>
        <v/>
      </c>
      <c r="D616" s="22">
        <f>IF('Brouillard ventes'!$F$210="","",'Brouillard ventes'!$B$210)</f>
        <v/>
      </c>
      <c r="E616" s="22">
        <f>IF('Brouillard ventes'!$F$210="","",LEFT('Brouillard ventes'!$D$210,30))</f>
        <v/>
      </c>
      <c r="F616" s="22" t="inlineStr">
        <is>
          <t>15001</t>
        </is>
      </c>
      <c r="G616" s="22">
        <f>IF('Brouillard ventes'!$F$210="","",Paramètres!$B$10)</f>
        <v/>
      </c>
      <c r="H616" s="22" t="inlineStr"/>
      <c r="I616" s="22" t="inlineStr"/>
      <c r="J616" s="22" t="inlineStr"/>
      <c r="K616" s="22">
        <f>IF('Brouillard ventes'!$F$210="","",Paramètres!$B$11)</f>
        <v/>
      </c>
      <c r="L616" s="23" t="n">
        <v>0</v>
      </c>
      <c r="M616" s="23">
        <f>IF('Brouillard ventes'!$F$210="","",'Brouillard ventes'!$H$210)</f>
        <v/>
      </c>
    </row>
    <row r="617">
      <c r="A617" s="22" t="inlineStr">
        <is>
          <t>1</t>
        </is>
      </c>
      <c r="B617" s="22">
        <f>IF('Brouillard ventes'!$F$211="","","VD"&amp;TEXT(ROW('Brouillard ventes'!$F$211)-5,"00000"))</f>
        <v/>
      </c>
      <c r="C617" s="22">
        <f>IF('Brouillard ventes'!$F$211="","",YEAR('Brouillard ventes'!$A$211)*10000+MONTH('Brouillard ventes'!$A$211)*100+DAY('Brouillard ventes'!$A$211))</f>
        <v/>
      </c>
      <c r="D617" s="22">
        <f>IF('Brouillard ventes'!$F$211="","",'Brouillard ventes'!$B$211)</f>
        <v/>
      </c>
      <c r="E617" s="22">
        <f>IF('Brouillard ventes'!$F$211="","",LEFT('Brouillard ventes'!$D$211,30))</f>
        <v/>
      </c>
      <c r="F617" s="22" t="inlineStr">
        <is>
          <t>15001</t>
        </is>
      </c>
      <c r="G617" s="22">
        <f>IF('Brouillard ventes'!$F$211="","",Paramètres!$B$7)</f>
        <v/>
      </c>
      <c r="H617" s="22">
        <f>IF('Brouillard ventes'!$F$211="","",IF('Brouillard ventes'!$C$211="","CD001",'Brouillard ventes'!$C$211))</f>
        <v/>
      </c>
      <c r="I617" s="22" t="inlineStr"/>
      <c r="J617" s="22" t="inlineStr"/>
      <c r="K617" s="22">
        <f>IF('Brouillard ventes'!$F$211="","",Paramètres!$B$11)</f>
        <v/>
      </c>
      <c r="L617" s="23">
        <f>IF('Brouillard ventes'!$F$211="","",'Brouillard ventes'!$I$211)</f>
        <v/>
      </c>
      <c r="M617" s="23" t="n">
        <v>0</v>
      </c>
    </row>
    <row r="618">
      <c r="A618" s="22" t="inlineStr">
        <is>
          <t>1</t>
        </is>
      </c>
      <c r="B618" s="22">
        <f>IF('Brouillard ventes'!$F$211="","","VD"&amp;TEXT(ROW('Brouillard ventes'!$F$211)-5,"00000"))</f>
        <v/>
      </c>
      <c r="C618" s="22">
        <f>IF('Brouillard ventes'!$F$211="","",YEAR('Brouillard ventes'!$A$211)*10000+MONTH('Brouillard ventes'!$A$211)*100+DAY('Brouillard ventes'!$A$211))</f>
        <v/>
      </c>
      <c r="D618" s="22">
        <f>IF('Brouillard ventes'!$F$211="","",'Brouillard ventes'!$B$211)</f>
        <v/>
      </c>
      <c r="E618" s="22">
        <f>IF('Brouillard ventes'!$F$211="","",LEFT('Brouillard ventes'!$D$211,30))</f>
        <v/>
      </c>
      <c r="F618" s="22" t="inlineStr">
        <is>
          <t>15001</t>
        </is>
      </c>
      <c r="G618" s="22">
        <f>IF('Brouillard ventes'!$F$211="","",IF('Brouillard ventes'!$E$211="Réparation",Paramètres!$B$9,Paramètres!$B$8))</f>
        <v/>
      </c>
      <c r="H618" s="22" t="inlineStr"/>
      <c r="I618" s="22" t="inlineStr"/>
      <c r="J618" s="22" t="inlineStr"/>
      <c r="K618" s="22">
        <f>IF('Brouillard ventes'!$F$211="","",Paramètres!$B$11)</f>
        <v/>
      </c>
      <c r="L618" s="23" t="n">
        <v>0</v>
      </c>
      <c r="M618" s="23">
        <f>IF('Brouillard ventes'!$F$211="","",'Brouillard ventes'!$F$211)</f>
        <v/>
      </c>
    </row>
    <row r="619">
      <c r="A619" s="22" t="inlineStr">
        <is>
          <t>1</t>
        </is>
      </c>
      <c r="B619" s="22">
        <f>IF('Brouillard ventes'!$F$211="","","VD"&amp;TEXT(ROW('Brouillard ventes'!$F$211)-5,"00000"))</f>
        <v/>
      </c>
      <c r="C619" s="22">
        <f>IF('Brouillard ventes'!$F$211="","",YEAR('Brouillard ventes'!$A$211)*10000+MONTH('Brouillard ventes'!$A$211)*100+DAY('Brouillard ventes'!$A$211))</f>
        <v/>
      </c>
      <c r="D619" s="22">
        <f>IF('Brouillard ventes'!$F$211="","",'Brouillard ventes'!$B$211)</f>
        <v/>
      </c>
      <c r="E619" s="22">
        <f>IF('Brouillard ventes'!$F$211="","",LEFT('Brouillard ventes'!$D$211,30))</f>
        <v/>
      </c>
      <c r="F619" s="22" t="inlineStr">
        <is>
          <t>15001</t>
        </is>
      </c>
      <c r="G619" s="22">
        <f>IF('Brouillard ventes'!$F$211="","",Paramètres!$B$10)</f>
        <v/>
      </c>
      <c r="H619" s="22" t="inlineStr"/>
      <c r="I619" s="22" t="inlineStr"/>
      <c r="J619" s="22" t="inlineStr"/>
      <c r="K619" s="22">
        <f>IF('Brouillard ventes'!$F$211="","",Paramètres!$B$11)</f>
        <v/>
      </c>
      <c r="L619" s="23" t="n">
        <v>0</v>
      </c>
      <c r="M619" s="23">
        <f>IF('Brouillard ventes'!$F$211="","",'Brouillard ventes'!$H$211)</f>
        <v/>
      </c>
    </row>
    <row r="620">
      <c r="A620" s="22" t="inlineStr">
        <is>
          <t>1</t>
        </is>
      </c>
      <c r="B620" s="22">
        <f>IF('Brouillard ventes'!$F$212="","","VD"&amp;TEXT(ROW('Brouillard ventes'!$F$212)-5,"00000"))</f>
        <v/>
      </c>
      <c r="C620" s="22">
        <f>IF('Brouillard ventes'!$F$212="","",YEAR('Brouillard ventes'!$A$212)*10000+MONTH('Brouillard ventes'!$A$212)*100+DAY('Brouillard ventes'!$A$212))</f>
        <v/>
      </c>
      <c r="D620" s="22">
        <f>IF('Brouillard ventes'!$F$212="","",'Brouillard ventes'!$B$212)</f>
        <v/>
      </c>
      <c r="E620" s="22">
        <f>IF('Brouillard ventes'!$F$212="","",LEFT('Brouillard ventes'!$D$212,30))</f>
        <v/>
      </c>
      <c r="F620" s="22" t="inlineStr">
        <is>
          <t>15001</t>
        </is>
      </c>
      <c r="G620" s="22">
        <f>IF('Brouillard ventes'!$F$212="","",Paramètres!$B$7)</f>
        <v/>
      </c>
      <c r="H620" s="22">
        <f>IF('Brouillard ventes'!$F$212="","",IF('Brouillard ventes'!$C$212="","CD001",'Brouillard ventes'!$C$212))</f>
        <v/>
      </c>
      <c r="I620" s="22" t="inlineStr"/>
      <c r="J620" s="22" t="inlineStr"/>
      <c r="K620" s="22">
        <f>IF('Brouillard ventes'!$F$212="","",Paramètres!$B$11)</f>
        <v/>
      </c>
      <c r="L620" s="23">
        <f>IF('Brouillard ventes'!$F$212="","",'Brouillard ventes'!$I$212)</f>
        <v/>
      </c>
      <c r="M620" s="23" t="n">
        <v>0</v>
      </c>
    </row>
    <row r="621">
      <c r="A621" s="22" t="inlineStr">
        <is>
          <t>1</t>
        </is>
      </c>
      <c r="B621" s="22">
        <f>IF('Brouillard ventes'!$F$212="","","VD"&amp;TEXT(ROW('Brouillard ventes'!$F$212)-5,"00000"))</f>
        <v/>
      </c>
      <c r="C621" s="22">
        <f>IF('Brouillard ventes'!$F$212="","",YEAR('Brouillard ventes'!$A$212)*10000+MONTH('Brouillard ventes'!$A$212)*100+DAY('Brouillard ventes'!$A$212))</f>
        <v/>
      </c>
      <c r="D621" s="22">
        <f>IF('Brouillard ventes'!$F$212="","",'Brouillard ventes'!$B$212)</f>
        <v/>
      </c>
      <c r="E621" s="22">
        <f>IF('Brouillard ventes'!$F$212="","",LEFT('Brouillard ventes'!$D$212,30))</f>
        <v/>
      </c>
      <c r="F621" s="22" t="inlineStr">
        <is>
          <t>15001</t>
        </is>
      </c>
      <c r="G621" s="22">
        <f>IF('Brouillard ventes'!$F$212="","",IF('Brouillard ventes'!$E$212="Réparation",Paramètres!$B$9,Paramètres!$B$8))</f>
        <v/>
      </c>
      <c r="H621" s="22" t="inlineStr"/>
      <c r="I621" s="22" t="inlineStr"/>
      <c r="J621" s="22" t="inlineStr"/>
      <c r="K621" s="22">
        <f>IF('Brouillard ventes'!$F$212="","",Paramètres!$B$11)</f>
        <v/>
      </c>
      <c r="L621" s="23" t="n">
        <v>0</v>
      </c>
      <c r="M621" s="23">
        <f>IF('Brouillard ventes'!$F$212="","",'Brouillard ventes'!$F$212)</f>
        <v/>
      </c>
    </row>
    <row r="622">
      <c r="A622" s="22" t="inlineStr">
        <is>
          <t>1</t>
        </is>
      </c>
      <c r="B622" s="22">
        <f>IF('Brouillard ventes'!$F$212="","","VD"&amp;TEXT(ROW('Brouillard ventes'!$F$212)-5,"00000"))</f>
        <v/>
      </c>
      <c r="C622" s="22">
        <f>IF('Brouillard ventes'!$F$212="","",YEAR('Brouillard ventes'!$A$212)*10000+MONTH('Brouillard ventes'!$A$212)*100+DAY('Brouillard ventes'!$A$212))</f>
        <v/>
      </c>
      <c r="D622" s="22">
        <f>IF('Brouillard ventes'!$F$212="","",'Brouillard ventes'!$B$212)</f>
        <v/>
      </c>
      <c r="E622" s="22">
        <f>IF('Brouillard ventes'!$F$212="","",LEFT('Brouillard ventes'!$D$212,30))</f>
        <v/>
      </c>
      <c r="F622" s="22" t="inlineStr">
        <is>
          <t>15001</t>
        </is>
      </c>
      <c r="G622" s="22">
        <f>IF('Brouillard ventes'!$F$212="","",Paramètres!$B$10)</f>
        <v/>
      </c>
      <c r="H622" s="22" t="inlineStr"/>
      <c r="I622" s="22" t="inlineStr"/>
      <c r="J622" s="22" t="inlineStr"/>
      <c r="K622" s="22">
        <f>IF('Brouillard ventes'!$F$212="","",Paramètres!$B$11)</f>
        <v/>
      </c>
      <c r="L622" s="23" t="n">
        <v>0</v>
      </c>
      <c r="M622" s="23">
        <f>IF('Brouillard ventes'!$F$212="","",'Brouillard ventes'!$H$212)</f>
        <v/>
      </c>
    </row>
    <row r="623">
      <c r="A623" s="22" t="inlineStr">
        <is>
          <t>1</t>
        </is>
      </c>
      <c r="B623" s="22">
        <f>IF('Brouillard ventes'!$F$213="","","VD"&amp;TEXT(ROW('Brouillard ventes'!$F$213)-5,"00000"))</f>
        <v/>
      </c>
      <c r="C623" s="22">
        <f>IF('Brouillard ventes'!$F$213="","",YEAR('Brouillard ventes'!$A$213)*10000+MONTH('Brouillard ventes'!$A$213)*100+DAY('Brouillard ventes'!$A$213))</f>
        <v/>
      </c>
      <c r="D623" s="22">
        <f>IF('Brouillard ventes'!$F$213="","",'Brouillard ventes'!$B$213)</f>
        <v/>
      </c>
      <c r="E623" s="22">
        <f>IF('Brouillard ventes'!$F$213="","",LEFT('Brouillard ventes'!$D$213,30))</f>
        <v/>
      </c>
      <c r="F623" s="22" t="inlineStr">
        <is>
          <t>15001</t>
        </is>
      </c>
      <c r="G623" s="22">
        <f>IF('Brouillard ventes'!$F$213="","",Paramètres!$B$7)</f>
        <v/>
      </c>
      <c r="H623" s="22">
        <f>IF('Brouillard ventes'!$F$213="","",IF('Brouillard ventes'!$C$213="","CD001",'Brouillard ventes'!$C$213))</f>
        <v/>
      </c>
      <c r="I623" s="22" t="inlineStr"/>
      <c r="J623" s="22" t="inlineStr"/>
      <c r="K623" s="22">
        <f>IF('Brouillard ventes'!$F$213="","",Paramètres!$B$11)</f>
        <v/>
      </c>
      <c r="L623" s="23">
        <f>IF('Brouillard ventes'!$F$213="","",'Brouillard ventes'!$I$213)</f>
        <v/>
      </c>
      <c r="M623" s="23" t="n">
        <v>0</v>
      </c>
    </row>
    <row r="624">
      <c r="A624" s="22" t="inlineStr">
        <is>
          <t>1</t>
        </is>
      </c>
      <c r="B624" s="22">
        <f>IF('Brouillard ventes'!$F$213="","","VD"&amp;TEXT(ROW('Brouillard ventes'!$F$213)-5,"00000"))</f>
        <v/>
      </c>
      <c r="C624" s="22">
        <f>IF('Brouillard ventes'!$F$213="","",YEAR('Brouillard ventes'!$A$213)*10000+MONTH('Brouillard ventes'!$A$213)*100+DAY('Brouillard ventes'!$A$213))</f>
        <v/>
      </c>
      <c r="D624" s="22">
        <f>IF('Brouillard ventes'!$F$213="","",'Brouillard ventes'!$B$213)</f>
        <v/>
      </c>
      <c r="E624" s="22">
        <f>IF('Brouillard ventes'!$F$213="","",LEFT('Brouillard ventes'!$D$213,30))</f>
        <v/>
      </c>
      <c r="F624" s="22" t="inlineStr">
        <is>
          <t>15001</t>
        </is>
      </c>
      <c r="G624" s="22">
        <f>IF('Brouillard ventes'!$F$213="","",IF('Brouillard ventes'!$E$213="Réparation",Paramètres!$B$9,Paramètres!$B$8))</f>
        <v/>
      </c>
      <c r="H624" s="22" t="inlineStr"/>
      <c r="I624" s="22" t="inlineStr"/>
      <c r="J624" s="22" t="inlineStr"/>
      <c r="K624" s="22">
        <f>IF('Brouillard ventes'!$F$213="","",Paramètres!$B$11)</f>
        <v/>
      </c>
      <c r="L624" s="23" t="n">
        <v>0</v>
      </c>
      <c r="M624" s="23">
        <f>IF('Brouillard ventes'!$F$213="","",'Brouillard ventes'!$F$213)</f>
        <v/>
      </c>
    </row>
    <row r="625">
      <c r="A625" s="22" t="inlineStr">
        <is>
          <t>1</t>
        </is>
      </c>
      <c r="B625" s="22">
        <f>IF('Brouillard ventes'!$F$213="","","VD"&amp;TEXT(ROW('Brouillard ventes'!$F$213)-5,"00000"))</f>
        <v/>
      </c>
      <c r="C625" s="22">
        <f>IF('Brouillard ventes'!$F$213="","",YEAR('Brouillard ventes'!$A$213)*10000+MONTH('Brouillard ventes'!$A$213)*100+DAY('Brouillard ventes'!$A$213))</f>
        <v/>
      </c>
      <c r="D625" s="22">
        <f>IF('Brouillard ventes'!$F$213="","",'Brouillard ventes'!$B$213)</f>
        <v/>
      </c>
      <c r="E625" s="22">
        <f>IF('Brouillard ventes'!$F$213="","",LEFT('Brouillard ventes'!$D$213,30))</f>
        <v/>
      </c>
      <c r="F625" s="22" t="inlineStr">
        <is>
          <t>15001</t>
        </is>
      </c>
      <c r="G625" s="22">
        <f>IF('Brouillard ventes'!$F$213="","",Paramètres!$B$10)</f>
        <v/>
      </c>
      <c r="H625" s="22" t="inlineStr"/>
      <c r="I625" s="22" t="inlineStr"/>
      <c r="J625" s="22" t="inlineStr"/>
      <c r="K625" s="22">
        <f>IF('Brouillard ventes'!$F$213="","",Paramètres!$B$11)</f>
        <v/>
      </c>
      <c r="L625" s="23" t="n">
        <v>0</v>
      </c>
      <c r="M625" s="23">
        <f>IF('Brouillard ventes'!$F$213="","",'Brouillard ventes'!$H$213)</f>
        <v/>
      </c>
    </row>
    <row r="626">
      <c r="A626" s="22" t="inlineStr">
        <is>
          <t>1</t>
        </is>
      </c>
      <c r="B626" s="22">
        <f>IF('Brouillard ventes'!$F$214="","","VD"&amp;TEXT(ROW('Brouillard ventes'!$F$214)-5,"00000"))</f>
        <v/>
      </c>
      <c r="C626" s="22">
        <f>IF('Brouillard ventes'!$F$214="","",YEAR('Brouillard ventes'!$A$214)*10000+MONTH('Brouillard ventes'!$A$214)*100+DAY('Brouillard ventes'!$A$214))</f>
        <v/>
      </c>
      <c r="D626" s="22">
        <f>IF('Brouillard ventes'!$F$214="","",'Brouillard ventes'!$B$214)</f>
        <v/>
      </c>
      <c r="E626" s="22">
        <f>IF('Brouillard ventes'!$F$214="","",LEFT('Brouillard ventes'!$D$214,30))</f>
        <v/>
      </c>
      <c r="F626" s="22" t="inlineStr">
        <is>
          <t>15001</t>
        </is>
      </c>
      <c r="G626" s="22">
        <f>IF('Brouillard ventes'!$F$214="","",Paramètres!$B$7)</f>
        <v/>
      </c>
      <c r="H626" s="22">
        <f>IF('Brouillard ventes'!$F$214="","",IF('Brouillard ventes'!$C$214="","CD001",'Brouillard ventes'!$C$214))</f>
        <v/>
      </c>
      <c r="I626" s="22" t="inlineStr"/>
      <c r="J626" s="22" t="inlineStr"/>
      <c r="K626" s="22">
        <f>IF('Brouillard ventes'!$F$214="","",Paramètres!$B$11)</f>
        <v/>
      </c>
      <c r="L626" s="23">
        <f>IF('Brouillard ventes'!$F$214="","",'Brouillard ventes'!$I$214)</f>
        <v/>
      </c>
      <c r="M626" s="23" t="n">
        <v>0</v>
      </c>
    </row>
    <row r="627">
      <c r="A627" s="22" t="inlineStr">
        <is>
          <t>1</t>
        </is>
      </c>
      <c r="B627" s="22">
        <f>IF('Brouillard ventes'!$F$214="","","VD"&amp;TEXT(ROW('Brouillard ventes'!$F$214)-5,"00000"))</f>
        <v/>
      </c>
      <c r="C627" s="22">
        <f>IF('Brouillard ventes'!$F$214="","",YEAR('Brouillard ventes'!$A$214)*10000+MONTH('Brouillard ventes'!$A$214)*100+DAY('Brouillard ventes'!$A$214))</f>
        <v/>
      </c>
      <c r="D627" s="22">
        <f>IF('Brouillard ventes'!$F$214="","",'Brouillard ventes'!$B$214)</f>
        <v/>
      </c>
      <c r="E627" s="22">
        <f>IF('Brouillard ventes'!$F$214="","",LEFT('Brouillard ventes'!$D$214,30))</f>
        <v/>
      </c>
      <c r="F627" s="22" t="inlineStr">
        <is>
          <t>15001</t>
        </is>
      </c>
      <c r="G627" s="22">
        <f>IF('Brouillard ventes'!$F$214="","",IF('Brouillard ventes'!$E$214="Réparation",Paramètres!$B$9,Paramètres!$B$8))</f>
        <v/>
      </c>
      <c r="H627" s="22" t="inlineStr"/>
      <c r="I627" s="22" t="inlineStr"/>
      <c r="J627" s="22" t="inlineStr"/>
      <c r="K627" s="22">
        <f>IF('Brouillard ventes'!$F$214="","",Paramètres!$B$11)</f>
        <v/>
      </c>
      <c r="L627" s="23" t="n">
        <v>0</v>
      </c>
      <c r="M627" s="23">
        <f>IF('Brouillard ventes'!$F$214="","",'Brouillard ventes'!$F$214)</f>
        <v/>
      </c>
    </row>
    <row r="628">
      <c r="A628" s="22" t="inlineStr">
        <is>
          <t>1</t>
        </is>
      </c>
      <c r="B628" s="22">
        <f>IF('Brouillard ventes'!$F$214="","","VD"&amp;TEXT(ROW('Brouillard ventes'!$F$214)-5,"00000"))</f>
        <v/>
      </c>
      <c r="C628" s="22">
        <f>IF('Brouillard ventes'!$F$214="","",YEAR('Brouillard ventes'!$A$214)*10000+MONTH('Brouillard ventes'!$A$214)*100+DAY('Brouillard ventes'!$A$214))</f>
        <v/>
      </c>
      <c r="D628" s="22">
        <f>IF('Brouillard ventes'!$F$214="","",'Brouillard ventes'!$B$214)</f>
        <v/>
      </c>
      <c r="E628" s="22">
        <f>IF('Brouillard ventes'!$F$214="","",LEFT('Brouillard ventes'!$D$214,30))</f>
        <v/>
      </c>
      <c r="F628" s="22" t="inlineStr">
        <is>
          <t>15001</t>
        </is>
      </c>
      <c r="G628" s="22">
        <f>IF('Brouillard ventes'!$F$214="","",Paramètres!$B$10)</f>
        <v/>
      </c>
      <c r="H628" s="22" t="inlineStr"/>
      <c r="I628" s="22" t="inlineStr"/>
      <c r="J628" s="22" t="inlineStr"/>
      <c r="K628" s="22">
        <f>IF('Brouillard ventes'!$F$214="","",Paramètres!$B$11)</f>
        <v/>
      </c>
      <c r="L628" s="23" t="n">
        <v>0</v>
      </c>
      <c r="M628" s="23">
        <f>IF('Brouillard ventes'!$F$214="","",'Brouillard ventes'!$H$214)</f>
        <v/>
      </c>
    </row>
    <row r="629">
      <c r="A629" s="22" t="inlineStr">
        <is>
          <t>1</t>
        </is>
      </c>
      <c r="B629" s="22">
        <f>IF('Brouillard ventes'!$F$215="","","VD"&amp;TEXT(ROW('Brouillard ventes'!$F$215)-5,"00000"))</f>
        <v/>
      </c>
      <c r="C629" s="22">
        <f>IF('Brouillard ventes'!$F$215="","",YEAR('Brouillard ventes'!$A$215)*10000+MONTH('Brouillard ventes'!$A$215)*100+DAY('Brouillard ventes'!$A$215))</f>
        <v/>
      </c>
      <c r="D629" s="22">
        <f>IF('Brouillard ventes'!$F$215="","",'Brouillard ventes'!$B$215)</f>
        <v/>
      </c>
      <c r="E629" s="22">
        <f>IF('Brouillard ventes'!$F$215="","",LEFT('Brouillard ventes'!$D$215,30))</f>
        <v/>
      </c>
      <c r="F629" s="22" t="inlineStr">
        <is>
          <t>15001</t>
        </is>
      </c>
      <c r="G629" s="22">
        <f>IF('Brouillard ventes'!$F$215="","",Paramètres!$B$7)</f>
        <v/>
      </c>
      <c r="H629" s="22">
        <f>IF('Brouillard ventes'!$F$215="","",IF('Brouillard ventes'!$C$215="","CD001",'Brouillard ventes'!$C$215))</f>
        <v/>
      </c>
      <c r="I629" s="22" t="inlineStr"/>
      <c r="J629" s="22" t="inlineStr"/>
      <c r="K629" s="22">
        <f>IF('Brouillard ventes'!$F$215="","",Paramètres!$B$11)</f>
        <v/>
      </c>
      <c r="L629" s="23">
        <f>IF('Brouillard ventes'!$F$215="","",'Brouillard ventes'!$I$215)</f>
        <v/>
      </c>
      <c r="M629" s="23" t="n">
        <v>0</v>
      </c>
    </row>
    <row r="630">
      <c r="A630" s="22" t="inlineStr">
        <is>
          <t>1</t>
        </is>
      </c>
      <c r="B630" s="22">
        <f>IF('Brouillard ventes'!$F$215="","","VD"&amp;TEXT(ROW('Brouillard ventes'!$F$215)-5,"00000"))</f>
        <v/>
      </c>
      <c r="C630" s="22">
        <f>IF('Brouillard ventes'!$F$215="","",YEAR('Brouillard ventes'!$A$215)*10000+MONTH('Brouillard ventes'!$A$215)*100+DAY('Brouillard ventes'!$A$215))</f>
        <v/>
      </c>
      <c r="D630" s="22">
        <f>IF('Brouillard ventes'!$F$215="","",'Brouillard ventes'!$B$215)</f>
        <v/>
      </c>
      <c r="E630" s="22">
        <f>IF('Brouillard ventes'!$F$215="","",LEFT('Brouillard ventes'!$D$215,30))</f>
        <v/>
      </c>
      <c r="F630" s="22" t="inlineStr">
        <is>
          <t>15001</t>
        </is>
      </c>
      <c r="G630" s="22">
        <f>IF('Brouillard ventes'!$F$215="","",IF('Brouillard ventes'!$E$215="Réparation",Paramètres!$B$9,Paramètres!$B$8))</f>
        <v/>
      </c>
      <c r="H630" s="22" t="inlineStr"/>
      <c r="I630" s="22" t="inlineStr"/>
      <c r="J630" s="22" t="inlineStr"/>
      <c r="K630" s="22">
        <f>IF('Brouillard ventes'!$F$215="","",Paramètres!$B$11)</f>
        <v/>
      </c>
      <c r="L630" s="23" t="n">
        <v>0</v>
      </c>
      <c r="M630" s="23">
        <f>IF('Brouillard ventes'!$F$215="","",'Brouillard ventes'!$F$215)</f>
        <v/>
      </c>
    </row>
    <row r="631">
      <c r="A631" s="22" t="inlineStr">
        <is>
          <t>1</t>
        </is>
      </c>
      <c r="B631" s="22">
        <f>IF('Brouillard ventes'!$F$215="","","VD"&amp;TEXT(ROW('Brouillard ventes'!$F$215)-5,"00000"))</f>
        <v/>
      </c>
      <c r="C631" s="22">
        <f>IF('Brouillard ventes'!$F$215="","",YEAR('Brouillard ventes'!$A$215)*10000+MONTH('Brouillard ventes'!$A$215)*100+DAY('Brouillard ventes'!$A$215))</f>
        <v/>
      </c>
      <c r="D631" s="22">
        <f>IF('Brouillard ventes'!$F$215="","",'Brouillard ventes'!$B$215)</f>
        <v/>
      </c>
      <c r="E631" s="22">
        <f>IF('Brouillard ventes'!$F$215="","",LEFT('Brouillard ventes'!$D$215,30))</f>
        <v/>
      </c>
      <c r="F631" s="22" t="inlineStr">
        <is>
          <t>15001</t>
        </is>
      </c>
      <c r="G631" s="22">
        <f>IF('Brouillard ventes'!$F$215="","",Paramètres!$B$10)</f>
        <v/>
      </c>
      <c r="H631" s="22" t="inlineStr"/>
      <c r="I631" s="22" t="inlineStr"/>
      <c r="J631" s="22" t="inlineStr"/>
      <c r="K631" s="22">
        <f>IF('Brouillard ventes'!$F$215="","",Paramètres!$B$11)</f>
        <v/>
      </c>
      <c r="L631" s="23" t="n">
        <v>0</v>
      </c>
      <c r="M631" s="23">
        <f>IF('Brouillard ventes'!$F$215="","",'Brouillard ventes'!$H$215)</f>
        <v/>
      </c>
    </row>
    <row r="632">
      <c r="A632" s="22" t="inlineStr">
        <is>
          <t>1</t>
        </is>
      </c>
      <c r="B632" s="22">
        <f>IF('Brouillard ventes'!$F$216="","","VD"&amp;TEXT(ROW('Brouillard ventes'!$F$216)-5,"00000"))</f>
        <v/>
      </c>
      <c r="C632" s="22">
        <f>IF('Brouillard ventes'!$F$216="","",YEAR('Brouillard ventes'!$A$216)*10000+MONTH('Brouillard ventes'!$A$216)*100+DAY('Brouillard ventes'!$A$216))</f>
        <v/>
      </c>
      <c r="D632" s="22">
        <f>IF('Brouillard ventes'!$F$216="","",'Brouillard ventes'!$B$216)</f>
        <v/>
      </c>
      <c r="E632" s="22">
        <f>IF('Brouillard ventes'!$F$216="","",LEFT('Brouillard ventes'!$D$216,30))</f>
        <v/>
      </c>
      <c r="F632" s="22" t="inlineStr">
        <is>
          <t>15001</t>
        </is>
      </c>
      <c r="G632" s="22">
        <f>IF('Brouillard ventes'!$F$216="","",Paramètres!$B$7)</f>
        <v/>
      </c>
      <c r="H632" s="22">
        <f>IF('Brouillard ventes'!$F$216="","",IF('Brouillard ventes'!$C$216="","CD001",'Brouillard ventes'!$C$216))</f>
        <v/>
      </c>
      <c r="I632" s="22" t="inlineStr"/>
      <c r="J632" s="22" t="inlineStr"/>
      <c r="K632" s="22">
        <f>IF('Brouillard ventes'!$F$216="","",Paramètres!$B$11)</f>
        <v/>
      </c>
      <c r="L632" s="23">
        <f>IF('Brouillard ventes'!$F$216="","",'Brouillard ventes'!$I$216)</f>
        <v/>
      </c>
      <c r="M632" s="23" t="n">
        <v>0</v>
      </c>
    </row>
    <row r="633">
      <c r="A633" s="22" t="inlineStr">
        <is>
          <t>1</t>
        </is>
      </c>
      <c r="B633" s="22">
        <f>IF('Brouillard ventes'!$F$216="","","VD"&amp;TEXT(ROW('Brouillard ventes'!$F$216)-5,"00000"))</f>
        <v/>
      </c>
      <c r="C633" s="22">
        <f>IF('Brouillard ventes'!$F$216="","",YEAR('Brouillard ventes'!$A$216)*10000+MONTH('Brouillard ventes'!$A$216)*100+DAY('Brouillard ventes'!$A$216))</f>
        <v/>
      </c>
      <c r="D633" s="22">
        <f>IF('Brouillard ventes'!$F$216="","",'Brouillard ventes'!$B$216)</f>
        <v/>
      </c>
      <c r="E633" s="22">
        <f>IF('Brouillard ventes'!$F$216="","",LEFT('Brouillard ventes'!$D$216,30))</f>
        <v/>
      </c>
      <c r="F633" s="22" t="inlineStr">
        <is>
          <t>15001</t>
        </is>
      </c>
      <c r="G633" s="22">
        <f>IF('Brouillard ventes'!$F$216="","",IF('Brouillard ventes'!$E$216="Réparation",Paramètres!$B$9,Paramètres!$B$8))</f>
        <v/>
      </c>
      <c r="H633" s="22" t="inlineStr"/>
      <c r="I633" s="22" t="inlineStr"/>
      <c r="J633" s="22" t="inlineStr"/>
      <c r="K633" s="22">
        <f>IF('Brouillard ventes'!$F$216="","",Paramètres!$B$11)</f>
        <v/>
      </c>
      <c r="L633" s="23" t="n">
        <v>0</v>
      </c>
      <c r="M633" s="23">
        <f>IF('Brouillard ventes'!$F$216="","",'Brouillard ventes'!$F$216)</f>
        <v/>
      </c>
    </row>
    <row r="634">
      <c r="A634" s="22" t="inlineStr">
        <is>
          <t>1</t>
        </is>
      </c>
      <c r="B634" s="22">
        <f>IF('Brouillard ventes'!$F$216="","","VD"&amp;TEXT(ROW('Brouillard ventes'!$F$216)-5,"00000"))</f>
        <v/>
      </c>
      <c r="C634" s="22">
        <f>IF('Brouillard ventes'!$F$216="","",YEAR('Brouillard ventes'!$A$216)*10000+MONTH('Brouillard ventes'!$A$216)*100+DAY('Brouillard ventes'!$A$216))</f>
        <v/>
      </c>
      <c r="D634" s="22">
        <f>IF('Brouillard ventes'!$F$216="","",'Brouillard ventes'!$B$216)</f>
        <v/>
      </c>
      <c r="E634" s="22">
        <f>IF('Brouillard ventes'!$F$216="","",LEFT('Brouillard ventes'!$D$216,30))</f>
        <v/>
      </c>
      <c r="F634" s="22" t="inlineStr">
        <is>
          <t>15001</t>
        </is>
      </c>
      <c r="G634" s="22">
        <f>IF('Brouillard ventes'!$F$216="","",Paramètres!$B$10)</f>
        <v/>
      </c>
      <c r="H634" s="22" t="inlineStr"/>
      <c r="I634" s="22" t="inlineStr"/>
      <c r="J634" s="22" t="inlineStr"/>
      <c r="K634" s="22">
        <f>IF('Brouillard ventes'!$F$216="","",Paramètres!$B$11)</f>
        <v/>
      </c>
      <c r="L634" s="23" t="n">
        <v>0</v>
      </c>
      <c r="M634" s="23">
        <f>IF('Brouillard ventes'!$F$216="","",'Brouillard ventes'!$H$216)</f>
        <v/>
      </c>
    </row>
    <row r="635">
      <c r="A635" s="22" t="inlineStr">
        <is>
          <t>1</t>
        </is>
      </c>
      <c r="B635" s="22">
        <f>IF('Brouillard ventes'!$F$217="","","VD"&amp;TEXT(ROW('Brouillard ventes'!$F$217)-5,"00000"))</f>
        <v/>
      </c>
      <c r="C635" s="22">
        <f>IF('Brouillard ventes'!$F$217="","",YEAR('Brouillard ventes'!$A$217)*10000+MONTH('Brouillard ventes'!$A$217)*100+DAY('Brouillard ventes'!$A$217))</f>
        <v/>
      </c>
      <c r="D635" s="22">
        <f>IF('Brouillard ventes'!$F$217="","",'Brouillard ventes'!$B$217)</f>
        <v/>
      </c>
      <c r="E635" s="22">
        <f>IF('Brouillard ventes'!$F$217="","",LEFT('Brouillard ventes'!$D$217,30))</f>
        <v/>
      </c>
      <c r="F635" s="22" t="inlineStr">
        <is>
          <t>15001</t>
        </is>
      </c>
      <c r="G635" s="22">
        <f>IF('Brouillard ventes'!$F$217="","",Paramètres!$B$7)</f>
        <v/>
      </c>
      <c r="H635" s="22">
        <f>IF('Brouillard ventes'!$F$217="","",IF('Brouillard ventes'!$C$217="","CD001",'Brouillard ventes'!$C$217))</f>
        <v/>
      </c>
      <c r="I635" s="22" t="inlineStr"/>
      <c r="J635" s="22" t="inlineStr"/>
      <c r="K635" s="22">
        <f>IF('Brouillard ventes'!$F$217="","",Paramètres!$B$11)</f>
        <v/>
      </c>
      <c r="L635" s="23">
        <f>IF('Brouillard ventes'!$F$217="","",'Brouillard ventes'!$I$217)</f>
        <v/>
      </c>
      <c r="M635" s="23" t="n">
        <v>0</v>
      </c>
    </row>
    <row r="636">
      <c r="A636" s="22" t="inlineStr">
        <is>
          <t>1</t>
        </is>
      </c>
      <c r="B636" s="22">
        <f>IF('Brouillard ventes'!$F$217="","","VD"&amp;TEXT(ROW('Brouillard ventes'!$F$217)-5,"00000"))</f>
        <v/>
      </c>
      <c r="C636" s="22">
        <f>IF('Brouillard ventes'!$F$217="","",YEAR('Brouillard ventes'!$A$217)*10000+MONTH('Brouillard ventes'!$A$217)*100+DAY('Brouillard ventes'!$A$217))</f>
        <v/>
      </c>
      <c r="D636" s="22">
        <f>IF('Brouillard ventes'!$F$217="","",'Brouillard ventes'!$B$217)</f>
        <v/>
      </c>
      <c r="E636" s="22">
        <f>IF('Brouillard ventes'!$F$217="","",LEFT('Brouillard ventes'!$D$217,30))</f>
        <v/>
      </c>
      <c r="F636" s="22" t="inlineStr">
        <is>
          <t>15001</t>
        </is>
      </c>
      <c r="G636" s="22">
        <f>IF('Brouillard ventes'!$F$217="","",IF('Brouillard ventes'!$E$217="Réparation",Paramètres!$B$9,Paramètres!$B$8))</f>
        <v/>
      </c>
      <c r="H636" s="22" t="inlineStr"/>
      <c r="I636" s="22" t="inlineStr"/>
      <c r="J636" s="22" t="inlineStr"/>
      <c r="K636" s="22">
        <f>IF('Brouillard ventes'!$F$217="","",Paramètres!$B$11)</f>
        <v/>
      </c>
      <c r="L636" s="23" t="n">
        <v>0</v>
      </c>
      <c r="M636" s="23">
        <f>IF('Brouillard ventes'!$F$217="","",'Brouillard ventes'!$F$217)</f>
        <v/>
      </c>
    </row>
    <row r="637">
      <c r="A637" s="22" t="inlineStr">
        <is>
          <t>1</t>
        </is>
      </c>
      <c r="B637" s="22">
        <f>IF('Brouillard ventes'!$F$217="","","VD"&amp;TEXT(ROW('Brouillard ventes'!$F$217)-5,"00000"))</f>
        <v/>
      </c>
      <c r="C637" s="22">
        <f>IF('Brouillard ventes'!$F$217="","",YEAR('Brouillard ventes'!$A$217)*10000+MONTH('Brouillard ventes'!$A$217)*100+DAY('Brouillard ventes'!$A$217))</f>
        <v/>
      </c>
      <c r="D637" s="22">
        <f>IF('Brouillard ventes'!$F$217="","",'Brouillard ventes'!$B$217)</f>
        <v/>
      </c>
      <c r="E637" s="22">
        <f>IF('Brouillard ventes'!$F$217="","",LEFT('Brouillard ventes'!$D$217,30))</f>
        <v/>
      </c>
      <c r="F637" s="22" t="inlineStr">
        <is>
          <t>15001</t>
        </is>
      </c>
      <c r="G637" s="22">
        <f>IF('Brouillard ventes'!$F$217="","",Paramètres!$B$10)</f>
        <v/>
      </c>
      <c r="H637" s="22" t="inlineStr"/>
      <c r="I637" s="22" t="inlineStr"/>
      <c r="J637" s="22" t="inlineStr"/>
      <c r="K637" s="22">
        <f>IF('Brouillard ventes'!$F$217="","",Paramètres!$B$11)</f>
        <v/>
      </c>
      <c r="L637" s="23" t="n">
        <v>0</v>
      </c>
      <c r="M637" s="23">
        <f>IF('Brouillard ventes'!$F$217="","",'Brouillard ventes'!$H$217)</f>
        <v/>
      </c>
    </row>
    <row r="638">
      <c r="A638" s="22" t="inlineStr">
        <is>
          <t>1</t>
        </is>
      </c>
      <c r="B638" s="22">
        <f>IF('Brouillard ventes'!$F$218="","","VD"&amp;TEXT(ROW('Brouillard ventes'!$F$218)-5,"00000"))</f>
        <v/>
      </c>
      <c r="C638" s="22">
        <f>IF('Brouillard ventes'!$F$218="","",YEAR('Brouillard ventes'!$A$218)*10000+MONTH('Brouillard ventes'!$A$218)*100+DAY('Brouillard ventes'!$A$218))</f>
        <v/>
      </c>
      <c r="D638" s="22">
        <f>IF('Brouillard ventes'!$F$218="","",'Brouillard ventes'!$B$218)</f>
        <v/>
      </c>
      <c r="E638" s="22">
        <f>IF('Brouillard ventes'!$F$218="","",LEFT('Brouillard ventes'!$D$218,30))</f>
        <v/>
      </c>
      <c r="F638" s="22" t="inlineStr">
        <is>
          <t>15001</t>
        </is>
      </c>
      <c r="G638" s="22">
        <f>IF('Brouillard ventes'!$F$218="","",Paramètres!$B$7)</f>
        <v/>
      </c>
      <c r="H638" s="22">
        <f>IF('Brouillard ventes'!$F$218="","",IF('Brouillard ventes'!$C$218="","CD001",'Brouillard ventes'!$C$218))</f>
        <v/>
      </c>
      <c r="I638" s="22" t="inlineStr"/>
      <c r="J638" s="22" t="inlineStr"/>
      <c r="K638" s="22">
        <f>IF('Brouillard ventes'!$F$218="","",Paramètres!$B$11)</f>
        <v/>
      </c>
      <c r="L638" s="23">
        <f>IF('Brouillard ventes'!$F$218="","",'Brouillard ventes'!$I$218)</f>
        <v/>
      </c>
      <c r="M638" s="23" t="n">
        <v>0</v>
      </c>
    </row>
    <row r="639">
      <c r="A639" s="22" t="inlineStr">
        <is>
          <t>1</t>
        </is>
      </c>
      <c r="B639" s="22">
        <f>IF('Brouillard ventes'!$F$218="","","VD"&amp;TEXT(ROW('Brouillard ventes'!$F$218)-5,"00000"))</f>
        <v/>
      </c>
      <c r="C639" s="22">
        <f>IF('Brouillard ventes'!$F$218="","",YEAR('Brouillard ventes'!$A$218)*10000+MONTH('Brouillard ventes'!$A$218)*100+DAY('Brouillard ventes'!$A$218))</f>
        <v/>
      </c>
      <c r="D639" s="22">
        <f>IF('Brouillard ventes'!$F$218="","",'Brouillard ventes'!$B$218)</f>
        <v/>
      </c>
      <c r="E639" s="22">
        <f>IF('Brouillard ventes'!$F$218="","",LEFT('Brouillard ventes'!$D$218,30))</f>
        <v/>
      </c>
      <c r="F639" s="22" t="inlineStr">
        <is>
          <t>15001</t>
        </is>
      </c>
      <c r="G639" s="22">
        <f>IF('Brouillard ventes'!$F$218="","",IF('Brouillard ventes'!$E$218="Réparation",Paramètres!$B$9,Paramètres!$B$8))</f>
        <v/>
      </c>
      <c r="H639" s="22" t="inlineStr"/>
      <c r="I639" s="22" t="inlineStr"/>
      <c r="J639" s="22" t="inlineStr"/>
      <c r="K639" s="22">
        <f>IF('Brouillard ventes'!$F$218="","",Paramètres!$B$11)</f>
        <v/>
      </c>
      <c r="L639" s="23" t="n">
        <v>0</v>
      </c>
      <c r="M639" s="23">
        <f>IF('Brouillard ventes'!$F$218="","",'Brouillard ventes'!$F$218)</f>
        <v/>
      </c>
    </row>
    <row r="640">
      <c r="A640" s="22" t="inlineStr">
        <is>
          <t>1</t>
        </is>
      </c>
      <c r="B640" s="22">
        <f>IF('Brouillard ventes'!$F$218="","","VD"&amp;TEXT(ROW('Brouillard ventes'!$F$218)-5,"00000"))</f>
        <v/>
      </c>
      <c r="C640" s="22">
        <f>IF('Brouillard ventes'!$F$218="","",YEAR('Brouillard ventes'!$A$218)*10000+MONTH('Brouillard ventes'!$A$218)*100+DAY('Brouillard ventes'!$A$218))</f>
        <v/>
      </c>
      <c r="D640" s="22">
        <f>IF('Brouillard ventes'!$F$218="","",'Brouillard ventes'!$B$218)</f>
        <v/>
      </c>
      <c r="E640" s="22">
        <f>IF('Brouillard ventes'!$F$218="","",LEFT('Brouillard ventes'!$D$218,30))</f>
        <v/>
      </c>
      <c r="F640" s="22" t="inlineStr">
        <is>
          <t>15001</t>
        </is>
      </c>
      <c r="G640" s="22">
        <f>IF('Brouillard ventes'!$F$218="","",Paramètres!$B$10)</f>
        <v/>
      </c>
      <c r="H640" s="22" t="inlineStr"/>
      <c r="I640" s="22" t="inlineStr"/>
      <c r="J640" s="22" t="inlineStr"/>
      <c r="K640" s="22">
        <f>IF('Brouillard ventes'!$F$218="","",Paramètres!$B$11)</f>
        <v/>
      </c>
      <c r="L640" s="23" t="n">
        <v>0</v>
      </c>
      <c r="M640" s="23">
        <f>IF('Brouillard ventes'!$F$218="","",'Brouillard ventes'!$H$218)</f>
        <v/>
      </c>
    </row>
    <row r="641">
      <c r="A641" s="22" t="inlineStr">
        <is>
          <t>1</t>
        </is>
      </c>
      <c r="B641" s="22">
        <f>IF('Brouillard ventes'!$F$219="","","VD"&amp;TEXT(ROW('Brouillard ventes'!$F$219)-5,"00000"))</f>
        <v/>
      </c>
      <c r="C641" s="22">
        <f>IF('Brouillard ventes'!$F$219="","",YEAR('Brouillard ventes'!$A$219)*10000+MONTH('Brouillard ventes'!$A$219)*100+DAY('Brouillard ventes'!$A$219))</f>
        <v/>
      </c>
      <c r="D641" s="22">
        <f>IF('Brouillard ventes'!$F$219="","",'Brouillard ventes'!$B$219)</f>
        <v/>
      </c>
      <c r="E641" s="22">
        <f>IF('Brouillard ventes'!$F$219="","",LEFT('Brouillard ventes'!$D$219,30))</f>
        <v/>
      </c>
      <c r="F641" s="22" t="inlineStr">
        <is>
          <t>15001</t>
        </is>
      </c>
      <c r="G641" s="22">
        <f>IF('Brouillard ventes'!$F$219="","",Paramètres!$B$7)</f>
        <v/>
      </c>
      <c r="H641" s="22">
        <f>IF('Brouillard ventes'!$F$219="","",IF('Brouillard ventes'!$C$219="","CD001",'Brouillard ventes'!$C$219))</f>
        <v/>
      </c>
      <c r="I641" s="22" t="inlineStr"/>
      <c r="J641" s="22" t="inlineStr"/>
      <c r="K641" s="22">
        <f>IF('Brouillard ventes'!$F$219="","",Paramètres!$B$11)</f>
        <v/>
      </c>
      <c r="L641" s="23">
        <f>IF('Brouillard ventes'!$F$219="","",'Brouillard ventes'!$I$219)</f>
        <v/>
      </c>
      <c r="M641" s="23" t="n">
        <v>0</v>
      </c>
    </row>
    <row r="642">
      <c r="A642" s="22" t="inlineStr">
        <is>
          <t>1</t>
        </is>
      </c>
      <c r="B642" s="22">
        <f>IF('Brouillard ventes'!$F$219="","","VD"&amp;TEXT(ROW('Brouillard ventes'!$F$219)-5,"00000"))</f>
        <v/>
      </c>
      <c r="C642" s="22">
        <f>IF('Brouillard ventes'!$F$219="","",YEAR('Brouillard ventes'!$A$219)*10000+MONTH('Brouillard ventes'!$A$219)*100+DAY('Brouillard ventes'!$A$219))</f>
        <v/>
      </c>
      <c r="D642" s="22">
        <f>IF('Brouillard ventes'!$F$219="","",'Brouillard ventes'!$B$219)</f>
        <v/>
      </c>
      <c r="E642" s="22">
        <f>IF('Brouillard ventes'!$F$219="","",LEFT('Brouillard ventes'!$D$219,30))</f>
        <v/>
      </c>
      <c r="F642" s="22" t="inlineStr">
        <is>
          <t>15001</t>
        </is>
      </c>
      <c r="G642" s="22">
        <f>IF('Brouillard ventes'!$F$219="","",IF('Brouillard ventes'!$E$219="Réparation",Paramètres!$B$9,Paramètres!$B$8))</f>
        <v/>
      </c>
      <c r="H642" s="22" t="inlineStr"/>
      <c r="I642" s="22" t="inlineStr"/>
      <c r="J642" s="22" t="inlineStr"/>
      <c r="K642" s="22">
        <f>IF('Brouillard ventes'!$F$219="","",Paramètres!$B$11)</f>
        <v/>
      </c>
      <c r="L642" s="23" t="n">
        <v>0</v>
      </c>
      <c r="M642" s="23">
        <f>IF('Brouillard ventes'!$F$219="","",'Brouillard ventes'!$F$219)</f>
        <v/>
      </c>
    </row>
    <row r="643">
      <c r="A643" s="22" t="inlineStr">
        <is>
          <t>1</t>
        </is>
      </c>
      <c r="B643" s="22">
        <f>IF('Brouillard ventes'!$F$219="","","VD"&amp;TEXT(ROW('Brouillard ventes'!$F$219)-5,"00000"))</f>
        <v/>
      </c>
      <c r="C643" s="22">
        <f>IF('Brouillard ventes'!$F$219="","",YEAR('Brouillard ventes'!$A$219)*10000+MONTH('Brouillard ventes'!$A$219)*100+DAY('Brouillard ventes'!$A$219))</f>
        <v/>
      </c>
      <c r="D643" s="22">
        <f>IF('Brouillard ventes'!$F$219="","",'Brouillard ventes'!$B$219)</f>
        <v/>
      </c>
      <c r="E643" s="22">
        <f>IF('Brouillard ventes'!$F$219="","",LEFT('Brouillard ventes'!$D$219,30))</f>
        <v/>
      </c>
      <c r="F643" s="22" t="inlineStr">
        <is>
          <t>15001</t>
        </is>
      </c>
      <c r="G643" s="22">
        <f>IF('Brouillard ventes'!$F$219="","",Paramètres!$B$10)</f>
        <v/>
      </c>
      <c r="H643" s="22" t="inlineStr"/>
      <c r="I643" s="22" t="inlineStr"/>
      <c r="J643" s="22" t="inlineStr"/>
      <c r="K643" s="22">
        <f>IF('Brouillard ventes'!$F$219="","",Paramètres!$B$11)</f>
        <v/>
      </c>
      <c r="L643" s="23" t="n">
        <v>0</v>
      </c>
      <c r="M643" s="23">
        <f>IF('Brouillard ventes'!$F$219="","",'Brouillard ventes'!$H$219)</f>
        <v/>
      </c>
    </row>
    <row r="644">
      <c r="A644" s="22" t="inlineStr">
        <is>
          <t>1</t>
        </is>
      </c>
      <c r="B644" s="22">
        <f>IF('Brouillard ventes'!$F$220="","","VD"&amp;TEXT(ROW('Brouillard ventes'!$F$220)-5,"00000"))</f>
        <v/>
      </c>
      <c r="C644" s="22">
        <f>IF('Brouillard ventes'!$F$220="","",YEAR('Brouillard ventes'!$A$220)*10000+MONTH('Brouillard ventes'!$A$220)*100+DAY('Brouillard ventes'!$A$220))</f>
        <v/>
      </c>
      <c r="D644" s="22">
        <f>IF('Brouillard ventes'!$F$220="","",'Brouillard ventes'!$B$220)</f>
        <v/>
      </c>
      <c r="E644" s="22">
        <f>IF('Brouillard ventes'!$F$220="","",LEFT('Brouillard ventes'!$D$220,30))</f>
        <v/>
      </c>
      <c r="F644" s="22" t="inlineStr">
        <is>
          <t>15001</t>
        </is>
      </c>
      <c r="G644" s="22">
        <f>IF('Brouillard ventes'!$F$220="","",Paramètres!$B$7)</f>
        <v/>
      </c>
      <c r="H644" s="22">
        <f>IF('Brouillard ventes'!$F$220="","",IF('Brouillard ventes'!$C$220="","CD001",'Brouillard ventes'!$C$220))</f>
        <v/>
      </c>
      <c r="I644" s="22" t="inlineStr"/>
      <c r="J644" s="22" t="inlineStr"/>
      <c r="K644" s="22">
        <f>IF('Brouillard ventes'!$F$220="","",Paramètres!$B$11)</f>
        <v/>
      </c>
      <c r="L644" s="23">
        <f>IF('Brouillard ventes'!$F$220="","",'Brouillard ventes'!$I$220)</f>
        <v/>
      </c>
      <c r="M644" s="23" t="n">
        <v>0</v>
      </c>
    </row>
    <row r="645">
      <c r="A645" s="22" t="inlineStr">
        <is>
          <t>1</t>
        </is>
      </c>
      <c r="B645" s="22">
        <f>IF('Brouillard ventes'!$F$220="","","VD"&amp;TEXT(ROW('Brouillard ventes'!$F$220)-5,"00000"))</f>
        <v/>
      </c>
      <c r="C645" s="22">
        <f>IF('Brouillard ventes'!$F$220="","",YEAR('Brouillard ventes'!$A$220)*10000+MONTH('Brouillard ventes'!$A$220)*100+DAY('Brouillard ventes'!$A$220))</f>
        <v/>
      </c>
      <c r="D645" s="22">
        <f>IF('Brouillard ventes'!$F$220="","",'Brouillard ventes'!$B$220)</f>
        <v/>
      </c>
      <c r="E645" s="22">
        <f>IF('Brouillard ventes'!$F$220="","",LEFT('Brouillard ventes'!$D$220,30))</f>
        <v/>
      </c>
      <c r="F645" s="22" t="inlineStr">
        <is>
          <t>15001</t>
        </is>
      </c>
      <c r="G645" s="22">
        <f>IF('Brouillard ventes'!$F$220="","",IF('Brouillard ventes'!$E$220="Réparation",Paramètres!$B$9,Paramètres!$B$8))</f>
        <v/>
      </c>
      <c r="H645" s="22" t="inlineStr"/>
      <c r="I645" s="22" t="inlineStr"/>
      <c r="J645" s="22" t="inlineStr"/>
      <c r="K645" s="22">
        <f>IF('Brouillard ventes'!$F$220="","",Paramètres!$B$11)</f>
        <v/>
      </c>
      <c r="L645" s="23" t="n">
        <v>0</v>
      </c>
      <c r="M645" s="23">
        <f>IF('Brouillard ventes'!$F$220="","",'Brouillard ventes'!$F$220)</f>
        <v/>
      </c>
    </row>
    <row r="646">
      <c r="A646" s="22" t="inlineStr">
        <is>
          <t>1</t>
        </is>
      </c>
      <c r="B646" s="22">
        <f>IF('Brouillard ventes'!$F$220="","","VD"&amp;TEXT(ROW('Brouillard ventes'!$F$220)-5,"00000"))</f>
        <v/>
      </c>
      <c r="C646" s="22">
        <f>IF('Brouillard ventes'!$F$220="","",YEAR('Brouillard ventes'!$A$220)*10000+MONTH('Brouillard ventes'!$A$220)*100+DAY('Brouillard ventes'!$A$220))</f>
        <v/>
      </c>
      <c r="D646" s="22">
        <f>IF('Brouillard ventes'!$F$220="","",'Brouillard ventes'!$B$220)</f>
        <v/>
      </c>
      <c r="E646" s="22">
        <f>IF('Brouillard ventes'!$F$220="","",LEFT('Brouillard ventes'!$D$220,30))</f>
        <v/>
      </c>
      <c r="F646" s="22" t="inlineStr">
        <is>
          <t>15001</t>
        </is>
      </c>
      <c r="G646" s="22">
        <f>IF('Brouillard ventes'!$F$220="","",Paramètres!$B$10)</f>
        <v/>
      </c>
      <c r="H646" s="22" t="inlineStr"/>
      <c r="I646" s="22" t="inlineStr"/>
      <c r="J646" s="22" t="inlineStr"/>
      <c r="K646" s="22">
        <f>IF('Brouillard ventes'!$F$220="","",Paramètres!$B$11)</f>
        <v/>
      </c>
      <c r="L646" s="23" t="n">
        <v>0</v>
      </c>
      <c r="M646" s="23">
        <f>IF('Brouillard ventes'!$F$220="","",'Brouillard ventes'!$H$220)</f>
        <v/>
      </c>
    </row>
    <row r="647">
      <c r="A647" s="22" t="inlineStr">
        <is>
          <t>1</t>
        </is>
      </c>
      <c r="B647" s="22">
        <f>IF('Brouillard ventes'!$F$221="","","VD"&amp;TEXT(ROW('Brouillard ventes'!$F$221)-5,"00000"))</f>
        <v/>
      </c>
      <c r="C647" s="22">
        <f>IF('Brouillard ventes'!$F$221="","",YEAR('Brouillard ventes'!$A$221)*10000+MONTH('Brouillard ventes'!$A$221)*100+DAY('Brouillard ventes'!$A$221))</f>
        <v/>
      </c>
      <c r="D647" s="22">
        <f>IF('Brouillard ventes'!$F$221="","",'Brouillard ventes'!$B$221)</f>
        <v/>
      </c>
      <c r="E647" s="22">
        <f>IF('Brouillard ventes'!$F$221="","",LEFT('Brouillard ventes'!$D$221,30))</f>
        <v/>
      </c>
      <c r="F647" s="22" t="inlineStr">
        <is>
          <t>15001</t>
        </is>
      </c>
      <c r="G647" s="22">
        <f>IF('Brouillard ventes'!$F$221="","",Paramètres!$B$7)</f>
        <v/>
      </c>
      <c r="H647" s="22">
        <f>IF('Brouillard ventes'!$F$221="","",IF('Brouillard ventes'!$C$221="","CD001",'Brouillard ventes'!$C$221))</f>
        <v/>
      </c>
      <c r="I647" s="22" t="inlineStr"/>
      <c r="J647" s="22" t="inlineStr"/>
      <c r="K647" s="22">
        <f>IF('Brouillard ventes'!$F$221="","",Paramètres!$B$11)</f>
        <v/>
      </c>
      <c r="L647" s="23">
        <f>IF('Brouillard ventes'!$F$221="","",'Brouillard ventes'!$I$221)</f>
        <v/>
      </c>
      <c r="M647" s="23" t="n">
        <v>0</v>
      </c>
    </row>
    <row r="648">
      <c r="A648" s="22" t="inlineStr">
        <is>
          <t>1</t>
        </is>
      </c>
      <c r="B648" s="22">
        <f>IF('Brouillard ventes'!$F$221="","","VD"&amp;TEXT(ROW('Brouillard ventes'!$F$221)-5,"00000"))</f>
        <v/>
      </c>
      <c r="C648" s="22">
        <f>IF('Brouillard ventes'!$F$221="","",YEAR('Brouillard ventes'!$A$221)*10000+MONTH('Brouillard ventes'!$A$221)*100+DAY('Brouillard ventes'!$A$221))</f>
        <v/>
      </c>
      <c r="D648" s="22">
        <f>IF('Brouillard ventes'!$F$221="","",'Brouillard ventes'!$B$221)</f>
        <v/>
      </c>
      <c r="E648" s="22">
        <f>IF('Brouillard ventes'!$F$221="","",LEFT('Brouillard ventes'!$D$221,30))</f>
        <v/>
      </c>
      <c r="F648" s="22" t="inlineStr">
        <is>
          <t>15001</t>
        </is>
      </c>
      <c r="G648" s="22">
        <f>IF('Brouillard ventes'!$F$221="","",IF('Brouillard ventes'!$E$221="Réparation",Paramètres!$B$9,Paramètres!$B$8))</f>
        <v/>
      </c>
      <c r="H648" s="22" t="inlineStr"/>
      <c r="I648" s="22" t="inlineStr"/>
      <c r="J648" s="22" t="inlineStr"/>
      <c r="K648" s="22">
        <f>IF('Brouillard ventes'!$F$221="","",Paramètres!$B$11)</f>
        <v/>
      </c>
      <c r="L648" s="23" t="n">
        <v>0</v>
      </c>
      <c r="M648" s="23">
        <f>IF('Brouillard ventes'!$F$221="","",'Brouillard ventes'!$F$221)</f>
        <v/>
      </c>
    </row>
    <row r="649">
      <c r="A649" s="22" t="inlineStr">
        <is>
          <t>1</t>
        </is>
      </c>
      <c r="B649" s="22">
        <f>IF('Brouillard ventes'!$F$221="","","VD"&amp;TEXT(ROW('Brouillard ventes'!$F$221)-5,"00000"))</f>
        <v/>
      </c>
      <c r="C649" s="22">
        <f>IF('Brouillard ventes'!$F$221="","",YEAR('Brouillard ventes'!$A$221)*10000+MONTH('Brouillard ventes'!$A$221)*100+DAY('Brouillard ventes'!$A$221))</f>
        <v/>
      </c>
      <c r="D649" s="22">
        <f>IF('Brouillard ventes'!$F$221="","",'Brouillard ventes'!$B$221)</f>
        <v/>
      </c>
      <c r="E649" s="22">
        <f>IF('Brouillard ventes'!$F$221="","",LEFT('Brouillard ventes'!$D$221,30))</f>
        <v/>
      </c>
      <c r="F649" s="22" t="inlineStr">
        <is>
          <t>15001</t>
        </is>
      </c>
      <c r="G649" s="22">
        <f>IF('Brouillard ventes'!$F$221="","",Paramètres!$B$10)</f>
        <v/>
      </c>
      <c r="H649" s="22" t="inlineStr"/>
      <c r="I649" s="22" t="inlineStr"/>
      <c r="J649" s="22" t="inlineStr"/>
      <c r="K649" s="22">
        <f>IF('Brouillard ventes'!$F$221="","",Paramètres!$B$11)</f>
        <v/>
      </c>
      <c r="L649" s="23" t="n">
        <v>0</v>
      </c>
      <c r="M649" s="23">
        <f>IF('Brouillard ventes'!$F$221="","",'Brouillard ventes'!$H$221)</f>
        <v/>
      </c>
    </row>
    <row r="650">
      <c r="A650" s="22" t="inlineStr">
        <is>
          <t>1</t>
        </is>
      </c>
      <c r="B650" s="22">
        <f>IF('Brouillard ventes'!$F$222="","","VD"&amp;TEXT(ROW('Brouillard ventes'!$F$222)-5,"00000"))</f>
        <v/>
      </c>
      <c r="C650" s="22">
        <f>IF('Brouillard ventes'!$F$222="","",YEAR('Brouillard ventes'!$A$222)*10000+MONTH('Brouillard ventes'!$A$222)*100+DAY('Brouillard ventes'!$A$222))</f>
        <v/>
      </c>
      <c r="D650" s="22">
        <f>IF('Brouillard ventes'!$F$222="","",'Brouillard ventes'!$B$222)</f>
        <v/>
      </c>
      <c r="E650" s="22">
        <f>IF('Brouillard ventes'!$F$222="","",LEFT('Brouillard ventes'!$D$222,30))</f>
        <v/>
      </c>
      <c r="F650" s="22" t="inlineStr">
        <is>
          <t>15001</t>
        </is>
      </c>
      <c r="G650" s="22">
        <f>IF('Brouillard ventes'!$F$222="","",Paramètres!$B$7)</f>
        <v/>
      </c>
      <c r="H650" s="22">
        <f>IF('Brouillard ventes'!$F$222="","",IF('Brouillard ventes'!$C$222="","CD001",'Brouillard ventes'!$C$222))</f>
        <v/>
      </c>
      <c r="I650" s="22" t="inlineStr"/>
      <c r="J650" s="22" t="inlineStr"/>
      <c r="K650" s="22">
        <f>IF('Brouillard ventes'!$F$222="","",Paramètres!$B$11)</f>
        <v/>
      </c>
      <c r="L650" s="23">
        <f>IF('Brouillard ventes'!$F$222="","",'Brouillard ventes'!$I$222)</f>
        <v/>
      </c>
      <c r="M650" s="23" t="n">
        <v>0</v>
      </c>
    </row>
    <row r="651">
      <c r="A651" s="22" t="inlineStr">
        <is>
          <t>1</t>
        </is>
      </c>
      <c r="B651" s="22">
        <f>IF('Brouillard ventes'!$F$222="","","VD"&amp;TEXT(ROW('Brouillard ventes'!$F$222)-5,"00000"))</f>
        <v/>
      </c>
      <c r="C651" s="22">
        <f>IF('Brouillard ventes'!$F$222="","",YEAR('Brouillard ventes'!$A$222)*10000+MONTH('Brouillard ventes'!$A$222)*100+DAY('Brouillard ventes'!$A$222))</f>
        <v/>
      </c>
      <c r="D651" s="22">
        <f>IF('Brouillard ventes'!$F$222="","",'Brouillard ventes'!$B$222)</f>
        <v/>
      </c>
      <c r="E651" s="22">
        <f>IF('Brouillard ventes'!$F$222="","",LEFT('Brouillard ventes'!$D$222,30))</f>
        <v/>
      </c>
      <c r="F651" s="22" t="inlineStr">
        <is>
          <t>15001</t>
        </is>
      </c>
      <c r="G651" s="22">
        <f>IF('Brouillard ventes'!$F$222="","",IF('Brouillard ventes'!$E$222="Réparation",Paramètres!$B$9,Paramètres!$B$8))</f>
        <v/>
      </c>
      <c r="H651" s="22" t="inlineStr"/>
      <c r="I651" s="22" t="inlineStr"/>
      <c r="J651" s="22" t="inlineStr"/>
      <c r="K651" s="22">
        <f>IF('Brouillard ventes'!$F$222="","",Paramètres!$B$11)</f>
        <v/>
      </c>
      <c r="L651" s="23" t="n">
        <v>0</v>
      </c>
      <c r="M651" s="23">
        <f>IF('Brouillard ventes'!$F$222="","",'Brouillard ventes'!$F$222)</f>
        <v/>
      </c>
    </row>
    <row r="652">
      <c r="A652" s="22" t="inlineStr">
        <is>
          <t>1</t>
        </is>
      </c>
      <c r="B652" s="22">
        <f>IF('Brouillard ventes'!$F$222="","","VD"&amp;TEXT(ROW('Brouillard ventes'!$F$222)-5,"00000"))</f>
        <v/>
      </c>
      <c r="C652" s="22">
        <f>IF('Brouillard ventes'!$F$222="","",YEAR('Brouillard ventes'!$A$222)*10000+MONTH('Brouillard ventes'!$A$222)*100+DAY('Brouillard ventes'!$A$222))</f>
        <v/>
      </c>
      <c r="D652" s="22">
        <f>IF('Brouillard ventes'!$F$222="","",'Brouillard ventes'!$B$222)</f>
        <v/>
      </c>
      <c r="E652" s="22">
        <f>IF('Brouillard ventes'!$F$222="","",LEFT('Brouillard ventes'!$D$222,30))</f>
        <v/>
      </c>
      <c r="F652" s="22" t="inlineStr">
        <is>
          <t>15001</t>
        </is>
      </c>
      <c r="G652" s="22">
        <f>IF('Brouillard ventes'!$F$222="","",Paramètres!$B$10)</f>
        <v/>
      </c>
      <c r="H652" s="22" t="inlineStr"/>
      <c r="I652" s="22" t="inlineStr"/>
      <c r="J652" s="22" t="inlineStr"/>
      <c r="K652" s="22">
        <f>IF('Brouillard ventes'!$F$222="","",Paramètres!$B$11)</f>
        <v/>
      </c>
      <c r="L652" s="23" t="n">
        <v>0</v>
      </c>
      <c r="M652" s="23">
        <f>IF('Brouillard ventes'!$F$222="","",'Brouillard ventes'!$H$222)</f>
        <v/>
      </c>
    </row>
    <row r="653">
      <c r="A653" s="22" t="inlineStr">
        <is>
          <t>1</t>
        </is>
      </c>
      <c r="B653" s="22">
        <f>IF('Brouillard ventes'!$F$223="","","VD"&amp;TEXT(ROW('Brouillard ventes'!$F$223)-5,"00000"))</f>
        <v/>
      </c>
      <c r="C653" s="22">
        <f>IF('Brouillard ventes'!$F$223="","",YEAR('Brouillard ventes'!$A$223)*10000+MONTH('Brouillard ventes'!$A$223)*100+DAY('Brouillard ventes'!$A$223))</f>
        <v/>
      </c>
      <c r="D653" s="22">
        <f>IF('Brouillard ventes'!$F$223="","",'Brouillard ventes'!$B$223)</f>
        <v/>
      </c>
      <c r="E653" s="22">
        <f>IF('Brouillard ventes'!$F$223="","",LEFT('Brouillard ventes'!$D$223,30))</f>
        <v/>
      </c>
      <c r="F653" s="22" t="inlineStr">
        <is>
          <t>15001</t>
        </is>
      </c>
      <c r="G653" s="22">
        <f>IF('Brouillard ventes'!$F$223="","",Paramètres!$B$7)</f>
        <v/>
      </c>
      <c r="H653" s="22">
        <f>IF('Brouillard ventes'!$F$223="","",IF('Brouillard ventes'!$C$223="","CD001",'Brouillard ventes'!$C$223))</f>
        <v/>
      </c>
      <c r="I653" s="22" t="inlineStr"/>
      <c r="J653" s="22" t="inlineStr"/>
      <c r="K653" s="22">
        <f>IF('Brouillard ventes'!$F$223="","",Paramètres!$B$11)</f>
        <v/>
      </c>
      <c r="L653" s="23">
        <f>IF('Brouillard ventes'!$F$223="","",'Brouillard ventes'!$I$223)</f>
        <v/>
      </c>
      <c r="M653" s="23" t="n">
        <v>0</v>
      </c>
    </row>
    <row r="654">
      <c r="A654" s="22" t="inlineStr">
        <is>
          <t>1</t>
        </is>
      </c>
      <c r="B654" s="22">
        <f>IF('Brouillard ventes'!$F$223="","","VD"&amp;TEXT(ROW('Brouillard ventes'!$F$223)-5,"00000"))</f>
        <v/>
      </c>
      <c r="C654" s="22">
        <f>IF('Brouillard ventes'!$F$223="","",YEAR('Brouillard ventes'!$A$223)*10000+MONTH('Brouillard ventes'!$A$223)*100+DAY('Brouillard ventes'!$A$223))</f>
        <v/>
      </c>
      <c r="D654" s="22">
        <f>IF('Brouillard ventes'!$F$223="","",'Brouillard ventes'!$B$223)</f>
        <v/>
      </c>
      <c r="E654" s="22">
        <f>IF('Brouillard ventes'!$F$223="","",LEFT('Brouillard ventes'!$D$223,30))</f>
        <v/>
      </c>
      <c r="F654" s="22" t="inlineStr">
        <is>
          <t>15001</t>
        </is>
      </c>
      <c r="G654" s="22">
        <f>IF('Brouillard ventes'!$F$223="","",IF('Brouillard ventes'!$E$223="Réparation",Paramètres!$B$9,Paramètres!$B$8))</f>
        <v/>
      </c>
      <c r="H654" s="22" t="inlineStr"/>
      <c r="I654" s="22" t="inlineStr"/>
      <c r="J654" s="22" t="inlineStr"/>
      <c r="K654" s="22">
        <f>IF('Brouillard ventes'!$F$223="","",Paramètres!$B$11)</f>
        <v/>
      </c>
      <c r="L654" s="23" t="n">
        <v>0</v>
      </c>
      <c r="M654" s="23">
        <f>IF('Brouillard ventes'!$F$223="","",'Brouillard ventes'!$F$223)</f>
        <v/>
      </c>
    </row>
    <row r="655">
      <c r="A655" s="22" t="inlineStr">
        <is>
          <t>1</t>
        </is>
      </c>
      <c r="B655" s="22">
        <f>IF('Brouillard ventes'!$F$223="","","VD"&amp;TEXT(ROW('Brouillard ventes'!$F$223)-5,"00000"))</f>
        <v/>
      </c>
      <c r="C655" s="22">
        <f>IF('Brouillard ventes'!$F$223="","",YEAR('Brouillard ventes'!$A$223)*10000+MONTH('Brouillard ventes'!$A$223)*100+DAY('Brouillard ventes'!$A$223))</f>
        <v/>
      </c>
      <c r="D655" s="22">
        <f>IF('Brouillard ventes'!$F$223="","",'Brouillard ventes'!$B$223)</f>
        <v/>
      </c>
      <c r="E655" s="22">
        <f>IF('Brouillard ventes'!$F$223="","",LEFT('Brouillard ventes'!$D$223,30))</f>
        <v/>
      </c>
      <c r="F655" s="22" t="inlineStr">
        <is>
          <t>15001</t>
        </is>
      </c>
      <c r="G655" s="22">
        <f>IF('Brouillard ventes'!$F$223="","",Paramètres!$B$10)</f>
        <v/>
      </c>
      <c r="H655" s="22" t="inlineStr"/>
      <c r="I655" s="22" t="inlineStr"/>
      <c r="J655" s="22" t="inlineStr"/>
      <c r="K655" s="22">
        <f>IF('Brouillard ventes'!$F$223="","",Paramètres!$B$11)</f>
        <v/>
      </c>
      <c r="L655" s="23" t="n">
        <v>0</v>
      </c>
      <c r="M655" s="23">
        <f>IF('Brouillard ventes'!$F$223="","",'Brouillard ventes'!$H$223)</f>
        <v/>
      </c>
    </row>
    <row r="656">
      <c r="A656" s="22" t="inlineStr">
        <is>
          <t>1</t>
        </is>
      </c>
      <c r="B656" s="22">
        <f>IF('Brouillard ventes'!$F$224="","","VD"&amp;TEXT(ROW('Brouillard ventes'!$F$224)-5,"00000"))</f>
        <v/>
      </c>
      <c r="C656" s="22">
        <f>IF('Brouillard ventes'!$F$224="","",YEAR('Brouillard ventes'!$A$224)*10000+MONTH('Brouillard ventes'!$A$224)*100+DAY('Brouillard ventes'!$A$224))</f>
        <v/>
      </c>
      <c r="D656" s="22">
        <f>IF('Brouillard ventes'!$F$224="","",'Brouillard ventes'!$B$224)</f>
        <v/>
      </c>
      <c r="E656" s="22">
        <f>IF('Brouillard ventes'!$F$224="","",LEFT('Brouillard ventes'!$D$224,30))</f>
        <v/>
      </c>
      <c r="F656" s="22" t="inlineStr">
        <is>
          <t>15001</t>
        </is>
      </c>
      <c r="G656" s="22">
        <f>IF('Brouillard ventes'!$F$224="","",Paramètres!$B$7)</f>
        <v/>
      </c>
      <c r="H656" s="22">
        <f>IF('Brouillard ventes'!$F$224="","",IF('Brouillard ventes'!$C$224="","CD001",'Brouillard ventes'!$C$224))</f>
        <v/>
      </c>
      <c r="I656" s="22" t="inlineStr"/>
      <c r="J656" s="22" t="inlineStr"/>
      <c r="K656" s="22">
        <f>IF('Brouillard ventes'!$F$224="","",Paramètres!$B$11)</f>
        <v/>
      </c>
      <c r="L656" s="23">
        <f>IF('Brouillard ventes'!$F$224="","",'Brouillard ventes'!$I$224)</f>
        <v/>
      </c>
      <c r="M656" s="23" t="n">
        <v>0</v>
      </c>
    </row>
    <row r="657">
      <c r="A657" s="22" t="inlineStr">
        <is>
          <t>1</t>
        </is>
      </c>
      <c r="B657" s="22">
        <f>IF('Brouillard ventes'!$F$224="","","VD"&amp;TEXT(ROW('Brouillard ventes'!$F$224)-5,"00000"))</f>
        <v/>
      </c>
      <c r="C657" s="22">
        <f>IF('Brouillard ventes'!$F$224="","",YEAR('Brouillard ventes'!$A$224)*10000+MONTH('Brouillard ventes'!$A$224)*100+DAY('Brouillard ventes'!$A$224))</f>
        <v/>
      </c>
      <c r="D657" s="22">
        <f>IF('Brouillard ventes'!$F$224="","",'Brouillard ventes'!$B$224)</f>
        <v/>
      </c>
      <c r="E657" s="22">
        <f>IF('Brouillard ventes'!$F$224="","",LEFT('Brouillard ventes'!$D$224,30))</f>
        <v/>
      </c>
      <c r="F657" s="22" t="inlineStr">
        <is>
          <t>15001</t>
        </is>
      </c>
      <c r="G657" s="22">
        <f>IF('Brouillard ventes'!$F$224="","",IF('Brouillard ventes'!$E$224="Réparation",Paramètres!$B$9,Paramètres!$B$8))</f>
        <v/>
      </c>
      <c r="H657" s="22" t="inlineStr"/>
      <c r="I657" s="22" t="inlineStr"/>
      <c r="J657" s="22" t="inlineStr"/>
      <c r="K657" s="22">
        <f>IF('Brouillard ventes'!$F$224="","",Paramètres!$B$11)</f>
        <v/>
      </c>
      <c r="L657" s="23" t="n">
        <v>0</v>
      </c>
      <c r="M657" s="23">
        <f>IF('Brouillard ventes'!$F$224="","",'Brouillard ventes'!$F$224)</f>
        <v/>
      </c>
    </row>
    <row r="658">
      <c r="A658" s="22" t="inlineStr">
        <is>
          <t>1</t>
        </is>
      </c>
      <c r="B658" s="22">
        <f>IF('Brouillard ventes'!$F$224="","","VD"&amp;TEXT(ROW('Brouillard ventes'!$F$224)-5,"00000"))</f>
        <v/>
      </c>
      <c r="C658" s="22">
        <f>IF('Brouillard ventes'!$F$224="","",YEAR('Brouillard ventes'!$A$224)*10000+MONTH('Brouillard ventes'!$A$224)*100+DAY('Brouillard ventes'!$A$224))</f>
        <v/>
      </c>
      <c r="D658" s="22">
        <f>IF('Brouillard ventes'!$F$224="","",'Brouillard ventes'!$B$224)</f>
        <v/>
      </c>
      <c r="E658" s="22">
        <f>IF('Brouillard ventes'!$F$224="","",LEFT('Brouillard ventes'!$D$224,30))</f>
        <v/>
      </c>
      <c r="F658" s="22" t="inlineStr">
        <is>
          <t>15001</t>
        </is>
      </c>
      <c r="G658" s="22">
        <f>IF('Brouillard ventes'!$F$224="","",Paramètres!$B$10)</f>
        <v/>
      </c>
      <c r="H658" s="22" t="inlineStr"/>
      <c r="I658" s="22" t="inlineStr"/>
      <c r="J658" s="22" t="inlineStr"/>
      <c r="K658" s="22">
        <f>IF('Brouillard ventes'!$F$224="","",Paramètres!$B$11)</f>
        <v/>
      </c>
      <c r="L658" s="23" t="n">
        <v>0</v>
      </c>
      <c r="M658" s="23">
        <f>IF('Brouillard ventes'!$F$224="","",'Brouillard ventes'!$H$224)</f>
        <v/>
      </c>
    </row>
    <row r="659">
      <c r="A659" s="22" t="inlineStr">
        <is>
          <t>1</t>
        </is>
      </c>
      <c r="B659" s="22">
        <f>IF('Brouillard ventes'!$F$225="","","VD"&amp;TEXT(ROW('Brouillard ventes'!$F$225)-5,"00000"))</f>
        <v/>
      </c>
      <c r="C659" s="22">
        <f>IF('Brouillard ventes'!$F$225="","",YEAR('Brouillard ventes'!$A$225)*10000+MONTH('Brouillard ventes'!$A$225)*100+DAY('Brouillard ventes'!$A$225))</f>
        <v/>
      </c>
      <c r="D659" s="22">
        <f>IF('Brouillard ventes'!$F$225="","",'Brouillard ventes'!$B$225)</f>
        <v/>
      </c>
      <c r="E659" s="22">
        <f>IF('Brouillard ventes'!$F$225="","",LEFT('Brouillard ventes'!$D$225,30))</f>
        <v/>
      </c>
      <c r="F659" s="22" t="inlineStr">
        <is>
          <t>15001</t>
        </is>
      </c>
      <c r="G659" s="22">
        <f>IF('Brouillard ventes'!$F$225="","",Paramètres!$B$7)</f>
        <v/>
      </c>
      <c r="H659" s="22">
        <f>IF('Brouillard ventes'!$F$225="","",IF('Brouillard ventes'!$C$225="","CD001",'Brouillard ventes'!$C$225))</f>
        <v/>
      </c>
      <c r="I659" s="22" t="inlineStr"/>
      <c r="J659" s="22" t="inlineStr"/>
      <c r="K659" s="22">
        <f>IF('Brouillard ventes'!$F$225="","",Paramètres!$B$11)</f>
        <v/>
      </c>
      <c r="L659" s="23">
        <f>IF('Brouillard ventes'!$F$225="","",'Brouillard ventes'!$I$225)</f>
        <v/>
      </c>
      <c r="M659" s="23" t="n">
        <v>0</v>
      </c>
    </row>
    <row r="660">
      <c r="A660" s="22" t="inlineStr">
        <is>
          <t>1</t>
        </is>
      </c>
      <c r="B660" s="22">
        <f>IF('Brouillard ventes'!$F$225="","","VD"&amp;TEXT(ROW('Brouillard ventes'!$F$225)-5,"00000"))</f>
        <v/>
      </c>
      <c r="C660" s="22">
        <f>IF('Brouillard ventes'!$F$225="","",YEAR('Brouillard ventes'!$A$225)*10000+MONTH('Brouillard ventes'!$A$225)*100+DAY('Brouillard ventes'!$A$225))</f>
        <v/>
      </c>
      <c r="D660" s="22">
        <f>IF('Brouillard ventes'!$F$225="","",'Brouillard ventes'!$B$225)</f>
        <v/>
      </c>
      <c r="E660" s="22">
        <f>IF('Brouillard ventes'!$F$225="","",LEFT('Brouillard ventes'!$D$225,30))</f>
        <v/>
      </c>
      <c r="F660" s="22" t="inlineStr">
        <is>
          <t>15001</t>
        </is>
      </c>
      <c r="G660" s="22">
        <f>IF('Brouillard ventes'!$F$225="","",IF('Brouillard ventes'!$E$225="Réparation",Paramètres!$B$9,Paramètres!$B$8))</f>
        <v/>
      </c>
      <c r="H660" s="22" t="inlineStr"/>
      <c r="I660" s="22" t="inlineStr"/>
      <c r="J660" s="22" t="inlineStr"/>
      <c r="K660" s="22">
        <f>IF('Brouillard ventes'!$F$225="","",Paramètres!$B$11)</f>
        <v/>
      </c>
      <c r="L660" s="23" t="n">
        <v>0</v>
      </c>
      <c r="M660" s="23">
        <f>IF('Brouillard ventes'!$F$225="","",'Brouillard ventes'!$F$225)</f>
        <v/>
      </c>
    </row>
    <row r="661">
      <c r="A661" s="22" t="inlineStr">
        <is>
          <t>1</t>
        </is>
      </c>
      <c r="B661" s="22">
        <f>IF('Brouillard ventes'!$F$225="","","VD"&amp;TEXT(ROW('Brouillard ventes'!$F$225)-5,"00000"))</f>
        <v/>
      </c>
      <c r="C661" s="22">
        <f>IF('Brouillard ventes'!$F$225="","",YEAR('Brouillard ventes'!$A$225)*10000+MONTH('Brouillard ventes'!$A$225)*100+DAY('Brouillard ventes'!$A$225))</f>
        <v/>
      </c>
      <c r="D661" s="22">
        <f>IF('Brouillard ventes'!$F$225="","",'Brouillard ventes'!$B$225)</f>
        <v/>
      </c>
      <c r="E661" s="22">
        <f>IF('Brouillard ventes'!$F$225="","",LEFT('Brouillard ventes'!$D$225,30))</f>
        <v/>
      </c>
      <c r="F661" s="22" t="inlineStr">
        <is>
          <t>15001</t>
        </is>
      </c>
      <c r="G661" s="22">
        <f>IF('Brouillard ventes'!$F$225="","",Paramètres!$B$10)</f>
        <v/>
      </c>
      <c r="H661" s="22" t="inlineStr"/>
      <c r="I661" s="22" t="inlineStr"/>
      <c r="J661" s="22" t="inlineStr"/>
      <c r="K661" s="22">
        <f>IF('Brouillard ventes'!$F$225="","",Paramètres!$B$11)</f>
        <v/>
      </c>
      <c r="L661" s="23" t="n">
        <v>0</v>
      </c>
      <c r="M661" s="23">
        <f>IF('Brouillard ventes'!$F$225="","",'Brouillard ventes'!$H$225)</f>
        <v/>
      </c>
    </row>
    <row r="662">
      <c r="A662" s="22" t="inlineStr">
        <is>
          <t>1</t>
        </is>
      </c>
      <c r="B662" s="22">
        <f>IF('Brouillard ventes'!$F$226="","","VD"&amp;TEXT(ROW('Brouillard ventes'!$F$226)-5,"00000"))</f>
        <v/>
      </c>
      <c r="C662" s="22">
        <f>IF('Brouillard ventes'!$F$226="","",YEAR('Brouillard ventes'!$A$226)*10000+MONTH('Brouillard ventes'!$A$226)*100+DAY('Brouillard ventes'!$A$226))</f>
        <v/>
      </c>
      <c r="D662" s="22">
        <f>IF('Brouillard ventes'!$F$226="","",'Brouillard ventes'!$B$226)</f>
        <v/>
      </c>
      <c r="E662" s="22">
        <f>IF('Brouillard ventes'!$F$226="","",LEFT('Brouillard ventes'!$D$226,30))</f>
        <v/>
      </c>
      <c r="F662" s="22" t="inlineStr">
        <is>
          <t>15001</t>
        </is>
      </c>
      <c r="G662" s="22">
        <f>IF('Brouillard ventes'!$F$226="","",Paramètres!$B$7)</f>
        <v/>
      </c>
      <c r="H662" s="22">
        <f>IF('Brouillard ventes'!$F$226="","",IF('Brouillard ventes'!$C$226="","CD001",'Brouillard ventes'!$C$226))</f>
        <v/>
      </c>
      <c r="I662" s="22" t="inlineStr"/>
      <c r="J662" s="22" t="inlineStr"/>
      <c r="K662" s="22">
        <f>IF('Brouillard ventes'!$F$226="","",Paramètres!$B$11)</f>
        <v/>
      </c>
      <c r="L662" s="23">
        <f>IF('Brouillard ventes'!$F$226="","",'Brouillard ventes'!$I$226)</f>
        <v/>
      </c>
      <c r="M662" s="23" t="n">
        <v>0</v>
      </c>
    </row>
    <row r="663">
      <c r="A663" s="22" t="inlineStr">
        <is>
          <t>1</t>
        </is>
      </c>
      <c r="B663" s="22">
        <f>IF('Brouillard ventes'!$F$226="","","VD"&amp;TEXT(ROW('Brouillard ventes'!$F$226)-5,"00000"))</f>
        <v/>
      </c>
      <c r="C663" s="22">
        <f>IF('Brouillard ventes'!$F$226="","",YEAR('Brouillard ventes'!$A$226)*10000+MONTH('Brouillard ventes'!$A$226)*100+DAY('Brouillard ventes'!$A$226))</f>
        <v/>
      </c>
      <c r="D663" s="22">
        <f>IF('Brouillard ventes'!$F$226="","",'Brouillard ventes'!$B$226)</f>
        <v/>
      </c>
      <c r="E663" s="22">
        <f>IF('Brouillard ventes'!$F$226="","",LEFT('Brouillard ventes'!$D$226,30))</f>
        <v/>
      </c>
      <c r="F663" s="22" t="inlineStr">
        <is>
          <t>15001</t>
        </is>
      </c>
      <c r="G663" s="22">
        <f>IF('Brouillard ventes'!$F$226="","",IF('Brouillard ventes'!$E$226="Réparation",Paramètres!$B$9,Paramètres!$B$8))</f>
        <v/>
      </c>
      <c r="H663" s="22" t="inlineStr"/>
      <c r="I663" s="22" t="inlineStr"/>
      <c r="J663" s="22" t="inlineStr"/>
      <c r="K663" s="22">
        <f>IF('Brouillard ventes'!$F$226="","",Paramètres!$B$11)</f>
        <v/>
      </c>
      <c r="L663" s="23" t="n">
        <v>0</v>
      </c>
      <c r="M663" s="23">
        <f>IF('Brouillard ventes'!$F$226="","",'Brouillard ventes'!$F$226)</f>
        <v/>
      </c>
    </row>
    <row r="664">
      <c r="A664" s="22" t="inlineStr">
        <is>
          <t>1</t>
        </is>
      </c>
      <c r="B664" s="22">
        <f>IF('Brouillard ventes'!$F$226="","","VD"&amp;TEXT(ROW('Brouillard ventes'!$F$226)-5,"00000"))</f>
        <v/>
      </c>
      <c r="C664" s="22">
        <f>IF('Brouillard ventes'!$F$226="","",YEAR('Brouillard ventes'!$A$226)*10000+MONTH('Brouillard ventes'!$A$226)*100+DAY('Brouillard ventes'!$A$226))</f>
        <v/>
      </c>
      <c r="D664" s="22">
        <f>IF('Brouillard ventes'!$F$226="","",'Brouillard ventes'!$B$226)</f>
        <v/>
      </c>
      <c r="E664" s="22">
        <f>IF('Brouillard ventes'!$F$226="","",LEFT('Brouillard ventes'!$D$226,30))</f>
        <v/>
      </c>
      <c r="F664" s="22" t="inlineStr">
        <is>
          <t>15001</t>
        </is>
      </c>
      <c r="G664" s="22">
        <f>IF('Brouillard ventes'!$F$226="","",Paramètres!$B$10)</f>
        <v/>
      </c>
      <c r="H664" s="22" t="inlineStr"/>
      <c r="I664" s="22" t="inlineStr"/>
      <c r="J664" s="22" t="inlineStr"/>
      <c r="K664" s="22">
        <f>IF('Brouillard ventes'!$F$226="","",Paramètres!$B$11)</f>
        <v/>
      </c>
      <c r="L664" s="23" t="n">
        <v>0</v>
      </c>
      <c r="M664" s="23">
        <f>IF('Brouillard ventes'!$F$226="","",'Brouillard ventes'!$H$226)</f>
        <v/>
      </c>
    </row>
    <row r="665">
      <c r="A665" s="22" t="inlineStr">
        <is>
          <t>1</t>
        </is>
      </c>
      <c r="B665" s="22">
        <f>IF('Brouillard ventes'!$F$227="","","VD"&amp;TEXT(ROW('Brouillard ventes'!$F$227)-5,"00000"))</f>
        <v/>
      </c>
      <c r="C665" s="22">
        <f>IF('Brouillard ventes'!$F$227="","",YEAR('Brouillard ventes'!$A$227)*10000+MONTH('Brouillard ventes'!$A$227)*100+DAY('Brouillard ventes'!$A$227))</f>
        <v/>
      </c>
      <c r="D665" s="22">
        <f>IF('Brouillard ventes'!$F$227="","",'Brouillard ventes'!$B$227)</f>
        <v/>
      </c>
      <c r="E665" s="22">
        <f>IF('Brouillard ventes'!$F$227="","",LEFT('Brouillard ventes'!$D$227,30))</f>
        <v/>
      </c>
      <c r="F665" s="22" t="inlineStr">
        <is>
          <t>15001</t>
        </is>
      </c>
      <c r="G665" s="22">
        <f>IF('Brouillard ventes'!$F$227="","",Paramètres!$B$7)</f>
        <v/>
      </c>
      <c r="H665" s="22">
        <f>IF('Brouillard ventes'!$F$227="","",IF('Brouillard ventes'!$C$227="","CD001",'Brouillard ventes'!$C$227))</f>
        <v/>
      </c>
      <c r="I665" s="22" t="inlineStr"/>
      <c r="J665" s="22" t="inlineStr"/>
      <c r="K665" s="22">
        <f>IF('Brouillard ventes'!$F$227="","",Paramètres!$B$11)</f>
        <v/>
      </c>
      <c r="L665" s="23">
        <f>IF('Brouillard ventes'!$F$227="","",'Brouillard ventes'!$I$227)</f>
        <v/>
      </c>
      <c r="M665" s="23" t="n">
        <v>0</v>
      </c>
    </row>
    <row r="666">
      <c r="A666" s="22" t="inlineStr">
        <is>
          <t>1</t>
        </is>
      </c>
      <c r="B666" s="22">
        <f>IF('Brouillard ventes'!$F$227="","","VD"&amp;TEXT(ROW('Brouillard ventes'!$F$227)-5,"00000"))</f>
        <v/>
      </c>
      <c r="C666" s="22">
        <f>IF('Brouillard ventes'!$F$227="","",YEAR('Brouillard ventes'!$A$227)*10000+MONTH('Brouillard ventes'!$A$227)*100+DAY('Brouillard ventes'!$A$227))</f>
        <v/>
      </c>
      <c r="D666" s="22">
        <f>IF('Brouillard ventes'!$F$227="","",'Brouillard ventes'!$B$227)</f>
        <v/>
      </c>
      <c r="E666" s="22">
        <f>IF('Brouillard ventes'!$F$227="","",LEFT('Brouillard ventes'!$D$227,30))</f>
        <v/>
      </c>
      <c r="F666" s="22" t="inlineStr">
        <is>
          <t>15001</t>
        </is>
      </c>
      <c r="G666" s="22">
        <f>IF('Brouillard ventes'!$F$227="","",IF('Brouillard ventes'!$E$227="Réparation",Paramètres!$B$9,Paramètres!$B$8))</f>
        <v/>
      </c>
      <c r="H666" s="22" t="inlineStr"/>
      <c r="I666" s="22" t="inlineStr"/>
      <c r="J666" s="22" t="inlineStr"/>
      <c r="K666" s="22">
        <f>IF('Brouillard ventes'!$F$227="","",Paramètres!$B$11)</f>
        <v/>
      </c>
      <c r="L666" s="23" t="n">
        <v>0</v>
      </c>
      <c r="M666" s="23">
        <f>IF('Brouillard ventes'!$F$227="","",'Brouillard ventes'!$F$227)</f>
        <v/>
      </c>
    </row>
    <row r="667">
      <c r="A667" s="22" t="inlineStr">
        <is>
          <t>1</t>
        </is>
      </c>
      <c r="B667" s="22">
        <f>IF('Brouillard ventes'!$F$227="","","VD"&amp;TEXT(ROW('Brouillard ventes'!$F$227)-5,"00000"))</f>
        <v/>
      </c>
      <c r="C667" s="22">
        <f>IF('Brouillard ventes'!$F$227="","",YEAR('Brouillard ventes'!$A$227)*10000+MONTH('Brouillard ventes'!$A$227)*100+DAY('Brouillard ventes'!$A$227))</f>
        <v/>
      </c>
      <c r="D667" s="22">
        <f>IF('Brouillard ventes'!$F$227="","",'Brouillard ventes'!$B$227)</f>
        <v/>
      </c>
      <c r="E667" s="22">
        <f>IF('Brouillard ventes'!$F$227="","",LEFT('Brouillard ventes'!$D$227,30))</f>
        <v/>
      </c>
      <c r="F667" s="22" t="inlineStr">
        <is>
          <t>15001</t>
        </is>
      </c>
      <c r="G667" s="22">
        <f>IF('Brouillard ventes'!$F$227="","",Paramètres!$B$10)</f>
        <v/>
      </c>
      <c r="H667" s="22" t="inlineStr"/>
      <c r="I667" s="22" t="inlineStr"/>
      <c r="J667" s="22" t="inlineStr"/>
      <c r="K667" s="22">
        <f>IF('Brouillard ventes'!$F$227="","",Paramètres!$B$11)</f>
        <v/>
      </c>
      <c r="L667" s="23" t="n">
        <v>0</v>
      </c>
      <c r="M667" s="23">
        <f>IF('Brouillard ventes'!$F$227="","",'Brouillard ventes'!$H$227)</f>
        <v/>
      </c>
    </row>
    <row r="668">
      <c r="A668" s="22" t="inlineStr">
        <is>
          <t>1</t>
        </is>
      </c>
      <c r="B668" s="22">
        <f>IF('Brouillard ventes'!$F$228="","","VD"&amp;TEXT(ROW('Brouillard ventes'!$F$228)-5,"00000"))</f>
        <v/>
      </c>
      <c r="C668" s="22">
        <f>IF('Brouillard ventes'!$F$228="","",YEAR('Brouillard ventes'!$A$228)*10000+MONTH('Brouillard ventes'!$A$228)*100+DAY('Brouillard ventes'!$A$228))</f>
        <v/>
      </c>
      <c r="D668" s="22">
        <f>IF('Brouillard ventes'!$F$228="","",'Brouillard ventes'!$B$228)</f>
        <v/>
      </c>
      <c r="E668" s="22">
        <f>IF('Brouillard ventes'!$F$228="","",LEFT('Brouillard ventes'!$D$228,30))</f>
        <v/>
      </c>
      <c r="F668" s="22" t="inlineStr">
        <is>
          <t>15001</t>
        </is>
      </c>
      <c r="G668" s="22">
        <f>IF('Brouillard ventes'!$F$228="","",Paramètres!$B$7)</f>
        <v/>
      </c>
      <c r="H668" s="22">
        <f>IF('Brouillard ventes'!$F$228="","",IF('Brouillard ventes'!$C$228="","CD001",'Brouillard ventes'!$C$228))</f>
        <v/>
      </c>
      <c r="I668" s="22" t="inlineStr"/>
      <c r="J668" s="22" t="inlineStr"/>
      <c r="K668" s="22">
        <f>IF('Brouillard ventes'!$F$228="","",Paramètres!$B$11)</f>
        <v/>
      </c>
      <c r="L668" s="23">
        <f>IF('Brouillard ventes'!$F$228="","",'Brouillard ventes'!$I$228)</f>
        <v/>
      </c>
      <c r="M668" s="23" t="n">
        <v>0</v>
      </c>
    </row>
    <row r="669">
      <c r="A669" s="22" t="inlineStr">
        <is>
          <t>1</t>
        </is>
      </c>
      <c r="B669" s="22">
        <f>IF('Brouillard ventes'!$F$228="","","VD"&amp;TEXT(ROW('Brouillard ventes'!$F$228)-5,"00000"))</f>
        <v/>
      </c>
      <c r="C669" s="22">
        <f>IF('Brouillard ventes'!$F$228="","",YEAR('Brouillard ventes'!$A$228)*10000+MONTH('Brouillard ventes'!$A$228)*100+DAY('Brouillard ventes'!$A$228))</f>
        <v/>
      </c>
      <c r="D669" s="22">
        <f>IF('Brouillard ventes'!$F$228="","",'Brouillard ventes'!$B$228)</f>
        <v/>
      </c>
      <c r="E669" s="22">
        <f>IF('Brouillard ventes'!$F$228="","",LEFT('Brouillard ventes'!$D$228,30))</f>
        <v/>
      </c>
      <c r="F669" s="22" t="inlineStr">
        <is>
          <t>15001</t>
        </is>
      </c>
      <c r="G669" s="22">
        <f>IF('Brouillard ventes'!$F$228="","",IF('Brouillard ventes'!$E$228="Réparation",Paramètres!$B$9,Paramètres!$B$8))</f>
        <v/>
      </c>
      <c r="H669" s="22" t="inlineStr"/>
      <c r="I669" s="22" t="inlineStr"/>
      <c r="J669" s="22" t="inlineStr"/>
      <c r="K669" s="22">
        <f>IF('Brouillard ventes'!$F$228="","",Paramètres!$B$11)</f>
        <v/>
      </c>
      <c r="L669" s="23" t="n">
        <v>0</v>
      </c>
      <c r="M669" s="23">
        <f>IF('Brouillard ventes'!$F$228="","",'Brouillard ventes'!$F$228)</f>
        <v/>
      </c>
    </row>
    <row r="670">
      <c r="A670" s="22" t="inlineStr">
        <is>
          <t>1</t>
        </is>
      </c>
      <c r="B670" s="22">
        <f>IF('Brouillard ventes'!$F$228="","","VD"&amp;TEXT(ROW('Brouillard ventes'!$F$228)-5,"00000"))</f>
        <v/>
      </c>
      <c r="C670" s="22">
        <f>IF('Brouillard ventes'!$F$228="","",YEAR('Brouillard ventes'!$A$228)*10000+MONTH('Brouillard ventes'!$A$228)*100+DAY('Brouillard ventes'!$A$228))</f>
        <v/>
      </c>
      <c r="D670" s="22">
        <f>IF('Brouillard ventes'!$F$228="","",'Brouillard ventes'!$B$228)</f>
        <v/>
      </c>
      <c r="E670" s="22">
        <f>IF('Brouillard ventes'!$F$228="","",LEFT('Brouillard ventes'!$D$228,30))</f>
        <v/>
      </c>
      <c r="F670" s="22" t="inlineStr">
        <is>
          <t>15001</t>
        </is>
      </c>
      <c r="G670" s="22">
        <f>IF('Brouillard ventes'!$F$228="","",Paramètres!$B$10)</f>
        <v/>
      </c>
      <c r="H670" s="22" t="inlineStr"/>
      <c r="I670" s="22" t="inlineStr"/>
      <c r="J670" s="22" t="inlineStr"/>
      <c r="K670" s="22">
        <f>IF('Brouillard ventes'!$F$228="","",Paramètres!$B$11)</f>
        <v/>
      </c>
      <c r="L670" s="23" t="n">
        <v>0</v>
      </c>
      <c r="M670" s="23">
        <f>IF('Brouillard ventes'!$F$228="","",'Brouillard ventes'!$H$228)</f>
        <v/>
      </c>
    </row>
    <row r="671">
      <c r="A671" s="22" t="inlineStr">
        <is>
          <t>1</t>
        </is>
      </c>
      <c r="B671" s="22">
        <f>IF('Brouillard ventes'!$F$229="","","VD"&amp;TEXT(ROW('Brouillard ventes'!$F$229)-5,"00000"))</f>
        <v/>
      </c>
      <c r="C671" s="22">
        <f>IF('Brouillard ventes'!$F$229="","",YEAR('Brouillard ventes'!$A$229)*10000+MONTH('Brouillard ventes'!$A$229)*100+DAY('Brouillard ventes'!$A$229))</f>
        <v/>
      </c>
      <c r="D671" s="22">
        <f>IF('Brouillard ventes'!$F$229="","",'Brouillard ventes'!$B$229)</f>
        <v/>
      </c>
      <c r="E671" s="22">
        <f>IF('Brouillard ventes'!$F$229="","",LEFT('Brouillard ventes'!$D$229,30))</f>
        <v/>
      </c>
      <c r="F671" s="22" t="inlineStr">
        <is>
          <t>15001</t>
        </is>
      </c>
      <c r="G671" s="22">
        <f>IF('Brouillard ventes'!$F$229="","",Paramètres!$B$7)</f>
        <v/>
      </c>
      <c r="H671" s="22">
        <f>IF('Brouillard ventes'!$F$229="","",IF('Brouillard ventes'!$C$229="","CD001",'Brouillard ventes'!$C$229))</f>
        <v/>
      </c>
      <c r="I671" s="22" t="inlineStr"/>
      <c r="J671" s="22" t="inlineStr"/>
      <c r="K671" s="22">
        <f>IF('Brouillard ventes'!$F$229="","",Paramètres!$B$11)</f>
        <v/>
      </c>
      <c r="L671" s="23">
        <f>IF('Brouillard ventes'!$F$229="","",'Brouillard ventes'!$I$229)</f>
        <v/>
      </c>
      <c r="M671" s="23" t="n">
        <v>0</v>
      </c>
    </row>
    <row r="672">
      <c r="A672" s="22" t="inlineStr">
        <is>
          <t>1</t>
        </is>
      </c>
      <c r="B672" s="22">
        <f>IF('Brouillard ventes'!$F$229="","","VD"&amp;TEXT(ROW('Brouillard ventes'!$F$229)-5,"00000"))</f>
        <v/>
      </c>
      <c r="C672" s="22">
        <f>IF('Brouillard ventes'!$F$229="","",YEAR('Brouillard ventes'!$A$229)*10000+MONTH('Brouillard ventes'!$A$229)*100+DAY('Brouillard ventes'!$A$229))</f>
        <v/>
      </c>
      <c r="D672" s="22">
        <f>IF('Brouillard ventes'!$F$229="","",'Brouillard ventes'!$B$229)</f>
        <v/>
      </c>
      <c r="E672" s="22">
        <f>IF('Brouillard ventes'!$F$229="","",LEFT('Brouillard ventes'!$D$229,30))</f>
        <v/>
      </c>
      <c r="F672" s="22" t="inlineStr">
        <is>
          <t>15001</t>
        </is>
      </c>
      <c r="G672" s="22">
        <f>IF('Brouillard ventes'!$F$229="","",IF('Brouillard ventes'!$E$229="Réparation",Paramètres!$B$9,Paramètres!$B$8))</f>
        <v/>
      </c>
      <c r="H672" s="22" t="inlineStr"/>
      <c r="I672" s="22" t="inlineStr"/>
      <c r="J672" s="22" t="inlineStr"/>
      <c r="K672" s="22">
        <f>IF('Brouillard ventes'!$F$229="","",Paramètres!$B$11)</f>
        <v/>
      </c>
      <c r="L672" s="23" t="n">
        <v>0</v>
      </c>
      <c r="M672" s="23">
        <f>IF('Brouillard ventes'!$F$229="","",'Brouillard ventes'!$F$229)</f>
        <v/>
      </c>
    </row>
    <row r="673">
      <c r="A673" s="22" t="inlineStr">
        <is>
          <t>1</t>
        </is>
      </c>
      <c r="B673" s="22">
        <f>IF('Brouillard ventes'!$F$229="","","VD"&amp;TEXT(ROW('Brouillard ventes'!$F$229)-5,"00000"))</f>
        <v/>
      </c>
      <c r="C673" s="22">
        <f>IF('Brouillard ventes'!$F$229="","",YEAR('Brouillard ventes'!$A$229)*10000+MONTH('Brouillard ventes'!$A$229)*100+DAY('Brouillard ventes'!$A$229))</f>
        <v/>
      </c>
      <c r="D673" s="22">
        <f>IF('Brouillard ventes'!$F$229="","",'Brouillard ventes'!$B$229)</f>
        <v/>
      </c>
      <c r="E673" s="22">
        <f>IF('Brouillard ventes'!$F$229="","",LEFT('Brouillard ventes'!$D$229,30))</f>
        <v/>
      </c>
      <c r="F673" s="22" t="inlineStr">
        <is>
          <t>15001</t>
        </is>
      </c>
      <c r="G673" s="22">
        <f>IF('Brouillard ventes'!$F$229="","",Paramètres!$B$10)</f>
        <v/>
      </c>
      <c r="H673" s="22" t="inlineStr"/>
      <c r="I673" s="22" t="inlineStr"/>
      <c r="J673" s="22" t="inlineStr"/>
      <c r="K673" s="22">
        <f>IF('Brouillard ventes'!$F$229="","",Paramètres!$B$11)</f>
        <v/>
      </c>
      <c r="L673" s="23" t="n">
        <v>0</v>
      </c>
      <c r="M673" s="23">
        <f>IF('Brouillard ventes'!$F$229="","",'Brouillard ventes'!$H$229)</f>
        <v/>
      </c>
    </row>
    <row r="674">
      <c r="A674" s="22" t="inlineStr">
        <is>
          <t>1</t>
        </is>
      </c>
      <c r="B674" s="22">
        <f>IF('Brouillard ventes'!$F$230="","","VD"&amp;TEXT(ROW('Brouillard ventes'!$F$230)-5,"00000"))</f>
        <v/>
      </c>
      <c r="C674" s="22">
        <f>IF('Brouillard ventes'!$F$230="","",YEAR('Brouillard ventes'!$A$230)*10000+MONTH('Brouillard ventes'!$A$230)*100+DAY('Brouillard ventes'!$A$230))</f>
        <v/>
      </c>
      <c r="D674" s="22">
        <f>IF('Brouillard ventes'!$F$230="","",'Brouillard ventes'!$B$230)</f>
        <v/>
      </c>
      <c r="E674" s="22">
        <f>IF('Brouillard ventes'!$F$230="","",LEFT('Brouillard ventes'!$D$230,30))</f>
        <v/>
      </c>
      <c r="F674" s="22" t="inlineStr">
        <is>
          <t>15001</t>
        </is>
      </c>
      <c r="G674" s="22">
        <f>IF('Brouillard ventes'!$F$230="","",Paramètres!$B$7)</f>
        <v/>
      </c>
      <c r="H674" s="22">
        <f>IF('Brouillard ventes'!$F$230="","",IF('Brouillard ventes'!$C$230="","CD001",'Brouillard ventes'!$C$230))</f>
        <v/>
      </c>
      <c r="I674" s="22" t="inlineStr"/>
      <c r="J674" s="22" t="inlineStr"/>
      <c r="K674" s="22">
        <f>IF('Brouillard ventes'!$F$230="","",Paramètres!$B$11)</f>
        <v/>
      </c>
      <c r="L674" s="23">
        <f>IF('Brouillard ventes'!$F$230="","",'Brouillard ventes'!$I$230)</f>
        <v/>
      </c>
      <c r="M674" s="23" t="n">
        <v>0</v>
      </c>
    </row>
    <row r="675">
      <c r="A675" s="22" t="inlineStr">
        <is>
          <t>1</t>
        </is>
      </c>
      <c r="B675" s="22">
        <f>IF('Brouillard ventes'!$F$230="","","VD"&amp;TEXT(ROW('Brouillard ventes'!$F$230)-5,"00000"))</f>
        <v/>
      </c>
      <c r="C675" s="22">
        <f>IF('Brouillard ventes'!$F$230="","",YEAR('Brouillard ventes'!$A$230)*10000+MONTH('Brouillard ventes'!$A$230)*100+DAY('Brouillard ventes'!$A$230))</f>
        <v/>
      </c>
      <c r="D675" s="22">
        <f>IF('Brouillard ventes'!$F$230="","",'Brouillard ventes'!$B$230)</f>
        <v/>
      </c>
      <c r="E675" s="22">
        <f>IF('Brouillard ventes'!$F$230="","",LEFT('Brouillard ventes'!$D$230,30))</f>
        <v/>
      </c>
      <c r="F675" s="22" t="inlineStr">
        <is>
          <t>15001</t>
        </is>
      </c>
      <c r="G675" s="22">
        <f>IF('Brouillard ventes'!$F$230="","",IF('Brouillard ventes'!$E$230="Réparation",Paramètres!$B$9,Paramètres!$B$8))</f>
        <v/>
      </c>
      <c r="H675" s="22" t="inlineStr"/>
      <c r="I675" s="22" t="inlineStr"/>
      <c r="J675" s="22" t="inlineStr"/>
      <c r="K675" s="22">
        <f>IF('Brouillard ventes'!$F$230="","",Paramètres!$B$11)</f>
        <v/>
      </c>
      <c r="L675" s="23" t="n">
        <v>0</v>
      </c>
      <c r="M675" s="23">
        <f>IF('Brouillard ventes'!$F$230="","",'Brouillard ventes'!$F$230)</f>
        <v/>
      </c>
    </row>
    <row r="676">
      <c r="A676" s="22" t="inlineStr">
        <is>
          <t>1</t>
        </is>
      </c>
      <c r="B676" s="22">
        <f>IF('Brouillard ventes'!$F$230="","","VD"&amp;TEXT(ROW('Brouillard ventes'!$F$230)-5,"00000"))</f>
        <v/>
      </c>
      <c r="C676" s="22">
        <f>IF('Brouillard ventes'!$F$230="","",YEAR('Brouillard ventes'!$A$230)*10000+MONTH('Brouillard ventes'!$A$230)*100+DAY('Brouillard ventes'!$A$230))</f>
        <v/>
      </c>
      <c r="D676" s="22">
        <f>IF('Brouillard ventes'!$F$230="","",'Brouillard ventes'!$B$230)</f>
        <v/>
      </c>
      <c r="E676" s="22">
        <f>IF('Brouillard ventes'!$F$230="","",LEFT('Brouillard ventes'!$D$230,30))</f>
        <v/>
      </c>
      <c r="F676" s="22" t="inlineStr">
        <is>
          <t>15001</t>
        </is>
      </c>
      <c r="G676" s="22">
        <f>IF('Brouillard ventes'!$F$230="","",Paramètres!$B$10)</f>
        <v/>
      </c>
      <c r="H676" s="22" t="inlineStr"/>
      <c r="I676" s="22" t="inlineStr"/>
      <c r="J676" s="22" t="inlineStr"/>
      <c r="K676" s="22">
        <f>IF('Brouillard ventes'!$F$230="","",Paramètres!$B$11)</f>
        <v/>
      </c>
      <c r="L676" s="23" t="n">
        <v>0</v>
      </c>
      <c r="M676" s="23">
        <f>IF('Brouillard ventes'!$F$230="","",'Brouillard ventes'!$H$230)</f>
        <v/>
      </c>
    </row>
    <row r="677">
      <c r="A677" s="22" t="inlineStr">
        <is>
          <t>1</t>
        </is>
      </c>
      <c r="B677" s="22">
        <f>IF('Brouillard ventes'!$F$231="","","VD"&amp;TEXT(ROW('Brouillard ventes'!$F$231)-5,"00000"))</f>
        <v/>
      </c>
      <c r="C677" s="22">
        <f>IF('Brouillard ventes'!$F$231="","",YEAR('Brouillard ventes'!$A$231)*10000+MONTH('Brouillard ventes'!$A$231)*100+DAY('Brouillard ventes'!$A$231))</f>
        <v/>
      </c>
      <c r="D677" s="22">
        <f>IF('Brouillard ventes'!$F$231="","",'Brouillard ventes'!$B$231)</f>
        <v/>
      </c>
      <c r="E677" s="22">
        <f>IF('Brouillard ventes'!$F$231="","",LEFT('Brouillard ventes'!$D$231,30))</f>
        <v/>
      </c>
      <c r="F677" s="22" t="inlineStr">
        <is>
          <t>15001</t>
        </is>
      </c>
      <c r="G677" s="22">
        <f>IF('Brouillard ventes'!$F$231="","",Paramètres!$B$7)</f>
        <v/>
      </c>
      <c r="H677" s="22">
        <f>IF('Brouillard ventes'!$F$231="","",IF('Brouillard ventes'!$C$231="","CD001",'Brouillard ventes'!$C$231))</f>
        <v/>
      </c>
      <c r="I677" s="22" t="inlineStr"/>
      <c r="J677" s="22" t="inlineStr"/>
      <c r="K677" s="22">
        <f>IF('Brouillard ventes'!$F$231="","",Paramètres!$B$11)</f>
        <v/>
      </c>
      <c r="L677" s="23">
        <f>IF('Brouillard ventes'!$F$231="","",'Brouillard ventes'!$I$231)</f>
        <v/>
      </c>
      <c r="M677" s="23" t="n">
        <v>0</v>
      </c>
    </row>
    <row r="678">
      <c r="A678" s="22" t="inlineStr">
        <is>
          <t>1</t>
        </is>
      </c>
      <c r="B678" s="22">
        <f>IF('Brouillard ventes'!$F$231="","","VD"&amp;TEXT(ROW('Brouillard ventes'!$F$231)-5,"00000"))</f>
        <v/>
      </c>
      <c r="C678" s="22">
        <f>IF('Brouillard ventes'!$F$231="","",YEAR('Brouillard ventes'!$A$231)*10000+MONTH('Brouillard ventes'!$A$231)*100+DAY('Brouillard ventes'!$A$231))</f>
        <v/>
      </c>
      <c r="D678" s="22">
        <f>IF('Brouillard ventes'!$F$231="","",'Brouillard ventes'!$B$231)</f>
        <v/>
      </c>
      <c r="E678" s="22">
        <f>IF('Brouillard ventes'!$F$231="","",LEFT('Brouillard ventes'!$D$231,30))</f>
        <v/>
      </c>
      <c r="F678" s="22" t="inlineStr">
        <is>
          <t>15001</t>
        </is>
      </c>
      <c r="G678" s="22">
        <f>IF('Brouillard ventes'!$F$231="","",IF('Brouillard ventes'!$E$231="Réparation",Paramètres!$B$9,Paramètres!$B$8))</f>
        <v/>
      </c>
      <c r="H678" s="22" t="inlineStr"/>
      <c r="I678" s="22" t="inlineStr"/>
      <c r="J678" s="22" t="inlineStr"/>
      <c r="K678" s="22">
        <f>IF('Brouillard ventes'!$F$231="","",Paramètres!$B$11)</f>
        <v/>
      </c>
      <c r="L678" s="23" t="n">
        <v>0</v>
      </c>
      <c r="M678" s="23">
        <f>IF('Brouillard ventes'!$F$231="","",'Brouillard ventes'!$F$231)</f>
        <v/>
      </c>
    </row>
    <row r="679">
      <c r="A679" s="22" t="inlineStr">
        <is>
          <t>1</t>
        </is>
      </c>
      <c r="B679" s="22">
        <f>IF('Brouillard ventes'!$F$231="","","VD"&amp;TEXT(ROW('Brouillard ventes'!$F$231)-5,"00000"))</f>
        <v/>
      </c>
      <c r="C679" s="22">
        <f>IF('Brouillard ventes'!$F$231="","",YEAR('Brouillard ventes'!$A$231)*10000+MONTH('Brouillard ventes'!$A$231)*100+DAY('Brouillard ventes'!$A$231))</f>
        <v/>
      </c>
      <c r="D679" s="22">
        <f>IF('Brouillard ventes'!$F$231="","",'Brouillard ventes'!$B$231)</f>
        <v/>
      </c>
      <c r="E679" s="22">
        <f>IF('Brouillard ventes'!$F$231="","",LEFT('Brouillard ventes'!$D$231,30))</f>
        <v/>
      </c>
      <c r="F679" s="22" t="inlineStr">
        <is>
          <t>15001</t>
        </is>
      </c>
      <c r="G679" s="22">
        <f>IF('Brouillard ventes'!$F$231="","",Paramètres!$B$10)</f>
        <v/>
      </c>
      <c r="H679" s="22" t="inlineStr"/>
      <c r="I679" s="22" t="inlineStr"/>
      <c r="J679" s="22" t="inlineStr"/>
      <c r="K679" s="22">
        <f>IF('Brouillard ventes'!$F$231="","",Paramètres!$B$11)</f>
        <v/>
      </c>
      <c r="L679" s="23" t="n">
        <v>0</v>
      </c>
      <c r="M679" s="23">
        <f>IF('Brouillard ventes'!$F$231="","",'Brouillard ventes'!$H$231)</f>
        <v/>
      </c>
    </row>
    <row r="680">
      <c r="A680" s="22" t="inlineStr">
        <is>
          <t>1</t>
        </is>
      </c>
      <c r="B680" s="22">
        <f>IF('Brouillard ventes'!$F$232="","","VD"&amp;TEXT(ROW('Brouillard ventes'!$F$232)-5,"00000"))</f>
        <v/>
      </c>
      <c r="C680" s="22">
        <f>IF('Brouillard ventes'!$F$232="","",YEAR('Brouillard ventes'!$A$232)*10000+MONTH('Brouillard ventes'!$A$232)*100+DAY('Brouillard ventes'!$A$232))</f>
        <v/>
      </c>
      <c r="D680" s="22">
        <f>IF('Brouillard ventes'!$F$232="","",'Brouillard ventes'!$B$232)</f>
        <v/>
      </c>
      <c r="E680" s="22">
        <f>IF('Brouillard ventes'!$F$232="","",LEFT('Brouillard ventes'!$D$232,30))</f>
        <v/>
      </c>
      <c r="F680" s="22" t="inlineStr">
        <is>
          <t>15001</t>
        </is>
      </c>
      <c r="G680" s="22">
        <f>IF('Brouillard ventes'!$F$232="","",Paramètres!$B$7)</f>
        <v/>
      </c>
      <c r="H680" s="22">
        <f>IF('Brouillard ventes'!$F$232="","",IF('Brouillard ventes'!$C$232="","CD001",'Brouillard ventes'!$C$232))</f>
        <v/>
      </c>
      <c r="I680" s="22" t="inlineStr"/>
      <c r="J680" s="22" t="inlineStr"/>
      <c r="K680" s="22">
        <f>IF('Brouillard ventes'!$F$232="","",Paramètres!$B$11)</f>
        <v/>
      </c>
      <c r="L680" s="23">
        <f>IF('Brouillard ventes'!$F$232="","",'Brouillard ventes'!$I$232)</f>
        <v/>
      </c>
      <c r="M680" s="23" t="n">
        <v>0</v>
      </c>
    </row>
    <row r="681">
      <c r="A681" s="22" t="inlineStr">
        <is>
          <t>1</t>
        </is>
      </c>
      <c r="B681" s="22">
        <f>IF('Brouillard ventes'!$F$232="","","VD"&amp;TEXT(ROW('Brouillard ventes'!$F$232)-5,"00000"))</f>
        <v/>
      </c>
      <c r="C681" s="22">
        <f>IF('Brouillard ventes'!$F$232="","",YEAR('Brouillard ventes'!$A$232)*10000+MONTH('Brouillard ventes'!$A$232)*100+DAY('Brouillard ventes'!$A$232))</f>
        <v/>
      </c>
      <c r="D681" s="22">
        <f>IF('Brouillard ventes'!$F$232="","",'Brouillard ventes'!$B$232)</f>
        <v/>
      </c>
      <c r="E681" s="22">
        <f>IF('Brouillard ventes'!$F$232="","",LEFT('Brouillard ventes'!$D$232,30))</f>
        <v/>
      </c>
      <c r="F681" s="22" t="inlineStr">
        <is>
          <t>15001</t>
        </is>
      </c>
      <c r="G681" s="22">
        <f>IF('Brouillard ventes'!$F$232="","",IF('Brouillard ventes'!$E$232="Réparation",Paramètres!$B$9,Paramètres!$B$8))</f>
        <v/>
      </c>
      <c r="H681" s="22" t="inlineStr"/>
      <c r="I681" s="22" t="inlineStr"/>
      <c r="J681" s="22" t="inlineStr"/>
      <c r="K681" s="22">
        <f>IF('Brouillard ventes'!$F$232="","",Paramètres!$B$11)</f>
        <v/>
      </c>
      <c r="L681" s="23" t="n">
        <v>0</v>
      </c>
      <c r="M681" s="23">
        <f>IF('Brouillard ventes'!$F$232="","",'Brouillard ventes'!$F$232)</f>
        <v/>
      </c>
    </row>
    <row r="682">
      <c r="A682" s="22" t="inlineStr">
        <is>
          <t>1</t>
        </is>
      </c>
      <c r="B682" s="22">
        <f>IF('Brouillard ventes'!$F$232="","","VD"&amp;TEXT(ROW('Brouillard ventes'!$F$232)-5,"00000"))</f>
        <v/>
      </c>
      <c r="C682" s="22">
        <f>IF('Brouillard ventes'!$F$232="","",YEAR('Brouillard ventes'!$A$232)*10000+MONTH('Brouillard ventes'!$A$232)*100+DAY('Brouillard ventes'!$A$232))</f>
        <v/>
      </c>
      <c r="D682" s="22">
        <f>IF('Brouillard ventes'!$F$232="","",'Brouillard ventes'!$B$232)</f>
        <v/>
      </c>
      <c r="E682" s="22">
        <f>IF('Brouillard ventes'!$F$232="","",LEFT('Brouillard ventes'!$D$232,30))</f>
        <v/>
      </c>
      <c r="F682" s="22" t="inlineStr">
        <is>
          <t>15001</t>
        </is>
      </c>
      <c r="G682" s="22">
        <f>IF('Brouillard ventes'!$F$232="","",Paramètres!$B$10)</f>
        <v/>
      </c>
      <c r="H682" s="22" t="inlineStr"/>
      <c r="I682" s="22" t="inlineStr"/>
      <c r="J682" s="22" t="inlineStr"/>
      <c r="K682" s="22">
        <f>IF('Brouillard ventes'!$F$232="","",Paramètres!$B$11)</f>
        <v/>
      </c>
      <c r="L682" s="23" t="n">
        <v>0</v>
      </c>
      <c r="M682" s="23">
        <f>IF('Brouillard ventes'!$F$232="","",'Brouillard ventes'!$H$232)</f>
        <v/>
      </c>
    </row>
    <row r="683">
      <c r="A683" s="22" t="inlineStr">
        <is>
          <t>1</t>
        </is>
      </c>
      <c r="B683" s="22">
        <f>IF('Brouillard ventes'!$F$233="","","VD"&amp;TEXT(ROW('Brouillard ventes'!$F$233)-5,"00000"))</f>
        <v/>
      </c>
      <c r="C683" s="22">
        <f>IF('Brouillard ventes'!$F$233="","",YEAR('Brouillard ventes'!$A$233)*10000+MONTH('Brouillard ventes'!$A$233)*100+DAY('Brouillard ventes'!$A$233))</f>
        <v/>
      </c>
      <c r="D683" s="22">
        <f>IF('Brouillard ventes'!$F$233="","",'Brouillard ventes'!$B$233)</f>
        <v/>
      </c>
      <c r="E683" s="22">
        <f>IF('Brouillard ventes'!$F$233="","",LEFT('Brouillard ventes'!$D$233,30))</f>
        <v/>
      </c>
      <c r="F683" s="22" t="inlineStr">
        <is>
          <t>15001</t>
        </is>
      </c>
      <c r="G683" s="22">
        <f>IF('Brouillard ventes'!$F$233="","",Paramètres!$B$7)</f>
        <v/>
      </c>
      <c r="H683" s="22">
        <f>IF('Brouillard ventes'!$F$233="","",IF('Brouillard ventes'!$C$233="","CD001",'Brouillard ventes'!$C$233))</f>
        <v/>
      </c>
      <c r="I683" s="22" t="inlineStr"/>
      <c r="J683" s="22" t="inlineStr"/>
      <c r="K683" s="22">
        <f>IF('Brouillard ventes'!$F$233="","",Paramètres!$B$11)</f>
        <v/>
      </c>
      <c r="L683" s="23">
        <f>IF('Brouillard ventes'!$F$233="","",'Brouillard ventes'!$I$233)</f>
        <v/>
      </c>
      <c r="M683" s="23" t="n">
        <v>0</v>
      </c>
    </row>
    <row r="684">
      <c r="A684" s="22" t="inlineStr">
        <is>
          <t>1</t>
        </is>
      </c>
      <c r="B684" s="22">
        <f>IF('Brouillard ventes'!$F$233="","","VD"&amp;TEXT(ROW('Brouillard ventes'!$F$233)-5,"00000"))</f>
        <v/>
      </c>
      <c r="C684" s="22">
        <f>IF('Brouillard ventes'!$F$233="","",YEAR('Brouillard ventes'!$A$233)*10000+MONTH('Brouillard ventes'!$A$233)*100+DAY('Brouillard ventes'!$A$233))</f>
        <v/>
      </c>
      <c r="D684" s="22">
        <f>IF('Brouillard ventes'!$F$233="","",'Brouillard ventes'!$B$233)</f>
        <v/>
      </c>
      <c r="E684" s="22">
        <f>IF('Brouillard ventes'!$F$233="","",LEFT('Brouillard ventes'!$D$233,30))</f>
        <v/>
      </c>
      <c r="F684" s="22" t="inlineStr">
        <is>
          <t>15001</t>
        </is>
      </c>
      <c r="G684" s="22">
        <f>IF('Brouillard ventes'!$F$233="","",IF('Brouillard ventes'!$E$233="Réparation",Paramètres!$B$9,Paramètres!$B$8))</f>
        <v/>
      </c>
      <c r="H684" s="22" t="inlineStr"/>
      <c r="I684" s="22" t="inlineStr"/>
      <c r="J684" s="22" t="inlineStr"/>
      <c r="K684" s="22">
        <f>IF('Brouillard ventes'!$F$233="","",Paramètres!$B$11)</f>
        <v/>
      </c>
      <c r="L684" s="23" t="n">
        <v>0</v>
      </c>
      <c r="M684" s="23">
        <f>IF('Brouillard ventes'!$F$233="","",'Brouillard ventes'!$F$233)</f>
        <v/>
      </c>
    </row>
    <row r="685">
      <c r="A685" s="22" t="inlineStr">
        <is>
          <t>1</t>
        </is>
      </c>
      <c r="B685" s="22">
        <f>IF('Brouillard ventes'!$F$233="","","VD"&amp;TEXT(ROW('Brouillard ventes'!$F$233)-5,"00000"))</f>
        <v/>
      </c>
      <c r="C685" s="22">
        <f>IF('Brouillard ventes'!$F$233="","",YEAR('Brouillard ventes'!$A$233)*10000+MONTH('Brouillard ventes'!$A$233)*100+DAY('Brouillard ventes'!$A$233))</f>
        <v/>
      </c>
      <c r="D685" s="22">
        <f>IF('Brouillard ventes'!$F$233="","",'Brouillard ventes'!$B$233)</f>
        <v/>
      </c>
      <c r="E685" s="22">
        <f>IF('Brouillard ventes'!$F$233="","",LEFT('Brouillard ventes'!$D$233,30))</f>
        <v/>
      </c>
      <c r="F685" s="22" t="inlineStr">
        <is>
          <t>15001</t>
        </is>
      </c>
      <c r="G685" s="22">
        <f>IF('Brouillard ventes'!$F$233="","",Paramètres!$B$10)</f>
        <v/>
      </c>
      <c r="H685" s="22" t="inlineStr"/>
      <c r="I685" s="22" t="inlineStr"/>
      <c r="J685" s="22" t="inlineStr"/>
      <c r="K685" s="22">
        <f>IF('Brouillard ventes'!$F$233="","",Paramètres!$B$11)</f>
        <v/>
      </c>
      <c r="L685" s="23" t="n">
        <v>0</v>
      </c>
      <c r="M685" s="23">
        <f>IF('Brouillard ventes'!$F$233="","",'Brouillard ventes'!$H$233)</f>
        <v/>
      </c>
    </row>
    <row r="686">
      <c r="A686" s="22" t="inlineStr">
        <is>
          <t>1</t>
        </is>
      </c>
      <c r="B686" s="22">
        <f>IF('Brouillard ventes'!$F$234="","","VD"&amp;TEXT(ROW('Brouillard ventes'!$F$234)-5,"00000"))</f>
        <v/>
      </c>
      <c r="C686" s="22">
        <f>IF('Brouillard ventes'!$F$234="","",YEAR('Brouillard ventes'!$A$234)*10000+MONTH('Brouillard ventes'!$A$234)*100+DAY('Brouillard ventes'!$A$234))</f>
        <v/>
      </c>
      <c r="D686" s="22">
        <f>IF('Brouillard ventes'!$F$234="","",'Brouillard ventes'!$B$234)</f>
        <v/>
      </c>
      <c r="E686" s="22">
        <f>IF('Brouillard ventes'!$F$234="","",LEFT('Brouillard ventes'!$D$234,30))</f>
        <v/>
      </c>
      <c r="F686" s="22" t="inlineStr">
        <is>
          <t>15001</t>
        </is>
      </c>
      <c r="G686" s="22">
        <f>IF('Brouillard ventes'!$F$234="","",Paramètres!$B$7)</f>
        <v/>
      </c>
      <c r="H686" s="22">
        <f>IF('Brouillard ventes'!$F$234="","",IF('Brouillard ventes'!$C$234="","CD001",'Brouillard ventes'!$C$234))</f>
        <v/>
      </c>
      <c r="I686" s="22" t="inlineStr"/>
      <c r="J686" s="22" t="inlineStr"/>
      <c r="K686" s="22">
        <f>IF('Brouillard ventes'!$F$234="","",Paramètres!$B$11)</f>
        <v/>
      </c>
      <c r="L686" s="23">
        <f>IF('Brouillard ventes'!$F$234="","",'Brouillard ventes'!$I$234)</f>
        <v/>
      </c>
      <c r="M686" s="23" t="n">
        <v>0</v>
      </c>
    </row>
    <row r="687">
      <c r="A687" s="22" t="inlineStr">
        <is>
          <t>1</t>
        </is>
      </c>
      <c r="B687" s="22">
        <f>IF('Brouillard ventes'!$F$234="","","VD"&amp;TEXT(ROW('Brouillard ventes'!$F$234)-5,"00000"))</f>
        <v/>
      </c>
      <c r="C687" s="22">
        <f>IF('Brouillard ventes'!$F$234="","",YEAR('Brouillard ventes'!$A$234)*10000+MONTH('Brouillard ventes'!$A$234)*100+DAY('Brouillard ventes'!$A$234))</f>
        <v/>
      </c>
      <c r="D687" s="22">
        <f>IF('Brouillard ventes'!$F$234="","",'Brouillard ventes'!$B$234)</f>
        <v/>
      </c>
      <c r="E687" s="22">
        <f>IF('Brouillard ventes'!$F$234="","",LEFT('Brouillard ventes'!$D$234,30))</f>
        <v/>
      </c>
      <c r="F687" s="22" t="inlineStr">
        <is>
          <t>15001</t>
        </is>
      </c>
      <c r="G687" s="22">
        <f>IF('Brouillard ventes'!$F$234="","",IF('Brouillard ventes'!$E$234="Réparation",Paramètres!$B$9,Paramètres!$B$8))</f>
        <v/>
      </c>
      <c r="H687" s="22" t="inlineStr"/>
      <c r="I687" s="22" t="inlineStr"/>
      <c r="J687" s="22" t="inlineStr"/>
      <c r="K687" s="22">
        <f>IF('Brouillard ventes'!$F$234="","",Paramètres!$B$11)</f>
        <v/>
      </c>
      <c r="L687" s="23" t="n">
        <v>0</v>
      </c>
      <c r="M687" s="23">
        <f>IF('Brouillard ventes'!$F$234="","",'Brouillard ventes'!$F$234)</f>
        <v/>
      </c>
    </row>
    <row r="688">
      <c r="A688" s="22" t="inlineStr">
        <is>
          <t>1</t>
        </is>
      </c>
      <c r="B688" s="22">
        <f>IF('Brouillard ventes'!$F$234="","","VD"&amp;TEXT(ROW('Brouillard ventes'!$F$234)-5,"00000"))</f>
        <v/>
      </c>
      <c r="C688" s="22">
        <f>IF('Brouillard ventes'!$F$234="","",YEAR('Brouillard ventes'!$A$234)*10000+MONTH('Brouillard ventes'!$A$234)*100+DAY('Brouillard ventes'!$A$234))</f>
        <v/>
      </c>
      <c r="D688" s="22">
        <f>IF('Brouillard ventes'!$F$234="","",'Brouillard ventes'!$B$234)</f>
        <v/>
      </c>
      <c r="E688" s="22">
        <f>IF('Brouillard ventes'!$F$234="","",LEFT('Brouillard ventes'!$D$234,30))</f>
        <v/>
      </c>
      <c r="F688" s="22" t="inlineStr">
        <is>
          <t>15001</t>
        </is>
      </c>
      <c r="G688" s="22">
        <f>IF('Brouillard ventes'!$F$234="","",Paramètres!$B$10)</f>
        <v/>
      </c>
      <c r="H688" s="22" t="inlineStr"/>
      <c r="I688" s="22" t="inlineStr"/>
      <c r="J688" s="22" t="inlineStr"/>
      <c r="K688" s="22">
        <f>IF('Brouillard ventes'!$F$234="","",Paramètres!$B$11)</f>
        <v/>
      </c>
      <c r="L688" s="23" t="n">
        <v>0</v>
      </c>
      <c r="M688" s="23">
        <f>IF('Brouillard ventes'!$F$234="","",'Brouillard ventes'!$H$234)</f>
        <v/>
      </c>
    </row>
    <row r="689">
      <c r="A689" s="22" t="inlineStr">
        <is>
          <t>1</t>
        </is>
      </c>
      <c r="B689" s="22">
        <f>IF('Brouillard ventes'!$F$235="","","VD"&amp;TEXT(ROW('Brouillard ventes'!$F$235)-5,"00000"))</f>
        <v/>
      </c>
      <c r="C689" s="22">
        <f>IF('Brouillard ventes'!$F$235="","",YEAR('Brouillard ventes'!$A$235)*10000+MONTH('Brouillard ventes'!$A$235)*100+DAY('Brouillard ventes'!$A$235))</f>
        <v/>
      </c>
      <c r="D689" s="22">
        <f>IF('Brouillard ventes'!$F$235="","",'Brouillard ventes'!$B$235)</f>
        <v/>
      </c>
      <c r="E689" s="22">
        <f>IF('Brouillard ventes'!$F$235="","",LEFT('Brouillard ventes'!$D$235,30))</f>
        <v/>
      </c>
      <c r="F689" s="22" t="inlineStr">
        <is>
          <t>15001</t>
        </is>
      </c>
      <c r="G689" s="22">
        <f>IF('Brouillard ventes'!$F$235="","",Paramètres!$B$7)</f>
        <v/>
      </c>
      <c r="H689" s="22">
        <f>IF('Brouillard ventes'!$F$235="","",IF('Brouillard ventes'!$C$235="","CD001",'Brouillard ventes'!$C$235))</f>
        <v/>
      </c>
      <c r="I689" s="22" t="inlineStr"/>
      <c r="J689" s="22" t="inlineStr"/>
      <c r="K689" s="22">
        <f>IF('Brouillard ventes'!$F$235="","",Paramètres!$B$11)</f>
        <v/>
      </c>
      <c r="L689" s="23">
        <f>IF('Brouillard ventes'!$F$235="","",'Brouillard ventes'!$I$235)</f>
        <v/>
      </c>
      <c r="M689" s="23" t="n">
        <v>0</v>
      </c>
    </row>
    <row r="690">
      <c r="A690" s="22" t="inlineStr">
        <is>
          <t>1</t>
        </is>
      </c>
      <c r="B690" s="22">
        <f>IF('Brouillard ventes'!$F$235="","","VD"&amp;TEXT(ROW('Brouillard ventes'!$F$235)-5,"00000"))</f>
        <v/>
      </c>
      <c r="C690" s="22">
        <f>IF('Brouillard ventes'!$F$235="","",YEAR('Brouillard ventes'!$A$235)*10000+MONTH('Brouillard ventes'!$A$235)*100+DAY('Brouillard ventes'!$A$235))</f>
        <v/>
      </c>
      <c r="D690" s="22">
        <f>IF('Brouillard ventes'!$F$235="","",'Brouillard ventes'!$B$235)</f>
        <v/>
      </c>
      <c r="E690" s="22">
        <f>IF('Brouillard ventes'!$F$235="","",LEFT('Brouillard ventes'!$D$235,30))</f>
        <v/>
      </c>
      <c r="F690" s="22" t="inlineStr">
        <is>
          <t>15001</t>
        </is>
      </c>
      <c r="G690" s="22">
        <f>IF('Brouillard ventes'!$F$235="","",IF('Brouillard ventes'!$E$235="Réparation",Paramètres!$B$9,Paramètres!$B$8))</f>
        <v/>
      </c>
      <c r="H690" s="22" t="inlineStr"/>
      <c r="I690" s="22" t="inlineStr"/>
      <c r="J690" s="22" t="inlineStr"/>
      <c r="K690" s="22">
        <f>IF('Brouillard ventes'!$F$235="","",Paramètres!$B$11)</f>
        <v/>
      </c>
      <c r="L690" s="23" t="n">
        <v>0</v>
      </c>
      <c r="M690" s="23">
        <f>IF('Brouillard ventes'!$F$235="","",'Brouillard ventes'!$F$235)</f>
        <v/>
      </c>
    </row>
    <row r="691">
      <c r="A691" s="22" t="inlineStr">
        <is>
          <t>1</t>
        </is>
      </c>
      <c r="B691" s="22">
        <f>IF('Brouillard ventes'!$F$235="","","VD"&amp;TEXT(ROW('Brouillard ventes'!$F$235)-5,"00000"))</f>
        <v/>
      </c>
      <c r="C691" s="22">
        <f>IF('Brouillard ventes'!$F$235="","",YEAR('Brouillard ventes'!$A$235)*10000+MONTH('Brouillard ventes'!$A$235)*100+DAY('Brouillard ventes'!$A$235))</f>
        <v/>
      </c>
      <c r="D691" s="22">
        <f>IF('Brouillard ventes'!$F$235="","",'Brouillard ventes'!$B$235)</f>
        <v/>
      </c>
      <c r="E691" s="22">
        <f>IF('Brouillard ventes'!$F$235="","",LEFT('Brouillard ventes'!$D$235,30))</f>
        <v/>
      </c>
      <c r="F691" s="22" t="inlineStr">
        <is>
          <t>15001</t>
        </is>
      </c>
      <c r="G691" s="22">
        <f>IF('Brouillard ventes'!$F$235="","",Paramètres!$B$10)</f>
        <v/>
      </c>
      <c r="H691" s="22" t="inlineStr"/>
      <c r="I691" s="22" t="inlineStr"/>
      <c r="J691" s="22" t="inlineStr"/>
      <c r="K691" s="22">
        <f>IF('Brouillard ventes'!$F$235="","",Paramètres!$B$11)</f>
        <v/>
      </c>
      <c r="L691" s="23" t="n">
        <v>0</v>
      </c>
      <c r="M691" s="23">
        <f>IF('Brouillard ventes'!$F$235="","",'Brouillard ventes'!$H$235)</f>
        <v/>
      </c>
    </row>
    <row r="692">
      <c r="A692" s="22" t="inlineStr">
        <is>
          <t>1</t>
        </is>
      </c>
      <c r="B692" s="22">
        <f>IF('Brouillard ventes'!$F$236="","","VD"&amp;TEXT(ROW('Brouillard ventes'!$F$236)-5,"00000"))</f>
        <v/>
      </c>
      <c r="C692" s="22">
        <f>IF('Brouillard ventes'!$F$236="","",YEAR('Brouillard ventes'!$A$236)*10000+MONTH('Brouillard ventes'!$A$236)*100+DAY('Brouillard ventes'!$A$236))</f>
        <v/>
      </c>
      <c r="D692" s="22">
        <f>IF('Brouillard ventes'!$F$236="","",'Brouillard ventes'!$B$236)</f>
        <v/>
      </c>
      <c r="E692" s="22">
        <f>IF('Brouillard ventes'!$F$236="","",LEFT('Brouillard ventes'!$D$236,30))</f>
        <v/>
      </c>
      <c r="F692" s="22" t="inlineStr">
        <is>
          <t>15001</t>
        </is>
      </c>
      <c r="G692" s="22">
        <f>IF('Brouillard ventes'!$F$236="","",Paramètres!$B$7)</f>
        <v/>
      </c>
      <c r="H692" s="22">
        <f>IF('Brouillard ventes'!$F$236="","",IF('Brouillard ventes'!$C$236="","CD001",'Brouillard ventes'!$C$236))</f>
        <v/>
      </c>
      <c r="I692" s="22" t="inlineStr"/>
      <c r="J692" s="22" t="inlineStr"/>
      <c r="K692" s="22">
        <f>IF('Brouillard ventes'!$F$236="","",Paramètres!$B$11)</f>
        <v/>
      </c>
      <c r="L692" s="23">
        <f>IF('Brouillard ventes'!$F$236="","",'Brouillard ventes'!$I$236)</f>
        <v/>
      </c>
      <c r="M692" s="23" t="n">
        <v>0</v>
      </c>
    </row>
    <row r="693">
      <c r="A693" s="22" t="inlineStr">
        <is>
          <t>1</t>
        </is>
      </c>
      <c r="B693" s="22">
        <f>IF('Brouillard ventes'!$F$236="","","VD"&amp;TEXT(ROW('Brouillard ventes'!$F$236)-5,"00000"))</f>
        <v/>
      </c>
      <c r="C693" s="22">
        <f>IF('Brouillard ventes'!$F$236="","",YEAR('Brouillard ventes'!$A$236)*10000+MONTH('Brouillard ventes'!$A$236)*100+DAY('Brouillard ventes'!$A$236))</f>
        <v/>
      </c>
      <c r="D693" s="22">
        <f>IF('Brouillard ventes'!$F$236="","",'Brouillard ventes'!$B$236)</f>
        <v/>
      </c>
      <c r="E693" s="22">
        <f>IF('Brouillard ventes'!$F$236="","",LEFT('Brouillard ventes'!$D$236,30))</f>
        <v/>
      </c>
      <c r="F693" s="22" t="inlineStr">
        <is>
          <t>15001</t>
        </is>
      </c>
      <c r="G693" s="22">
        <f>IF('Brouillard ventes'!$F$236="","",IF('Brouillard ventes'!$E$236="Réparation",Paramètres!$B$9,Paramètres!$B$8))</f>
        <v/>
      </c>
      <c r="H693" s="22" t="inlineStr"/>
      <c r="I693" s="22" t="inlineStr"/>
      <c r="J693" s="22" t="inlineStr"/>
      <c r="K693" s="22">
        <f>IF('Brouillard ventes'!$F$236="","",Paramètres!$B$11)</f>
        <v/>
      </c>
      <c r="L693" s="23" t="n">
        <v>0</v>
      </c>
      <c r="M693" s="23">
        <f>IF('Brouillard ventes'!$F$236="","",'Brouillard ventes'!$F$236)</f>
        <v/>
      </c>
    </row>
    <row r="694">
      <c r="A694" s="22" t="inlineStr">
        <is>
          <t>1</t>
        </is>
      </c>
      <c r="B694" s="22">
        <f>IF('Brouillard ventes'!$F$236="","","VD"&amp;TEXT(ROW('Brouillard ventes'!$F$236)-5,"00000"))</f>
        <v/>
      </c>
      <c r="C694" s="22">
        <f>IF('Brouillard ventes'!$F$236="","",YEAR('Brouillard ventes'!$A$236)*10000+MONTH('Brouillard ventes'!$A$236)*100+DAY('Brouillard ventes'!$A$236))</f>
        <v/>
      </c>
      <c r="D694" s="22">
        <f>IF('Brouillard ventes'!$F$236="","",'Brouillard ventes'!$B$236)</f>
        <v/>
      </c>
      <c r="E694" s="22">
        <f>IF('Brouillard ventes'!$F$236="","",LEFT('Brouillard ventes'!$D$236,30))</f>
        <v/>
      </c>
      <c r="F694" s="22" t="inlineStr">
        <is>
          <t>15001</t>
        </is>
      </c>
      <c r="G694" s="22">
        <f>IF('Brouillard ventes'!$F$236="","",Paramètres!$B$10)</f>
        <v/>
      </c>
      <c r="H694" s="22" t="inlineStr"/>
      <c r="I694" s="22" t="inlineStr"/>
      <c r="J694" s="22" t="inlineStr"/>
      <c r="K694" s="22">
        <f>IF('Brouillard ventes'!$F$236="","",Paramètres!$B$11)</f>
        <v/>
      </c>
      <c r="L694" s="23" t="n">
        <v>0</v>
      </c>
      <c r="M694" s="23">
        <f>IF('Brouillard ventes'!$F$236="","",'Brouillard ventes'!$H$236)</f>
        <v/>
      </c>
    </row>
    <row r="695">
      <c r="A695" s="22" t="inlineStr">
        <is>
          <t>1</t>
        </is>
      </c>
      <c r="B695" s="22">
        <f>IF('Brouillard ventes'!$F$237="","","VD"&amp;TEXT(ROW('Brouillard ventes'!$F$237)-5,"00000"))</f>
        <v/>
      </c>
      <c r="C695" s="22">
        <f>IF('Brouillard ventes'!$F$237="","",YEAR('Brouillard ventes'!$A$237)*10000+MONTH('Brouillard ventes'!$A$237)*100+DAY('Brouillard ventes'!$A$237))</f>
        <v/>
      </c>
      <c r="D695" s="22">
        <f>IF('Brouillard ventes'!$F$237="","",'Brouillard ventes'!$B$237)</f>
        <v/>
      </c>
      <c r="E695" s="22">
        <f>IF('Brouillard ventes'!$F$237="","",LEFT('Brouillard ventes'!$D$237,30))</f>
        <v/>
      </c>
      <c r="F695" s="22" t="inlineStr">
        <is>
          <t>15001</t>
        </is>
      </c>
      <c r="G695" s="22">
        <f>IF('Brouillard ventes'!$F$237="","",Paramètres!$B$7)</f>
        <v/>
      </c>
      <c r="H695" s="22">
        <f>IF('Brouillard ventes'!$F$237="","",IF('Brouillard ventes'!$C$237="","CD001",'Brouillard ventes'!$C$237))</f>
        <v/>
      </c>
      <c r="I695" s="22" t="inlineStr"/>
      <c r="J695" s="22" t="inlineStr"/>
      <c r="K695" s="22">
        <f>IF('Brouillard ventes'!$F$237="","",Paramètres!$B$11)</f>
        <v/>
      </c>
      <c r="L695" s="23">
        <f>IF('Brouillard ventes'!$F$237="","",'Brouillard ventes'!$I$237)</f>
        <v/>
      </c>
      <c r="M695" s="23" t="n">
        <v>0</v>
      </c>
    </row>
    <row r="696">
      <c r="A696" s="22" t="inlineStr">
        <is>
          <t>1</t>
        </is>
      </c>
      <c r="B696" s="22">
        <f>IF('Brouillard ventes'!$F$237="","","VD"&amp;TEXT(ROW('Brouillard ventes'!$F$237)-5,"00000"))</f>
        <v/>
      </c>
      <c r="C696" s="22">
        <f>IF('Brouillard ventes'!$F$237="","",YEAR('Brouillard ventes'!$A$237)*10000+MONTH('Brouillard ventes'!$A$237)*100+DAY('Brouillard ventes'!$A$237))</f>
        <v/>
      </c>
      <c r="D696" s="22">
        <f>IF('Brouillard ventes'!$F$237="","",'Brouillard ventes'!$B$237)</f>
        <v/>
      </c>
      <c r="E696" s="22">
        <f>IF('Brouillard ventes'!$F$237="","",LEFT('Brouillard ventes'!$D$237,30))</f>
        <v/>
      </c>
      <c r="F696" s="22" t="inlineStr">
        <is>
          <t>15001</t>
        </is>
      </c>
      <c r="G696" s="22">
        <f>IF('Brouillard ventes'!$F$237="","",IF('Brouillard ventes'!$E$237="Réparation",Paramètres!$B$9,Paramètres!$B$8))</f>
        <v/>
      </c>
      <c r="H696" s="22" t="inlineStr"/>
      <c r="I696" s="22" t="inlineStr"/>
      <c r="J696" s="22" t="inlineStr"/>
      <c r="K696" s="22">
        <f>IF('Brouillard ventes'!$F$237="","",Paramètres!$B$11)</f>
        <v/>
      </c>
      <c r="L696" s="23" t="n">
        <v>0</v>
      </c>
      <c r="M696" s="23">
        <f>IF('Brouillard ventes'!$F$237="","",'Brouillard ventes'!$F$237)</f>
        <v/>
      </c>
    </row>
    <row r="697">
      <c r="A697" s="22" t="inlineStr">
        <is>
          <t>1</t>
        </is>
      </c>
      <c r="B697" s="22">
        <f>IF('Brouillard ventes'!$F$237="","","VD"&amp;TEXT(ROW('Brouillard ventes'!$F$237)-5,"00000"))</f>
        <v/>
      </c>
      <c r="C697" s="22">
        <f>IF('Brouillard ventes'!$F$237="","",YEAR('Brouillard ventes'!$A$237)*10000+MONTH('Brouillard ventes'!$A$237)*100+DAY('Brouillard ventes'!$A$237))</f>
        <v/>
      </c>
      <c r="D697" s="22">
        <f>IF('Brouillard ventes'!$F$237="","",'Brouillard ventes'!$B$237)</f>
        <v/>
      </c>
      <c r="E697" s="22">
        <f>IF('Brouillard ventes'!$F$237="","",LEFT('Brouillard ventes'!$D$237,30))</f>
        <v/>
      </c>
      <c r="F697" s="22" t="inlineStr">
        <is>
          <t>15001</t>
        </is>
      </c>
      <c r="G697" s="22">
        <f>IF('Brouillard ventes'!$F$237="","",Paramètres!$B$10)</f>
        <v/>
      </c>
      <c r="H697" s="22" t="inlineStr"/>
      <c r="I697" s="22" t="inlineStr"/>
      <c r="J697" s="22" t="inlineStr"/>
      <c r="K697" s="22">
        <f>IF('Brouillard ventes'!$F$237="","",Paramètres!$B$11)</f>
        <v/>
      </c>
      <c r="L697" s="23" t="n">
        <v>0</v>
      </c>
      <c r="M697" s="23">
        <f>IF('Brouillard ventes'!$F$237="","",'Brouillard ventes'!$H$237)</f>
        <v/>
      </c>
    </row>
    <row r="698">
      <c r="A698" s="22" t="inlineStr">
        <is>
          <t>1</t>
        </is>
      </c>
      <c r="B698" s="22">
        <f>IF('Brouillard ventes'!$F$238="","","VD"&amp;TEXT(ROW('Brouillard ventes'!$F$238)-5,"00000"))</f>
        <v/>
      </c>
      <c r="C698" s="22">
        <f>IF('Brouillard ventes'!$F$238="","",YEAR('Brouillard ventes'!$A$238)*10000+MONTH('Brouillard ventes'!$A$238)*100+DAY('Brouillard ventes'!$A$238))</f>
        <v/>
      </c>
      <c r="D698" s="22">
        <f>IF('Brouillard ventes'!$F$238="","",'Brouillard ventes'!$B$238)</f>
        <v/>
      </c>
      <c r="E698" s="22">
        <f>IF('Brouillard ventes'!$F$238="","",LEFT('Brouillard ventes'!$D$238,30))</f>
        <v/>
      </c>
      <c r="F698" s="22" t="inlineStr">
        <is>
          <t>15001</t>
        </is>
      </c>
      <c r="G698" s="22">
        <f>IF('Brouillard ventes'!$F$238="","",Paramètres!$B$7)</f>
        <v/>
      </c>
      <c r="H698" s="22">
        <f>IF('Brouillard ventes'!$F$238="","",IF('Brouillard ventes'!$C$238="","CD001",'Brouillard ventes'!$C$238))</f>
        <v/>
      </c>
      <c r="I698" s="22" t="inlineStr"/>
      <c r="J698" s="22" t="inlineStr"/>
      <c r="K698" s="22">
        <f>IF('Brouillard ventes'!$F$238="","",Paramètres!$B$11)</f>
        <v/>
      </c>
      <c r="L698" s="23">
        <f>IF('Brouillard ventes'!$F$238="","",'Brouillard ventes'!$I$238)</f>
        <v/>
      </c>
      <c r="M698" s="23" t="n">
        <v>0</v>
      </c>
    </row>
    <row r="699">
      <c r="A699" s="22" t="inlineStr">
        <is>
          <t>1</t>
        </is>
      </c>
      <c r="B699" s="22">
        <f>IF('Brouillard ventes'!$F$238="","","VD"&amp;TEXT(ROW('Brouillard ventes'!$F$238)-5,"00000"))</f>
        <v/>
      </c>
      <c r="C699" s="22">
        <f>IF('Brouillard ventes'!$F$238="","",YEAR('Brouillard ventes'!$A$238)*10000+MONTH('Brouillard ventes'!$A$238)*100+DAY('Brouillard ventes'!$A$238))</f>
        <v/>
      </c>
      <c r="D699" s="22">
        <f>IF('Brouillard ventes'!$F$238="","",'Brouillard ventes'!$B$238)</f>
        <v/>
      </c>
      <c r="E699" s="22">
        <f>IF('Brouillard ventes'!$F$238="","",LEFT('Brouillard ventes'!$D$238,30))</f>
        <v/>
      </c>
      <c r="F699" s="22" t="inlineStr">
        <is>
          <t>15001</t>
        </is>
      </c>
      <c r="G699" s="22">
        <f>IF('Brouillard ventes'!$F$238="","",IF('Brouillard ventes'!$E$238="Réparation",Paramètres!$B$9,Paramètres!$B$8))</f>
        <v/>
      </c>
      <c r="H699" s="22" t="inlineStr"/>
      <c r="I699" s="22" t="inlineStr"/>
      <c r="J699" s="22" t="inlineStr"/>
      <c r="K699" s="22">
        <f>IF('Brouillard ventes'!$F$238="","",Paramètres!$B$11)</f>
        <v/>
      </c>
      <c r="L699" s="23" t="n">
        <v>0</v>
      </c>
      <c r="M699" s="23">
        <f>IF('Brouillard ventes'!$F$238="","",'Brouillard ventes'!$F$238)</f>
        <v/>
      </c>
    </row>
    <row r="700">
      <c r="A700" s="22" t="inlineStr">
        <is>
          <t>1</t>
        </is>
      </c>
      <c r="B700" s="22">
        <f>IF('Brouillard ventes'!$F$238="","","VD"&amp;TEXT(ROW('Brouillard ventes'!$F$238)-5,"00000"))</f>
        <v/>
      </c>
      <c r="C700" s="22">
        <f>IF('Brouillard ventes'!$F$238="","",YEAR('Brouillard ventes'!$A$238)*10000+MONTH('Brouillard ventes'!$A$238)*100+DAY('Brouillard ventes'!$A$238))</f>
        <v/>
      </c>
      <c r="D700" s="22">
        <f>IF('Brouillard ventes'!$F$238="","",'Brouillard ventes'!$B$238)</f>
        <v/>
      </c>
      <c r="E700" s="22">
        <f>IF('Brouillard ventes'!$F$238="","",LEFT('Brouillard ventes'!$D$238,30))</f>
        <v/>
      </c>
      <c r="F700" s="22" t="inlineStr">
        <is>
          <t>15001</t>
        </is>
      </c>
      <c r="G700" s="22">
        <f>IF('Brouillard ventes'!$F$238="","",Paramètres!$B$10)</f>
        <v/>
      </c>
      <c r="H700" s="22" t="inlineStr"/>
      <c r="I700" s="22" t="inlineStr"/>
      <c r="J700" s="22" t="inlineStr"/>
      <c r="K700" s="22">
        <f>IF('Brouillard ventes'!$F$238="","",Paramètres!$B$11)</f>
        <v/>
      </c>
      <c r="L700" s="23" t="n">
        <v>0</v>
      </c>
      <c r="M700" s="23">
        <f>IF('Brouillard ventes'!$F$238="","",'Brouillard ventes'!$H$238)</f>
        <v/>
      </c>
    </row>
    <row r="701">
      <c r="A701" s="22" t="inlineStr">
        <is>
          <t>1</t>
        </is>
      </c>
      <c r="B701" s="22">
        <f>IF('Brouillard ventes'!$F$239="","","VD"&amp;TEXT(ROW('Brouillard ventes'!$F$239)-5,"00000"))</f>
        <v/>
      </c>
      <c r="C701" s="22">
        <f>IF('Brouillard ventes'!$F$239="","",YEAR('Brouillard ventes'!$A$239)*10000+MONTH('Brouillard ventes'!$A$239)*100+DAY('Brouillard ventes'!$A$239))</f>
        <v/>
      </c>
      <c r="D701" s="22">
        <f>IF('Brouillard ventes'!$F$239="","",'Brouillard ventes'!$B$239)</f>
        <v/>
      </c>
      <c r="E701" s="22">
        <f>IF('Brouillard ventes'!$F$239="","",LEFT('Brouillard ventes'!$D$239,30))</f>
        <v/>
      </c>
      <c r="F701" s="22" t="inlineStr">
        <is>
          <t>15001</t>
        </is>
      </c>
      <c r="G701" s="22">
        <f>IF('Brouillard ventes'!$F$239="","",Paramètres!$B$7)</f>
        <v/>
      </c>
      <c r="H701" s="22">
        <f>IF('Brouillard ventes'!$F$239="","",IF('Brouillard ventes'!$C$239="","CD001",'Brouillard ventes'!$C$239))</f>
        <v/>
      </c>
      <c r="I701" s="22" t="inlineStr"/>
      <c r="J701" s="22" t="inlineStr"/>
      <c r="K701" s="22">
        <f>IF('Brouillard ventes'!$F$239="","",Paramètres!$B$11)</f>
        <v/>
      </c>
      <c r="L701" s="23">
        <f>IF('Brouillard ventes'!$F$239="","",'Brouillard ventes'!$I$239)</f>
        <v/>
      </c>
      <c r="M701" s="23" t="n">
        <v>0</v>
      </c>
    </row>
    <row r="702">
      <c r="A702" s="22" t="inlineStr">
        <is>
          <t>1</t>
        </is>
      </c>
      <c r="B702" s="22">
        <f>IF('Brouillard ventes'!$F$239="","","VD"&amp;TEXT(ROW('Brouillard ventes'!$F$239)-5,"00000"))</f>
        <v/>
      </c>
      <c r="C702" s="22">
        <f>IF('Brouillard ventes'!$F$239="","",YEAR('Brouillard ventes'!$A$239)*10000+MONTH('Brouillard ventes'!$A$239)*100+DAY('Brouillard ventes'!$A$239))</f>
        <v/>
      </c>
      <c r="D702" s="22">
        <f>IF('Brouillard ventes'!$F$239="","",'Brouillard ventes'!$B$239)</f>
        <v/>
      </c>
      <c r="E702" s="22">
        <f>IF('Brouillard ventes'!$F$239="","",LEFT('Brouillard ventes'!$D$239,30))</f>
        <v/>
      </c>
      <c r="F702" s="22" t="inlineStr">
        <is>
          <t>15001</t>
        </is>
      </c>
      <c r="G702" s="22">
        <f>IF('Brouillard ventes'!$F$239="","",IF('Brouillard ventes'!$E$239="Réparation",Paramètres!$B$9,Paramètres!$B$8))</f>
        <v/>
      </c>
      <c r="H702" s="22" t="inlineStr"/>
      <c r="I702" s="22" t="inlineStr"/>
      <c r="J702" s="22" t="inlineStr"/>
      <c r="K702" s="22">
        <f>IF('Brouillard ventes'!$F$239="","",Paramètres!$B$11)</f>
        <v/>
      </c>
      <c r="L702" s="23" t="n">
        <v>0</v>
      </c>
      <c r="M702" s="23">
        <f>IF('Brouillard ventes'!$F$239="","",'Brouillard ventes'!$F$239)</f>
        <v/>
      </c>
    </row>
    <row r="703">
      <c r="A703" s="22" t="inlineStr">
        <is>
          <t>1</t>
        </is>
      </c>
      <c r="B703" s="22">
        <f>IF('Brouillard ventes'!$F$239="","","VD"&amp;TEXT(ROW('Brouillard ventes'!$F$239)-5,"00000"))</f>
        <v/>
      </c>
      <c r="C703" s="22">
        <f>IF('Brouillard ventes'!$F$239="","",YEAR('Brouillard ventes'!$A$239)*10000+MONTH('Brouillard ventes'!$A$239)*100+DAY('Brouillard ventes'!$A$239))</f>
        <v/>
      </c>
      <c r="D703" s="22">
        <f>IF('Brouillard ventes'!$F$239="","",'Brouillard ventes'!$B$239)</f>
        <v/>
      </c>
      <c r="E703" s="22">
        <f>IF('Brouillard ventes'!$F$239="","",LEFT('Brouillard ventes'!$D$239,30))</f>
        <v/>
      </c>
      <c r="F703" s="22" t="inlineStr">
        <is>
          <t>15001</t>
        </is>
      </c>
      <c r="G703" s="22">
        <f>IF('Brouillard ventes'!$F$239="","",Paramètres!$B$10)</f>
        <v/>
      </c>
      <c r="H703" s="22" t="inlineStr"/>
      <c r="I703" s="22" t="inlineStr"/>
      <c r="J703" s="22" t="inlineStr"/>
      <c r="K703" s="22">
        <f>IF('Brouillard ventes'!$F$239="","",Paramètres!$B$11)</f>
        <v/>
      </c>
      <c r="L703" s="23" t="n">
        <v>0</v>
      </c>
      <c r="M703" s="23">
        <f>IF('Brouillard ventes'!$F$239="","",'Brouillard ventes'!$H$239)</f>
        <v/>
      </c>
    </row>
    <row r="704">
      <c r="A704" s="22" t="inlineStr">
        <is>
          <t>1</t>
        </is>
      </c>
      <c r="B704" s="22">
        <f>IF('Brouillard ventes'!$F$240="","","VD"&amp;TEXT(ROW('Brouillard ventes'!$F$240)-5,"00000"))</f>
        <v/>
      </c>
      <c r="C704" s="22">
        <f>IF('Brouillard ventes'!$F$240="","",YEAR('Brouillard ventes'!$A$240)*10000+MONTH('Brouillard ventes'!$A$240)*100+DAY('Brouillard ventes'!$A$240))</f>
        <v/>
      </c>
      <c r="D704" s="22">
        <f>IF('Brouillard ventes'!$F$240="","",'Brouillard ventes'!$B$240)</f>
        <v/>
      </c>
      <c r="E704" s="22">
        <f>IF('Brouillard ventes'!$F$240="","",LEFT('Brouillard ventes'!$D$240,30))</f>
        <v/>
      </c>
      <c r="F704" s="22" t="inlineStr">
        <is>
          <t>15001</t>
        </is>
      </c>
      <c r="G704" s="22">
        <f>IF('Brouillard ventes'!$F$240="","",Paramètres!$B$7)</f>
        <v/>
      </c>
      <c r="H704" s="22">
        <f>IF('Brouillard ventes'!$F$240="","",IF('Brouillard ventes'!$C$240="","CD001",'Brouillard ventes'!$C$240))</f>
        <v/>
      </c>
      <c r="I704" s="22" t="inlineStr"/>
      <c r="J704" s="22" t="inlineStr"/>
      <c r="K704" s="22">
        <f>IF('Brouillard ventes'!$F$240="","",Paramètres!$B$11)</f>
        <v/>
      </c>
      <c r="L704" s="23">
        <f>IF('Brouillard ventes'!$F$240="","",'Brouillard ventes'!$I$240)</f>
        <v/>
      </c>
      <c r="M704" s="23" t="n">
        <v>0</v>
      </c>
    </row>
    <row r="705">
      <c r="A705" s="22" t="inlineStr">
        <is>
          <t>1</t>
        </is>
      </c>
      <c r="B705" s="22">
        <f>IF('Brouillard ventes'!$F$240="","","VD"&amp;TEXT(ROW('Brouillard ventes'!$F$240)-5,"00000"))</f>
        <v/>
      </c>
      <c r="C705" s="22">
        <f>IF('Brouillard ventes'!$F$240="","",YEAR('Brouillard ventes'!$A$240)*10000+MONTH('Brouillard ventes'!$A$240)*100+DAY('Brouillard ventes'!$A$240))</f>
        <v/>
      </c>
      <c r="D705" s="22">
        <f>IF('Brouillard ventes'!$F$240="","",'Brouillard ventes'!$B$240)</f>
        <v/>
      </c>
      <c r="E705" s="22">
        <f>IF('Brouillard ventes'!$F$240="","",LEFT('Brouillard ventes'!$D$240,30))</f>
        <v/>
      </c>
      <c r="F705" s="22" t="inlineStr">
        <is>
          <t>15001</t>
        </is>
      </c>
      <c r="G705" s="22">
        <f>IF('Brouillard ventes'!$F$240="","",IF('Brouillard ventes'!$E$240="Réparation",Paramètres!$B$9,Paramètres!$B$8))</f>
        <v/>
      </c>
      <c r="H705" s="22" t="inlineStr"/>
      <c r="I705" s="22" t="inlineStr"/>
      <c r="J705" s="22" t="inlineStr"/>
      <c r="K705" s="22">
        <f>IF('Brouillard ventes'!$F$240="","",Paramètres!$B$11)</f>
        <v/>
      </c>
      <c r="L705" s="23" t="n">
        <v>0</v>
      </c>
      <c r="M705" s="23">
        <f>IF('Brouillard ventes'!$F$240="","",'Brouillard ventes'!$F$240)</f>
        <v/>
      </c>
    </row>
    <row r="706">
      <c r="A706" s="22" t="inlineStr">
        <is>
          <t>1</t>
        </is>
      </c>
      <c r="B706" s="22">
        <f>IF('Brouillard ventes'!$F$240="","","VD"&amp;TEXT(ROW('Brouillard ventes'!$F$240)-5,"00000"))</f>
        <v/>
      </c>
      <c r="C706" s="22">
        <f>IF('Brouillard ventes'!$F$240="","",YEAR('Brouillard ventes'!$A$240)*10000+MONTH('Brouillard ventes'!$A$240)*100+DAY('Brouillard ventes'!$A$240))</f>
        <v/>
      </c>
      <c r="D706" s="22">
        <f>IF('Brouillard ventes'!$F$240="","",'Brouillard ventes'!$B$240)</f>
        <v/>
      </c>
      <c r="E706" s="22">
        <f>IF('Brouillard ventes'!$F$240="","",LEFT('Brouillard ventes'!$D$240,30))</f>
        <v/>
      </c>
      <c r="F706" s="22" t="inlineStr">
        <is>
          <t>15001</t>
        </is>
      </c>
      <c r="G706" s="22">
        <f>IF('Brouillard ventes'!$F$240="","",Paramètres!$B$10)</f>
        <v/>
      </c>
      <c r="H706" s="22" t="inlineStr"/>
      <c r="I706" s="22" t="inlineStr"/>
      <c r="J706" s="22" t="inlineStr"/>
      <c r="K706" s="22">
        <f>IF('Brouillard ventes'!$F$240="","",Paramètres!$B$11)</f>
        <v/>
      </c>
      <c r="L706" s="23" t="n">
        <v>0</v>
      </c>
      <c r="M706" s="23">
        <f>IF('Brouillard ventes'!$F$240="","",'Brouillard ventes'!$H$240)</f>
        <v/>
      </c>
    </row>
    <row r="707">
      <c r="A707" s="22" t="inlineStr">
        <is>
          <t>1</t>
        </is>
      </c>
      <c r="B707" s="22">
        <f>IF('Brouillard ventes'!$F$241="","","VD"&amp;TEXT(ROW('Brouillard ventes'!$F$241)-5,"00000"))</f>
        <v/>
      </c>
      <c r="C707" s="22">
        <f>IF('Brouillard ventes'!$F$241="","",YEAR('Brouillard ventes'!$A$241)*10000+MONTH('Brouillard ventes'!$A$241)*100+DAY('Brouillard ventes'!$A$241))</f>
        <v/>
      </c>
      <c r="D707" s="22">
        <f>IF('Brouillard ventes'!$F$241="","",'Brouillard ventes'!$B$241)</f>
        <v/>
      </c>
      <c r="E707" s="22">
        <f>IF('Brouillard ventes'!$F$241="","",LEFT('Brouillard ventes'!$D$241,30))</f>
        <v/>
      </c>
      <c r="F707" s="22" t="inlineStr">
        <is>
          <t>15001</t>
        </is>
      </c>
      <c r="G707" s="22">
        <f>IF('Brouillard ventes'!$F$241="","",Paramètres!$B$7)</f>
        <v/>
      </c>
      <c r="H707" s="22">
        <f>IF('Brouillard ventes'!$F$241="","",IF('Brouillard ventes'!$C$241="","CD001",'Brouillard ventes'!$C$241))</f>
        <v/>
      </c>
      <c r="I707" s="22" t="inlineStr"/>
      <c r="J707" s="22" t="inlineStr"/>
      <c r="K707" s="22">
        <f>IF('Brouillard ventes'!$F$241="","",Paramètres!$B$11)</f>
        <v/>
      </c>
      <c r="L707" s="23">
        <f>IF('Brouillard ventes'!$F$241="","",'Brouillard ventes'!$I$241)</f>
        <v/>
      </c>
      <c r="M707" s="23" t="n">
        <v>0</v>
      </c>
    </row>
    <row r="708">
      <c r="A708" s="22" t="inlineStr">
        <is>
          <t>1</t>
        </is>
      </c>
      <c r="B708" s="22">
        <f>IF('Brouillard ventes'!$F$241="","","VD"&amp;TEXT(ROW('Brouillard ventes'!$F$241)-5,"00000"))</f>
        <v/>
      </c>
      <c r="C708" s="22">
        <f>IF('Brouillard ventes'!$F$241="","",YEAR('Brouillard ventes'!$A$241)*10000+MONTH('Brouillard ventes'!$A$241)*100+DAY('Brouillard ventes'!$A$241))</f>
        <v/>
      </c>
      <c r="D708" s="22">
        <f>IF('Brouillard ventes'!$F$241="","",'Brouillard ventes'!$B$241)</f>
        <v/>
      </c>
      <c r="E708" s="22">
        <f>IF('Brouillard ventes'!$F$241="","",LEFT('Brouillard ventes'!$D$241,30))</f>
        <v/>
      </c>
      <c r="F708" s="22" t="inlineStr">
        <is>
          <t>15001</t>
        </is>
      </c>
      <c r="G708" s="22">
        <f>IF('Brouillard ventes'!$F$241="","",IF('Brouillard ventes'!$E$241="Réparation",Paramètres!$B$9,Paramètres!$B$8))</f>
        <v/>
      </c>
      <c r="H708" s="22" t="inlineStr"/>
      <c r="I708" s="22" t="inlineStr"/>
      <c r="J708" s="22" t="inlineStr"/>
      <c r="K708" s="22">
        <f>IF('Brouillard ventes'!$F$241="","",Paramètres!$B$11)</f>
        <v/>
      </c>
      <c r="L708" s="23" t="n">
        <v>0</v>
      </c>
      <c r="M708" s="23">
        <f>IF('Brouillard ventes'!$F$241="","",'Brouillard ventes'!$F$241)</f>
        <v/>
      </c>
    </row>
    <row r="709">
      <c r="A709" s="22" t="inlineStr">
        <is>
          <t>1</t>
        </is>
      </c>
      <c r="B709" s="22">
        <f>IF('Brouillard ventes'!$F$241="","","VD"&amp;TEXT(ROW('Brouillard ventes'!$F$241)-5,"00000"))</f>
        <v/>
      </c>
      <c r="C709" s="22">
        <f>IF('Brouillard ventes'!$F$241="","",YEAR('Brouillard ventes'!$A$241)*10000+MONTH('Brouillard ventes'!$A$241)*100+DAY('Brouillard ventes'!$A$241))</f>
        <v/>
      </c>
      <c r="D709" s="22">
        <f>IF('Brouillard ventes'!$F$241="","",'Brouillard ventes'!$B$241)</f>
        <v/>
      </c>
      <c r="E709" s="22">
        <f>IF('Brouillard ventes'!$F$241="","",LEFT('Brouillard ventes'!$D$241,30))</f>
        <v/>
      </c>
      <c r="F709" s="22" t="inlineStr">
        <is>
          <t>15001</t>
        </is>
      </c>
      <c r="G709" s="22">
        <f>IF('Brouillard ventes'!$F$241="","",Paramètres!$B$10)</f>
        <v/>
      </c>
      <c r="H709" s="22" t="inlineStr"/>
      <c r="I709" s="22" t="inlineStr"/>
      <c r="J709" s="22" t="inlineStr"/>
      <c r="K709" s="22">
        <f>IF('Brouillard ventes'!$F$241="","",Paramètres!$B$11)</f>
        <v/>
      </c>
      <c r="L709" s="23" t="n">
        <v>0</v>
      </c>
      <c r="M709" s="23">
        <f>IF('Brouillard ventes'!$F$241="","",'Brouillard ventes'!$H$241)</f>
        <v/>
      </c>
    </row>
    <row r="710">
      <c r="A710" s="22" t="inlineStr">
        <is>
          <t>1</t>
        </is>
      </c>
      <c r="B710" s="22">
        <f>IF('Brouillard ventes'!$F$242="","","VD"&amp;TEXT(ROW('Brouillard ventes'!$F$242)-5,"00000"))</f>
        <v/>
      </c>
      <c r="C710" s="22">
        <f>IF('Brouillard ventes'!$F$242="","",YEAR('Brouillard ventes'!$A$242)*10000+MONTH('Brouillard ventes'!$A$242)*100+DAY('Brouillard ventes'!$A$242))</f>
        <v/>
      </c>
      <c r="D710" s="22">
        <f>IF('Brouillard ventes'!$F$242="","",'Brouillard ventes'!$B$242)</f>
        <v/>
      </c>
      <c r="E710" s="22">
        <f>IF('Brouillard ventes'!$F$242="","",LEFT('Brouillard ventes'!$D$242,30))</f>
        <v/>
      </c>
      <c r="F710" s="22" t="inlineStr">
        <is>
          <t>15001</t>
        </is>
      </c>
      <c r="G710" s="22">
        <f>IF('Brouillard ventes'!$F$242="","",Paramètres!$B$7)</f>
        <v/>
      </c>
      <c r="H710" s="22">
        <f>IF('Brouillard ventes'!$F$242="","",IF('Brouillard ventes'!$C$242="","CD001",'Brouillard ventes'!$C$242))</f>
        <v/>
      </c>
      <c r="I710" s="22" t="inlineStr"/>
      <c r="J710" s="22" t="inlineStr"/>
      <c r="K710" s="22">
        <f>IF('Brouillard ventes'!$F$242="","",Paramètres!$B$11)</f>
        <v/>
      </c>
      <c r="L710" s="23">
        <f>IF('Brouillard ventes'!$F$242="","",'Brouillard ventes'!$I$242)</f>
        <v/>
      </c>
      <c r="M710" s="23" t="n">
        <v>0</v>
      </c>
    </row>
    <row r="711">
      <c r="A711" s="22" t="inlineStr">
        <is>
          <t>1</t>
        </is>
      </c>
      <c r="B711" s="22">
        <f>IF('Brouillard ventes'!$F$242="","","VD"&amp;TEXT(ROW('Brouillard ventes'!$F$242)-5,"00000"))</f>
        <v/>
      </c>
      <c r="C711" s="22">
        <f>IF('Brouillard ventes'!$F$242="","",YEAR('Brouillard ventes'!$A$242)*10000+MONTH('Brouillard ventes'!$A$242)*100+DAY('Brouillard ventes'!$A$242))</f>
        <v/>
      </c>
      <c r="D711" s="22">
        <f>IF('Brouillard ventes'!$F$242="","",'Brouillard ventes'!$B$242)</f>
        <v/>
      </c>
      <c r="E711" s="22">
        <f>IF('Brouillard ventes'!$F$242="","",LEFT('Brouillard ventes'!$D$242,30))</f>
        <v/>
      </c>
      <c r="F711" s="22" t="inlineStr">
        <is>
          <t>15001</t>
        </is>
      </c>
      <c r="G711" s="22">
        <f>IF('Brouillard ventes'!$F$242="","",IF('Brouillard ventes'!$E$242="Réparation",Paramètres!$B$9,Paramètres!$B$8))</f>
        <v/>
      </c>
      <c r="H711" s="22" t="inlineStr"/>
      <c r="I711" s="22" t="inlineStr"/>
      <c r="J711" s="22" t="inlineStr"/>
      <c r="K711" s="22">
        <f>IF('Brouillard ventes'!$F$242="","",Paramètres!$B$11)</f>
        <v/>
      </c>
      <c r="L711" s="23" t="n">
        <v>0</v>
      </c>
      <c r="M711" s="23">
        <f>IF('Brouillard ventes'!$F$242="","",'Brouillard ventes'!$F$242)</f>
        <v/>
      </c>
    </row>
    <row r="712">
      <c r="A712" s="22" t="inlineStr">
        <is>
          <t>1</t>
        </is>
      </c>
      <c r="B712" s="22">
        <f>IF('Brouillard ventes'!$F$242="","","VD"&amp;TEXT(ROW('Brouillard ventes'!$F$242)-5,"00000"))</f>
        <v/>
      </c>
      <c r="C712" s="22">
        <f>IF('Brouillard ventes'!$F$242="","",YEAR('Brouillard ventes'!$A$242)*10000+MONTH('Brouillard ventes'!$A$242)*100+DAY('Brouillard ventes'!$A$242))</f>
        <v/>
      </c>
      <c r="D712" s="22">
        <f>IF('Brouillard ventes'!$F$242="","",'Brouillard ventes'!$B$242)</f>
        <v/>
      </c>
      <c r="E712" s="22">
        <f>IF('Brouillard ventes'!$F$242="","",LEFT('Brouillard ventes'!$D$242,30))</f>
        <v/>
      </c>
      <c r="F712" s="22" t="inlineStr">
        <is>
          <t>15001</t>
        </is>
      </c>
      <c r="G712" s="22">
        <f>IF('Brouillard ventes'!$F$242="","",Paramètres!$B$10)</f>
        <v/>
      </c>
      <c r="H712" s="22" t="inlineStr"/>
      <c r="I712" s="22" t="inlineStr"/>
      <c r="J712" s="22" t="inlineStr"/>
      <c r="K712" s="22">
        <f>IF('Brouillard ventes'!$F$242="","",Paramètres!$B$11)</f>
        <v/>
      </c>
      <c r="L712" s="23" t="n">
        <v>0</v>
      </c>
      <c r="M712" s="23">
        <f>IF('Brouillard ventes'!$F$242="","",'Brouillard ventes'!$H$242)</f>
        <v/>
      </c>
    </row>
    <row r="713">
      <c r="A713" s="22" t="inlineStr">
        <is>
          <t>1</t>
        </is>
      </c>
      <c r="B713" s="22">
        <f>IF('Brouillard ventes'!$F$243="","","VD"&amp;TEXT(ROW('Brouillard ventes'!$F$243)-5,"00000"))</f>
        <v/>
      </c>
      <c r="C713" s="22">
        <f>IF('Brouillard ventes'!$F$243="","",YEAR('Brouillard ventes'!$A$243)*10000+MONTH('Brouillard ventes'!$A$243)*100+DAY('Brouillard ventes'!$A$243))</f>
        <v/>
      </c>
      <c r="D713" s="22">
        <f>IF('Brouillard ventes'!$F$243="","",'Brouillard ventes'!$B$243)</f>
        <v/>
      </c>
      <c r="E713" s="22">
        <f>IF('Brouillard ventes'!$F$243="","",LEFT('Brouillard ventes'!$D$243,30))</f>
        <v/>
      </c>
      <c r="F713" s="22" t="inlineStr">
        <is>
          <t>15001</t>
        </is>
      </c>
      <c r="G713" s="22">
        <f>IF('Brouillard ventes'!$F$243="","",Paramètres!$B$7)</f>
        <v/>
      </c>
      <c r="H713" s="22">
        <f>IF('Brouillard ventes'!$F$243="","",IF('Brouillard ventes'!$C$243="","CD001",'Brouillard ventes'!$C$243))</f>
        <v/>
      </c>
      <c r="I713" s="22" t="inlineStr"/>
      <c r="J713" s="22" t="inlineStr"/>
      <c r="K713" s="22">
        <f>IF('Brouillard ventes'!$F$243="","",Paramètres!$B$11)</f>
        <v/>
      </c>
      <c r="L713" s="23">
        <f>IF('Brouillard ventes'!$F$243="","",'Brouillard ventes'!$I$243)</f>
        <v/>
      </c>
      <c r="M713" s="23" t="n">
        <v>0</v>
      </c>
    </row>
    <row r="714">
      <c r="A714" s="22" t="inlineStr">
        <is>
          <t>1</t>
        </is>
      </c>
      <c r="B714" s="22">
        <f>IF('Brouillard ventes'!$F$243="","","VD"&amp;TEXT(ROW('Brouillard ventes'!$F$243)-5,"00000"))</f>
        <v/>
      </c>
      <c r="C714" s="22">
        <f>IF('Brouillard ventes'!$F$243="","",YEAR('Brouillard ventes'!$A$243)*10000+MONTH('Brouillard ventes'!$A$243)*100+DAY('Brouillard ventes'!$A$243))</f>
        <v/>
      </c>
      <c r="D714" s="22">
        <f>IF('Brouillard ventes'!$F$243="","",'Brouillard ventes'!$B$243)</f>
        <v/>
      </c>
      <c r="E714" s="22">
        <f>IF('Brouillard ventes'!$F$243="","",LEFT('Brouillard ventes'!$D$243,30))</f>
        <v/>
      </c>
      <c r="F714" s="22" t="inlineStr">
        <is>
          <t>15001</t>
        </is>
      </c>
      <c r="G714" s="22">
        <f>IF('Brouillard ventes'!$F$243="","",IF('Brouillard ventes'!$E$243="Réparation",Paramètres!$B$9,Paramètres!$B$8))</f>
        <v/>
      </c>
      <c r="H714" s="22" t="inlineStr"/>
      <c r="I714" s="22" t="inlineStr"/>
      <c r="J714" s="22" t="inlineStr"/>
      <c r="K714" s="22">
        <f>IF('Brouillard ventes'!$F$243="","",Paramètres!$B$11)</f>
        <v/>
      </c>
      <c r="L714" s="23" t="n">
        <v>0</v>
      </c>
      <c r="M714" s="23">
        <f>IF('Brouillard ventes'!$F$243="","",'Brouillard ventes'!$F$243)</f>
        <v/>
      </c>
    </row>
    <row r="715">
      <c r="A715" s="22" t="inlineStr">
        <is>
          <t>1</t>
        </is>
      </c>
      <c r="B715" s="22">
        <f>IF('Brouillard ventes'!$F$243="","","VD"&amp;TEXT(ROW('Brouillard ventes'!$F$243)-5,"00000"))</f>
        <v/>
      </c>
      <c r="C715" s="22">
        <f>IF('Brouillard ventes'!$F$243="","",YEAR('Brouillard ventes'!$A$243)*10000+MONTH('Brouillard ventes'!$A$243)*100+DAY('Brouillard ventes'!$A$243))</f>
        <v/>
      </c>
      <c r="D715" s="22">
        <f>IF('Brouillard ventes'!$F$243="","",'Brouillard ventes'!$B$243)</f>
        <v/>
      </c>
      <c r="E715" s="22">
        <f>IF('Brouillard ventes'!$F$243="","",LEFT('Brouillard ventes'!$D$243,30))</f>
        <v/>
      </c>
      <c r="F715" s="22" t="inlineStr">
        <is>
          <t>15001</t>
        </is>
      </c>
      <c r="G715" s="22">
        <f>IF('Brouillard ventes'!$F$243="","",Paramètres!$B$10)</f>
        <v/>
      </c>
      <c r="H715" s="22" t="inlineStr"/>
      <c r="I715" s="22" t="inlineStr"/>
      <c r="J715" s="22" t="inlineStr"/>
      <c r="K715" s="22">
        <f>IF('Brouillard ventes'!$F$243="","",Paramètres!$B$11)</f>
        <v/>
      </c>
      <c r="L715" s="23" t="n">
        <v>0</v>
      </c>
      <c r="M715" s="23">
        <f>IF('Brouillard ventes'!$F$243="","",'Brouillard ventes'!$H$243)</f>
        <v/>
      </c>
    </row>
    <row r="716">
      <c r="A716" s="22" t="inlineStr">
        <is>
          <t>1</t>
        </is>
      </c>
      <c r="B716" s="22">
        <f>IF('Brouillard ventes'!$F$244="","","VD"&amp;TEXT(ROW('Brouillard ventes'!$F$244)-5,"00000"))</f>
        <v/>
      </c>
      <c r="C716" s="22">
        <f>IF('Brouillard ventes'!$F$244="","",YEAR('Brouillard ventes'!$A$244)*10000+MONTH('Brouillard ventes'!$A$244)*100+DAY('Brouillard ventes'!$A$244))</f>
        <v/>
      </c>
      <c r="D716" s="22">
        <f>IF('Brouillard ventes'!$F$244="","",'Brouillard ventes'!$B$244)</f>
        <v/>
      </c>
      <c r="E716" s="22">
        <f>IF('Brouillard ventes'!$F$244="","",LEFT('Brouillard ventes'!$D$244,30))</f>
        <v/>
      </c>
      <c r="F716" s="22" t="inlineStr">
        <is>
          <t>15001</t>
        </is>
      </c>
      <c r="G716" s="22">
        <f>IF('Brouillard ventes'!$F$244="","",Paramètres!$B$7)</f>
        <v/>
      </c>
      <c r="H716" s="22">
        <f>IF('Brouillard ventes'!$F$244="","",IF('Brouillard ventes'!$C$244="","CD001",'Brouillard ventes'!$C$244))</f>
        <v/>
      </c>
      <c r="I716" s="22" t="inlineStr"/>
      <c r="J716" s="22" t="inlineStr"/>
      <c r="K716" s="22">
        <f>IF('Brouillard ventes'!$F$244="","",Paramètres!$B$11)</f>
        <v/>
      </c>
      <c r="L716" s="23">
        <f>IF('Brouillard ventes'!$F$244="","",'Brouillard ventes'!$I$244)</f>
        <v/>
      </c>
      <c r="M716" s="23" t="n">
        <v>0</v>
      </c>
    </row>
    <row r="717">
      <c r="A717" s="22" t="inlineStr">
        <is>
          <t>1</t>
        </is>
      </c>
      <c r="B717" s="22">
        <f>IF('Brouillard ventes'!$F$244="","","VD"&amp;TEXT(ROW('Brouillard ventes'!$F$244)-5,"00000"))</f>
        <v/>
      </c>
      <c r="C717" s="22">
        <f>IF('Brouillard ventes'!$F$244="","",YEAR('Brouillard ventes'!$A$244)*10000+MONTH('Brouillard ventes'!$A$244)*100+DAY('Brouillard ventes'!$A$244))</f>
        <v/>
      </c>
      <c r="D717" s="22">
        <f>IF('Brouillard ventes'!$F$244="","",'Brouillard ventes'!$B$244)</f>
        <v/>
      </c>
      <c r="E717" s="22">
        <f>IF('Brouillard ventes'!$F$244="","",LEFT('Brouillard ventes'!$D$244,30))</f>
        <v/>
      </c>
      <c r="F717" s="22" t="inlineStr">
        <is>
          <t>15001</t>
        </is>
      </c>
      <c r="G717" s="22">
        <f>IF('Brouillard ventes'!$F$244="","",IF('Brouillard ventes'!$E$244="Réparation",Paramètres!$B$9,Paramètres!$B$8))</f>
        <v/>
      </c>
      <c r="H717" s="22" t="inlineStr"/>
      <c r="I717" s="22" t="inlineStr"/>
      <c r="J717" s="22" t="inlineStr"/>
      <c r="K717" s="22">
        <f>IF('Brouillard ventes'!$F$244="","",Paramètres!$B$11)</f>
        <v/>
      </c>
      <c r="L717" s="23" t="n">
        <v>0</v>
      </c>
      <c r="M717" s="23">
        <f>IF('Brouillard ventes'!$F$244="","",'Brouillard ventes'!$F$244)</f>
        <v/>
      </c>
    </row>
    <row r="718">
      <c r="A718" s="22" t="inlineStr">
        <is>
          <t>1</t>
        </is>
      </c>
      <c r="B718" s="22">
        <f>IF('Brouillard ventes'!$F$244="","","VD"&amp;TEXT(ROW('Brouillard ventes'!$F$244)-5,"00000"))</f>
        <v/>
      </c>
      <c r="C718" s="22">
        <f>IF('Brouillard ventes'!$F$244="","",YEAR('Brouillard ventes'!$A$244)*10000+MONTH('Brouillard ventes'!$A$244)*100+DAY('Brouillard ventes'!$A$244))</f>
        <v/>
      </c>
      <c r="D718" s="22">
        <f>IF('Brouillard ventes'!$F$244="","",'Brouillard ventes'!$B$244)</f>
        <v/>
      </c>
      <c r="E718" s="22">
        <f>IF('Brouillard ventes'!$F$244="","",LEFT('Brouillard ventes'!$D$244,30))</f>
        <v/>
      </c>
      <c r="F718" s="22" t="inlineStr">
        <is>
          <t>15001</t>
        </is>
      </c>
      <c r="G718" s="22">
        <f>IF('Brouillard ventes'!$F$244="","",Paramètres!$B$10)</f>
        <v/>
      </c>
      <c r="H718" s="22" t="inlineStr"/>
      <c r="I718" s="22" t="inlineStr"/>
      <c r="J718" s="22" t="inlineStr"/>
      <c r="K718" s="22">
        <f>IF('Brouillard ventes'!$F$244="","",Paramètres!$B$11)</f>
        <v/>
      </c>
      <c r="L718" s="23" t="n">
        <v>0</v>
      </c>
      <c r="M718" s="23">
        <f>IF('Brouillard ventes'!$F$244="","",'Brouillard ventes'!$H$244)</f>
        <v/>
      </c>
    </row>
    <row r="719">
      <c r="A719" s="22" t="inlineStr">
        <is>
          <t>1</t>
        </is>
      </c>
      <c r="B719" s="22">
        <f>IF('Brouillard ventes'!$F$245="","","VD"&amp;TEXT(ROW('Brouillard ventes'!$F$245)-5,"00000"))</f>
        <v/>
      </c>
      <c r="C719" s="22">
        <f>IF('Brouillard ventes'!$F$245="","",YEAR('Brouillard ventes'!$A$245)*10000+MONTH('Brouillard ventes'!$A$245)*100+DAY('Brouillard ventes'!$A$245))</f>
        <v/>
      </c>
      <c r="D719" s="22">
        <f>IF('Brouillard ventes'!$F$245="","",'Brouillard ventes'!$B$245)</f>
        <v/>
      </c>
      <c r="E719" s="22">
        <f>IF('Brouillard ventes'!$F$245="","",LEFT('Brouillard ventes'!$D$245,30))</f>
        <v/>
      </c>
      <c r="F719" s="22" t="inlineStr">
        <is>
          <t>15001</t>
        </is>
      </c>
      <c r="G719" s="22">
        <f>IF('Brouillard ventes'!$F$245="","",Paramètres!$B$7)</f>
        <v/>
      </c>
      <c r="H719" s="22">
        <f>IF('Brouillard ventes'!$F$245="","",IF('Brouillard ventes'!$C$245="","CD001",'Brouillard ventes'!$C$245))</f>
        <v/>
      </c>
      <c r="I719" s="22" t="inlineStr"/>
      <c r="J719" s="22" t="inlineStr"/>
      <c r="K719" s="22">
        <f>IF('Brouillard ventes'!$F$245="","",Paramètres!$B$11)</f>
        <v/>
      </c>
      <c r="L719" s="23">
        <f>IF('Brouillard ventes'!$F$245="","",'Brouillard ventes'!$I$245)</f>
        <v/>
      </c>
      <c r="M719" s="23" t="n">
        <v>0</v>
      </c>
    </row>
    <row r="720">
      <c r="A720" s="22" t="inlineStr">
        <is>
          <t>1</t>
        </is>
      </c>
      <c r="B720" s="22">
        <f>IF('Brouillard ventes'!$F$245="","","VD"&amp;TEXT(ROW('Brouillard ventes'!$F$245)-5,"00000"))</f>
        <v/>
      </c>
      <c r="C720" s="22">
        <f>IF('Brouillard ventes'!$F$245="","",YEAR('Brouillard ventes'!$A$245)*10000+MONTH('Brouillard ventes'!$A$245)*100+DAY('Brouillard ventes'!$A$245))</f>
        <v/>
      </c>
      <c r="D720" s="22">
        <f>IF('Brouillard ventes'!$F$245="","",'Brouillard ventes'!$B$245)</f>
        <v/>
      </c>
      <c r="E720" s="22">
        <f>IF('Brouillard ventes'!$F$245="","",LEFT('Brouillard ventes'!$D$245,30))</f>
        <v/>
      </c>
      <c r="F720" s="22" t="inlineStr">
        <is>
          <t>15001</t>
        </is>
      </c>
      <c r="G720" s="22">
        <f>IF('Brouillard ventes'!$F$245="","",IF('Brouillard ventes'!$E$245="Réparation",Paramètres!$B$9,Paramètres!$B$8))</f>
        <v/>
      </c>
      <c r="H720" s="22" t="inlineStr"/>
      <c r="I720" s="22" t="inlineStr"/>
      <c r="J720" s="22" t="inlineStr"/>
      <c r="K720" s="22">
        <f>IF('Brouillard ventes'!$F$245="","",Paramètres!$B$11)</f>
        <v/>
      </c>
      <c r="L720" s="23" t="n">
        <v>0</v>
      </c>
      <c r="M720" s="23">
        <f>IF('Brouillard ventes'!$F$245="","",'Brouillard ventes'!$F$245)</f>
        <v/>
      </c>
    </row>
    <row r="721">
      <c r="A721" s="22" t="inlineStr">
        <is>
          <t>1</t>
        </is>
      </c>
      <c r="B721" s="22">
        <f>IF('Brouillard ventes'!$F$245="","","VD"&amp;TEXT(ROW('Brouillard ventes'!$F$245)-5,"00000"))</f>
        <v/>
      </c>
      <c r="C721" s="22">
        <f>IF('Brouillard ventes'!$F$245="","",YEAR('Brouillard ventes'!$A$245)*10000+MONTH('Brouillard ventes'!$A$245)*100+DAY('Brouillard ventes'!$A$245))</f>
        <v/>
      </c>
      <c r="D721" s="22">
        <f>IF('Brouillard ventes'!$F$245="","",'Brouillard ventes'!$B$245)</f>
        <v/>
      </c>
      <c r="E721" s="22">
        <f>IF('Brouillard ventes'!$F$245="","",LEFT('Brouillard ventes'!$D$245,30))</f>
        <v/>
      </c>
      <c r="F721" s="22" t="inlineStr">
        <is>
          <t>15001</t>
        </is>
      </c>
      <c r="G721" s="22">
        <f>IF('Brouillard ventes'!$F$245="","",Paramètres!$B$10)</f>
        <v/>
      </c>
      <c r="H721" s="22" t="inlineStr"/>
      <c r="I721" s="22" t="inlineStr"/>
      <c r="J721" s="22" t="inlineStr"/>
      <c r="K721" s="22">
        <f>IF('Brouillard ventes'!$F$245="","",Paramètres!$B$11)</f>
        <v/>
      </c>
      <c r="L721" s="23" t="n">
        <v>0</v>
      </c>
      <c r="M721" s="23">
        <f>IF('Brouillard ventes'!$F$245="","",'Brouillard ventes'!$H$245)</f>
        <v/>
      </c>
    </row>
    <row r="722">
      <c r="A722" s="22" t="inlineStr">
        <is>
          <t>1</t>
        </is>
      </c>
      <c r="B722" s="22">
        <f>IF('Brouillard ventes'!$F$246="","","VD"&amp;TEXT(ROW('Brouillard ventes'!$F$246)-5,"00000"))</f>
        <v/>
      </c>
      <c r="C722" s="22">
        <f>IF('Brouillard ventes'!$F$246="","",YEAR('Brouillard ventes'!$A$246)*10000+MONTH('Brouillard ventes'!$A$246)*100+DAY('Brouillard ventes'!$A$246))</f>
        <v/>
      </c>
      <c r="D722" s="22">
        <f>IF('Brouillard ventes'!$F$246="","",'Brouillard ventes'!$B$246)</f>
        <v/>
      </c>
      <c r="E722" s="22">
        <f>IF('Brouillard ventes'!$F$246="","",LEFT('Brouillard ventes'!$D$246,30))</f>
        <v/>
      </c>
      <c r="F722" s="22" t="inlineStr">
        <is>
          <t>15001</t>
        </is>
      </c>
      <c r="G722" s="22">
        <f>IF('Brouillard ventes'!$F$246="","",Paramètres!$B$7)</f>
        <v/>
      </c>
      <c r="H722" s="22">
        <f>IF('Brouillard ventes'!$F$246="","",IF('Brouillard ventes'!$C$246="","CD001",'Brouillard ventes'!$C$246))</f>
        <v/>
      </c>
      <c r="I722" s="22" t="inlineStr"/>
      <c r="J722" s="22" t="inlineStr"/>
      <c r="K722" s="22">
        <f>IF('Brouillard ventes'!$F$246="","",Paramètres!$B$11)</f>
        <v/>
      </c>
      <c r="L722" s="23">
        <f>IF('Brouillard ventes'!$F$246="","",'Brouillard ventes'!$I$246)</f>
        <v/>
      </c>
      <c r="M722" s="23" t="n">
        <v>0</v>
      </c>
    </row>
    <row r="723">
      <c r="A723" s="22" t="inlineStr">
        <is>
          <t>1</t>
        </is>
      </c>
      <c r="B723" s="22">
        <f>IF('Brouillard ventes'!$F$246="","","VD"&amp;TEXT(ROW('Brouillard ventes'!$F$246)-5,"00000"))</f>
        <v/>
      </c>
      <c r="C723" s="22">
        <f>IF('Brouillard ventes'!$F$246="","",YEAR('Brouillard ventes'!$A$246)*10000+MONTH('Brouillard ventes'!$A$246)*100+DAY('Brouillard ventes'!$A$246))</f>
        <v/>
      </c>
      <c r="D723" s="22">
        <f>IF('Brouillard ventes'!$F$246="","",'Brouillard ventes'!$B$246)</f>
        <v/>
      </c>
      <c r="E723" s="22">
        <f>IF('Brouillard ventes'!$F$246="","",LEFT('Brouillard ventes'!$D$246,30))</f>
        <v/>
      </c>
      <c r="F723" s="22" t="inlineStr">
        <is>
          <t>15001</t>
        </is>
      </c>
      <c r="G723" s="22">
        <f>IF('Brouillard ventes'!$F$246="","",IF('Brouillard ventes'!$E$246="Réparation",Paramètres!$B$9,Paramètres!$B$8))</f>
        <v/>
      </c>
      <c r="H723" s="22" t="inlineStr"/>
      <c r="I723" s="22" t="inlineStr"/>
      <c r="J723" s="22" t="inlineStr"/>
      <c r="K723" s="22">
        <f>IF('Brouillard ventes'!$F$246="","",Paramètres!$B$11)</f>
        <v/>
      </c>
      <c r="L723" s="23" t="n">
        <v>0</v>
      </c>
      <c r="M723" s="23">
        <f>IF('Brouillard ventes'!$F$246="","",'Brouillard ventes'!$F$246)</f>
        <v/>
      </c>
    </row>
    <row r="724">
      <c r="A724" s="22" t="inlineStr">
        <is>
          <t>1</t>
        </is>
      </c>
      <c r="B724" s="22">
        <f>IF('Brouillard ventes'!$F$246="","","VD"&amp;TEXT(ROW('Brouillard ventes'!$F$246)-5,"00000"))</f>
        <v/>
      </c>
      <c r="C724" s="22">
        <f>IF('Brouillard ventes'!$F$246="","",YEAR('Brouillard ventes'!$A$246)*10000+MONTH('Brouillard ventes'!$A$246)*100+DAY('Brouillard ventes'!$A$246))</f>
        <v/>
      </c>
      <c r="D724" s="22">
        <f>IF('Brouillard ventes'!$F$246="","",'Brouillard ventes'!$B$246)</f>
        <v/>
      </c>
      <c r="E724" s="22">
        <f>IF('Brouillard ventes'!$F$246="","",LEFT('Brouillard ventes'!$D$246,30))</f>
        <v/>
      </c>
      <c r="F724" s="22" t="inlineStr">
        <is>
          <t>15001</t>
        </is>
      </c>
      <c r="G724" s="22">
        <f>IF('Brouillard ventes'!$F$246="","",Paramètres!$B$10)</f>
        <v/>
      </c>
      <c r="H724" s="22" t="inlineStr"/>
      <c r="I724" s="22" t="inlineStr"/>
      <c r="J724" s="22" t="inlineStr"/>
      <c r="K724" s="22">
        <f>IF('Brouillard ventes'!$F$246="","",Paramètres!$B$11)</f>
        <v/>
      </c>
      <c r="L724" s="23" t="n">
        <v>0</v>
      </c>
      <c r="M724" s="23">
        <f>IF('Brouillard ventes'!$F$246="","",'Brouillard ventes'!$H$246)</f>
        <v/>
      </c>
    </row>
    <row r="725">
      <c r="A725" s="22" t="inlineStr">
        <is>
          <t>1</t>
        </is>
      </c>
      <c r="B725" s="22">
        <f>IF('Brouillard ventes'!$F$247="","","VD"&amp;TEXT(ROW('Brouillard ventes'!$F$247)-5,"00000"))</f>
        <v/>
      </c>
      <c r="C725" s="22">
        <f>IF('Brouillard ventes'!$F$247="","",YEAR('Brouillard ventes'!$A$247)*10000+MONTH('Brouillard ventes'!$A$247)*100+DAY('Brouillard ventes'!$A$247))</f>
        <v/>
      </c>
      <c r="D725" s="22">
        <f>IF('Brouillard ventes'!$F$247="","",'Brouillard ventes'!$B$247)</f>
        <v/>
      </c>
      <c r="E725" s="22">
        <f>IF('Brouillard ventes'!$F$247="","",LEFT('Brouillard ventes'!$D$247,30))</f>
        <v/>
      </c>
      <c r="F725" s="22" t="inlineStr">
        <is>
          <t>15001</t>
        </is>
      </c>
      <c r="G725" s="22">
        <f>IF('Brouillard ventes'!$F$247="","",Paramètres!$B$7)</f>
        <v/>
      </c>
      <c r="H725" s="22">
        <f>IF('Brouillard ventes'!$F$247="","",IF('Brouillard ventes'!$C$247="","CD001",'Brouillard ventes'!$C$247))</f>
        <v/>
      </c>
      <c r="I725" s="22" t="inlineStr"/>
      <c r="J725" s="22" t="inlineStr"/>
      <c r="K725" s="22">
        <f>IF('Brouillard ventes'!$F$247="","",Paramètres!$B$11)</f>
        <v/>
      </c>
      <c r="L725" s="23">
        <f>IF('Brouillard ventes'!$F$247="","",'Brouillard ventes'!$I$247)</f>
        <v/>
      </c>
      <c r="M725" s="23" t="n">
        <v>0</v>
      </c>
    </row>
    <row r="726">
      <c r="A726" s="22" t="inlineStr">
        <is>
          <t>1</t>
        </is>
      </c>
      <c r="B726" s="22">
        <f>IF('Brouillard ventes'!$F$247="","","VD"&amp;TEXT(ROW('Brouillard ventes'!$F$247)-5,"00000"))</f>
        <v/>
      </c>
      <c r="C726" s="22">
        <f>IF('Brouillard ventes'!$F$247="","",YEAR('Brouillard ventes'!$A$247)*10000+MONTH('Brouillard ventes'!$A$247)*100+DAY('Brouillard ventes'!$A$247))</f>
        <v/>
      </c>
      <c r="D726" s="22">
        <f>IF('Brouillard ventes'!$F$247="","",'Brouillard ventes'!$B$247)</f>
        <v/>
      </c>
      <c r="E726" s="22">
        <f>IF('Brouillard ventes'!$F$247="","",LEFT('Brouillard ventes'!$D$247,30))</f>
        <v/>
      </c>
      <c r="F726" s="22" t="inlineStr">
        <is>
          <t>15001</t>
        </is>
      </c>
      <c r="G726" s="22">
        <f>IF('Brouillard ventes'!$F$247="","",IF('Brouillard ventes'!$E$247="Réparation",Paramètres!$B$9,Paramètres!$B$8))</f>
        <v/>
      </c>
      <c r="H726" s="22" t="inlineStr"/>
      <c r="I726" s="22" t="inlineStr"/>
      <c r="J726" s="22" t="inlineStr"/>
      <c r="K726" s="22">
        <f>IF('Brouillard ventes'!$F$247="","",Paramètres!$B$11)</f>
        <v/>
      </c>
      <c r="L726" s="23" t="n">
        <v>0</v>
      </c>
      <c r="M726" s="23">
        <f>IF('Brouillard ventes'!$F$247="","",'Brouillard ventes'!$F$247)</f>
        <v/>
      </c>
    </row>
    <row r="727">
      <c r="A727" s="22" t="inlineStr">
        <is>
          <t>1</t>
        </is>
      </c>
      <c r="B727" s="22">
        <f>IF('Brouillard ventes'!$F$247="","","VD"&amp;TEXT(ROW('Brouillard ventes'!$F$247)-5,"00000"))</f>
        <v/>
      </c>
      <c r="C727" s="22">
        <f>IF('Brouillard ventes'!$F$247="","",YEAR('Brouillard ventes'!$A$247)*10000+MONTH('Brouillard ventes'!$A$247)*100+DAY('Brouillard ventes'!$A$247))</f>
        <v/>
      </c>
      <c r="D727" s="22">
        <f>IF('Brouillard ventes'!$F$247="","",'Brouillard ventes'!$B$247)</f>
        <v/>
      </c>
      <c r="E727" s="22">
        <f>IF('Brouillard ventes'!$F$247="","",LEFT('Brouillard ventes'!$D$247,30))</f>
        <v/>
      </c>
      <c r="F727" s="22" t="inlineStr">
        <is>
          <t>15001</t>
        </is>
      </c>
      <c r="G727" s="22">
        <f>IF('Brouillard ventes'!$F$247="","",Paramètres!$B$10)</f>
        <v/>
      </c>
      <c r="H727" s="22" t="inlineStr"/>
      <c r="I727" s="22" t="inlineStr"/>
      <c r="J727" s="22" t="inlineStr"/>
      <c r="K727" s="22">
        <f>IF('Brouillard ventes'!$F$247="","",Paramètres!$B$11)</f>
        <v/>
      </c>
      <c r="L727" s="23" t="n">
        <v>0</v>
      </c>
      <c r="M727" s="23">
        <f>IF('Brouillard ventes'!$F$247="","",'Brouillard ventes'!$H$247)</f>
        <v/>
      </c>
    </row>
    <row r="728">
      <c r="A728" s="22" t="inlineStr">
        <is>
          <t>1</t>
        </is>
      </c>
      <c r="B728" s="22">
        <f>IF('Brouillard ventes'!$F$248="","","VD"&amp;TEXT(ROW('Brouillard ventes'!$F$248)-5,"00000"))</f>
        <v/>
      </c>
      <c r="C728" s="22">
        <f>IF('Brouillard ventes'!$F$248="","",YEAR('Brouillard ventes'!$A$248)*10000+MONTH('Brouillard ventes'!$A$248)*100+DAY('Brouillard ventes'!$A$248))</f>
        <v/>
      </c>
      <c r="D728" s="22">
        <f>IF('Brouillard ventes'!$F$248="","",'Brouillard ventes'!$B$248)</f>
        <v/>
      </c>
      <c r="E728" s="22">
        <f>IF('Brouillard ventes'!$F$248="","",LEFT('Brouillard ventes'!$D$248,30))</f>
        <v/>
      </c>
      <c r="F728" s="22" t="inlineStr">
        <is>
          <t>15001</t>
        </is>
      </c>
      <c r="G728" s="22">
        <f>IF('Brouillard ventes'!$F$248="","",Paramètres!$B$7)</f>
        <v/>
      </c>
      <c r="H728" s="22">
        <f>IF('Brouillard ventes'!$F$248="","",IF('Brouillard ventes'!$C$248="","CD001",'Brouillard ventes'!$C$248))</f>
        <v/>
      </c>
      <c r="I728" s="22" t="inlineStr"/>
      <c r="J728" s="22" t="inlineStr"/>
      <c r="K728" s="22">
        <f>IF('Brouillard ventes'!$F$248="","",Paramètres!$B$11)</f>
        <v/>
      </c>
      <c r="L728" s="23">
        <f>IF('Brouillard ventes'!$F$248="","",'Brouillard ventes'!$I$248)</f>
        <v/>
      </c>
      <c r="M728" s="23" t="n">
        <v>0</v>
      </c>
    </row>
    <row r="729">
      <c r="A729" s="22" t="inlineStr">
        <is>
          <t>1</t>
        </is>
      </c>
      <c r="B729" s="22">
        <f>IF('Brouillard ventes'!$F$248="","","VD"&amp;TEXT(ROW('Brouillard ventes'!$F$248)-5,"00000"))</f>
        <v/>
      </c>
      <c r="C729" s="22">
        <f>IF('Brouillard ventes'!$F$248="","",YEAR('Brouillard ventes'!$A$248)*10000+MONTH('Brouillard ventes'!$A$248)*100+DAY('Brouillard ventes'!$A$248))</f>
        <v/>
      </c>
      <c r="D729" s="22">
        <f>IF('Brouillard ventes'!$F$248="","",'Brouillard ventes'!$B$248)</f>
        <v/>
      </c>
      <c r="E729" s="22">
        <f>IF('Brouillard ventes'!$F$248="","",LEFT('Brouillard ventes'!$D$248,30))</f>
        <v/>
      </c>
      <c r="F729" s="22" t="inlineStr">
        <is>
          <t>15001</t>
        </is>
      </c>
      <c r="G729" s="22">
        <f>IF('Brouillard ventes'!$F$248="","",IF('Brouillard ventes'!$E$248="Réparation",Paramètres!$B$9,Paramètres!$B$8))</f>
        <v/>
      </c>
      <c r="H729" s="22" t="inlineStr"/>
      <c r="I729" s="22" t="inlineStr"/>
      <c r="J729" s="22" t="inlineStr"/>
      <c r="K729" s="22">
        <f>IF('Brouillard ventes'!$F$248="","",Paramètres!$B$11)</f>
        <v/>
      </c>
      <c r="L729" s="23" t="n">
        <v>0</v>
      </c>
      <c r="M729" s="23">
        <f>IF('Brouillard ventes'!$F$248="","",'Brouillard ventes'!$F$248)</f>
        <v/>
      </c>
    </row>
    <row r="730">
      <c r="A730" s="22" t="inlineStr">
        <is>
          <t>1</t>
        </is>
      </c>
      <c r="B730" s="22">
        <f>IF('Brouillard ventes'!$F$248="","","VD"&amp;TEXT(ROW('Brouillard ventes'!$F$248)-5,"00000"))</f>
        <v/>
      </c>
      <c r="C730" s="22">
        <f>IF('Brouillard ventes'!$F$248="","",YEAR('Brouillard ventes'!$A$248)*10000+MONTH('Brouillard ventes'!$A$248)*100+DAY('Brouillard ventes'!$A$248))</f>
        <v/>
      </c>
      <c r="D730" s="22">
        <f>IF('Brouillard ventes'!$F$248="","",'Brouillard ventes'!$B$248)</f>
        <v/>
      </c>
      <c r="E730" s="22">
        <f>IF('Brouillard ventes'!$F$248="","",LEFT('Brouillard ventes'!$D$248,30))</f>
        <v/>
      </c>
      <c r="F730" s="22" t="inlineStr">
        <is>
          <t>15001</t>
        </is>
      </c>
      <c r="G730" s="22">
        <f>IF('Brouillard ventes'!$F$248="","",Paramètres!$B$10)</f>
        <v/>
      </c>
      <c r="H730" s="22" t="inlineStr"/>
      <c r="I730" s="22" t="inlineStr"/>
      <c r="J730" s="22" t="inlineStr"/>
      <c r="K730" s="22">
        <f>IF('Brouillard ventes'!$F$248="","",Paramètres!$B$11)</f>
        <v/>
      </c>
      <c r="L730" s="23" t="n">
        <v>0</v>
      </c>
      <c r="M730" s="23">
        <f>IF('Brouillard ventes'!$F$248="","",'Brouillard ventes'!$H$248)</f>
        <v/>
      </c>
    </row>
    <row r="731">
      <c r="A731" s="22" t="inlineStr">
        <is>
          <t>1</t>
        </is>
      </c>
      <c r="B731" s="22">
        <f>IF('Brouillard ventes'!$F$249="","","VD"&amp;TEXT(ROW('Brouillard ventes'!$F$249)-5,"00000"))</f>
        <v/>
      </c>
      <c r="C731" s="22">
        <f>IF('Brouillard ventes'!$F$249="","",YEAR('Brouillard ventes'!$A$249)*10000+MONTH('Brouillard ventes'!$A$249)*100+DAY('Brouillard ventes'!$A$249))</f>
        <v/>
      </c>
      <c r="D731" s="22">
        <f>IF('Brouillard ventes'!$F$249="","",'Brouillard ventes'!$B$249)</f>
        <v/>
      </c>
      <c r="E731" s="22">
        <f>IF('Brouillard ventes'!$F$249="","",LEFT('Brouillard ventes'!$D$249,30))</f>
        <v/>
      </c>
      <c r="F731" s="22" t="inlineStr">
        <is>
          <t>15001</t>
        </is>
      </c>
      <c r="G731" s="22">
        <f>IF('Brouillard ventes'!$F$249="","",Paramètres!$B$7)</f>
        <v/>
      </c>
      <c r="H731" s="22">
        <f>IF('Brouillard ventes'!$F$249="","",IF('Brouillard ventes'!$C$249="","CD001",'Brouillard ventes'!$C$249))</f>
        <v/>
      </c>
      <c r="I731" s="22" t="inlineStr"/>
      <c r="J731" s="22" t="inlineStr"/>
      <c r="K731" s="22">
        <f>IF('Brouillard ventes'!$F$249="","",Paramètres!$B$11)</f>
        <v/>
      </c>
      <c r="L731" s="23">
        <f>IF('Brouillard ventes'!$F$249="","",'Brouillard ventes'!$I$249)</f>
        <v/>
      </c>
      <c r="M731" s="23" t="n">
        <v>0</v>
      </c>
    </row>
    <row r="732">
      <c r="A732" s="22" t="inlineStr">
        <is>
          <t>1</t>
        </is>
      </c>
      <c r="B732" s="22">
        <f>IF('Brouillard ventes'!$F$249="","","VD"&amp;TEXT(ROW('Brouillard ventes'!$F$249)-5,"00000"))</f>
        <v/>
      </c>
      <c r="C732" s="22">
        <f>IF('Brouillard ventes'!$F$249="","",YEAR('Brouillard ventes'!$A$249)*10000+MONTH('Brouillard ventes'!$A$249)*100+DAY('Brouillard ventes'!$A$249))</f>
        <v/>
      </c>
      <c r="D732" s="22">
        <f>IF('Brouillard ventes'!$F$249="","",'Brouillard ventes'!$B$249)</f>
        <v/>
      </c>
      <c r="E732" s="22">
        <f>IF('Brouillard ventes'!$F$249="","",LEFT('Brouillard ventes'!$D$249,30))</f>
        <v/>
      </c>
      <c r="F732" s="22" t="inlineStr">
        <is>
          <t>15001</t>
        </is>
      </c>
      <c r="G732" s="22">
        <f>IF('Brouillard ventes'!$F$249="","",IF('Brouillard ventes'!$E$249="Réparation",Paramètres!$B$9,Paramètres!$B$8))</f>
        <v/>
      </c>
      <c r="H732" s="22" t="inlineStr"/>
      <c r="I732" s="22" t="inlineStr"/>
      <c r="J732" s="22" t="inlineStr"/>
      <c r="K732" s="22">
        <f>IF('Brouillard ventes'!$F$249="","",Paramètres!$B$11)</f>
        <v/>
      </c>
      <c r="L732" s="23" t="n">
        <v>0</v>
      </c>
      <c r="M732" s="23">
        <f>IF('Brouillard ventes'!$F$249="","",'Brouillard ventes'!$F$249)</f>
        <v/>
      </c>
    </row>
    <row r="733">
      <c r="A733" s="22" t="inlineStr">
        <is>
          <t>1</t>
        </is>
      </c>
      <c r="B733" s="22">
        <f>IF('Brouillard ventes'!$F$249="","","VD"&amp;TEXT(ROW('Brouillard ventes'!$F$249)-5,"00000"))</f>
        <v/>
      </c>
      <c r="C733" s="22">
        <f>IF('Brouillard ventes'!$F$249="","",YEAR('Brouillard ventes'!$A$249)*10000+MONTH('Brouillard ventes'!$A$249)*100+DAY('Brouillard ventes'!$A$249))</f>
        <v/>
      </c>
      <c r="D733" s="22">
        <f>IF('Brouillard ventes'!$F$249="","",'Brouillard ventes'!$B$249)</f>
        <v/>
      </c>
      <c r="E733" s="22">
        <f>IF('Brouillard ventes'!$F$249="","",LEFT('Brouillard ventes'!$D$249,30))</f>
        <v/>
      </c>
      <c r="F733" s="22" t="inlineStr">
        <is>
          <t>15001</t>
        </is>
      </c>
      <c r="G733" s="22">
        <f>IF('Brouillard ventes'!$F$249="","",Paramètres!$B$10)</f>
        <v/>
      </c>
      <c r="H733" s="22" t="inlineStr"/>
      <c r="I733" s="22" t="inlineStr"/>
      <c r="J733" s="22" t="inlineStr"/>
      <c r="K733" s="22">
        <f>IF('Brouillard ventes'!$F$249="","",Paramètres!$B$11)</f>
        <v/>
      </c>
      <c r="L733" s="23" t="n">
        <v>0</v>
      </c>
      <c r="M733" s="23">
        <f>IF('Brouillard ventes'!$F$249="","",'Brouillard ventes'!$H$249)</f>
        <v/>
      </c>
    </row>
    <row r="734">
      <c r="A734" s="22" t="inlineStr">
        <is>
          <t>1</t>
        </is>
      </c>
      <c r="B734" s="22">
        <f>IF('Brouillard ventes'!$F$250="","","VD"&amp;TEXT(ROW('Brouillard ventes'!$F$250)-5,"00000"))</f>
        <v/>
      </c>
      <c r="C734" s="22">
        <f>IF('Brouillard ventes'!$F$250="","",YEAR('Brouillard ventes'!$A$250)*10000+MONTH('Brouillard ventes'!$A$250)*100+DAY('Brouillard ventes'!$A$250))</f>
        <v/>
      </c>
      <c r="D734" s="22">
        <f>IF('Brouillard ventes'!$F$250="","",'Brouillard ventes'!$B$250)</f>
        <v/>
      </c>
      <c r="E734" s="22">
        <f>IF('Brouillard ventes'!$F$250="","",LEFT('Brouillard ventes'!$D$250,30))</f>
        <v/>
      </c>
      <c r="F734" s="22" t="inlineStr">
        <is>
          <t>15001</t>
        </is>
      </c>
      <c r="G734" s="22">
        <f>IF('Brouillard ventes'!$F$250="","",Paramètres!$B$7)</f>
        <v/>
      </c>
      <c r="H734" s="22">
        <f>IF('Brouillard ventes'!$F$250="","",IF('Brouillard ventes'!$C$250="","CD001",'Brouillard ventes'!$C$250))</f>
        <v/>
      </c>
      <c r="I734" s="22" t="inlineStr"/>
      <c r="J734" s="22" t="inlineStr"/>
      <c r="K734" s="22">
        <f>IF('Brouillard ventes'!$F$250="","",Paramètres!$B$11)</f>
        <v/>
      </c>
      <c r="L734" s="23">
        <f>IF('Brouillard ventes'!$F$250="","",'Brouillard ventes'!$I$250)</f>
        <v/>
      </c>
      <c r="M734" s="23" t="n">
        <v>0</v>
      </c>
    </row>
    <row r="735">
      <c r="A735" s="22" t="inlineStr">
        <is>
          <t>1</t>
        </is>
      </c>
      <c r="B735" s="22">
        <f>IF('Brouillard ventes'!$F$250="","","VD"&amp;TEXT(ROW('Brouillard ventes'!$F$250)-5,"00000"))</f>
        <v/>
      </c>
      <c r="C735" s="22">
        <f>IF('Brouillard ventes'!$F$250="","",YEAR('Brouillard ventes'!$A$250)*10000+MONTH('Brouillard ventes'!$A$250)*100+DAY('Brouillard ventes'!$A$250))</f>
        <v/>
      </c>
      <c r="D735" s="22">
        <f>IF('Brouillard ventes'!$F$250="","",'Brouillard ventes'!$B$250)</f>
        <v/>
      </c>
      <c r="E735" s="22">
        <f>IF('Brouillard ventes'!$F$250="","",LEFT('Brouillard ventes'!$D$250,30))</f>
        <v/>
      </c>
      <c r="F735" s="22" t="inlineStr">
        <is>
          <t>15001</t>
        </is>
      </c>
      <c r="G735" s="22">
        <f>IF('Brouillard ventes'!$F$250="","",IF('Brouillard ventes'!$E$250="Réparation",Paramètres!$B$9,Paramètres!$B$8))</f>
        <v/>
      </c>
      <c r="H735" s="22" t="inlineStr"/>
      <c r="I735" s="22" t="inlineStr"/>
      <c r="J735" s="22" t="inlineStr"/>
      <c r="K735" s="22">
        <f>IF('Brouillard ventes'!$F$250="","",Paramètres!$B$11)</f>
        <v/>
      </c>
      <c r="L735" s="23" t="n">
        <v>0</v>
      </c>
      <c r="M735" s="23">
        <f>IF('Brouillard ventes'!$F$250="","",'Brouillard ventes'!$F$250)</f>
        <v/>
      </c>
    </row>
    <row r="736">
      <c r="A736" s="22" t="inlineStr">
        <is>
          <t>1</t>
        </is>
      </c>
      <c r="B736" s="22">
        <f>IF('Brouillard ventes'!$F$250="","","VD"&amp;TEXT(ROW('Brouillard ventes'!$F$250)-5,"00000"))</f>
        <v/>
      </c>
      <c r="C736" s="22">
        <f>IF('Brouillard ventes'!$F$250="","",YEAR('Brouillard ventes'!$A$250)*10000+MONTH('Brouillard ventes'!$A$250)*100+DAY('Brouillard ventes'!$A$250))</f>
        <v/>
      </c>
      <c r="D736" s="22">
        <f>IF('Brouillard ventes'!$F$250="","",'Brouillard ventes'!$B$250)</f>
        <v/>
      </c>
      <c r="E736" s="22">
        <f>IF('Brouillard ventes'!$F$250="","",LEFT('Brouillard ventes'!$D$250,30))</f>
        <v/>
      </c>
      <c r="F736" s="22" t="inlineStr">
        <is>
          <t>15001</t>
        </is>
      </c>
      <c r="G736" s="22">
        <f>IF('Brouillard ventes'!$F$250="","",Paramètres!$B$10)</f>
        <v/>
      </c>
      <c r="H736" s="22" t="inlineStr"/>
      <c r="I736" s="22" t="inlineStr"/>
      <c r="J736" s="22" t="inlineStr"/>
      <c r="K736" s="22">
        <f>IF('Brouillard ventes'!$F$250="","",Paramètres!$B$11)</f>
        <v/>
      </c>
      <c r="L736" s="23" t="n">
        <v>0</v>
      </c>
      <c r="M736" s="23">
        <f>IF('Brouillard ventes'!$F$250="","",'Brouillard ventes'!$H$250)</f>
        <v/>
      </c>
    </row>
    <row r="737">
      <c r="A737" s="22" t="inlineStr">
        <is>
          <t>1</t>
        </is>
      </c>
      <c r="B737" s="22">
        <f>IF('Brouillard ventes'!$F$251="","","VD"&amp;TEXT(ROW('Brouillard ventes'!$F$251)-5,"00000"))</f>
        <v/>
      </c>
      <c r="C737" s="22">
        <f>IF('Brouillard ventes'!$F$251="","",YEAR('Brouillard ventes'!$A$251)*10000+MONTH('Brouillard ventes'!$A$251)*100+DAY('Brouillard ventes'!$A$251))</f>
        <v/>
      </c>
      <c r="D737" s="22">
        <f>IF('Brouillard ventes'!$F$251="","",'Brouillard ventes'!$B$251)</f>
        <v/>
      </c>
      <c r="E737" s="22">
        <f>IF('Brouillard ventes'!$F$251="","",LEFT('Brouillard ventes'!$D$251,30))</f>
        <v/>
      </c>
      <c r="F737" s="22" t="inlineStr">
        <is>
          <t>15001</t>
        </is>
      </c>
      <c r="G737" s="22">
        <f>IF('Brouillard ventes'!$F$251="","",Paramètres!$B$7)</f>
        <v/>
      </c>
      <c r="H737" s="22">
        <f>IF('Brouillard ventes'!$F$251="","",IF('Brouillard ventes'!$C$251="","CD001",'Brouillard ventes'!$C$251))</f>
        <v/>
      </c>
      <c r="I737" s="22" t="inlineStr"/>
      <c r="J737" s="22" t="inlineStr"/>
      <c r="K737" s="22">
        <f>IF('Brouillard ventes'!$F$251="","",Paramètres!$B$11)</f>
        <v/>
      </c>
      <c r="L737" s="23">
        <f>IF('Brouillard ventes'!$F$251="","",'Brouillard ventes'!$I$251)</f>
        <v/>
      </c>
      <c r="M737" s="23" t="n">
        <v>0</v>
      </c>
    </row>
    <row r="738">
      <c r="A738" s="22" t="inlineStr">
        <is>
          <t>1</t>
        </is>
      </c>
      <c r="B738" s="22">
        <f>IF('Brouillard ventes'!$F$251="","","VD"&amp;TEXT(ROW('Brouillard ventes'!$F$251)-5,"00000"))</f>
        <v/>
      </c>
      <c r="C738" s="22">
        <f>IF('Brouillard ventes'!$F$251="","",YEAR('Brouillard ventes'!$A$251)*10000+MONTH('Brouillard ventes'!$A$251)*100+DAY('Brouillard ventes'!$A$251))</f>
        <v/>
      </c>
      <c r="D738" s="22">
        <f>IF('Brouillard ventes'!$F$251="","",'Brouillard ventes'!$B$251)</f>
        <v/>
      </c>
      <c r="E738" s="22">
        <f>IF('Brouillard ventes'!$F$251="","",LEFT('Brouillard ventes'!$D$251,30))</f>
        <v/>
      </c>
      <c r="F738" s="22" t="inlineStr">
        <is>
          <t>15001</t>
        </is>
      </c>
      <c r="G738" s="22">
        <f>IF('Brouillard ventes'!$F$251="","",IF('Brouillard ventes'!$E$251="Réparation",Paramètres!$B$9,Paramètres!$B$8))</f>
        <v/>
      </c>
      <c r="H738" s="22" t="inlineStr"/>
      <c r="I738" s="22" t="inlineStr"/>
      <c r="J738" s="22" t="inlineStr"/>
      <c r="K738" s="22">
        <f>IF('Brouillard ventes'!$F$251="","",Paramètres!$B$11)</f>
        <v/>
      </c>
      <c r="L738" s="23" t="n">
        <v>0</v>
      </c>
      <c r="M738" s="23">
        <f>IF('Brouillard ventes'!$F$251="","",'Brouillard ventes'!$F$251)</f>
        <v/>
      </c>
    </row>
    <row r="739">
      <c r="A739" s="22" t="inlineStr">
        <is>
          <t>1</t>
        </is>
      </c>
      <c r="B739" s="22">
        <f>IF('Brouillard ventes'!$F$251="","","VD"&amp;TEXT(ROW('Brouillard ventes'!$F$251)-5,"00000"))</f>
        <v/>
      </c>
      <c r="C739" s="22">
        <f>IF('Brouillard ventes'!$F$251="","",YEAR('Brouillard ventes'!$A$251)*10000+MONTH('Brouillard ventes'!$A$251)*100+DAY('Brouillard ventes'!$A$251))</f>
        <v/>
      </c>
      <c r="D739" s="22">
        <f>IF('Brouillard ventes'!$F$251="","",'Brouillard ventes'!$B$251)</f>
        <v/>
      </c>
      <c r="E739" s="22">
        <f>IF('Brouillard ventes'!$F$251="","",LEFT('Brouillard ventes'!$D$251,30))</f>
        <v/>
      </c>
      <c r="F739" s="22" t="inlineStr">
        <is>
          <t>15001</t>
        </is>
      </c>
      <c r="G739" s="22">
        <f>IF('Brouillard ventes'!$F$251="","",Paramètres!$B$10)</f>
        <v/>
      </c>
      <c r="H739" s="22" t="inlineStr"/>
      <c r="I739" s="22" t="inlineStr"/>
      <c r="J739" s="22" t="inlineStr"/>
      <c r="K739" s="22">
        <f>IF('Brouillard ventes'!$F$251="","",Paramètres!$B$11)</f>
        <v/>
      </c>
      <c r="L739" s="23" t="n">
        <v>0</v>
      </c>
      <c r="M739" s="23">
        <f>IF('Brouillard ventes'!$F$251="","",'Brouillard ventes'!$H$251)</f>
        <v/>
      </c>
    </row>
    <row r="740">
      <c r="A740" s="22" t="inlineStr">
        <is>
          <t>1</t>
        </is>
      </c>
      <c r="B740" s="22">
        <f>IF('Brouillard ventes'!$F$252="","","VD"&amp;TEXT(ROW('Brouillard ventes'!$F$252)-5,"00000"))</f>
        <v/>
      </c>
      <c r="C740" s="22">
        <f>IF('Brouillard ventes'!$F$252="","",YEAR('Brouillard ventes'!$A$252)*10000+MONTH('Brouillard ventes'!$A$252)*100+DAY('Brouillard ventes'!$A$252))</f>
        <v/>
      </c>
      <c r="D740" s="22">
        <f>IF('Brouillard ventes'!$F$252="","",'Brouillard ventes'!$B$252)</f>
        <v/>
      </c>
      <c r="E740" s="22">
        <f>IF('Brouillard ventes'!$F$252="","",LEFT('Brouillard ventes'!$D$252,30))</f>
        <v/>
      </c>
      <c r="F740" s="22" t="inlineStr">
        <is>
          <t>15001</t>
        </is>
      </c>
      <c r="G740" s="22">
        <f>IF('Brouillard ventes'!$F$252="","",Paramètres!$B$7)</f>
        <v/>
      </c>
      <c r="H740" s="22">
        <f>IF('Brouillard ventes'!$F$252="","",IF('Brouillard ventes'!$C$252="","CD001",'Brouillard ventes'!$C$252))</f>
        <v/>
      </c>
      <c r="I740" s="22" t="inlineStr"/>
      <c r="J740" s="22" t="inlineStr"/>
      <c r="K740" s="22">
        <f>IF('Brouillard ventes'!$F$252="","",Paramètres!$B$11)</f>
        <v/>
      </c>
      <c r="L740" s="23">
        <f>IF('Brouillard ventes'!$F$252="","",'Brouillard ventes'!$I$252)</f>
        <v/>
      </c>
      <c r="M740" s="23" t="n">
        <v>0</v>
      </c>
    </row>
    <row r="741">
      <c r="A741" s="22" t="inlineStr">
        <is>
          <t>1</t>
        </is>
      </c>
      <c r="B741" s="22">
        <f>IF('Brouillard ventes'!$F$252="","","VD"&amp;TEXT(ROW('Brouillard ventes'!$F$252)-5,"00000"))</f>
        <v/>
      </c>
      <c r="C741" s="22">
        <f>IF('Brouillard ventes'!$F$252="","",YEAR('Brouillard ventes'!$A$252)*10000+MONTH('Brouillard ventes'!$A$252)*100+DAY('Brouillard ventes'!$A$252))</f>
        <v/>
      </c>
      <c r="D741" s="22">
        <f>IF('Brouillard ventes'!$F$252="","",'Brouillard ventes'!$B$252)</f>
        <v/>
      </c>
      <c r="E741" s="22">
        <f>IF('Brouillard ventes'!$F$252="","",LEFT('Brouillard ventes'!$D$252,30))</f>
        <v/>
      </c>
      <c r="F741" s="22" t="inlineStr">
        <is>
          <t>15001</t>
        </is>
      </c>
      <c r="G741" s="22">
        <f>IF('Brouillard ventes'!$F$252="","",IF('Brouillard ventes'!$E$252="Réparation",Paramètres!$B$9,Paramètres!$B$8))</f>
        <v/>
      </c>
      <c r="H741" s="22" t="inlineStr"/>
      <c r="I741" s="22" t="inlineStr"/>
      <c r="J741" s="22" t="inlineStr"/>
      <c r="K741" s="22">
        <f>IF('Brouillard ventes'!$F$252="","",Paramètres!$B$11)</f>
        <v/>
      </c>
      <c r="L741" s="23" t="n">
        <v>0</v>
      </c>
      <c r="M741" s="23">
        <f>IF('Brouillard ventes'!$F$252="","",'Brouillard ventes'!$F$252)</f>
        <v/>
      </c>
    </row>
    <row r="742">
      <c r="A742" s="22" t="inlineStr">
        <is>
          <t>1</t>
        </is>
      </c>
      <c r="B742" s="22">
        <f>IF('Brouillard ventes'!$F$252="","","VD"&amp;TEXT(ROW('Brouillard ventes'!$F$252)-5,"00000"))</f>
        <v/>
      </c>
      <c r="C742" s="22">
        <f>IF('Brouillard ventes'!$F$252="","",YEAR('Brouillard ventes'!$A$252)*10000+MONTH('Brouillard ventes'!$A$252)*100+DAY('Brouillard ventes'!$A$252))</f>
        <v/>
      </c>
      <c r="D742" s="22">
        <f>IF('Brouillard ventes'!$F$252="","",'Brouillard ventes'!$B$252)</f>
        <v/>
      </c>
      <c r="E742" s="22">
        <f>IF('Brouillard ventes'!$F$252="","",LEFT('Brouillard ventes'!$D$252,30))</f>
        <v/>
      </c>
      <c r="F742" s="22" t="inlineStr">
        <is>
          <t>15001</t>
        </is>
      </c>
      <c r="G742" s="22">
        <f>IF('Brouillard ventes'!$F$252="","",Paramètres!$B$10)</f>
        <v/>
      </c>
      <c r="H742" s="22" t="inlineStr"/>
      <c r="I742" s="22" t="inlineStr"/>
      <c r="J742" s="22" t="inlineStr"/>
      <c r="K742" s="22">
        <f>IF('Brouillard ventes'!$F$252="","",Paramètres!$B$11)</f>
        <v/>
      </c>
      <c r="L742" s="23" t="n">
        <v>0</v>
      </c>
      <c r="M742" s="23">
        <f>IF('Brouillard ventes'!$F$252="","",'Brouillard ventes'!$H$252)</f>
        <v/>
      </c>
    </row>
    <row r="743">
      <c r="A743" s="22" t="inlineStr">
        <is>
          <t>1</t>
        </is>
      </c>
      <c r="B743" s="22">
        <f>IF('Brouillard ventes'!$F$253="","","VD"&amp;TEXT(ROW('Brouillard ventes'!$F$253)-5,"00000"))</f>
        <v/>
      </c>
      <c r="C743" s="22">
        <f>IF('Brouillard ventes'!$F$253="","",YEAR('Brouillard ventes'!$A$253)*10000+MONTH('Brouillard ventes'!$A$253)*100+DAY('Brouillard ventes'!$A$253))</f>
        <v/>
      </c>
      <c r="D743" s="22">
        <f>IF('Brouillard ventes'!$F$253="","",'Brouillard ventes'!$B$253)</f>
        <v/>
      </c>
      <c r="E743" s="22">
        <f>IF('Brouillard ventes'!$F$253="","",LEFT('Brouillard ventes'!$D$253,30))</f>
        <v/>
      </c>
      <c r="F743" s="22" t="inlineStr">
        <is>
          <t>15001</t>
        </is>
      </c>
      <c r="G743" s="22">
        <f>IF('Brouillard ventes'!$F$253="","",Paramètres!$B$7)</f>
        <v/>
      </c>
      <c r="H743" s="22">
        <f>IF('Brouillard ventes'!$F$253="","",IF('Brouillard ventes'!$C$253="","CD001",'Brouillard ventes'!$C$253))</f>
        <v/>
      </c>
      <c r="I743" s="22" t="inlineStr"/>
      <c r="J743" s="22" t="inlineStr"/>
      <c r="K743" s="22">
        <f>IF('Brouillard ventes'!$F$253="","",Paramètres!$B$11)</f>
        <v/>
      </c>
      <c r="L743" s="23">
        <f>IF('Brouillard ventes'!$F$253="","",'Brouillard ventes'!$I$253)</f>
        <v/>
      </c>
      <c r="M743" s="23" t="n">
        <v>0</v>
      </c>
    </row>
    <row r="744">
      <c r="A744" s="22" t="inlineStr">
        <is>
          <t>1</t>
        </is>
      </c>
      <c r="B744" s="22">
        <f>IF('Brouillard ventes'!$F$253="","","VD"&amp;TEXT(ROW('Brouillard ventes'!$F$253)-5,"00000"))</f>
        <v/>
      </c>
      <c r="C744" s="22">
        <f>IF('Brouillard ventes'!$F$253="","",YEAR('Brouillard ventes'!$A$253)*10000+MONTH('Brouillard ventes'!$A$253)*100+DAY('Brouillard ventes'!$A$253))</f>
        <v/>
      </c>
      <c r="D744" s="22">
        <f>IF('Brouillard ventes'!$F$253="","",'Brouillard ventes'!$B$253)</f>
        <v/>
      </c>
      <c r="E744" s="22">
        <f>IF('Brouillard ventes'!$F$253="","",LEFT('Brouillard ventes'!$D$253,30))</f>
        <v/>
      </c>
      <c r="F744" s="22" t="inlineStr">
        <is>
          <t>15001</t>
        </is>
      </c>
      <c r="G744" s="22">
        <f>IF('Brouillard ventes'!$F$253="","",IF('Brouillard ventes'!$E$253="Réparation",Paramètres!$B$9,Paramètres!$B$8))</f>
        <v/>
      </c>
      <c r="H744" s="22" t="inlineStr"/>
      <c r="I744" s="22" t="inlineStr"/>
      <c r="J744" s="22" t="inlineStr"/>
      <c r="K744" s="22">
        <f>IF('Brouillard ventes'!$F$253="","",Paramètres!$B$11)</f>
        <v/>
      </c>
      <c r="L744" s="23" t="n">
        <v>0</v>
      </c>
      <c r="M744" s="23">
        <f>IF('Brouillard ventes'!$F$253="","",'Brouillard ventes'!$F$253)</f>
        <v/>
      </c>
    </row>
    <row r="745">
      <c r="A745" s="22" t="inlineStr">
        <is>
          <t>1</t>
        </is>
      </c>
      <c r="B745" s="22">
        <f>IF('Brouillard ventes'!$F$253="","","VD"&amp;TEXT(ROW('Brouillard ventes'!$F$253)-5,"00000"))</f>
        <v/>
      </c>
      <c r="C745" s="22">
        <f>IF('Brouillard ventes'!$F$253="","",YEAR('Brouillard ventes'!$A$253)*10000+MONTH('Brouillard ventes'!$A$253)*100+DAY('Brouillard ventes'!$A$253))</f>
        <v/>
      </c>
      <c r="D745" s="22">
        <f>IF('Brouillard ventes'!$F$253="","",'Brouillard ventes'!$B$253)</f>
        <v/>
      </c>
      <c r="E745" s="22">
        <f>IF('Brouillard ventes'!$F$253="","",LEFT('Brouillard ventes'!$D$253,30))</f>
        <v/>
      </c>
      <c r="F745" s="22" t="inlineStr">
        <is>
          <t>15001</t>
        </is>
      </c>
      <c r="G745" s="22">
        <f>IF('Brouillard ventes'!$F$253="","",Paramètres!$B$10)</f>
        <v/>
      </c>
      <c r="H745" s="22" t="inlineStr"/>
      <c r="I745" s="22" t="inlineStr"/>
      <c r="J745" s="22" t="inlineStr"/>
      <c r="K745" s="22">
        <f>IF('Brouillard ventes'!$F$253="","",Paramètres!$B$11)</f>
        <v/>
      </c>
      <c r="L745" s="23" t="n">
        <v>0</v>
      </c>
      <c r="M745" s="23">
        <f>IF('Brouillard ventes'!$F$253="","",'Brouillard ventes'!$H$253)</f>
        <v/>
      </c>
    </row>
    <row r="746">
      <c r="A746" s="22" t="inlineStr">
        <is>
          <t>1</t>
        </is>
      </c>
      <c r="B746" s="22">
        <f>IF('Brouillard ventes'!$F$254="","","VD"&amp;TEXT(ROW('Brouillard ventes'!$F$254)-5,"00000"))</f>
        <v/>
      </c>
      <c r="C746" s="22">
        <f>IF('Brouillard ventes'!$F$254="","",YEAR('Brouillard ventes'!$A$254)*10000+MONTH('Brouillard ventes'!$A$254)*100+DAY('Brouillard ventes'!$A$254))</f>
        <v/>
      </c>
      <c r="D746" s="22">
        <f>IF('Brouillard ventes'!$F$254="","",'Brouillard ventes'!$B$254)</f>
        <v/>
      </c>
      <c r="E746" s="22">
        <f>IF('Brouillard ventes'!$F$254="","",LEFT('Brouillard ventes'!$D$254,30))</f>
        <v/>
      </c>
      <c r="F746" s="22" t="inlineStr">
        <is>
          <t>15001</t>
        </is>
      </c>
      <c r="G746" s="22">
        <f>IF('Brouillard ventes'!$F$254="","",Paramètres!$B$7)</f>
        <v/>
      </c>
      <c r="H746" s="22">
        <f>IF('Brouillard ventes'!$F$254="","",IF('Brouillard ventes'!$C$254="","CD001",'Brouillard ventes'!$C$254))</f>
        <v/>
      </c>
      <c r="I746" s="22" t="inlineStr"/>
      <c r="J746" s="22" t="inlineStr"/>
      <c r="K746" s="22">
        <f>IF('Brouillard ventes'!$F$254="","",Paramètres!$B$11)</f>
        <v/>
      </c>
      <c r="L746" s="23">
        <f>IF('Brouillard ventes'!$F$254="","",'Brouillard ventes'!$I$254)</f>
        <v/>
      </c>
      <c r="M746" s="23" t="n">
        <v>0</v>
      </c>
    </row>
    <row r="747">
      <c r="A747" s="22" t="inlineStr">
        <is>
          <t>1</t>
        </is>
      </c>
      <c r="B747" s="22">
        <f>IF('Brouillard ventes'!$F$254="","","VD"&amp;TEXT(ROW('Brouillard ventes'!$F$254)-5,"00000"))</f>
        <v/>
      </c>
      <c r="C747" s="22">
        <f>IF('Brouillard ventes'!$F$254="","",YEAR('Brouillard ventes'!$A$254)*10000+MONTH('Brouillard ventes'!$A$254)*100+DAY('Brouillard ventes'!$A$254))</f>
        <v/>
      </c>
      <c r="D747" s="22">
        <f>IF('Brouillard ventes'!$F$254="","",'Brouillard ventes'!$B$254)</f>
        <v/>
      </c>
      <c r="E747" s="22">
        <f>IF('Brouillard ventes'!$F$254="","",LEFT('Brouillard ventes'!$D$254,30))</f>
        <v/>
      </c>
      <c r="F747" s="22" t="inlineStr">
        <is>
          <t>15001</t>
        </is>
      </c>
      <c r="G747" s="22">
        <f>IF('Brouillard ventes'!$F$254="","",IF('Brouillard ventes'!$E$254="Réparation",Paramètres!$B$9,Paramètres!$B$8))</f>
        <v/>
      </c>
      <c r="H747" s="22" t="inlineStr"/>
      <c r="I747" s="22" t="inlineStr"/>
      <c r="J747" s="22" t="inlineStr"/>
      <c r="K747" s="22">
        <f>IF('Brouillard ventes'!$F$254="","",Paramètres!$B$11)</f>
        <v/>
      </c>
      <c r="L747" s="23" t="n">
        <v>0</v>
      </c>
      <c r="M747" s="23">
        <f>IF('Brouillard ventes'!$F$254="","",'Brouillard ventes'!$F$254)</f>
        <v/>
      </c>
    </row>
    <row r="748">
      <c r="A748" s="22" t="inlineStr">
        <is>
          <t>1</t>
        </is>
      </c>
      <c r="B748" s="22">
        <f>IF('Brouillard ventes'!$F$254="","","VD"&amp;TEXT(ROW('Brouillard ventes'!$F$254)-5,"00000"))</f>
        <v/>
      </c>
      <c r="C748" s="22">
        <f>IF('Brouillard ventes'!$F$254="","",YEAR('Brouillard ventes'!$A$254)*10000+MONTH('Brouillard ventes'!$A$254)*100+DAY('Brouillard ventes'!$A$254))</f>
        <v/>
      </c>
      <c r="D748" s="22">
        <f>IF('Brouillard ventes'!$F$254="","",'Brouillard ventes'!$B$254)</f>
        <v/>
      </c>
      <c r="E748" s="22">
        <f>IF('Brouillard ventes'!$F$254="","",LEFT('Brouillard ventes'!$D$254,30))</f>
        <v/>
      </c>
      <c r="F748" s="22" t="inlineStr">
        <is>
          <t>15001</t>
        </is>
      </c>
      <c r="G748" s="22">
        <f>IF('Brouillard ventes'!$F$254="","",Paramètres!$B$10)</f>
        <v/>
      </c>
      <c r="H748" s="22" t="inlineStr"/>
      <c r="I748" s="22" t="inlineStr"/>
      <c r="J748" s="22" t="inlineStr"/>
      <c r="K748" s="22">
        <f>IF('Brouillard ventes'!$F$254="","",Paramètres!$B$11)</f>
        <v/>
      </c>
      <c r="L748" s="23" t="n">
        <v>0</v>
      </c>
      <c r="M748" s="23">
        <f>IF('Brouillard ventes'!$F$254="","",'Brouillard ventes'!$H$254)</f>
        <v/>
      </c>
    </row>
    <row r="749">
      <c r="A749" s="22" t="inlineStr">
        <is>
          <t>1</t>
        </is>
      </c>
      <c r="B749" s="22">
        <f>IF('Brouillard ventes'!$F$255="","","VD"&amp;TEXT(ROW('Brouillard ventes'!$F$255)-5,"00000"))</f>
        <v/>
      </c>
      <c r="C749" s="22">
        <f>IF('Brouillard ventes'!$F$255="","",YEAR('Brouillard ventes'!$A$255)*10000+MONTH('Brouillard ventes'!$A$255)*100+DAY('Brouillard ventes'!$A$255))</f>
        <v/>
      </c>
      <c r="D749" s="22">
        <f>IF('Brouillard ventes'!$F$255="","",'Brouillard ventes'!$B$255)</f>
        <v/>
      </c>
      <c r="E749" s="22">
        <f>IF('Brouillard ventes'!$F$255="","",LEFT('Brouillard ventes'!$D$255,30))</f>
        <v/>
      </c>
      <c r="F749" s="22" t="inlineStr">
        <is>
          <t>15001</t>
        </is>
      </c>
      <c r="G749" s="22">
        <f>IF('Brouillard ventes'!$F$255="","",Paramètres!$B$7)</f>
        <v/>
      </c>
      <c r="H749" s="22">
        <f>IF('Brouillard ventes'!$F$255="","",IF('Brouillard ventes'!$C$255="","CD001",'Brouillard ventes'!$C$255))</f>
        <v/>
      </c>
      <c r="I749" s="22" t="inlineStr"/>
      <c r="J749" s="22" t="inlineStr"/>
      <c r="K749" s="22">
        <f>IF('Brouillard ventes'!$F$255="","",Paramètres!$B$11)</f>
        <v/>
      </c>
      <c r="L749" s="23">
        <f>IF('Brouillard ventes'!$F$255="","",'Brouillard ventes'!$I$255)</f>
        <v/>
      </c>
      <c r="M749" s="23" t="n">
        <v>0</v>
      </c>
    </row>
    <row r="750">
      <c r="A750" s="22" t="inlineStr">
        <is>
          <t>1</t>
        </is>
      </c>
      <c r="B750" s="22">
        <f>IF('Brouillard ventes'!$F$255="","","VD"&amp;TEXT(ROW('Brouillard ventes'!$F$255)-5,"00000"))</f>
        <v/>
      </c>
      <c r="C750" s="22">
        <f>IF('Brouillard ventes'!$F$255="","",YEAR('Brouillard ventes'!$A$255)*10000+MONTH('Brouillard ventes'!$A$255)*100+DAY('Brouillard ventes'!$A$255))</f>
        <v/>
      </c>
      <c r="D750" s="22">
        <f>IF('Brouillard ventes'!$F$255="","",'Brouillard ventes'!$B$255)</f>
        <v/>
      </c>
      <c r="E750" s="22">
        <f>IF('Brouillard ventes'!$F$255="","",LEFT('Brouillard ventes'!$D$255,30))</f>
        <v/>
      </c>
      <c r="F750" s="22" t="inlineStr">
        <is>
          <t>15001</t>
        </is>
      </c>
      <c r="G750" s="22">
        <f>IF('Brouillard ventes'!$F$255="","",IF('Brouillard ventes'!$E$255="Réparation",Paramètres!$B$9,Paramètres!$B$8))</f>
        <v/>
      </c>
      <c r="H750" s="22" t="inlineStr"/>
      <c r="I750" s="22" t="inlineStr"/>
      <c r="J750" s="22" t="inlineStr"/>
      <c r="K750" s="22">
        <f>IF('Brouillard ventes'!$F$255="","",Paramètres!$B$11)</f>
        <v/>
      </c>
      <c r="L750" s="23" t="n">
        <v>0</v>
      </c>
      <c r="M750" s="23">
        <f>IF('Brouillard ventes'!$F$255="","",'Brouillard ventes'!$F$255)</f>
        <v/>
      </c>
    </row>
    <row r="751">
      <c r="A751" s="22" t="inlineStr">
        <is>
          <t>1</t>
        </is>
      </c>
      <c r="B751" s="22">
        <f>IF('Brouillard ventes'!$F$255="","","VD"&amp;TEXT(ROW('Brouillard ventes'!$F$255)-5,"00000"))</f>
        <v/>
      </c>
      <c r="C751" s="22">
        <f>IF('Brouillard ventes'!$F$255="","",YEAR('Brouillard ventes'!$A$255)*10000+MONTH('Brouillard ventes'!$A$255)*100+DAY('Brouillard ventes'!$A$255))</f>
        <v/>
      </c>
      <c r="D751" s="22">
        <f>IF('Brouillard ventes'!$F$255="","",'Brouillard ventes'!$B$255)</f>
        <v/>
      </c>
      <c r="E751" s="22">
        <f>IF('Brouillard ventes'!$F$255="","",LEFT('Brouillard ventes'!$D$255,30))</f>
        <v/>
      </c>
      <c r="F751" s="22" t="inlineStr">
        <is>
          <t>15001</t>
        </is>
      </c>
      <c r="G751" s="22">
        <f>IF('Brouillard ventes'!$F$255="","",Paramètres!$B$10)</f>
        <v/>
      </c>
      <c r="H751" s="22" t="inlineStr"/>
      <c r="I751" s="22" t="inlineStr"/>
      <c r="J751" s="22" t="inlineStr"/>
      <c r="K751" s="22">
        <f>IF('Brouillard ventes'!$F$255="","",Paramètres!$B$11)</f>
        <v/>
      </c>
      <c r="L751" s="23" t="n">
        <v>0</v>
      </c>
      <c r="M751" s="23">
        <f>IF('Brouillard ventes'!$F$255="","",'Brouillard ventes'!$H$255)</f>
        <v/>
      </c>
    </row>
    <row r="752">
      <c r="A752" s="22" t="inlineStr">
        <is>
          <t>1</t>
        </is>
      </c>
      <c r="B752" s="22">
        <f>IF('Brouillard ventes'!$F$256="","","VD"&amp;TEXT(ROW('Brouillard ventes'!$F$256)-5,"00000"))</f>
        <v/>
      </c>
      <c r="C752" s="22">
        <f>IF('Brouillard ventes'!$F$256="","",YEAR('Brouillard ventes'!$A$256)*10000+MONTH('Brouillard ventes'!$A$256)*100+DAY('Brouillard ventes'!$A$256))</f>
        <v/>
      </c>
      <c r="D752" s="22">
        <f>IF('Brouillard ventes'!$F$256="","",'Brouillard ventes'!$B$256)</f>
        <v/>
      </c>
      <c r="E752" s="22">
        <f>IF('Brouillard ventes'!$F$256="","",LEFT('Brouillard ventes'!$D$256,30))</f>
        <v/>
      </c>
      <c r="F752" s="22" t="inlineStr">
        <is>
          <t>15001</t>
        </is>
      </c>
      <c r="G752" s="22">
        <f>IF('Brouillard ventes'!$F$256="","",Paramètres!$B$7)</f>
        <v/>
      </c>
      <c r="H752" s="22">
        <f>IF('Brouillard ventes'!$F$256="","",IF('Brouillard ventes'!$C$256="","CD001",'Brouillard ventes'!$C$256))</f>
        <v/>
      </c>
      <c r="I752" s="22" t="inlineStr"/>
      <c r="J752" s="22" t="inlineStr"/>
      <c r="K752" s="22">
        <f>IF('Brouillard ventes'!$F$256="","",Paramètres!$B$11)</f>
        <v/>
      </c>
      <c r="L752" s="23">
        <f>IF('Brouillard ventes'!$F$256="","",'Brouillard ventes'!$I$256)</f>
        <v/>
      </c>
      <c r="M752" s="23" t="n">
        <v>0</v>
      </c>
    </row>
    <row r="753">
      <c r="A753" s="22" t="inlineStr">
        <is>
          <t>1</t>
        </is>
      </c>
      <c r="B753" s="22">
        <f>IF('Brouillard ventes'!$F$256="","","VD"&amp;TEXT(ROW('Brouillard ventes'!$F$256)-5,"00000"))</f>
        <v/>
      </c>
      <c r="C753" s="22">
        <f>IF('Brouillard ventes'!$F$256="","",YEAR('Brouillard ventes'!$A$256)*10000+MONTH('Brouillard ventes'!$A$256)*100+DAY('Brouillard ventes'!$A$256))</f>
        <v/>
      </c>
      <c r="D753" s="22">
        <f>IF('Brouillard ventes'!$F$256="","",'Brouillard ventes'!$B$256)</f>
        <v/>
      </c>
      <c r="E753" s="22">
        <f>IF('Brouillard ventes'!$F$256="","",LEFT('Brouillard ventes'!$D$256,30))</f>
        <v/>
      </c>
      <c r="F753" s="22" t="inlineStr">
        <is>
          <t>15001</t>
        </is>
      </c>
      <c r="G753" s="22">
        <f>IF('Brouillard ventes'!$F$256="","",IF('Brouillard ventes'!$E$256="Réparation",Paramètres!$B$9,Paramètres!$B$8))</f>
        <v/>
      </c>
      <c r="H753" s="22" t="inlineStr"/>
      <c r="I753" s="22" t="inlineStr"/>
      <c r="J753" s="22" t="inlineStr"/>
      <c r="K753" s="22">
        <f>IF('Brouillard ventes'!$F$256="","",Paramètres!$B$11)</f>
        <v/>
      </c>
      <c r="L753" s="23" t="n">
        <v>0</v>
      </c>
      <c r="M753" s="23">
        <f>IF('Brouillard ventes'!$F$256="","",'Brouillard ventes'!$F$256)</f>
        <v/>
      </c>
    </row>
    <row r="754">
      <c r="A754" s="22" t="inlineStr">
        <is>
          <t>1</t>
        </is>
      </c>
      <c r="B754" s="22">
        <f>IF('Brouillard ventes'!$F$256="","","VD"&amp;TEXT(ROW('Brouillard ventes'!$F$256)-5,"00000"))</f>
        <v/>
      </c>
      <c r="C754" s="22">
        <f>IF('Brouillard ventes'!$F$256="","",YEAR('Brouillard ventes'!$A$256)*10000+MONTH('Brouillard ventes'!$A$256)*100+DAY('Brouillard ventes'!$A$256))</f>
        <v/>
      </c>
      <c r="D754" s="22">
        <f>IF('Brouillard ventes'!$F$256="","",'Brouillard ventes'!$B$256)</f>
        <v/>
      </c>
      <c r="E754" s="22">
        <f>IF('Brouillard ventes'!$F$256="","",LEFT('Brouillard ventes'!$D$256,30))</f>
        <v/>
      </c>
      <c r="F754" s="22" t="inlineStr">
        <is>
          <t>15001</t>
        </is>
      </c>
      <c r="G754" s="22">
        <f>IF('Brouillard ventes'!$F$256="","",Paramètres!$B$10)</f>
        <v/>
      </c>
      <c r="H754" s="22" t="inlineStr"/>
      <c r="I754" s="22" t="inlineStr"/>
      <c r="J754" s="22" t="inlineStr"/>
      <c r="K754" s="22">
        <f>IF('Brouillard ventes'!$F$256="","",Paramètres!$B$11)</f>
        <v/>
      </c>
      <c r="L754" s="23" t="n">
        <v>0</v>
      </c>
      <c r="M754" s="23">
        <f>IF('Brouillard ventes'!$F$256="","",'Brouillard ventes'!$H$256)</f>
        <v/>
      </c>
    </row>
    <row r="755">
      <c r="A755" s="22" t="inlineStr">
        <is>
          <t>1</t>
        </is>
      </c>
      <c r="B755" s="22">
        <f>IF('Brouillard ventes'!$F$257="","","VD"&amp;TEXT(ROW('Brouillard ventes'!$F$257)-5,"00000"))</f>
        <v/>
      </c>
      <c r="C755" s="22">
        <f>IF('Brouillard ventes'!$F$257="","",YEAR('Brouillard ventes'!$A$257)*10000+MONTH('Brouillard ventes'!$A$257)*100+DAY('Brouillard ventes'!$A$257))</f>
        <v/>
      </c>
      <c r="D755" s="22">
        <f>IF('Brouillard ventes'!$F$257="","",'Brouillard ventes'!$B$257)</f>
        <v/>
      </c>
      <c r="E755" s="22">
        <f>IF('Brouillard ventes'!$F$257="","",LEFT('Brouillard ventes'!$D$257,30))</f>
        <v/>
      </c>
      <c r="F755" s="22" t="inlineStr">
        <is>
          <t>15001</t>
        </is>
      </c>
      <c r="G755" s="22">
        <f>IF('Brouillard ventes'!$F$257="","",Paramètres!$B$7)</f>
        <v/>
      </c>
      <c r="H755" s="22">
        <f>IF('Brouillard ventes'!$F$257="","",IF('Brouillard ventes'!$C$257="","CD001",'Brouillard ventes'!$C$257))</f>
        <v/>
      </c>
      <c r="I755" s="22" t="inlineStr"/>
      <c r="J755" s="22" t="inlineStr"/>
      <c r="K755" s="22">
        <f>IF('Brouillard ventes'!$F$257="","",Paramètres!$B$11)</f>
        <v/>
      </c>
      <c r="L755" s="23">
        <f>IF('Brouillard ventes'!$F$257="","",'Brouillard ventes'!$I$257)</f>
        <v/>
      </c>
      <c r="M755" s="23" t="n">
        <v>0</v>
      </c>
    </row>
    <row r="756">
      <c r="A756" s="22" t="inlineStr">
        <is>
          <t>1</t>
        </is>
      </c>
      <c r="B756" s="22">
        <f>IF('Brouillard ventes'!$F$257="","","VD"&amp;TEXT(ROW('Brouillard ventes'!$F$257)-5,"00000"))</f>
        <v/>
      </c>
      <c r="C756" s="22">
        <f>IF('Brouillard ventes'!$F$257="","",YEAR('Brouillard ventes'!$A$257)*10000+MONTH('Brouillard ventes'!$A$257)*100+DAY('Brouillard ventes'!$A$257))</f>
        <v/>
      </c>
      <c r="D756" s="22">
        <f>IF('Brouillard ventes'!$F$257="","",'Brouillard ventes'!$B$257)</f>
        <v/>
      </c>
      <c r="E756" s="22">
        <f>IF('Brouillard ventes'!$F$257="","",LEFT('Brouillard ventes'!$D$257,30))</f>
        <v/>
      </c>
      <c r="F756" s="22" t="inlineStr">
        <is>
          <t>15001</t>
        </is>
      </c>
      <c r="G756" s="22">
        <f>IF('Brouillard ventes'!$F$257="","",IF('Brouillard ventes'!$E$257="Réparation",Paramètres!$B$9,Paramètres!$B$8))</f>
        <v/>
      </c>
      <c r="H756" s="22" t="inlineStr"/>
      <c r="I756" s="22" t="inlineStr"/>
      <c r="J756" s="22" t="inlineStr"/>
      <c r="K756" s="22">
        <f>IF('Brouillard ventes'!$F$257="","",Paramètres!$B$11)</f>
        <v/>
      </c>
      <c r="L756" s="23" t="n">
        <v>0</v>
      </c>
      <c r="M756" s="23">
        <f>IF('Brouillard ventes'!$F$257="","",'Brouillard ventes'!$F$257)</f>
        <v/>
      </c>
    </row>
    <row r="757">
      <c r="A757" s="22" t="inlineStr">
        <is>
          <t>1</t>
        </is>
      </c>
      <c r="B757" s="22">
        <f>IF('Brouillard ventes'!$F$257="","","VD"&amp;TEXT(ROW('Brouillard ventes'!$F$257)-5,"00000"))</f>
        <v/>
      </c>
      <c r="C757" s="22">
        <f>IF('Brouillard ventes'!$F$257="","",YEAR('Brouillard ventes'!$A$257)*10000+MONTH('Brouillard ventes'!$A$257)*100+DAY('Brouillard ventes'!$A$257))</f>
        <v/>
      </c>
      <c r="D757" s="22">
        <f>IF('Brouillard ventes'!$F$257="","",'Brouillard ventes'!$B$257)</f>
        <v/>
      </c>
      <c r="E757" s="22">
        <f>IF('Brouillard ventes'!$F$257="","",LEFT('Brouillard ventes'!$D$257,30))</f>
        <v/>
      </c>
      <c r="F757" s="22" t="inlineStr">
        <is>
          <t>15001</t>
        </is>
      </c>
      <c r="G757" s="22">
        <f>IF('Brouillard ventes'!$F$257="","",Paramètres!$B$10)</f>
        <v/>
      </c>
      <c r="H757" s="22" t="inlineStr"/>
      <c r="I757" s="22" t="inlineStr"/>
      <c r="J757" s="22" t="inlineStr"/>
      <c r="K757" s="22">
        <f>IF('Brouillard ventes'!$F$257="","",Paramètres!$B$11)</f>
        <v/>
      </c>
      <c r="L757" s="23" t="n">
        <v>0</v>
      </c>
      <c r="M757" s="23">
        <f>IF('Brouillard ventes'!$F$257="","",'Brouillard ventes'!$H$257)</f>
        <v/>
      </c>
    </row>
    <row r="758">
      <c r="A758" s="22" t="inlineStr">
        <is>
          <t>1</t>
        </is>
      </c>
      <c r="B758" s="22">
        <f>IF('Brouillard ventes'!$F$258="","","VD"&amp;TEXT(ROW('Brouillard ventes'!$F$258)-5,"00000"))</f>
        <v/>
      </c>
      <c r="C758" s="22">
        <f>IF('Brouillard ventes'!$F$258="","",YEAR('Brouillard ventes'!$A$258)*10000+MONTH('Brouillard ventes'!$A$258)*100+DAY('Brouillard ventes'!$A$258))</f>
        <v/>
      </c>
      <c r="D758" s="22">
        <f>IF('Brouillard ventes'!$F$258="","",'Brouillard ventes'!$B$258)</f>
        <v/>
      </c>
      <c r="E758" s="22">
        <f>IF('Brouillard ventes'!$F$258="","",LEFT('Brouillard ventes'!$D$258,30))</f>
        <v/>
      </c>
      <c r="F758" s="22" t="inlineStr">
        <is>
          <t>15001</t>
        </is>
      </c>
      <c r="G758" s="22">
        <f>IF('Brouillard ventes'!$F$258="","",Paramètres!$B$7)</f>
        <v/>
      </c>
      <c r="H758" s="22">
        <f>IF('Brouillard ventes'!$F$258="","",IF('Brouillard ventes'!$C$258="","CD001",'Brouillard ventes'!$C$258))</f>
        <v/>
      </c>
      <c r="I758" s="22" t="inlineStr"/>
      <c r="J758" s="22" t="inlineStr"/>
      <c r="K758" s="22">
        <f>IF('Brouillard ventes'!$F$258="","",Paramètres!$B$11)</f>
        <v/>
      </c>
      <c r="L758" s="23">
        <f>IF('Brouillard ventes'!$F$258="","",'Brouillard ventes'!$I$258)</f>
        <v/>
      </c>
      <c r="M758" s="23" t="n">
        <v>0</v>
      </c>
    </row>
    <row r="759">
      <c r="A759" s="22" t="inlineStr">
        <is>
          <t>1</t>
        </is>
      </c>
      <c r="B759" s="22">
        <f>IF('Brouillard ventes'!$F$258="","","VD"&amp;TEXT(ROW('Brouillard ventes'!$F$258)-5,"00000"))</f>
        <v/>
      </c>
      <c r="C759" s="22">
        <f>IF('Brouillard ventes'!$F$258="","",YEAR('Brouillard ventes'!$A$258)*10000+MONTH('Brouillard ventes'!$A$258)*100+DAY('Brouillard ventes'!$A$258))</f>
        <v/>
      </c>
      <c r="D759" s="22">
        <f>IF('Brouillard ventes'!$F$258="","",'Brouillard ventes'!$B$258)</f>
        <v/>
      </c>
      <c r="E759" s="22">
        <f>IF('Brouillard ventes'!$F$258="","",LEFT('Brouillard ventes'!$D$258,30))</f>
        <v/>
      </c>
      <c r="F759" s="22" t="inlineStr">
        <is>
          <t>15001</t>
        </is>
      </c>
      <c r="G759" s="22">
        <f>IF('Brouillard ventes'!$F$258="","",IF('Brouillard ventes'!$E$258="Réparation",Paramètres!$B$9,Paramètres!$B$8))</f>
        <v/>
      </c>
      <c r="H759" s="22" t="inlineStr"/>
      <c r="I759" s="22" t="inlineStr"/>
      <c r="J759" s="22" t="inlineStr"/>
      <c r="K759" s="22">
        <f>IF('Brouillard ventes'!$F$258="","",Paramètres!$B$11)</f>
        <v/>
      </c>
      <c r="L759" s="23" t="n">
        <v>0</v>
      </c>
      <c r="M759" s="23">
        <f>IF('Brouillard ventes'!$F$258="","",'Brouillard ventes'!$F$258)</f>
        <v/>
      </c>
    </row>
    <row r="760">
      <c r="A760" s="22" t="inlineStr">
        <is>
          <t>1</t>
        </is>
      </c>
      <c r="B760" s="22">
        <f>IF('Brouillard ventes'!$F$258="","","VD"&amp;TEXT(ROW('Brouillard ventes'!$F$258)-5,"00000"))</f>
        <v/>
      </c>
      <c r="C760" s="22">
        <f>IF('Brouillard ventes'!$F$258="","",YEAR('Brouillard ventes'!$A$258)*10000+MONTH('Brouillard ventes'!$A$258)*100+DAY('Brouillard ventes'!$A$258))</f>
        <v/>
      </c>
      <c r="D760" s="22">
        <f>IF('Brouillard ventes'!$F$258="","",'Brouillard ventes'!$B$258)</f>
        <v/>
      </c>
      <c r="E760" s="22">
        <f>IF('Brouillard ventes'!$F$258="","",LEFT('Brouillard ventes'!$D$258,30))</f>
        <v/>
      </c>
      <c r="F760" s="22" t="inlineStr">
        <is>
          <t>15001</t>
        </is>
      </c>
      <c r="G760" s="22">
        <f>IF('Brouillard ventes'!$F$258="","",Paramètres!$B$10)</f>
        <v/>
      </c>
      <c r="H760" s="22" t="inlineStr"/>
      <c r="I760" s="22" t="inlineStr"/>
      <c r="J760" s="22" t="inlineStr"/>
      <c r="K760" s="22">
        <f>IF('Brouillard ventes'!$F$258="","",Paramètres!$B$11)</f>
        <v/>
      </c>
      <c r="L760" s="23" t="n">
        <v>0</v>
      </c>
      <c r="M760" s="23">
        <f>IF('Brouillard ventes'!$F$258="","",'Brouillard ventes'!$H$258)</f>
        <v/>
      </c>
    </row>
    <row r="761">
      <c r="A761" s="22" t="inlineStr">
        <is>
          <t>1</t>
        </is>
      </c>
      <c r="B761" s="22">
        <f>IF('Brouillard ventes'!$F$259="","","VD"&amp;TEXT(ROW('Brouillard ventes'!$F$259)-5,"00000"))</f>
        <v/>
      </c>
      <c r="C761" s="22">
        <f>IF('Brouillard ventes'!$F$259="","",YEAR('Brouillard ventes'!$A$259)*10000+MONTH('Brouillard ventes'!$A$259)*100+DAY('Brouillard ventes'!$A$259))</f>
        <v/>
      </c>
      <c r="D761" s="22">
        <f>IF('Brouillard ventes'!$F$259="","",'Brouillard ventes'!$B$259)</f>
        <v/>
      </c>
      <c r="E761" s="22">
        <f>IF('Brouillard ventes'!$F$259="","",LEFT('Brouillard ventes'!$D$259,30))</f>
        <v/>
      </c>
      <c r="F761" s="22" t="inlineStr">
        <is>
          <t>15001</t>
        </is>
      </c>
      <c r="G761" s="22">
        <f>IF('Brouillard ventes'!$F$259="","",Paramètres!$B$7)</f>
        <v/>
      </c>
      <c r="H761" s="22">
        <f>IF('Brouillard ventes'!$F$259="","",IF('Brouillard ventes'!$C$259="","CD001",'Brouillard ventes'!$C$259))</f>
        <v/>
      </c>
      <c r="I761" s="22" t="inlineStr"/>
      <c r="J761" s="22" t="inlineStr"/>
      <c r="K761" s="22">
        <f>IF('Brouillard ventes'!$F$259="","",Paramètres!$B$11)</f>
        <v/>
      </c>
      <c r="L761" s="23">
        <f>IF('Brouillard ventes'!$F$259="","",'Brouillard ventes'!$I$259)</f>
        <v/>
      </c>
      <c r="M761" s="23" t="n">
        <v>0</v>
      </c>
    </row>
    <row r="762">
      <c r="A762" s="22" t="inlineStr">
        <is>
          <t>1</t>
        </is>
      </c>
      <c r="B762" s="22">
        <f>IF('Brouillard ventes'!$F$259="","","VD"&amp;TEXT(ROW('Brouillard ventes'!$F$259)-5,"00000"))</f>
        <v/>
      </c>
      <c r="C762" s="22">
        <f>IF('Brouillard ventes'!$F$259="","",YEAR('Brouillard ventes'!$A$259)*10000+MONTH('Brouillard ventes'!$A$259)*100+DAY('Brouillard ventes'!$A$259))</f>
        <v/>
      </c>
      <c r="D762" s="22">
        <f>IF('Brouillard ventes'!$F$259="","",'Brouillard ventes'!$B$259)</f>
        <v/>
      </c>
      <c r="E762" s="22">
        <f>IF('Brouillard ventes'!$F$259="","",LEFT('Brouillard ventes'!$D$259,30))</f>
        <v/>
      </c>
      <c r="F762" s="22" t="inlineStr">
        <is>
          <t>15001</t>
        </is>
      </c>
      <c r="G762" s="22">
        <f>IF('Brouillard ventes'!$F$259="","",IF('Brouillard ventes'!$E$259="Réparation",Paramètres!$B$9,Paramètres!$B$8))</f>
        <v/>
      </c>
      <c r="H762" s="22" t="inlineStr"/>
      <c r="I762" s="22" t="inlineStr"/>
      <c r="J762" s="22" t="inlineStr"/>
      <c r="K762" s="22">
        <f>IF('Brouillard ventes'!$F$259="","",Paramètres!$B$11)</f>
        <v/>
      </c>
      <c r="L762" s="23" t="n">
        <v>0</v>
      </c>
      <c r="M762" s="23">
        <f>IF('Brouillard ventes'!$F$259="","",'Brouillard ventes'!$F$259)</f>
        <v/>
      </c>
    </row>
    <row r="763">
      <c r="A763" s="22" t="inlineStr">
        <is>
          <t>1</t>
        </is>
      </c>
      <c r="B763" s="22">
        <f>IF('Brouillard ventes'!$F$259="","","VD"&amp;TEXT(ROW('Brouillard ventes'!$F$259)-5,"00000"))</f>
        <v/>
      </c>
      <c r="C763" s="22">
        <f>IF('Brouillard ventes'!$F$259="","",YEAR('Brouillard ventes'!$A$259)*10000+MONTH('Brouillard ventes'!$A$259)*100+DAY('Brouillard ventes'!$A$259))</f>
        <v/>
      </c>
      <c r="D763" s="22">
        <f>IF('Brouillard ventes'!$F$259="","",'Brouillard ventes'!$B$259)</f>
        <v/>
      </c>
      <c r="E763" s="22">
        <f>IF('Brouillard ventes'!$F$259="","",LEFT('Brouillard ventes'!$D$259,30))</f>
        <v/>
      </c>
      <c r="F763" s="22" t="inlineStr">
        <is>
          <t>15001</t>
        </is>
      </c>
      <c r="G763" s="22">
        <f>IF('Brouillard ventes'!$F$259="","",Paramètres!$B$10)</f>
        <v/>
      </c>
      <c r="H763" s="22" t="inlineStr"/>
      <c r="I763" s="22" t="inlineStr"/>
      <c r="J763" s="22" t="inlineStr"/>
      <c r="K763" s="22">
        <f>IF('Brouillard ventes'!$F$259="","",Paramètres!$B$11)</f>
        <v/>
      </c>
      <c r="L763" s="23" t="n">
        <v>0</v>
      </c>
      <c r="M763" s="23">
        <f>IF('Brouillard ventes'!$F$259="","",'Brouillard ventes'!$H$259)</f>
        <v/>
      </c>
    </row>
    <row r="764">
      <c r="A764" s="22" t="inlineStr">
        <is>
          <t>1</t>
        </is>
      </c>
      <c r="B764" s="22">
        <f>IF('Brouillard ventes'!$F$260="","","VD"&amp;TEXT(ROW('Brouillard ventes'!$F$260)-5,"00000"))</f>
        <v/>
      </c>
      <c r="C764" s="22">
        <f>IF('Brouillard ventes'!$F$260="","",YEAR('Brouillard ventes'!$A$260)*10000+MONTH('Brouillard ventes'!$A$260)*100+DAY('Brouillard ventes'!$A$260))</f>
        <v/>
      </c>
      <c r="D764" s="22">
        <f>IF('Brouillard ventes'!$F$260="","",'Brouillard ventes'!$B$260)</f>
        <v/>
      </c>
      <c r="E764" s="22">
        <f>IF('Brouillard ventes'!$F$260="","",LEFT('Brouillard ventes'!$D$260,30))</f>
        <v/>
      </c>
      <c r="F764" s="22" t="inlineStr">
        <is>
          <t>15001</t>
        </is>
      </c>
      <c r="G764" s="22">
        <f>IF('Brouillard ventes'!$F$260="","",Paramètres!$B$7)</f>
        <v/>
      </c>
      <c r="H764" s="22">
        <f>IF('Brouillard ventes'!$F$260="","",IF('Brouillard ventes'!$C$260="","CD001",'Brouillard ventes'!$C$260))</f>
        <v/>
      </c>
      <c r="I764" s="22" t="inlineStr"/>
      <c r="J764" s="22" t="inlineStr"/>
      <c r="K764" s="22">
        <f>IF('Brouillard ventes'!$F$260="","",Paramètres!$B$11)</f>
        <v/>
      </c>
      <c r="L764" s="23">
        <f>IF('Brouillard ventes'!$F$260="","",'Brouillard ventes'!$I$260)</f>
        <v/>
      </c>
      <c r="M764" s="23" t="n">
        <v>0</v>
      </c>
    </row>
    <row r="765">
      <c r="A765" s="22" t="inlineStr">
        <is>
          <t>1</t>
        </is>
      </c>
      <c r="B765" s="22">
        <f>IF('Brouillard ventes'!$F$260="","","VD"&amp;TEXT(ROW('Brouillard ventes'!$F$260)-5,"00000"))</f>
        <v/>
      </c>
      <c r="C765" s="22">
        <f>IF('Brouillard ventes'!$F$260="","",YEAR('Brouillard ventes'!$A$260)*10000+MONTH('Brouillard ventes'!$A$260)*100+DAY('Brouillard ventes'!$A$260))</f>
        <v/>
      </c>
      <c r="D765" s="22">
        <f>IF('Brouillard ventes'!$F$260="","",'Brouillard ventes'!$B$260)</f>
        <v/>
      </c>
      <c r="E765" s="22">
        <f>IF('Brouillard ventes'!$F$260="","",LEFT('Brouillard ventes'!$D$260,30))</f>
        <v/>
      </c>
      <c r="F765" s="22" t="inlineStr">
        <is>
          <t>15001</t>
        </is>
      </c>
      <c r="G765" s="22">
        <f>IF('Brouillard ventes'!$F$260="","",IF('Brouillard ventes'!$E$260="Réparation",Paramètres!$B$9,Paramètres!$B$8))</f>
        <v/>
      </c>
      <c r="H765" s="22" t="inlineStr"/>
      <c r="I765" s="22" t="inlineStr"/>
      <c r="J765" s="22" t="inlineStr"/>
      <c r="K765" s="22">
        <f>IF('Brouillard ventes'!$F$260="","",Paramètres!$B$11)</f>
        <v/>
      </c>
      <c r="L765" s="23" t="n">
        <v>0</v>
      </c>
      <c r="M765" s="23">
        <f>IF('Brouillard ventes'!$F$260="","",'Brouillard ventes'!$F$260)</f>
        <v/>
      </c>
    </row>
    <row r="766">
      <c r="A766" s="22" t="inlineStr">
        <is>
          <t>1</t>
        </is>
      </c>
      <c r="B766" s="22">
        <f>IF('Brouillard ventes'!$F$260="","","VD"&amp;TEXT(ROW('Brouillard ventes'!$F$260)-5,"00000"))</f>
        <v/>
      </c>
      <c r="C766" s="22">
        <f>IF('Brouillard ventes'!$F$260="","",YEAR('Brouillard ventes'!$A$260)*10000+MONTH('Brouillard ventes'!$A$260)*100+DAY('Brouillard ventes'!$A$260))</f>
        <v/>
      </c>
      <c r="D766" s="22">
        <f>IF('Brouillard ventes'!$F$260="","",'Brouillard ventes'!$B$260)</f>
        <v/>
      </c>
      <c r="E766" s="22">
        <f>IF('Brouillard ventes'!$F$260="","",LEFT('Brouillard ventes'!$D$260,30))</f>
        <v/>
      </c>
      <c r="F766" s="22" t="inlineStr">
        <is>
          <t>15001</t>
        </is>
      </c>
      <c r="G766" s="22">
        <f>IF('Brouillard ventes'!$F$260="","",Paramètres!$B$10)</f>
        <v/>
      </c>
      <c r="H766" s="22" t="inlineStr"/>
      <c r="I766" s="22" t="inlineStr"/>
      <c r="J766" s="22" t="inlineStr"/>
      <c r="K766" s="22">
        <f>IF('Brouillard ventes'!$F$260="","",Paramètres!$B$11)</f>
        <v/>
      </c>
      <c r="L766" s="23" t="n">
        <v>0</v>
      </c>
      <c r="M766" s="23">
        <f>IF('Brouillard ventes'!$F$260="","",'Brouillard ventes'!$H$260)</f>
        <v/>
      </c>
    </row>
    <row r="767">
      <c r="A767" s="22" t="inlineStr">
        <is>
          <t>1</t>
        </is>
      </c>
      <c r="B767" s="22">
        <f>IF('Brouillard ventes'!$F$261="","","VD"&amp;TEXT(ROW('Brouillard ventes'!$F$261)-5,"00000"))</f>
        <v/>
      </c>
      <c r="C767" s="22">
        <f>IF('Brouillard ventes'!$F$261="","",YEAR('Brouillard ventes'!$A$261)*10000+MONTH('Brouillard ventes'!$A$261)*100+DAY('Brouillard ventes'!$A$261))</f>
        <v/>
      </c>
      <c r="D767" s="22">
        <f>IF('Brouillard ventes'!$F$261="","",'Brouillard ventes'!$B$261)</f>
        <v/>
      </c>
      <c r="E767" s="22">
        <f>IF('Brouillard ventes'!$F$261="","",LEFT('Brouillard ventes'!$D$261,30))</f>
        <v/>
      </c>
      <c r="F767" s="22" t="inlineStr">
        <is>
          <t>15001</t>
        </is>
      </c>
      <c r="G767" s="22">
        <f>IF('Brouillard ventes'!$F$261="","",Paramètres!$B$7)</f>
        <v/>
      </c>
      <c r="H767" s="22">
        <f>IF('Brouillard ventes'!$F$261="","",IF('Brouillard ventes'!$C$261="","CD001",'Brouillard ventes'!$C$261))</f>
        <v/>
      </c>
      <c r="I767" s="22" t="inlineStr"/>
      <c r="J767" s="22" t="inlineStr"/>
      <c r="K767" s="22">
        <f>IF('Brouillard ventes'!$F$261="","",Paramètres!$B$11)</f>
        <v/>
      </c>
      <c r="L767" s="23">
        <f>IF('Brouillard ventes'!$F$261="","",'Brouillard ventes'!$I$261)</f>
        <v/>
      </c>
      <c r="M767" s="23" t="n">
        <v>0</v>
      </c>
    </row>
    <row r="768">
      <c r="A768" s="22" t="inlineStr">
        <is>
          <t>1</t>
        </is>
      </c>
      <c r="B768" s="22">
        <f>IF('Brouillard ventes'!$F$261="","","VD"&amp;TEXT(ROW('Brouillard ventes'!$F$261)-5,"00000"))</f>
        <v/>
      </c>
      <c r="C768" s="22">
        <f>IF('Brouillard ventes'!$F$261="","",YEAR('Brouillard ventes'!$A$261)*10000+MONTH('Brouillard ventes'!$A$261)*100+DAY('Brouillard ventes'!$A$261))</f>
        <v/>
      </c>
      <c r="D768" s="22">
        <f>IF('Brouillard ventes'!$F$261="","",'Brouillard ventes'!$B$261)</f>
        <v/>
      </c>
      <c r="E768" s="22">
        <f>IF('Brouillard ventes'!$F$261="","",LEFT('Brouillard ventes'!$D$261,30))</f>
        <v/>
      </c>
      <c r="F768" s="22" t="inlineStr">
        <is>
          <t>15001</t>
        </is>
      </c>
      <c r="G768" s="22">
        <f>IF('Brouillard ventes'!$F$261="","",IF('Brouillard ventes'!$E$261="Réparation",Paramètres!$B$9,Paramètres!$B$8))</f>
        <v/>
      </c>
      <c r="H768" s="22" t="inlineStr"/>
      <c r="I768" s="22" t="inlineStr"/>
      <c r="J768" s="22" t="inlineStr"/>
      <c r="K768" s="22">
        <f>IF('Brouillard ventes'!$F$261="","",Paramètres!$B$11)</f>
        <v/>
      </c>
      <c r="L768" s="23" t="n">
        <v>0</v>
      </c>
      <c r="M768" s="23">
        <f>IF('Brouillard ventes'!$F$261="","",'Brouillard ventes'!$F$261)</f>
        <v/>
      </c>
    </row>
    <row r="769">
      <c r="A769" s="22" t="inlineStr">
        <is>
          <t>1</t>
        </is>
      </c>
      <c r="B769" s="22">
        <f>IF('Brouillard ventes'!$F$261="","","VD"&amp;TEXT(ROW('Brouillard ventes'!$F$261)-5,"00000"))</f>
        <v/>
      </c>
      <c r="C769" s="22">
        <f>IF('Brouillard ventes'!$F$261="","",YEAR('Brouillard ventes'!$A$261)*10000+MONTH('Brouillard ventes'!$A$261)*100+DAY('Brouillard ventes'!$A$261))</f>
        <v/>
      </c>
      <c r="D769" s="22">
        <f>IF('Brouillard ventes'!$F$261="","",'Brouillard ventes'!$B$261)</f>
        <v/>
      </c>
      <c r="E769" s="22">
        <f>IF('Brouillard ventes'!$F$261="","",LEFT('Brouillard ventes'!$D$261,30))</f>
        <v/>
      </c>
      <c r="F769" s="22" t="inlineStr">
        <is>
          <t>15001</t>
        </is>
      </c>
      <c r="G769" s="22">
        <f>IF('Brouillard ventes'!$F$261="","",Paramètres!$B$10)</f>
        <v/>
      </c>
      <c r="H769" s="22" t="inlineStr"/>
      <c r="I769" s="22" t="inlineStr"/>
      <c r="J769" s="22" t="inlineStr"/>
      <c r="K769" s="22">
        <f>IF('Brouillard ventes'!$F$261="","",Paramètres!$B$11)</f>
        <v/>
      </c>
      <c r="L769" s="23" t="n">
        <v>0</v>
      </c>
      <c r="M769" s="23">
        <f>IF('Brouillard ventes'!$F$261="","",'Brouillard ventes'!$H$261)</f>
        <v/>
      </c>
    </row>
    <row r="770">
      <c r="A770" s="22" t="inlineStr">
        <is>
          <t>1</t>
        </is>
      </c>
      <c r="B770" s="22">
        <f>IF('Brouillard ventes'!$F$262="","","VD"&amp;TEXT(ROW('Brouillard ventes'!$F$262)-5,"00000"))</f>
        <v/>
      </c>
      <c r="C770" s="22">
        <f>IF('Brouillard ventes'!$F$262="","",YEAR('Brouillard ventes'!$A$262)*10000+MONTH('Brouillard ventes'!$A$262)*100+DAY('Brouillard ventes'!$A$262))</f>
        <v/>
      </c>
      <c r="D770" s="22">
        <f>IF('Brouillard ventes'!$F$262="","",'Brouillard ventes'!$B$262)</f>
        <v/>
      </c>
      <c r="E770" s="22">
        <f>IF('Brouillard ventes'!$F$262="","",LEFT('Brouillard ventes'!$D$262,30))</f>
        <v/>
      </c>
      <c r="F770" s="22" t="inlineStr">
        <is>
          <t>15001</t>
        </is>
      </c>
      <c r="G770" s="22">
        <f>IF('Brouillard ventes'!$F$262="","",Paramètres!$B$7)</f>
        <v/>
      </c>
      <c r="H770" s="22">
        <f>IF('Brouillard ventes'!$F$262="","",IF('Brouillard ventes'!$C$262="","CD001",'Brouillard ventes'!$C$262))</f>
        <v/>
      </c>
      <c r="I770" s="22" t="inlineStr"/>
      <c r="J770" s="22" t="inlineStr"/>
      <c r="K770" s="22">
        <f>IF('Brouillard ventes'!$F$262="","",Paramètres!$B$11)</f>
        <v/>
      </c>
      <c r="L770" s="23">
        <f>IF('Brouillard ventes'!$F$262="","",'Brouillard ventes'!$I$262)</f>
        <v/>
      </c>
      <c r="M770" s="23" t="n">
        <v>0</v>
      </c>
    </row>
    <row r="771">
      <c r="A771" s="22" t="inlineStr">
        <is>
          <t>1</t>
        </is>
      </c>
      <c r="B771" s="22">
        <f>IF('Brouillard ventes'!$F$262="","","VD"&amp;TEXT(ROW('Brouillard ventes'!$F$262)-5,"00000"))</f>
        <v/>
      </c>
      <c r="C771" s="22">
        <f>IF('Brouillard ventes'!$F$262="","",YEAR('Brouillard ventes'!$A$262)*10000+MONTH('Brouillard ventes'!$A$262)*100+DAY('Brouillard ventes'!$A$262))</f>
        <v/>
      </c>
      <c r="D771" s="22">
        <f>IF('Brouillard ventes'!$F$262="","",'Brouillard ventes'!$B$262)</f>
        <v/>
      </c>
      <c r="E771" s="22">
        <f>IF('Brouillard ventes'!$F$262="","",LEFT('Brouillard ventes'!$D$262,30))</f>
        <v/>
      </c>
      <c r="F771" s="22" t="inlineStr">
        <is>
          <t>15001</t>
        </is>
      </c>
      <c r="G771" s="22">
        <f>IF('Brouillard ventes'!$F$262="","",IF('Brouillard ventes'!$E$262="Réparation",Paramètres!$B$9,Paramètres!$B$8))</f>
        <v/>
      </c>
      <c r="H771" s="22" t="inlineStr"/>
      <c r="I771" s="22" t="inlineStr"/>
      <c r="J771" s="22" t="inlineStr"/>
      <c r="K771" s="22">
        <f>IF('Brouillard ventes'!$F$262="","",Paramètres!$B$11)</f>
        <v/>
      </c>
      <c r="L771" s="23" t="n">
        <v>0</v>
      </c>
      <c r="M771" s="23">
        <f>IF('Brouillard ventes'!$F$262="","",'Brouillard ventes'!$F$262)</f>
        <v/>
      </c>
    </row>
    <row r="772">
      <c r="A772" s="22" t="inlineStr">
        <is>
          <t>1</t>
        </is>
      </c>
      <c r="B772" s="22">
        <f>IF('Brouillard ventes'!$F$262="","","VD"&amp;TEXT(ROW('Brouillard ventes'!$F$262)-5,"00000"))</f>
        <v/>
      </c>
      <c r="C772" s="22">
        <f>IF('Brouillard ventes'!$F$262="","",YEAR('Brouillard ventes'!$A$262)*10000+MONTH('Brouillard ventes'!$A$262)*100+DAY('Brouillard ventes'!$A$262))</f>
        <v/>
      </c>
      <c r="D772" s="22">
        <f>IF('Brouillard ventes'!$F$262="","",'Brouillard ventes'!$B$262)</f>
        <v/>
      </c>
      <c r="E772" s="22">
        <f>IF('Brouillard ventes'!$F$262="","",LEFT('Brouillard ventes'!$D$262,30))</f>
        <v/>
      </c>
      <c r="F772" s="22" t="inlineStr">
        <is>
          <t>15001</t>
        </is>
      </c>
      <c r="G772" s="22">
        <f>IF('Brouillard ventes'!$F$262="","",Paramètres!$B$10)</f>
        <v/>
      </c>
      <c r="H772" s="22" t="inlineStr"/>
      <c r="I772" s="22" t="inlineStr"/>
      <c r="J772" s="22" t="inlineStr"/>
      <c r="K772" s="22">
        <f>IF('Brouillard ventes'!$F$262="","",Paramètres!$B$11)</f>
        <v/>
      </c>
      <c r="L772" s="23" t="n">
        <v>0</v>
      </c>
      <c r="M772" s="23">
        <f>IF('Brouillard ventes'!$F$262="","",'Brouillard ventes'!$H$262)</f>
        <v/>
      </c>
    </row>
    <row r="773">
      <c r="A773" s="22" t="inlineStr">
        <is>
          <t>1</t>
        </is>
      </c>
      <c r="B773" s="22">
        <f>IF('Brouillard ventes'!$F$263="","","VD"&amp;TEXT(ROW('Brouillard ventes'!$F$263)-5,"00000"))</f>
        <v/>
      </c>
      <c r="C773" s="22">
        <f>IF('Brouillard ventes'!$F$263="","",YEAR('Brouillard ventes'!$A$263)*10000+MONTH('Brouillard ventes'!$A$263)*100+DAY('Brouillard ventes'!$A$263))</f>
        <v/>
      </c>
      <c r="D773" s="22">
        <f>IF('Brouillard ventes'!$F$263="","",'Brouillard ventes'!$B$263)</f>
        <v/>
      </c>
      <c r="E773" s="22">
        <f>IF('Brouillard ventes'!$F$263="","",LEFT('Brouillard ventes'!$D$263,30))</f>
        <v/>
      </c>
      <c r="F773" s="22" t="inlineStr">
        <is>
          <t>15001</t>
        </is>
      </c>
      <c r="G773" s="22">
        <f>IF('Brouillard ventes'!$F$263="","",Paramètres!$B$7)</f>
        <v/>
      </c>
      <c r="H773" s="22">
        <f>IF('Brouillard ventes'!$F$263="","",IF('Brouillard ventes'!$C$263="","CD001",'Brouillard ventes'!$C$263))</f>
        <v/>
      </c>
      <c r="I773" s="22" t="inlineStr"/>
      <c r="J773" s="22" t="inlineStr"/>
      <c r="K773" s="22">
        <f>IF('Brouillard ventes'!$F$263="","",Paramètres!$B$11)</f>
        <v/>
      </c>
      <c r="L773" s="23">
        <f>IF('Brouillard ventes'!$F$263="","",'Brouillard ventes'!$I$263)</f>
        <v/>
      </c>
      <c r="M773" s="23" t="n">
        <v>0</v>
      </c>
    </row>
    <row r="774">
      <c r="A774" s="22" t="inlineStr">
        <is>
          <t>1</t>
        </is>
      </c>
      <c r="B774" s="22">
        <f>IF('Brouillard ventes'!$F$263="","","VD"&amp;TEXT(ROW('Brouillard ventes'!$F$263)-5,"00000"))</f>
        <v/>
      </c>
      <c r="C774" s="22">
        <f>IF('Brouillard ventes'!$F$263="","",YEAR('Brouillard ventes'!$A$263)*10000+MONTH('Brouillard ventes'!$A$263)*100+DAY('Brouillard ventes'!$A$263))</f>
        <v/>
      </c>
      <c r="D774" s="22">
        <f>IF('Brouillard ventes'!$F$263="","",'Brouillard ventes'!$B$263)</f>
        <v/>
      </c>
      <c r="E774" s="22">
        <f>IF('Brouillard ventes'!$F$263="","",LEFT('Brouillard ventes'!$D$263,30))</f>
        <v/>
      </c>
      <c r="F774" s="22" t="inlineStr">
        <is>
          <t>15001</t>
        </is>
      </c>
      <c r="G774" s="22">
        <f>IF('Brouillard ventes'!$F$263="","",IF('Brouillard ventes'!$E$263="Réparation",Paramètres!$B$9,Paramètres!$B$8))</f>
        <v/>
      </c>
      <c r="H774" s="22" t="inlineStr"/>
      <c r="I774" s="22" t="inlineStr"/>
      <c r="J774" s="22" t="inlineStr"/>
      <c r="K774" s="22">
        <f>IF('Brouillard ventes'!$F$263="","",Paramètres!$B$11)</f>
        <v/>
      </c>
      <c r="L774" s="23" t="n">
        <v>0</v>
      </c>
      <c r="M774" s="23">
        <f>IF('Brouillard ventes'!$F$263="","",'Brouillard ventes'!$F$263)</f>
        <v/>
      </c>
    </row>
    <row r="775">
      <c r="A775" s="22" t="inlineStr">
        <is>
          <t>1</t>
        </is>
      </c>
      <c r="B775" s="22">
        <f>IF('Brouillard ventes'!$F$263="","","VD"&amp;TEXT(ROW('Brouillard ventes'!$F$263)-5,"00000"))</f>
        <v/>
      </c>
      <c r="C775" s="22">
        <f>IF('Brouillard ventes'!$F$263="","",YEAR('Brouillard ventes'!$A$263)*10000+MONTH('Brouillard ventes'!$A$263)*100+DAY('Brouillard ventes'!$A$263))</f>
        <v/>
      </c>
      <c r="D775" s="22">
        <f>IF('Brouillard ventes'!$F$263="","",'Brouillard ventes'!$B$263)</f>
        <v/>
      </c>
      <c r="E775" s="22">
        <f>IF('Brouillard ventes'!$F$263="","",LEFT('Brouillard ventes'!$D$263,30))</f>
        <v/>
      </c>
      <c r="F775" s="22" t="inlineStr">
        <is>
          <t>15001</t>
        </is>
      </c>
      <c r="G775" s="22">
        <f>IF('Brouillard ventes'!$F$263="","",Paramètres!$B$10)</f>
        <v/>
      </c>
      <c r="H775" s="22" t="inlineStr"/>
      <c r="I775" s="22" t="inlineStr"/>
      <c r="J775" s="22" t="inlineStr"/>
      <c r="K775" s="22">
        <f>IF('Brouillard ventes'!$F$263="","",Paramètres!$B$11)</f>
        <v/>
      </c>
      <c r="L775" s="23" t="n">
        <v>0</v>
      </c>
      <c r="M775" s="23">
        <f>IF('Brouillard ventes'!$F$263="","",'Brouillard ventes'!$H$263)</f>
        <v/>
      </c>
    </row>
    <row r="776">
      <c r="A776" s="22" t="inlineStr">
        <is>
          <t>1</t>
        </is>
      </c>
      <c r="B776" s="22">
        <f>IF('Brouillard ventes'!$F$264="","","VD"&amp;TEXT(ROW('Brouillard ventes'!$F$264)-5,"00000"))</f>
        <v/>
      </c>
      <c r="C776" s="22">
        <f>IF('Brouillard ventes'!$F$264="","",YEAR('Brouillard ventes'!$A$264)*10000+MONTH('Brouillard ventes'!$A$264)*100+DAY('Brouillard ventes'!$A$264))</f>
        <v/>
      </c>
      <c r="D776" s="22">
        <f>IF('Brouillard ventes'!$F$264="","",'Brouillard ventes'!$B$264)</f>
        <v/>
      </c>
      <c r="E776" s="22">
        <f>IF('Brouillard ventes'!$F$264="","",LEFT('Brouillard ventes'!$D$264,30))</f>
        <v/>
      </c>
      <c r="F776" s="22" t="inlineStr">
        <is>
          <t>15001</t>
        </is>
      </c>
      <c r="G776" s="22">
        <f>IF('Brouillard ventes'!$F$264="","",Paramètres!$B$7)</f>
        <v/>
      </c>
      <c r="H776" s="22">
        <f>IF('Brouillard ventes'!$F$264="","",IF('Brouillard ventes'!$C$264="","CD001",'Brouillard ventes'!$C$264))</f>
        <v/>
      </c>
      <c r="I776" s="22" t="inlineStr"/>
      <c r="J776" s="22" t="inlineStr"/>
      <c r="K776" s="22">
        <f>IF('Brouillard ventes'!$F$264="","",Paramètres!$B$11)</f>
        <v/>
      </c>
      <c r="L776" s="23">
        <f>IF('Brouillard ventes'!$F$264="","",'Brouillard ventes'!$I$264)</f>
        <v/>
      </c>
      <c r="M776" s="23" t="n">
        <v>0</v>
      </c>
    </row>
    <row r="777">
      <c r="A777" s="22" t="inlineStr">
        <is>
          <t>1</t>
        </is>
      </c>
      <c r="B777" s="22">
        <f>IF('Brouillard ventes'!$F$264="","","VD"&amp;TEXT(ROW('Brouillard ventes'!$F$264)-5,"00000"))</f>
        <v/>
      </c>
      <c r="C777" s="22">
        <f>IF('Brouillard ventes'!$F$264="","",YEAR('Brouillard ventes'!$A$264)*10000+MONTH('Brouillard ventes'!$A$264)*100+DAY('Brouillard ventes'!$A$264))</f>
        <v/>
      </c>
      <c r="D777" s="22">
        <f>IF('Brouillard ventes'!$F$264="","",'Brouillard ventes'!$B$264)</f>
        <v/>
      </c>
      <c r="E777" s="22">
        <f>IF('Brouillard ventes'!$F$264="","",LEFT('Brouillard ventes'!$D$264,30))</f>
        <v/>
      </c>
      <c r="F777" s="22" t="inlineStr">
        <is>
          <t>15001</t>
        </is>
      </c>
      <c r="G777" s="22">
        <f>IF('Brouillard ventes'!$F$264="","",IF('Brouillard ventes'!$E$264="Réparation",Paramètres!$B$9,Paramètres!$B$8))</f>
        <v/>
      </c>
      <c r="H777" s="22" t="inlineStr"/>
      <c r="I777" s="22" t="inlineStr"/>
      <c r="J777" s="22" t="inlineStr"/>
      <c r="K777" s="22">
        <f>IF('Brouillard ventes'!$F$264="","",Paramètres!$B$11)</f>
        <v/>
      </c>
      <c r="L777" s="23" t="n">
        <v>0</v>
      </c>
      <c r="M777" s="23">
        <f>IF('Brouillard ventes'!$F$264="","",'Brouillard ventes'!$F$264)</f>
        <v/>
      </c>
    </row>
    <row r="778">
      <c r="A778" s="22" t="inlineStr">
        <is>
          <t>1</t>
        </is>
      </c>
      <c r="B778" s="22">
        <f>IF('Brouillard ventes'!$F$264="","","VD"&amp;TEXT(ROW('Brouillard ventes'!$F$264)-5,"00000"))</f>
        <v/>
      </c>
      <c r="C778" s="22">
        <f>IF('Brouillard ventes'!$F$264="","",YEAR('Brouillard ventes'!$A$264)*10000+MONTH('Brouillard ventes'!$A$264)*100+DAY('Brouillard ventes'!$A$264))</f>
        <v/>
      </c>
      <c r="D778" s="22">
        <f>IF('Brouillard ventes'!$F$264="","",'Brouillard ventes'!$B$264)</f>
        <v/>
      </c>
      <c r="E778" s="22">
        <f>IF('Brouillard ventes'!$F$264="","",LEFT('Brouillard ventes'!$D$264,30))</f>
        <v/>
      </c>
      <c r="F778" s="22" t="inlineStr">
        <is>
          <t>15001</t>
        </is>
      </c>
      <c r="G778" s="22">
        <f>IF('Brouillard ventes'!$F$264="","",Paramètres!$B$10)</f>
        <v/>
      </c>
      <c r="H778" s="22" t="inlineStr"/>
      <c r="I778" s="22" t="inlineStr"/>
      <c r="J778" s="22" t="inlineStr"/>
      <c r="K778" s="22">
        <f>IF('Brouillard ventes'!$F$264="","",Paramètres!$B$11)</f>
        <v/>
      </c>
      <c r="L778" s="23" t="n">
        <v>0</v>
      </c>
      <c r="M778" s="23">
        <f>IF('Brouillard ventes'!$F$264="","",'Brouillard ventes'!$H$264)</f>
        <v/>
      </c>
    </row>
    <row r="779">
      <c r="A779" s="22" t="inlineStr">
        <is>
          <t>1</t>
        </is>
      </c>
      <c r="B779" s="22">
        <f>IF('Brouillard ventes'!$F$265="","","VD"&amp;TEXT(ROW('Brouillard ventes'!$F$265)-5,"00000"))</f>
        <v/>
      </c>
      <c r="C779" s="22">
        <f>IF('Brouillard ventes'!$F$265="","",YEAR('Brouillard ventes'!$A$265)*10000+MONTH('Brouillard ventes'!$A$265)*100+DAY('Brouillard ventes'!$A$265))</f>
        <v/>
      </c>
      <c r="D779" s="22">
        <f>IF('Brouillard ventes'!$F$265="","",'Brouillard ventes'!$B$265)</f>
        <v/>
      </c>
      <c r="E779" s="22">
        <f>IF('Brouillard ventes'!$F$265="","",LEFT('Brouillard ventes'!$D$265,30))</f>
        <v/>
      </c>
      <c r="F779" s="22" t="inlineStr">
        <is>
          <t>15001</t>
        </is>
      </c>
      <c r="G779" s="22">
        <f>IF('Brouillard ventes'!$F$265="","",Paramètres!$B$7)</f>
        <v/>
      </c>
      <c r="H779" s="22">
        <f>IF('Brouillard ventes'!$F$265="","",IF('Brouillard ventes'!$C$265="","CD001",'Brouillard ventes'!$C$265))</f>
        <v/>
      </c>
      <c r="I779" s="22" t="inlineStr"/>
      <c r="J779" s="22" t="inlineStr"/>
      <c r="K779" s="22">
        <f>IF('Brouillard ventes'!$F$265="","",Paramètres!$B$11)</f>
        <v/>
      </c>
      <c r="L779" s="23">
        <f>IF('Brouillard ventes'!$F$265="","",'Brouillard ventes'!$I$265)</f>
        <v/>
      </c>
      <c r="M779" s="23" t="n">
        <v>0</v>
      </c>
    </row>
    <row r="780">
      <c r="A780" s="22" t="inlineStr">
        <is>
          <t>1</t>
        </is>
      </c>
      <c r="B780" s="22">
        <f>IF('Brouillard ventes'!$F$265="","","VD"&amp;TEXT(ROW('Brouillard ventes'!$F$265)-5,"00000"))</f>
        <v/>
      </c>
      <c r="C780" s="22">
        <f>IF('Brouillard ventes'!$F$265="","",YEAR('Brouillard ventes'!$A$265)*10000+MONTH('Brouillard ventes'!$A$265)*100+DAY('Brouillard ventes'!$A$265))</f>
        <v/>
      </c>
      <c r="D780" s="22">
        <f>IF('Brouillard ventes'!$F$265="","",'Brouillard ventes'!$B$265)</f>
        <v/>
      </c>
      <c r="E780" s="22">
        <f>IF('Brouillard ventes'!$F$265="","",LEFT('Brouillard ventes'!$D$265,30))</f>
        <v/>
      </c>
      <c r="F780" s="22" t="inlineStr">
        <is>
          <t>15001</t>
        </is>
      </c>
      <c r="G780" s="22">
        <f>IF('Brouillard ventes'!$F$265="","",IF('Brouillard ventes'!$E$265="Réparation",Paramètres!$B$9,Paramètres!$B$8))</f>
        <v/>
      </c>
      <c r="H780" s="22" t="inlineStr"/>
      <c r="I780" s="22" t="inlineStr"/>
      <c r="J780" s="22" t="inlineStr"/>
      <c r="K780" s="22">
        <f>IF('Brouillard ventes'!$F$265="","",Paramètres!$B$11)</f>
        <v/>
      </c>
      <c r="L780" s="23" t="n">
        <v>0</v>
      </c>
      <c r="M780" s="23">
        <f>IF('Brouillard ventes'!$F$265="","",'Brouillard ventes'!$F$265)</f>
        <v/>
      </c>
    </row>
    <row r="781">
      <c r="A781" s="22" t="inlineStr">
        <is>
          <t>1</t>
        </is>
      </c>
      <c r="B781" s="22">
        <f>IF('Brouillard ventes'!$F$265="","","VD"&amp;TEXT(ROW('Brouillard ventes'!$F$265)-5,"00000"))</f>
        <v/>
      </c>
      <c r="C781" s="22">
        <f>IF('Brouillard ventes'!$F$265="","",YEAR('Brouillard ventes'!$A$265)*10000+MONTH('Brouillard ventes'!$A$265)*100+DAY('Brouillard ventes'!$A$265))</f>
        <v/>
      </c>
      <c r="D781" s="22">
        <f>IF('Brouillard ventes'!$F$265="","",'Brouillard ventes'!$B$265)</f>
        <v/>
      </c>
      <c r="E781" s="22">
        <f>IF('Brouillard ventes'!$F$265="","",LEFT('Brouillard ventes'!$D$265,30))</f>
        <v/>
      </c>
      <c r="F781" s="22" t="inlineStr">
        <is>
          <t>15001</t>
        </is>
      </c>
      <c r="G781" s="22">
        <f>IF('Brouillard ventes'!$F$265="","",Paramètres!$B$10)</f>
        <v/>
      </c>
      <c r="H781" s="22" t="inlineStr"/>
      <c r="I781" s="22" t="inlineStr"/>
      <c r="J781" s="22" t="inlineStr"/>
      <c r="K781" s="22">
        <f>IF('Brouillard ventes'!$F$265="","",Paramètres!$B$11)</f>
        <v/>
      </c>
      <c r="L781" s="23" t="n">
        <v>0</v>
      </c>
      <c r="M781" s="23">
        <f>IF('Brouillard ventes'!$F$265="","",'Brouillard ventes'!$H$265)</f>
        <v/>
      </c>
    </row>
    <row r="782">
      <c r="A782" s="22" t="inlineStr">
        <is>
          <t>1</t>
        </is>
      </c>
      <c r="B782" s="22">
        <f>IF('Brouillard ventes'!$F$266="","","VD"&amp;TEXT(ROW('Brouillard ventes'!$F$266)-5,"00000"))</f>
        <v/>
      </c>
      <c r="C782" s="22">
        <f>IF('Brouillard ventes'!$F$266="","",YEAR('Brouillard ventes'!$A$266)*10000+MONTH('Brouillard ventes'!$A$266)*100+DAY('Brouillard ventes'!$A$266))</f>
        <v/>
      </c>
      <c r="D782" s="22">
        <f>IF('Brouillard ventes'!$F$266="","",'Brouillard ventes'!$B$266)</f>
        <v/>
      </c>
      <c r="E782" s="22">
        <f>IF('Brouillard ventes'!$F$266="","",LEFT('Brouillard ventes'!$D$266,30))</f>
        <v/>
      </c>
      <c r="F782" s="22" t="inlineStr">
        <is>
          <t>15001</t>
        </is>
      </c>
      <c r="G782" s="22">
        <f>IF('Brouillard ventes'!$F$266="","",Paramètres!$B$7)</f>
        <v/>
      </c>
      <c r="H782" s="22">
        <f>IF('Brouillard ventes'!$F$266="","",IF('Brouillard ventes'!$C$266="","CD001",'Brouillard ventes'!$C$266))</f>
        <v/>
      </c>
      <c r="I782" s="22" t="inlineStr"/>
      <c r="J782" s="22" t="inlineStr"/>
      <c r="K782" s="22">
        <f>IF('Brouillard ventes'!$F$266="","",Paramètres!$B$11)</f>
        <v/>
      </c>
      <c r="L782" s="23">
        <f>IF('Brouillard ventes'!$F$266="","",'Brouillard ventes'!$I$266)</f>
        <v/>
      </c>
      <c r="M782" s="23" t="n">
        <v>0</v>
      </c>
    </row>
    <row r="783">
      <c r="A783" s="22" t="inlineStr">
        <is>
          <t>1</t>
        </is>
      </c>
      <c r="B783" s="22">
        <f>IF('Brouillard ventes'!$F$266="","","VD"&amp;TEXT(ROW('Brouillard ventes'!$F$266)-5,"00000"))</f>
        <v/>
      </c>
      <c r="C783" s="22">
        <f>IF('Brouillard ventes'!$F$266="","",YEAR('Brouillard ventes'!$A$266)*10000+MONTH('Brouillard ventes'!$A$266)*100+DAY('Brouillard ventes'!$A$266))</f>
        <v/>
      </c>
      <c r="D783" s="22">
        <f>IF('Brouillard ventes'!$F$266="","",'Brouillard ventes'!$B$266)</f>
        <v/>
      </c>
      <c r="E783" s="22">
        <f>IF('Brouillard ventes'!$F$266="","",LEFT('Brouillard ventes'!$D$266,30))</f>
        <v/>
      </c>
      <c r="F783" s="22" t="inlineStr">
        <is>
          <t>15001</t>
        </is>
      </c>
      <c r="G783" s="22">
        <f>IF('Brouillard ventes'!$F$266="","",IF('Brouillard ventes'!$E$266="Réparation",Paramètres!$B$9,Paramètres!$B$8))</f>
        <v/>
      </c>
      <c r="H783" s="22" t="inlineStr"/>
      <c r="I783" s="22" t="inlineStr"/>
      <c r="J783" s="22" t="inlineStr"/>
      <c r="K783" s="22">
        <f>IF('Brouillard ventes'!$F$266="","",Paramètres!$B$11)</f>
        <v/>
      </c>
      <c r="L783" s="23" t="n">
        <v>0</v>
      </c>
      <c r="M783" s="23">
        <f>IF('Brouillard ventes'!$F$266="","",'Brouillard ventes'!$F$266)</f>
        <v/>
      </c>
    </row>
    <row r="784">
      <c r="A784" s="22" t="inlineStr">
        <is>
          <t>1</t>
        </is>
      </c>
      <c r="B784" s="22">
        <f>IF('Brouillard ventes'!$F$266="","","VD"&amp;TEXT(ROW('Brouillard ventes'!$F$266)-5,"00000"))</f>
        <v/>
      </c>
      <c r="C784" s="22">
        <f>IF('Brouillard ventes'!$F$266="","",YEAR('Brouillard ventes'!$A$266)*10000+MONTH('Brouillard ventes'!$A$266)*100+DAY('Brouillard ventes'!$A$266))</f>
        <v/>
      </c>
      <c r="D784" s="22">
        <f>IF('Brouillard ventes'!$F$266="","",'Brouillard ventes'!$B$266)</f>
        <v/>
      </c>
      <c r="E784" s="22">
        <f>IF('Brouillard ventes'!$F$266="","",LEFT('Brouillard ventes'!$D$266,30))</f>
        <v/>
      </c>
      <c r="F784" s="22" t="inlineStr">
        <is>
          <t>15001</t>
        </is>
      </c>
      <c r="G784" s="22">
        <f>IF('Brouillard ventes'!$F$266="","",Paramètres!$B$10)</f>
        <v/>
      </c>
      <c r="H784" s="22" t="inlineStr"/>
      <c r="I784" s="22" t="inlineStr"/>
      <c r="J784" s="22" t="inlineStr"/>
      <c r="K784" s="22">
        <f>IF('Brouillard ventes'!$F$266="","",Paramètres!$B$11)</f>
        <v/>
      </c>
      <c r="L784" s="23" t="n">
        <v>0</v>
      </c>
      <c r="M784" s="23">
        <f>IF('Brouillard ventes'!$F$266="","",'Brouillard ventes'!$H$266)</f>
        <v/>
      </c>
    </row>
    <row r="785">
      <c r="A785" s="22" t="inlineStr">
        <is>
          <t>1</t>
        </is>
      </c>
      <c r="B785" s="22">
        <f>IF('Brouillard ventes'!$F$267="","","VD"&amp;TEXT(ROW('Brouillard ventes'!$F$267)-5,"00000"))</f>
        <v/>
      </c>
      <c r="C785" s="22">
        <f>IF('Brouillard ventes'!$F$267="","",YEAR('Brouillard ventes'!$A$267)*10000+MONTH('Brouillard ventes'!$A$267)*100+DAY('Brouillard ventes'!$A$267))</f>
        <v/>
      </c>
      <c r="D785" s="22">
        <f>IF('Brouillard ventes'!$F$267="","",'Brouillard ventes'!$B$267)</f>
        <v/>
      </c>
      <c r="E785" s="22">
        <f>IF('Brouillard ventes'!$F$267="","",LEFT('Brouillard ventes'!$D$267,30))</f>
        <v/>
      </c>
      <c r="F785" s="22" t="inlineStr">
        <is>
          <t>15001</t>
        </is>
      </c>
      <c r="G785" s="22">
        <f>IF('Brouillard ventes'!$F$267="","",Paramètres!$B$7)</f>
        <v/>
      </c>
      <c r="H785" s="22">
        <f>IF('Brouillard ventes'!$F$267="","",IF('Brouillard ventes'!$C$267="","CD001",'Brouillard ventes'!$C$267))</f>
        <v/>
      </c>
      <c r="I785" s="22" t="inlineStr"/>
      <c r="J785" s="22" t="inlineStr"/>
      <c r="K785" s="22">
        <f>IF('Brouillard ventes'!$F$267="","",Paramètres!$B$11)</f>
        <v/>
      </c>
      <c r="L785" s="23">
        <f>IF('Brouillard ventes'!$F$267="","",'Brouillard ventes'!$I$267)</f>
        <v/>
      </c>
      <c r="M785" s="23" t="n">
        <v>0</v>
      </c>
    </row>
    <row r="786">
      <c r="A786" s="22" t="inlineStr">
        <is>
          <t>1</t>
        </is>
      </c>
      <c r="B786" s="22">
        <f>IF('Brouillard ventes'!$F$267="","","VD"&amp;TEXT(ROW('Brouillard ventes'!$F$267)-5,"00000"))</f>
        <v/>
      </c>
      <c r="C786" s="22">
        <f>IF('Brouillard ventes'!$F$267="","",YEAR('Brouillard ventes'!$A$267)*10000+MONTH('Brouillard ventes'!$A$267)*100+DAY('Brouillard ventes'!$A$267))</f>
        <v/>
      </c>
      <c r="D786" s="22">
        <f>IF('Brouillard ventes'!$F$267="","",'Brouillard ventes'!$B$267)</f>
        <v/>
      </c>
      <c r="E786" s="22">
        <f>IF('Brouillard ventes'!$F$267="","",LEFT('Brouillard ventes'!$D$267,30))</f>
        <v/>
      </c>
      <c r="F786" s="22" t="inlineStr">
        <is>
          <t>15001</t>
        </is>
      </c>
      <c r="G786" s="22">
        <f>IF('Brouillard ventes'!$F$267="","",IF('Brouillard ventes'!$E$267="Réparation",Paramètres!$B$9,Paramètres!$B$8))</f>
        <v/>
      </c>
      <c r="H786" s="22" t="inlineStr"/>
      <c r="I786" s="22" t="inlineStr"/>
      <c r="J786" s="22" t="inlineStr"/>
      <c r="K786" s="22">
        <f>IF('Brouillard ventes'!$F$267="","",Paramètres!$B$11)</f>
        <v/>
      </c>
      <c r="L786" s="23" t="n">
        <v>0</v>
      </c>
      <c r="M786" s="23">
        <f>IF('Brouillard ventes'!$F$267="","",'Brouillard ventes'!$F$267)</f>
        <v/>
      </c>
    </row>
    <row r="787">
      <c r="A787" s="22" t="inlineStr">
        <is>
          <t>1</t>
        </is>
      </c>
      <c r="B787" s="22">
        <f>IF('Brouillard ventes'!$F$267="","","VD"&amp;TEXT(ROW('Brouillard ventes'!$F$267)-5,"00000"))</f>
        <v/>
      </c>
      <c r="C787" s="22">
        <f>IF('Brouillard ventes'!$F$267="","",YEAR('Brouillard ventes'!$A$267)*10000+MONTH('Brouillard ventes'!$A$267)*100+DAY('Brouillard ventes'!$A$267))</f>
        <v/>
      </c>
      <c r="D787" s="22">
        <f>IF('Brouillard ventes'!$F$267="","",'Brouillard ventes'!$B$267)</f>
        <v/>
      </c>
      <c r="E787" s="22">
        <f>IF('Brouillard ventes'!$F$267="","",LEFT('Brouillard ventes'!$D$267,30))</f>
        <v/>
      </c>
      <c r="F787" s="22" t="inlineStr">
        <is>
          <t>15001</t>
        </is>
      </c>
      <c r="G787" s="22">
        <f>IF('Brouillard ventes'!$F$267="","",Paramètres!$B$10)</f>
        <v/>
      </c>
      <c r="H787" s="22" t="inlineStr"/>
      <c r="I787" s="22" t="inlineStr"/>
      <c r="J787" s="22" t="inlineStr"/>
      <c r="K787" s="22">
        <f>IF('Brouillard ventes'!$F$267="","",Paramètres!$B$11)</f>
        <v/>
      </c>
      <c r="L787" s="23" t="n">
        <v>0</v>
      </c>
      <c r="M787" s="23">
        <f>IF('Brouillard ventes'!$F$267="","",'Brouillard ventes'!$H$267)</f>
        <v/>
      </c>
    </row>
    <row r="788">
      <c r="A788" s="22" t="inlineStr">
        <is>
          <t>1</t>
        </is>
      </c>
      <c r="B788" s="22">
        <f>IF('Brouillard ventes'!$F$268="","","VD"&amp;TEXT(ROW('Brouillard ventes'!$F$268)-5,"00000"))</f>
        <v/>
      </c>
      <c r="C788" s="22">
        <f>IF('Brouillard ventes'!$F$268="","",YEAR('Brouillard ventes'!$A$268)*10000+MONTH('Brouillard ventes'!$A$268)*100+DAY('Brouillard ventes'!$A$268))</f>
        <v/>
      </c>
      <c r="D788" s="22">
        <f>IF('Brouillard ventes'!$F$268="","",'Brouillard ventes'!$B$268)</f>
        <v/>
      </c>
      <c r="E788" s="22">
        <f>IF('Brouillard ventes'!$F$268="","",LEFT('Brouillard ventes'!$D$268,30))</f>
        <v/>
      </c>
      <c r="F788" s="22" t="inlineStr">
        <is>
          <t>15001</t>
        </is>
      </c>
      <c r="G788" s="22">
        <f>IF('Brouillard ventes'!$F$268="","",Paramètres!$B$7)</f>
        <v/>
      </c>
      <c r="H788" s="22">
        <f>IF('Brouillard ventes'!$F$268="","",IF('Brouillard ventes'!$C$268="","CD001",'Brouillard ventes'!$C$268))</f>
        <v/>
      </c>
      <c r="I788" s="22" t="inlineStr"/>
      <c r="J788" s="22" t="inlineStr"/>
      <c r="K788" s="22">
        <f>IF('Brouillard ventes'!$F$268="","",Paramètres!$B$11)</f>
        <v/>
      </c>
      <c r="L788" s="23">
        <f>IF('Brouillard ventes'!$F$268="","",'Brouillard ventes'!$I$268)</f>
        <v/>
      </c>
      <c r="M788" s="23" t="n">
        <v>0</v>
      </c>
    </row>
    <row r="789">
      <c r="A789" s="22" t="inlineStr">
        <is>
          <t>1</t>
        </is>
      </c>
      <c r="B789" s="22">
        <f>IF('Brouillard ventes'!$F$268="","","VD"&amp;TEXT(ROW('Brouillard ventes'!$F$268)-5,"00000"))</f>
        <v/>
      </c>
      <c r="C789" s="22">
        <f>IF('Brouillard ventes'!$F$268="","",YEAR('Brouillard ventes'!$A$268)*10000+MONTH('Brouillard ventes'!$A$268)*100+DAY('Brouillard ventes'!$A$268))</f>
        <v/>
      </c>
      <c r="D789" s="22">
        <f>IF('Brouillard ventes'!$F$268="","",'Brouillard ventes'!$B$268)</f>
        <v/>
      </c>
      <c r="E789" s="22">
        <f>IF('Brouillard ventes'!$F$268="","",LEFT('Brouillard ventes'!$D$268,30))</f>
        <v/>
      </c>
      <c r="F789" s="22" t="inlineStr">
        <is>
          <t>15001</t>
        </is>
      </c>
      <c r="G789" s="22">
        <f>IF('Brouillard ventes'!$F$268="","",IF('Brouillard ventes'!$E$268="Réparation",Paramètres!$B$9,Paramètres!$B$8))</f>
        <v/>
      </c>
      <c r="H789" s="22" t="inlineStr"/>
      <c r="I789" s="22" t="inlineStr"/>
      <c r="J789" s="22" t="inlineStr"/>
      <c r="K789" s="22">
        <f>IF('Brouillard ventes'!$F$268="","",Paramètres!$B$11)</f>
        <v/>
      </c>
      <c r="L789" s="23" t="n">
        <v>0</v>
      </c>
      <c r="M789" s="23">
        <f>IF('Brouillard ventes'!$F$268="","",'Brouillard ventes'!$F$268)</f>
        <v/>
      </c>
    </row>
    <row r="790">
      <c r="A790" s="22" t="inlineStr">
        <is>
          <t>1</t>
        </is>
      </c>
      <c r="B790" s="22">
        <f>IF('Brouillard ventes'!$F$268="","","VD"&amp;TEXT(ROW('Brouillard ventes'!$F$268)-5,"00000"))</f>
        <v/>
      </c>
      <c r="C790" s="22">
        <f>IF('Brouillard ventes'!$F$268="","",YEAR('Brouillard ventes'!$A$268)*10000+MONTH('Brouillard ventes'!$A$268)*100+DAY('Brouillard ventes'!$A$268))</f>
        <v/>
      </c>
      <c r="D790" s="22">
        <f>IF('Brouillard ventes'!$F$268="","",'Brouillard ventes'!$B$268)</f>
        <v/>
      </c>
      <c r="E790" s="22">
        <f>IF('Brouillard ventes'!$F$268="","",LEFT('Brouillard ventes'!$D$268,30))</f>
        <v/>
      </c>
      <c r="F790" s="22" t="inlineStr">
        <is>
          <t>15001</t>
        </is>
      </c>
      <c r="G790" s="22">
        <f>IF('Brouillard ventes'!$F$268="","",Paramètres!$B$10)</f>
        <v/>
      </c>
      <c r="H790" s="22" t="inlineStr"/>
      <c r="I790" s="22" t="inlineStr"/>
      <c r="J790" s="22" t="inlineStr"/>
      <c r="K790" s="22">
        <f>IF('Brouillard ventes'!$F$268="","",Paramètres!$B$11)</f>
        <v/>
      </c>
      <c r="L790" s="23" t="n">
        <v>0</v>
      </c>
      <c r="M790" s="23">
        <f>IF('Brouillard ventes'!$F$268="","",'Brouillard ventes'!$H$268)</f>
        <v/>
      </c>
    </row>
    <row r="791">
      <c r="A791" s="22" t="inlineStr">
        <is>
          <t>1</t>
        </is>
      </c>
      <c r="B791" s="22">
        <f>IF('Brouillard ventes'!$F$269="","","VD"&amp;TEXT(ROW('Brouillard ventes'!$F$269)-5,"00000"))</f>
        <v/>
      </c>
      <c r="C791" s="22">
        <f>IF('Brouillard ventes'!$F$269="","",YEAR('Brouillard ventes'!$A$269)*10000+MONTH('Brouillard ventes'!$A$269)*100+DAY('Brouillard ventes'!$A$269))</f>
        <v/>
      </c>
      <c r="D791" s="22">
        <f>IF('Brouillard ventes'!$F$269="","",'Brouillard ventes'!$B$269)</f>
        <v/>
      </c>
      <c r="E791" s="22">
        <f>IF('Brouillard ventes'!$F$269="","",LEFT('Brouillard ventes'!$D$269,30))</f>
        <v/>
      </c>
      <c r="F791" s="22" t="inlineStr">
        <is>
          <t>15001</t>
        </is>
      </c>
      <c r="G791" s="22">
        <f>IF('Brouillard ventes'!$F$269="","",Paramètres!$B$7)</f>
        <v/>
      </c>
      <c r="H791" s="22">
        <f>IF('Brouillard ventes'!$F$269="","",IF('Brouillard ventes'!$C$269="","CD001",'Brouillard ventes'!$C$269))</f>
        <v/>
      </c>
      <c r="I791" s="22" t="inlineStr"/>
      <c r="J791" s="22" t="inlineStr"/>
      <c r="K791" s="22">
        <f>IF('Brouillard ventes'!$F$269="","",Paramètres!$B$11)</f>
        <v/>
      </c>
      <c r="L791" s="23">
        <f>IF('Brouillard ventes'!$F$269="","",'Brouillard ventes'!$I$269)</f>
        <v/>
      </c>
      <c r="M791" s="23" t="n">
        <v>0</v>
      </c>
    </row>
    <row r="792">
      <c r="A792" s="22" t="inlineStr">
        <is>
          <t>1</t>
        </is>
      </c>
      <c r="B792" s="22">
        <f>IF('Brouillard ventes'!$F$269="","","VD"&amp;TEXT(ROW('Brouillard ventes'!$F$269)-5,"00000"))</f>
        <v/>
      </c>
      <c r="C792" s="22">
        <f>IF('Brouillard ventes'!$F$269="","",YEAR('Brouillard ventes'!$A$269)*10000+MONTH('Brouillard ventes'!$A$269)*100+DAY('Brouillard ventes'!$A$269))</f>
        <v/>
      </c>
      <c r="D792" s="22">
        <f>IF('Brouillard ventes'!$F$269="","",'Brouillard ventes'!$B$269)</f>
        <v/>
      </c>
      <c r="E792" s="22">
        <f>IF('Brouillard ventes'!$F$269="","",LEFT('Brouillard ventes'!$D$269,30))</f>
        <v/>
      </c>
      <c r="F792" s="22" t="inlineStr">
        <is>
          <t>15001</t>
        </is>
      </c>
      <c r="G792" s="22">
        <f>IF('Brouillard ventes'!$F$269="","",IF('Brouillard ventes'!$E$269="Réparation",Paramètres!$B$9,Paramètres!$B$8))</f>
        <v/>
      </c>
      <c r="H792" s="22" t="inlineStr"/>
      <c r="I792" s="22" t="inlineStr"/>
      <c r="J792" s="22" t="inlineStr"/>
      <c r="K792" s="22">
        <f>IF('Brouillard ventes'!$F$269="","",Paramètres!$B$11)</f>
        <v/>
      </c>
      <c r="L792" s="23" t="n">
        <v>0</v>
      </c>
      <c r="M792" s="23">
        <f>IF('Brouillard ventes'!$F$269="","",'Brouillard ventes'!$F$269)</f>
        <v/>
      </c>
    </row>
    <row r="793">
      <c r="A793" s="22" t="inlineStr">
        <is>
          <t>1</t>
        </is>
      </c>
      <c r="B793" s="22">
        <f>IF('Brouillard ventes'!$F$269="","","VD"&amp;TEXT(ROW('Brouillard ventes'!$F$269)-5,"00000"))</f>
        <v/>
      </c>
      <c r="C793" s="22">
        <f>IF('Brouillard ventes'!$F$269="","",YEAR('Brouillard ventes'!$A$269)*10000+MONTH('Brouillard ventes'!$A$269)*100+DAY('Brouillard ventes'!$A$269))</f>
        <v/>
      </c>
      <c r="D793" s="22">
        <f>IF('Brouillard ventes'!$F$269="","",'Brouillard ventes'!$B$269)</f>
        <v/>
      </c>
      <c r="E793" s="22">
        <f>IF('Brouillard ventes'!$F$269="","",LEFT('Brouillard ventes'!$D$269,30))</f>
        <v/>
      </c>
      <c r="F793" s="22" t="inlineStr">
        <is>
          <t>15001</t>
        </is>
      </c>
      <c r="G793" s="22">
        <f>IF('Brouillard ventes'!$F$269="","",Paramètres!$B$10)</f>
        <v/>
      </c>
      <c r="H793" s="22" t="inlineStr"/>
      <c r="I793" s="22" t="inlineStr"/>
      <c r="J793" s="22" t="inlineStr"/>
      <c r="K793" s="22">
        <f>IF('Brouillard ventes'!$F$269="","",Paramètres!$B$11)</f>
        <v/>
      </c>
      <c r="L793" s="23" t="n">
        <v>0</v>
      </c>
      <c r="M793" s="23">
        <f>IF('Brouillard ventes'!$F$269="","",'Brouillard ventes'!$H$269)</f>
        <v/>
      </c>
    </row>
    <row r="794">
      <c r="A794" s="22" t="inlineStr">
        <is>
          <t>1</t>
        </is>
      </c>
      <c r="B794" s="22">
        <f>IF('Brouillard ventes'!$F$270="","","VD"&amp;TEXT(ROW('Brouillard ventes'!$F$270)-5,"00000"))</f>
        <v/>
      </c>
      <c r="C794" s="22">
        <f>IF('Brouillard ventes'!$F$270="","",YEAR('Brouillard ventes'!$A$270)*10000+MONTH('Brouillard ventes'!$A$270)*100+DAY('Brouillard ventes'!$A$270))</f>
        <v/>
      </c>
      <c r="D794" s="22">
        <f>IF('Brouillard ventes'!$F$270="","",'Brouillard ventes'!$B$270)</f>
        <v/>
      </c>
      <c r="E794" s="22">
        <f>IF('Brouillard ventes'!$F$270="","",LEFT('Brouillard ventes'!$D$270,30))</f>
        <v/>
      </c>
      <c r="F794" s="22" t="inlineStr">
        <is>
          <t>15001</t>
        </is>
      </c>
      <c r="G794" s="22">
        <f>IF('Brouillard ventes'!$F$270="","",Paramètres!$B$7)</f>
        <v/>
      </c>
      <c r="H794" s="22">
        <f>IF('Brouillard ventes'!$F$270="","",IF('Brouillard ventes'!$C$270="","CD001",'Brouillard ventes'!$C$270))</f>
        <v/>
      </c>
      <c r="I794" s="22" t="inlineStr"/>
      <c r="J794" s="22" t="inlineStr"/>
      <c r="K794" s="22">
        <f>IF('Brouillard ventes'!$F$270="","",Paramètres!$B$11)</f>
        <v/>
      </c>
      <c r="L794" s="23">
        <f>IF('Brouillard ventes'!$F$270="","",'Brouillard ventes'!$I$270)</f>
        <v/>
      </c>
      <c r="M794" s="23" t="n">
        <v>0</v>
      </c>
    </row>
    <row r="795">
      <c r="A795" s="22" t="inlineStr">
        <is>
          <t>1</t>
        </is>
      </c>
      <c r="B795" s="22">
        <f>IF('Brouillard ventes'!$F$270="","","VD"&amp;TEXT(ROW('Brouillard ventes'!$F$270)-5,"00000"))</f>
        <v/>
      </c>
      <c r="C795" s="22">
        <f>IF('Brouillard ventes'!$F$270="","",YEAR('Brouillard ventes'!$A$270)*10000+MONTH('Brouillard ventes'!$A$270)*100+DAY('Brouillard ventes'!$A$270))</f>
        <v/>
      </c>
      <c r="D795" s="22">
        <f>IF('Brouillard ventes'!$F$270="","",'Brouillard ventes'!$B$270)</f>
        <v/>
      </c>
      <c r="E795" s="22">
        <f>IF('Brouillard ventes'!$F$270="","",LEFT('Brouillard ventes'!$D$270,30))</f>
        <v/>
      </c>
      <c r="F795" s="22" t="inlineStr">
        <is>
          <t>15001</t>
        </is>
      </c>
      <c r="G795" s="22">
        <f>IF('Brouillard ventes'!$F$270="","",IF('Brouillard ventes'!$E$270="Réparation",Paramètres!$B$9,Paramètres!$B$8))</f>
        <v/>
      </c>
      <c r="H795" s="22" t="inlineStr"/>
      <c r="I795" s="22" t="inlineStr"/>
      <c r="J795" s="22" t="inlineStr"/>
      <c r="K795" s="22">
        <f>IF('Brouillard ventes'!$F$270="","",Paramètres!$B$11)</f>
        <v/>
      </c>
      <c r="L795" s="23" t="n">
        <v>0</v>
      </c>
      <c r="M795" s="23">
        <f>IF('Brouillard ventes'!$F$270="","",'Brouillard ventes'!$F$270)</f>
        <v/>
      </c>
    </row>
    <row r="796">
      <c r="A796" s="22" t="inlineStr">
        <is>
          <t>1</t>
        </is>
      </c>
      <c r="B796" s="22">
        <f>IF('Brouillard ventes'!$F$270="","","VD"&amp;TEXT(ROW('Brouillard ventes'!$F$270)-5,"00000"))</f>
        <v/>
      </c>
      <c r="C796" s="22">
        <f>IF('Brouillard ventes'!$F$270="","",YEAR('Brouillard ventes'!$A$270)*10000+MONTH('Brouillard ventes'!$A$270)*100+DAY('Brouillard ventes'!$A$270))</f>
        <v/>
      </c>
      <c r="D796" s="22">
        <f>IF('Brouillard ventes'!$F$270="","",'Brouillard ventes'!$B$270)</f>
        <v/>
      </c>
      <c r="E796" s="22">
        <f>IF('Brouillard ventes'!$F$270="","",LEFT('Brouillard ventes'!$D$270,30))</f>
        <v/>
      </c>
      <c r="F796" s="22" t="inlineStr">
        <is>
          <t>15001</t>
        </is>
      </c>
      <c r="G796" s="22">
        <f>IF('Brouillard ventes'!$F$270="","",Paramètres!$B$10)</f>
        <v/>
      </c>
      <c r="H796" s="22" t="inlineStr"/>
      <c r="I796" s="22" t="inlineStr"/>
      <c r="J796" s="22" t="inlineStr"/>
      <c r="K796" s="22">
        <f>IF('Brouillard ventes'!$F$270="","",Paramètres!$B$11)</f>
        <v/>
      </c>
      <c r="L796" s="23" t="n">
        <v>0</v>
      </c>
      <c r="M796" s="23">
        <f>IF('Brouillard ventes'!$F$270="","",'Brouillard ventes'!$H$270)</f>
        <v/>
      </c>
    </row>
    <row r="797">
      <c r="A797" s="22" t="inlineStr">
        <is>
          <t>1</t>
        </is>
      </c>
      <c r="B797" s="22">
        <f>IF('Brouillard ventes'!$F$271="","","VD"&amp;TEXT(ROW('Brouillard ventes'!$F$271)-5,"00000"))</f>
        <v/>
      </c>
      <c r="C797" s="22">
        <f>IF('Brouillard ventes'!$F$271="","",YEAR('Brouillard ventes'!$A$271)*10000+MONTH('Brouillard ventes'!$A$271)*100+DAY('Brouillard ventes'!$A$271))</f>
        <v/>
      </c>
      <c r="D797" s="22">
        <f>IF('Brouillard ventes'!$F$271="","",'Brouillard ventes'!$B$271)</f>
        <v/>
      </c>
      <c r="E797" s="22">
        <f>IF('Brouillard ventes'!$F$271="","",LEFT('Brouillard ventes'!$D$271,30))</f>
        <v/>
      </c>
      <c r="F797" s="22" t="inlineStr">
        <is>
          <t>15001</t>
        </is>
      </c>
      <c r="G797" s="22">
        <f>IF('Brouillard ventes'!$F$271="","",Paramètres!$B$7)</f>
        <v/>
      </c>
      <c r="H797" s="22">
        <f>IF('Brouillard ventes'!$F$271="","",IF('Brouillard ventes'!$C$271="","CD001",'Brouillard ventes'!$C$271))</f>
        <v/>
      </c>
      <c r="I797" s="22" t="inlineStr"/>
      <c r="J797" s="22" t="inlineStr"/>
      <c r="K797" s="22">
        <f>IF('Brouillard ventes'!$F$271="","",Paramètres!$B$11)</f>
        <v/>
      </c>
      <c r="L797" s="23">
        <f>IF('Brouillard ventes'!$F$271="","",'Brouillard ventes'!$I$271)</f>
        <v/>
      </c>
      <c r="M797" s="23" t="n">
        <v>0</v>
      </c>
    </row>
    <row r="798">
      <c r="A798" s="22" t="inlineStr">
        <is>
          <t>1</t>
        </is>
      </c>
      <c r="B798" s="22">
        <f>IF('Brouillard ventes'!$F$271="","","VD"&amp;TEXT(ROW('Brouillard ventes'!$F$271)-5,"00000"))</f>
        <v/>
      </c>
      <c r="C798" s="22">
        <f>IF('Brouillard ventes'!$F$271="","",YEAR('Brouillard ventes'!$A$271)*10000+MONTH('Brouillard ventes'!$A$271)*100+DAY('Brouillard ventes'!$A$271))</f>
        <v/>
      </c>
      <c r="D798" s="22">
        <f>IF('Brouillard ventes'!$F$271="","",'Brouillard ventes'!$B$271)</f>
        <v/>
      </c>
      <c r="E798" s="22">
        <f>IF('Brouillard ventes'!$F$271="","",LEFT('Brouillard ventes'!$D$271,30))</f>
        <v/>
      </c>
      <c r="F798" s="22" t="inlineStr">
        <is>
          <t>15001</t>
        </is>
      </c>
      <c r="G798" s="22">
        <f>IF('Brouillard ventes'!$F$271="","",IF('Brouillard ventes'!$E$271="Réparation",Paramètres!$B$9,Paramètres!$B$8))</f>
        <v/>
      </c>
      <c r="H798" s="22" t="inlineStr"/>
      <c r="I798" s="22" t="inlineStr"/>
      <c r="J798" s="22" t="inlineStr"/>
      <c r="K798" s="22">
        <f>IF('Brouillard ventes'!$F$271="","",Paramètres!$B$11)</f>
        <v/>
      </c>
      <c r="L798" s="23" t="n">
        <v>0</v>
      </c>
      <c r="M798" s="23">
        <f>IF('Brouillard ventes'!$F$271="","",'Brouillard ventes'!$F$271)</f>
        <v/>
      </c>
    </row>
    <row r="799">
      <c r="A799" s="22" t="inlineStr">
        <is>
          <t>1</t>
        </is>
      </c>
      <c r="B799" s="22">
        <f>IF('Brouillard ventes'!$F$271="","","VD"&amp;TEXT(ROW('Brouillard ventes'!$F$271)-5,"00000"))</f>
        <v/>
      </c>
      <c r="C799" s="22">
        <f>IF('Brouillard ventes'!$F$271="","",YEAR('Brouillard ventes'!$A$271)*10000+MONTH('Brouillard ventes'!$A$271)*100+DAY('Brouillard ventes'!$A$271))</f>
        <v/>
      </c>
      <c r="D799" s="22">
        <f>IF('Brouillard ventes'!$F$271="","",'Brouillard ventes'!$B$271)</f>
        <v/>
      </c>
      <c r="E799" s="22">
        <f>IF('Brouillard ventes'!$F$271="","",LEFT('Brouillard ventes'!$D$271,30))</f>
        <v/>
      </c>
      <c r="F799" s="22" t="inlineStr">
        <is>
          <t>15001</t>
        </is>
      </c>
      <c r="G799" s="22">
        <f>IF('Brouillard ventes'!$F$271="","",Paramètres!$B$10)</f>
        <v/>
      </c>
      <c r="H799" s="22" t="inlineStr"/>
      <c r="I799" s="22" t="inlineStr"/>
      <c r="J799" s="22" t="inlineStr"/>
      <c r="K799" s="22">
        <f>IF('Brouillard ventes'!$F$271="","",Paramètres!$B$11)</f>
        <v/>
      </c>
      <c r="L799" s="23" t="n">
        <v>0</v>
      </c>
      <c r="M799" s="23">
        <f>IF('Brouillard ventes'!$F$271="","",'Brouillard ventes'!$H$271)</f>
        <v/>
      </c>
    </row>
    <row r="800">
      <c r="A800" s="22" t="inlineStr">
        <is>
          <t>1</t>
        </is>
      </c>
      <c r="B800" s="22">
        <f>IF('Brouillard ventes'!$F$272="","","VD"&amp;TEXT(ROW('Brouillard ventes'!$F$272)-5,"00000"))</f>
        <v/>
      </c>
      <c r="C800" s="22">
        <f>IF('Brouillard ventes'!$F$272="","",YEAR('Brouillard ventes'!$A$272)*10000+MONTH('Brouillard ventes'!$A$272)*100+DAY('Brouillard ventes'!$A$272))</f>
        <v/>
      </c>
      <c r="D800" s="22">
        <f>IF('Brouillard ventes'!$F$272="","",'Brouillard ventes'!$B$272)</f>
        <v/>
      </c>
      <c r="E800" s="22">
        <f>IF('Brouillard ventes'!$F$272="","",LEFT('Brouillard ventes'!$D$272,30))</f>
        <v/>
      </c>
      <c r="F800" s="22" t="inlineStr">
        <is>
          <t>15001</t>
        </is>
      </c>
      <c r="G800" s="22">
        <f>IF('Brouillard ventes'!$F$272="","",Paramètres!$B$7)</f>
        <v/>
      </c>
      <c r="H800" s="22">
        <f>IF('Brouillard ventes'!$F$272="","",IF('Brouillard ventes'!$C$272="","CD001",'Brouillard ventes'!$C$272))</f>
        <v/>
      </c>
      <c r="I800" s="22" t="inlineStr"/>
      <c r="J800" s="22" t="inlineStr"/>
      <c r="K800" s="22">
        <f>IF('Brouillard ventes'!$F$272="","",Paramètres!$B$11)</f>
        <v/>
      </c>
      <c r="L800" s="23">
        <f>IF('Brouillard ventes'!$F$272="","",'Brouillard ventes'!$I$272)</f>
        <v/>
      </c>
      <c r="M800" s="23" t="n">
        <v>0</v>
      </c>
    </row>
    <row r="801">
      <c r="A801" s="22" t="inlineStr">
        <is>
          <t>1</t>
        </is>
      </c>
      <c r="B801" s="22">
        <f>IF('Brouillard ventes'!$F$272="","","VD"&amp;TEXT(ROW('Brouillard ventes'!$F$272)-5,"00000"))</f>
        <v/>
      </c>
      <c r="C801" s="22">
        <f>IF('Brouillard ventes'!$F$272="","",YEAR('Brouillard ventes'!$A$272)*10000+MONTH('Brouillard ventes'!$A$272)*100+DAY('Brouillard ventes'!$A$272))</f>
        <v/>
      </c>
      <c r="D801" s="22">
        <f>IF('Brouillard ventes'!$F$272="","",'Brouillard ventes'!$B$272)</f>
        <v/>
      </c>
      <c r="E801" s="22">
        <f>IF('Brouillard ventes'!$F$272="","",LEFT('Brouillard ventes'!$D$272,30))</f>
        <v/>
      </c>
      <c r="F801" s="22" t="inlineStr">
        <is>
          <t>15001</t>
        </is>
      </c>
      <c r="G801" s="22">
        <f>IF('Brouillard ventes'!$F$272="","",IF('Brouillard ventes'!$E$272="Réparation",Paramètres!$B$9,Paramètres!$B$8))</f>
        <v/>
      </c>
      <c r="H801" s="22" t="inlineStr"/>
      <c r="I801" s="22" t="inlineStr"/>
      <c r="J801" s="22" t="inlineStr"/>
      <c r="K801" s="22">
        <f>IF('Brouillard ventes'!$F$272="","",Paramètres!$B$11)</f>
        <v/>
      </c>
      <c r="L801" s="23" t="n">
        <v>0</v>
      </c>
      <c r="M801" s="23">
        <f>IF('Brouillard ventes'!$F$272="","",'Brouillard ventes'!$F$272)</f>
        <v/>
      </c>
    </row>
    <row r="802">
      <c r="A802" s="22" t="inlineStr">
        <is>
          <t>1</t>
        </is>
      </c>
      <c r="B802" s="22">
        <f>IF('Brouillard ventes'!$F$272="","","VD"&amp;TEXT(ROW('Brouillard ventes'!$F$272)-5,"00000"))</f>
        <v/>
      </c>
      <c r="C802" s="22">
        <f>IF('Brouillard ventes'!$F$272="","",YEAR('Brouillard ventes'!$A$272)*10000+MONTH('Brouillard ventes'!$A$272)*100+DAY('Brouillard ventes'!$A$272))</f>
        <v/>
      </c>
      <c r="D802" s="22">
        <f>IF('Brouillard ventes'!$F$272="","",'Brouillard ventes'!$B$272)</f>
        <v/>
      </c>
      <c r="E802" s="22">
        <f>IF('Brouillard ventes'!$F$272="","",LEFT('Brouillard ventes'!$D$272,30))</f>
        <v/>
      </c>
      <c r="F802" s="22" t="inlineStr">
        <is>
          <t>15001</t>
        </is>
      </c>
      <c r="G802" s="22">
        <f>IF('Brouillard ventes'!$F$272="","",Paramètres!$B$10)</f>
        <v/>
      </c>
      <c r="H802" s="22" t="inlineStr"/>
      <c r="I802" s="22" t="inlineStr"/>
      <c r="J802" s="22" t="inlineStr"/>
      <c r="K802" s="22">
        <f>IF('Brouillard ventes'!$F$272="","",Paramètres!$B$11)</f>
        <v/>
      </c>
      <c r="L802" s="23" t="n">
        <v>0</v>
      </c>
      <c r="M802" s="23">
        <f>IF('Brouillard ventes'!$F$272="","",'Brouillard ventes'!$H$272)</f>
        <v/>
      </c>
    </row>
    <row r="803">
      <c r="A803" s="22" t="inlineStr">
        <is>
          <t>1</t>
        </is>
      </c>
      <c r="B803" s="22">
        <f>IF('Brouillard ventes'!$F$273="","","VD"&amp;TEXT(ROW('Brouillard ventes'!$F$273)-5,"00000"))</f>
        <v/>
      </c>
      <c r="C803" s="22">
        <f>IF('Brouillard ventes'!$F$273="","",YEAR('Brouillard ventes'!$A$273)*10000+MONTH('Brouillard ventes'!$A$273)*100+DAY('Brouillard ventes'!$A$273))</f>
        <v/>
      </c>
      <c r="D803" s="22">
        <f>IF('Brouillard ventes'!$F$273="","",'Brouillard ventes'!$B$273)</f>
        <v/>
      </c>
      <c r="E803" s="22">
        <f>IF('Brouillard ventes'!$F$273="","",LEFT('Brouillard ventes'!$D$273,30))</f>
        <v/>
      </c>
      <c r="F803" s="22" t="inlineStr">
        <is>
          <t>15001</t>
        </is>
      </c>
      <c r="G803" s="22">
        <f>IF('Brouillard ventes'!$F$273="","",Paramètres!$B$7)</f>
        <v/>
      </c>
      <c r="H803" s="22">
        <f>IF('Brouillard ventes'!$F$273="","",IF('Brouillard ventes'!$C$273="","CD001",'Brouillard ventes'!$C$273))</f>
        <v/>
      </c>
      <c r="I803" s="22" t="inlineStr"/>
      <c r="J803" s="22" t="inlineStr"/>
      <c r="K803" s="22">
        <f>IF('Brouillard ventes'!$F$273="","",Paramètres!$B$11)</f>
        <v/>
      </c>
      <c r="L803" s="23">
        <f>IF('Brouillard ventes'!$F$273="","",'Brouillard ventes'!$I$273)</f>
        <v/>
      </c>
      <c r="M803" s="23" t="n">
        <v>0</v>
      </c>
    </row>
    <row r="804">
      <c r="A804" s="22" t="inlineStr">
        <is>
          <t>1</t>
        </is>
      </c>
      <c r="B804" s="22">
        <f>IF('Brouillard ventes'!$F$273="","","VD"&amp;TEXT(ROW('Brouillard ventes'!$F$273)-5,"00000"))</f>
        <v/>
      </c>
      <c r="C804" s="22">
        <f>IF('Brouillard ventes'!$F$273="","",YEAR('Brouillard ventes'!$A$273)*10000+MONTH('Brouillard ventes'!$A$273)*100+DAY('Brouillard ventes'!$A$273))</f>
        <v/>
      </c>
      <c r="D804" s="22">
        <f>IF('Brouillard ventes'!$F$273="","",'Brouillard ventes'!$B$273)</f>
        <v/>
      </c>
      <c r="E804" s="22">
        <f>IF('Brouillard ventes'!$F$273="","",LEFT('Brouillard ventes'!$D$273,30))</f>
        <v/>
      </c>
      <c r="F804" s="22" t="inlineStr">
        <is>
          <t>15001</t>
        </is>
      </c>
      <c r="G804" s="22">
        <f>IF('Brouillard ventes'!$F$273="","",IF('Brouillard ventes'!$E$273="Réparation",Paramètres!$B$9,Paramètres!$B$8))</f>
        <v/>
      </c>
      <c r="H804" s="22" t="inlineStr"/>
      <c r="I804" s="22" t="inlineStr"/>
      <c r="J804" s="22" t="inlineStr"/>
      <c r="K804" s="22">
        <f>IF('Brouillard ventes'!$F$273="","",Paramètres!$B$11)</f>
        <v/>
      </c>
      <c r="L804" s="23" t="n">
        <v>0</v>
      </c>
      <c r="M804" s="23">
        <f>IF('Brouillard ventes'!$F$273="","",'Brouillard ventes'!$F$273)</f>
        <v/>
      </c>
    </row>
    <row r="805">
      <c r="A805" s="22" t="inlineStr">
        <is>
          <t>1</t>
        </is>
      </c>
      <c r="B805" s="22">
        <f>IF('Brouillard ventes'!$F$273="","","VD"&amp;TEXT(ROW('Brouillard ventes'!$F$273)-5,"00000"))</f>
        <v/>
      </c>
      <c r="C805" s="22">
        <f>IF('Brouillard ventes'!$F$273="","",YEAR('Brouillard ventes'!$A$273)*10000+MONTH('Brouillard ventes'!$A$273)*100+DAY('Brouillard ventes'!$A$273))</f>
        <v/>
      </c>
      <c r="D805" s="22">
        <f>IF('Brouillard ventes'!$F$273="","",'Brouillard ventes'!$B$273)</f>
        <v/>
      </c>
      <c r="E805" s="22">
        <f>IF('Brouillard ventes'!$F$273="","",LEFT('Brouillard ventes'!$D$273,30))</f>
        <v/>
      </c>
      <c r="F805" s="22" t="inlineStr">
        <is>
          <t>15001</t>
        </is>
      </c>
      <c r="G805" s="22">
        <f>IF('Brouillard ventes'!$F$273="","",Paramètres!$B$10)</f>
        <v/>
      </c>
      <c r="H805" s="22" t="inlineStr"/>
      <c r="I805" s="22" t="inlineStr"/>
      <c r="J805" s="22" t="inlineStr"/>
      <c r="K805" s="22">
        <f>IF('Brouillard ventes'!$F$273="","",Paramètres!$B$11)</f>
        <v/>
      </c>
      <c r="L805" s="23" t="n">
        <v>0</v>
      </c>
      <c r="M805" s="23">
        <f>IF('Brouillard ventes'!$F$273="","",'Brouillard ventes'!$H$273)</f>
        <v/>
      </c>
    </row>
    <row r="806">
      <c r="A806" s="22" t="inlineStr">
        <is>
          <t>1</t>
        </is>
      </c>
      <c r="B806" s="22">
        <f>IF('Brouillard ventes'!$F$274="","","VD"&amp;TEXT(ROW('Brouillard ventes'!$F$274)-5,"00000"))</f>
        <v/>
      </c>
      <c r="C806" s="22">
        <f>IF('Brouillard ventes'!$F$274="","",YEAR('Brouillard ventes'!$A$274)*10000+MONTH('Brouillard ventes'!$A$274)*100+DAY('Brouillard ventes'!$A$274))</f>
        <v/>
      </c>
      <c r="D806" s="22">
        <f>IF('Brouillard ventes'!$F$274="","",'Brouillard ventes'!$B$274)</f>
        <v/>
      </c>
      <c r="E806" s="22">
        <f>IF('Brouillard ventes'!$F$274="","",LEFT('Brouillard ventes'!$D$274,30))</f>
        <v/>
      </c>
      <c r="F806" s="22" t="inlineStr">
        <is>
          <t>15001</t>
        </is>
      </c>
      <c r="G806" s="22">
        <f>IF('Brouillard ventes'!$F$274="","",Paramètres!$B$7)</f>
        <v/>
      </c>
      <c r="H806" s="22">
        <f>IF('Brouillard ventes'!$F$274="","",IF('Brouillard ventes'!$C$274="","CD001",'Brouillard ventes'!$C$274))</f>
        <v/>
      </c>
      <c r="I806" s="22" t="inlineStr"/>
      <c r="J806" s="22" t="inlineStr"/>
      <c r="K806" s="22">
        <f>IF('Brouillard ventes'!$F$274="","",Paramètres!$B$11)</f>
        <v/>
      </c>
      <c r="L806" s="23">
        <f>IF('Brouillard ventes'!$F$274="","",'Brouillard ventes'!$I$274)</f>
        <v/>
      </c>
      <c r="M806" s="23" t="n">
        <v>0</v>
      </c>
    </row>
    <row r="807">
      <c r="A807" s="22" t="inlineStr">
        <is>
          <t>1</t>
        </is>
      </c>
      <c r="B807" s="22">
        <f>IF('Brouillard ventes'!$F$274="","","VD"&amp;TEXT(ROW('Brouillard ventes'!$F$274)-5,"00000"))</f>
        <v/>
      </c>
      <c r="C807" s="22">
        <f>IF('Brouillard ventes'!$F$274="","",YEAR('Brouillard ventes'!$A$274)*10000+MONTH('Brouillard ventes'!$A$274)*100+DAY('Brouillard ventes'!$A$274))</f>
        <v/>
      </c>
      <c r="D807" s="22">
        <f>IF('Brouillard ventes'!$F$274="","",'Brouillard ventes'!$B$274)</f>
        <v/>
      </c>
      <c r="E807" s="22">
        <f>IF('Brouillard ventes'!$F$274="","",LEFT('Brouillard ventes'!$D$274,30))</f>
        <v/>
      </c>
      <c r="F807" s="22" t="inlineStr">
        <is>
          <t>15001</t>
        </is>
      </c>
      <c r="G807" s="22">
        <f>IF('Brouillard ventes'!$F$274="","",IF('Brouillard ventes'!$E$274="Réparation",Paramètres!$B$9,Paramètres!$B$8))</f>
        <v/>
      </c>
      <c r="H807" s="22" t="inlineStr"/>
      <c r="I807" s="22" t="inlineStr"/>
      <c r="J807" s="22" t="inlineStr"/>
      <c r="K807" s="22">
        <f>IF('Brouillard ventes'!$F$274="","",Paramètres!$B$11)</f>
        <v/>
      </c>
      <c r="L807" s="23" t="n">
        <v>0</v>
      </c>
      <c r="M807" s="23">
        <f>IF('Brouillard ventes'!$F$274="","",'Brouillard ventes'!$F$274)</f>
        <v/>
      </c>
    </row>
    <row r="808">
      <c r="A808" s="22" t="inlineStr">
        <is>
          <t>1</t>
        </is>
      </c>
      <c r="B808" s="22">
        <f>IF('Brouillard ventes'!$F$274="","","VD"&amp;TEXT(ROW('Brouillard ventes'!$F$274)-5,"00000"))</f>
        <v/>
      </c>
      <c r="C808" s="22">
        <f>IF('Brouillard ventes'!$F$274="","",YEAR('Brouillard ventes'!$A$274)*10000+MONTH('Brouillard ventes'!$A$274)*100+DAY('Brouillard ventes'!$A$274))</f>
        <v/>
      </c>
      <c r="D808" s="22">
        <f>IF('Brouillard ventes'!$F$274="","",'Brouillard ventes'!$B$274)</f>
        <v/>
      </c>
      <c r="E808" s="22">
        <f>IF('Brouillard ventes'!$F$274="","",LEFT('Brouillard ventes'!$D$274,30))</f>
        <v/>
      </c>
      <c r="F808" s="22" t="inlineStr">
        <is>
          <t>15001</t>
        </is>
      </c>
      <c r="G808" s="22">
        <f>IF('Brouillard ventes'!$F$274="","",Paramètres!$B$10)</f>
        <v/>
      </c>
      <c r="H808" s="22" t="inlineStr"/>
      <c r="I808" s="22" t="inlineStr"/>
      <c r="J808" s="22" t="inlineStr"/>
      <c r="K808" s="22">
        <f>IF('Brouillard ventes'!$F$274="","",Paramètres!$B$11)</f>
        <v/>
      </c>
      <c r="L808" s="23" t="n">
        <v>0</v>
      </c>
      <c r="M808" s="23">
        <f>IF('Brouillard ventes'!$F$274="","",'Brouillard ventes'!$H$274)</f>
        <v/>
      </c>
    </row>
    <row r="809">
      <c r="A809" s="22" t="inlineStr">
        <is>
          <t>1</t>
        </is>
      </c>
      <c r="B809" s="22">
        <f>IF('Brouillard ventes'!$F$275="","","VD"&amp;TEXT(ROW('Brouillard ventes'!$F$275)-5,"00000"))</f>
        <v/>
      </c>
      <c r="C809" s="22">
        <f>IF('Brouillard ventes'!$F$275="","",YEAR('Brouillard ventes'!$A$275)*10000+MONTH('Brouillard ventes'!$A$275)*100+DAY('Brouillard ventes'!$A$275))</f>
        <v/>
      </c>
      <c r="D809" s="22">
        <f>IF('Brouillard ventes'!$F$275="","",'Brouillard ventes'!$B$275)</f>
        <v/>
      </c>
      <c r="E809" s="22">
        <f>IF('Brouillard ventes'!$F$275="","",LEFT('Brouillard ventes'!$D$275,30))</f>
        <v/>
      </c>
      <c r="F809" s="22" t="inlineStr">
        <is>
          <t>15001</t>
        </is>
      </c>
      <c r="G809" s="22">
        <f>IF('Brouillard ventes'!$F$275="","",Paramètres!$B$7)</f>
        <v/>
      </c>
      <c r="H809" s="22">
        <f>IF('Brouillard ventes'!$F$275="","",IF('Brouillard ventes'!$C$275="","CD001",'Brouillard ventes'!$C$275))</f>
        <v/>
      </c>
      <c r="I809" s="22" t="inlineStr"/>
      <c r="J809" s="22" t="inlineStr"/>
      <c r="K809" s="22">
        <f>IF('Brouillard ventes'!$F$275="","",Paramètres!$B$11)</f>
        <v/>
      </c>
      <c r="L809" s="23">
        <f>IF('Brouillard ventes'!$F$275="","",'Brouillard ventes'!$I$275)</f>
        <v/>
      </c>
      <c r="M809" s="23" t="n">
        <v>0</v>
      </c>
    </row>
    <row r="810">
      <c r="A810" s="22" t="inlineStr">
        <is>
          <t>1</t>
        </is>
      </c>
      <c r="B810" s="22">
        <f>IF('Brouillard ventes'!$F$275="","","VD"&amp;TEXT(ROW('Brouillard ventes'!$F$275)-5,"00000"))</f>
        <v/>
      </c>
      <c r="C810" s="22">
        <f>IF('Brouillard ventes'!$F$275="","",YEAR('Brouillard ventes'!$A$275)*10000+MONTH('Brouillard ventes'!$A$275)*100+DAY('Brouillard ventes'!$A$275))</f>
        <v/>
      </c>
      <c r="D810" s="22">
        <f>IF('Brouillard ventes'!$F$275="","",'Brouillard ventes'!$B$275)</f>
        <v/>
      </c>
      <c r="E810" s="22">
        <f>IF('Brouillard ventes'!$F$275="","",LEFT('Brouillard ventes'!$D$275,30))</f>
        <v/>
      </c>
      <c r="F810" s="22" t="inlineStr">
        <is>
          <t>15001</t>
        </is>
      </c>
      <c r="G810" s="22">
        <f>IF('Brouillard ventes'!$F$275="","",IF('Brouillard ventes'!$E$275="Réparation",Paramètres!$B$9,Paramètres!$B$8))</f>
        <v/>
      </c>
      <c r="H810" s="22" t="inlineStr"/>
      <c r="I810" s="22" t="inlineStr"/>
      <c r="J810" s="22" t="inlineStr"/>
      <c r="K810" s="22">
        <f>IF('Brouillard ventes'!$F$275="","",Paramètres!$B$11)</f>
        <v/>
      </c>
      <c r="L810" s="23" t="n">
        <v>0</v>
      </c>
      <c r="M810" s="23">
        <f>IF('Brouillard ventes'!$F$275="","",'Brouillard ventes'!$F$275)</f>
        <v/>
      </c>
    </row>
    <row r="811">
      <c r="A811" s="22" t="inlineStr">
        <is>
          <t>1</t>
        </is>
      </c>
      <c r="B811" s="22">
        <f>IF('Brouillard ventes'!$F$275="","","VD"&amp;TEXT(ROW('Brouillard ventes'!$F$275)-5,"00000"))</f>
        <v/>
      </c>
      <c r="C811" s="22">
        <f>IF('Brouillard ventes'!$F$275="","",YEAR('Brouillard ventes'!$A$275)*10000+MONTH('Brouillard ventes'!$A$275)*100+DAY('Brouillard ventes'!$A$275))</f>
        <v/>
      </c>
      <c r="D811" s="22">
        <f>IF('Brouillard ventes'!$F$275="","",'Brouillard ventes'!$B$275)</f>
        <v/>
      </c>
      <c r="E811" s="22">
        <f>IF('Brouillard ventes'!$F$275="","",LEFT('Brouillard ventes'!$D$275,30))</f>
        <v/>
      </c>
      <c r="F811" s="22" t="inlineStr">
        <is>
          <t>15001</t>
        </is>
      </c>
      <c r="G811" s="22">
        <f>IF('Brouillard ventes'!$F$275="","",Paramètres!$B$10)</f>
        <v/>
      </c>
      <c r="H811" s="22" t="inlineStr"/>
      <c r="I811" s="22" t="inlineStr"/>
      <c r="J811" s="22" t="inlineStr"/>
      <c r="K811" s="22">
        <f>IF('Brouillard ventes'!$F$275="","",Paramètres!$B$11)</f>
        <v/>
      </c>
      <c r="L811" s="23" t="n">
        <v>0</v>
      </c>
      <c r="M811" s="23">
        <f>IF('Brouillard ventes'!$F$275="","",'Brouillard ventes'!$H$275)</f>
        <v/>
      </c>
    </row>
    <row r="812">
      <c r="A812" s="22" t="inlineStr">
        <is>
          <t>1</t>
        </is>
      </c>
      <c r="B812" s="22">
        <f>IF('Brouillard ventes'!$F$276="","","VD"&amp;TEXT(ROW('Brouillard ventes'!$F$276)-5,"00000"))</f>
        <v/>
      </c>
      <c r="C812" s="22">
        <f>IF('Brouillard ventes'!$F$276="","",YEAR('Brouillard ventes'!$A$276)*10000+MONTH('Brouillard ventes'!$A$276)*100+DAY('Brouillard ventes'!$A$276))</f>
        <v/>
      </c>
      <c r="D812" s="22">
        <f>IF('Brouillard ventes'!$F$276="","",'Brouillard ventes'!$B$276)</f>
        <v/>
      </c>
      <c r="E812" s="22">
        <f>IF('Brouillard ventes'!$F$276="","",LEFT('Brouillard ventes'!$D$276,30))</f>
        <v/>
      </c>
      <c r="F812" s="22" t="inlineStr">
        <is>
          <t>15001</t>
        </is>
      </c>
      <c r="G812" s="22">
        <f>IF('Brouillard ventes'!$F$276="","",Paramètres!$B$7)</f>
        <v/>
      </c>
      <c r="H812" s="22">
        <f>IF('Brouillard ventes'!$F$276="","",IF('Brouillard ventes'!$C$276="","CD001",'Brouillard ventes'!$C$276))</f>
        <v/>
      </c>
      <c r="I812" s="22" t="inlineStr"/>
      <c r="J812" s="22" t="inlineStr"/>
      <c r="K812" s="22">
        <f>IF('Brouillard ventes'!$F$276="","",Paramètres!$B$11)</f>
        <v/>
      </c>
      <c r="L812" s="23">
        <f>IF('Brouillard ventes'!$F$276="","",'Brouillard ventes'!$I$276)</f>
        <v/>
      </c>
      <c r="M812" s="23" t="n">
        <v>0</v>
      </c>
    </row>
    <row r="813">
      <c r="A813" s="22" t="inlineStr">
        <is>
          <t>1</t>
        </is>
      </c>
      <c r="B813" s="22">
        <f>IF('Brouillard ventes'!$F$276="","","VD"&amp;TEXT(ROW('Brouillard ventes'!$F$276)-5,"00000"))</f>
        <v/>
      </c>
      <c r="C813" s="22">
        <f>IF('Brouillard ventes'!$F$276="","",YEAR('Brouillard ventes'!$A$276)*10000+MONTH('Brouillard ventes'!$A$276)*100+DAY('Brouillard ventes'!$A$276))</f>
        <v/>
      </c>
      <c r="D813" s="22">
        <f>IF('Brouillard ventes'!$F$276="","",'Brouillard ventes'!$B$276)</f>
        <v/>
      </c>
      <c r="E813" s="22">
        <f>IF('Brouillard ventes'!$F$276="","",LEFT('Brouillard ventes'!$D$276,30))</f>
        <v/>
      </c>
      <c r="F813" s="22" t="inlineStr">
        <is>
          <t>15001</t>
        </is>
      </c>
      <c r="G813" s="22">
        <f>IF('Brouillard ventes'!$F$276="","",IF('Brouillard ventes'!$E$276="Réparation",Paramètres!$B$9,Paramètres!$B$8))</f>
        <v/>
      </c>
      <c r="H813" s="22" t="inlineStr"/>
      <c r="I813" s="22" t="inlineStr"/>
      <c r="J813" s="22" t="inlineStr"/>
      <c r="K813" s="22">
        <f>IF('Brouillard ventes'!$F$276="","",Paramètres!$B$11)</f>
        <v/>
      </c>
      <c r="L813" s="23" t="n">
        <v>0</v>
      </c>
      <c r="M813" s="23">
        <f>IF('Brouillard ventes'!$F$276="","",'Brouillard ventes'!$F$276)</f>
        <v/>
      </c>
    </row>
    <row r="814">
      <c r="A814" s="22" t="inlineStr">
        <is>
          <t>1</t>
        </is>
      </c>
      <c r="B814" s="22">
        <f>IF('Brouillard ventes'!$F$276="","","VD"&amp;TEXT(ROW('Brouillard ventes'!$F$276)-5,"00000"))</f>
        <v/>
      </c>
      <c r="C814" s="22">
        <f>IF('Brouillard ventes'!$F$276="","",YEAR('Brouillard ventes'!$A$276)*10000+MONTH('Brouillard ventes'!$A$276)*100+DAY('Brouillard ventes'!$A$276))</f>
        <v/>
      </c>
      <c r="D814" s="22">
        <f>IF('Brouillard ventes'!$F$276="","",'Brouillard ventes'!$B$276)</f>
        <v/>
      </c>
      <c r="E814" s="22">
        <f>IF('Brouillard ventes'!$F$276="","",LEFT('Brouillard ventes'!$D$276,30))</f>
        <v/>
      </c>
      <c r="F814" s="22" t="inlineStr">
        <is>
          <t>15001</t>
        </is>
      </c>
      <c r="G814" s="22">
        <f>IF('Brouillard ventes'!$F$276="","",Paramètres!$B$10)</f>
        <v/>
      </c>
      <c r="H814" s="22" t="inlineStr"/>
      <c r="I814" s="22" t="inlineStr"/>
      <c r="J814" s="22" t="inlineStr"/>
      <c r="K814" s="22">
        <f>IF('Brouillard ventes'!$F$276="","",Paramètres!$B$11)</f>
        <v/>
      </c>
      <c r="L814" s="23" t="n">
        <v>0</v>
      </c>
      <c r="M814" s="23">
        <f>IF('Brouillard ventes'!$F$276="","",'Brouillard ventes'!$H$276)</f>
        <v/>
      </c>
    </row>
    <row r="815">
      <c r="A815" s="22" t="inlineStr">
        <is>
          <t>1</t>
        </is>
      </c>
      <c r="B815" s="22">
        <f>IF('Brouillard ventes'!$F$277="","","VD"&amp;TEXT(ROW('Brouillard ventes'!$F$277)-5,"00000"))</f>
        <v/>
      </c>
      <c r="C815" s="22">
        <f>IF('Brouillard ventes'!$F$277="","",YEAR('Brouillard ventes'!$A$277)*10000+MONTH('Brouillard ventes'!$A$277)*100+DAY('Brouillard ventes'!$A$277))</f>
        <v/>
      </c>
      <c r="D815" s="22">
        <f>IF('Brouillard ventes'!$F$277="","",'Brouillard ventes'!$B$277)</f>
        <v/>
      </c>
      <c r="E815" s="22">
        <f>IF('Brouillard ventes'!$F$277="","",LEFT('Brouillard ventes'!$D$277,30))</f>
        <v/>
      </c>
      <c r="F815" s="22" t="inlineStr">
        <is>
          <t>15001</t>
        </is>
      </c>
      <c r="G815" s="22">
        <f>IF('Brouillard ventes'!$F$277="","",Paramètres!$B$7)</f>
        <v/>
      </c>
      <c r="H815" s="22">
        <f>IF('Brouillard ventes'!$F$277="","",IF('Brouillard ventes'!$C$277="","CD001",'Brouillard ventes'!$C$277))</f>
        <v/>
      </c>
      <c r="I815" s="22" t="inlineStr"/>
      <c r="J815" s="22" t="inlineStr"/>
      <c r="K815" s="22">
        <f>IF('Brouillard ventes'!$F$277="","",Paramètres!$B$11)</f>
        <v/>
      </c>
      <c r="L815" s="23">
        <f>IF('Brouillard ventes'!$F$277="","",'Brouillard ventes'!$I$277)</f>
        <v/>
      </c>
      <c r="M815" s="23" t="n">
        <v>0</v>
      </c>
    </row>
    <row r="816">
      <c r="A816" s="22" t="inlineStr">
        <is>
          <t>1</t>
        </is>
      </c>
      <c r="B816" s="22">
        <f>IF('Brouillard ventes'!$F$277="","","VD"&amp;TEXT(ROW('Brouillard ventes'!$F$277)-5,"00000"))</f>
        <v/>
      </c>
      <c r="C816" s="22">
        <f>IF('Brouillard ventes'!$F$277="","",YEAR('Brouillard ventes'!$A$277)*10000+MONTH('Brouillard ventes'!$A$277)*100+DAY('Brouillard ventes'!$A$277))</f>
        <v/>
      </c>
      <c r="D816" s="22">
        <f>IF('Brouillard ventes'!$F$277="","",'Brouillard ventes'!$B$277)</f>
        <v/>
      </c>
      <c r="E816" s="22">
        <f>IF('Brouillard ventes'!$F$277="","",LEFT('Brouillard ventes'!$D$277,30))</f>
        <v/>
      </c>
      <c r="F816" s="22" t="inlineStr">
        <is>
          <t>15001</t>
        </is>
      </c>
      <c r="G816" s="22">
        <f>IF('Brouillard ventes'!$F$277="","",IF('Brouillard ventes'!$E$277="Réparation",Paramètres!$B$9,Paramètres!$B$8))</f>
        <v/>
      </c>
      <c r="H816" s="22" t="inlineStr"/>
      <c r="I816" s="22" t="inlineStr"/>
      <c r="J816" s="22" t="inlineStr"/>
      <c r="K816" s="22">
        <f>IF('Brouillard ventes'!$F$277="","",Paramètres!$B$11)</f>
        <v/>
      </c>
      <c r="L816" s="23" t="n">
        <v>0</v>
      </c>
      <c r="M816" s="23">
        <f>IF('Brouillard ventes'!$F$277="","",'Brouillard ventes'!$F$277)</f>
        <v/>
      </c>
    </row>
    <row r="817">
      <c r="A817" s="22" t="inlineStr">
        <is>
          <t>1</t>
        </is>
      </c>
      <c r="B817" s="22">
        <f>IF('Brouillard ventes'!$F$277="","","VD"&amp;TEXT(ROW('Brouillard ventes'!$F$277)-5,"00000"))</f>
        <v/>
      </c>
      <c r="C817" s="22">
        <f>IF('Brouillard ventes'!$F$277="","",YEAR('Brouillard ventes'!$A$277)*10000+MONTH('Brouillard ventes'!$A$277)*100+DAY('Brouillard ventes'!$A$277))</f>
        <v/>
      </c>
      <c r="D817" s="22">
        <f>IF('Brouillard ventes'!$F$277="","",'Brouillard ventes'!$B$277)</f>
        <v/>
      </c>
      <c r="E817" s="22">
        <f>IF('Brouillard ventes'!$F$277="","",LEFT('Brouillard ventes'!$D$277,30))</f>
        <v/>
      </c>
      <c r="F817" s="22" t="inlineStr">
        <is>
          <t>15001</t>
        </is>
      </c>
      <c r="G817" s="22">
        <f>IF('Brouillard ventes'!$F$277="","",Paramètres!$B$10)</f>
        <v/>
      </c>
      <c r="H817" s="22" t="inlineStr"/>
      <c r="I817" s="22" t="inlineStr"/>
      <c r="J817" s="22" t="inlineStr"/>
      <c r="K817" s="22">
        <f>IF('Brouillard ventes'!$F$277="","",Paramètres!$B$11)</f>
        <v/>
      </c>
      <c r="L817" s="23" t="n">
        <v>0</v>
      </c>
      <c r="M817" s="23">
        <f>IF('Brouillard ventes'!$F$277="","",'Brouillard ventes'!$H$277)</f>
        <v/>
      </c>
    </row>
    <row r="818">
      <c r="A818" s="22" t="inlineStr">
        <is>
          <t>1</t>
        </is>
      </c>
      <c r="B818" s="22">
        <f>IF('Brouillard ventes'!$F$278="","","VD"&amp;TEXT(ROW('Brouillard ventes'!$F$278)-5,"00000"))</f>
        <v/>
      </c>
      <c r="C818" s="22">
        <f>IF('Brouillard ventes'!$F$278="","",YEAR('Brouillard ventes'!$A$278)*10000+MONTH('Brouillard ventes'!$A$278)*100+DAY('Brouillard ventes'!$A$278))</f>
        <v/>
      </c>
      <c r="D818" s="22">
        <f>IF('Brouillard ventes'!$F$278="","",'Brouillard ventes'!$B$278)</f>
        <v/>
      </c>
      <c r="E818" s="22">
        <f>IF('Brouillard ventes'!$F$278="","",LEFT('Brouillard ventes'!$D$278,30))</f>
        <v/>
      </c>
      <c r="F818" s="22" t="inlineStr">
        <is>
          <t>15001</t>
        </is>
      </c>
      <c r="G818" s="22">
        <f>IF('Brouillard ventes'!$F$278="","",Paramètres!$B$7)</f>
        <v/>
      </c>
      <c r="H818" s="22">
        <f>IF('Brouillard ventes'!$F$278="","",IF('Brouillard ventes'!$C$278="","CD001",'Brouillard ventes'!$C$278))</f>
        <v/>
      </c>
      <c r="I818" s="22" t="inlineStr"/>
      <c r="J818" s="22" t="inlineStr"/>
      <c r="K818" s="22">
        <f>IF('Brouillard ventes'!$F$278="","",Paramètres!$B$11)</f>
        <v/>
      </c>
      <c r="L818" s="23">
        <f>IF('Brouillard ventes'!$F$278="","",'Brouillard ventes'!$I$278)</f>
        <v/>
      </c>
      <c r="M818" s="23" t="n">
        <v>0</v>
      </c>
    </row>
    <row r="819">
      <c r="A819" s="22" t="inlineStr">
        <is>
          <t>1</t>
        </is>
      </c>
      <c r="B819" s="22">
        <f>IF('Brouillard ventes'!$F$278="","","VD"&amp;TEXT(ROW('Brouillard ventes'!$F$278)-5,"00000"))</f>
        <v/>
      </c>
      <c r="C819" s="22">
        <f>IF('Brouillard ventes'!$F$278="","",YEAR('Brouillard ventes'!$A$278)*10000+MONTH('Brouillard ventes'!$A$278)*100+DAY('Brouillard ventes'!$A$278))</f>
        <v/>
      </c>
      <c r="D819" s="22">
        <f>IF('Brouillard ventes'!$F$278="","",'Brouillard ventes'!$B$278)</f>
        <v/>
      </c>
      <c r="E819" s="22">
        <f>IF('Brouillard ventes'!$F$278="","",LEFT('Brouillard ventes'!$D$278,30))</f>
        <v/>
      </c>
      <c r="F819" s="22" t="inlineStr">
        <is>
          <t>15001</t>
        </is>
      </c>
      <c r="G819" s="22">
        <f>IF('Brouillard ventes'!$F$278="","",IF('Brouillard ventes'!$E$278="Réparation",Paramètres!$B$9,Paramètres!$B$8))</f>
        <v/>
      </c>
      <c r="H819" s="22" t="inlineStr"/>
      <c r="I819" s="22" t="inlineStr"/>
      <c r="J819" s="22" t="inlineStr"/>
      <c r="K819" s="22">
        <f>IF('Brouillard ventes'!$F$278="","",Paramètres!$B$11)</f>
        <v/>
      </c>
      <c r="L819" s="23" t="n">
        <v>0</v>
      </c>
      <c r="M819" s="23">
        <f>IF('Brouillard ventes'!$F$278="","",'Brouillard ventes'!$F$278)</f>
        <v/>
      </c>
    </row>
    <row r="820">
      <c r="A820" s="22" t="inlineStr">
        <is>
          <t>1</t>
        </is>
      </c>
      <c r="B820" s="22">
        <f>IF('Brouillard ventes'!$F$278="","","VD"&amp;TEXT(ROW('Brouillard ventes'!$F$278)-5,"00000"))</f>
        <v/>
      </c>
      <c r="C820" s="22">
        <f>IF('Brouillard ventes'!$F$278="","",YEAR('Brouillard ventes'!$A$278)*10000+MONTH('Brouillard ventes'!$A$278)*100+DAY('Brouillard ventes'!$A$278))</f>
        <v/>
      </c>
      <c r="D820" s="22">
        <f>IF('Brouillard ventes'!$F$278="","",'Brouillard ventes'!$B$278)</f>
        <v/>
      </c>
      <c r="E820" s="22">
        <f>IF('Brouillard ventes'!$F$278="","",LEFT('Brouillard ventes'!$D$278,30))</f>
        <v/>
      </c>
      <c r="F820" s="22" t="inlineStr">
        <is>
          <t>15001</t>
        </is>
      </c>
      <c r="G820" s="22">
        <f>IF('Brouillard ventes'!$F$278="","",Paramètres!$B$10)</f>
        <v/>
      </c>
      <c r="H820" s="22" t="inlineStr"/>
      <c r="I820" s="22" t="inlineStr"/>
      <c r="J820" s="22" t="inlineStr"/>
      <c r="K820" s="22">
        <f>IF('Brouillard ventes'!$F$278="","",Paramètres!$B$11)</f>
        <v/>
      </c>
      <c r="L820" s="23" t="n">
        <v>0</v>
      </c>
      <c r="M820" s="23">
        <f>IF('Brouillard ventes'!$F$278="","",'Brouillard ventes'!$H$278)</f>
        <v/>
      </c>
    </row>
    <row r="821">
      <c r="A821" s="22" t="inlineStr">
        <is>
          <t>1</t>
        </is>
      </c>
      <c r="B821" s="22">
        <f>IF('Brouillard ventes'!$F$279="","","VD"&amp;TEXT(ROW('Brouillard ventes'!$F$279)-5,"00000"))</f>
        <v/>
      </c>
      <c r="C821" s="22">
        <f>IF('Brouillard ventes'!$F$279="","",YEAR('Brouillard ventes'!$A$279)*10000+MONTH('Brouillard ventes'!$A$279)*100+DAY('Brouillard ventes'!$A$279))</f>
        <v/>
      </c>
      <c r="D821" s="22">
        <f>IF('Brouillard ventes'!$F$279="","",'Brouillard ventes'!$B$279)</f>
        <v/>
      </c>
      <c r="E821" s="22">
        <f>IF('Brouillard ventes'!$F$279="","",LEFT('Brouillard ventes'!$D$279,30))</f>
        <v/>
      </c>
      <c r="F821" s="22" t="inlineStr">
        <is>
          <t>15001</t>
        </is>
      </c>
      <c r="G821" s="22">
        <f>IF('Brouillard ventes'!$F$279="","",Paramètres!$B$7)</f>
        <v/>
      </c>
      <c r="H821" s="22">
        <f>IF('Brouillard ventes'!$F$279="","",IF('Brouillard ventes'!$C$279="","CD001",'Brouillard ventes'!$C$279))</f>
        <v/>
      </c>
      <c r="I821" s="22" t="inlineStr"/>
      <c r="J821" s="22" t="inlineStr"/>
      <c r="K821" s="22">
        <f>IF('Brouillard ventes'!$F$279="","",Paramètres!$B$11)</f>
        <v/>
      </c>
      <c r="L821" s="23">
        <f>IF('Brouillard ventes'!$F$279="","",'Brouillard ventes'!$I$279)</f>
        <v/>
      </c>
      <c r="M821" s="23" t="n">
        <v>0</v>
      </c>
    </row>
    <row r="822">
      <c r="A822" s="22" t="inlineStr">
        <is>
          <t>1</t>
        </is>
      </c>
      <c r="B822" s="22">
        <f>IF('Brouillard ventes'!$F$279="","","VD"&amp;TEXT(ROW('Brouillard ventes'!$F$279)-5,"00000"))</f>
        <v/>
      </c>
      <c r="C822" s="22">
        <f>IF('Brouillard ventes'!$F$279="","",YEAR('Brouillard ventes'!$A$279)*10000+MONTH('Brouillard ventes'!$A$279)*100+DAY('Brouillard ventes'!$A$279))</f>
        <v/>
      </c>
      <c r="D822" s="22">
        <f>IF('Brouillard ventes'!$F$279="","",'Brouillard ventes'!$B$279)</f>
        <v/>
      </c>
      <c r="E822" s="22">
        <f>IF('Brouillard ventes'!$F$279="","",LEFT('Brouillard ventes'!$D$279,30))</f>
        <v/>
      </c>
      <c r="F822" s="22" t="inlineStr">
        <is>
          <t>15001</t>
        </is>
      </c>
      <c r="G822" s="22">
        <f>IF('Brouillard ventes'!$F$279="","",IF('Brouillard ventes'!$E$279="Réparation",Paramètres!$B$9,Paramètres!$B$8))</f>
        <v/>
      </c>
      <c r="H822" s="22" t="inlineStr"/>
      <c r="I822" s="22" t="inlineStr"/>
      <c r="J822" s="22" t="inlineStr"/>
      <c r="K822" s="22">
        <f>IF('Brouillard ventes'!$F$279="","",Paramètres!$B$11)</f>
        <v/>
      </c>
      <c r="L822" s="23" t="n">
        <v>0</v>
      </c>
      <c r="M822" s="23">
        <f>IF('Brouillard ventes'!$F$279="","",'Brouillard ventes'!$F$279)</f>
        <v/>
      </c>
    </row>
    <row r="823">
      <c r="A823" s="22" t="inlineStr">
        <is>
          <t>1</t>
        </is>
      </c>
      <c r="B823" s="22">
        <f>IF('Brouillard ventes'!$F$279="","","VD"&amp;TEXT(ROW('Brouillard ventes'!$F$279)-5,"00000"))</f>
        <v/>
      </c>
      <c r="C823" s="22">
        <f>IF('Brouillard ventes'!$F$279="","",YEAR('Brouillard ventes'!$A$279)*10000+MONTH('Brouillard ventes'!$A$279)*100+DAY('Brouillard ventes'!$A$279))</f>
        <v/>
      </c>
      <c r="D823" s="22">
        <f>IF('Brouillard ventes'!$F$279="","",'Brouillard ventes'!$B$279)</f>
        <v/>
      </c>
      <c r="E823" s="22">
        <f>IF('Brouillard ventes'!$F$279="","",LEFT('Brouillard ventes'!$D$279,30))</f>
        <v/>
      </c>
      <c r="F823" s="22" t="inlineStr">
        <is>
          <t>15001</t>
        </is>
      </c>
      <c r="G823" s="22">
        <f>IF('Brouillard ventes'!$F$279="","",Paramètres!$B$10)</f>
        <v/>
      </c>
      <c r="H823" s="22" t="inlineStr"/>
      <c r="I823" s="22" t="inlineStr"/>
      <c r="J823" s="22" t="inlineStr"/>
      <c r="K823" s="22">
        <f>IF('Brouillard ventes'!$F$279="","",Paramètres!$B$11)</f>
        <v/>
      </c>
      <c r="L823" s="23" t="n">
        <v>0</v>
      </c>
      <c r="M823" s="23">
        <f>IF('Brouillard ventes'!$F$279="","",'Brouillard ventes'!$H$279)</f>
        <v/>
      </c>
    </row>
    <row r="824">
      <c r="A824" s="22" t="inlineStr">
        <is>
          <t>1</t>
        </is>
      </c>
      <c r="B824" s="22">
        <f>IF('Brouillard ventes'!$F$280="","","VD"&amp;TEXT(ROW('Brouillard ventes'!$F$280)-5,"00000"))</f>
        <v/>
      </c>
      <c r="C824" s="22">
        <f>IF('Brouillard ventes'!$F$280="","",YEAR('Brouillard ventes'!$A$280)*10000+MONTH('Brouillard ventes'!$A$280)*100+DAY('Brouillard ventes'!$A$280))</f>
        <v/>
      </c>
      <c r="D824" s="22">
        <f>IF('Brouillard ventes'!$F$280="","",'Brouillard ventes'!$B$280)</f>
        <v/>
      </c>
      <c r="E824" s="22">
        <f>IF('Brouillard ventes'!$F$280="","",LEFT('Brouillard ventes'!$D$280,30))</f>
        <v/>
      </c>
      <c r="F824" s="22" t="inlineStr">
        <is>
          <t>15001</t>
        </is>
      </c>
      <c r="G824" s="22">
        <f>IF('Brouillard ventes'!$F$280="","",Paramètres!$B$7)</f>
        <v/>
      </c>
      <c r="H824" s="22">
        <f>IF('Brouillard ventes'!$F$280="","",IF('Brouillard ventes'!$C$280="","CD001",'Brouillard ventes'!$C$280))</f>
        <v/>
      </c>
      <c r="I824" s="22" t="inlineStr"/>
      <c r="J824" s="22" t="inlineStr"/>
      <c r="K824" s="22">
        <f>IF('Brouillard ventes'!$F$280="","",Paramètres!$B$11)</f>
        <v/>
      </c>
      <c r="L824" s="23">
        <f>IF('Brouillard ventes'!$F$280="","",'Brouillard ventes'!$I$280)</f>
        <v/>
      </c>
      <c r="M824" s="23" t="n">
        <v>0</v>
      </c>
    </row>
    <row r="825">
      <c r="A825" s="22" t="inlineStr">
        <is>
          <t>1</t>
        </is>
      </c>
      <c r="B825" s="22">
        <f>IF('Brouillard ventes'!$F$280="","","VD"&amp;TEXT(ROW('Brouillard ventes'!$F$280)-5,"00000"))</f>
        <v/>
      </c>
      <c r="C825" s="22">
        <f>IF('Brouillard ventes'!$F$280="","",YEAR('Brouillard ventes'!$A$280)*10000+MONTH('Brouillard ventes'!$A$280)*100+DAY('Brouillard ventes'!$A$280))</f>
        <v/>
      </c>
      <c r="D825" s="22">
        <f>IF('Brouillard ventes'!$F$280="","",'Brouillard ventes'!$B$280)</f>
        <v/>
      </c>
      <c r="E825" s="22">
        <f>IF('Brouillard ventes'!$F$280="","",LEFT('Brouillard ventes'!$D$280,30))</f>
        <v/>
      </c>
      <c r="F825" s="22" t="inlineStr">
        <is>
          <t>15001</t>
        </is>
      </c>
      <c r="G825" s="22">
        <f>IF('Brouillard ventes'!$F$280="","",IF('Brouillard ventes'!$E$280="Réparation",Paramètres!$B$9,Paramètres!$B$8))</f>
        <v/>
      </c>
      <c r="H825" s="22" t="inlineStr"/>
      <c r="I825" s="22" t="inlineStr"/>
      <c r="J825" s="22" t="inlineStr"/>
      <c r="K825" s="22">
        <f>IF('Brouillard ventes'!$F$280="","",Paramètres!$B$11)</f>
        <v/>
      </c>
      <c r="L825" s="23" t="n">
        <v>0</v>
      </c>
      <c r="M825" s="23">
        <f>IF('Brouillard ventes'!$F$280="","",'Brouillard ventes'!$F$280)</f>
        <v/>
      </c>
    </row>
    <row r="826">
      <c r="A826" s="22" t="inlineStr">
        <is>
          <t>1</t>
        </is>
      </c>
      <c r="B826" s="22">
        <f>IF('Brouillard ventes'!$F$280="","","VD"&amp;TEXT(ROW('Brouillard ventes'!$F$280)-5,"00000"))</f>
        <v/>
      </c>
      <c r="C826" s="22">
        <f>IF('Brouillard ventes'!$F$280="","",YEAR('Brouillard ventes'!$A$280)*10000+MONTH('Brouillard ventes'!$A$280)*100+DAY('Brouillard ventes'!$A$280))</f>
        <v/>
      </c>
      <c r="D826" s="22">
        <f>IF('Brouillard ventes'!$F$280="","",'Brouillard ventes'!$B$280)</f>
        <v/>
      </c>
      <c r="E826" s="22">
        <f>IF('Brouillard ventes'!$F$280="","",LEFT('Brouillard ventes'!$D$280,30))</f>
        <v/>
      </c>
      <c r="F826" s="22" t="inlineStr">
        <is>
          <t>15001</t>
        </is>
      </c>
      <c r="G826" s="22">
        <f>IF('Brouillard ventes'!$F$280="","",Paramètres!$B$10)</f>
        <v/>
      </c>
      <c r="H826" s="22" t="inlineStr"/>
      <c r="I826" s="22" t="inlineStr"/>
      <c r="J826" s="22" t="inlineStr"/>
      <c r="K826" s="22">
        <f>IF('Brouillard ventes'!$F$280="","",Paramètres!$B$11)</f>
        <v/>
      </c>
      <c r="L826" s="23" t="n">
        <v>0</v>
      </c>
      <c r="M826" s="23">
        <f>IF('Brouillard ventes'!$F$280="","",'Brouillard ventes'!$H$280)</f>
        <v/>
      </c>
    </row>
    <row r="827">
      <c r="A827" s="22" t="inlineStr">
        <is>
          <t>1</t>
        </is>
      </c>
      <c r="B827" s="22">
        <f>IF('Brouillard ventes'!$F$281="","","VD"&amp;TEXT(ROW('Brouillard ventes'!$F$281)-5,"00000"))</f>
        <v/>
      </c>
      <c r="C827" s="22">
        <f>IF('Brouillard ventes'!$F$281="","",YEAR('Brouillard ventes'!$A$281)*10000+MONTH('Brouillard ventes'!$A$281)*100+DAY('Brouillard ventes'!$A$281))</f>
        <v/>
      </c>
      <c r="D827" s="22">
        <f>IF('Brouillard ventes'!$F$281="","",'Brouillard ventes'!$B$281)</f>
        <v/>
      </c>
      <c r="E827" s="22">
        <f>IF('Brouillard ventes'!$F$281="","",LEFT('Brouillard ventes'!$D$281,30))</f>
        <v/>
      </c>
      <c r="F827" s="22" t="inlineStr">
        <is>
          <t>15001</t>
        </is>
      </c>
      <c r="G827" s="22">
        <f>IF('Brouillard ventes'!$F$281="","",Paramètres!$B$7)</f>
        <v/>
      </c>
      <c r="H827" s="22">
        <f>IF('Brouillard ventes'!$F$281="","",IF('Brouillard ventes'!$C$281="","CD001",'Brouillard ventes'!$C$281))</f>
        <v/>
      </c>
      <c r="I827" s="22" t="inlineStr"/>
      <c r="J827" s="22" t="inlineStr"/>
      <c r="K827" s="22">
        <f>IF('Brouillard ventes'!$F$281="","",Paramètres!$B$11)</f>
        <v/>
      </c>
      <c r="L827" s="23">
        <f>IF('Brouillard ventes'!$F$281="","",'Brouillard ventes'!$I$281)</f>
        <v/>
      </c>
      <c r="M827" s="23" t="n">
        <v>0</v>
      </c>
    </row>
    <row r="828">
      <c r="A828" s="22" t="inlineStr">
        <is>
          <t>1</t>
        </is>
      </c>
      <c r="B828" s="22">
        <f>IF('Brouillard ventes'!$F$281="","","VD"&amp;TEXT(ROW('Brouillard ventes'!$F$281)-5,"00000"))</f>
        <v/>
      </c>
      <c r="C828" s="22">
        <f>IF('Brouillard ventes'!$F$281="","",YEAR('Brouillard ventes'!$A$281)*10000+MONTH('Brouillard ventes'!$A$281)*100+DAY('Brouillard ventes'!$A$281))</f>
        <v/>
      </c>
      <c r="D828" s="22">
        <f>IF('Brouillard ventes'!$F$281="","",'Brouillard ventes'!$B$281)</f>
        <v/>
      </c>
      <c r="E828" s="22">
        <f>IF('Brouillard ventes'!$F$281="","",LEFT('Brouillard ventes'!$D$281,30))</f>
        <v/>
      </c>
      <c r="F828" s="22" t="inlineStr">
        <is>
          <t>15001</t>
        </is>
      </c>
      <c r="G828" s="22">
        <f>IF('Brouillard ventes'!$F$281="","",IF('Brouillard ventes'!$E$281="Réparation",Paramètres!$B$9,Paramètres!$B$8))</f>
        <v/>
      </c>
      <c r="H828" s="22" t="inlineStr"/>
      <c r="I828" s="22" t="inlineStr"/>
      <c r="J828" s="22" t="inlineStr"/>
      <c r="K828" s="22">
        <f>IF('Brouillard ventes'!$F$281="","",Paramètres!$B$11)</f>
        <v/>
      </c>
      <c r="L828" s="23" t="n">
        <v>0</v>
      </c>
      <c r="M828" s="23">
        <f>IF('Brouillard ventes'!$F$281="","",'Brouillard ventes'!$F$281)</f>
        <v/>
      </c>
    </row>
    <row r="829">
      <c r="A829" s="22" t="inlineStr">
        <is>
          <t>1</t>
        </is>
      </c>
      <c r="B829" s="22">
        <f>IF('Brouillard ventes'!$F$281="","","VD"&amp;TEXT(ROW('Brouillard ventes'!$F$281)-5,"00000"))</f>
        <v/>
      </c>
      <c r="C829" s="22">
        <f>IF('Brouillard ventes'!$F$281="","",YEAR('Brouillard ventes'!$A$281)*10000+MONTH('Brouillard ventes'!$A$281)*100+DAY('Brouillard ventes'!$A$281))</f>
        <v/>
      </c>
      <c r="D829" s="22">
        <f>IF('Brouillard ventes'!$F$281="","",'Brouillard ventes'!$B$281)</f>
        <v/>
      </c>
      <c r="E829" s="22">
        <f>IF('Brouillard ventes'!$F$281="","",LEFT('Brouillard ventes'!$D$281,30))</f>
        <v/>
      </c>
      <c r="F829" s="22" t="inlineStr">
        <is>
          <t>15001</t>
        </is>
      </c>
      <c r="G829" s="22">
        <f>IF('Brouillard ventes'!$F$281="","",Paramètres!$B$10)</f>
        <v/>
      </c>
      <c r="H829" s="22" t="inlineStr"/>
      <c r="I829" s="22" t="inlineStr"/>
      <c r="J829" s="22" t="inlineStr"/>
      <c r="K829" s="22">
        <f>IF('Brouillard ventes'!$F$281="","",Paramètres!$B$11)</f>
        <v/>
      </c>
      <c r="L829" s="23" t="n">
        <v>0</v>
      </c>
      <c r="M829" s="23">
        <f>IF('Brouillard ventes'!$F$281="","",'Brouillard ventes'!$H$281)</f>
        <v/>
      </c>
    </row>
    <row r="830">
      <c r="A830" s="22" t="inlineStr">
        <is>
          <t>1</t>
        </is>
      </c>
      <c r="B830" s="22">
        <f>IF('Brouillard ventes'!$F$282="","","VD"&amp;TEXT(ROW('Brouillard ventes'!$F$282)-5,"00000"))</f>
        <v/>
      </c>
      <c r="C830" s="22">
        <f>IF('Brouillard ventes'!$F$282="","",YEAR('Brouillard ventes'!$A$282)*10000+MONTH('Brouillard ventes'!$A$282)*100+DAY('Brouillard ventes'!$A$282))</f>
        <v/>
      </c>
      <c r="D830" s="22">
        <f>IF('Brouillard ventes'!$F$282="","",'Brouillard ventes'!$B$282)</f>
        <v/>
      </c>
      <c r="E830" s="22">
        <f>IF('Brouillard ventes'!$F$282="","",LEFT('Brouillard ventes'!$D$282,30))</f>
        <v/>
      </c>
      <c r="F830" s="22" t="inlineStr">
        <is>
          <t>15001</t>
        </is>
      </c>
      <c r="G830" s="22">
        <f>IF('Brouillard ventes'!$F$282="","",Paramètres!$B$7)</f>
        <v/>
      </c>
      <c r="H830" s="22">
        <f>IF('Brouillard ventes'!$F$282="","",IF('Brouillard ventes'!$C$282="","CD001",'Brouillard ventes'!$C$282))</f>
        <v/>
      </c>
      <c r="I830" s="22" t="inlineStr"/>
      <c r="J830" s="22" t="inlineStr"/>
      <c r="K830" s="22">
        <f>IF('Brouillard ventes'!$F$282="","",Paramètres!$B$11)</f>
        <v/>
      </c>
      <c r="L830" s="23">
        <f>IF('Brouillard ventes'!$F$282="","",'Brouillard ventes'!$I$282)</f>
        <v/>
      </c>
      <c r="M830" s="23" t="n">
        <v>0</v>
      </c>
    </row>
    <row r="831">
      <c r="A831" s="22" t="inlineStr">
        <is>
          <t>1</t>
        </is>
      </c>
      <c r="B831" s="22">
        <f>IF('Brouillard ventes'!$F$282="","","VD"&amp;TEXT(ROW('Brouillard ventes'!$F$282)-5,"00000"))</f>
        <v/>
      </c>
      <c r="C831" s="22">
        <f>IF('Brouillard ventes'!$F$282="","",YEAR('Brouillard ventes'!$A$282)*10000+MONTH('Brouillard ventes'!$A$282)*100+DAY('Brouillard ventes'!$A$282))</f>
        <v/>
      </c>
      <c r="D831" s="22">
        <f>IF('Brouillard ventes'!$F$282="","",'Brouillard ventes'!$B$282)</f>
        <v/>
      </c>
      <c r="E831" s="22">
        <f>IF('Brouillard ventes'!$F$282="","",LEFT('Brouillard ventes'!$D$282,30))</f>
        <v/>
      </c>
      <c r="F831" s="22" t="inlineStr">
        <is>
          <t>15001</t>
        </is>
      </c>
      <c r="G831" s="22">
        <f>IF('Brouillard ventes'!$F$282="","",IF('Brouillard ventes'!$E$282="Réparation",Paramètres!$B$9,Paramètres!$B$8))</f>
        <v/>
      </c>
      <c r="H831" s="22" t="inlineStr"/>
      <c r="I831" s="22" t="inlineStr"/>
      <c r="J831" s="22" t="inlineStr"/>
      <c r="K831" s="22">
        <f>IF('Brouillard ventes'!$F$282="","",Paramètres!$B$11)</f>
        <v/>
      </c>
      <c r="L831" s="23" t="n">
        <v>0</v>
      </c>
      <c r="M831" s="23">
        <f>IF('Brouillard ventes'!$F$282="","",'Brouillard ventes'!$F$282)</f>
        <v/>
      </c>
    </row>
    <row r="832">
      <c r="A832" s="22" t="inlineStr">
        <is>
          <t>1</t>
        </is>
      </c>
      <c r="B832" s="22">
        <f>IF('Brouillard ventes'!$F$282="","","VD"&amp;TEXT(ROW('Brouillard ventes'!$F$282)-5,"00000"))</f>
        <v/>
      </c>
      <c r="C832" s="22">
        <f>IF('Brouillard ventes'!$F$282="","",YEAR('Brouillard ventes'!$A$282)*10000+MONTH('Brouillard ventes'!$A$282)*100+DAY('Brouillard ventes'!$A$282))</f>
        <v/>
      </c>
      <c r="D832" s="22">
        <f>IF('Brouillard ventes'!$F$282="","",'Brouillard ventes'!$B$282)</f>
        <v/>
      </c>
      <c r="E832" s="22">
        <f>IF('Brouillard ventes'!$F$282="","",LEFT('Brouillard ventes'!$D$282,30))</f>
        <v/>
      </c>
      <c r="F832" s="22" t="inlineStr">
        <is>
          <t>15001</t>
        </is>
      </c>
      <c r="G832" s="22">
        <f>IF('Brouillard ventes'!$F$282="","",Paramètres!$B$10)</f>
        <v/>
      </c>
      <c r="H832" s="22" t="inlineStr"/>
      <c r="I832" s="22" t="inlineStr"/>
      <c r="J832" s="22" t="inlineStr"/>
      <c r="K832" s="22">
        <f>IF('Brouillard ventes'!$F$282="","",Paramètres!$B$11)</f>
        <v/>
      </c>
      <c r="L832" s="23" t="n">
        <v>0</v>
      </c>
      <c r="M832" s="23">
        <f>IF('Brouillard ventes'!$F$282="","",'Brouillard ventes'!$H$282)</f>
        <v/>
      </c>
    </row>
    <row r="833">
      <c r="A833" s="22" t="inlineStr">
        <is>
          <t>1</t>
        </is>
      </c>
      <c r="B833" s="22">
        <f>IF('Brouillard ventes'!$F$283="","","VD"&amp;TEXT(ROW('Brouillard ventes'!$F$283)-5,"00000"))</f>
        <v/>
      </c>
      <c r="C833" s="22">
        <f>IF('Brouillard ventes'!$F$283="","",YEAR('Brouillard ventes'!$A$283)*10000+MONTH('Brouillard ventes'!$A$283)*100+DAY('Brouillard ventes'!$A$283))</f>
        <v/>
      </c>
      <c r="D833" s="22">
        <f>IF('Brouillard ventes'!$F$283="","",'Brouillard ventes'!$B$283)</f>
        <v/>
      </c>
      <c r="E833" s="22">
        <f>IF('Brouillard ventes'!$F$283="","",LEFT('Brouillard ventes'!$D$283,30))</f>
        <v/>
      </c>
      <c r="F833" s="22" t="inlineStr">
        <is>
          <t>15001</t>
        </is>
      </c>
      <c r="G833" s="22">
        <f>IF('Brouillard ventes'!$F$283="","",Paramètres!$B$7)</f>
        <v/>
      </c>
      <c r="H833" s="22">
        <f>IF('Brouillard ventes'!$F$283="","",IF('Brouillard ventes'!$C$283="","CD001",'Brouillard ventes'!$C$283))</f>
        <v/>
      </c>
      <c r="I833" s="22" t="inlineStr"/>
      <c r="J833" s="22" t="inlineStr"/>
      <c r="K833" s="22">
        <f>IF('Brouillard ventes'!$F$283="","",Paramètres!$B$11)</f>
        <v/>
      </c>
      <c r="L833" s="23">
        <f>IF('Brouillard ventes'!$F$283="","",'Brouillard ventes'!$I$283)</f>
        <v/>
      </c>
      <c r="M833" s="23" t="n">
        <v>0</v>
      </c>
    </row>
    <row r="834">
      <c r="A834" s="22" t="inlineStr">
        <is>
          <t>1</t>
        </is>
      </c>
      <c r="B834" s="22">
        <f>IF('Brouillard ventes'!$F$283="","","VD"&amp;TEXT(ROW('Brouillard ventes'!$F$283)-5,"00000"))</f>
        <v/>
      </c>
      <c r="C834" s="22">
        <f>IF('Brouillard ventes'!$F$283="","",YEAR('Brouillard ventes'!$A$283)*10000+MONTH('Brouillard ventes'!$A$283)*100+DAY('Brouillard ventes'!$A$283))</f>
        <v/>
      </c>
      <c r="D834" s="22">
        <f>IF('Brouillard ventes'!$F$283="","",'Brouillard ventes'!$B$283)</f>
        <v/>
      </c>
      <c r="E834" s="22">
        <f>IF('Brouillard ventes'!$F$283="","",LEFT('Brouillard ventes'!$D$283,30))</f>
        <v/>
      </c>
      <c r="F834" s="22" t="inlineStr">
        <is>
          <t>15001</t>
        </is>
      </c>
      <c r="G834" s="22">
        <f>IF('Brouillard ventes'!$F$283="","",IF('Brouillard ventes'!$E$283="Réparation",Paramètres!$B$9,Paramètres!$B$8))</f>
        <v/>
      </c>
      <c r="H834" s="22" t="inlineStr"/>
      <c r="I834" s="22" t="inlineStr"/>
      <c r="J834" s="22" t="inlineStr"/>
      <c r="K834" s="22">
        <f>IF('Brouillard ventes'!$F$283="","",Paramètres!$B$11)</f>
        <v/>
      </c>
      <c r="L834" s="23" t="n">
        <v>0</v>
      </c>
      <c r="M834" s="23">
        <f>IF('Brouillard ventes'!$F$283="","",'Brouillard ventes'!$F$283)</f>
        <v/>
      </c>
    </row>
    <row r="835">
      <c r="A835" s="22" t="inlineStr">
        <is>
          <t>1</t>
        </is>
      </c>
      <c r="B835" s="22">
        <f>IF('Brouillard ventes'!$F$283="","","VD"&amp;TEXT(ROW('Brouillard ventes'!$F$283)-5,"00000"))</f>
        <v/>
      </c>
      <c r="C835" s="22">
        <f>IF('Brouillard ventes'!$F$283="","",YEAR('Brouillard ventes'!$A$283)*10000+MONTH('Brouillard ventes'!$A$283)*100+DAY('Brouillard ventes'!$A$283))</f>
        <v/>
      </c>
      <c r="D835" s="22">
        <f>IF('Brouillard ventes'!$F$283="","",'Brouillard ventes'!$B$283)</f>
        <v/>
      </c>
      <c r="E835" s="22">
        <f>IF('Brouillard ventes'!$F$283="","",LEFT('Brouillard ventes'!$D$283,30))</f>
        <v/>
      </c>
      <c r="F835" s="22" t="inlineStr">
        <is>
          <t>15001</t>
        </is>
      </c>
      <c r="G835" s="22">
        <f>IF('Brouillard ventes'!$F$283="","",Paramètres!$B$10)</f>
        <v/>
      </c>
      <c r="H835" s="22" t="inlineStr"/>
      <c r="I835" s="22" t="inlineStr"/>
      <c r="J835" s="22" t="inlineStr"/>
      <c r="K835" s="22">
        <f>IF('Brouillard ventes'!$F$283="","",Paramètres!$B$11)</f>
        <v/>
      </c>
      <c r="L835" s="23" t="n">
        <v>0</v>
      </c>
      <c r="M835" s="23">
        <f>IF('Brouillard ventes'!$F$283="","",'Brouillard ventes'!$H$283)</f>
        <v/>
      </c>
    </row>
    <row r="836">
      <c r="A836" s="22" t="inlineStr">
        <is>
          <t>1</t>
        </is>
      </c>
      <c r="B836" s="22">
        <f>IF('Brouillard ventes'!$F$284="","","VD"&amp;TEXT(ROW('Brouillard ventes'!$F$284)-5,"00000"))</f>
        <v/>
      </c>
      <c r="C836" s="22">
        <f>IF('Brouillard ventes'!$F$284="","",YEAR('Brouillard ventes'!$A$284)*10000+MONTH('Brouillard ventes'!$A$284)*100+DAY('Brouillard ventes'!$A$284))</f>
        <v/>
      </c>
      <c r="D836" s="22">
        <f>IF('Brouillard ventes'!$F$284="","",'Brouillard ventes'!$B$284)</f>
        <v/>
      </c>
      <c r="E836" s="22">
        <f>IF('Brouillard ventes'!$F$284="","",LEFT('Brouillard ventes'!$D$284,30))</f>
        <v/>
      </c>
      <c r="F836" s="22" t="inlineStr">
        <is>
          <t>15001</t>
        </is>
      </c>
      <c r="G836" s="22">
        <f>IF('Brouillard ventes'!$F$284="","",Paramètres!$B$7)</f>
        <v/>
      </c>
      <c r="H836" s="22">
        <f>IF('Brouillard ventes'!$F$284="","",IF('Brouillard ventes'!$C$284="","CD001",'Brouillard ventes'!$C$284))</f>
        <v/>
      </c>
      <c r="I836" s="22" t="inlineStr"/>
      <c r="J836" s="22" t="inlineStr"/>
      <c r="K836" s="22">
        <f>IF('Brouillard ventes'!$F$284="","",Paramètres!$B$11)</f>
        <v/>
      </c>
      <c r="L836" s="23">
        <f>IF('Brouillard ventes'!$F$284="","",'Brouillard ventes'!$I$284)</f>
        <v/>
      </c>
      <c r="M836" s="23" t="n">
        <v>0</v>
      </c>
    </row>
    <row r="837">
      <c r="A837" s="22" t="inlineStr">
        <is>
          <t>1</t>
        </is>
      </c>
      <c r="B837" s="22">
        <f>IF('Brouillard ventes'!$F$284="","","VD"&amp;TEXT(ROW('Brouillard ventes'!$F$284)-5,"00000"))</f>
        <v/>
      </c>
      <c r="C837" s="22">
        <f>IF('Brouillard ventes'!$F$284="","",YEAR('Brouillard ventes'!$A$284)*10000+MONTH('Brouillard ventes'!$A$284)*100+DAY('Brouillard ventes'!$A$284))</f>
        <v/>
      </c>
      <c r="D837" s="22">
        <f>IF('Brouillard ventes'!$F$284="","",'Brouillard ventes'!$B$284)</f>
        <v/>
      </c>
      <c r="E837" s="22">
        <f>IF('Brouillard ventes'!$F$284="","",LEFT('Brouillard ventes'!$D$284,30))</f>
        <v/>
      </c>
      <c r="F837" s="22" t="inlineStr">
        <is>
          <t>15001</t>
        </is>
      </c>
      <c r="G837" s="22">
        <f>IF('Brouillard ventes'!$F$284="","",IF('Brouillard ventes'!$E$284="Réparation",Paramètres!$B$9,Paramètres!$B$8))</f>
        <v/>
      </c>
      <c r="H837" s="22" t="inlineStr"/>
      <c r="I837" s="22" t="inlineStr"/>
      <c r="J837" s="22" t="inlineStr"/>
      <c r="K837" s="22">
        <f>IF('Brouillard ventes'!$F$284="","",Paramètres!$B$11)</f>
        <v/>
      </c>
      <c r="L837" s="23" t="n">
        <v>0</v>
      </c>
      <c r="M837" s="23">
        <f>IF('Brouillard ventes'!$F$284="","",'Brouillard ventes'!$F$284)</f>
        <v/>
      </c>
    </row>
    <row r="838">
      <c r="A838" s="22" t="inlineStr">
        <is>
          <t>1</t>
        </is>
      </c>
      <c r="B838" s="22">
        <f>IF('Brouillard ventes'!$F$284="","","VD"&amp;TEXT(ROW('Brouillard ventes'!$F$284)-5,"00000"))</f>
        <v/>
      </c>
      <c r="C838" s="22">
        <f>IF('Brouillard ventes'!$F$284="","",YEAR('Brouillard ventes'!$A$284)*10000+MONTH('Brouillard ventes'!$A$284)*100+DAY('Brouillard ventes'!$A$284))</f>
        <v/>
      </c>
      <c r="D838" s="22">
        <f>IF('Brouillard ventes'!$F$284="","",'Brouillard ventes'!$B$284)</f>
        <v/>
      </c>
      <c r="E838" s="22">
        <f>IF('Brouillard ventes'!$F$284="","",LEFT('Brouillard ventes'!$D$284,30))</f>
        <v/>
      </c>
      <c r="F838" s="22" t="inlineStr">
        <is>
          <t>15001</t>
        </is>
      </c>
      <c r="G838" s="22">
        <f>IF('Brouillard ventes'!$F$284="","",Paramètres!$B$10)</f>
        <v/>
      </c>
      <c r="H838" s="22" t="inlineStr"/>
      <c r="I838" s="22" t="inlineStr"/>
      <c r="J838" s="22" t="inlineStr"/>
      <c r="K838" s="22">
        <f>IF('Brouillard ventes'!$F$284="","",Paramètres!$B$11)</f>
        <v/>
      </c>
      <c r="L838" s="23" t="n">
        <v>0</v>
      </c>
      <c r="M838" s="23">
        <f>IF('Brouillard ventes'!$F$284="","",'Brouillard ventes'!$H$284)</f>
        <v/>
      </c>
    </row>
    <row r="839">
      <c r="A839" s="22" t="inlineStr">
        <is>
          <t>1</t>
        </is>
      </c>
      <c r="B839" s="22">
        <f>IF('Brouillard ventes'!$F$285="","","VD"&amp;TEXT(ROW('Brouillard ventes'!$F$285)-5,"00000"))</f>
        <v/>
      </c>
      <c r="C839" s="22">
        <f>IF('Brouillard ventes'!$F$285="","",YEAR('Brouillard ventes'!$A$285)*10000+MONTH('Brouillard ventes'!$A$285)*100+DAY('Brouillard ventes'!$A$285))</f>
        <v/>
      </c>
      <c r="D839" s="22">
        <f>IF('Brouillard ventes'!$F$285="","",'Brouillard ventes'!$B$285)</f>
        <v/>
      </c>
      <c r="E839" s="22">
        <f>IF('Brouillard ventes'!$F$285="","",LEFT('Brouillard ventes'!$D$285,30))</f>
        <v/>
      </c>
      <c r="F839" s="22" t="inlineStr">
        <is>
          <t>15001</t>
        </is>
      </c>
      <c r="G839" s="22">
        <f>IF('Brouillard ventes'!$F$285="","",Paramètres!$B$7)</f>
        <v/>
      </c>
      <c r="H839" s="22">
        <f>IF('Brouillard ventes'!$F$285="","",IF('Brouillard ventes'!$C$285="","CD001",'Brouillard ventes'!$C$285))</f>
        <v/>
      </c>
      <c r="I839" s="22" t="inlineStr"/>
      <c r="J839" s="22" t="inlineStr"/>
      <c r="K839" s="22">
        <f>IF('Brouillard ventes'!$F$285="","",Paramètres!$B$11)</f>
        <v/>
      </c>
      <c r="L839" s="23">
        <f>IF('Brouillard ventes'!$F$285="","",'Brouillard ventes'!$I$285)</f>
        <v/>
      </c>
      <c r="M839" s="23" t="n">
        <v>0</v>
      </c>
    </row>
    <row r="840">
      <c r="A840" s="22" t="inlineStr">
        <is>
          <t>1</t>
        </is>
      </c>
      <c r="B840" s="22">
        <f>IF('Brouillard ventes'!$F$285="","","VD"&amp;TEXT(ROW('Brouillard ventes'!$F$285)-5,"00000"))</f>
        <v/>
      </c>
      <c r="C840" s="22">
        <f>IF('Brouillard ventes'!$F$285="","",YEAR('Brouillard ventes'!$A$285)*10000+MONTH('Brouillard ventes'!$A$285)*100+DAY('Brouillard ventes'!$A$285))</f>
        <v/>
      </c>
      <c r="D840" s="22">
        <f>IF('Brouillard ventes'!$F$285="","",'Brouillard ventes'!$B$285)</f>
        <v/>
      </c>
      <c r="E840" s="22">
        <f>IF('Brouillard ventes'!$F$285="","",LEFT('Brouillard ventes'!$D$285,30))</f>
        <v/>
      </c>
      <c r="F840" s="22" t="inlineStr">
        <is>
          <t>15001</t>
        </is>
      </c>
      <c r="G840" s="22">
        <f>IF('Brouillard ventes'!$F$285="","",IF('Brouillard ventes'!$E$285="Réparation",Paramètres!$B$9,Paramètres!$B$8))</f>
        <v/>
      </c>
      <c r="H840" s="22" t="inlineStr"/>
      <c r="I840" s="22" t="inlineStr"/>
      <c r="J840" s="22" t="inlineStr"/>
      <c r="K840" s="22">
        <f>IF('Brouillard ventes'!$F$285="","",Paramètres!$B$11)</f>
        <v/>
      </c>
      <c r="L840" s="23" t="n">
        <v>0</v>
      </c>
      <c r="M840" s="23">
        <f>IF('Brouillard ventes'!$F$285="","",'Brouillard ventes'!$F$285)</f>
        <v/>
      </c>
    </row>
    <row r="841">
      <c r="A841" s="22" t="inlineStr">
        <is>
          <t>1</t>
        </is>
      </c>
      <c r="B841" s="22">
        <f>IF('Brouillard ventes'!$F$285="","","VD"&amp;TEXT(ROW('Brouillard ventes'!$F$285)-5,"00000"))</f>
        <v/>
      </c>
      <c r="C841" s="22">
        <f>IF('Brouillard ventes'!$F$285="","",YEAR('Brouillard ventes'!$A$285)*10000+MONTH('Brouillard ventes'!$A$285)*100+DAY('Brouillard ventes'!$A$285))</f>
        <v/>
      </c>
      <c r="D841" s="22">
        <f>IF('Brouillard ventes'!$F$285="","",'Brouillard ventes'!$B$285)</f>
        <v/>
      </c>
      <c r="E841" s="22">
        <f>IF('Brouillard ventes'!$F$285="","",LEFT('Brouillard ventes'!$D$285,30))</f>
        <v/>
      </c>
      <c r="F841" s="22" t="inlineStr">
        <is>
          <t>15001</t>
        </is>
      </c>
      <c r="G841" s="22">
        <f>IF('Brouillard ventes'!$F$285="","",Paramètres!$B$10)</f>
        <v/>
      </c>
      <c r="H841" s="22" t="inlineStr"/>
      <c r="I841" s="22" t="inlineStr"/>
      <c r="J841" s="22" t="inlineStr"/>
      <c r="K841" s="22">
        <f>IF('Brouillard ventes'!$F$285="","",Paramètres!$B$11)</f>
        <v/>
      </c>
      <c r="L841" s="23" t="n">
        <v>0</v>
      </c>
      <c r="M841" s="23">
        <f>IF('Brouillard ventes'!$F$285="","",'Brouillard ventes'!$H$285)</f>
        <v/>
      </c>
    </row>
    <row r="842">
      <c r="A842" s="22" t="inlineStr">
        <is>
          <t>1</t>
        </is>
      </c>
      <c r="B842" s="22">
        <f>IF('Brouillard ventes'!$F$286="","","VD"&amp;TEXT(ROW('Brouillard ventes'!$F$286)-5,"00000"))</f>
        <v/>
      </c>
      <c r="C842" s="22">
        <f>IF('Brouillard ventes'!$F$286="","",YEAR('Brouillard ventes'!$A$286)*10000+MONTH('Brouillard ventes'!$A$286)*100+DAY('Brouillard ventes'!$A$286))</f>
        <v/>
      </c>
      <c r="D842" s="22">
        <f>IF('Brouillard ventes'!$F$286="","",'Brouillard ventes'!$B$286)</f>
        <v/>
      </c>
      <c r="E842" s="22">
        <f>IF('Brouillard ventes'!$F$286="","",LEFT('Brouillard ventes'!$D$286,30))</f>
        <v/>
      </c>
      <c r="F842" s="22" t="inlineStr">
        <is>
          <t>15001</t>
        </is>
      </c>
      <c r="G842" s="22">
        <f>IF('Brouillard ventes'!$F$286="","",Paramètres!$B$7)</f>
        <v/>
      </c>
      <c r="H842" s="22">
        <f>IF('Brouillard ventes'!$F$286="","",IF('Brouillard ventes'!$C$286="","CD001",'Brouillard ventes'!$C$286))</f>
        <v/>
      </c>
      <c r="I842" s="22" t="inlineStr"/>
      <c r="J842" s="22" t="inlineStr"/>
      <c r="K842" s="22">
        <f>IF('Brouillard ventes'!$F$286="","",Paramètres!$B$11)</f>
        <v/>
      </c>
      <c r="L842" s="23">
        <f>IF('Brouillard ventes'!$F$286="","",'Brouillard ventes'!$I$286)</f>
        <v/>
      </c>
      <c r="M842" s="23" t="n">
        <v>0</v>
      </c>
    </row>
    <row r="843">
      <c r="A843" s="22" t="inlineStr">
        <is>
          <t>1</t>
        </is>
      </c>
      <c r="B843" s="22">
        <f>IF('Brouillard ventes'!$F$286="","","VD"&amp;TEXT(ROW('Brouillard ventes'!$F$286)-5,"00000"))</f>
        <v/>
      </c>
      <c r="C843" s="22">
        <f>IF('Brouillard ventes'!$F$286="","",YEAR('Brouillard ventes'!$A$286)*10000+MONTH('Brouillard ventes'!$A$286)*100+DAY('Brouillard ventes'!$A$286))</f>
        <v/>
      </c>
      <c r="D843" s="22">
        <f>IF('Brouillard ventes'!$F$286="","",'Brouillard ventes'!$B$286)</f>
        <v/>
      </c>
      <c r="E843" s="22">
        <f>IF('Brouillard ventes'!$F$286="","",LEFT('Brouillard ventes'!$D$286,30))</f>
        <v/>
      </c>
      <c r="F843" s="22" t="inlineStr">
        <is>
          <t>15001</t>
        </is>
      </c>
      <c r="G843" s="22">
        <f>IF('Brouillard ventes'!$F$286="","",IF('Brouillard ventes'!$E$286="Réparation",Paramètres!$B$9,Paramètres!$B$8))</f>
        <v/>
      </c>
      <c r="H843" s="22" t="inlineStr"/>
      <c r="I843" s="22" t="inlineStr"/>
      <c r="J843" s="22" t="inlineStr"/>
      <c r="K843" s="22">
        <f>IF('Brouillard ventes'!$F$286="","",Paramètres!$B$11)</f>
        <v/>
      </c>
      <c r="L843" s="23" t="n">
        <v>0</v>
      </c>
      <c r="M843" s="23">
        <f>IF('Brouillard ventes'!$F$286="","",'Brouillard ventes'!$F$286)</f>
        <v/>
      </c>
    </row>
    <row r="844">
      <c r="A844" s="22" t="inlineStr">
        <is>
          <t>1</t>
        </is>
      </c>
      <c r="B844" s="22">
        <f>IF('Brouillard ventes'!$F$286="","","VD"&amp;TEXT(ROW('Brouillard ventes'!$F$286)-5,"00000"))</f>
        <v/>
      </c>
      <c r="C844" s="22">
        <f>IF('Brouillard ventes'!$F$286="","",YEAR('Brouillard ventes'!$A$286)*10000+MONTH('Brouillard ventes'!$A$286)*100+DAY('Brouillard ventes'!$A$286))</f>
        <v/>
      </c>
      <c r="D844" s="22">
        <f>IF('Brouillard ventes'!$F$286="","",'Brouillard ventes'!$B$286)</f>
        <v/>
      </c>
      <c r="E844" s="22">
        <f>IF('Brouillard ventes'!$F$286="","",LEFT('Brouillard ventes'!$D$286,30))</f>
        <v/>
      </c>
      <c r="F844" s="22" t="inlineStr">
        <is>
          <t>15001</t>
        </is>
      </c>
      <c r="G844" s="22">
        <f>IF('Brouillard ventes'!$F$286="","",Paramètres!$B$10)</f>
        <v/>
      </c>
      <c r="H844" s="22" t="inlineStr"/>
      <c r="I844" s="22" t="inlineStr"/>
      <c r="J844" s="22" t="inlineStr"/>
      <c r="K844" s="22">
        <f>IF('Brouillard ventes'!$F$286="","",Paramètres!$B$11)</f>
        <v/>
      </c>
      <c r="L844" s="23" t="n">
        <v>0</v>
      </c>
      <c r="M844" s="23">
        <f>IF('Brouillard ventes'!$F$286="","",'Brouillard ventes'!$H$286)</f>
        <v/>
      </c>
    </row>
    <row r="845">
      <c r="A845" s="22" t="inlineStr">
        <is>
          <t>1</t>
        </is>
      </c>
      <c r="B845" s="22">
        <f>IF('Brouillard ventes'!$F$287="","","VD"&amp;TEXT(ROW('Brouillard ventes'!$F$287)-5,"00000"))</f>
        <v/>
      </c>
      <c r="C845" s="22">
        <f>IF('Brouillard ventes'!$F$287="","",YEAR('Brouillard ventes'!$A$287)*10000+MONTH('Brouillard ventes'!$A$287)*100+DAY('Brouillard ventes'!$A$287))</f>
        <v/>
      </c>
      <c r="D845" s="22">
        <f>IF('Brouillard ventes'!$F$287="","",'Brouillard ventes'!$B$287)</f>
        <v/>
      </c>
      <c r="E845" s="22">
        <f>IF('Brouillard ventes'!$F$287="","",LEFT('Brouillard ventes'!$D$287,30))</f>
        <v/>
      </c>
      <c r="F845" s="22" t="inlineStr">
        <is>
          <t>15001</t>
        </is>
      </c>
      <c r="G845" s="22">
        <f>IF('Brouillard ventes'!$F$287="","",Paramètres!$B$7)</f>
        <v/>
      </c>
      <c r="H845" s="22">
        <f>IF('Brouillard ventes'!$F$287="","",IF('Brouillard ventes'!$C$287="","CD001",'Brouillard ventes'!$C$287))</f>
        <v/>
      </c>
      <c r="I845" s="22" t="inlineStr"/>
      <c r="J845" s="22" t="inlineStr"/>
      <c r="K845" s="22">
        <f>IF('Brouillard ventes'!$F$287="","",Paramètres!$B$11)</f>
        <v/>
      </c>
      <c r="L845" s="23">
        <f>IF('Brouillard ventes'!$F$287="","",'Brouillard ventes'!$I$287)</f>
        <v/>
      </c>
      <c r="M845" s="23" t="n">
        <v>0</v>
      </c>
    </row>
    <row r="846">
      <c r="A846" s="22" t="inlineStr">
        <is>
          <t>1</t>
        </is>
      </c>
      <c r="B846" s="22">
        <f>IF('Brouillard ventes'!$F$287="","","VD"&amp;TEXT(ROW('Brouillard ventes'!$F$287)-5,"00000"))</f>
        <v/>
      </c>
      <c r="C846" s="22">
        <f>IF('Brouillard ventes'!$F$287="","",YEAR('Brouillard ventes'!$A$287)*10000+MONTH('Brouillard ventes'!$A$287)*100+DAY('Brouillard ventes'!$A$287))</f>
        <v/>
      </c>
      <c r="D846" s="22">
        <f>IF('Brouillard ventes'!$F$287="","",'Brouillard ventes'!$B$287)</f>
        <v/>
      </c>
      <c r="E846" s="22">
        <f>IF('Brouillard ventes'!$F$287="","",LEFT('Brouillard ventes'!$D$287,30))</f>
        <v/>
      </c>
      <c r="F846" s="22" t="inlineStr">
        <is>
          <t>15001</t>
        </is>
      </c>
      <c r="G846" s="22">
        <f>IF('Brouillard ventes'!$F$287="","",IF('Brouillard ventes'!$E$287="Réparation",Paramètres!$B$9,Paramètres!$B$8))</f>
        <v/>
      </c>
      <c r="H846" s="22" t="inlineStr"/>
      <c r="I846" s="22" t="inlineStr"/>
      <c r="J846" s="22" t="inlineStr"/>
      <c r="K846" s="22">
        <f>IF('Brouillard ventes'!$F$287="","",Paramètres!$B$11)</f>
        <v/>
      </c>
      <c r="L846" s="23" t="n">
        <v>0</v>
      </c>
      <c r="M846" s="23">
        <f>IF('Brouillard ventes'!$F$287="","",'Brouillard ventes'!$F$287)</f>
        <v/>
      </c>
    </row>
    <row r="847">
      <c r="A847" s="22" t="inlineStr">
        <is>
          <t>1</t>
        </is>
      </c>
      <c r="B847" s="22">
        <f>IF('Brouillard ventes'!$F$287="","","VD"&amp;TEXT(ROW('Brouillard ventes'!$F$287)-5,"00000"))</f>
        <v/>
      </c>
      <c r="C847" s="22">
        <f>IF('Brouillard ventes'!$F$287="","",YEAR('Brouillard ventes'!$A$287)*10000+MONTH('Brouillard ventes'!$A$287)*100+DAY('Brouillard ventes'!$A$287))</f>
        <v/>
      </c>
      <c r="D847" s="22">
        <f>IF('Brouillard ventes'!$F$287="","",'Brouillard ventes'!$B$287)</f>
        <v/>
      </c>
      <c r="E847" s="22">
        <f>IF('Brouillard ventes'!$F$287="","",LEFT('Brouillard ventes'!$D$287,30))</f>
        <v/>
      </c>
      <c r="F847" s="22" t="inlineStr">
        <is>
          <t>15001</t>
        </is>
      </c>
      <c r="G847" s="22">
        <f>IF('Brouillard ventes'!$F$287="","",Paramètres!$B$10)</f>
        <v/>
      </c>
      <c r="H847" s="22" t="inlineStr"/>
      <c r="I847" s="22" t="inlineStr"/>
      <c r="J847" s="22" t="inlineStr"/>
      <c r="K847" s="22">
        <f>IF('Brouillard ventes'!$F$287="","",Paramètres!$B$11)</f>
        <v/>
      </c>
      <c r="L847" s="23" t="n">
        <v>0</v>
      </c>
      <c r="M847" s="23">
        <f>IF('Brouillard ventes'!$F$287="","",'Brouillard ventes'!$H$287)</f>
        <v/>
      </c>
    </row>
    <row r="848">
      <c r="A848" s="22" t="inlineStr">
        <is>
          <t>1</t>
        </is>
      </c>
      <c r="B848" s="22">
        <f>IF('Brouillard ventes'!$F$288="","","VD"&amp;TEXT(ROW('Brouillard ventes'!$F$288)-5,"00000"))</f>
        <v/>
      </c>
      <c r="C848" s="22">
        <f>IF('Brouillard ventes'!$F$288="","",YEAR('Brouillard ventes'!$A$288)*10000+MONTH('Brouillard ventes'!$A$288)*100+DAY('Brouillard ventes'!$A$288))</f>
        <v/>
      </c>
      <c r="D848" s="22">
        <f>IF('Brouillard ventes'!$F$288="","",'Brouillard ventes'!$B$288)</f>
        <v/>
      </c>
      <c r="E848" s="22">
        <f>IF('Brouillard ventes'!$F$288="","",LEFT('Brouillard ventes'!$D$288,30))</f>
        <v/>
      </c>
      <c r="F848" s="22" t="inlineStr">
        <is>
          <t>15001</t>
        </is>
      </c>
      <c r="G848" s="22">
        <f>IF('Brouillard ventes'!$F$288="","",Paramètres!$B$7)</f>
        <v/>
      </c>
      <c r="H848" s="22">
        <f>IF('Brouillard ventes'!$F$288="","",IF('Brouillard ventes'!$C$288="","CD001",'Brouillard ventes'!$C$288))</f>
        <v/>
      </c>
      <c r="I848" s="22" t="inlineStr"/>
      <c r="J848" s="22" t="inlineStr"/>
      <c r="K848" s="22">
        <f>IF('Brouillard ventes'!$F$288="","",Paramètres!$B$11)</f>
        <v/>
      </c>
      <c r="L848" s="23">
        <f>IF('Brouillard ventes'!$F$288="","",'Brouillard ventes'!$I$288)</f>
        <v/>
      </c>
      <c r="M848" s="23" t="n">
        <v>0</v>
      </c>
    </row>
    <row r="849">
      <c r="A849" s="22" t="inlineStr">
        <is>
          <t>1</t>
        </is>
      </c>
      <c r="B849" s="22">
        <f>IF('Brouillard ventes'!$F$288="","","VD"&amp;TEXT(ROW('Brouillard ventes'!$F$288)-5,"00000"))</f>
        <v/>
      </c>
      <c r="C849" s="22">
        <f>IF('Brouillard ventes'!$F$288="","",YEAR('Brouillard ventes'!$A$288)*10000+MONTH('Brouillard ventes'!$A$288)*100+DAY('Brouillard ventes'!$A$288))</f>
        <v/>
      </c>
      <c r="D849" s="22">
        <f>IF('Brouillard ventes'!$F$288="","",'Brouillard ventes'!$B$288)</f>
        <v/>
      </c>
      <c r="E849" s="22">
        <f>IF('Brouillard ventes'!$F$288="","",LEFT('Brouillard ventes'!$D$288,30))</f>
        <v/>
      </c>
      <c r="F849" s="22" t="inlineStr">
        <is>
          <t>15001</t>
        </is>
      </c>
      <c r="G849" s="22">
        <f>IF('Brouillard ventes'!$F$288="","",IF('Brouillard ventes'!$E$288="Réparation",Paramètres!$B$9,Paramètres!$B$8))</f>
        <v/>
      </c>
      <c r="H849" s="22" t="inlineStr"/>
      <c r="I849" s="22" t="inlineStr"/>
      <c r="J849" s="22" t="inlineStr"/>
      <c r="K849" s="22">
        <f>IF('Brouillard ventes'!$F$288="","",Paramètres!$B$11)</f>
        <v/>
      </c>
      <c r="L849" s="23" t="n">
        <v>0</v>
      </c>
      <c r="M849" s="23">
        <f>IF('Brouillard ventes'!$F$288="","",'Brouillard ventes'!$F$288)</f>
        <v/>
      </c>
    </row>
    <row r="850">
      <c r="A850" s="22" t="inlineStr">
        <is>
          <t>1</t>
        </is>
      </c>
      <c r="B850" s="22">
        <f>IF('Brouillard ventes'!$F$288="","","VD"&amp;TEXT(ROW('Brouillard ventes'!$F$288)-5,"00000"))</f>
        <v/>
      </c>
      <c r="C850" s="22">
        <f>IF('Brouillard ventes'!$F$288="","",YEAR('Brouillard ventes'!$A$288)*10000+MONTH('Brouillard ventes'!$A$288)*100+DAY('Brouillard ventes'!$A$288))</f>
        <v/>
      </c>
      <c r="D850" s="22">
        <f>IF('Brouillard ventes'!$F$288="","",'Brouillard ventes'!$B$288)</f>
        <v/>
      </c>
      <c r="E850" s="22">
        <f>IF('Brouillard ventes'!$F$288="","",LEFT('Brouillard ventes'!$D$288,30))</f>
        <v/>
      </c>
      <c r="F850" s="22" t="inlineStr">
        <is>
          <t>15001</t>
        </is>
      </c>
      <c r="G850" s="22">
        <f>IF('Brouillard ventes'!$F$288="","",Paramètres!$B$10)</f>
        <v/>
      </c>
      <c r="H850" s="22" t="inlineStr"/>
      <c r="I850" s="22" t="inlineStr"/>
      <c r="J850" s="22" t="inlineStr"/>
      <c r="K850" s="22">
        <f>IF('Brouillard ventes'!$F$288="","",Paramètres!$B$11)</f>
        <v/>
      </c>
      <c r="L850" s="23" t="n">
        <v>0</v>
      </c>
      <c r="M850" s="23">
        <f>IF('Brouillard ventes'!$F$288="","",'Brouillard ventes'!$H$288)</f>
        <v/>
      </c>
    </row>
    <row r="851">
      <c r="A851" s="22" t="inlineStr">
        <is>
          <t>1</t>
        </is>
      </c>
      <c r="B851" s="22">
        <f>IF('Brouillard ventes'!$F$289="","","VD"&amp;TEXT(ROW('Brouillard ventes'!$F$289)-5,"00000"))</f>
        <v/>
      </c>
      <c r="C851" s="22">
        <f>IF('Brouillard ventes'!$F$289="","",YEAR('Brouillard ventes'!$A$289)*10000+MONTH('Brouillard ventes'!$A$289)*100+DAY('Brouillard ventes'!$A$289))</f>
        <v/>
      </c>
      <c r="D851" s="22">
        <f>IF('Brouillard ventes'!$F$289="","",'Brouillard ventes'!$B$289)</f>
        <v/>
      </c>
      <c r="E851" s="22">
        <f>IF('Brouillard ventes'!$F$289="","",LEFT('Brouillard ventes'!$D$289,30))</f>
        <v/>
      </c>
      <c r="F851" s="22" t="inlineStr">
        <is>
          <t>15001</t>
        </is>
      </c>
      <c r="G851" s="22">
        <f>IF('Brouillard ventes'!$F$289="","",Paramètres!$B$7)</f>
        <v/>
      </c>
      <c r="H851" s="22">
        <f>IF('Brouillard ventes'!$F$289="","",IF('Brouillard ventes'!$C$289="","CD001",'Brouillard ventes'!$C$289))</f>
        <v/>
      </c>
      <c r="I851" s="22" t="inlineStr"/>
      <c r="J851" s="22" t="inlineStr"/>
      <c r="K851" s="22">
        <f>IF('Brouillard ventes'!$F$289="","",Paramètres!$B$11)</f>
        <v/>
      </c>
      <c r="L851" s="23">
        <f>IF('Brouillard ventes'!$F$289="","",'Brouillard ventes'!$I$289)</f>
        <v/>
      </c>
      <c r="M851" s="23" t="n">
        <v>0</v>
      </c>
    </row>
    <row r="852">
      <c r="A852" s="22" t="inlineStr">
        <is>
          <t>1</t>
        </is>
      </c>
      <c r="B852" s="22">
        <f>IF('Brouillard ventes'!$F$289="","","VD"&amp;TEXT(ROW('Brouillard ventes'!$F$289)-5,"00000"))</f>
        <v/>
      </c>
      <c r="C852" s="22">
        <f>IF('Brouillard ventes'!$F$289="","",YEAR('Brouillard ventes'!$A$289)*10000+MONTH('Brouillard ventes'!$A$289)*100+DAY('Brouillard ventes'!$A$289))</f>
        <v/>
      </c>
      <c r="D852" s="22">
        <f>IF('Brouillard ventes'!$F$289="","",'Brouillard ventes'!$B$289)</f>
        <v/>
      </c>
      <c r="E852" s="22">
        <f>IF('Brouillard ventes'!$F$289="","",LEFT('Brouillard ventes'!$D$289,30))</f>
        <v/>
      </c>
      <c r="F852" s="22" t="inlineStr">
        <is>
          <t>15001</t>
        </is>
      </c>
      <c r="G852" s="22">
        <f>IF('Brouillard ventes'!$F$289="","",IF('Brouillard ventes'!$E$289="Réparation",Paramètres!$B$9,Paramètres!$B$8))</f>
        <v/>
      </c>
      <c r="H852" s="22" t="inlineStr"/>
      <c r="I852" s="22" t="inlineStr"/>
      <c r="J852" s="22" t="inlineStr"/>
      <c r="K852" s="22">
        <f>IF('Brouillard ventes'!$F$289="","",Paramètres!$B$11)</f>
        <v/>
      </c>
      <c r="L852" s="23" t="n">
        <v>0</v>
      </c>
      <c r="M852" s="23">
        <f>IF('Brouillard ventes'!$F$289="","",'Brouillard ventes'!$F$289)</f>
        <v/>
      </c>
    </row>
    <row r="853">
      <c r="A853" s="22" t="inlineStr">
        <is>
          <t>1</t>
        </is>
      </c>
      <c r="B853" s="22">
        <f>IF('Brouillard ventes'!$F$289="","","VD"&amp;TEXT(ROW('Brouillard ventes'!$F$289)-5,"00000"))</f>
        <v/>
      </c>
      <c r="C853" s="22">
        <f>IF('Brouillard ventes'!$F$289="","",YEAR('Brouillard ventes'!$A$289)*10000+MONTH('Brouillard ventes'!$A$289)*100+DAY('Brouillard ventes'!$A$289))</f>
        <v/>
      </c>
      <c r="D853" s="22">
        <f>IF('Brouillard ventes'!$F$289="","",'Brouillard ventes'!$B$289)</f>
        <v/>
      </c>
      <c r="E853" s="22">
        <f>IF('Brouillard ventes'!$F$289="","",LEFT('Brouillard ventes'!$D$289,30))</f>
        <v/>
      </c>
      <c r="F853" s="22" t="inlineStr">
        <is>
          <t>15001</t>
        </is>
      </c>
      <c r="G853" s="22">
        <f>IF('Brouillard ventes'!$F$289="","",Paramètres!$B$10)</f>
        <v/>
      </c>
      <c r="H853" s="22" t="inlineStr"/>
      <c r="I853" s="22" t="inlineStr"/>
      <c r="J853" s="22" t="inlineStr"/>
      <c r="K853" s="22">
        <f>IF('Brouillard ventes'!$F$289="","",Paramètres!$B$11)</f>
        <v/>
      </c>
      <c r="L853" s="23" t="n">
        <v>0</v>
      </c>
      <c r="M853" s="23">
        <f>IF('Brouillard ventes'!$F$289="","",'Brouillard ventes'!$H$289)</f>
        <v/>
      </c>
    </row>
    <row r="854">
      <c r="A854" s="22" t="inlineStr">
        <is>
          <t>1</t>
        </is>
      </c>
      <c r="B854" s="22">
        <f>IF('Brouillard ventes'!$F$290="","","VD"&amp;TEXT(ROW('Brouillard ventes'!$F$290)-5,"00000"))</f>
        <v/>
      </c>
      <c r="C854" s="22">
        <f>IF('Brouillard ventes'!$F$290="","",YEAR('Brouillard ventes'!$A$290)*10000+MONTH('Brouillard ventes'!$A$290)*100+DAY('Brouillard ventes'!$A$290))</f>
        <v/>
      </c>
      <c r="D854" s="22">
        <f>IF('Brouillard ventes'!$F$290="","",'Brouillard ventes'!$B$290)</f>
        <v/>
      </c>
      <c r="E854" s="22">
        <f>IF('Brouillard ventes'!$F$290="","",LEFT('Brouillard ventes'!$D$290,30))</f>
        <v/>
      </c>
      <c r="F854" s="22" t="inlineStr">
        <is>
          <t>15001</t>
        </is>
      </c>
      <c r="G854" s="22">
        <f>IF('Brouillard ventes'!$F$290="","",Paramètres!$B$7)</f>
        <v/>
      </c>
      <c r="H854" s="22">
        <f>IF('Brouillard ventes'!$F$290="","",IF('Brouillard ventes'!$C$290="","CD001",'Brouillard ventes'!$C$290))</f>
        <v/>
      </c>
      <c r="I854" s="22" t="inlineStr"/>
      <c r="J854" s="22" t="inlineStr"/>
      <c r="K854" s="22">
        <f>IF('Brouillard ventes'!$F$290="","",Paramètres!$B$11)</f>
        <v/>
      </c>
      <c r="L854" s="23">
        <f>IF('Brouillard ventes'!$F$290="","",'Brouillard ventes'!$I$290)</f>
        <v/>
      </c>
      <c r="M854" s="23" t="n">
        <v>0</v>
      </c>
    </row>
    <row r="855">
      <c r="A855" s="22" t="inlineStr">
        <is>
          <t>1</t>
        </is>
      </c>
      <c r="B855" s="22">
        <f>IF('Brouillard ventes'!$F$290="","","VD"&amp;TEXT(ROW('Brouillard ventes'!$F$290)-5,"00000"))</f>
        <v/>
      </c>
      <c r="C855" s="22">
        <f>IF('Brouillard ventes'!$F$290="","",YEAR('Brouillard ventes'!$A$290)*10000+MONTH('Brouillard ventes'!$A$290)*100+DAY('Brouillard ventes'!$A$290))</f>
        <v/>
      </c>
      <c r="D855" s="22">
        <f>IF('Brouillard ventes'!$F$290="","",'Brouillard ventes'!$B$290)</f>
        <v/>
      </c>
      <c r="E855" s="22">
        <f>IF('Brouillard ventes'!$F$290="","",LEFT('Brouillard ventes'!$D$290,30))</f>
        <v/>
      </c>
      <c r="F855" s="22" t="inlineStr">
        <is>
          <t>15001</t>
        </is>
      </c>
      <c r="G855" s="22">
        <f>IF('Brouillard ventes'!$F$290="","",IF('Brouillard ventes'!$E$290="Réparation",Paramètres!$B$9,Paramètres!$B$8))</f>
        <v/>
      </c>
      <c r="H855" s="22" t="inlineStr"/>
      <c r="I855" s="22" t="inlineStr"/>
      <c r="J855" s="22" t="inlineStr"/>
      <c r="K855" s="22">
        <f>IF('Brouillard ventes'!$F$290="","",Paramètres!$B$11)</f>
        <v/>
      </c>
      <c r="L855" s="23" t="n">
        <v>0</v>
      </c>
      <c r="M855" s="23">
        <f>IF('Brouillard ventes'!$F$290="","",'Brouillard ventes'!$F$290)</f>
        <v/>
      </c>
    </row>
    <row r="856">
      <c r="A856" s="22" t="inlineStr">
        <is>
          <t>1</t>
        </is>
      </c>
      <c r="B856" s="22">
        <f>IF('Brouillard ventes'!$F$290="","","VD"&amp;TEXT(ROW('Brouillard ventes'!$F$290)-5,"00000"))</f>
        <v/>
      </c>
      <c r="C856" s="22">
        <f>IF('Brouillard ventes'!$F$290="","",YEAR('Brouillard ventes'!$A$290)*10000+MONTH('Brouillard ventes'!$A$290)*100+DAY('Brouillard ventes'!$A$290))</f>
        <v/>
      </c>
      <c r="D856" s="22">
        <f>IF('Brouillard ventes'!$F$290="","",'Brouillard ventes'!$B$290)</f>
        <v/>
      </c>
      <c r="E856" s="22">
        <f>IF('Brouillard ventes'!$F$290="","",LEFT('Brouillard ventes'!$D$290,30))</f>
        <v/>
      </c>
      <c r="F856" s="22" t="inlineStr">
        <is>
          <t>15001</t>
        </is>
      </c>
      <c r="G856" s="22">
        <f>IF('Brouillard ventes'!$F$290="","",Paramètres!$B$10)</f>
        <v/>
      </c>
      <c r="H856" s="22" t="inlineStr"/>
      <c r="I856" s="22" t="inlineStr"/>
      <c r="J856" s="22" t="inlineStr"/>
      <c r="K856" s="22">
        <f>IF('Brouillard ventes'!$F$290="","",Paramètres!$B$11)</f>
        <v/>
      </c>
      <c r="L856" s="23" t="n">
        <v>0</v>
      </c>
      <c r="M856" s="23">
        <f>IF('Brouillard ventes'!$F$290="","",'Brouillard ventes'!$H$290)</f>
        <v/>
      </c>
    </row>
    <row r="857">
      <c r="A857" s="22" t="inlineStr">
        <is>
          <t>1</t>
        </is>
      </c>
      <c r="B857" s="22">
        <f>IF('Brouillard ventes'!$F$291="","","VD"&amp;TEXT(ROW('Brouillard ventes'!$F$291)-5,"00000"))</f>
        <v/>
      </c>
      <c r="C857" s="22">
        <f>IF('Brouillard ventes'!$F$291="","",YEAR('Brouillard ventes'!$A$291)*10000+MONTH('Brouillard ventes'!$A$291)*100+DAY('Brouillard ventes'!$A$291))</f>
        <v/>
      </c>
      <c r="D857" s="22">
        <f>IF('Brouillard ventes'!$F$291="","",'Brouillard ventes'!$B$291)</f>
        <v/>
      </c>
      <c r="E857" s="22">
        <f>IF('Brouillard ventes'!$F$291="","",LEFT('Brouillard ventes'!$D$291,30))</f>
        <v/>
      </c>
      <c r="F857" s="22" t="inlineStr">
        <is>
          <t>15001</t>
        </is>
      </c>
      <c r="G857" s="22">
        <f>IF('Brouillard ventes'!$F$291="","",Paramètres!$B$7)</f>
        <v/>
      </c>
      <c r="H857" s="22">
        <f>IF('Brouillard ventes'!$F$291="","",IF('Brouillard ventes'!$C$291="","CD001",'Brouillard ventes'!$C$291))</f>
        <v/>
      </c>
      <c r="I857" s="22" t="inlineStr"/>
      <c r="J857" s="22" t="inlineStr"/>
      <c r="K857" s="22">
        <f>IF('Brouillard ventes'!$F$291="","",Paramètres!$B$11)</f>
        <v/>
      </c>
      <c r="L857" s="23">
        <f>IF('Brouillard ventes'!$F$291="","",'Brouillard ventes'!$I$291)</f>
        <v/>
      </c>
      <c r="M857" s="23" t="n">
        <v>0</v>
      </c>
    </row>
    <row r="858">
      <c r="A858" s="22" t="inlineStr">
        <is>
          <t>1</t>
        </is>
      </c>
      <c r="B858" s="22">
        <f>IF('Brouillard ventes'!$F$291="","","VD"&amp;TEXT(ROW('Brouillard ventes'!$F$291)-5,"00000"))</f>
        <v/>
      </c>
      <c r="C858" s="22">
        <f>IF('Brouillard ventes'!$F$291="","",YEAR('Brouillard ventes'!$A$291)*10000+MONTH('Brouillard ventes'!$A$291)*100+DAY('Brouillard ventes'!$A$291))</f>
        <v/>
      </c>
      <c r="D858" s="22">
        <f>IF('Brouillard ventes'!$F$291="","",'Brouillard ventes'!$B$291)</f>
        <v/>
      </c>
      <c r="E858" s="22">
        <f>IF('Brouillard ventes'!$F$291="","",LEFT('Brouillard ventes'!$D$291,30))</f>
        <v/>
      </c>
      <c r="F858" s="22" t="inlineStr">
        <is>
          <t>15001</t>
        </is>
      </c>
      <c r="G858" s="22">
        <f>IF('Brouillard ventes'!$F$291="","",IF('Brouillard ventes'!$E$291="Réparation",Paramètres!$B$9,Paramètres!$B$8))</f>
        <v/>
      </c>
      <c r="H858" s="22" t="inlineStr"/>
      <c r="I858" s="22" t="inlineStr"/>
      <c r="J858" s="22" t="inlineStr"/>
      <c r="K858" s="22">
        <f>IF('Brouillard ventes'!$F$291="","",Paramètres!$B$11)</f>
        <v/>
      </c>
      <c r="L858" s="23" t="n">
        <v>0</v>
      </c>
      <c r="M858" s="23">
        <f>IF('Brouillard ventes'!$F$291="","",'Brouillard ventes'!$F$291)</f>
        <v/>
      </c>
    </row>
    <row r="859">
      <c r="A859" s="22" t="inlineStr">
        <is>
          <t>1</t>
        </is>
      </c>
      <c r="B859" s="22">
        <f>IF('Brouillard ventes'!$F$291="","","VD"&amp;TEXT(ROW('Brouillard ventes'!$F$291)-5,"00000"))</f>
        <v/>
      </c>
      <c r="C859" s="22">
        <f>IF('Brouillard ventes'!$F$291="","",YEAR('Brouillard ventes'!$A$291)*10000+MONTH('Brouillard ventes'!$A$291)*100+DAY('Brouillard ventes'!$A$291))</f>
        <v/>
      </c>
      <c r="D859" s="22">
        <f>IF('Brouillard ventes'!$F$291="","",'Brouillard ventes'!$B$291)</f>
        <v/>
      </c>
      <c r="E859" s="22">
        <f>IF('Brouillard ventes'!$F$291="","",LEFT('Brouillard ventes'!$D$291,30))</f>
        <v/>
      </c>
      <c r="F859" s="22" t="inlineStr">
        <is>
          <t>15001</t>
        </is>
      </c>
      <c r="G859" s="22">
        <f>IF('Brouillard ventes'!$F$291="","",Paramètres!$B$10)</f>
        <v/>
      </c>
      <c r="H859" s="22" t="inlineStr"/>
      <c r="I859" s="22" t="inlineStr"/>
      <c r="J859" s="22" t="inlineStr"/>
      <c r="K859" s="22">
        <f>IF('Brouillard ventes'!$F$291="","",Paramètres!$B$11)</f>
        <v/>
      </c>
      <c r="L859" s="23" t="n">
        <v>0</v>
      </c>
      <c r="M859" s="23">
        <f>IF('Brouillard ventes'!$F$291="","",'Brouillard ventes'!$H$291)</f>
        <v/>
      </c>
    </row>
    <row r="860">
      <c r="A860" s="22" t="inlineStr">
        <is>
          <t>1</t>
        </is>
      </c>
      <c r="B860" s="22">
        <f>IF('Brouillard ventes'!$F$292="","","VD"&amp;TEXT(ROW('Brouillard ventes'!$F$292)-5,"00000"))</f>
        <v/>
      </c>
      <c r="C860" s="22">
        <f>IF('Brouillard ventes'!$F$292="","",YEAR('Brouillard ventes'!$A$292)*10000+MONTH('Brouillard ventes'!$A$292)*100+DAY('Brouillard ventes'!$A$292))</f>
        <v/>
      </c>
      <c r="D860" s="22">
        <f>IF('Brouillard ventes'!$F$292="","",'Brouillard ventes'!$B$292)</f>
        <v/>
      </c>
      <c r="E860" s="22">
        <f>IF('Brouillard ventes'!$F$292="","",LEFT('Brouillard ventes'!$D$292,30))</f>
        <v/>
      </c>
      <c r="F860" s="22" t="inlineStr">
        <is>
          <t>15001</t>
        </is>
      </c>
      <c r="G860" s="22">
        <f>IF('Brouillard ventes'!$F$292="","",Paramètres!$B$7)</f>
        <v/>
      </c>
      <c r="H860" s="22">
        <f>IF('Brouillard ventes'!$F$292="","",IF('Brouillard ventes'!$C$292="","CD001",'Brouillard ventes'!$C$292))</f>
        <v/>
      </c>
      <c r="I860" s="22" t="inlineStr"/>
      <c r="J860" s="22" t="inlineStr"/>
      <c r="K860" s="22">
        <f>IF('Brouillard ventes'!$F$292="","",Paramètres!$B$11)</f>
        <v/>
      </c>
      <c r="L860" s="23">
        <f>IF('Brouillard ventes'!$F$292="","",'Brouillard ventes'!$I$292)</f>
        <v/>
      </c>
      <c r="M860" s="23" t="n">
        <v>0</v>
      </c>
    </row>
    <row r="861">
      <c r="A861" s="22" t="inlineStr">
        <is>
          <t>1</t>
        </is>
      </c>
      <c r="B861" s="22">
        <f>IF('Brouillard ventes'!$F$292="","","VD"&amp;TEXT(ROW('Brouillard ventes'!$F$292)-5,"00000"))</f>
        <v/>
      </c>
      <c r="C861" s="22">
        <f>IF('Brouillard ventes'!$F$292="","",YEAR('Brouillard ventes'!$A$292)*10000+MONTH('Brouillard ventes'!$A$292)*100+DAY('Brouillard ventes'!$A$292))</f>
        <v/>
      </c>
      <c r="D861" s="22">
        <f>IF('Brouillard ventes'!$F$292="","",'Brouillard ventes'!$B$292)</f>
        <v/>
      </c>
      <c r="E861" s="22">
        <f>IF('Brouillard ventes'!$F$292="","",LEFT('Brouillard ventes'!$D$292,30))</f>
        <v/>
      </c>
      <c r="F861" s="22" t="inlineStr">
        <is>
          <t>15001</t>
        </is>
      </c>
      <c r="G861" s="22">
        <f>IF('Brouillard ventes'!$F$292="","",IF('Brouillard ventes'!$E$292="Réparation",Paramètres!$B$9,Paramètres!$B$8))</f>
        <v/>
      </c>
      <c r="H861" s="22" t="inlineStr"/>
      <c r="I861" s="22" t="inlineStr"/>
      <c r="J861" s="22" t="inlineStr"/>
      <c r="K861" s="22">
        <f>IF('Brouillard ventes'!$F$292="","",Paramètres!$B$11)</f>
        <v/>
      </c>
      <c r="L861" s="23" t="n">
        <v>0</v>
      </c>
      <c r="M861" s="23">
        <f>IF('Brouillard ventes'!$F$292="","",'Brouillard ventes'!$F$292)</f>
        <v/>
      </c>
    </row>
    <row r="862">
      <c r="A862" s="22" t="inlineStr">
        <is>
          <t>1</t>
        </is>
      </c>
      <c r="B862" s="22">
        <f>IF('Brouillard ventes'!$F$292="","","VD"&amp;TEXT(ROW('Brouillard ventes'!$F$292)-5,"00000"))</f>
        <v/>
      </c>
      <c r="C862" s="22">
        <f>IF('Brouillard ventes'!$F$292="","",YEAR('Brouillard ventes'!$A$292)*10000+MONTH('Brouillard ventes'!$A$292)*100+DAY('Brouillard ventes'!$A$292))</f>
        <v/>
      </c>
      <c r="D862" s="22">
        <f>IF('Brouillard ventes'!$F$292="","",'Brouillard ventes'!$B$292)</f>
        <v/>
      </c>
      <c r="E862" s="22">
        <f>IF('Brouillard ventes'!$F$292="","",LEFT('Brouillard ventes'!$D$292,30))</f>
        <v/>
      </c>
      <c r="F862" s="22" t="inlineStr">
        <is>
          <t>15001</t>
        </is>
      </c>
      <c r="G862" s="22">
        <f>IF('Brouillard ventes'!$F$292="","",Paramètres!$B$10)</f>
        <v/>
      </c>
      <c r="H862" s="22" t="inlineStr"/>
      <c r="I862" s="22" t="inlineStr"/>
      <c r="J862" s="22" t="inlineStr"/>
      <c r="K862" s="22">
        <f>IF('Brouillard ventes'!$F$292="","",Paramètres!$B$11)</f>
        <v/>
      </c>
      <c r="L862" s="23" t="n">
        <v>0</v>
      </c>
      <c r="M862" s="23">
        <f>IF('Brouillard ventes'!$F$292="","",'Brouillard ventes'!$H$292)</f>
        <v/>
      </c>
    </row>
    <row r="863">
      <c r="A863" s="22" t="inlineStr">
        <is>
          <t>1</t>
        </is>
      </c>
      <c r="B863" s="22">
        <f>IF('Brouillard ventes'!$F$293="","","VD"&amp;TEXT(ROW('Brouillard ventes'!$F$293)-5,"00000"))</f>
        <v/>
      </c>
      <c r="C863" s="22">
        <f>IF('Brouillard ventes'!$F$293="","",YEAR('Brouillard ventes'!$A$293)*10000+MONTH('Brouillard ventes'!$A$293)*100+DAY('Brouillard ventes'!$A$293))</f>
        <v/>
      </c>
      <c r="D863" s="22">
        <f>IF('Brouillard ventes'!$F$293="","",'Brouillard ventes'!$B$293)</f>
        <v/>
      </c>
      <c r="E863" s="22">
        <f>IF('Brouillard ventes'!$F$293="","",LEFT('Brouillard ventes'!$D$293,30))</f>
        <v/>
      </c>
      <c r="F863" s="22" t="inlineStr">
        <is>
          <t>15001</t>
        </is>
      </c>
      <c r="G863" s="22">
        <f>IF('Brouillard ventes'!$F$293="","",Paramètres!$B$7)</f>
        <v/>
      </c>
      <c r="H863" s="22">
        <f>IF('Brouillard ventes'!$F$293="","",IF('Brouillard ventes'!$C$293="","CD001",'Brouillard ventes'!$C$293))</f>
        <v/>
      </c>
      <c r="I863" s="22" t="inlineStr"/>
      <c r="J863" s="22" t="inlineStr"/>
      <c r="K863" s="22">
        <f>IF('Brouillard ventes'!$F$293="","",Paramètres!$B$11)</f>
        <v/>
      </c>
      <c r="L863" s="23">
        <f>IF('Brouillard ventes'!$F$293="","",'Brouillard ventes'!$I$293)</f>
        <v/>
      </c>
      <c r="M863" s="23" t="n">
        <v>0</v>
      </c>
    </row>
    <row r="864">
      <c r="A864" s="22" t="inlineStr">
        <is>
          <t>1</t>
        </is>
      </c>
      <c r="B864" s="22">
        <f>IF('Brouillard ventes'!$F$293="","","VD"&amp;TEXT(ROW('Brouillard ventes'!$F$293)-5,"00000"))</f>
        <v/>
      </c>
      <c r="C864" s="22">
        <f>IF('Brouillard ventes'!$F$293="","",YEAR('Brouillard ventes'!$A$293)*10000+MONTH('Brouillard ventes'!$A$293)*100+DAY('Brouillard ventes'!$A$293))</f>
        <v/>
      </c>
      <c r="D864" s="22">
        <f>IF('Brouillard ventes'!$F$293="","",'Brouillard ventes'!$B$293)</f>
        <v/>
      </c>
      <c r="E864" s="22">
        <f>IF('Brouillard ventes'!$F$293="","",LEFT('Brouillard ventes'!$D$293,30))</f>
        <v/>
      </c>
      <c r="F864" s="22" t="inlineStr">
        <is>
          <t>15001</t>
        </is>
      </c>
      <c r="G864" s="22">
        <f>IF('Brouillard ventes'!$F$293="","",IF('Brouillard ventes'!$E$293="Réparation",Paramètres!$B$9,Paramètres!$B$8))</f>
        <v/>
      </c>
      <c r="H864" s="22" t="inlineStr"/>
      <c r="I864" s="22" t="inlineStr"/>
      <c r="J864" s="22" t="inlineStr"/>
      <c r="K864" s="22">
        <f>IF('Brouillard ventes'!$F$293="","",Paramètres!$B$11)</f>
        <v/>
      </c>
      <c r="L864" s="23" t="n">
        <v>0</v>
      </c>
      <c r="M864" s="23">
        <f>IF('Brouillard ventes'!$F$293="","",'Brouillard ventes'!$F$293)</f>
        <v/>
      </c>
    </row>
    <row r="865">
      <c r="A865" s="22" t="inlineStr">
        <is>
          <t>1</t>
        </is>
      </c>
      <c r="B865" s="22">
        <f>IF('Brouillard ventes'!$F$293="","","VD"&amp;TEXT(ROW('Brouillard ventes'!$F$293)-5,"00000"))</f>
        <v/>
      </c>
      <c r="C865" s="22">
        <f>IF('Brouillard ventes'!$F$293="","",YEAR('Brouillard ventes'!$A$293)*10000+MONTH('Brouillard ventes'!$A$293)*100+DAY('Brouillard ventes'!$A$293))</f>
        <v/>
      </c>
      <c r="D865" s="22">
        <f>IF('Brouillard ventes'!$F$293="","",'Brouillard ventes'!$B$293)</f>
        <v/>
      </c>
      <c r="E865" s="22">
        <f>IF('Brouillard ventes'!$F$293="","",LEFT('Brouillard ventes'!$D$293,30))</f>
        <v/>
      </c>
      <c r="F865" s="22" t="inlineStr">
        <is>
          <t>15001</t>
        </is>
      </c>
      <c r="G865" s="22">
        <f>IF('Brouillard ventes'!$F$293="","",Paramètres!$B$10)</f>
        <v/>
      </c>
      <c r="H865" s="22" t="inlineStr"/>
      <c r="I865" s="22" t="inlineStr"/>
      <c r="J865" s="22" t="inlineStr"/>
      <c r="K865" s="22">
        <f>IF('Brouillard ventes'!$F$293="","",Paramètres!$B$11)</f>
        <v/>
      </c>
      <c r="L865" s="23" t="n">
        <v>0</v>
      </c>
      <c r="M865" s="23">
        <f>IF('Brouillard ventes'!$F$293="","",'Brouillard ventes'!$H$293)</f>
        <v/>
      </c>
    </row>
    <row r="866">
      <c r="A866" s="22" t="inlineStr">
        <is>
          <t>1</t>
        </is>
      </c>
      <c r="B866" s="22">
        <f>IF('Brouillard ventes'!$F$294="","","VD"&amp;TEXT(ROW('Brouillard ventes'!$F$294)-5,"00000"))</f>
        <v/>
      </c>
      <c r="C866" s="22">
        <f>IF('Brouillard ventes'!$F$294="","",YEAR('Brouillard ventes'!$A$294)*10000+MONTH('Brouillard ventes'!$A$294)*100+DAY('Brouillard ventes'!$A$294))</f>
        <v/>
      </c>
      <c r="D866" s="22">
        <f>IF('Brouillard ventes'!$F$294="","",'Brouillard ventes'!$B$294)</f>
        <v/>
      </c>
      <c r="E866" s="22">
        <f>IF('Brouillard ventes'!$F$294="","",LEFT('Brouillard ventes'!$D$294,30))</f>
        <v/>
      </c>
      <c r="F866" s="22" t="inlineStr">
        <is>
          <t>15001</t>
        </is>
      </c>
      <c r="G866" s="22">
        <f>IF('Brouillard ventes'!$F$294="","",Paramètres!$B$7)</f>
        <v/>
      </c>
      <c r="H866" s="22">
        <f>IF('Brouillard ventes'!$F$294="","",IF('Brouillard ventes'!$C$294="","CD001",'Brouillard ventes'!$C$294))</f>
        <v/>
      </c>
      <c r="I866" s="22" t="inlineStr"/>
      <c r="J866" s="22" t="inlineStr"/>
      <c r="K866" s="22">
        <f>IF('Brouillard ventes'!$F$294="","",Paramètres!$B$11)</f>
        <v/>
      </c>
      <c r="L866" s="23">
        <f>IF('Brouillard ventes'!$F$294="","",'Brouillard ventes'!$I$294)</f>
        <v/>
      </c>
      <c r="M866" s="23" t="n">
        <v>0</v>
      </c>
    </row>
    <row r="867">
      <c r="A867" s="22" t="inlineStr">
        <is>
          <t>1</t>
        </is>
      </c>
      <c r="B867" s="22">
        <f>IF('Brouillard ventes'!$F$294="","","VD"&amp;TEXT(ROW('Brouillard ventes'!$F$294)-5,"00000"))</f>
        <v/>
      </c>
      <c r="C867" s="22">
        <f>IF('Brouillard ventes'!$F$294="","",YEAR('Brouillard ventes'!$A$294)*10000+MONTH('Brouillard ventes'!$A$294)*100+DAY('Brouillard ventes'!$A$294))</f>
        <v/>
      </c>
      <c r="D867" s="22">
        <f>IF('Brouillard ventes'!$F$294="","",'Brouillard ventes'!$B$294)</f>
        <v/>
      </c>
      <c r="E867" s="22">
        <f>IF('Brouillard ventes'!$F$294="","",LEFT('Brouillard ventes'!$D$294,30))</f>
        <v/>
      </c>
      <c r="F867" s="22" t="inlineStr">
        <is>
          <t>15001</t>
        </is>
      </c>
      <c r="G867" s="22">
        <f>IF('Brouillard ventes'!$F$294="","",IF('Brouillard ventes'!$E$294="Réparation",Paramètres!$B$9,Paramètres!$B$8))</f>
        <v/>
      </c>
      <c r="H867" s="22" t="inlineStr"/>
      <c r="I867" s="22" t="inlineStr"/>
      <c r="J867" s="22" t="inlineStr"/>
      <c r="K867" s="22">
        <f>IF('Brouillard ventes'!$F$294="","",Paramètres!$B$11)</f>
        <v/>
      </c>
      <c r="L867" s="23" t="n">
        <v>0</v>
      </c>
      <c r="M867" s="23">
        <f>IF('Brouillard ventes'!$F$294="","",'Brouillard ventes'!$F$294)</f>
        <v/>
      </c>
    </row>
    <row r="868">
      <c r="A868" s="22" t="inlineStr">
        <is>
          <t>1</t>
        </is>
      </c>
      <c r="B868" s="22">
        <f>IF('Brouillard ventes'!$F$294="","","VD"&amp;TEXT(ROW('Brouillard ventes'!$F$294)-5,"00000"))</f>
        <v/>
      </c>
      <c r="C868" s="22">
        <f>IF('Brouillard ventes'!$F$294="","",YEAR('Brouillard ventes'!$A$294)*10000+MONTH('Brouillard ventes'!$A$294)*100+DAY('Brouillard ventes'!$A$294))</f>
        <v/>
      </c>
      <c r="D868" s="22">
        <f>IF('Brouillard ventes'!$F$294="","",'Brouillard ventes'!$B$294)</f>
        <v/>
      </c>
      <c r="E868" s="22">
        <f>IF('Brouillard ventes'!$F$294="","",LEFT('Brouillard ventes'!$D$294,30))</f>
        <v/>
      </c>
      <c r="F868" s="22" t="inlineStr">
        <is>
          <t>15001</t>
        </is>
      </c>
      <c r="G868" s="22">
        <f>IF('Brouillard ventes'!$F$294="","",Paramètres!$B$10)</f>
        <v/>
      </c>
      <c r="H868" s="22" t="inlineStr"/>
      <c r="I868" s="22" t="inlineStr"/>
      <c r="J868" s="22" t="inlineStr"/>
      <c r="K868" s="22">
        <f>IF('Brouillard ventes'!$F$294="","",Paramètres!$B$11)</f>
        <v/>
      </c>
      <c r="L868" s="23" t="n">
        <v>0</v>
      </c>
      <c r="M868" s="23">
        <f>IF('Brouillard ventes'!$F$294="","",'Brouillard ventes'!$H$294)</f>
        <v/>
      </c>
    </row>
    <row r="869">
      <c r="A869" s="22" t="inlineStr">
        <is>
          <t>1</t>
        </is>
      </c>
      <c r="B869" s="22">
        <f>IF('Brouillard ventes'!$F$295="","","VD"&amp;TEXT(ROW('Brouillard ventes'!$F$295)-5,"00000"))</f>
        <v/>
      </c>
      <c r="C869" s="22">
        <f>IF('Brouillard ventes'!$F$295="","",YEAR('Brouillard ventes'!$A$295)*10000+MONTH('Brouillard ventes'!$A$295)*100+DAY('Brouillard ventes'!$A$295))</f>
        <v/>
      </c>
      <c r="D869" s="22">
        <f>IF('Brouillard ventes'!$F$295="","",'Brouillard ventes'!$B$295)</f>
        <v/>
      </c>
      <c r="E869" s="22">
        <f>IF('Brouillard ventes'!$F$295="","",LEFT('Brouillard ventes'!$D$295,30))</f>
        <v/>
      </c>
      <c r="F869" s="22" t="inlineStr">
        <is>
          <t>15001</t>
        </is>
      </c>
      <c r="G869" s="22">
        <f>IF('Brouillard ventes'!$F$295="","",Paramètres!$B$7)</f>
        <v/>
      </c>
      <c r="H869" s="22">
        <f>IF('Brouillard ventes'!$F$295="","",IF('Brouillard ventes'!$C$295="","CD001",'Brouillard ventes'!$C$295))</f>
        <v/>
      </c>
      <c r="I869" s="22" t="inlineStr"/>
      <c r="J869" s="22" t="inlineStr"/>
      <c r="K869" s="22">
        <f>IF('Brouillard ventes'!$F$295="","",Paramètres!$B$11)</f>
        <v/>
      </c>
      <c r="L869" s="23">
        <f>IF('Brouillard ventes'!$F$295="","",'Brouillard ventes'!$I$295)</f>
        <v/>
      </c>
      <c r="M869" s="23" t="n">
        <v>0</v>
      </c>
    </row>
    <row r="870">
      <c r="A870" s="22" t="inlineStr">
        <is>
          <t>1</t>
        </is>
      </c>
      <c r="B870" s="22">
        <f>IF('Brouillard ventes'!$F$295="","","VD"&amp;TEXT(ROW('Brouillard ventes'!$F$295)-5,"00000"))</f>
        <v/>
      </c>
      <c r="C870" s="22">
        <f>IF('Brouillard ventes'!$F$295="","",YEAR('Brouillard ventes'!$A$295)*10000+MONTH('Brouillard ventes'!$A$295)*100+DAY('Brouillard ventes'!$A$295))</f>
        <v/>
      </c>
      <c r="D870" s="22">
        <f>IF('Brouillard ventes'!$F$295="","",'Brouillard ventes'!$B$295)</f>
        <v/>
      </c>
      <c r="E870" s="22">
        <f>IF('Brouillard ventes'!$F$295="","",LEFT('Brouillard ventes'!$D$295,30))</f>
        <v/>
      </c>
      <c r="F870" s="22" t="inlineStr">
        <is>
          <t>15001</t>
        </is>
      </c>
      <c r="G870" s="22">
        <f>IF('Brouillard ventes'!$F$295="","",IF('Brouillard ventes'!$E$295="Réparation",Paramètres!$B$9,Paramètres!$B$8))</f>
        <v/>
      </c>
      <c r="H870" s="22" t="inlineStr"/>
      <c r="I870" s="22" t="inlineStr"/>
      <c r="J870" s="22" t="inlineStr"/>
      <c r="K870" s="22">
        <f>IF('Brouillard ventes'!$F$295="","",Paramètres!$B$11)</f>
        <v/>
      </c>
      <c r="L870" s="23" t="n">
        <v>0</v>
      </c>
      <c r="M870" s="23">
        <f>IF('Brouillard ventes'!$F$295="","",'Brouillard ventes'!$F$295)</f>
        <v/>
      </c>
    </row>
    <row r="871">
      <c r="A871" s="22" t="inlineStr">
        <is>
          <t>1</t>
        </is>
      </c>
      <c r="B871" s="22">
        <f>IF('Brouillard ventes'!$F$295="","","VD"&amp;TEXT(ROW('Brouillard ventes'!$F$295)-5,"00000"))</f>
        <v/>
      </c>
      <c r="C871" s="22">
        <f>IF('Brouillard ventes'!$F$295="","",YEAR('Brouillard ventes'!$A$295)*10000+MONTH('Brouillard ventes'!$A$295)*100+DAY('Brouillard ventes'!$A$295))</f>
        <v/>
      </c>
      <c r="D871" s="22">
        <f>IF('Brouillard ventes'!$F$295="","",'Brouillard ventes'!$B$295)</f>
        <v/>
      </c>
      <c r="E871" s="22">
        <f>IF('Brouillard ventes'!$F$295="","",LEFT('Brouillard ventes'!$D$295,30))</f>
        <v/>
      </c>
      <c r="F871" s="22" t="inlineStr">
        <is>
          <t>15001</t>
        </is>
      </c>
      <c r="G871" s="22">
        <f>IF('Brouillard ventes'!$F$295="","",Paramètres!$B$10)</f>
        <v/>
      </c>
      <c r="H871" s="22" t="inlineStr"/>
      <c r="I871" s="22" t="inlineStr"/>
      <c r="J871" s="22" t="inlineStr"/>
      <c r="K871" s="22">
        <f>IF('Brouillard ventes'!$F$295="","",Paramètres!$B$11)</f>
        <v/>
      </c>
      <c r="L871" s="23" t="n">
        <v>0</v>
      </c>
      <c r="M871" s="23">
        <f>IF('Brouillard ventes'!$F$295="","",'Brouillard ventes'!$H$295)</f>
        <v/>
      </c>
    </row>
    <row r="872">
      <c r="A872" s="22" t="inlineStr">
        <is>
          <t>1</t>
        </is>
      </c>
      <c r="B872" s="22">
        <f>IF('Brouillard ventes'!$F$296="","","VD"&amp;TEXT(ROW('Brouillard ventes'!$F$296)-5,"00000"))</f>
        <v/>
      </c>
      <c r="C872" s="22">
        <f>IF('Brouillard ventes'!$F$296="","",YEAR('Brouillard ventes'!$A$296)*10000+MONTH('Brouillard ventes'!$A$296)*100+DAY('Brouillard ventes'!$A$296))</f>
        <v/>
      </c>
      <c r="D872" s="22">
        <f>IF('Brouillard ventes'!$F$296="","",'Brouillard ventes'!$B$296)</f>
        <v/>
      </c>
      <c r="E872" s="22">
        <f>IF('Brouillard ventes'!$F$296="","",LEFT('Brouillard ventes'!$D$296,30))</f>
        <v/>
      </c>
      <c r="F872" s="22" t="inlineStr">
        <is>
          <t>15001</t>
        </is>
      </c>
      <c r="G872" s="22">
        <f>IF('Brouillard ventes'!$F$296="","",Paramètres!$B$7)</f>
        <v/>
      </c>
      <c r="H872" s="22">
        <f>IF('Brouillard ventes'!$F$296="","",IF('Brouillard ventes'!$C$296="","CD001",'Brouillard ventes'!$C$296))</f>
        <v/>
      </c>
      <c r="I872" s="22" t="inlineStr"/>
      <c r="J872" s="22" t="inlineStr"/>
      <c r="K872" s="22">
        <f>IF('Brouillard ventes'!$F$296="","",Paramètres!$B$11)</f>
        <v/>
      </c>
      <c r="L872" s="23">
        <f>IF('Brouillard ventes'!$F$296="","",'Brouillard ventes'!$I$296)</f>
        <v/>
      </c>
      <c r="M872" s="23" t="n">
        <v>0</v>
      </c>
    </row>
    <row r="873">
      <c r="A873" s="22" t="inlineStr">
        <is>
          <t>1</t>
        </is>
      </c>
      <c r="B873" s="22">
        <f>IF('Brouillard ventes'!$F$296="","","VD"&amp;TEXT(ROW('Brouillard ventes'!$F$296)-5,"00000"))</f>
        <v/>
      </c>
      <c r="C873" s="22">
        <f>IF('Brouillard ventes'!$F$296="","",YEAR('Brouillard ventes'!$A$296)*10000+MONTH('Brouillard ventes'!$A$296)*100+DAY('Brouillard ventes'!$A$296))</f>
        <v/>
      </c>
      <c r="D873" s="22">
        <f>IF('Brouillard ventes'!$F$296="","",'Brouillard ventes'!$B$296)</f>
        <v/>
      </c>
      <c r="E873" s="22">
        <f>IF('Brouillard ventes'!$F$296="","",LEFT('Brouillard ventes'!$D$296,30))</f>
        <v/>
      </c>
      <c r="F873" s="22" t="inlineStr">
        <is>
          <t>15001</t>
        </is>
      </c>
      <c r="G873" s="22">
        <f>IF('Brouillard ventes'!$F$296="","",IF('Brouillard ventes'!$E$296="Réparation",Paramètres!$B$9,Paramètres!$B$8))</f>
        <v/>
      </c>
      <c r="H873" s="22" t="inlineStr"/>
      <c r="I873" s="22" t="inlineStr"/>
      <c r="J873" s="22" t="inlineStr"/>
      <c r="K873" s="22">
        <f>IF('Brouillard ventes'!$F$296="","",Paramètres!$B$11)</f>
        <v/>
      </c>
      <c r="L873" s="23" t="n">
        <v>0</v>
      </c>
      <c r="M873" s="23">
        <f>IF('Brouillard ventes'!$F$296="","",'Brouillard ventes'!$F$296)</f>
        <v/>
      </c>
    </row>
    <row r="874">
      <c r="A874" s="22" t="inlineStr">
        <is>
          <t>1</t>
        </is>
      </c>
      <c r="B874" s="22">
        <f>IF('Brouillard ventes'!$F$296="","","VD"&amp;TEXT(ROW('Brouillard ventes'!$F$296)-5,"00000"))</f>
        <v/>
      </c>
      <c r="C874" s="22">
        <f>IF('Brouillard ventes'!$F$296="","",YEAR('Brouillard ventes'!$A$296)*10000+MONTH('Brouillard ventes'!$A$296)*100+DAY('Brouillard ventes'!$A$296))</f>
        <v/>
      </c>
      <c r="D874" s="22">
        <f>IF('Brouillard ventes'!$F$296="","",'Brouillard ventes'!$B$296)</f>
        <v/>
      </c>
      <c r="E874" s="22">
        <f>IF('Brouillard ventes'!$F$296="","",LEFT('Brouillard ventes'!$D$296,30))</f>
        <v/>
      </c>
      <c r="F874" s="22" t="inlineStr">
        <is>
          <t>15001</t>
        </is>
      </c>
      <c r="G874" s="22">
        <f>IF('Brouillard ventes'!$F$296="","",Paramètres!$B$10)</f>
        <v/>
      </c>
      <c r="H874" s="22" t="inlineStr"/>
      <c r="I874" s="22" t="inlineStr"/>
      <c r="J874" s="22" t="inlineStr"/>
      <c r="K874" s="22">
        <f>IF('Brouillard ventes'!$F$296="","",Paramètres!$B$11)</f>
        <v/>
      </c>
      <c r="L874" s="23" t="n">
        <v>0</v>
      </c>
      <c r="M874" s="23">
        <f>IF('Brouillard ventes'!$F$296="","",'Brouillard ventes'!$H$296)</f>
        <v/>
      </c>
    </row>
    <row r="875">
      <c r="A875" s="22" t="inlineStr">
        <is>
          <t>1</t>
        </is>
      </c>
      <c r="B875" s="22">
        <f>IF('Brouillard ventes'!$F$297="","","VD"&amp;TEXT(ROW('Brouillard ventes'!$F$297)-5,"00000"))</f>
        <v/>
      </c>
      <c r="C875" s="22">
        <f>IF('Brouillard ventes'!$F$297="","",YEAR('Brouillard ventes'!$A$297)*10000+MONTH('Brouillard ventes'!$A$297)*100+DAY('Brouillard ventes'!$A$297))</f>
        <v/>
      </c>
      <c r="D875" s="22">
        <f>IF('Brouillard ventes'!$F$297="","",'Brouillard ventes'!$B$297)</f>
        <v/>
      </c>
      <c r="E875" s="22">
        <f>IF('Brouillard ventes'!$F$297="","",LEFT('Brouillard ventes'!$D$297,30))</f>
        <v/>
      </c>
      <c r="F875" s="22" t="inlineStr">
        <is>
          <t>15001</t>
        </is>
      </c>
      <c r="G875" s="22">
        <f>IF('Brouillard ventes'!$F$297="","",Paramètres!$B$7)</f>
        <v/>
      </c>
      <c r="H875" s="22">
        <f>IF('Brouillard ventes'!$F$297="","",IF('Brouillard ventes'!$C$297="","CD001",'Brouillard ventes'!$C$297))</f>
        <v/>
      </c>
      <c r="I875" s="22" t="inlineStr"/>
      <c r="J875" s="22" t="inlineStr"/>
      <c r="K875" s="22">
        <f>IF('Brouillard ventes'!$F$297="","",Paramètres!$B$11)</f>
        <v/>
      </c>
      <c r="L875" s="23">
        <f>IF('Brouillard ventes'!$F$297="","",'Brouillard ventes'!$I$297)</f>
        <v/>
      </c>
      <c r="M875" s="23" t="n">
        <v>0</v>
      </c>
    </row>
    <row r="876">
      <c r="A876" s="22" t="inlineStr">
        <is>
          <t>1</t>
        </is>
      </c>
      <c r="B876" s="22">
        <f>IF('Brouillard ventes'!$F$297="","","VD"&amp;TEXT(ROW('Brouillard ventes'!$F$297)-5,"00000"))</f>
        <v/>
      </c>
      <c r="C876" s="22">
        <f>IF('Brouillard ventes'!$F$297="","",YEAR('Brouillard ventes'!$A$297)*10000+MONTH('Brouillard ventes'!$A$297)*100+DAY('Brouillard ventes'!$A$297))</f>
        <v/>
      </c>
      <c r="D876" s="22">
        <f>IF('Brouillard ventes'!$F$297="","",'Brouillard ventes'!$B$297)</f>
        <v/>
      </c>
      <c r="E876" s="22">
        <f>IF('Brouillard ventes'!$F$297="","",LEFT('Brouillard ventes'!$D$297,30))</f>
        <v/>
      </c>
      <c r="F876" s="22" t="inlineStr">
        <is>
          <t>15001</t>
        </is>
      </c>
      <c r="G876" s="22">
        <f>IF('Brouillard ventes'!$F$297="","",IF('Brouillard ventes'!$E$297="Réparation",Paramètres!$B$9,Paramètres!$B$8))</f>
        <v/>
      </c>
      <c r="H876" s="22" t="inlineStr"/>
      <c r="I876" s="22" t="inlineStr"/>
      <c r="J876" s="22" t="inlineStr"/>
      <c r="K876" s="22">
        <f>IF('Brouillard ventes'!$F$297="","",Paramètres!$B$11)</f>
        <v/>
      </c>
      <c r="L876" s="23" t="n">
        <v>0</v>
      </c>
      <c r="M876" s="23">
        <f>IF('Brouillard ventes'!$F$297="","",'Brouillard ventes'!$F$297)</f>
        <v/>
      </c>
    </row>
    <row r="877">
      <c r="A877" s="22" t="inlineStr">
        <is>
          <t>1</t>
        </is>
      </c>
      <c r="B877" s="22">
        <f>IF('Brouillard ventes'!$F$297="","","VD"&amp;TEXT(ROW('Brouillard ventes'!$F$297)-5,"00000"))</f>
        <v/>
      </c>
      <c r="C877" s="22">
        <f>IF('Brouillard ventes'!$F$297="","",YEAR('Brouillard ventes'!$A$297)*10000+MONTH('Brouillard ventes'!$A$297)*100+DAY('Brouillard ventes'!$A$297))</f>
        <v/>
      </c>
      <c r="D877" s="22">
        <f>IF('Brouillard ventes'!$F$297="","",'Brouillard ventes'!$B$297)</f>
        <v/>
      </c>
      <c r="E877" s="22">
        <f>IF('Brouillard ventes'!$F$297="","",LEFT('Brouillard ventes'!$D$297,30))</f>
        <v/>
      </c>
      <c r="F877" s="22" t="inlineStr">
        <is>
          <t>15001</t>
        </is>
      </c>
      <c r="G877" s="22">
        <f>IF('Brouillard ventes'!$F$297="","",Paramètres!$B$10)</f>
        <v/>
      </c>
      <c r="H877" s="22" t="inlineStr"/>
      <c r="I877" s="22" t="inlineStr"/>
      <c r="J877" s="22" t="inlineStr"/>
      <c r="K877" s="22">
        <f>IF('Brouillard ventes'!$F$297="","",Paramètres!$B$11)</f>
        <v/>
      </c>
      <c r="L877" s="23" t="n">
        <v>0</v>
      </c>
      <c r="M877" s="23">
        <f>IF('Brouillard ventes'!$F$297="","",'Brouillard ventes'!$H$297)</f>
        <v/>
      </c>
    </row>
    <row r="878">
      <c r="A878" s="22" t="inlineStr">
        <is>
          <t>1</t>
        </is>
      </c>
      <c r="B878" s="22">
        <f>IF('Brouillard ventes'!$F$298="","","VD"&amp;TEXT(ROW('Brouillard ventes'!$F$298)-5,"00000"))</f>
        <v/>
      </c>
      <c r="C878" s="22">
        <f>IF('Brouillard ventes'!$F$298="","",YEAR('Brouillard ventes'!$A$298)*10000+MONTH('Brouillard ventes'!$A$298)*100+DAY('Brouillard ventes'!$A$298))</f>
        <v/>
      </c>
      <c r="D878" s="22">
        <f>IF('Brouillard ventes'!$F$298="","",'Brouillard ventes'!$B$298)</f>
        <v/>
      </c>
      <c r="E878" s="22">
        <f>IF('Brouillard ventes'!$F$298="","",LEFT('Brouillard ventes'!$D$298,30))</f>
        <v/>
      </c>
      <c r="F878" s="22" t="inlineStr">
        <is>
          <t>15001</t>
        </is>
      </c>
      <c r="G878" s="22">
        <f>IF('Brouillard ventes'!$F$298="","",Paramètres!$B$7)</f>
        <v/>
      </c>
      <c r="H878" s="22">
        <f>IF('Brouillard ventes'!$F$298="","",IF('Brouillard ventes'!$C$298="","CD001",'Brouillard ventes'!$C$298))</f>
        <v/>
      </c>
      <c r="I878" s="22" t="inlineStr"/>
      <c r="J878" s="22" t="inlineStr"/>
      <c r="K878" s="22">
        <f>IF('Brouillard ventes'!$F$298="","",Paramètres!$B$11)</f>
        <v/>
      </c>
      <c r="L878" s="23">
        <f>IF('Brouillard ventes'!$F$298="","",'Brouillard ventes'!$I$298)</f>
        <v/>
      </c>
      <c r="M878" s="23" t="n">
        <v>0</v>
      </c>
    </row>
    <row r="879">
      <c r="A879" s="22" t="inlineStr">
        <is>
          <t>1</t>
        </is>
      </c>
      <c r="B879" s="22">
        <f>IF('Brouillard ventes'!$F$298="","","VD"&amp;TEXT(ROW('Brouillard ventes'!$F$298)-5,"00000"))</f>
        <v/>
      </c>
      <c r="C879" s="22">
        <f>IF('Brouillard ventes'!$F$298="","",YEAR('Brouillard ventes'!$A$298)*10000+MONTH('Brouillard ventes'!$A$298)*100+DAY('Brouillard ventes'!$A$298))</f>
        <v/>
      </c>
      <c r="D879" s="22">
        <f>IF('Brouillard ventes'!$F$298="","",'Brouillard ventes'!$B$298)</f>
        <v/>
      </c>
      <c r="E879" s="22">
        <f>IF('Brouillard ventes'!$F$298="","",LEFT('Brouillard ventes'!$D$298,30))</f>
        <v/>
      </c>
      <c r="F879" s="22" t="inlineStr">
        <is>
          <t>15001</t>
        </is>
      </c>
      <c r="G879" s="22">
        <f>IF('Brouillard ventes'!$F$298="","",IF('Brouillard ventes'!$E$298="Réparation",Paramètres!$B$9,Paramètres!$B$8))</f>
        <v/>
      </c>
      <c r="H879" s="22" t="inlineStr"/>
      <c r="I879" s="22" t="inlineStr"/>
      <c r="J879" s="22" t="inlineStr"/>
      <c r="K879" s="22">
        <f>IF('Brouillard ventes'!$F$298="","",Paramètres!$B$11)</f>
        <v/>
      </c>
      <c r="L879" s="23" t="n">
        <v>0</v>
      </c>
      <c r="M879" s="23">
        <f>IF('Brouillard ventes'!$F$298="","",'Brouillard ventes'!$F$298)</f>
        <v/>
      </c>
    </row>
    <row r="880">
      <c r="A880" s="22" t="inlineStr">
        <is>
          <t>1</t>
        </is>
      </c>
      <c r="B880" s="22">
        <f>IF('Brouillard ventes'!$F$298="","","VD"&amp;TEXT(ROW('Brouillard ventes'!$F$298)-5,"00000"))</f>
        <v/>
      </c>
      <c r="C880" s="22">
        <f>IF('Brouillard ventes'!$F$298="","",YEAR('Brouillard ventes'!$A$298)*10000+MONTH('Brouillard ventes'!$A$298)*100+DAY('Brouillard ventes'!$A$298))</f>
        <v/>
      </c>
      <c r="D880" s="22">
        <f>IF('Brouillard ventes'!$F$298="","",'Brouillard ventes'!$B$298)</f>
        <v/>
      </c>
      <c r="E880" s="22">
        <f>IF('Brouillard ventes'!$F$298="","",LEFT('Brouillard ventes'!$D$298,30))</f>
        <v/>
      </c>
      <c r="F880" s="22" t="inlineStr">
        <is>
          <t>15001</t>
        </is>
      </c>
      <c r="G880" s="22">
        <f>IF('Brouillard ventes'!$F$298="","",Paramètres!$B$10)</f>
        <v/>
      </c>
      <c r="H880" s="22" t="inlineStr"/>
      <c r="I880" s="22" t="inlineStr"/>
      <c r="J880" s="22" t="inlineStr"/>
      <c r="K880" s="22">
        <f>IF('Brouillard ventes'!$F$298="","",Paramètres!$B$11)</f>
        <v/>
      </c>
      <c r="L880" s="23" t="n">
        <v>0</v>
      </c>
      <c r="M880" s="23">
        <f>IF('Brouillard ventes'!$F$298="","",'Brouillard ventes'!$H$298)</f>
        <v/>
      </c>
    </row>
    <row r="881">
      <c r="A881" s="22" t="inlineStr">
        <is>
          <t>1</t>
        </is>
      </c>
      <c r="B881" s="22">
        <f>IF('Brouillard ventes'!$F$299="","","VD"&amp;TEXT(ROW('Brouillard ventes'!$F$299)-5,"00000"))</f>
        <v/>
      </c>
      <c r="C881" s="22">
        <f>IF('Brouillard ventes'!$F$299="","",YEAR('Brouillard ventes'!$A$299)*10000+MONTH('Brouillard ventes'!$A$299)*100+DAY('Brouillard ventes'!$A$299))</f>
        <v/>
      </c>
      <c r="D881" s="22">
        <f>IF('Brouillard ventes'!$F$299="","",'Brouillard ventes'!$B$299)</f>
        <v/>
      </c>
      <c r="E881" s="22">
        <f>IF('Brouillard ventes'!$F$299="","",LEFT('Brouillard ventes'!$D$299,30))</f>
        <v/>
      </c>
      <c r="F881" s="22" t="inlineStr">
        <is>
          <t>15001</t>
        </is>
      </c>
      <c r="G881" s="22">
        <f>IF('Brouillard ventes'!$F$299="","",Paramètres!$B$7)</f>
        <v/>
      </c>
      <c r="H881" s="22">
        <f>IF('Brouillard ventes'!$F$299="","",IF('Brouillard ventes'!$C$299="","CD001",'Brouillard ventes'!$C$299))</f>
        <v/>
      </c>
      <c r="I881" s="22" t="inlineStr"/>
      <c r="J881" s="22" t="inlineStr"/>
      <c r="K881" s="22">
        <f>IF('Brouillard ventes'!$F$299="","",Paramètres!$B$11)</f>
        <v/>
      </c>
      <c r="L881" s="23">
        <f>IF('Brouillard ventes'!$F$299="","",'Brouillard ventes'!$I$299)</f>
        <v/>
      </c>
      <c r="M881" s="23" t="n">
        <v>0</v>
      </c>
    </row>
    <row r="882">
      <c r="A882" s="22" t="inlineStr">
        <is>
          <t>1</t>
        </is>
      </c>
      <c r="B882" s="22">
        <f>IF('Brouillard ventes'!$F$299="","","VD"&amp;TEXT(ROW('Brouillard ventes'!$F$299)-5,"00000"))</f>
        <v/>
      </c>
      <c r="C882" s="22">
        <f>IF('Brouillard ventes'!$F$299="","",YEAR('Brouillard ventes'!$A$299)*10000+MONTH('Brouillard ventes'!$A$299)*100+DAY('Brouillard ventes'!$A$299))</f>
        <v/>
      </c>
      <c r="D882" s="22">
        <f>IF('Brouillard ventes'!$F$299="","",'Brouillard ventes'!$B$299)</f>
        <v/>
      </c>
      <c r="E882" s="22">
        <f>IF('Brouillard ventes'!$F$299="","",LEFT('Brouillard ventes'!$D$299,30))</f>
        <v/>
      </c>
      <c r="F882" s="22" t="inlineStr">
        <is>
          <t>15001</t>
        </is>
      </c>
      <c r="G882" s="22">
        <f>IF('Brouillard ventes'!$F$299="","",IF('Brouillard ventes'!$E$299="Réparation",Paramètres!$B$9,Paramètres!$B$8))</f>
        <v/>
      </c>
      <c r="H882" s="22" t="inlineStr"/>
      <c r="I882" s="22" t="inlineStr"/>
      <c r="J882" s="22" t="inlineStr"/>
      <c r="K882" s="22">
        <f>IF('Brouillard ventes'!$F$299="","",Paramètres!$B$11)</f>
        <v/>
      </c>
      <c r="L882" s="23" t="n">
        <v>0</v>
      </c>
      <c r="M882" s="23">
        <f>IF('Brouillard ventes'!$F$299="","",'Brouillard ventes'!$F$299)</f>
        <v/>
      </c>
    </row>
    <row r="883">
      <c r="A883" s="22" t="inlineStr">
        <is>
          <t>1</t>
        </is>
      </c>
      <c r="B883" s="22">
        <f>IF('Brouillard ventes'!$F$299="","","VD"&amp;TEXT(ROW('Brouillard ventes'!$F$299)-5,"00000"))</f>
        <v/>
      </c>
      <c r="C883" s="22">
        <f>IF('Brouillard ventes'!$F$299="","",YEAR('Brouillard ventes'!$A$299)*10000+MONTH('Brouillard ventes'!$A$299)*100+DAY('Brouillard ventes'!$A$299))</f>
        <v/>
      </c>
      <c r="D883" s="22">
        <f>IF('Brouillard ventes'!$F$299="","",'Brouillard ventes'!$B$299)</f>
        <v/>
      </c>
      <c r="E883" s="22">
        <f>IF('Brouillard ventes'!$F$299="","",LEFT('Brouillard ventes'!$D$299,30))</f>
        <v/>
      </c>
      <c r="F883" s="22" t="inlineStr">
        <is>
          <t>15001</t>
        </is>
      </c>
      <c r="G883" s="22">
        <f>IF('Brouillard ventes'!$F$299="","",Paramètres!$B$10)</f>
        <v/>
      </c>
      <c r="H883" s="22" t="inlineStr"/>
      <c r="I883" s="22" t="inlineStr"/>
      <c r="J883" s="22" t="inlineStr"/>
      <c r="K883" s="22">
        <f>IF('Brouillard ventes'!$F$299="","",Paramètres!$B$11)</f>
        <v/>
      </c>
      <c r="L883" s="23" t="n">
        <v>0</v>
      </c>
      <c r="M883" s="23">
        <f>IF('Brouillard ventes'!$F$299="","",'Brouillard ventes'!$H$299)</f>
        <v/>
      </c>
    </row>
    <row r="884">
      <c r="A884" s="22" t="inlineStr">
        <is>
          <t>1</t>
        </is>
      </c>
      <c r="B884" s="22">
        <f>IF('Brouillard ventes'!$F$300="","","VD"&amp;TEXT(ROW('Brouillard ventes'!$F$300)-5,"00000"))</f>
        <v/>
      </c>
      <c r="C884" s="22">
        <f>IF('Brouillard ventes'!$F$300="","",YEAR('Brouillard ventes'!$A$300)*10000+MONTH('Brouillard ventes'!$A$300)*100+DAY('Brouillard ventes'!$A$300))</f>
        <v/>
      </c>
      <c r="D884" s="22">
        <f>IF('Brouillard ventes'!$F$300="","",'Brouillard ventes'!$B$300)</f>
        <v/>
      </c>
      <c r="E884" s="22">
        <f>IF('Brouillard ventes'!$F$300="","",LEFT('Brouillard ventes'!$D$300,30))</f>
        <v/>
      </c>
      <c r="F884" s="22" t="inlineStr">
        <is>
          <t>15001</t>
        </is>
      </c>
      <c r="G884" s="22">
        <f>IF('Brouillard ventes'!$F$300="","",Paramètres!$B$7)</f>
        <v/>
      </c>
      <c r="H884" s="22">
        <f>IF('Brouillard ventes'!$F$300="","",IF('Brouillard ventes'!$C$300="","CD001",'Brouillard ventes'!$C$300))</f>
        <v/>
      </c>
      <c r="I884" s="22" t="inlineStr"/>
      <c r="J884" s="22" t="inlineStr"/>
      <c r="K884" s="22">
        <f>IF('Brouillard ventes'!$F$300="","",Paramètres!$B$11)</f>
        <v/>
      </c>
      <c r="L884" s="23">
        <f>IF('Brouillard ventes'!$F$300="","",'Brouillard ventes'!$I$300)</f>
        <v/>
      </c>
      <c r="M884" s="23" t="n">
        <v>0</v>
      </c>
    </row>
    <row r="885">
      <c r="A885" s="22" t="inlineStr">
        <is>
          <t>1</t>
        </is>
      </c>
      <c r="B885" s="22">
        <f>IF('Brouillard ventes'!$F$300="","","VD"&amp;TEXT(ROW('Brouillard ventes'!$F$300)-5,"00000"))</f>
        <v/>
      </c>
      <c r="C885" s="22">
        <f>IF('Brouillard ventes'!$F$300="","",YEAR('Brouillard ventes'!$A$300)*10000+MONTH('Brouillard ventes'!$A$300)*100+DAY('Brouillard ventes'!$A$300))</f>
        <v/>
      </c>
      <c r="D885" s="22">
        <f>IF('Brouillard ventes'!$F$300="","",'Brouillard ventes'!$B$300)</f>
        <v/>
      </c>
      <c r="E885" s="22">
        <f>IF('Brouillard ventes'!$F$300="","",LEFT('Brouillard ventes'!$D$300,30))</f>
        <v/>
      </c>
      <c r="F885" s="22" t="inlineStr">
        <is>
          <t>15001</t>
        </is>
      </c>
      <c r="G885" s="22">
        <f>IF('Brouillard ventes'!$F$300="","",IF('Brouillard ventes'!$E$300="Réparation",Paramètres!$B$9,Paramètres!$B$8))</f>
        <v/>
      </c>
      <c r="H885" s="22" t="inlineStr"/>
      <c r="I885" s="22" t="inlineStr"/>
      <c r="J885" s="22" t="inlineStr"/>
      <c r="K885" s="22">
        <f>IF('Brouillard ventes'!$F$300="","",Paramètres!$B$11)</f>
        <v/>
      </c>
      <c r="L885" s="23" t="n">
        <v>0</v>
      </c>
      <c r="M885" s="23">
        <f>IF('Brouillard ventes'!$F$300="","",'Brouillard ventes'!$F$300)</f>
        <v/>
      </c>
    </row>
    <row r="886">
      <c r="A886" s="22" t="inlineStr">
        <is>
          <t>1</t>
        </is>
      </c>
      <c r="B886" s="22">
        <f>IF('Brouillard ventes'!$F$300="","","VD"&amp;TEXT(ROW('Brouillard ventes'!$F$300)-5,"00000"))</f>
        <v/>
      </c>
      <c r="C886" s="22">
        <f>IF('Brouillard ventes'!$F$300="","",YEAR('Brouillard ventes'!$A$300)*10000+MONTH('Brouillard ventes'!$A$300)*100+DAY('Brouillard ventes'!$A$300))</f>
        <v/>
      </c>
      <c r="D886" s="22">
        <f>IF('Brouillard ventes'!$F$300="","",'Brouillard ventes'!$B$300)</f>
        <v/>
      </c>
      <c r="E886" s="22">
        <f>IF('Brouillard ventes'!$F$300="","",LEFT('Brouillard ventes'!$D$300,30))</f>
        <v/>
      </c>
      <c r="F886" s="22" t="inlineStr">
        <is>
          <t>15001</t>
        </is>
      </c>
      <c r="G886" s="22">
        <f>IF('Brouillard ventes'!$F$300="","",Paramètres!$B$10)</f>
        <v/>
      </c>
      <c r="H886" s="22" t="inlineStr"/>
      <c r="I886" s="22" t="inlineStr"/>
      <c r="J886" s="22" t="inlineStr"/>
      <c r="K886" s="22">
        <f>IF('Brouillard ventes'!$F$300="","",Paramètres!$B$11)</f>
        <v/>
      </c>
      <c r="L886" s="23" t="n">
        <v>0</v>
      </c>
      <c r="M886" s="23">
        <f>IF('Brouillard ventes'!$F$300="","",'Brouillard ventes'!$H$300)</f>
        <v/>
      </c>
    </row>
    <row r="887">
      <c r="A887" s="22" t="inlineStr">
        <is>
          <t>1</t>
        </is>
      </c>
      <c r="B887" s="22">
        <f>IF('Brouillard ventes'!$F$301="","","VD"&amp;TEXT(ROW('Brouillard ventes'!$F$301)-5,"00000"))</f>
        <v/>
      </c>
      <c r="C887" s="22">
        <f>IF('Brouillard ventes'!$F$301="","",YEAR('Brouillard ventes'!$A$301)*10000+MONTH('Brouillard ventes'!$A$301)*100+DAY('Brouillard ventes'!$A$301))</f>
        <v/>
      </c>
      <c r="D887" s="22">
        <f>IF('Brouillard ventes'!$F$301="","",'Brouillard ventes'!$B$301)</f>
        <v/>
      </c>
      <c r="E887" s="22">
        <f>IF('Brouillard ventes'!$F$301="","",LEFT('Brouillard ventes'!$D$301,30))</f>
        <v/>
      </c>
      <c r="F887" s="22" t="inlineStr">
        <is>
          <t>15001</t>
        </is>
      </c>
      <c r="G887" s="22">
        <f>IF('Brouillard ventes'!$F$301="","",Paramètres!$B$7)</f>
        <v/>
      </c>
      <c r="H887" s="22">
        <f>IF('Brouillard ventes'!$F$301="","",IF('Brouillard ventes'!$C$301="","CD001",'Brouillard ventes'!$C$301))</f>
        <v/>
      </c>
      <c r="I887" s="22" t="inlineStr"/>
      <c r="J887" s="22" t="inlineStr"/>
      <c r="K887" s="22">
        <f>IF('Brouillard ventes'!$F$301="","",Paramètres!$B$11)</f>
        <v/>
      </c>
      <c r="L887" s="23">
        <f>IF('Brouillard ventes'!$F$301="","",'Brouillard ventes'!$I$301)</f>
        <v/>
      </c>
      <c r="M887" s="23" t="n">
        <v>0</v>
      </c>
    </row>
    <row r="888">
      <c r="A888" s="22" t="inlineStr">
        <is>
          <t>1</t>
        </is>
      </c>
      <c r="B888" s="22">
        <f>IF('Brouillard ventes'!$F$301="","","VD"&amp;TEXT(ROW('Brouillard ventes'!$F$301)-5,"00000"))</f>
        <v/>
      </c>
      <c r="C888" s="22">
        <f>IF('Brouillard ventes'!$F$301="","",YEAR('Brouillard ventes'!$A$301)*10000+MONTH('Brouillard ventes'!$A$301)*100+DAY('Brouillard ventes'!$A$301))</f>
        <v/>
      </c>
      <c r="D888" s="22">
        <f>IF('Brouillard ventes'!$F$301="","",'Brouillard ventes'!$B$301)</f>
        <v/>
      </c>
      <c r="E888" s="22">
        <f>IF('Brouillard ventes'!$F$301="","",LEFT('Brouillard ventes'!$D$301,30))</f>
        <v/>
      </c>
      <c r="F888" s="22" t="inlineStr">
        <is>
          <t>15001</t>
        </is>
      </c>
      <c r="G888" s="22">
        <f>IF('Brouillard ventes'!$F$301="","",IF('Brouillard ventes'!$E$301="Réparation",Paramètres!$B$9,Paramètres!$B$8))</f>
        <v/>
      </c>
      <c r="H888" s="22" t="inlineStr"/>
      <c r="I888" s="22" t="inlineStr"/>
      <c r="J888" s="22" t="inlineStr"/>
      <c r="K888" s="22">
        <f>IF('Brouillard ventes'!$F$301="","",Paramètres!$B$11)</f>
        <v/>
      </c>
      <c r="L888" s="23" t="n">
        <v>0</v>
      </c>
      <c r="M888" s="23">
        <f>IF('Brouillard ventes'!$F$301="","",'Brouillard ventes'!$F$301)</f>
        <v/>
      </c>
    </row>
    <row r="889">
      <c r="A889" s="22" t="inlineStr">
        <is>
          <t>1</t>
        </is>
      </c>
      <c r="B889" s="22">
        <f>IF('Brouillard ventes'!$F$301="","","VD"&amp;TEXT(ROW('Brouillard ventes'!$F$301)-5,"00000"))</f>
        <v/>
      </c>
      <c r="C889" s="22">
        <f>IF('Brouillard ventes'!$F$301="","",YEAR('Brouillard ventes'!$A$301)*10000+MONTH('Brouillard ventes'!$A$301)*100+DAY('Brouillard ventes'!$A$301))</f>
        <v/>
      </c>
      <c r="D889" s="22">
        <f>IF('Brouillard ventes'!$F$301="","",'Brouillard ventes'!$B$301)</f>
        <v/>
      </c>
      <c r="E889" s="22">
        <f>IF('Brouillard ventes'!$F$301="","",LEFT('Brouillard ventes'!$D$301,30))</f>
        <v/>
      </c>
      <c r="F889" s="22" t="inlineStr">
        <is>
          <t>15001</t>
        </is>
      </c>
      <c r="G889" s="22">
        <f>IF('Brouillard ventes'!$F$301="","",Paramètres!$B$10)</f>
        <v/>
      </c>
      <c r="H889" s="22" t="inlineStr"/>
      <c r="I889" s="22" t="inlineStr"/>
      <c r="J889" s="22" t="inlineStr"/>
      <c r="K889" s="22">
        <f>IF('Brouillard ventes'!$F$301="","",Paramètres!$B$11)</f>
        <v/>
      </c>
      <c r="L889" s="23" t="n">
        <v>0</v>
      </c>
      <c r="M889" s="23">
        <f>IF('Brouillard ventes'!$F$301="","",'Brouillard ventes'!$H$301)</f>
        <v/>
      </c>
    </row>
    <row r="890">
      <c r="A890" s="22" t="inlineStr">
        <is>
          <t>1</t>
        </is>
      </c>
      <c r="B890" s="22">
        <f>IF('Brouillard ventes'!$F$302="","","VD"&amp;TEXT(ROW('Brouillard ventes'!$F$302)-5,"00000"))</f>
        <v/>
      </c>
      <c r="C890" s="22">
        <f>IF('Brouillard ventes'!$F$302="","",YEAR('Brouillard ventes'!$A$302)*10000+MONTH('Brouillard ventes'!$A$302)*100+DAY('Brouillard ventes'!$A$302))</f>
        <v/>
      </c>
      <c r="D890" s="22">
        <f>IF('Brouillard ventes'!$F$302="","",'Brouillard ventes'!$B$302)</f>
        <v/>
      </c>
      <c r="E890" s="22">
        <f>IF('Brouillard ventes'!$F$302="","",LEFT('Brouillard ventes'!$D$302,30))</f>
        <v/>
      </c>
      <c r="F890" s="22" t="inlineStr">
        <is>
          <t>15001</t>
        </is>
      </c>
      <c r="G890" s="22">
        <f>IF('Brouillard ventes'!$F$302="","",Paramètres!$B$7)</f>
        <v/>
      </c>
      <c r="H890" s="22">
        <f>IF('Brouillard ventes'!$F$302="","",IF('Brouillard ventes'!$C$302="","CD001",'Brouillard ventes'!$C$302))</f>
        <v/>
      </c>
      <c r="I890" s="22" t="inlineStr"/>
      <c r="J890" s="22" t="inlineStr"/>
      <c r="K890" s="22">
        <f>IF('Brouillard ventes'!$F$302="","",Paramètres!$B$11)</f>
        <v/>
      </c>
      <c r="L890" s="23">
        <f>IF('Brouillard ventes'!$F$302="","",'Brouillard ventes'!$I$302)</f>
        <v/>
      </c>
      <c r="M890" s="23" t="n">
        <v>0</v>
      </c>
    </row>
    <row r="891">
      <c r="A891" s="22" t="inlineStr">
        <is>
          <t>1</t>
        </is>
      </c>
      <c r="B891" s="22">
        <f>IF('Brouillard ventes'!$F$302="","","VD"&amp;TEXT(ROW('Brouillard ventes'!$F$302)-5,"00000"))</f>
        <v/>
      </c>
      <c r="C891" s="22">
        <f>IF('Brouillard ventes'!$F$302="","",YEAR('Brouillard ventes'!$A$302)*10000+MONTH('Brouillard ventes'!$A$302)*100+DAY('Brouillard ventes'!$A$302))</f>
        <v/>
      </c>
      <c r="D891" s="22">
        <f>IF('Brouillard ventes'!$F$302="","",'Brouillard ventes'!$B$302)</f>
        <v/>
      </c>
      <c r="E891" s="22">
        <f>IF('Brouillard ventes'!$F$302="","",LEFT('Brouillard ventes'!$D$302,30))</f>
        <v/>
      </c>
      <c r="F891" s="22" t="inlineStr">
        <is>
          <t>15001</t>
        </is>
      </c>
      <c r="G891" s="22">
        <f>IF('Brouillard ventes'!$F$302="","",IF('Brouillard ventes'!$E$302="Réparation",Paramètres!$B$9,Paramètres!$B$8))</f>
        <v/>
      </c>
      <c r="H891" s="22" t="inlineStr"/>
      <c r="I891" s="22" t="inlineStr"/>
      <c r="J891" s="22" t="inlineStr"/>
      <c r="K891" s="22">
        <f>IF('Brouillard ventes'!$F$302="","",Paramètres!$B$11)</f>
        <v/>
      </c>
      <c r="L891" s="23" t="n">
        <v>0</v>
      </c>
      <c r="M891" s="23">
        <f>IF('Brouillard ventes'!$F$302="","",'Brouillard ventes'!$F$302)</f>
        <v/>
      </c>
    </row>
    <row r="892">
      <c r="A892" s="22" t="inlineStr">
        <is>
          <t>1</t>
        </is>
      </c>
      <c r="B892" s="22">
        <f>IF('Brouillard ventes'!$F$302="","","VD"&amp;TEXT(ROW('Brouillard ventes'!$F$302)-5,"00000"))</f>
        <v/>
      </c>
      <c r="C892" s="22">
        <f>IF('Brouillard ventes'!$F$302="","",YEAR('Brouillard ventes'!$A$302)*10000+MONTH('Brouillard ventes'!$A$302)*100+DAY('Brouillard ventes'!$A$302))</f>
        <v/>
      </c>
      <c r="D892" s="22">
        <f>IF('Brouillard ventes'!$F$302="","",'Brouillard ventes'!$B$302)</f>
        <v/>
      </c>
      <c r="E892" s="22">
        <f>IF('Brouillard ventes'!$F$302="","",LEFT('Brouillard ventes'!$D$302,30))</f>
        <v/>
      </c>
      <c r="F892" s="22" t="inlineStr">
        <is>
          <t>15001</t>
        </is>
      </c>
      <c r="G892" s="22">
        <f>IF('Brouillard ventes'!$F$302="","",Paramètres!$B$10)</f>
        <v/>
      </c>
      <c r="H892" s="22" t="inlineStr"/>
      <c r="I892" s="22" t="inlineStr"/>
      <c r="J892" s="22" t="inlineStr"/>
      <c r="K892" s="22">
        <f>IF('Brouillard ventes'!$F$302="","",Paramètres!$B$11)</f>
        <v/>
      </c>
      <c r="L892" s="23" t="n">
        <v>0</v>
      </c>
      <c r="M892" s="23">
        <f>IF('Brouillard ventes'!$F$302="","",'Brouillard ventes'!$H$302)</f>
        <v/>
      </c>
    </row>
    <row r="893">
      <c r="A893" s="22" t="inlineStr">
        <is>
          <t>1</t>
        </is>
      </c>
      <c r="B893" s="22">
        <f>IF('Brouillard ventes'!$F$303="","","VD"&amp;TEXT(ROW('Brouillard ventes'!$F$303)-5,"00000"))</f>
        <v/>
      </c>
      <c r="C893" s="22">
        <f>IF('Brouillard ventes'!$F$303="","",YEAR('Brouillard ventes'!$A$303)*10000+MONTH('Brouillard ventes'!$A$303)*100+DAY('Brouillard ventes'!$A$303))</f>
        <v/>
      </c>
      <c r="D893" s="22">
        <f>IF('Brouillard ventes'!$F$303="","",'Brouillard ventes'!$B$303)</f>
        <v/>
      </c>
      <c r="E893" s="22">
        <f>IF('Brouillard ventes'!$F$303="","",LEFT('Brouillard ventes'!$D$303,30))</f>
        <v/>
      </c>
      <c r="F893" s="22" t="inlineStr">
        <is>
          <t>15001</t>
        </is>
      </c>
      <c r="G893" s="22">
        <f>IF('Brouillard ventes'!$F$303="","",Paramètres!$B$7)</f>
        <v/>
      </c>
      <c r="H893" s="22">
        <f>IF('Brouillard ventes'!$F$303="","",IF('Brouillard ventes'!$C$303="","CD001",'Brouillard ventes'!$C$303))</f>
        <v/>
      </c>
      <c r="I893" s="22" t="inlineStr"/>
      <c r="J893" s="22" t="inlineStr"/>
      <c r="K893" s="22">
        <f>IF('Brouillard ventes'!$F$303="","",Paramètres!$B$11)</f>
        <v/>
      </c>
      <c r="L893" s="23">
        <f>IF('Brouillard ventes'!$F$303="","",'Brouillard ventes'!$I$303)</f>
        <v/>
      </c>
      <c r="M893" s="23" t="n">
        <v>0</v>
      </c>
    </row>
    <row r="894">
      <c r="A894" s="22" t="inlineStr">
        <is>
          <t>1</t>
        </is>
      </c>
      <c r="B894" s="22">
        <f>IF('Brouillard ventes'!$F$303="","","VD"&amp;TEXT(ROW('Brouillard ventes'!$F$303)-5,"00000"))</f>
        <v/>
      </c>
      <c r="C894" s="22">
        <f>IF('Brouillard ventes'!$F$303="","",YEAR('Brouillard ventes'!$A$303)*10000+MONTH('Brouillard ventes'!$A$303)*100+DAY('Brouillard ventes'!$A$303))</f>
        <v/>
      </c>
      <c r="D894" s="22">
        <f>IF('Brouillard ventes'!$F$303="","",'Brouillard ventes'!$B$303)</f>
        <v/>
      </c>
      <c r="E894" s="22">
        <f>IF('Brouillard ventes'!$F$303="","",LEFT('Brouillard ventes'!$D$303,30))</f>
        <v/>
      </c>
      <c r="F894" s="22" t="inlineStr">
        <is>
          <t>15001</t>
        </is>
      </c>
      <c r="G894" s="22">
        <f>IF('Brouillard ventes'!$F$303="","",IF('Brouillard ventes'!$E$303="Réparation",Paramètres!$B$9,Paramètres!$B$8))</f>
        <v/>
      </c>
      <c r="H894" s="22" t="inlineStr"/>
      <c r="I894" s="22" t="inlineStr"/>
      <c r="J894" s="22" t="inlineStr"/>
      <c r="K894" s="22">
        <f>IF('Brouillard ventes'!$F$303="","",Paramètres!$B$11)</f>
        <v/>
      </c>
      <c r="L894" s="23" t="n">
        <v>0</v>
      </c>
      <c r="M894" s="23">
        <f>IF('Brouillard ventes'!$F$303="","",'Brouillard ventes'!$F$303)</f>
        <v/>
      </c>
    </row>
    <row r="895">
      <c r="A895" s="22" t="inlineStr">
        <is>
          <t>1</t>
        </is>
      </c>
      <c r="B895" s="22">
        <f>IF('Brouillard ventes'!$F$303="","","VD"&amp;TEXT(ROW('Brouillard ventes'!$F$303)-5,"00000"))</f>
        <v/>
      </c>
      <c r="C895" s="22">
        <f>IF('Brouillard ventes'!$F$303="","",YEAR('Brouillard ventes'!$A$303)*10000+MONTH('Brouillard ventes'!$A$303)*100+DAY('Brouillard ventes'!$A$303))</f>
        <v/>
      </c>
      <c r="D895" s="22">
        <f>IF('Brouillard ventes'!$F$303="","",'Brouillard ventes'!$B$303)</f>
        <v/>
      </c>
      <c r="E895" s="22">
        <f>IF('Brouillard ventes'!$F$303="","",LEFT('Brouillard ventes'!$D$303,30))</f>
        <v/>
      </c>
      <c r="F895" s="22" t="inlineStr">
        <is>
          <t>15001</t>
        </is>
      </c>
      <c r="G895" s="22">
        <f>IF('Brouillard ventes'!$F$303="","",Paramètres!$B$10)</f>
        <v/>
      </c>
      <c r="H895" s="22" t="inlineStr"/>
      <c r="I895" s="22" t="inlineStr"/>
      <c r="J895" s="22" t="inlineStr"/>
      <c r="K895" s="22">
        <f>IF('Brouillard ventes'!$F$303="","",Paramètres!$B$11)</f>
        <v/>
      </c>
      <c r="L895" s="23" t="n">
        <v>0</v>
      </c>
      <c r="M895" s="23">
        <f>IF('Brouillard ventes'!$F$303="","",'Brouillard ventes'!$H$303)</f>
        <v/>
      </c>
    </row>
    <row r="896">
      <c r="A896" s="22" t="inlineStr">
        <is>
          <t>1</t>
        </is>
      </c>
      <c r="B896" s="22">
        <f>IF('Brouillard ventes'!$F$304="","","VD"&amp;TEXT(ROW('Brouillard ventes'!$F$304)-5,"00000"))</f>
        <v/>
      </c>
      <c r="C896" s="22">
        <f>IF('Brouillard ventes'!$F$304="","",YEAR('Brouillard ventes'!$A$304)*10000+MONTH('Brouillard ventes'!$A$304)*100+DAY('Brouillard ventes'!$A$304))</f>
        <v/>
      </c>
      <c r="D896" s="22">
        <f>IF('Brouillard ventes'!$F$304="","",'Brouillard ventes'!$B$304)</f>
        <v/>
      </c>
      <c r="E896" s="22">
        <f>IF('Brouillard ventes'!$F$304="","",LEFT('Brouillard ventes'!$D$304,30))</f>
        <v/>
      </c>
      <c r="F896" s="22" t="inlineStr">
        <is>
          <t>15001</t>
        </is>
      </c>
      <c r="G896" s="22">
        <f>IF('Brouillard ventes'!$F$304="","",Paramètres!$B$7)</f>
        <v/>
      </c>
      <c r="H896" s="22">
        <f>IF('Brouillard ventes'!$F$304="","",IF('Brouillard ventes'!$C$304="","CD001",'Brouillard ventes'!$C$304))</f>
        <v/>
      </c>
      <c r="I896" s="22" t="inlineStr"/>
      <c r="J896" s="22" t="inlineStr"/>
      <c r="K896" s="22">
        <f>IF('Brouillard ventes'!$F$304="","",Paramètres!$B$11)</f>
        <v/>
      </c>
      <c r="L896" s="23">
        <f>IF('Brouillard ventes'!$F$304="","",'Brouillard ventes'!$I$304)</f>
        <v/>
      </c>
      <c r="M896" s="23" t="n">
        <v>0</v>
      </c>
    </row>
    <row r="897">
      <c r="A897" s="22" t="inlineStr">
        <is>
          <t>1</t>
        </is>
      </c>
      <c r="B897" s="22">
        <f>IF('Brouillard ventes'!$F$304="","","VD"&amp;TEXT(ROW('Brouillard ventes'!$F$304)-5,"00000"))</f>
        <v/>
      </c>
      <c r="C897" s="22">
        <f>IF('Brouillard ventes'!$F$304="","",YEAR('Brouillard ventes'!$A$304)*10000+MONTH('Brouillard ventes'!$A$304)*100+DAY('Brouillard ventes'!$A$304))</f>
        <v/>
      </c>
      <c r="D897" s="22">
        <f>IF('Brouillard ventes'!$F$304="","",'Brouillard ventes'!$B$304)</f>
        <v/>
      </c>
      <c r="E897" s="22">
        <f>IF('Brouillard ventes'!$F$304="","",LEFT('Brouillard ventes'!$D$304,30))</f>
        <v/>
      </c>
      <c r="F897" s="22" t="inlineStr">
        <is>
          <t>15001</t>
        </is>
      </c>
      <c r="G897" s="22">
        <f>IF('Brouillard ventes'!$F$304="","",IF('Brouillard ventes'!$E$304="Réparation",Paramètres!$B$9,Paramètres!$B$8))</f>
        <v/>
      </c>
      <c r="H897" s="22" t="inlineStr"/>
      <c r="I897" s="22" t="inlineStr"/>
      <c r="J897" s="22" t="inlineStr"/>
      <c r="K897" s="22">
        <f>IF('Brouillard ventes'!$F$304="","",Paramètres!$B$11)</f>
        <v/>
      </c>
      <c r="L897" s="23" t="n">
        <v>0</v>
      </c>
      <c r="M897" s="23">
        <f>IF('Brouillard ventes'!$F$304="","",'Brouillard ventes'!$F$304)</f>
        <v/>
      </c>
    </row>
    <row r="898">
      <c r="A898" s="22" t="inlineStr">
        <is>
          <t>1</t>
        </is>
      </c>
      <c r="B898" s="22">
        <f>IF('Brouillard ventes'!$F$304="","","VD"&amp;TEXT(ROW('Brouillard ventes'!$F$304)-5,"00000"))</f>
        <v/>
      </c>
      <c r="C898" s="22">
        <f>IF('Brouillard ventes'!$F$304="","",YEAR('Brouillard ventes'!$A$304)*10000+MONTH('Brouillard ventes'!$A$304)*100+DAY('Brouillard ventes'!$A$304))</f>
        <v/>
      </c>
      <c r="D898" s="22">
        <f>IF('Brouillard ventes'!$F$304="","",'Brouillard ventes'!$B$304)</f>
        <v/>
      </c>
      <c r="E898" s="22">
        <f>IF('Brouillard ventes'!$F$304="","",LEFT('Brouillard ventes'!$D$304,30))</f>
        <v/>
      </c>
      <c r="F898" s="22" t="inlineStr">
        <is>
          <t>15001</t>
        </is>
      </c>
      <c r="G898" s="22">
        <f>IF('Brouillard ventes'!$F$304="","",Paramètres!$B$10)</f>
        <v/>
      </c>
      <c r="H898" s="22" t="inlineStr"/>
      <c r="I898" s="22" t="inlineStr"/>
      <c r="J898" s="22" t="inlineStr"/>
      <c r="K898" s="22">
        <f>IF('Brouillard ventes'!$F$304="","",Paramètres!$B$11)</f>
        <v/>
      </c>
      <c r="L898" s="23" t="n">
        <v>0</v>
      </c>
      <c r="M898" s="23">
        <f>IF('Brouillard ventes'!$F$304="","",'Brouillard ventes'!$H$304)</f>
        <v/>
      </c>
    </row>
    <row r="899">
      <c r="A899" s="22" t="inlineStr">
        <is>
          <t>1</t>
        </is>
      </c>
      <c r="B899" s="22">
        <f>IF('Brouillard ventes'!$F$305="","","VD"&amp;TEXT(ROW('Brouillard ventes'!$F$305)-5,"00000"))</f>
        <v/>
      </c>
      <c r="C899" s="22">
        <f>IF('Brouillard ventes'!$F$305="","",YEAR('Brouillard ventes'!$A$305)*10000+MONTH('Brouillard ventes'!$A$305)*100+DAY('Brouillard ventes'!$A$305))</f>
        <v/>
      </c>
      <c r="D899" s="22">
        <f>IF('Brouillard ventes'!$F$305="","",'Brouillard ventes'!$B$305)</f>
        <v/>
      </c>
      <c r="E899" s="22">
        <f>IF('Brouillard ventes'!$F$305="","",LEFT('Brouillard ventes'!$D$305,30))</f>
        <v/>
      </c>
      <c r="F899" s="22" t="inlineStr">
        <is>
          <t>15001</t>
        </is>
      </c>
      <c r="G899" s="22">
        <f>IF('Brouillard ventes'!$F$305="","",Paramètres!$B$7)</f>
        <v/>
      </c>
      <c r="H899" s="22">
        <f>IF('Brouillard ventes'!$F$305="","",IF('Brouillard ventes'!$C$305="","CD001",'Brouillard ventes'!$C$305))</f>
        <v/>
      </c>
      <c r="I899" s="22" t="inlineStr"/>
      <c r="J899" s="22" t="inlineStr"/>
      <c r="K899" s="22">
        <f>IF('Brouillard ventes'!$F$305="","",Paramètres!$B$11)</f>
        <v/>
      </c>
      <c r="L899" s="23">
        <f>IF('Brouillard ventes'!$F$305="","",'Brouillard ventes'!$I$305)</f>
        <v/>
      </c>
      <c r="M899" s="23" t="n">
        <v>0</v>
      </c>
    </row>
    <row r="900">
      <c r="A900" s="22" t="inlineStr">
        <is>
          <t>1</t>
        </is>
      </c>
      <c r="B900" s="22">
        <f>IF('Brouillard ventes'!$F$305="","","VD"&amp;TEXT(ROW('Brouillard ventes'!$F$305)-5,"00000"))</f>
        <v/>
      </c>
      <c r="C900" s="22">
        <f>IF('Brouillard ventes'!$F$305="","",YEAR('Brouillard ventes'!$A$305)*10000+MONTH('Brouillard ventes'!$A$305)*100+DAY('Brouillard ventes'!$A$305))</f>
        <v/>
      </c>
      <c r="D900" s="22">
        <f>IF('Brouillard ventes'!$F$305="","",'Brouillard ventes'!$B$305)</f>
        <v/>
      </c>
      <c r="E900" s="22">
        <f>IF('Brouillard ventes'!$F$305="","",LEFT('Brouillard ventes'!$D$305,30))</f>
        <v/>
      </c>
      <c r="F900" s="22" t="inlineStr">
        <is>
          <t>15001</t>
        </is>
      </c>
      <c r="G900" s="22">
        <f>IF('Brouillard ventes'!$F$305="","",IF('Brouillard ventes'!$E$305="Réparation",Paramètres!$B$9,Paramètres!$B$8))</f>
        <v/>
      </c>
      <c r="H900" s="22" t="inlineStr"/>
      <c r="I900" s="22" t="inlineStr"/>
      <c r="J900" s="22" t="inlineStr"/>
      <c r="K900" s="22">
        <f>IF('Brouillard ventes'!$F$305="","",Paramètres!$B$11)</f>
        <v/>
      </c>
      <c r="L900" s="23" t="n">
        <v>0</v>
      </c>
      <c r="M900" s="23">
        <f>IF('Brouillard ventes'!$F$305="","",'Brouillard ventes'!$F$305)</f>
        <v/>
      </c>
    </row>
    <row r="901">
      <c r="A901" s="22" t="inlineStr">
        <is>
          <t>1</t>
        </is>
      </c>
      <c r="B901" s="22">
        <f>IF('Brouillard ventes'!$F$305="","","VD"&amp;TEXT(ROW('Brouillard ventes'!$F$305)-5,"00000"))</f>
        <v/>
      </c>
      <c r="C901" s="22">
        <f>IF('Brouillard ventes'!$F$305="","",YEAR('Brouillard ventes'!$A$305)*10000+MONTH('Brouillard ventes'!$A$305)*100+DAY('Brouillard ventes'!$A$305))</f>
        <v/>
      </c>
      <c r="D901" s="22">
        <f>IF('Brouillard ventes'!$F$305="","",'Brouillard ventes'!$B$305)</f>
        <v/>
      </c>
      <c r="E901" s="22">
        <f>IF('Brouillard ventes'!$F$305="","",LEFT('Brouillard ventes'!$D$305,30))</f>
        <v/>
      </c>
      <c r="F901" s="22" t="inlineStr">
        <is>
          <t>15001</t>
        </is>
      </c>
      <c r="G901" s="22">
        <f>IF('Brouillard ventes'!$F$305="","",Paramètres!$B$10)</f>
        <v/>
      </c>
      <c r="H901" s="22" t="inlineStr"/>
      <c r="I901" s="22" t="inlineStr"/>
      <c r="J901" s="22" t="inlineStr"/>
      <c r="K901" s="22">
        <f>IF('Brouillard ventes'!$F$305="","",Paramètres!$B$11)</f>
        <v/>
      </c>
      <c r="L901" s="23" t="n">
        <v>0</v>
      </c>
      <c r="M901" s="23">
        <f>IF('Brouillard ventes'!$F$305="","",'Brouillard ventes'!$H$305)</f>
        <v/>
      </c>
    </row>
    <row r="903">
      <c r="E903" s="5" t="inlineStr">
        <is>
          <t>TOTAL</t>
        </is>
      </c>
      <c r="L903" s="24">
        <f>SUM(L2:L901)</f>
        <v/>
      </c>
      <c r="M903" s="24">
        <f>SUM(M2:M901)</f>
        <v/>
      </c>
    </row>
    <row r="904">
      <c r="E904" s="8" t="inlineStr">
        <is>
          <t>Écart débit − crédit (doit être 0)</t>
        </is>
      </c>
      <c r="L904" s="24">
        <f>ROUND(L903-M903,2)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0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 customWidth="1" min="3" max="3"/>
    <col width="14" customWidth="1" min="4" max="4"/>
    <col width="30" customWidth="1" min="5" max="5"/>
    <col width="9" customWidth="1" min="6" max="6"/>
    <col width="10" customWidth="1" min="7" max="7"/>
    <col width="10" customWidth="1" min="8" max="8"/>
    <col width="6" customWidth="1" min="9" max="9"/>
    <col width="6" customWidth="1" min="10" max="10"/>
    <col width="8" customWidth="1" min="11" max="11"/>
    <col width="15" customWidth="1" min="12" max="12"/>
    <col width="15" customWidth="1" min="13" max="13"/>
    <col width="6" customWidth="1" min="14" max="14"/>
    <col width="6" customWidth="1" min="15" max="15"/>
    <col width="6" customWidth="1" min="16" max="16"/>
    <col width="6" customWidth="1" min="17" max="17"/>
    <col width="6" customWidth="1" min="18" max="18"/>
  </cols>
  <sheetData>
    <row r="1">
      <c r="A1" s="21" t="inlineStr">
        <is>
          <t>FOLIO</t>
        </is>
      </c>
      <c r="B1" s="21" t="inlineStr">
        <is>
          <t>PIECE</t>
        </is>
      </c>
      <c r="C1" s="21" t="inlineStr">
        <is>
          <t>DATE</t>
        </is>
      </c>
      <c r="D1" s="21" t="inlineStr">
        <is>
          <t>REFERENCE</t>
        </is>
      </c>
      <c r="E1" s="21" t="inlineStr">
        <is>
          <t>LIBELLE</t>
        </is>
      </c>
      <c r="F1" s="21" t="inlineStr">
        <is>
          <t>CODE_JRN</t>
        </is>
      </c>
      <c r="G1" s="21" t="inlineStr">
        <is>
          <t>CODE_COM</t>
        </is>
      </c>
      <c r="H1" s="21" t="inlineStr">
        <is>
          <t>CODE_AUX</t>
        </is>
      </c>
      <c r="I1" s="21" t="inlineStr">
        <is>
          <t>CODE_BDG</t>
        </is>
      </c>
      <c r="J1" s="21" t="inlineStr">
        <is>
          <t>CODE_NAT</t>
        </is>
      </c>
      <c r="K1" s="21" t="inlineStr">
        <is>
          <t>CODE_UNT</t>
        </is>
      </c>
      <c r="L1" s="21" t="inlineStr">
        <is>
          <t>DEBIT</t>
        </is>
      </c>
      <c r="M1" s="21" t="inlineStr">
        <is>
          <t>CREDIT</t>
        </is>
      </c>
      <c r="N1" s="21" t="inlineStr">
        <is>
          <t>LETTRAGE</t>
        </is>
      </c>
      <c r="O1" s="21" t="inlineStr">
        <is>
          <t>LIBELLEA</t>
        </is>
      </c>
      <c r="P1" s="21" t="inlineStr">
        <is>
          <t>CTP_COM</t>
        </is>
      </c>
      <c r="Q1" s="21" t="inlineStr">
        <is>
          <t>CTP_AUX</t>
        </is>
      </c>
      <c r="R1" s="21" t="inlineStr">
        <is>
          <t>ECHEANCE</t>
        </is>
      </c>
    </row>
    <row r="2">
      <c r="A2" s="22" t="inlineStr">
        <is>
          <t>1</t>
        </is>
      </c>
      <c r="B2" s="22">
        <f>IF(OR('Brouillard ventes'!$F$6="",'Brouillard ventes'!$J$6="À crédit",'Brouillard ventes'!$J$6=""),"","EC"&amp;TEXT(ROW('Brouillard ventes'!$F$6)-5,"00000"))</f>
        <v/>
      </c>
      <c r="C2" s="22">
        <f>IF(OR('Brouillard ventes'!$F$6="",'Brouillard ventes'!$J$6="À crédit",'Brouillard ventes'!$J$6=""),"",YEAR('Brouillard ventes'!$A$6)*10000+MONTH('Brouillard ventes'!$A$6)*100+DAY('Brouillard ventes'!$A$6))</f>
        <v/>
      </c>
      <c r="D2" s="22">
        <f>IF(OR('Brouillard ventes'!$F$6="",'Brouillard ventes'!$J$6="À crédit",'Brouillard ventes'!$J$6=""),"",'Brouillard ventes'!$B$6)</f>
        <v/>
      </c>
      <c r="E2" s="22">
        <f>IF(OR('Brouillard ventes'!$F$6="",'Brouillard ventes'!$J$6="À crédit",'Brouillard ventes'!$J$6=""),"","REGL "&amp;LEFT('Brouillard ventes'!$D$6,25))</f>
        <v/>
      </c>
      <c r="F2" s="22">
        <f>IF(OR('Brouillard ventes'!$F$6="",'Brouillard ventes'!$J$6="À crédit",'Brouillard ventes'!$J$6=""),"",IF('Brouillard ventes'!$J$6="Espèces","04001","02001"))</f>
        <v/>
      </c>
      <c r="G2" s="22">
        <f>IF(OR('Brouillard ventes'!$F$6="",'Brouillard ventes'!$J$6="À crédit",'Brouillard ventes'!$J$6=""),"",IF('Brouillard ventes'!$J$6="Espèces","53000","51220"))</f>
        <v/>
      </c>
      <c r="H2" s="22" t="inlineStr"/>
      <c r="I2" s="22" t="inlineStr"/>
      <c r="J2" s="22" t="inlineStr"/>
      <c r="K2" s="22">
        <f>IF(OR('Brouillard ventes'!$F$6="",'Brouillard ventes'!$J$6="À crédit",'Brouillard ventes'!$J$6=""),"",Paramètres!$B$11)</f>
        <v/>
      </c>
      <c r="L2" s="23">
        <f>IF(OR('Brouillard ventes'!$F$6="",'Brouillard ventes'!$J$6="À crédit",'Brouillard ventes'!$J$6=""),0,'Brouillard ventes'!$I$6)</f>
        <v/>
      </c>
      <c r="M2" s="23" t="n">
        <v>0</v>
      </c>
    </row>
    <row r="3">
      <c r="A3" s="22" t="inlineStr">
        <is>
          <t>1</t>
        </is>
      </c>
      <c r="B3" s="22">
        <f>IF(OR('Brouillard ventes'!$F$6="",'Brouillard ventes'!$J$6="À crédit",'Brouillard ventes'!$J$6=""),"","EC"&amp;TEXT(ROW('Brouillard ventes'!$F$6)-5,"00000"))</f>
        <v/>
      </c>
      <c r="C3" s="22">
        <f>IF(OR('Brouillard ventes'!$F$6="",'Brouillard ventes'!$J$6="À crédit",'Brouillard ventes'!$J$6=""),"",YEAR('Brouillard ventes'!$A$6)*10000+MONTH('Brouillard ventes'!$A$6)*100+DAY('Brouillard ventes'!$A$6))</f>
        <v/>
      </c>
      <c r="D3" s="22">
        <f>IF(OR('Brouillard ventes'!$F$6="",'Brouillard ventes'!$J$6="À crédit",'Brouillard ventes'!$J$6=""),"",'Brouillard ventes'!$B$6)</f>
        <v/>
      </c>
      <c r="E3" s="22">
        <f>IF(OR('Brouillard ventes'!$F$6="",'Brouillard ventes'!$J$6="À crédit",'Brouillard ventes'!$J$6=""),"","REGL "&amp;LEFT('Brouillard ventes'!$D$6,25))</f>
        <v/>
      </c>
      <c r="F3" s="22">
        <f>IF(OR('Brouillard ventes'!$F$6="",'Brouillard ventes'!$J$6="À crédit",'Brouillard ventes'!$J$6=""),"",IF('Brouillard ventes'!$J$6="Espèces","04001","02001"))</f>
        <v/>
      </c>
      <c r="G3" s="22">
        <f>IF(OR('Brouillard ventes'!$F$6="",'Brouillard ventes'!$J$6="À crédit",'Brouillard ventes'!$J$6=""),"",Paramètres!$B$7)</f>
        <v/>
      </c>
      <c r="H3" s="22">
        <f>IF(OR('Brouillard ventes'!$F$6="",'Brouillard ventes'!$J$6="À crédit",'Brouillard ventes'!$J$6=""),"",IF('Brouillard ventes'!$C$6="","CD001",'Brouillard ventes'!$C$6))</f>
        <v/>
      </c>
      <c r="I3" s="22" t="inlineStr"/>
      <c r="J3" s="22" t="inlineStr"/>
      <c r="K3" s="22">
        <f>IF(OR('Brouillard ventes'!$F$6="",'Brouillard ventes'!$J$6="À crédit",'Brouillard ventes'!$J$6=""),"",Paramètres!$B$11)</f>
        <v/>
      </c>
      <c r="L3" s="23" t="n">
        <v>0</v>
      </c>
      <c r="M3" s="23">
        <f>IF(OR('Brouillard ventes'!$F$6="",'Brouillard ventes'!$J$6="À crédit",'Brouillard ventes'!$J$6=""),0,'Brouillard ventes'!$I$6)</f>
        <v/>
      </c>
    </row>
    <row r="4">
      <c r="A4" s="22" t="inlineStr">
        <is>
          <t>1</t>
        </is>
      </c>
      <c r="B4" s="22">
        <f>IF(OR('Brouillard ventes'!$F$7="",'Brouillard ventes'!$J$7="À crédit",'Brouillard ventes'!$J$7=""),"","EC"&amp;TEXT(ROW('Brouillard ventes'!$F$7)-5,"00000"))</f>
        <v/>
      </c>
      <c r="C4" s="22">
        <f>IF(OR('Brouillard ventes'!$F$7="",'Brouillard ventes'!$J$7="À crédit",'Brouillard ventes'!$J$7=""),"",YEAR('Brouillard ventes'!$A$7)*10000+MONTH('Brouillard ventes'!$A$7)*100+DAY('Brouillard ventes'!$A$7))</f>
        <v/>
      </c>
      <c r="D4" s="22">
        <f>IF(OR('Brouillard ventes'!$F$7="",'Brouillard ventes'!$J$7="À crédit",'Brouillard ventes'!$J$7=""),"",'Brouillard ventes'!$B$7)</f>
        <v/>
      </c>
      <c r="E4" s="22">
        <f>IF(OR('Brouillard ventes'!$F$7="",'Brouillard ventes'!$J$7="À crédit",'Brouillard ventes'!$J$7=""),"","REGL "&amp;LEFT('Brouillard ventes'!$D$7,25))</f>
        <v/>
      </c>
      <c r="F4" s="22">
        <f>IF(OR('Brouillard ventes'!$F$7="",'Brouillard ventes'!$J$7="À crédit",'Brouillard ventes'!$J$7=""),"",IF('Brouillard ventes'!$J$7="Espèces","04001","02001"))</f>
        <v/>
      </c>
      <c r="G4" s="22">
        <f>IF(OR('Brouillard ventes'!$F$7="",'Brouillard ventes'!$J$7="À crédit",'Brouillard ventes'!$J$7=""),"",IF('Brouillard ventes'!$J$7="Espèces","53000","51220"))</f>
        <v/>
      </c>
      <c r="H4" s="22" t="inlineStr"/>
      <c r="I4" s="22" t="inlineStr"/>
      <c r="J4" s="22" t="inlineStr"/>
      <c r="K4" s="22">
        <f>IF(OR('Brouillard ventes'!$F$7="",'Brouillard ventes'!$J$7="À crédit",'Brouillard ventes'!$J$7=""),"",Paramètres!$B$11)</f>
        <v/>
      </c>
      <c r="L4" s="23">
        <f>IF(OR('Brouillard ventes'!$F$7="",'Brouillard ventes'!$J$7="À crédit",'Brouillard ventes'!$J$7=""),0,'Brouillard ventes'!$I$7)</f>
        <v/>
      </c>
      <c r="M4" s="23" t="n">
        <v>0</v>
      </c>
    </row>
    <row r="5">
      <c r="A5" s="22" t="inlineStr">
        <is>
          <t>1</t>
        </is>
      </c>
      <c r="B5" s="22">
        <f>IF(OR('Brouillard ventes'!$F$7="",'Brouillard ventes'!$J$7="À crédit",'Brouillard ventes'!$J$7=""),"","EC"&amp;TEXT(ROW('Brouillard ventes'!$F$7)-5,"00000"))</f>
        <v/>
      </c>
      <c r="C5" s="22">
        <f>IF(OR('Brouillard ventes'!$F$7="",'Brouillard ventes'!$J$7="À crédit",'Brouillard ventes'!$J$7=""),"",YEAR('Brouillard ventes'!$A$7)*10000+MONTH('Brouillard ventes'!$A$7)*100+DAY('Brouillard ventes'!$A$7))</f>
        <v/>
      </c>
      <c r="D5" s="22">
        <f>IF(OR('Brouillard ventes'!$F$7="",'Brouillard ventes'!$J$7="À crédit",'Brouillard ventes'!$J$7=""),"",'Brouillard ventes'!$B$7)</f>
        <v/>
      </c>
      <c r="E5" s="22">
        <f>IF(OR('Brouillard ventes'!$F$7="",'Brouillard ventes'!$J$7="À crédit",'Brouillard ventes'!$J$7=""),"","REGL "&amp;LEFT('Brouillard ventes'!$D$7,25))</f>
        <v/>
      </c>
      <c r="F5" s="22">
        <f>IF(OR('Brouillard ventes'!$F$7="",'Brouillard ventes'!$J$7="À crédit",'Brouillard ventes'!$J$7=""),"",IF('Brouillard ventes'!$J$7="Espèces","04001","02001"))</f>
        <v/>
      </c>
      <c r="G5" s="22">
        <f>IF(OR('Brouillard ventes'!$F$7="",'Brouillard ventes'!$J$7="À crédit",'Brouillard ventes'!$J$7=""),"",Paramètres!$B$7)</f>
        <v/>
      </c>
      <c r="H5" s="22">
        <f>IF(OR('Brouillard ventes'!$F$7="",'Brouillard ventes'!$J$7="À crédit",'Brouillard ventes'!$J$7=""),"",IF('Brouillard ventes'!$C$7="","CD001",'Brouillard ventes'!$C$7))</f>
        <v/>
      </c>
      <c r="I5" s="22" t="inlineStr"/>
      <c r="J5" s="22" t="inlineStr"/>
      <c r="K5" s="22">
        <f>IF(OR('Brouillard ventes'!$F$7="",'Brouillard ventes'!$J$7="À crédit",'Brouillard ventes'!$J$7=""),"",Paramètres!$B$11)</f>
        <v/>
      </c>
      <c r="L5" s="23" t="n">
        <v>0</v>
      </c>
      <c r="M5" s="23">
        <f>IF(OR('Brouillard ventes'!$F$7="",'Brouillard ventes'!$J$7="À crédit",'Brouillard ventes'!$J$7=""),0,'Brouillard ventes'!$I$7)</f>
        <v/>
      </c>
    </row>
    <row r="6">
      <c r="A6" s="22" t="inlineStr">
        <is>
          <t>1</t>
        </is>
      </c>
      <c r="B6" s="22">
        <f>IF(OR('Brouillard ventes'!$F$8="",'Brouillard ventes'!$J$8="À crédit",'Brouillard ventes'!$J$8=""),"","EC"&amp;TEXT(ROW('Brouillard ventes'!$F$8)-5,"00000"))</f>
        <v/>
      </c>
      <c r="C6" s="22">
        <f>IF(OR('Brouillard ventes'!$F$8="",'Brouillard ventes'!$J$8="À crédit",'Brouillard ventes'!$J$8=""),"",YEAR('Brouillard ventes'!$A$8)*10000+MONTH('Brouillard ventes'!$A$8)*100+DAY('Brouillard ventes'!$A$8))</f>
        <v/>
      </c>
      <c r="D6" s="22">
        <f>IF(OR('Brouillard ventes'!$F$8="",'Brouillard ventes'!$J$8="À crédit",'Brouillard ventes'!$J$8=""),"",'Brouillard ventes'!$B$8)</f>
        <v/>
      </c>
      <c r="E6" s="22">
        <f>IF(OR('Brouillard ventes'!$F$8="",'Brouillard ventes'!$J$8="À crédit",'Brouillard ventes'!$J$8=""),"","REGL "&amp;LEFT('Brouillard ventes'!$D$8,25))</f>
        <v/>
      </c>
      <c r="F6" s="22">
        <f>IF(OR('Brouillard ventes'!$F$8="",'Brouillard ventes'!$J$8="À crédit",'Brouillard ventes'!$J$8=""),"",IF('Brouillard ventes'!$J$8="Espèces","04001","02001"))</f>
        <v/>
      </c>
      <c r="G6" s="22">
        <f>IF(OR('Brouillard ventes'!$F$8="",'Brouillard ventes'!$J$8="À crédit",'Brouillard ventes'!$J$8=""),"",IF('Brouillard ventes'!$J$8="Espèces","53000","51220"))</f>
        <v/>
      </c>
      <c r="H6" s="22" t="inlineStr"/>
      <c r="I6" s="22" t="inlineStr"/>
      <c r="J6" s="22" t="inlineStr"/>
      <c r="K6" s="22">
        <f>IF(OR('Brouillard ventes'!$F$8="",'Brouillard ventes'!$J$8="À crédit",'Brouillard ventes'!$J$8=""),"",Paramètres!$B$11)</f>
        <v/>
      </c>
      <c r="L6" s="23">
        <f>IF(OR('Brouillard ventes'!$F$8="",'Brouillard ventes'!$J$8="À crédit",'Brouillard ventes'!$J$8=""),0,'Brouillard ventes'!$I$8)</f>
        <v/>
      </c>
      <c r="M6" s="23" t="n">
        <v>0</v>
      </c>
    </row>
    <row r="7">
      <c r="A7" s="22" t="inlineStr">
        <is>
          <t>1</t>
        </is>
      </c>
      <c r="B7" s="22">
        <f>IF(OR('Brouillard ventes'!$F$8="",'Brouillard ventes'!$J$8="À crédit",'Brouillard ventes'!$J$8=""),"","EC"&amp;TEXT(ROW('Brouillard ventes'!$F$8)-5,"00000"))</f>
        <v/>
      </c>
      <c r="C7" s="22">
        <f>IF(OR('Brouillard ventes'!$F$8="",'Brouillard ventes'!$J$8="À crédit",'Brouillard ventes'!$J$8=""),"",YEAR('Brouillard ventes'!$A$8)*10000+MONTH('Brouillard ventes'!$A$8)*100+DAY('Brouillard ventes'!$A$8))</f>
        <v/>
      </c>
      <c r="D7" s="22">
        <f>IF(OR('Brouillard ventes'!$F$8="",'Brouillard ventes'!$J$8="À crédit",'Brouillard ventes'!$J$8=""),"",'Brouillard ventes'!$B$8)</f>
        <v/>
      </c>
      <c r="E7" s="22">
        <f>IF(OR('Brouillard ventes'!$F$8="",'Brouillard ventes'!$J$8="À crédit",'Brouillard ventes'!$J$8=""),"","REGL "&amp;LEFT('Brouillard ventes'!$D$8,25))</f>
        <v/>
      </c>
      <c r="F7" s="22">
        <f>IF(OR('Brouillard ventes'!$F$8="",'Brouillard ventes'!$J$8="À crédit",'Brouillard ventes'!$J$8=""),"",IF('Brouillard ventes'!$J$8="Espèces","04001","02001"))</f>
        <v/>
      </c>
      <c r="G7" s="22">
        <f>IF(OR('Brouillard ventes'!$F$8="",'Brouillard ventes'!$J$8="À crédit",'Brouillard ventes'!$J$8=""),"",Paramètres!$B$7)</f>
        <v/>
      </c>
      <c r="H7" s="22">
        <f>IF(OR('Brouillard ventes'!$F$8="",'Brouillard ventes'!$J$8="À crédit",'Brouillard ventes'!$J$8=""),"",IF('Brouillard ventes'!$C$8="","CD001",'Brouillard ventes'!$C$8))</f>
        <v/>
      </c>
      <c r="I7" s="22" t="inlineStr"/>
      <c r="J7" s="22" t="inlineStr"/>
      <c r="K7" s="22">
        <f>IF(OR('Brouillard ventes'!$F$8="",'Brouillard ventes'!$J$8="À crédit",'Brouillard ventes'!$J$8=""),"",Paramètres!$B$11)</f>
        <v/>
      </c>
      <c r="L7" s="23" t="n">
        <v>0</v>
      </c>
      <c r="M7" s="23">
        <f>IF(OR('Brouillard ventes'!$F$8="",'Brouillard ventes'!$J$8="À crédit",'Brouillard ventes'!$J$8=""),0,'Brouillard ventes'!$I$8)</f>
        <v/>
      </c>
    </row>
    <row r="8">
      <c r="A8" s="22" t="inlineStr">
        <is>
          <t>1</t>
        </is>
      </c>
      <c r="B8" s="22">
        <f>IF(OR('Brouillard ventes'!$F$9="",'Brouillard ventes'!$J$9="À crédit",'Brouillard ventes'!$J$9=""),"","EC"&amp;TEXT(ROW('Brouillard ventes'!$F$9)-5,"00000"))</f>
        <v/>
      </c>
      <c r="C8" s="22">
        <f>IF(OR('Brouillard ventes'!$F$9="",'Brouillard ventes'!$J$9="À crédit",'Brouillard ventes'!$J$9=""),"",YEAR('Brouillard ventes'!$A$9)*10000+MONTH('Brouillard ventes'!$A$9)*100+DAY('Brouillard ventes'!$A$9))</f>
        <v/>
      </c>
      <c r="D8" s="22">
        <f>IF(OR('Brouillard ventes'!$F$9="",'Brouillard ventes'!$J$9="À crédit",'Brouillard ventes'!$J$9=""),"",'Brouillard ventes'!$B$9)</f>
        <v/>
      </c>
      <c r="E8" s="22">
        <f>IF(OR('Brouillard ventes'!$F$9="",'Brouillard ventes'!$J$9="À crédit",'Brouillard ventes'!$J$9=""),"","REGL "&amp;LEFT('Brouillard ventes'!$D$9,25))</f>
        <v/>
      </c>
      <c r="F8" s="22">
        <f>IF(OR('Brouillard ventes'!$F$9="",'Brouillard ventes'!$J$9="À crédit",'Brouillard ventes'!$J$9=""),"",IF('Brouillard ventes'!$J$9="Espèces","04001","02001"))</f>
        <v/>
      </c>
      <c r="G8" s="22">
        <f>IF(OR('Brouillard ventes'!$F$9="",'Brouillard ventes'!$J$9="À crédit",'Brouillard ventes'!$J$9=""),"",IF('Brouillard ventes'!$J$9="Espèces","53000","51220"))</f>
        <v/>
      </c>
      <c r="H8" s="22" t="inlineStr"/>
      <c r="I8" s="22" t="inlineStr"/>
      <c r="J8" s="22" t="inlineStr"/>
      <c r="K8" s="22">
        <f>IF(OR('Brouillard ventes'!$F$9="",'Brouillard ventes'!$J$9="À crédit",'Brouillard ventes'!$J$9=""),"",Paramètres!$B$11)</f>
        <v/>
      </c>
      <c r="L8" s="23">
        <f>IF(OR('Brouillard ventes'!$F$9="",'Brouillard ventes'!$J$9="À crédit",'Brouillard ventes'!$J$9=""),0,'Brouillard ventes'!$I$9)</f>
        <v/>
      </c>
      <c r="M8" s="23" t="n">
        <v>0</v>
      </c>
    </row>
    <row r="9">
      <c r="A9" s="22" t="inlineStr">
        <is>
          <t>1</t>
        </is>
      </c>
      <c r="B9" s="22">
        <f>IF(OR('Brouillard ventes'!$F$9="",'Brouillard ventes'!$J$9="À crédit",'Brouillard ventes'!$J$9=""),"","EC"&amp;TEXT(ROW('Brouillard ventes'!$F$9)-5,"00000"))</f>
        <v/>
      </c>
      <c r="C9" s="22">
        <f>IF(OR('Brouillard ventes'!$F$9="",'Brouillard ventes'!$J$9="À crédit",'Brouillard ventes'!$J$9=""),"",YEAR('Brouillard ventes'!$A$9)*10000+MONTH('Brouillard ventes'!$A$9)*100+DAY('Brouillard ventes'!$A$9))</f>
        <v/>
      </c>
      <c r="D9" s="22">
        <f>IF(OR('Brouillard ventes'!$F$9="",'Brouillard ventes'!$J$9="À crédit",'Brouillard ventes'!$J$9=""),"",'Brouillard ventes'!$B$9)</f>
        <v/>
      </c>
      <c r="E9" s="22">
        <f>IF(OR('Brouillard ventes'!$F$9="",'Brouillard ventes'!$J$9="À crédit",'Brouillard ventes'!$J$9=""),"","REGL "&amp;LEFT('Brouillard ventes'!$D$9,25))</f>
        <v/>
      </c>
      <c r="F9" s="22">
        <f>IF(OR('Brouillard ventes'!$F$9="",'Brouillard ventes'!$J$9="À crédit",'Brouillard ventes'!$J$9=""),"",IF('Brouillard ventes'!$J$9="Espèces","04001","02001"))</f>
        <v/>
      </c>
      <c r="G9" s="22">
        <f>IF(OR('Brouillard ventes'!$F$9="",'Brouillard ventes'!$J$9="À crédit",'Brouillard ventes'!$J$9=""),"",Paramètres!$B$7)</f>
        <v/>
      </c>
      <c r="H9" s="22">
        <f>IF(OR('Brouillard ventes'!$F$9="",'Brouillard ventes'!$J$9="À crédit",'Brouillard ventes'!$J$9=""),"",IF('Brouillard ventes'!$C$9="","CD001",'Brouillard ventes'!$C$9))</f>
        <v/>
      </c>
      <c r="I9" s="22" t="inlineStr"/>
      <c r="J9" s="22" t="inlineStr"/>
      <c r="K9" s="22">
        <f>IF(OR('Brouillard ventes'!$F$9="",'Brouillard ventes'!$J$9="À crédit",'Brouillard ventes'!$J$9=""),"",Paramètres!$B$11)</f>
        <v/>
      </c>
      <c r="L9" s="23" t="n">
        <v>0</v>
      </c>
      <c r="M9" s="23">
        <f>IF(OR('Brouillard ventes'!$F$9="",'Brouillard ventes'!$J$9="À crédit",'Brouillard ventes'!$J$9=""),0,'Brouillard ventes'!$I$9)</f>
        <v/>
      </c>
    </row>
    <row r="10">
      <c r="A10" s="22" t="inlineStr">
        <is>
          <t>1</t>
        </is>
      </c>
      <c r="B10" s="22">
        <f>IF(OR('Brouillard ventes'!$F$10="",'Brouillard ventes'!$J$10="À crédit",'Brouillard ventes'!$J$10=""),"","EC"&amp;TEXT(ROW('Brouillard ventes'!$F$10)-5,"00000"))</f>
        <v/>
      </c>
      <c r="C10" s="22">
        <f>IF(OR('Brouillard ventes'!$F$10="",'Brouillard ventes'!$J$10="À crédit",'Brouillard ventes'!$J$10=""),"",YEAR('Brouillard ventes'!$A$10)*10000+MONTH('Brouillard ventes'!$A$10)*100+DAY('Brouillard ventes'!$A$10))</f>
        <v/>
      </c>
      <c r="D10" s="22">
        <f>IF(OR('Brouillard ventes'!$F$10="",'Brouillard ventes'!$J$10="À crédit",'Brouillard ventes'!$J$10=""),"",'Brouillard ventes'!$B$10)</f>
        <v/>
      </c>
      <c r="E10" s="22">
        <f>IF(OR('Brouillard ventes'!$F$10="",'Brouillard ventes'!$J$10="À crédit",'Brouillard ventes'!$J$10=""),"","REGL "&amp;LEFT('Brouillard ventes'!$D$10,25))</f>
        <v/>
      </c>
      <c r="F10" s="22">
        <f>IF(OR('Brouillard ventes'!$F$10="",'Brouillard ventes'!$J$10="À crédit",'Brouillard ventes'!$J$10=""),"",IF('Brouillard ventes'!$J$10="Espèces","04001","02001"))</f>
        <v/>
      </c>
      <c r="G10" s="22">
        <f>IF(OR('Brouillard ventes'!$F$10="",'Brouillard ventes'!$J$10="À crédit",'Brouillard ventes'!$J$10=""),"",IF('Brouillard ventes'!$J$10="Espèces","53000","51220"))</f>
        <v/>
      </c>
      <c r="H10" s="22" t="inlineStr"/>
      <c r="I10" s="22" t="inlineStr"/>
      <c r="J10" s="22" t="inlineStr"/>
      <c r="K10" s="22">
        <f>IF(OR('Brouillard ventes'!$F$10="",'Brouillard ventes'!$J$10="À crédit",'Brouillard ventes'!$J$10=""),"",Paramètres!$B$11)</f>
        <v/>
      </c>
      <c r="L10" s="23">
        <f>IF(OR('Brouillard ventes'!$F$10="",'Brouillard ventes'!$J$10="À crédit",'Brouillard ventes'!$J$10=""),0,'Brouillard ventes'!$I$10)</f>
        <v/>
      </c>
      <c r="M10" s="23" t="n">
        <v>0</v>
      </c>
    </row>
    <row r="11">
      <c r="A11" s="22" t="inlineStr">
        <is>
          <t>1</t>
        </is>
      </c>
      <c r="B11" s="22">
        <f>IF(OR('Brouillard ventes'!$F$10="",'Brouillard ventes'!$J$10="À crédit",'Brouillard ventes'!$J$10=""),"","EC"&amp;TEXT(ROW('Brouillard ventes'!$F$10)-5,"00000"))</f>
        <v/>
      </c>
      <c r="C11" s="22">
        <f>IF(OR('Brouillard ventes'!$F$10="",'Brouillard ventes'!$J$10="À crédit",'Brouillard ventes'!$J$10=""),"",YEAR('Brouillard ventes'!$A$10)*10000+MONTH('Brouillard ventes'!$A$10)*100+DAY('Brouillard ventes'!$A$10))</f>
        <v/>
      </c>
      <c r="D11" s="22">
        <f>IF(OR('Brouillard ventes'!$F$10="",'Brouillard ventes'!$J$10="À crédit",'Brouillard ventes'!$J$10=""),"",'Brouillard ventes'!$B$10)</f>
        <v/>
      </c>
      <c r="E11" s="22">
        <f>IF(OR('Brouillard ventes'!$F$10="",'Brouillard ventes'!$J$10="À crédit",'Brouillard ventes'!$J$10=""),"","REGL "&amp;LEFT('Brouillard ventes'!$D$10,25))</f>
        <v/>
      </c>
      <c r="F11" s="22">
        <f>IF(OR('Brouillard ventes'!$F$10="",'Brouillard ventes'!$J$10="À crédit",'Brouillard ventes'!$J$10=""),"",IF('Brouillard ventes'!$J$10="Espèces","04001","02001"))</f>
        <v/>
      </c>
      <c r="G11" s="22">
        <f>IF(OR('Brouillard ventes'!$F$10="",'Brouillard ventes'!$J$10="À crédit",'Brouillard ventes'!$J$10=""),"",Paramètres!$B$7)</f>
        <v/>
      </c>
      <c r="H11" s="22">
        <f>IF(OR('Brouillard ventes'!$F$10="",'Brouillard ventes'!$J$10="À crédit",'Brouillard ventes'!$J$10=""),"",IF('Brouillard ventes'!$C$10="","CD001",'Brouillard ventes'!$C$10))</f>
        <v/>
      </c>
      <c r="I11" s="22" t="inlineStr"/>
      <c r="J11" s="22" t="inlineStr"/>
      <c r="K11" s="22">
        <f>IF(OR('Brouillard ventes'!$F$10="",'Brouillard ventes'!$J$10="À crédit",'Brouillard ventes'!$J$10=""),"",Paramètres!$B$11)</f>
        <v/>
      </c>
      <c r="L11" s="23" t="n">
        <v>0</v>
      </c>
      <c r="M11" s="23">
        <f>IF(OR('Brouillard ventes'!$F$10="",'Brouillard ventes'!$J$10="À crédit",'Brouillard ventes'!$J$10=""),0,'Brouillard ventes'!$I$10)</f>
        <v/>
      </c>
    </row>
    <row r="12">
      <c r="A12" s="22" t="inlineStr">
        <is>
          <t>1</t>
        </is>
      </c>
      <c r="B12" s="22">
        <f>IF(OR('Brouillard ventes'!$F$11="",'Brouillard ventes'!$J$11="À crédit",'Brouillard ventes'!$J$11=""),"","EC"&amp;TEXT(ROW('Brouillard ventes'!$F$11)-5,"00000"))</f>
        <v/>
      </c>
      <c r="C12" s="22">
        <f>IF(OR('Brouillard ventes'!$F$11="",'Brouillard ventes'!$J$11="À crédit",'Brouillard ventes'!$J$11=""),"",YEAR('Brouillard ventes'!$A$11)*10000+MONTH('Brouillard ventes'!$A$11)*100+DAY('Brouillard ventes'!$A$11))</f>
        <v/>
      </c>
      <c r="D12" s="22">
        <f>IF(OR('Brouillard ventes'!$F$11="",'Brouillard ventes'!$J$11="À crédit",'Brouillard ventes'!$J$11=""),"",'Brouillard ventes'!$B$11)</f>
        <v/>
      </c>
      <c r="E12" s="22">
        <f>IF(OR('Brouillard ventes'!$F$11="",'Brouillard ventes'!$J$11="À crédit",'Brouillard ventes'!$J$11=""),"","REGL "&amp;LEFT('Brouillard ventes'!$D$11,25))</f>
        <v/>
      </c>
      <c r="F12" s="22">
        <f>IF(OR('Brouillard ventes'!$F$11="",'Brouillard ventes'!$J$11="À crédit",'Brouillard ventes'!$J$11=""),"",IF('Brouillard ventes'!$J$11="Espèces","04001","02001"))</f>
        <v/>
      </c>
      <c r="G12" s="22">
        <f>IF(OR('Brouillard ventes'!$F$11="",'Brouillard ventes'!$J$11="À crédit",'Brouillard ventes'!$J$11=""),"",IF('Brouillard ventes'!$J$11="Espèces","53000","51220"))</f>
        <v/>
      </c>
      <c r="H12" s="22" t="inlineStr"/>
      <c r="I12" s="22" t="inlineStr"/>
      <c r="J12" s="22" t="inlineStr"/>
      <c r="K12" s="22">
        <f>IF(OR('Brouillard ventes'!$F$11="",'Brouillard ventes'!$J$11="À crédit",'Brouillard ventes'!$J$11=""),"",Paramètres!$B$11)</f>
        <v/>
      </c>
      <c r="L12" s="23">
        <f>IF(OR('Brouillard ventes'!$F$11="",'Brouillard ventes'!$J$11="À crédit",'Brouillard ventes'!$J$11=""),0,'Brouillard ventes'!$I$11)</f>
        <v/>
      </c>
      <c r="M12" s="23" t="n">
        <v>0</v>
      </c>
    </row>
    <row r="13">
      <c r="A13" s="22" t="inlineStr">
        <is>
          <t>1</t>
        </is>
      </c>
      <c r="B13" s="22">
        <f>IF(OR('Brouillard ventes'!$F$11="",'Brouillard ventes'!$J$11="À crédit",'Brouillard ventes'!$J$11=""),"","EC"&amp;TEXT(ROW('Brouillard ventes'!$F$11)-5,"00000"))</f>
        <v/>
      </c>
      <c r="C13" s="22">
        <f>IF(OR('Brouillard ventes'!$F$11="",'Brouillard ventes'!$J$11="À crédit",'Brouillard ventes'!$J$11=""),"",YEAR('Brouillard ventes'!$A$11)*10000+MONTH('Brouillard ventes'!$A$11)*100+DAY('Brouillard ventes'!$A$11))</f>
        <v/>
      </c>
      <c r="D13" s="22">
        <f>IF(OR('Brouillard ventes'!$F$11="",'Brouillard ventes'!$J$11="À crédit",'Brouillard ventes'!$J$11=""),"",'Brouillard ventes'!$B$11)</f>
        <v/>
      </c>
      <c r="E13" s="22">
        <f>IF(OR('Brouillard ventes'!$F$11="",'Brouillard ventes'!$J$11="À crédit",'Brouillard ventes'!$J$11=""),"","REGL "&amp;LEFT('Brouillard ventes'!$D$11,25))</f>
        <v/>
      </c>
      <c r="F13" s="22">
        <f>IF(OR('Brouillard ventes'!$F$11="",'Brouillard ventes'!$J$11="À crédit",'Brouillard ventes'!$J$11=""),"",IF('Brouillard ventes'!$J$11="Espèces","04001","02001"))</f>
        <v/>
      </c>
      <c r="G13" s="22">
        <f>IF(OR('Brouillard ventes'!$F$11="",'Brouillard ventes'!$J$11="À crédit",'Brouillard ventes'!$J$11=""),"",Paramètres!$B$7)</f>
        <v/>
      </c>
      <c r="H13" s="22">
        <f>IF(OR('Brouillard ventes'!$F$11="",'Brouillard ventes'!$J$11="À crédit",'Brouillard ventes'!$J$11=""),"",IF('Brouillard ventes'!$C$11="","CD001",'Brouillard ventes'!$C$11))</f>
        <v/>
      </c>
      <c r="I13" s="22" t="inlineStr"/>
      <c r="J13" s="22" t="inlineStr"/>
      <c r="K13" s="22">
        <f>IF(OR('Brouillard ventes'!$F$11="",'Brouillard ventes'!$J$11="À crédit",'Brouillard ventes'!$J$11=""),"",Paramètres!$B$11)</f>
        <v/>
      </c>
      <c r="L13" s="23" t="n">
        <v>0</v>
      </c>
      <c r="M13" s="23">
        <f>IF(OR('Brouillard ventes'!$F$11="",'Brouillard ventes'!$J$11="À crédit",'Brouillard ventes'!$J$11=""),0,'Brouillard ventes'!$I$11)</f>
        <v/>
      </c>
    </row>
    <row r="14">
      <c r="A14" s="22" t="inlineStr">
        <is>
          <t>1</t>
        </is>
      </c>
      <c r="B14" s="22">
        <f>IF(OR('Brouillard ventes'!$F$12="",'Brouillard ventes'!$J$12="À crédit",'Brouillard ventes'!$J$12=""),"","EC"&amp;TEXT(ROW('Brouillard ventes'!$F$12)-5,"00000"))</f>
        <v/>
      </c>
      <c r="C14" s="22">
        <f>IF(OR('Brouillard ventes'!$F$12="",'Brouillard ventes'!$J$12="À crédit",'Brouillard ventes'!$J$12=""),"",YEAR('Brouillard ventes'!$A$12)*10000+MONTH('Brouillard ventes'!$A$12)*100+DAY('Brouillard ventes'!$A$12))</f>
        <v/>
      </c>
      <c r="D14" s="22">
        <f>IF(OR('Brouillard ventes'!$F$12="",'Brouillard ventes'!$J$12="À crédit",'Brouillard ventes'!$J$12=""),"",'Brouillard ventes'!$B$12)</f>
        <v/>
      </c>
      <c r="E14" s="22">
        <f>IF(OR('Brouillard ventes'!$F$12="",'Brouillard ventes'!$J$12="À crédit",'Brouillard ventes'!$J$12=""),"","REGL "&amp;LEFT('Brouillard ventes'!$D$12,25))</f>
        <v/>
      </c>
      <c r="F14" s="22">
        <f>IF(OR('Brouillard ventes'!$F$12="",'Brouillard ventes'!$J$12="À crédit",'Brouillard ventes'!$J$12=""),"",IF('Brouillard ventes'!$J$12="Espèces","04001","02001"))</f>
        <v/>
      </c>
      <c r="G14" s="22">
        <f>IF(OR('Brouillard ventes'!$F$12="",'Brouillard ventes'!$J$12="À crédit",'Brouillard ventes'!$J$12=""),"",IF('Brouillard ventes'!$J$12="Espèces","53000","51220"))</f>
        <v/>
      </c>
      <c r="H14" s="22" t="inlineStr"/>
      <c r="I14" s="22" t="inlineStr"/>
      <c r="J14" s="22" t="inlineStr"/>
      <c r="K14" s="22">
        <f>IF(OR('Brouillard ventes'!$F$12="",'Brouillard ventes'!$J$12="À crédit",'Brouillard ventes'!$J$12=""),"",Paramètres!$B$11)</f>
        <v/>
      </c>
      <c r="L14" s="23">
        <f>IF(OR('Brouillard ventes'!$F$12="",'Brouillard ventes'!$J$12="À crédit",'Brouillard ventes'!$J$12=""),0,'Brouillard ventes'!$I$12)</f>
        <v/>
      </c>
      <c r="M14" s="23" t="n">
        <v>0</v>
      </c>
    </row>
    <row r="15">
      <c r="A15" s="22" t="inlineStr">
        <is>
          <t>1</t>
        </is>
      </c>
      <c r="B15" s="22">
        <f>IF(OR('Brouillard ventes'!$F$12="",'Brouillard ventes'!$J$12="À crédit",'Brouillard ventes'!$J$12=""),"","EC"&amp;TEXT(ROW('Brouillard ventes'!$F$12)-5,"00000"))</f>
        <v/>
      </c>
      <c r="C15" s="22">
        <f>IF(OR('Brouillard ventes'!$F$12="",'Brouillard ventes'!$J$12="À crédit",'Brouillard ventes'!$J$12=""),"",YEAR('Brouillard ventes'!$A$12)*10000+MONTH('Brouillard ventes'!$A$12)*100+DAY('Brouillard ventes'!$A$12))</f>
        <v/>
      </c>
      <c r="D15" s="22">
        <f>IF(OR('Brouillard ventes'!$F$12="",'Brouillard ventes'!$J$12="À crédit",'Brouillard ventes'!$J$12=""),"",'Brouillard ventes'!$B$12)</f>
        <v/>
      </c>
      <c r="E15" s="22">
        <f>IF(OR('Brouillard ventes'!$F$12="",'Brouillard ventes'!$J$12="À crédit",'Brouillard ventes'!$J$12=""),"","REGL "&amp;LEFT('Brouillard ventes'!$D$12,25))</f>
        <v/>
      </c>
      <c r="F15" s="22">
        <f>IF(OR('Brouillard ventes'!$F$12="",'Brouillard ventes'!$J$12="À crédit",'Brouillard ventes'!$J$12=""),"",IF('Brouillard ventes'!$J$12="Espèces","04001","02001"))</f>
        <v/>
      </c>
      <c r="G15" s="22">
        <f>IF(OR('Brouillard ventes'!$F$12="",'Brouillard ventes'!$J$12="À crédit",'Brouillard ventes'!$J$12=""),"",Paramètres!$B$7)</f>
        <v/>
      </c>
      <c r="H15" s="22">
        <f>IF(OR('Brouillard ventes'!$F$12="",'Brouillard ventes'!$J$12="À crédit",'Brouillard ventes'!$J$12=""),"",IF('Brouillard ventes'!$C$12="","CD001",'Brouillard ventes'!$C$12))</f>
        <v/>
      </c>
      <c r="I15" s="22" t="inlineStr"/>
      <c r="J15" s="22" t="inlineStr"/>
      <c r="K15" s="22">
        <f>IF(OR('Brouillard ventes'!$F$12="",'Brouillard ventes'!$J$12="À crédit",'Brouillard ventes'!$J$12=""),"",Paramètres!$B$11)</f>
        <v/>
      </c>
      <c r="L15" s="23" t="n">
        <v>0</v>
      </c>
      <c r="M15" s="23">
        <f>IF(OR('Brouillard ventes'!$F$12="",'Brouillard ventes'!$J$12="À crédit",'Brouillard ventes'!$J$12=""),0,'Brouillard ventes'!$I$12)</f>
        <v/>
      </c>
    </row>
    <row r="16">
      <c r="A16" s="22" t="inlineStr">
        <is>
          <t>1</t>
        </is>
      </c>
      <c r="B16" s="22">
        <f>IF(OR('Brouillard ventes'!$F$13="",'Brouillard ventes'!$J$13="À crédit",'Brouillard ventes'!$J$13=""),"","EC"&amp;TEXT(ROW('Brouillard ventes'!$F$13)-5,"00000"))</f>
        <v/>
      </c>
      <c r="C16" s="22">
        <f>IF(OR('Brouillard ventes'!$F$13="",'Brouillard ventes'!$J$13="À crédit",'Brouillard ventes'!$J$13=""),"",YEAR('Brouillard ventes'!$A$13)*10000+MONTH('Brouillard ventes'!$A$13)*100+DAY('Brouillard ventes'!$A$13))</f>
        <v/>
      </c>
      <c r="D16" s="22">
        <f>IF(OR('Brouillard ventes'!$F$13="",'Brouillard ventes'!$J$13="À crédit",'Brouillard ventes'!$J$13=""),"",'Brouillard ventes'!$B$13)</f>
        <v/>
      </c>
      <c r="E16" s="22">
        <f>IF(OR('Brouillard ventes'!$F$13="",'Brouillard ventes'!$J$13="À crédit",'Brouillard ventes'!$J$13=""),"","REGL "&amp;LEFT('Brouillard ventes'!$D$13,25))</f>
        <v/>
      </c>
      <c r="F16" s="22">
        <f>IF(OR('Brouillard ventes'!$F$13="",'Brouillard ventes'!$J$13="À crédit",'Brouillard ventes'!$J$13=""),"",IF('Brouillard ventes'!$J$13="Espèces","04001","02001"))</f>
        <v/>
      </c>
      <c r="G16" s="22">
        <f>IF(OR('Brouillard ventes'!$F$13="",'Brouillard ventes'!$J$13="À crédit",'Brouillard ventes'!$J$13=""),"",IF('Brouillard ventes'!$J$13="Espèces","53000","51220"))</f>
        <v/>
      </c>
      <c r="H16" s="22" t="inlineStr"/>
      <c r="I16" s="22" t="inlineStr"/>
      <c r="J16" s="22" t="inlineStr"/>
      <c r="K16" s="22">
        <f>IF(OR('Brouillard ventes'!$F$13="",'Brouillard ventes'!$J$13="À crédit",'Brouillard ventes'!$J$13=""),"",Paramètres!$B$11)</f>
        <v/>
      </c>
      <c r="L16" s="23">
        <f>IF(OR('Brouillard ventes'!$F$13="",'Brouillard ventes'!$J$13="À crédit",'Brouillard ventes'!$J$13=""),0,'Brouillard ventes'!$I$13)</f>
        <v/>
      </c>
      <c r="M16" s="23" t="n">
        <v>0</v>
      </c>
    </row>
    <row r="17">
      <c r="A17" s="22" t="inlineStr">
        <is>
          <t>1</t>
        </is>
      </c>
      <c r="B17" s="22">
        <f>IF(OR('Brouillard ventes'!$F$13="",'Brouillard ventes'!$J$13="À crédit",'Brouillard ventes'!$J$13=""),"","EC"&amp;TEXT(ROW('Brouillard ventes'!$F$13)-5,"00000"))</f>
        <v/>
      </c>
      <c r="C17" s="22">
        <f>IF(OR('Brouillard ventes'!$F$13="",'Brouillard ventes'!$J$13="À crédit",'Brouillard ventes'!$J$13=""),"",YEAR('Brouillard ventes'!$A$13)*10000+MONTH('Brouillard ventes'!$A$13)*100+DAY('Brouillard ventes'!$A$13))</f>
        <v/>
      </c>
      <c r="D17" s="22">
        <f>IF(OR('Brouillard ventes'!$F$13="",'Brouillard ventes'!$J$13="À crédit",'Brouillard ventes'!$J$13=""),"",'Brouillard ventes'!$B$13)</f>
        <v/>
      </c>
      <c r="E17" s="22">
        <f>IF(OR('Brouillard ventes'!$F$13="",'Brouillard ventes'!$J$13="À crédit",'Brouillard ventes'!$J$13=""),"","REGL "&amp;LEFT('Brouillard ventes'!$D$13,25))</f>
        <v/>
      </c>
      <c r="F17" s="22">
        <f>IF(OR('Brouillard ventes'!$F$13="",'Brouillard ventes'!$J$13="À crédit",'Brouillard ventes'!$J$13=""),"",IF('Brouillard ventes'!$J$13="Espèces","04001","02001"))</f>
        <v/>
      </c>
      <c r="G17" s="22">
        <f>IF(OR('Brouillard ventes'!$F$13="",'Brouillard ventes'!$J$13="À crédit",'Brouillard ventes'!$J$13=""),"",Paramètres!$B$7)</f>
        <v/>
      </c>
      <c r="H17" s="22">
        <f>IF(OR('Brouillard ventes'!$F$13="",'Brouillard ventes'!$J$13="À crédit",'Brouillard ventes'!$J$13=""),"",IF('Brouillard ventes'!$C$13="","CD001",'Brouillard ventes'!$C$13))</f>
        <v/>
      </c>
      <c r="I17" s="22" t="inlineStr"/>
      <c r="J17" s="22" t="inlineStr"/>
      <c r="K17" s="22">
        <f>IF(OR('Brouillard ventes'!$F$13="",'Brouillard ventes'!$J$13="À crédit",'Brouillard ventes'!$J$13=""),"",Paramètres!$B$11)</f>
        <v/>
      </c>
      <c r="L17" s="23" t="n">
        <v>0</v>
      </c>
      <c r="M17" s="23">
        <f>IF(OR('Brouillard ventes'!$F$13="",'Brouillard ventes'!$J$13="À crédit",'Brouillard ventes'!$J$13=""),0,'Brouillard ventes'!$I$13)</f>
        <v/>
      </c>
    </row>
    <row r="18">
      <c r="A18" s="22" t="inlineStr">
        <is>
          <t>1</t>
        </is>
      </c>
      <c r="B18" s="22">
        <f>IF(OR('Brouillard ventes'!$F$14="",'Brouillard ventes'!$J$14="À crédit",'Brouillard ventes'!$J$14=""),"","EC"&amp;TEXT(ROW('Brouillard ventes'!$F$14)-5,"00000"))</f>
        <v/>
      </c>
      <c r="C18" s="22">
        <f>IF(OR('Brouillard ventes'!$F$14="",'Brouillard ventes'!$J$14="À crédit",'Brouillard ventes'!$J$14=""),"",YEAR('Brouillard ventes'!$A$14)*10000+MONTH('Brouillard ventes'!$A$14)*100+DAY('Brouillard ventes'!$A$14))</f>
        <v/>
      </c>
      <c r="D18" s="22">
        <f>IF(OR('Brouillard ventes'!$F$14="",'Brouillard ventes'!$J$14="À crédit",'Brouillard ventes'!$J$14=""),"",'Brouillard ventes'!$B$14)</f>
        <v/>
      </c>
      <c r="E18" s="22">
        <f>IF(OR('Brouillard ventes'!$F$14="",'Brouillard ventes'!$J$14="À crédit",'Brouillard ventes'!$J$14=""),"","REGL "&amp;LEFT('Brouillard ventes'!$D$14,25))</f>
        <v/>
      </c>
      <c r="F18" s="22">
        <f>IF(OR('Brouillard ventes'!$F$14="",'Brouillard ventes'!$J$14="À crédit",'Brouillard ventes'!$J$14=""),"",IF('Brouillard ventes'!$J$14="Espèces","04001","02001"))</f>
        <v/>
      </c>
      <c r="G18" s="22">
        <f>IF(OR('Brouillard ventes'!$F$14="",'Brouillard ventes'!$J$14="À crédit",'Brouillard ventes'!$J$14=""),"",IF('Brouillard ventes'!$J$14="Espèces","53000","51220"))</f>
        <v/>
      </c>
      <c r="H18" s="22" t="inlineStr"/>
      <c r="I18" s="22" t="inlineStr"/>
      <c r="J18" s="22" t="inlineStr"/>
      <c r="K18" s="22">
        <f>IF(OR('Brouillard ventes'!$F$14="",'Brouillard ventes'!$J$14="À crédit",'Brouillard ventes'!$J$14=""),"",Paramètres!$B$11)</f>
        <v/>
      </c>
      <c r="L18" s="23">
        <f>IF(OR('Brouillard ventes'!$F$14="",'Brouillard ventes'!$J$14="À crédit",'Brouillard ventes'!$J$14=""),0,'Brouillard ventes'!$I$14)</f>
        <v/>
      </c>
      <c r="M18" s="23" t="n">
        <v>0</v>
      </c>
    </row>
    <row r="19">
      <c r="A19" s="22" t="inlineStr">
        <is>
          <t>1</t>
        </is>
      </c>
      <c r="B19" s="22">
        <f>IF(OR('Brouillard ventes'!$F$14="",'Brouillard ventes'!$J$14="À crédit",'Brouillard ventes'!$J$14=""),"","EC"&amp;TEXT(ROW('Brouillard ventes'!$F$14)-5,"00000"))</f>
        <v/>
      </c>
      <c r="C19" s="22">
        <f>IF(OR('Brouillard ventes'!$F$14="",'Brouillard ventes'!$J$14="À crédit",'Brouillard ventes'!$J$14=""),"",YEAR('Brouillard ventes'!$A$14)*10000+MONTH('Brouillard ventes'!$A$14)*100+DAY('Brouillard ventes'!$A$14))</f>
        <v/>
      </c>
      <c r="D19" s="22">
        <f>IF(OR('Brouillard ventes'!$F$14="",'Brouillard ventes'!$J$14="À crédit",'Brouillard ventes'!$J$14=""),"",'Brouillard ventes'!$B$14)</f>
        <v/>
      </c>
      <c r="E19" s="22">
        <f>IF(OR('Brouillard ventes'!$F$14="",'Brouillard ventes'!$J$14="À crédit",'Brouillard ventes'!$J$14=""),"","REGL "&amp;LEFT('Brouillard ventes'!$D$14,25))</f>
        <v/>
      </c>
      <c r="F19" s="22">
        <f>IF(OR('Brouillard ventes'!$F$14="",'Brouillard ventes'!$J$14="À crédit",'Brouillard ventes'!$J$14=""),"",IF('Brouillard ventes'!$J$14="Espèces","04001","02001"))</f>
        <v/>
      </c>
      <c r="G19" s="22">
        <f>IF(OR('Brouillard ventes'!$F$14="",'Brouillard ventes'!$J$14="À crédit",'Brouillard ventes'!$J$14=""),"",Paramètres!$B$7)</f>
        <v/>
      </c>
      <c r="H19" s="22">
        <f>IF(OR('Brouillard ventes'!$F$14="",'Brouillard ventes'!$J$14="À crédit",'Brouillard ventes'!$J$14=""),"",IF('Brouillard ventes'!$C$14="","CD001",'Brouillard ventes'!$C$14))</f>
        <v/>
      </c>
      <c r="I19" s="22" t="inlineStr"/>
      <c r="J19" s="22" t="inlineStr"/>
      <c r="K19" s="22">
        <f>IF(OR('Brouillard ventes'!$F$14="",'Brouillard ventes'!$J$14="À crédit",'Brouillard ventes'!$J$14=""),"",Paramètres!$B$11)</f>
        <v/>
      </c>
      <c r="L19" s="23" t="n">
        <v>0</v>
      </c>
      <c r="M19" s="23">
        <f>IF(OR('Brouillard ventes'!$F$14="",'Brouillard ventes'!$J$14="À crédit",'Brouillard ventes'!$J$14=""),0,'Brouillard ventes'!$I$14)</f>
        <v/>
      </c>
    </row>
    <row r="20">
      <c r="A20" s="22" t="inlineStr">
        <is>
          <t>1</t>
        </is>
      </c>
      <c r="B20" s="22">
        <f>IF(OR('Brouillard ventes'!$F$15="",'Brouillard ventes'!$J$15="À crédit",'Brouillard ventes'!$J$15=""),"","EC"&amp;TEXT(ROW('Brouillard ventes'!$F$15)-5,"00000"))</f>
        <v/>
      </c>
      <c r="C20" s="22">
        <f>IF(OR('Brouillard ventes'!$F$15="",'Brouillard ventes'!$J$15="À crédit",'Brouillard ventes'!$J$15=""),"",YEAR('Brouillard ventes'!$A$15)*10000+MONTH('Brouillard ventes'!$A$15)*100+DAY('Brouillard ventes'!$A$15))</f>
        <v/>
      </c>
      <c r="D20" s="22">
        <f>IF(OR('Brouillard ventes'!$F$15="",'Brouillard ventes'!$J$15="À crédit",'Brouillard ventes'!$J$15=""),"",'Brouillard ventes'!$B$15)</f>
        <v/>
      </c>
      <c r="E20" s="22">
        <f>IF(OR('Brouillard ventes'!$F$15="",'Brouillard ventes'!$J$15="À crédit",'Brouillard ventes'!$J$15=""),"","REGL "&amp;LEFT('Brouillard ventes'!$D$15,25))</f>
        <v/>
      </c>
      <c r="F20" s="22">
        <f>IF(OR('Brouillard ventes'!$F$15="",'Brouillard ventes'!$J$15="À crédit",'Brouillard ventes'!$J$15=""),"",IF('Brouillard ventes'!$J$15="Espèces","04001","02001"))</f>
        <v/>
      </c>
      <c r="G20" s="22">
        <f>IF(OR('Brouillard ventes'!$F$15="",'Brouillard ventes'!$J$15="À crédit",'Brouillard ventes'!$J$15=""),"",IF('Brouillard ventes'!$J$15="Espèces","53000","51220"))</f>
        <v/>
      </c>
      <c r="H20" s="22" t="inlineStr"/>
      <c r="I20" s="22" t="inlineStr"/>
      <c r="J20" s="22" t="inlineStr"/>
      <c r="K20" s="22">
        <f>IF(OR('Brouillard ventes'!$F$15="",'Brouillard ventes'!$J$15="À crédit",'Brouillard ventes'!$J$15=""),"",Paramètres!$B$11)</f>
        <v/>
      </c>
      <c r="L20" s="23">
        <f>IF(OR('Brouillard ventes'!$F$15="",'Brouillard ventes'!$J$15="À crédit",'Brouillard ventes'!$J$15=""),0,'Brouillard ventes'!$I$15)</f>
        <v/>
      </c>
      <c r="M20" s="23" t="n">
        <v>0</v>
      </c>
    </row>
    <row r="21">
      <c r="A21" s="22" t="inlineStr">
        <is>
          <t>1</t>
        </is>
      </c>
      <c r="B21" s="22">
        <f>IF(OR('Brouillard ventes'!$F$15="",'Brouillard ventes'!$J$15="À crédit",'Brouillard ventes'!$J$15=""),"","EC"&amp;TEXT(ROW('Brouillard ventes'!$F$15)-5,"00000"))</f>
        <v/>
      </c>
      <c r="C21" s="22">
        <f>IF(OR('Brouillard ventes'!$F$15="",'Brouillard ventes'!$J$15="À crédit",'Brouillard ventes'!$J$15=""),"",YEAR('Brouillard ventes'!$A$15)*10000+MONTH('Brouillard ventes'!$A$15)*100+DAY('Brouillard ventes'!$A$15))</f>
        <v/>
      </c>
      <c r="D21" s="22">
        <f>IF(OR('Brouillard ventes'!$F$15="",'Brouillard ventes'!$J$15="À crédit",'Brouillard ventes'!$J$15=""),"",'Brouillard ventes'!$B$15)</f>
        <v/>
      </c>
      <c r="E21" s="22">
        <f>IF(OR('Brouillard ventes'!$F$15="",'Brouillard ventes'!$J$15="À crédit",'Brouillard ventes'!$J$15=""),"","REGL "&amp;LEFT('Brouillard ventes'!$D$15,25))</f>
        <v/>
      </c>
      <c r="F21" s="22">
        <f>IF(OR('Brouillard ventes'!$F$15="",'Brouillard ventes'!$J$15="À crédit",'Brouillard ventes'!$J$15=""),"",IF('Brouillard ventes'!$J$15="Espèces","04001","02001"))</f>
        <v/>
      </c>
      <c r="G21" s="22">
        <f>IF(OR('Brouillard ventes'!$F$15="",'Brouillard ventes'!$J$15="À crédit",'Brouillard ventes'!$J$15=""),"",Paramètres!$B$7)</f>
        <v/>
      </c>
      <c r="H21" s="22">
        <f>IF(OR('Brouillard ventes'!$F$15="",'Brouillard ventes'!$J$15="À crédit",'Brouillard ventes'!$J$15=""),"",IF('Brouillard ventes'!$C$15="","CD001",'Brouillard ventes'!$C$15))</f>
        <v/>
      </c>
      <c r="I21" s="22" t="inlineStr"/>
      <c r="J21" s="22" t="inlineStr"/>
      <c r="K21" s="22">
        <f>IF(OR('Brouillard ventes'!$F$15="",'Brouillard ventes'!$J$15="À crédit",'Brouillard ventes'!$J$15=""),"",Paramètres!$B$11)</f>
        <v/>
      </c>
      <c r="L21" s="23" t="n">
        <v>0</v>
      </c>
      <c r="M21" s="23">
        <f>IF(OR('Brouillard ventes'!$F$15="",'Brouillard ventes'!$J$15="À crédit",'Brouillard ventes'!$J$15=""),0,'Brouillard ventes'!$I$15)</f>
        <v/>
      </c>
    </row>
    <row r="22">
      <c r="A22" s="22" t="inlineStr">
        <is>
          <t>1</t>
        </is>
      </c>
      <c r="B22" s="22">
        <f>IF(OR('Brouillard ventes'!$F$16="",'Brouillard ventes'!$J$16="À crédit",'Brouillard ventes'!$J$16=""),"","EC"&amp;TEXT(ROW('Brouillard ventes'!$F$16)-5,"00000"))</f>
        <v/>
      </c>
      <c r="C22" s="22">
        <f>IF(OR('Brouillard ventes'!$F$16="",'Brouillard ventes'!$J$16="À crédit",'Brouillard ventes'!$J$16=""),"",YEAR('Brouillard ventes'!$A$16)*10000+MONTH('Brouillard ventes'!$A$16)*100+DAY('Brouillard ventes'!$A$16))</f>
        <v/>
      </c>
      <c r="D22" s="22">
        <f>IF(OR('Brouillard ventes'!$F$16="",'Brouillard ventes'!$J$16="À crédit",'Brouillard ventes'!$J$16=""),"",'Brouillard ventes'!$B$16)</f>
        <v/>
      </c>
      <c r="E22" s="22">
        <f>IF(OR('Brouillard ventes'!$F$16="",'Brouillard ventes'!$J$16="À crédit",'Brouillard ventes'!$J$16=""),"","REGL "&amp;LEFT('Brouillard ventes'!$D$16,25))</f>
        <v/>
      </c>
      <c r="F22" s="22">
        <f>IF(OR('Brouillard ventes'!$F$16="",'Brouillard ventes'!$J$16="À crédit",'Brouillard ventes'!$J$16=""),"",IF('Brouillard ventes'!$J$16="Espèces","04001","02001"))</f>
        <v/>
      </c>
      <c r="G22" s="22">
        <f>IF(OR('Brouillard ventes'!$F$16="",'Brouillard ventes'!$J$16="À crédit",'Brouillard ventes'!$J$16=""),"",IF('Brouillard ventes'!$J$16="Espèces","53000","51220"))</f>
        <v/>
      </c>
      <c r="H22" s="22" t="inlineStr"/>
      <c r="I22" s="22" t="inlineStr"/>
      <c r="J22" s="22" t="inlineStr"/>
      <c r="K22" s="22">
        <f>IF(OR('Brouillard ventes'!$F$16="",'Brouillard ventes'!$J$16="À crédit",'Brouillard ventes'!$J$16=""),"",Paramètres!$B$11)</f>
        <v/>
      </c>
      <c r="L22" s="23">
        <f>IF(OR('Brouillard ventes'!$F$16="",'Brouillard ventes'!$J$16="À crédit",'Brouillard ventes'!$J$16=""),0,'Brouillard ventes'!$I$16)</f>
        <v/>
      </c>
      <c r="M22" s="23" t="n">
        <v>0</v>
      </c>
    </row>
    <row r="23">
      <c r="A23" s="22" t="inlineStr">
        <is>
          <t>1</t>
        </is>
      </c>
      <c r="B23" s="22">
        <f>IF(OR('Brouillard ventes'!$F$16="",'Brouillard ventes'!$J$16="À crédit",'Brouillard ventes'!$J$16=""),"","EC"&amp;TEXT(ROW('Brouillard ventes'!$F$16)-5,"00000"))</f>
        <v/>
      </c>
      <c r="C23" s="22">
        <f>IF(OR('Brouillard ventes'!$F$16="",'Brouillard ventes'!$J$16="À crédit",'Brouillard ventes'!$J$16=""),"",YEAR('Brouillard ventes'!$A$16)*10000+MONTH('Brouillard ventes'!$A$16)*100+DAY('Brouillard ventes'!$A$16))</f>
        <v/>
      </c>
      <c r="D23" s="22">
        <f>IF(OR('Brouillard ventes'!$F$16="",'Brouillard ventes'!$J$16="À crédit",'Brouillard ventes'!$J$16=""),"",'Brouillard ventes'!$B$16)</f>
        <v/>
      </c>
      <c r="E23" s="22">
        <f>IF(OR('Brouillard ventes'!$F$16="",'Brouillard ventes'!$J$16="À crédit",'Brouillard ventes'!$J$16=""),"","REGL "&amp;LEFT('Brouillard ventes'!$D$16,25))</f>
        <v/>
      </c>
      <c r="F23" s="22">
        <f>IF(OR('Brouillard ventes'!$F$16="",'Brouillard ventes'!$J$16="À crédit",'Brouillard ventes'!$J$16=""),"",IF('Brouillard ventes'!$J$16="Espèces","04001","02001"))</f>
        <v/>
      </c>
      <c r="G23" s="22">
        <f>IF(OR('Brouillard ventes'!$F$16="",'Brouillard ventes'!$J$16="À crédit",'Brouillard ventes'!$J$16=""),"",Paramètres!$B$7)</f>
        <v/>
      </c>
      <c r="H23" s="22">
        <f>IF(OR('Brouillard ventes'!$F$16="",'Brouillard ventes'!$J$16="À crédit",'Brouillard ventes'!$J$16=""),"",IF('Brouillard ventes'!$C$16="","CD001",'Brouillard ventes'!$C$16))</f>
        <v/>
      </c>
      <c r="I23" s="22" t="inlineStr"/>
      <c r="J23" s="22" t="inlineStr"/>
      <c r="K23" s="22">
        <f>IF(OR('Brouillard ventes'!$F$16="",'Brouillard ventes'!$J$16="À crédit",'Brouillard ventes'!$J$16=""),"",Paramètres!$B$11)</f>
        <v/>
      </c>
      <c r="L23" s="23" t="n">
        <v>0</v>
      </c>
      <c r="M23" s="23">
        <f>IF(OR('Brouillard ventes'!$F$16="",'Brouillard ventes'!$J$16="À crédit",'Brouillard ventes'!$J$16=""),0,'Brouillard ventes'!$I$16)</f>
        <v/>
      </c>
    </row>
    <row r="24">
      <c r="A24" s="22" t="inlineStr">
        <is>
          <t>1</t>
        </is>
      </c>
      <c r="B24" s="22">
        <f>IF(OR('Brouillard ventes'!$F$17="",'Brouillard ventes'!$J$17="À crédit",'Brouillard ventes'!$J$17=""),"","EC"&amp;TEXT(ROW('Brouillard ventes'!$F$17)-5,"00000"))</f>
        <v/>
      </c>
      <c r="C24" s="22">
        <f>IF(OR('Brouillard ventes'!$F$17="",'Brouillard ventes'!$J$17="À crédit",'Brouillard ventes'!$J$17=""),"",YEAR('Brouillard ventes'!$A$17)*10000+MONTH('Brouillard ventes'!$A$17)*100+DAY('Brouillard ventes'!$A$17))</f>
        <v/>
      </c>
      <c r="D24" s="22">
        <f>IF(OR('Brouillard ventes'!$F$17="",'Brouillard ventes'!$J$17="À crédit",'Brouillard ventes'!$J$17=""),"",'Brouillard ventes'!$B$17)</f>
        <v/>
      </c>
      <c r="E24" s="22">
        <f>IF(OR('Brouillard ventes'!$F$17="",'Brouillard ventes'!$J$17="À crédit",'Brouillard ventes'!$J$17=""),"","REGL "&amp;LEFT('Brouillard ventes'!$D$17,25))</f>
        <v/>
      </c>
      <c r="F24" s="22">
        <f>IF(OR('Brouillard ventes'!$F$17="",'Brouillard ventes'!$J$17="À crédit",'Brouillard ventes'!$J$17=""),"",IF('Brouillard ventes'!$J$17="Espèces","04001","02001"))</f>
        <v/>
      </c>
      <c r="G24" s="22">
        <f>IF(OR('Brouillard ventes'!$F$17="",'Brouillard ventes'!$J$17="À crédit",'Brouillard ventes'!$J$17=""),"",IF('Brouillard ventes'!$J$17="Espèces","53000","51220"))</f>
        <v/>
      </c>
      <c r="H24" s="22" t="inlineStr"/>
      <c r="I24" s="22" t="inlineStr"/>
      <c r="J24" s="22" t="inlineStr"/>
      <c r="K24" s="22">
        <f>IF(OR('Brouillard ventes'!$F$17="",'Brouillard ventes'!$J$17="À crédit",'Brouillard ventes'!$J$17=""),"",Paramètres!$B$11)</f>
        <v/>
      </c>
      <c r="L24" s="23">
        <f>IF(OR('Brouillard ventes'!$F$17="",'Brouillard ventes'!$J$17="À crédit",'Brouillard ventes'!$J$17=""),0,'Brouillard ventes'!$I$17)</f>
        <v/>
      </c>
      <c r="M24" s="23" t="n">
        <v>0</v>
      </c>
    </row>
    <row r="25">
      <c r="A25" s="22" t="inlineStr">
        <is>
          <t>1</t>
        </is>
      </c>
      <c r="B25" s="22">
        <f>IF(OR('Brouillard ventes'!$F$17="",'Brouillard ventes'!$J$17="À crédit",'Brouillard ventes'!$J$17=""),"","EC"&amp;TEXT(ROW('Brouillard ventes'!$F$17)-5,"00000"))</f>
        <v/>
      </c>
      <c r="C25" s="22">
        <f>IF(OR('Brouillard ventes'!$F$17="",'Brouillard ventes'!$J$17="À crédit",'Brouillard ventes'!$J$17=""),"",YEAR('Brouillard ventes'!$A$17)*10000+MONTH('Brouillard ventes'!$A$17)*100+DAY('Brouillard ventes'!$A$17))</f>
        <v/>
      </c>
      <c r="D25" s="22">
        <f>IF(OR('Brouillard ventes'!$F$17="",'Brouillard ventes'!$J$17="À crédit",'Brouillard ventes'!$J$17=""),"",'Brouillard ventes'!$B$17)</f>
        <v/>
      </c>
      <c r="E25" s="22">
        <f>IF(OR('Brouillard ventes'!$F$17="",'Brouillard ventes'!$J$17="À crédit",'Brouillard ventes'!$J$17=""),"","REGL "&amp;LEFT('Brouillard ventes'!$D$17,25))</f>
        <v/>
      </c>
      <c r="F25" s="22">
        <f>IF(OR('Brouillard ventes'!$F$17="",'Brouillard ventes'!$J$17="À crédit",'Brouillard ventes'!$J$17=""),"",IF('Brouillard ventes'!$J$17="Espèces","04001","02001"))</f>
        <v/>
      </c>
      <c r="G25" s="22">
        <f>IF(OR('Brouillard ventes'!$F$17="",'Brouillard ventes'!$J$17="À crédit",'Brouillard ventes'!$J$17=""),"",Paramètres!$B$7)</f>
        <v/>
      </c>
      <c r="H25" s="22">
        <f>IF(OR('Brouillard ventes'!$F$17="",'Brouillard ventes'!$J$17="À crédit",'Brouillard ventes'!$J$17=""),"",IF('Brouillard ventes'!$C$17="","CD001",'Brouillard ventes'!$C$17))</f>
        <v/>
      </c>
      <c r="I25" s="22" t="inlineStr"/>
      <c r="J25" s="22" t="inlineStr"/>
      <c r="K25" s="22">
        <f>IF(OR('Brouillard ventes'!$F$17="",'Brouillard ventes'!$J$17="À crédit",'Brouillard ventes'!$J$17=""),"",Paramètres!$B$11)</f>
        <v/>
      </c>
      <c r="L25" s="23" t="n">
        <v>0</v>
      </c>
      <c r="M25" s="23">
        <f>IF(OR('Brouillard ventes'!$F$17="",'Brouillard ventes'!$J$17="À crédit",'Brouillard ventes'!$J$17=""),0,'Brouillard ventes'!$I$17)</f>
        <v/>
      </c>
    </row>
    <row r="26">
      <c r="A26" s="22" t="inlineStr">
        <is>
          <t>1</t>
        </is>
      </c>
      <c r="B26" s="22">
        <f>IF(OR('Brouillard ventes'!$F$18="",'Brouillard ventes'!$J$18="À crédit",'Brouillard ventes'!$J$18=""),"","EC"&amp;TEXT(ROW('Brouillard ventes'!$F$18)-5,"00000"))</f>
        <v/>
      </c>
      <c r="C26" s="22">
        <f>IF(OR('Brouillard ventes'!$F$18="",'Brouillard ventes'!$J$18="À crédit",'Brouillard ventes'!$J$18=""),"",YEAR('Brouillard ventes'!$A$18)*10000+MONTH('Brouillard ventes'!$A$18)*100+DAY('Brouillard ventes'!$A$18))</f>
        <v/>
      </c>
      <c r="D26" s="22">
        <f>IF(OR('Brouillard ventes'!$F$18="",'Brouillard ventes'!$J$18="À crédit",'Brouillard ventes'!$J$18=""),"",'Brouillard ventes'!$B$18)</f>
        <v/>
      </c>
      <c r="E26" s="22">
        <f>IF(OR('Brouillard ventes'!$F$18="",'Brouillard ventes'!$J$18="À crédit",'Brouillard ventes'!$J$18=""),"","REGL "&amp;LEFT('Brouillard ventes'!$D$18,25))</f>
        <v/>
      </c>
      <c r="F26" s="22">
        <f>IF(OR('Brouillard ventes'!$F$18="",'Brouillard ventes'!$J$18="À crédit",'Brouillard ventes'!$J$18=""),"",IF('Brouillard ventes'!$J$18="Espèces","04001","02001"))</f>
        <v/>
      </c>
      <c r="G26" s="22">
        <f>IF(OR('Brouillard ventes'!$F$18="",'Brouillard ventes'!$J$18="À crédit",'Brouillard ventes'!$J$18=""),"",IF('Brouillard ventes'!$J$18="Espèces","53000","51220"))</f>
        <v/>
      </c>
      <c r="H26" s="22" t="inlineStr"/>
      <c r="I26" s="22" t="inlineStr"/>
      <c r="J26" s="22" t="inlineStr"/>
      <c r="K26" s="22">
        <f>IF(OR('Brouillard ventes'!$F$18="",'Brouillard ventes'!$J$18="À crédit",'Brouillard ventes'!$J$18=""),"",Paramètres!$B$11)</f>
        <v/>
      </c>
      <c r="L26" s="23">
        <f>IF(OR('Brouillard ventes'!$F$18="",'Brouillard ventes'!$J$18="À crédit",'Brouillard ventes'!$J$18=""),0,'Brouillard ventes'!$I$18)</f>
        <v/>
      </c>
      <c r="M26" s="23" t="n">
        <v>0</v>
      </c>
    </row>
    <row r="27">
      <c r="A27" s="22" t="inlineStr">
        <is>
          <t>1</t>
        </is>
      </c>
      <c r="B27" s="22">
        <f>IF(OR('Brouillard ventes'!$F$18="",'Brouillard ventes'!$J$18="À crédit",'Brouillard ventes'!$J$18=""),"","EC"&amp;TEXT(ROW('Brouillard ventes'!$F$18)-5,"00000"))</f>
        <v/>
      </c>
      <c r="C27" s="22">
        <f>IF(OR('Brouillard ventes'!$F$18="",'Brouillard ventes'!$J$18="À crédit",'Brouillard ventes'!$J$18=""),"",YEAR('Brouillard ventes'!$A$18)*10000+MONTH('Brouillard ventes'!$A$18)*100+DAY('Brouillard ventes'!$A$18))</f>
        <v/>
      </c>
      <c r="D27" s="22">
        <f>IF(OR('Brouillard ventes'!$F$18="",'Brouillard ventes'!$J$18="À crédit",'Brouillard ventes'!$J$18=""),"",'Brouillard ventes'!$B$18)</f>
        <v/>
      </c>
      <c r="E27" s="22">
        <f>IF(OR('Brouillard ventes'!$F$18="",'Brouillard ventes'!$J$18="À crédit",'Brouillard ventes'!$J$18=""),"","REGL "&amp;LEFT('Brouillard ventes'!$D$18,25))</f>
        <v/>
      </c>
      <c r="F27" s="22">
        <f>IF(OR('Brouillard ventes'!$F$18="",'Brouillard ventes'!$J$18="À crédit",'Brouillard ventes'!$J$18=""),"",IF('Brouillard ventes'!$J$18="Espèces","04001","02001"))</f>
        <v/>
      </c>
      <c r="G27" s="22">
        <f>IF(OR('Brouillard ventes'!$F$18="",'Brouillard ventes'!$J$18="À crédit",'Brouillard ventes'!$J$18=""),"",Paramètres!$B$7)</f>
        <v/>
      </c>
      <c r="H27" s="22">
        <f>IF(OR('Brouillard ventes'!$F$18="",'Brouillard ventes'!$J$18="À crédit",'Brouillard ventes'!$J$18=""),"",IF('Brouillard ventes'!$C$18="","CD001",'Brouillard ventes'!$C$18))</f>
        <v/>
      </c>
      <c r="I27" s="22" t="inlineStr"/>
      <c r="J27" s="22" t="inlineStr"/>
      <c r="K27" s="22">
        <f>IF(OR('Brouillard ventes'!$F$18="",'Brouillard ventes'!$J$18="À crédit",'Brouillard ventes'!$J$18=""),"",Paramètres!$B$11)</f>
        <v/>
      </c>
      <c r="L27" s="23" t="n">
        <v>0</v>
      </c>
      <c r="M27" s="23">
        <f>IF(OR('Brouillard ventes'!$F$18="",'Brouillard ventes'!$J$18="À crédit",'Brouillard ventes'!$J$18=""),0,'Brouillard ventes'!$I$18)</f>
        <v/>
      </c>
    </row>
    <row r="28">
      <c r="A28" s="22" t="inlineStr">
        <is>
          <t>1</t>
        </is>
      </c>
      <c r="B28" s="22">
        <f>IF(OR('Brouillard ventes'!$F$19="",'Brouillard ventes'!$J$19="À crédit",'Brouillard ventes'!$J$19=""),"","EC"&amp;TEXT(ROW('Brouillard ventes'!$F$19)-5,"00000"))</f>
        <v/>
      </c>
      <c r="C28" s="22">
        <f>IF(OR('Brouillard ventes'!$F$19="",'Brouillard ventes'!$J$19="À crédit",'Brouillard ventes'!$J$19=""),"",YEAR('Brouillard ventes'!$A$19)*10000+MONTH('Brouillard ventes'!$A$19)*100+DAY('Brouillard ventes'!$A$19))</f>
        <v/>
      </c>
      <c r="D28" s="22">
        <f>IF(OR('Brouillard ventes'!$F$19="",'Brouillard ventes'!$J$19="À crédit",'Brouillard ventes'!$J$19=""),"",'Brouillard ventes'!$B$19)</f>
        <v/>
      </c>
      <c r="E28" s="22">
        <f>IF(OR('Brouillard ventes'!$F$19="",'Brouillard ventes'!$J$19="À crédit",'Brouillard ventes'!$J$19=""),"","REGL "&amp;LEFT('Brouillard ventes'!$D$19,25))</f>
        <v/>
      </c>
      <c r="F28" s="22">
        <f>IF(OR('Brouillard ventes'!$F$19="",'Brouillard ventes'!$J$19="À crédit",'Brouillard ventes'!$J$19=""),"",IF('Brouillard ventes'!$J$19="Espèces","04001","02001"))</f>
        <v/>
      </c>
      <c r="G28" s="22">
        <f>IF(OR('Brouillard ventes'!$F$19="",'Brouillard ventes'!$J$19="À crédit",'Brouillard ventes'!$J$19=""),"",IF('Brouillard ventes'!$J$19="Espèces","53000","51220"))</f>
        <v/>
      </c>
      <c r="H28" s="22" t="inlineStr"/>
      <c r="I28" s="22" t="inlineStr"/>
      <c r="J28" s="22" t="inlineStr"/>
      <c r="K28" s="22">
        <f>IF(OR('Brouillard ventes'!$F$19="",'Brouillard ventes'!$J$19="À crédit",'Brouillard ventes'!$J$19=""),"",Paramètres!$B$11)</f>
        <v/>
      </c>
      <c r="L28" s="23">
        <f>IF(OR('Brouillard ventes'!$F$19="",'Brouillard ventes'!$J$19="À crédit",'Brouillard ventes'!$J$19=""),0,'Brouillard ventes'!$I$19)</f>
        <v/>
      </c>
      <c r="M28" s="23" t="n">
        <v>0</v>
      </c>
    </row>
    <row r="29">
      <c r="A29" s="22" t="inlineStr">
        <is>
          <t>1</t>
        </is>
      </c>
      <c r="B29" s="22">
        <f>IF(OR('Brouillard ventes'!$F$19="",'Brouillard ventes'!$J$19="À crédit",'Brouillard ventes'!$J$19=""),"","EC"&amp;TEXT(ROW('Brouillard ventes'!$F$19)-5,"00000"))</f>
        <v/>
      </c>
      <c r="C29" s="22">
        <f>IF(OR('Brouillard ventes'!$F$19="",'Brouillard ventes'!$J$19="À crédit",'Brouillard ventes'!$J$19=""),"",YEAR('Brouillard ventes'!$A$19)*10000+MONTH('Brouillard ventes'!$A$19)*100+DAY('Brouillard ventes'!$A$19))</f>
        <v/>
      </c>
      <c r="D29" s="22">
        <f>IF(OR('Brouillard ventes'!$F$19="",'Brouillard ventes'!$J$19="À crédit",'Brouillard ventes'!$J$19=""),"",'Brouillard ventes'!$B$19)</f>
        <v/>
      </c>
      <c r="E29" s="22">
        <f>IF(OR('Brouillard ventes'!$F$19="",'Brouillard ventes'!$J$19="À crédit",'Brouillard ventes'!$J$19=""),"","REGL "&amp;LEFT('Brouillard ventes'!$D$19,25))</f>
        <v/>
      </c>
      <c r="F29" s="22">
        <f>IF(OR('Brouillard ventes'!$F$19="",'Brouillard ventes'!$J$19="À crédit",'Brouillard ventes'!$J$19=""),"",IF('Brouillard ventes'!$J$19="Espèces","04001","02001"))</f>
        <v/>
      </c>
      <c r="G29" s="22">
        <f>IF(OR('Brouillard ventes'!$F$19="",'Brouillard ventes'!$J$19="À crédit",'Brouillard ventes'!$J$19=""),"",Paramètres!$B$7)</f>
        <v/>
      </c>
      <c r="H29" s="22">
        <f>IF(OR('Brouillard ventes'!$F$19="",'Brouillard ventes'!$J$19="À crédit",'Brouillard ventes'!$J$19=""),"",IF('Brouillard ventes'!$C$19="","CD001",'Brouillard ventes'!$C$19))</f>
        <v/>
      </c>
      <c r="I29" s="22" t="inlineStr"/>
      <c r="J29" s="22" t="inlineStr"/>
      <c r="K29" s="22">
        <f>IF(OR('Brouillard ventes'!$F$19="",'Brouillard ventes'!$J$19="À crédit",'Brouillard ventes'!$J$19=""),"",Paramètres!$B$11)</f>
        <v/>
      </c>
      <c r="L29" s="23" t="n">
        <v>0</v>
      </c>
      <c r="M29" s="23">
        <f>IF(OR('Brouillard ventes'!$F$19="",'Brouillard ventes'!$J$19="À crédit",'Brouillard ventes'!$J$19=""),0,'Brouillard ventes'!$I$19)</f>
        <v/>
      </c>
    </row>
    <row r="30">
      <c r="A30" s="22" t="inlineStr">
        <is>
          <t>1</t>
        </is>
      </c>
      <c r="B30" s="22">
        <f>IF(OR('Brouillard ventes'!$F$20="",'Brouillard ventes'!$J$20="À crédit",'Brouillard ventes'!$J$20=""),"","EC"&amp;TEXT(ROW('Brouillard ventes'!$F$20)-5,"00000"))</f>
        <v/>
      </c>
      <c r="C30" s="22">
        <f>IF(OR('Brouillard ventes'!$F$20="",'Brouillard ventes'!$J$20="À crédit",'Brouillard ventes'!$J$20=""),"",YEAR('Brouillard ventes'!$A$20)*10000+MONTH('Brouillard ventes'!$A$20)*100+DAY('Brouillard ventes'!$A$20))</f>
        <v/>
      </c>
      <c r="D30" s="22">
        <f>IF(OR('Brouillard ventes'!$F$20="",'Brouillard ventes'!$J$20="À crédit",'Brouillard ventes'!$J$20=""),"",'Brouillard ventes'!$B$20)</f>
        <v/>
      </c>
      <c r="E30" s="22">
        <f>IF(OR('Brouillard ventes'!$F$20="",'Brouillard ventes'!$J$20="À crédit",'Brouillard ventes'!$J$20=""),"","REGL "&amp;LEFT('Brouillard ventes'!$D$20,25))</f>
        <v/>
      </c>
      <c r="F30" s="22">
        <f>IF(OR('Brouillard ventes'!$F$20="",'Brouillard ventes'!$J$20="À crédit",'Brouillard ventes'!$J$20=""),"",IF('Brouillard ventes'!$J$20="Espèces","04001","02001"))</f>
        <v/>
      </c>
      <c r="G30" s="22">
        <f>IF(OR('Brouillard ventes'!$F$20="",'Brouillard ventes'!$J$20="À crédit",'Brouillard ventes'!$J$20=""),"",IF('Brouillard ventes'!$J$20="Espèces","53000","51220"))</f>
        <v/>
      </c>
      <c r="H30" s="22" t="inlineStr"/>
      <c r="I30" s="22" t="inlineStr"/>
      <c r="J30" s="22" t="inlineStr"/>
      <c r="K30" s="22">
        <f>IF(OR('Brouillard ventes'!$F$20="",'Brouillard ventes'!$J$20="À crédit",'Brouillard ventes'!$J$20=""),"",Paramètres!$B$11)</f>
        <v/>
      </c>
      <c r="L30" s="23">
        <f>IF(OR('Brouillard ventes'!$F$20="",'Brouillard ventes'!$J$20="À crédit",'Brouillard ventes'!$J$20=""),0,'Brouillard ventes'!$I$20)</f>
        <v/>
      </c>
      <c r="M30" s="23" t="n">
        <v>0</v>
      </c>
    </row>
    <row r="31">
      <c r="A31" s="22" t="inlineStr">
        <is>
          <t>1</t>
        </is>
      </c>
      <c r="B31" s="22">
        <f>IF(OR('Brouillard ventes'!$F$20="",'Brouillard ventes'!$J$20="À crédit",'Brouillard ventes'!$J$20=""),"","EC"&amp;TEXT(ROW('Brouillard ventes'!$F$20)-5,"00000"))</f>
        <v/>
      </c>
      <c r="C31" s="22">
        <f>IF(OR('Brouillard ventes'!$F$20="",'Brouillard ventes'!$J$20="À crédit",'Brouillard ventes'!$J$20=""),"",YEAR('Brouillard ventes'!$A$20)*10000+MONTH('Brouillard ventes'!$A$20)*100+DAY('Brouillard ventes'!$A$20))</f>
        <v/>
      </c>
      <c r="D31" s="22">
        <f>IF(OR('Brouillard ventes'!$F$20="",'Brouillard ventes'!$J$20="À crédit",'Brouillard ventes'!$J$20=""),"",'Brouillard ventes'!$B$20)</f>
        <v/>
      </c>
      <c r="E31" s="22">
        <f>IF(OR('Brouillard ventes'!$F$20="",'Brouillard ventes'!$J$20="À crédit",'Brouillard ventes'!$J$20=""),"","REGL "&amp;LEFT('Brouillard ventes'!$D$20,25))</f>
        <v/>
      </c>
      <c r="F31" s="22">
        <f>IF(OR('Brouillard ventes'!$F$20="",'Brouillard ventes'!$J$20="À crédit",'Brouillard ventes'!$J$20=""),"",IF('Brouillard ventes'!$J$20="Espèces","04001","02001"))</f>
        <v/>
      </c>
      <c r="G31" s="22">
        <f>IF(OR('Brouillard ventes'!$F$20="",'Brouillard ventes'!$J$20="À crédit",'Brouillard ventes'!$J$20=""),"",Paramètres!$B$7)</f>
        <v/>
      </c>
      <c r="H31" s="22">
        <f>IF(OR('Brouillard ventes'!$F$20="",'Brouillard ventes'!$J$20="À crédit",'Brouillard ventes'!$J$20=""),"",IF('Brouillard ventes'!$C$20="","CD001",'Brouillard ventes'!$C$20))</f>
        <v/>
      </c>
      <c r="I31" s="22" t="inlineStr"/>
      <c r="J31" s="22" t="inlineStr"/>
      <c r="K31" s="22">
        <f>IF(OR('Brouillard ventes'!$F$20="",'Brouillard ventes'!$J$20="À crédit",'Brouillard ventes'!$J$20=""),"",Paramètres!$B$11)</f>
        <v/>
      </c>
      <c r="L31" s="23" t="n">
        <v>0</v>
      </c>
      <c r="M31" s="23">
        <f>IF(OR('Brouillard ventes'!$F$20="",'Brouillard ventes'!$J$20="À crédit",'Brouillard ventes'!$J$20=""),0,'Brouillard ventes'!$I$20)</f>
        <v/>
      </c>
    </row>
    <row r="32">
      <c r="A32" s="22" t="inlineStr">
        <is>
          <t>1</t>
        </is>
      </c>
      <c r="B32" s="22">
        <f>IF(OR('Brouillard ventes'!$F$21="",'Brouillard ventes'!$J$21="À crédit",'Brouillard ventes'!$J$21=""),"","EC"&amp;TEXT(ROW('Brouillard ventes'!$F$21)-5,"00000"))</f>
        <v/>
      </c>
      <c r="C32" s="22">
        <f>IF(OR('Brouillard ventes'!$F$21="",'Brouillard ventes'!$J$21="À crédit",'Brouillard ventes'!$J$21=""),"",YEAR('Brouillard ventes'!$A$21)*10000+MONTH('Brouillard ventes'!$A$21)*100+DAY('Brouillard ventes'!$A$21))</f>
        <v/>
      </c>
      <c r="D32" s="22">
        <f>IF(OR('Brouillard ventes'!$F$21="",'Brouillard ventes'!$J$21="À crédit",'Brouillard ventes'!$J$21=""),"",'Brouillard ventes'!$B$21)</f>
        <v/>
      </c>
      <c r="E32" s="22">
        <f>IF(OR('Brouillard ventes'!$F$21="",'Brouillard ventes'!$J$21="À crédit",'Brouillard ventes'!$J$21=""),"","REGL "&amp;LEFT('Brouillard ventes'!$D$21,25))</f>
        <v/>
      </c>
      <c r="F32" s="22">
        <f>IF(OR('Brouillard ventes'!$F$21="",'Brouillard ventes'!$J$21="À crédit",'Brouillard ventes'!$J$21=""),"",IF('Brouillard ventes'!$J$21="Espèces","04001","02001"))</f>
        <v/>
      </c>
      <c r="G32" s="22">
        <f>IF(OR('Brouillard ventes'!$F$21="",'Brouillard ventes'!$J$21="À crédit",'Brouillard ventes'!$J$21=""),"",IF('Brouillard ventes'!$J$21="Espèces","53000","51220"))</f>
        <v/>
      </c>
      <c r="H32" s="22" t="inlineStr"/>
      <c r="I32" s="22" t="inlineStr"/>
      <c r="J32" s="22" t="inlineStr"/>
      <c r="K32" s="22">
        <f>IF(OR('Brouillard ventes'!$F$21="",'Brouillard ventes'!$J$21="À crédit",'Brouillard ventes'!$J$21=""),"",Paramètres!$B$11)</f>
        <v/>
      </c>
      <c r="L32" s="23">
        <f>IF(OR('Brouillard ventes'!$F$21="",'Brouillard ventes'!$J$21="À crédit",'Brouillard ventes'!$J$21=""),0,'Brouillard ventes'!$I$21)</f>
        <v/>
      </c>
      <c r="M32" s="23" t="n">
        <v>0</v>
      </c>
    </row>
    <row r="33">
      <c r="A33" s="22" t="inlineStr">
        <is>
          <t>1</t>
        </is>
      </c>
      <c r="B33" s="22">
        <f>IF(OR('Brouillard ventes'!$F$21="",'Brouillard ventes'!$J$21="À crédit",'Brouillard ventes'!$J$21=""),"","EC"&amp;TEXT(ROW('Brouillard ventes'!$F$21)-5,"00000"))</f>
        <v/>
      </c>
      <c r="C33" s="22">
        <f>IF(OR('Brouillard ventes'!$F$21="",'Brouillard ventes'!$J$21="À crédit",'Brouillard ventes'!$J$21=""),"",YEAR('Brouillard ventes'!$A$21)*10000+MONTH('Brouillard ventes'!$A$21)*100+DAY('Brouillard ventes'!$A$21))</f>
        <v/>
      </c>
      <c r="D33" s="22">
        <f>IF(OR('Brouillard ventes'!$F$21="",'Brouillard ventes'!$J$21="À crédit",'Brouillard ventes'!$J$21=""),"",'Brouillard ventes'!$B$21)</f>
        <v/>
      </c>
      <c r="E33" s="22">
        <f>IF(OR('Brouillard ventes'!$F$21="",'Brouillard ventes'!$J$21="À crédit",'Brouillard ventes'!$J$21=""),"","REGL "&amp;LEFT('Brouillard ventes'!$D$21,25))</f>
        <v/>
      </c>
      <c r="F33" s="22">
        <f>IF(OR('Brouillard ventes'!$F$21="",'Brouillard ventes'!$J$21="À crédit",'Brouillard ventes'!$J$21=""),"",IF('Brouillard ventes'!$J$21="Espèces","04001","02001"))</f>
        <v/>
      </c>
      <c r="G33" s="22">
        <f>IF(OR('Brouillard ventes'!$F$21="",'Brouillard ventes'!$J$21="À crédit",'Brouillard ventes'!$J$21=""),"",Paramètres!$B$7)</f>
        <v/>
      </c>
      <c r="H33" s="22">
        <f>IF(OR('Brouillard ventes'!$F$21="",'Brouillard ventes'!$J$21="À crédit",'Brouillard ventes'!$J$21=""),"",IF('Brouillard ventes'!$C$21="","CD001",'Brouillard ventes'!$C$21))</f>
        <v/>
      </c>
      <c r="I33" s="22" t="inlineStr"/>
      <c r="J33" s="22" t="inlineStr"/>
      <c r="K33" s="22">
        <f>IF(OR('Brouillard ventes'!$F$21="",'Brouillard ventes'!$J$21="À crédit",'Brouillard ventes'!$J$21=""),"",Paramètres!$B$11)</f>
        <v/>
      </c>
      <c r="L33" s="23" t="n">
        <v>0</v>
      </c>
      <c r="M33" s="23">
        <f>IF(OR('Brouillard ventes'!$F$21="",'Brouillard ventes'!$J$21="À crédit",'Brouillard ventes'!$J$21=""),0,'Brouillard ventes'!$I$21)</f>
        <v/>
      </c>
    </row>
    <row r="34">
      <c r="A34" s="22" t="inlineStr">
        <is>
          <t>1</t>
        </is>
      </c>
      <c r="B34" s="22">
        <f>IF(OR('Brouillard ventes'!$F$22="",'Brouillard ventes'!$J$22="À crédit",'Brouillard ventes'!$J$22=""),"","EC"&amp;TEXT(ROW('Brouillard ventes'!$F$22)-5,"00000"))</f>
        <v/>
      </c>
      <c r="C34" s="22">
        <f>IF(OR('Brouillard ventes'!$F$22="",'Brouillard ventes'!$J$22="À crédit",'Brouillard ventes'!$J$22=""),"",YEAR('Brouillard ventes'!$A$22)*10000+MONTH('Brouillard ventes'!$A$22)*100+DAY('Brouillard ventes'!$A$22))</f>
        <v/>
      </c>
      <c r="D34" s="22">
        <f>IF(OR('Brouillard ventes'!$F$22="",'Brouillard ventes'!$J$22="À crédit",'Brouillard ventes'!$J$22=""),"",'Brouillard ventes'!$B$22)</f>
        <v/>
      </c>
      <c r="E34" s="22">
        <f>IF(OR('Brouillard ventes'!$F$22="",'Brouillard ventes'!$J$22="À crédit",'Brouillard ventes'!$J$22=""),"","REGL "&amp;LEFT('Brouillard ventes'!$D$22,25))</f>
        <v/>
      </c>
      <c r="F34" s="22">
        <f>IF(OR('Brouillard ventes'!$F$22="",'Brouillard ventes'!$J$22="À crédit",'Brouillard ventes'!$J$22=""),"",IF('Brouillard ventes'!$J$22="Espèces","04001","02001"))</f>
        <v/>
      </c>
      <c r="G34" s="22">
        <f>IF(OR('Brouillard ventes'!$F$22="",'Brouillard ventes'!$J$22="À crédit",'Brouillard ventes'!$J$22=""),"",IF('Brouillard ventes'!$J$22="Espèces","53000","51220"))</f>
        <v/>
      </c>
      <c r="H34" s="22" t="inlineStr"/>
      <c r="I34" s="22" t="inlineStr"/>
      <c r="J34" s="22" t="inlineStr"/>
      <c r="K34" s="22">
        <f>IF(OR('Brouillard ventes'!$F$22="",'Brouillard ventes'!$J$22="À crédit",'Brouillard ventes'!$J$22=""),"",Paramètres!$B$11)</f>
        <v/>
      </c>
      <c r="L34" s="23">
        <f>IF(OR('Brouillard ventes'!$F$22="",'Brouillard ventes'!$J$22="À crédit",'Brouillard ventes'!$J$22=""),0,'Brouillard ventes'!$I$22)</f>
        <v/>
      </c>
      <c r="M34" s="23" t="n">
        <v>0</v>
      </c>
    </row>
    <row r="35">
      <c r="A35" s="22" t="inlineStr">
        <is>
          <t>1</t>
        </is>
      </c>
      <c r="B35" s="22">
        <f>IF(OR('Brouillard ventes'!$F$22="",'Brouillard ventes'!$J$22="À crédit",'Brouillard ventes'!$J$22=""),"","EC"&amp;TEXT(ROW('Brouillard ventes'!$F$22)-5,"00000"))</f>
        <v/>
      </c>
      <c r="C35" s="22">
        <f>IF(OR('Brouillard ventes'!$F$22="",'Brouillard ventes'!$J$22="À crédit",'Brouillard ventes'!$J$22=""),"",YEAR('Brouillard ventes'!$A$22)*10000+MONTH('Brouillard ventes'!$A$22)*100+DAY('Brouillard ventes'!$A$22))</f>
        <v/>
      </c>
      <c r="D35" s="22">
        <f>IF(OR('Brouillard ventes'!$F$22="",'Brouillard ventes'!$J$22="À crédit",'Brouillard ventes'!$J$22=""),"",'Brouillard ventes'!$B$22)</f>
        <v/>
      </c>
      <c r="E35" s="22">
        <f>IF(OR('Brouillard ventes'!$F$22="",'Brouillard ventes'!$J$22="À crédit",'Brouillard ventes'!$J$22=""),"","REGL "&amp;LEFT('Brouillard ventes'!$D$22,25))</f>
        <v/>
      </c>
      <c r="F35" s="22">
        <f>IF(OR('Brouillard ventes'!$F$22="",'Brouillard ventes'!$J$22="À crédit",'Brouillard ventes'!$J$22=""),"",IF('Brouillard ventes'!$J$22="Espèces","04001","02001"))</f>
        <v/>
      </c>
      <c r="G35" s="22">
        <f>IF(OR('Brouillard ventes'!$F$22="",'Brouillard ventes'!$J$22="À crédit",'Brouillard ventes'!$J$22=""),"",Paramètres!$B$7)</f>
        <v/>
      </c>
      <c r="H35" s="22">
        <f>IF(OR('Brouillard ventes'!$F$22="",'Brouillard ventes'!$J$22="À crédit",'Brouillard ventes'!$J$22=""),"",IF('Brouillard ventes'!$C$22="","CD001",'Brouillard ventes'!$C$22))</f>
        <v/>
      </c>
      <c r="I35" s="22" t="inlineStr"/>
      <c r="J35" s="22" t="inlineStr"/>
      <c r="K35" s="22">
        <f>IF(OR('Brouillard ventes'!$F$22="",'Brouillard ventes'!$J$22="À crédit",'Brouillard ventes'!$J$22=""),"",Paramètres!$B$11)</f>
        <v/>
      </c>
      <c r="L35" s="23" t="n">
        <v>0</v>
      </c>
      <c r="M35" s="23">
        <f>IF(OR('Brouillard ventes'!$F$22="",'Brouillard ventes'!$J$22="À crédit",'Brouillard ventes'!$J$22=""),0,'Brouillard ventes'!$I$22)</f>
        <v/>
      </c>
    </row>
    <row r="36">
      <c r="A36" s="22" t="inlineStr">
        <is>
          <t>1</t>
        </is>
      </c>
      <c r="B36" s="22">
        <f>IF(OR('Brouillard ventes'!$F$23="",'Brouillard ventes'!$J$23="À crédit",'Brouillard ventes'!$J$23=""),"","EC"&amp;TEXT(ROW('Brouillard ventes'!$F$23)-5,"00000"))</f>
        <v/>
      </c>
      <c r="C36" s="22">
        <f>IF(OR('Brouillard ventes'!$F$23="",'Brouillard ventes'!$J$23="À crédit",'Brouillard ventes'!$J$23=""),"",YEAR('Brouillard ventes'!$A$23)*10000+MONTH('Brouillard ventes'!$A$23)*100+DAY('Brouillard ventes'!$A$23))</f>
        <v/>
      </c>
      <c r="D36" s="22">
        <f>IF(OR('Brouillard ventes'!$F$23="",'Brouillard ventes'!$J$23="À crédit",'Brouillard ventes'!$J$23=""),"",'Brouillard ventes'!$B$23)</f>
        <v/>
      </c>
      <c r="E36" s="22">
        <f>IF(OR('Brouillard ventes'!$F$23="",'Brouillard ventes'!$J$23="À crédit",'Brouillard ventes'!$J$23=""),"","REGL "&amp;LEFT('Brouillard ventes'!$D$23,25))</f>
        <v/>
      </c>
      <c r="F36" s="22">
        <f>IF(OR('Brouillard ventes'!$F$23="",'Brouillard ventes'!$J$23="À crédit",'Brouillard ventes'!$J$23=""),"",IF('Brouillard ventes'!$J$23="Espèces","04001","02001"))</f>
        <v/>
      </c>
      <c r="G36" s="22">
        <f>IF(OR('Brouillard ventes'!$F$23="",'Brouillard ventes'!$J$23="À crédit",'Brouillard ventes'!$J$23=""),"",IF('Brouillard ventes'!$J$23="Espèces","53000","51220"))</f>
        <v/>
      </c>
      <c r="H36" s="22" t="inlineStr"/>
      <c r="I36" s="22" t="inlineStr"/>
      <c r="J36" s="22" t="inlineStr"/>
      <c r="K36" s="22">
        <f>IF(OR('Brouillard ventes'!$F$23="",'Brouillard ventes'!$J$23="À crédit",'Brouillard ventes'!$J$23=""),"",Paramètres!$B$11)</f>
        <v/>
      </c>
      <c r="L36" s="23">
        <f>IF(OR('Brouillard ventes'!$F$23="",'Brouillard ventes'!$J$23="À crédit",'Brouillard ventes'!$J$23=""),0,'Brouillard ventes'!$I$23)</f>
        <v/>
      </c>
      <c r="M36" s="23" t="n">
        <v>0</v>
      </c>
    </row>
    <row r="37">
      <c r="A37" s="22" t="inlineStr">
        <is>
          <t>1</t>
        </is>
      </c>
      <c r="B37" s="22">
        <f>IF(OR('Brouillard ventes'!$F$23="",'Brouillard ventes'!$J$23="À crédit",'Brouillard ventes'!$J$23=""),"","EC"&amp;TEXT(ROW('Brouillard ventes'!$F$23)-5,"00000"))</f>
        <v/>
      </c>
      <c r="C37" s="22">
        <f>IF(OR('Brouillard ventes'!$F$23="",'Brouillard ventes'!$J$23="À crédit",'Brouillard ventes'!$J$23=""),"",YEAR('Brouillard ventes'!$A$23)*10000+MONTH('Brouillard ventes'!$A$23)*100+DAY('Brouillard ventes'!$A$23))</f>
        <v/>
      </c>
      <c r="D37" s="22">
        <f>IF(OR('Brouillard ventes'!$F$23="",'Brouillard ventes'!$J$23="À crédit",'Brouillard ventes'!$J$23=""),"",'Brouillard ventes'!$B$23)</f>
        <v/>
      </c>
      <c r="E37" s="22">
        <f>IF(OR('Brouillard ventes'!$F$23="",'Brouillard ventes'!$J$23="À crédit",'Brouillard ventes'!$J$23=""),"","REGL "&amp;LEFT('Brouillard ventes'!$D$23,25))</f>
        <v/>
      </c>
      <c r="F37" s="22">
        <f>IF(OR('Brouillard ventes'!$F$23="",'Brouillard ventes'!$J$23="À crédit",'Brouillard ventes'!$J$23=""),"",IF('Brouillard ventes'!$J$23="Espèces","04001","02001"))</f>
        <v/>
      </c>
      <c r="G37" s="22">
        <f>IF(OR('Brouillard ventes'!$F$23="",'Brouillard ventes'!$J$23="À crédit",'Brouillard ventes'!$J$23=""),"",Paramètres!$B$7)</f>
        <v/>
      </c>
      <c r="H37" s="22">
        <f>IF(OR('Brouillard ventes'!$F$23="",'Brouillard ventes'!$J$23="À crédit",'Brouillard ventes'!$J$23=""),"",IF('Brouillard ventes'!$C$23="","CD001",'Brouillard ventes'!$C$23))</f>
        <v/>
      </c>
      <c r="I37" s="22" t="inlineStr"/>
      <c r="J37" s="22" t="inlineStr"/>
      <c r="K37" s="22">
        <f>IF(OR('Brouillard ventes'!$F$23="",'Brouillard ventes'!$J$23="À crédit",'Brouillard ventes'!$J$23=""),"",Paramètres!$B$11)</f>
        <v/>
      </c>
      <c r="L37" s="23" t="n">
        <v>0</v>
      </c>
      <c r="M37" s="23">
        <f>IF(OR('Brouillard ventes'!$F$23="",'Brouillard ventes'!$J$23="À crédit",'Brouillard ventes'!$J$23=""),0,'Brouillard ventes'!$I$23)</f>
        <v/>
      </c>
    </row>
    <row r="38">
      <c r="A38" s="22" t="inlineStr">
        <is>
          <t>1</t>
        </is>
      </c>
      <c r="B38" s="22">
        <f>IF(OR('Brouillard ventes'!$F$24="",'Brouillard ventes'!$J$24="À crédit",'Brouillard ventes'!$J$24=""),"","EC"&amp;TEXT(ROW('Brouillard ventes'!$F$24)-5,"00000"))</f>
        <v/>
      </c>
      <c r="C38" s="22">
        <f>IF(OR('Brouillard ventes'!$F$24="",'Brouillard ventes'!$J$24="À crédit",'Brouillard ventes'!$J$24=""),"",YEAR('Brouillard ventes'!$A$24)*10000+MONTH('Brouillard ventes'!$A$24)*100+DAY('Brouillard ventes'!$A$24))</f>
        <v/>
      </c>
      <c r="D38" s="22">
        <f>IF(OR('Brouillard ventes'!$F$24="",'Brouillard ventes'!$J$24="À crédit",'Brouillard ventes'!$J$24=""),"",'Brouillard ventes'!$B$24)</f>
        <v/>
      </c>
      <c r="E38" s="22">
        <f>IF(OR('Brouillard ventes'!$F$24="",'Brouillard ventes'!$J$24="À crédit",'Brouillard ventes'!$J$24=""),"","REGL "&amp;LEFT('Brouillard ventes'!$D$24,25))</f>
        <v/>
      </c>
      <c r="F38" s="22">
        <f>IF(OR('Brouillard ventes'!$F$24="",'Brouillard ventes'!$J$24="À crédit",'Brouillard ventes'!$J$24=""),"",IF('Brouillard ventes'!$J$24="Espèces","04001","02001"))</f>
        <v/>
      </c>
      <c r="G38" s="22">
        <f>IF(OR('Brouillard ventes'!$F$24="",'Brouillard ventes'!$J$24="À crédit",'Brouillard ventes'!$J$24=""),"",IF('Brouillard ventes'!$J$24="Espèces","53000","51220"))</f>
        <v/>
      </c>
      <c r="H38" s="22" t="inlineStr"/>
      <c r="I38" s="22" t="inlineStr"/>
      <c r="J38" s="22" t="inlineStr"/>
      <c r="K38" s="22">
        <f>IF(OR('Brouillard ventes'!$F$24="",'Brouillard ventes'!$J$24="À crédit",'Brouillard ventes'!$J$24=""),"",Paramètres!$B$11)</f>
        <v/>
      </c>
      <c r="L38" s="23">
        <f>IF(OR('Brouillard ventes'!$F$24="",'Brouillard ventes'!$J$24="À crédit",'Brouillard ventes'!$J$24=""),0,'Brouillard ventes'!$I$24)</f>
        <v/>
      </c>
      <c r="M38" s="23" t="n">
        <v>0</v>
      </c>
    </row>
    <row r="39">
      <c r="A39" s="22" t="inlineStr">
        <is>
          <t>1</t>
        </is>
      </c>
      <c r="B39" s="22">
        <f>IF(OR('Brouillard ventes'!$F$24="",'Brouillard ventes'!$J$24="À crédit",'Brouillard ventes'!$J$24=""),"","EC"&amp;TEXT(ROW('Brouillard ventes'!$F$24)-5,"00000"))</f>
        <v/>
      </c>
      <c r="C39" s="22">
        <f>IF(OR('Brouillard ventes'!$F$24="",'Brouillard ventes'!$J$24="À crédit",'Brouillard ventes'!$J$24=""),"",YEAR('Brouillard ventes'!$A$24)*10000+MONTH('Brouillard ventes'!$A$24)*100+DAY('Brouillard ventes'!$A$24))</f>
        <v/>
      </c>
      <c r="D39" s="22">
        <f>IF(OR('Brouillard ventes'!$F$24="",'Brouillard ventes'!$J$24="À crédit",'Brouillard ventes'!$J$24=""),"",'Brouillard ventes'!$B$24)</f>
        <v/>
      </c>
      <c r="E39" s="22">
        <f>IF(OR('Brouillard ventes'!$F$24="",'Brouillard ventes'!$J$24="À crédit",'Brouillard ventes'!$J$24=""),"","REGL "&amp;LEFT('Brouillard ventes'!$D$24,25))</f>
        <v/>
      </c>
      <c r="F39" s="22">
        <f>IF(OR('Brouillard ventes'!$F$24="",'Brouillard ventes'!$J$24="À crédit",'Brouillard ventes'!$J$24=""),"",IF('Brouillard ventes'!$J$24="Espèces","04001","02001"))</f>
        <v/>
      </c>
      <c r="G39" s="22">
        <f>IF(OR('Brouillard ventes'!$F$24="",'Brouillard ventes'!$J$24="À crédit",'Brouillard ventes'!$J$24=""),"",Paramètres!$B$7)</f>
        <v/>
      </c>
      <c r="H39" s="22">
        <f>IF(OR('Brouillard ventes'!$F$24="",'Brouillard ventes'!$J$24="À crédit",'Brouillard ventes'!$J$24=""),"",IF('Brouillard ventes'!$C$24="","CD001",'Brouillard ventes'!$C$24))</f>
        <v/>
      </c>
      <c r="I39" s="22" t="inlineStr"/>
      <c r="J39" s="22" t="inlineStr"/>
      <c r="K39" s="22">
        <f>IF(OR('Brouillard ventes'!$F$24="",'Brouillard ventes'!$J$24="À crédit",'Brouillard ventes'!$J$24=""),"",Paramètres!$B$11)</f>
        <v/>
      </c>
      <c r="L39" s="23" t="n">
        <v>0</v>
      </c>
      <c r="M39" s="23">
        <f>IF(OR('Brouillard ventes'!$F$24="",'Brouillard ventes'!$J$24="À crédit",'Brouillard ventes'!$J$24=""),0,'Brouillard ventes'!$I$24)</f>
        <v/>
      </c>
    </row>
    <row r="40">
      <c r="A40" s="22" t="inlineStr">
        <is>
          <t>1</t>
        </is>
      </c>
      <c r="B40" s="22">
        <f>IF(OR('Brouillard ventes'!$F$25="",'Brouillard ventes'!$J$25="À crédit",'Brouillard ventes'!$J$25=""),"","EC"&amp;TEXT(ROW('Brouillard ventes'!$F$25)-5,"00000"))</f>
        <v/>
      </c>
      <c r="C40" s="22">
        <f>IF(OR('Brouillard ventes'!$F$25="",'Brouillard ventes'!$J$25="À crédit",'Brouillard ventes'!$J$25=""),"",YEAR('Brouillard ventes'!$A$25)*10000+MONTH('Brouillard ventes'!$A$25)*100+DAY('Brouillard ventes'!$A$25))</f>
        <v/>
      </c>
      <c r="D40" s="22">
        <f>IF(OR('Brouillard ventes'!$F$25="",'Brouillard ventes'!$J$25="À crédit",'Brouillard ventes'!$J$25=""),"",'Brouillard ventes'!$B$25)</f>
        <v/>
      </c>
      <c r="E40" s="22">
        <f>IF(OR('Brouillard ventes'!$F$25="",'Brouillard ventes'!$J$25="À crédit",'Brouillard ventes'!$J$25=""),"","REGL "&amp;LEFT('Brouillard ventes'!$D$25,25))</f>
        <v/>
      </c>
      <c r="F40" s="22">
        <f>IF(OR('Brouillard ventes'!$F$25="",'Brouillard ventes'!$J$25="À crédit",'Brouillard ventes'!$J$25=""),"",IF('Brouillard ventes'!$J$25="Espèces","04001","02001"))</f>
        <v/>
      </c>
      <c r="G40" s="22">
        <f>IF(OR('Brouillard ventes'!$F$25="",'Brouillard ventes'!$J$25="À crédit",'Brouillard ventes'!$J$25=""),"",IF('Brouillard ventes'!$J$25="Espèces","53000","51220"))</f>
        <v/>
      </c>
      <c r="H40" s="22" t="inlineStr"/>
      <c r="I40" s="22" t="inlineStr"/>
      <c r="J40" s="22" t="inlineStr"/>
      <c r="K40" s="22">
        <f>IF(OR('Brouillard ventes'!$F$25="",'Brouillard ventes'!$J$25="À crédit",'Brouillard ventes'!$J$25=""),"",Paramètres!$B$11)</f>
        <v/>
      </c>
      <c r="L40" s="23">
        <f>IF(OR('Brouillard ventes'!$F$25="",'Brouillard ventes'!$J$25="À crédit",'Brouillard ventes'!$J$25=""),0,'Brouillard ventes'!$I$25)</f>
        <v/>
      </c>
      <c r="M40" s="23" t="n">
        <v>0</v>
      </c>
    </row>
    <row r="41">
      <c r="A41" s="22" t="inlineStr">
        <is>
          <t>1</t>
        </is>
      </c>
      <c r="B41" s="22">
        <f>IF(OR('Brouillard ventes'!$F$25="",'Brouillard ventes'!$J$25="À crédit",'Brouillard ventes'!$J$25=""),"","EC"&amp;TEXT(ROW('Brouillard ventes'!$F$25)-5,"00000"))</f>
        <v/>
      </c>
      <c r="C41" s="22">
        <f>IF(OR('Brouillard ventes'!$F$25="",'Brouillard ventes'!$J$25="À crédit",'Brouillard ventes'!$J$25=""),"",YEAR('Brouillard ventes'!$A$25)*10000+MONTH('Brouillard ventes'!$A$25)*100+DAY('Brouillard ventes'!$A$25))</f>
        <v/>
      </c>
      <c r="D41" s="22">
        <f>IF(OR('Brouillard ventes'!$F$25="",'Brouillard ventes'!$J$25="À crédit",'Brouillard ventes'!$J$25=""),"",'Brouillard ventes'!$B$25)</f>
        <v/>
      </c>
      <c r="E41" s="22">
        <f>IF(OR('Brouillard ventes'!$F$25="",'Brouillard ventes'!$J$25="À crédit",'Brouillard ventes'!$J$25=""),"","REGL "&amp;LEFT('Brouillard ventes'!$D$25,25))</f>
        <v/>
      </c>
      <c r="F41" s="22">
        <f>IF(OR('Brouillard ventes'!$F$25="",'Brouillard ventes'!$J$25="À crédit",'Brouillard ventes'!$J$25=""),"",IF('Brouillard ventes'!$J$25="Espèces","04001","02001"))</f>
        <v/>
      </c>
      <c r="G41" s="22">
        <f>IF(OR('Brouillard ventes'!$F$25="",'Brouillard ventes'!$J$25="À crédit",'Brouillard ventes'!$J$25=""),"",Paramètres!$B$7)</f>
        <v/>
      </c>
      <c r="H41" s="22">
        <f>IF(OR('Brouillard ventes'!$F$25="",'Brouillard ventes'!$J$25="À crédit",'Brouillard ventes'!$J$25=""),"",IF('Brouillard ventes'!$C$25="","CD001",'Brouillard ventes'!$C$25))</f>
        <v/>
      </c>
      <c r="I41" s="22" t="inlineStr"/>
      <c r="J41" s="22" t="inlineStr"/>
      <c r="K41" s="22">
        <f>IF(OR('Brouillard ventes'!$F$25="",'Brouillard ventes'!$J$25="À crédit",'Brouillard ventes'!$J$25=""),"",Paramètres!$B$11)</f>
        <v/>
      </c>
      <c r="L41" s="23" t="n">
        <v>0</v>
      </c>
      <c r="M41" s="23">
        <f>IF(OR('Brouillard ventes'!$F$25="",'Brouillard ventes'!$J$25="À crédit",'Brouillard ventes'!$J$25=""),0,'Brouillard ventes'!$I$25)</f>
        <v/>
      </c>
    </row>
    <row r="42">
      <c r="A42" s="22" t="inlineStr">
        <is>
          <t>1</t>
        </is>
      </c>
      <c r="B42" s="22">
        <f>IF(OR('Brouillard ventes'!$F$26="",'Brouillard ventes'!$J$26="À crédit",'Brouillard ventes'!$J$26=""),"","EC"&amp;TEXT(ROW('Brouillard ventes'!$F$26)-5,"00000"))</f>
        <v/>
      </c>
      <c r="C42" s="22">
        <f>IF(OR('Brouillard ventes'!$F$26="",'Brouillard ventes'!$J$26="À crédit",'Brouillard ventes'!$J$26=""),"",YEAR('Brouillard ventes'!$A$26)*10000+MONTH('Brouillard ventes'!$A$26)*100+DAY('Brouillard ventes'!$A$26))</f>
        <v/>
      </c>
      <c r="D42" s="22">
        <f>IF(OR('Brouillard ventes'!$F$26="",'Brouillard ventes'!$J$26="À crédit",'Brouillard ventes'!$J$26=""),"",'Brouillard ventes'!$B$26)</f>
        <v/>
      </c>
      <c r="E42" s="22">
        <f>IF(OR('Brouillard ventes'!$F$26="",'Brouillard ventes'!$J$26="À crédit",'Brouillard ventes'!$J$26=""),"","REGL "&amp;LEFT('Brouillard ventes'!$D$26,25))</f>
        <v/>
      </c>
      <c r="F42" s="22">
        <f>IF(OR('Brouillard ventes'!$F$26="",'Brouillard ventes'!$J$26="À crédit",'Brouillard ventes'!$J$26=""),"",IF('Brouillard ventes'!$J$26="Espèces","04001","02001"))</f>
        <v/>
      </c>
      <c r="G42" s="22">
        <f>IF(OR('Brouillard ventes'!$F$26="",'Brouillard ventes'!$J$26="À crédit",'Brouillard ventes'!$J$26=""),"",IF('Brouillard ventes'!$J$26="Espèces","53000","51220"))</f>
        <v/>
      </c>
      <c r="H42" s="22" t="inlineStr"/>
      <c r="I42" s="22" t="inlineStr"/>
      <c r="J42" s="22" t="inlineStr"/>
      <c r="K42" s="22">
        <f>IF(OR('Brouillard ventes'!$F$26="",'Brouillard ventes'!$J$26="À crédit",'Brouillard ventes'!$J$26=""),"",Paramètres!$B$11)</f>
        <v/>
      </c>
      <c r="L42" s="23">
        <f>IF(OR('Brouillard ventes'!$F$26="",'Brouillard ventes'!$J$26="À crédit",'Brouillard ventes'!$J$26=""),0,'Brouillard ventes'!$I$26)</f>
        <v/>
      </c>
      <c r="M42" s="23" t="n">
        <v>0</v>
      </c>
    </row>
    <row r="43">
      <c r="A43" s="22" t="inlineStr">
        <is>
          <t>1</t>
        </is>
      </c>
      <c r="B43" s="22">
        <f>IF(OR('Brouillard ventes'!$F$26="",'Brouillard ventes'!$J$26="À crédit",'Brouillard ventes'!$J$26=""),"","EC"&amp;TEXT(ROW('Brouillard ventes'!$F$26)-5,"00000"))</f>
        <v/>
      </c>
      <c r="C43" s="22">
        <f>IF(OR('Brouillard ventes'!$F$26="",'Brouillard ventes'!$J$26="À crédit",'Brouillard ventes'!$J$26=""),"",YEAR('Brouillard ventes'!$A$26)*10000+MONTH('Brouillard ventes'!$A$26)*100+DAY('Brouillard ventes'!$A$26))</f>
        <v/>
      </c>
      <c r="D43" s="22">
        <f>IF(OR('Brouillard ventes'!$F$26="",'Brouillard ventes'!$J$26="À crédit",'Brouillard ventes'!$J$26=""),"",'Brouillard ventes'!$B$26)</f>
        <v/>
      </c>
      <c r="E43" s="22">
        <f>IF(OR('Brouillard ventes'!$F$26="",'Brouillard ventes'!$J$26="À crédit",'Brouillard ventes'!$J$26=""),"","REGL "&amp;LEFT('Brouillard ventes'!$D$26,25))</f>
        <v/>
      </c>
      <c r="F43" s="22">
        <f>IF(OR('Brouillard ventes'!$F$26="",'Brouillard ventes'!$J$26="À crédit",'Brouillard ventes'!$J$26=""),"",IF('Brouillard ventes'!$J$26="Espèces","04001","02001"))</f>
        <v/>
      </c>
      <c r="G43" s="22">
        <f>IF(OR('Brouillard ventes'!$F$26="",'Brouillard ventes'!$J$26="À crédit",'Brouillard ventes'!$J$26=""),"",Paramètres!$B$7)</f>
        <v/>
      </c>
      <c r="H43" s="22">
        <f>IF(OR('Brouillard ventes'!$F$26="",'Brouillard ventes'!$J$26="À crédit",'Brouillard ventes'!$J$26=""),"",IF('Brouillard ventes'!$C$26="","CD001",'Brouillard ventes'!$C$26))</f>
        <v/>
      </c>
      <c r="I43" s="22" t="inlineStr"/>
      <c r="J43" s="22" t="inlineStr"/>
      <c r="K43" s="22">
        <f>IF(OR('Brouillard ventes'!$F$26="",'Brouillard ventes'!$J$26="À crédit",'Brouillard ventes'!$J$26=""),"",Paramètres!$B$11)</f>
        <v/>
      </c>
      <c r="L43" s="23" t="n">
        <v>0</v>
      </c>
      <c r="M43" s="23">
        <f>IF(OR('Brouillard ventes'!$F$26="",'Brouillard ventes'!$J$26="À crédit",'Brouillard ventes'!$J$26=""),0,'Brouillard ventes'!$I$26)</f>
        <v/>
      </c>
    </row>
    <row r="44">
      <c r="A44" s="22" t="inlineStr">
        <is>
          <t>1</t>
        </is>
      </c>
      <c r="B44" s="22">
        <f>IF(OR('Brouillard ventes'!$F$27="",'Brouillard ventes'!$J$27="À crédit",'Brouillard ventes'!$J$27=""),"","EC"&amp;TEXT(ROW('Brouillard ventes'!$F$27)-5,"00000"))</f>
        <v/>
      </c>
      <c r="C44" s="22">
        <f>IF(OR('Brouillard ventes'!$F$27="",'Brouillard ventes'!$J$27="À crédit",'Brouillard ventes'!$J$27=""),"",YEAR('Brouillard ventes'!$A$27)*10000+MONTH('Brouillard ventes'!$A$27)*100+DAY('Brouillard ventes'!$A$27))</f>
        <v/>
      </c>
      <c r="D44" s="22">
        <f>IF(OR('Brouillard ventes'!$F$27="",'Brouillard ventes'!$J$27="À crédit",'Brouillard ventes'!$J$27=""),"",'Brouillard ventes'!$B$27)</f>
        <v/>
      </c>
      <c r="E44" s="22">
        <f>IF(OR('Brouillard ventes'!$F$27="",'Brouillard ventes'!$J$27="À crédit",'Brouillard ventes'!$J$27=""),"","REGL "&amp;LEFT('Brouillard ventes'!$D$27,25))</f>
        <v/>
      </c>
      <c r="F44" s="22">
        <f>IF(OR('Brouillard ventes'!$F$27="",'Brouillard ventes'!$J$27="À crédit",'Brouillard ventes'!$J$27=""),"",IF('Brouillard ventes'!$J$27="Espèces","04001","02001"))</f>
        <v/>
      </c>
      <c r="G44" s="22">
        <f>IF(OR('Brouillard ventes'!$F$27="",'Brouillard ventes'!$J$27="À crédit",'Brouillard ventes'!$J$27=""),"",IF('Brouillard ventes'!$J$27="Espèces","53000","51220"))</f>
        <v/>
      </c>
      <c r="H44" s="22" t="inlineStr"/>
      <c r="I44" s="22" t="inlineStr"/>
      <c r="J44" s="22" t="inlineStr"/>
      <c r="K44" s="22">
        <f>IF(OR('Brouillard ventes'!$F$27="",'Brouillard ventes'!$J$27="À crédit",'Brouillard ventes'!$J$27=""),"",Paramètres!$B$11)</f>
        <v/>
      </c>
      <c r="L44" s="23">
        <f>IF(OR('Brouillard ventes'!$F$27="",'Brouillard ventes'!$J$27="À crédit",'Brouillard ventes'!$J$27=""),0,'Brouillard ventes'!$I$27)</f>
        <v/>
      </c>
      <c r="M44" s="23" t="n">
        <v>0</v>
      </c>
    </row>
    <row r="45">
      <c r="A45" s="22" t="inlineStr">
        <is>
          <t>1</t>
        </is>
      </c>
      <c r="B45" s="22">
        <f>IF(OR('Brouillard ventes'!$F$27="",'Brouillard ventes'!$J$27="À crédit",'Brouillard ventes'!$J$27=""),"","EC"&amp;TEXT(ROW('Brouillard ventes'!$F$27)-5,"00000"))</f>
        <v/>
      </c>
      <c r="C45" s="22">
        <f>IF(OR('Brouillard ventes'!$F$27="",'Brouillard ventes'!$J$27="À crédit",'Brouillard ventes'!$J$27=""),"",YEAR('Brouillard ventes'!$A$27)*10000+MONTH('Brouillard ventes'!$A$27)*100+DAY('Brouillard ventes'!$A$27))</f>
        <v/>
      </c>
      <c r="D45" s="22">
        <f>IF(OR('Brouillard ventes'!$F$27="",'Brouillard ventes'!$J$27="À crédit",'Brouillard ventes'!$J$27=""),"",'Brouillard ventes'!$B$27)</f>
        <v/>
      </c>
      <c r="E45" s="22">
        <f>IF(OR('Brouillard ventes'!$F$27="",'Brouillard ventes'!$J$27="À crédit",'Brouillard ventes'!$J$27=""),"","REGL "&amp;LEFT('Brouillard ventes'!$D$27,25))</f>
        <v/>
      </c>
      <c r="F45" s="22">
        <f>IF(OR('Brouillard ventes'!$F$27="",'Brouillard ventes'!$J$27="À crédit",'Brouillard ventes'!$J$27=""),"",IF('Brouillard ventes'!$J$27="Espèces","04001","02001"))</f>
        <v/>
      </c>
      <c r="G45" s="22">
        <f>IF(OR('Brouillard ventes'!$F$27="",'Brouillard ventes'!$J$27="À crédit",'Brouillard ventes'!$J$27=""),"",Paramètres!$B$7)</f>
        <v/>
      </c>
      <c r="H45" s="22">
        <f>IF(OR('Brouillard ventes'!$F$27="",'Brouillard ventes'!$J$27="À crédit",'Brouillard ventes'!$J$27=""),"",IF('Brouillard ventes'!$C$27="","CD001",'Brouillard ventes'!$C$27))</f>
        <v/>
      </c>
      <c r="I45" s="22" t="inlineStr"/>
      <c r="J45" s="22" t="inlineStr"/>
      <c r="K45" s="22">
        <f>IF(OR('Brouillard ventes'!$F$27="",'Brouillard ventes'!$J$27="À crédit",'Brouillard ventes'!$J$27=""),"",Paramètres!$B$11)</f>
        <v/>
      </c>
      <c r="L45" s="23" t="n">
        <v>0</v>
      </c>
      <c r="M45" s="23">
        <f>IF(OR('Brouillard ventes'!$F$27="",'Brouillard ventes'!$J$27="À crédit",'Brouillard ventes'!$J$27=""),0,'Brouillard ventes'!$I$27)</f>
        <v/>
      </c>
    </row>
    <row r="46">
      <c r="A46" s="22" t="inlineStr">
        <is>
          <t>1</t>
        </is>
      </c>
      <c r="B46" s="22">
        <f>IF(OR('Brouillard ventes'!$F$28="",'Brouillard ventes'!$J$28="À crédit",'Brouillard ventes'!$J$28=""),"","EC"&amp;TEXT(ROW('Brouillard ventes'!$F$28)-5,"00000"))</f>
        <v/>
      </c>
      <c r="C46" s="22">
        <f>IF(OR('Brouillard ventes'!$F$28="",'Brouillard ventes'!$J$28="À crédit",'Brouillard ventes'!$J$28=""),"",YEAR('Brouillard ventes'!$A$28)*10000+MONTH('Brouillard ventes'!$A$28)*100+DAY('Brouillard ventes'!$A$28))</f>
        <v/>
      </c>
      <c r="D46" s="22">
        <f>IF(OR('Brouillard ventes'!$F$28="",'Brouillard ventes'!$J$28="À crédit",'Brouillard ventes'!$J$28=""),"",'Brouillard ventes'!$B$28)</f>
        <v/>
      </c>
      <c r="E46" s="22">
        <f>IF(OR('Brouillard ventes'!$F$28="",'Brouillard ventes'!$J$28="À crédit",'Brouillard ventes'!$J$28=""),"","REGL "&amp;LEFT('Brouillard ventes'!$D$28,25))</f>
        <v/>
      </c>
      <c r="F46" s="22">
        <f>IF(OR('Brouillard ventes'!$F$28="",'Brouillard ventes'!$J$28="À crédit",'Brouillard ventes'!$J$28=""),"",IF('Brouillard ventes'!$J$28="Espèces","04001","02001"))</f>
        <v/>
      </c>
      <c r="G46" s="22">
        <f>IF(OR('Brouillard ventes'!$F$28="",'Brouillard ventes'!$J$28="À crédit",'Brouillard ventes'!$J$28=""),"",IF('Brouillard ventes'!$J$28="Espèces","53000","51220"))</f>
        <v/>
      </c>
      <c r="H46" s="22" t="inlineStr"/>
      <c r="I46" s="22" t="inlineStr"/>
      <c r="J46" s="22" t="inlineStr"/>
      <c r="K46" s="22">
        <f>IF(OR('Brouillard ventes'!$F$28="",'Brouillard ventes'!$J$28="À crédit",'Brouillard ventes'!$J$28=""),"",Paramètres!$B$11)</f>
        <v/>
      </c>
      <c r="L46" s="23">
        <f>IF(OR('Brouillard ventes'!$F$28="",'Brouillard ventes'!$J$28="À crédit",'Brouillard ventes'!$J$28=""),0,'Brouillard ventes'!$I$28)</f>
        <v/>
      </c>
      <c r="M46" s="23" t="n">
        <v>0</v>
      </c>
    </row>
    <row r="47">
      <c r="A47" s="22" t="inlineStr">
        <is>
          <t>1</t>
        </is>
      </c>
      <c r="B47" s="22">
        <f>IF(OR('Brouillard ventes'!$F$28="",'Brouillard ventes'!$J$28="À crédit",'Brouillard ventes'!$J$28=""),"","EC"&amp;TEXT(ROW('Brouillard ventes'!$F$28)-5,"00000"))</f>
        <v/>
      </c>
      <c r="C47" s="22">
        <f>IF(OR('Brouillard ventes'!$F$28="",'Brouillard ventes'!$J$28="À crédit",'Brouillard ventes'!$J$28=""),"",YEAR('Brouillard ventes'!$A$28)*10000+MONTH('Brouillard ventes'!$A$28)*100+DAY('Brouillard ventes'!$A$28))</f>
        <v/>
      </c>
      <c r="D47" s="22">
        <f>IF(OR('Brouillard ventes'!$F$28="",'Brouillard ventes'!$J$28="À crédit",'Brouillard ventes'!$J$28=""),"",'Brouillard ventes'!$B$28)</f>
        <v/>
      </c>
      <c r="E47" s="22">
        <f>IF(OR('Brouillard ventes'!$F$28="",'Brouillard ventes'!$J$28="À crédit",'Brouillard ventes'!$J$28=""),"","REGL "&amp;LEFT('Brouillard ventes'!$D$28,25))</f>
        <v/>
      </c>
      <c r="F47" s="22">
        <f>IF(OR('Brouillard ventes'!$F$28="",'Brouillard ventes'!$J$28="À crédit",'Brouillard ventes'!$J$28=""),"",IF('Brouillard ventes'!$J$28="Espèces","04001","02001"))</f>
        <v/>
      </c>
      <c r="G47" s="22">
        <f>IF(OR('Brouillard ventes'!$F$28="",'Brouillard ventes'!$J$28="À crédit",'Brouillard ventes'!$J$28=""),"",Paramètres!$B$7)</f>
        <v/>
      </c>
      <c r="H47" s="22">
        <f>IF(OR('Brouillard ventes'!$F$28="",'Brouillard ventes'!$J$28="À crédit",'Brouillard ventes'!$J$28=""),"",IF('Brouillard ventes'!$C$28="","CD001",'Brouillard ventes'!$C$28))</f>
        <v/>
      </c>
      <c r="I47" s="22" t="inlineStr"/>
      <c r="J47" s="22" t="inlineStr"/>
      <c r="K47" s="22">
        <f>IF(OR('Brouillard ventes'!$F$28="",'Brouillard ventes'!$J$28="À crédit",'Brouillard ventes'!$J$28=""),"",Paramètres!$B$11)</f>
        <v/>
      </c>
      <c r="L47" s="23" t="n">
        <v>0</v>
      </c>
      <c r="M47" s="23">
        <f>IF(OR('Brouillard ventes'!$F$28="",'Brouillard ventes'!$J$28="À crédit",'Brouillard ventes'!$J$28=""),0,'Brouillard ventes'!$I$28)</f>
        <v/>
      </c>
    </row>
    <row r="48">
      <c r="A48" s="22" t="inlineStr">
        <is>
          <t>1</t>
        </is>
      </c>
      <c r="B48" s="22">
        <f>IF(OR('Brouillard ventes'!$F$29="",'Brouillard ventes'!$J$29="À crédit",'Brouillard ventes'!$J$29=""),"","EC"&amp;TEXT(ROW('Brouillard ventes'!$F$29)-5,"00000"))</f>
        <v/>
      </c>
      <c r="C48" s="22">
        <f>IF(OR('Brouillard ventes'!$F$29="",'Brouillard ventes'!$J$29="À crédit",'Brouillard ventes'!$J$29=""),"",YEAR('Brouillard ventes'!$A$29)*10000+MONTH('Brouillard ventes'!$A$29)*100+DAY('Brouillard ventes'!$A$29))</f>
        <v/>
      </c>
      <c r="D48" s="22">
        <f>IF(OR('Brouillard ventes'!$F$29="",'Brouillard ventes'!$J$29="À crédit",'Brouillard ventes'!$J$29=""),"",'Brouillard ventes'!$B$29)</f>
        <v/>
      </c>
      <c r="E48" s="22">
        <f>IF(OR('Brouillard ventes'!$F$29="",'Brouillard ventes'!$J$29="À crédit",'Brouillard ventes'!$J$29=""),"","REGL "&amp;LEFT('Brouillard ventes'!$D$29,25))</f>
        <v/>
      </c>
      <c r="F48" s="22">
        <f>IF(OR('Brouillard ventes'!$F$29="",'Brouillard ventes'!$J$29="À crédit",'Brouillard ventes'!$J$29=""),"",IF('Brouillard ventes'!$J$29="Espèces","04001","02001"))</f>
        <v/>
      </c>
      <c r="G48" s="22">
        <f>IF(OR('Brouillard ventes'!$F$29="",'Brouillard ventes'!$J$29="À crédit",'Brouillard ventes'!$J$29=""),"",IF('Brouillard ventes'!$J$29="Espèces","53000","51220"))</f>
        <v/>
      </c>
      <c r="H48" s="22" t="inlineStr"/>
      <c r="I48" s="22" t="inlineStr"/>
      <c r="J48" s="22" t="inlineStr"/>
      <c r="K48" s="22">
        <f>IF(OR('Brouillard ventes'!$F$29="",'Brouillard ventes'!$J$29="À crédit",'Brouillard ventes'!$J$29=""),"",Paramètres!$B$11)</f>
        <v/>
      </c>
      <c r="L48" s="23">
        <f>IF(OR('Brouillard ventes'!$F$29="",'Brouillard ventes'!$J$29="À crédit",'Brouillard ventes'!$J$29=""),0,'Brouillard ventes'!$I$29)</f>
        <v/>
      </c>
      <c r="M48" s="23" t="n">
        <v>0</v>
      </c>
    </row>
    <row r="49">
      <c r="A49" s="22" t="inlineStr">
        <is>
          <t>1</t>
        </is>
      </c>
      <c r="B49" s="22">
        <f>IF(OR('Brouillard ventes'!$F$29="",'Brouillard ventes'!$J$29="À crédit",'Brouillard ventes'!$J$29=""),"","EC"&amp;TEXT(ROW('Brouillard ventes'!$F$29)-5,"00000"))</f>
        <v/>
      </c>
      <c r="C49" s="22">
        <f>IF(OR('Brouillard ventes'!$F$29="",'Brouillard ventes'!$J$29="À crédit",'Brouillard ventes'!$J$29=""),"",YEAR('Brouillard ventes'!$A$29)*10000+MONTH('Brouillard ventes'!$A$29)*100+DAY('Brouillard ventes'!$A$29))</f>
        <v/>
      </c>
      <c r="D49" s="22">
        <f>IF(OR('Brouillard ventes'!$F$29="",'Brouillard ventes'!$J$29="À crédit",'Brouillard ventes'!$J$29=""),"",'Brouillard ventes'!$B$29)</f>
        <v/>
      </c>
      <c r="E49" s="22">
        <f>IF(OR('Brouillard ventes'!$F$29="",'Brouillard ventes'!$J$29="À crédit",'Brouillard ventes'!$J$29=""),"","REGL "&amp;LEFT('Brouillard ventes'!$D$29,25))</f>
        <v/>
      </c>
      <c r="F49" s="22">
        <f>IF(OR('Brouillard ventes'!$F$29="",'Brouillard ventes'!$J$29="À crédit",'Brouillard ventes'!$J$29=""),"",IF('Brouillard ventes'!$J$29="Espèces","04001","02001"))</f>
        <v/>
      </c>
      <c r="G49" s="22">
        <f>IF(OR('Brouillard ventes'!$F$29="",'Brouillard ventes'!$J$29="À crédit",'Brouillard ventes'!$J$29=""),"",Paramètres!$B$7)</f>
        <v/>
      </c>
      <c r="H49" s="22">
        <f>IF(OR('Brouillard ventes'!$F$29="",'Brouillard ventes'!$J$29="À crédit",'Brouillard ventes'!$J$29=""),"",IF('Brouillard ventes'!$C$29="","CD001",'Brouillard ventes'!$C$29))</f>
        <v/>
      </c>
      <c r="I49" s="22" t="inlineStr"/>
      <c r="J49" s="22" t="inlineStr"/>
      <c r="K49" s="22">
        <f>IF(OR('Brouillard ventes'!$F$29="",'Brouillard ventes'!$J$29="À crédit",'Brouillard ventes'!$J$29=""),"",Paramètres!$B$11)</f>
        <v/>
      </c>
      <c r="L49" s="23" t="n">
        <v>0</v>
      </c>
      <c r="M49" s="23">
        <f>IF(OR('Brouillard ventes'!$F$29="",'Brouillard ventes'!$J$29="À crédit",'Brouillard ventes'!$J$29=""),0,'Brouillard ventes'!$I$29)</f>
        <v/>
      </c>
    </row>
    <row r="50">
      <c r="A50" s="22" t="inlineStr">
        <is>
          <t>1</t>
        </is>
      </c>
      <c r="B50" s="22">
        <f>IF(OR('Brouillard ventes'!$F$30="",'Brouillard ventes'!$J$30="À crédit",'Brouillard ventes'!$J$30=""),"","EC"&amp;TEXT(ROW('Brouillard ventes'!$F$30)-5,"00000"))</f>
        <v/>
      </c>
      <c r="C50" s="22">
        <f>IF(OR('Brouillard ventes'!$F$30="",'Brouillard ventes'!$J$30="À crédit",'Brouillard ventes'!$J$30=""),"",YEAR('Brouillard ventes'!$A$30)*10000+MONTH('Brouillard ventes'!$A$30)*100+DAY('Brouillard ventes'!$A$30))</f>
        <v/>
      </c>
      <c r="D50" s="22">
        <f>IF(OR('Brouillard ventes'!$F$30="",'Brouillard ventes'!$J$30="À crédit",'Brouillard ventes'!$J$30=""),"",'Brouillard ventes'!$B$30)</f>
        <v/>
      </c>
      <c r="E50" s="22">
        <f>IF(OR('Brouillard ventes'!$F$30="",'Brouillard ventes'!$J$30="À crédit",'Brouillard ventes'!$J$30=""),"","REGL "&amp;LEFT('Brouillard ventes'!$D$30,25))</f>
        <v/>
      </c>
      <c r="F50" s="22">
        <f>IF(OR('Brouillard ventes'!$F$30="",'Brouillard ventes'!$J$30="À crédit",'Brouillard ventes'!$J$30=""),"",IF('Brouillard ventes'!$J$30="Espèces","04001","02001"))</f>
        <v/>
      </c>
      <c r="G50" s="22">
        <f>IF(OR('Brouillard ventes'!$F$30="",'Brouillard ventes'!$J$30="À crédit",'Brouillard ventes'!$J$30=""),"",IF('Brouillard ventes'!$J$30="Espèces","53000","51220"))</f>
        <v/>
      </c>
      <c r="H50" s="22" t="inlineStr"/>
      <c r="I50" s="22" t="inlineStr"/>
      <c r="J50" s="22" t="inlineStr"/>
      <c r="K50" s="22">
        <f>IF(OR('Brouillard ventes'!$F$30="",'Brouillard ventes'!$J$30="À crédit",'Brouillard ventes'!$J$30=""),"",Paramètres!$B$11)</f>
        <v/>
      </c>
      <c r="L50" s="23">
        <f>IF(OR('Brouillard ventes'!$F$30="",'Brouillard ventes'!$J$30="À crédit",'Brouillard ventes'!$J$30=""),0,'Brouillard ventes'!$I$30)</f>
        <v/>
      </c>
      <c r="M50" s="23" t="n">
        <v>0</v>
      </c>
    </row>
    <row r="51">
      <c r="A51" s="22" t="inlineStr">
        <is>
          <t>1</t>
        </is>
      </c>
      <c r="B51" s="22">
        <f>IF(OR('Brouillard ventes'!$F$30="",'Brouillard ventes'!$J$30="À crédit",'Brouillard ventes'!$J$30=""),"","EC"&amp;TEXT(ROW('Brouillard ventes'!$F$30)-5,"00000"))</f>
        <v/>
      </c>
      <c r="C51" s="22">
        <f>IF(OR('Brouillard ventes'!$F$30="",'Brouillard ventes'!$J$30="À crédit",'Brouillard ventes'!$J$30=""),"",YEAR('Brouillard ventes'!$A$30)*10000+MONTH('Brouillard ventes'!$A$30)*100+DAY('Brouillard ventes'!$A$30))</f>
        <v/>
      </c>
      <c r="D51" s="22">
        <f>IF(OR('Brouillard ventes'!$F$30="",'Brouillard ventes'!$J$30="À crédit",'Brouillard ventes'!$J$30=""),"",'Brouillard ventes'!$B$30)</f>
        <v/>
      </c>
      <c r="E51" s="22">
        <f>IF(OR('Brouillard ventes'!$F$30="",'Brouillard ventes'!$J$30="À crédit",'Brouillard ventes'!$J$30=""),"","REGL "&amp;LEFT('Brouillard ventes'!$D$30,25))</f>
        <v/>
      </c>
      <c r="F51" s="22">
        <f>IF(OR('Brouillard ventes'!$F$30="",'Brouillard ventes'!$J$30="À crédit",'Brouillard ventes'!$J$30=""),"",IF('Brouillard ventes'!$J$30="Espèces","04001","02001"))</f>
        <v/>
      </c>
      <c r="G51" s="22">
        <f>IF(OR('Brouillard ventes'!$F$30="",'Brouillard ventes'!$J$30="À crédit",'Brouillard ventes'!$J$30=""),"",Paramètres!$B$7)</f>
        <v/>
      </c>
      <c r="H51" s="22">
        <f>IF(OR('Brouillard ventes'!$F$30="",'Brouillard ventes'!$J$30="À crédit",'Brouillard ventes'!$J$30=""),"",IF('Brouillard ventes'!$C$30="","CD001",'Brouillard ventes'!$C$30))</f>
        <v/>
      </c>
      <c r="I51" s="22" t="inlineStr"/>
      <c r="J51" s="22" t="inlineStr"/>
      <c r="K51" s="22">
        <f>IF(OR('Brouillard ventes'!$F$30="",'Brouillard ventes'!$J$30="À crédit",'Brouillard ventes'!$J$30=""),"",Paramètres!$B$11)</f>
        <v/>
      </c>
      <c r="L51" s="23" t="n">
        <v>0</v>
      </c>
      <c r="M51" s="23">
        <f>IF(OR('Brouillard ventes'!$F$30="",'Brouillard ventes'!$J$30="À crédit",'Brouillard ventes'!$J$30=""),0,'Brouillard ventes'!$I$30)</f>
        <v/>
      </c>
    </row>
    <row r="52">
      <c r="A52" s="22" t="inlineStr">
        <is>
          <t>1</t>
        </is>
      </c>
      <c r="B52" s="22">
        <f>IF(OR('Brouillard ventes'!$F$31="",'Brouillard ventes'!$J$31="À crédit",'Brouillard ventes'!$J$31=""),"","EC"&amp;TEXT(ROW('Brouillard ventes'!$F$31)-5,"00000"))</f>
        <v/>
      </c>
      <c r="C52" s="22">
        <f>IF(OR('Brouillard ventes'!$F$31="",'Brouillard ventes'!$J$31="À crédit",'Brouillard ventes'!$J$31=""),"",YEAR('Brouillard ventes'!$A$31)*10000+MONTH('Brouillard ventes'!$A$31)*100+DAY('Brouillard ventes'!$A$31))</f>
        <v/>
      </c>
      <c r="D52" s="22">
        <f>IF(OR('Brouillard ventes'!$F$31="",'Brouillard ventes'!$J$31="À crédit",'Brouillard ventes'!$J$31=""),"",'Brouillard ventes'!$B$31)</f>
        <v/>
      </c>
      <c r="E52" s="22">
        <f>IF(OR('Brouillard ventes'!$F$31="",'Brouillard ventes'!$J$31="À crédit",'Brouillard ventes'!$J$31=""),"","REGL "&amp;LEFT('Brouillard ventes'!$D$31,25))</f>
        <v/>
      </c>
      <c r="F52" s="22">
        <f>IF(OR('Brouillard ventes'!$F$31="",'Brouillard ventes'!$J$31="À crédit",'Brouillard ventes'!$J$31=""),"",IF('Brouillard ventes'!$J$31="Espèces","04001","02001"))</f>
        <v/>
      </c>
      <c r="G52" s="22">
        <f>IF(OR('Brouillard ventes'!$F$31="",'Brouillard ventes'!$J$31="À crédit",'Brouillard ventes'!$J$31=""),"",IF('Brouillard ventes'!$J$31="Espèces","53000","51220"))</f>
        <v/>
      </c>
      <c r="H52" s="22" t="inlineStr"/>
      <c r="I52" s="22" t="inlineStr"/>
      <c r="J52" s="22" t="inlineStr"/>
      <c r="K52" s="22">
        <f>IF(OR('Brouillard ventes'!$F$31="",'Brouillard ventes'!$J$31="À crédit",'Brouillard ventes'!$J$31=""),"",Paramètres!$B$11)</f>
        <v/>
      </c>
      <c r="L52" s="23">
        <f>IF(OR('Brouillard ventes'!$F$31="",'Brouillard ventes'!$J$31="À crédit",'Brouillard ventes'!$J$31=""),0,'Brouillard ventes'!$I$31)</f>
        <v/>
      </c>
      <c r="M52" s="23" t="n">
        <v>0</v>
      </c>
    </row>
    <row r="53">
      <c r="A53" s="22" t="inlineStr">
        <is>
          <t>1</t>
        </is>
      </c>
      <c r="B53" s="22">
        <f>IF(OR('Brouillard ventes'!$F$31="",'Brouillard ventes'!$J$31="À crédit",'Brouillard ventes'!$J$31=""),"","EC"&amp;TEXT(ROW('Brouillard ventes'!$F$31)-5,"00000"))</f>
        <v/>
      </c>
      <c r="C53" s="22">
        <f>IF(OR('Brouillard ventes'!$F$31="",'Brouillard ventes'!$J$31="À crédit",'Brouillard ventes'!$J$31=""),"",YEAR('Brouillard ventes'!$A$31)*10000+MONTH('Brouillard ventes'!$A$31)*100+DAY('Brouillard ventes'!$A$31))</f>
        <v/>
      </c>
      <c r="D53" s="22">
        <f>IF(OR('Brouillard ventes'!$F$31="",'Brouillard ventes'!$J$31="À crédit",'Brouillard ventes'!$J$31=""),"",'Brouillard ventes'!$B$31)</f>
        <v/>
      </c>
      <c r="E53" s="22">
        <f>IF(OR('Brouillard ventes'!$F$31="",'Brouillard ventes'!$J$31="À crédit",'Brouillard ventes'!$J$31=""),"","REGL "&amp;LEFT('Brouillard ventes'!$D$31,25))</f>
        <v/>
      </c>
      <c r="F53" s="22">
        <f>IF(OR('Brouillard ventes'!$F$31="",'Brouillard ventes'!$J$31="À crédit",'Brouillard ventes'!$J$31=""),"",IF('Brouillard ventes'!$J$31="Espèces","04001","02001"))</f>
        <v/>
      </c>
      <c r="G53" s="22">
        <f>IF(OR('Brouillard ventes'!$F$31="",'Brouillard ventes'!$J$31="À crédit",'Brouillard ventes'!$J$31=""),"",Paramètres!$B$7)</f>
        <v/>
      </c>
      <c r="H53" s="22">
        <f>IF(OR('Brouillard ventes'!$F$31="",'Brouillard ventes'!$J$31="À crédit",'Brouillard ventes'!$J$31=""),"",IF('Brouillard ventes'!$C$31="","CD001",'Brouillard ventes'!$C$31))</f>
        <v/>
      </c>
      <c r="I53" s="22" t="inlineStr"/>
      <c r="J53" s="22" t="inlineStr"/>
      <c r="K53" s="22">
        <f>IF(OR('Brouillard ventes'!$F$31="",'Brouillard ventes'!$J$31="À crédit",'Brouillard ventes'!$J$31=""),"",Paramètres!$B$11)</f>
        <v/>
      </c>
      <c r="L53" s="23" t="n">
        <v>0</v>
      </c>
      <c r="M53" s="23">
        <f>IF(OR('Brouillard ventes'!$F$31="",'Brouillard ventes'!$J$31="À crédit",'Brouillard ventes'!$J$31=""),0,'Brouillard ventes'!$I$31)</f>
        <v/>
      </c>
    </row>
    <row r="54">
      <c r="A54" s="22" t="inlineStr">
        <is>
          <t>1</t>
        </is>
      </c>
      <c r="B54" s="22">
        <f>IF(OR('Brouillard ventes'!$F$32="",'Brouillard ventes'!$J$32="À crédit",'Brouillard ventes'!$J$32=""),"","EC"&amp;TEXT(ROW('Brouillard ventes'!$F$32)-5,"00000"))</f>
        <v/>
      </c>
      <c r="C54" s="22">
        <f>IF(OR('Brouillard ventes'!$F$32="",'Brouillard ventes'!$J$32="À crédit",'Brouillard ventes'!$J$32=""),"",YEAR('Brouillard ventes'!$A$32)*10000+MONTH('Brouillard ventes'!$A$32)*100+DAY('Brouillard ventes'!$A$32))</f>
        <v/>
      </c>
      <c r="D54" s="22">
        <f>IF(OR('Brouillard ventes'!$F$32="",'Brouillard ventes'!$J$32="À crédit",'Brouillard ventes'!$J$32=""),"",'Brouillard ventes'!$B$32)</f>
        <v/>
      </c>
      <c r="E54" s="22">
        <f>IF(OR('Brouillard ventes'!$F$32="",'Brouillard ventes'!$J$32="À crédit",'Brouillard ventes'!$J$32=""),"","REGL "&amp;LEFT('Brouillard ventes'!$D$32,25))</f>
        <v/>
      </c>
      <c r="F54" s="22">
        <f>IF(OR('Brouillard ventes'!$F$32="",'Brouillard ventes'!$J$32="À crédit",'Brouillard ventes'!$J$32=""),"",IF('Brouillard ventes'!$J$32="Espèces","04001","02001"))</f>
        <v/>
      </c>
      <c r="G54" s="22">
        <f>IF(OR('Brouillard ventes'!$F$32="",'Brouillard ventes'!$J$32="À crédit",'Brouillard ventes'!$J$32=""),"",IF('Brouillard ventes'!$J$32="Espèces","53000","51220"))</f>
        <v/>
      </c>
      <c r="H54" s="22" t="inlineStr"/>
      <c r="I54" s="22" t="inlineStr"/>
      <c r="J54" s="22" t="inlineStr"/>
      <c r="K54" s="22">
        <f>IF(OR('Brouillard ventes'!$F$32="",'Brouillard ventes'!$J$32="À crédit",'Brouillard ventes'!$J$32=""),"",Paramètres!$B$11)</f>
        <v/>
      </c>
      <c r="L54" s="23">
        <f>IF(OR('Brouillard ventes'!$F$32="",'Brouillard ventes'!$J$32="À crédit",'Brouillard ventes'!$J$32=""),0,'Brouillard ventes'!$I$32)</f>
        <v/>
      </c>
      <c r="M54" s="23" t="n">
        <v>0</v>
      </c>
    </row>
    <row r="55">
      <c r="A55" s="22" t="inlineStr">
        <is>
          <t>1</t>
        </is>
      </c>
      <c r="B55" s="22">
        <f>IF(OR('Brouillard ventes'!$F$32="",'Brouillard ventes'!$J$32="À crédit",'Brouillard ventes'!$J$32=""),"","EC"&amp;TEXT(ROW('Brouillard ventes'!$F$32)-5,"00000"))</f>
        <v/>
      </c>
      <c r="C55" s="22">
        <f>IF(OR('Brouillard ventes'!$F$32="",'Brouillard ventes'!$J$32="À crédit",'Brouillard ventes'!$J$32=""),"",YEAR('Brouillard ventes'!$A$32)*10000+MONTH('Brouillard ventes'!$A$32)*100+DAY('Brouillard ventes'!$A$32))</f>
        <v/>
      </c>
      <c r="D55" s="22">
        <f>IF(OR('Brouillard ventes'!$F$32="",'Brouillard ventes'!$J$32="À crédit",'Brouillard ventes'!$J$32=""),"",'Brouillard ventes'!$B$32)</f>
        <v/>
      </c>
      <c r="E55" s="22">
        <f>IF(OR('Brouillard ventes'!$F$32="",'Brouillard ventes'!$J$32="À crédit",'Brouillard ventes'!$J$32=""),"","REGL "&amp;LEFT('Brouillard ventes'!$D$32,25))</f>
        <v/>
      </c>
      <c r="F55" s="22">
        <f>IF(OR('Brouillard ventes'!$F$32="",'Brouillard ventes'!$J$32="À crédit",'Brouillard ventes'!$J$32=""),"",IF('Brouillard ventes'!$J$32="Espèces","04001","02001"))</f>
        <v/>
      </c>
      <c r="G55" s="22">
        <f>IF(OR('Brouillard ventes'!$F$32="",'Brouillard ventes'!$J$32="À crédit",'Brouillard ventes'!$J$32=""),"",Paramètres!$B$7)</f>
        <v/>
      </c>
      <c r="H55" s="22">
        <f>IF(OR('Brouillard ventes'!$F$32="",'Brouillard ventes'!$J$32="À crédit",'Brouillard ventes'!$J$32=""),"",IF('Brouillard ventes'!$C$32="","CD001",'Brouillard ventes'!$C$32))</f>
        <v/>
      </c>
      <c r="I55" s="22" t="inlineStr"/>
      <c r="J55" s="22" t="inlineStr"/>
      <c r="K55" s="22">
        <f>IF(OR('Brouillard ventes'!$F$32="",'Brouillard ventes'!$J$32="À crédit",'Brouillard ventes'!$J$32=""),"",Paramètres!$B$11)</f>
        <v/>
      </c>
      <c r="L55" s="23" t="n">
        <v>0</v>
      </c>
      <c r="M55" s="23">
        <f>IF(OR('Brouillard ventes'!$F$32="",'Brouillard ventes'!$J$32="À crédit",'Brouillard ventes'!$J$32=""),0,'Brouillard ventes'!$I$32)</f>
        <v/>
      </c>
    </row>
    <row r="56">
      <c r="A56" s="22" t="inlineStr">
        <is>
          <t>1</t>
        </is>
      </c>
      <c r="B56" s="22">
        <f>IF(OR('Brouillard ventes'!$F$33="",'Brouillard ventes'!$J$33="À crédit",'Brouillard ventes'!$J$33=""),"","EC"&amp;TEXT(ROW('Brouillard ventes'!$F$33)-5,"00000"))</f>
        <v/>
      </c>
      <c r="C56" s="22">
        <f>IF(OR('Brouillard ventes'!$F$33="",'Brouillard ventes'!$J$33="À crédit",'Brouillard ventes'!$J$33=""),"",YEAR('Brouillard ventes'!$A$33)*10000+MONTH('Brouillard ventes'!$A$33)*100+DAY('Brouillard ventes'!$A$33))</f>
        <v/>
      </c>
      <c r="D56" s="22">
        <f>IF(OR('Brouillard ventes'!$F$33="",'Brouillard ventes'!$J$33="À crédit",'Brouillard ventes'!$J$33=""),"",'Brouillard ventes'!$B$33)</f>
        <v/>
      </c>
      <c r="E56" s="22">
        <f>IF(OR('Brouillard ventes'!$F$33="",'Brouillard ventes'!$J$33="À crédit",'Brouillard ventes'!$J$33=""),"","REGL "&amp;LEFT('Brouillard ventes'!$D$33,25))</f>
        <v/>
      </c>
      <c r="F56" s="22">
        <f>IF(OR('Brouillard ventes'!$F$33="",'Brouillard ventes'!$J$33="À crédit",'Brouillard ventes'!$J$33=""),"",IF('Brouillard ventes'!$J$33="Espèces","04001","02001"))</f>
        <v/>
      </c>
      <c r="G56" s="22">
        <f>IF(OR('Brouillard ventes'!$F$33="",'Brouillard ventes'!$J$33="À crédit",'Brouillard ventes'!$J$33=""),"",IF('Brouillard ventes'!$J$33="Espèces","53000","51220"))</f>
        <v/>
      </c>
      <c r="H56" s="22" t="inlineStr"/>
      <c r="I56" s="22" t="inlineStr"/>
      <c r="J56" s="22" t="inlineStr"/>
      <c r="K56" s="22">
        <f>IF(OR('Brouillard ventes'!$F$33="",'Brouillard ventes'!$J$33="À crédit",'Brouillard ventes'!$J$33=""),"",Paramètres!$B$11)</f>
        <v/>
      </c>
      <c r="L56" s="23">
        <f>IF(OR('Brouillard ventes'!$F$33="",'Brouillard ventes'!$J$33="À crédit",'Brouillard ventes'!$J$33=""),0,'Brouillard ventes'!$I$33)</f>
        <v/>
      </c>
      <c r="M56" s="23" t="n">
        <v>0</v>
      </c>
    </row>
    <row r="57">
      <c r="A57" s="22" t="inlineStr">
        <is>
          <t>1</t>
        </is>
      </c>
      <c r="B57" s="22">
        <f>IF(OR('Brouillard ventes'!$F$33="",'Brouillard ventes'!$J$33="À crédit",'Brouillard ventes'!$J$33=""),"","EC"&amp;TEXT(ROW('Brouillard ventes'!$F$33)-5,"00000"))</f>
        <v/>
      </c>
      <c r="C57" s="22">
        <f>IF(OR('Brouillard ventes'!$F$33="",'Brouillard ventes'!$J$33="À crédit",'Brouillard ventes'!$J$33=""),"",YEAR('Brouillard ventes'!$A$33)*10000+MONTH('Brouillard ventes'!$A$33)*100+DAY('Brouillard ventes'!$A$33))</f>
        <v/>
      </c>
      <c r="D57" s="22">
        <f>IF(OR('Brouillard ventes'!$F$33="",'Brouillard ventes'!$J$33="À crédit",'Brouillard ventes'!$J$33=""),"",'Brouillard ventes'!$B$33)</f>
        <v/>
      </c>
      <c r="E57" s="22">
        <f>IF(OR('Brouillard ventes'!$F$33="",'Brouillard ventes'!$J$33="À crédit",'Brouillard ventes'!$J$33=""),"","REGL "&amp;LEFT('Brouillard ventes'!$D$33,25))</f>
        <v/>
      </c>
      <c r="F57" s="22">
        <f>IF(OR('Brouillard ventes'!$F$33="",'Brouillard ventes'!$J$33="À crédit",'Brouillard ventes'!$J$33=""),"",IF('Brouillard ventes'!$J$33="Espèces","04001","02001"))</f>
        <v/>
      </c>
      <c r="G57" s="22">
        <f>IF(OR('Brouillard ventes'!$F$33="",'Brouillard ventes'!$J$33="À crédit",'Brouillard ventes'!$J$33=""),"",Paramètres!$B$7)</f>
        <v/>
      </c>
      <c r="H57" s="22">
        <f>IF(OR('Brouillard ventes'!$F$33="",'Brouillard ventes'!$J$33="À crédit",'Brouillard ventes'!$J$33=""),"",IF('Brouillard ventes'!$C$33="","CD001",'Brouillard ventes'!$C$33))</f>
        <v/>
      </c>
      <c r="I57" s="22" t="inlineStr"/>
      <c r="J57" s="22" t="inlineStr"/>
      <c r="K57" s="22">
        <f>IF(OR('Brouillard ventes'!$F$33="",'Brouillard ventes'!$J$33="À crédit",'Brouillard ventes'!$J$33=""),"",Paramètres!$B$11)</f>
        <v/>
      </c>
      <c r="L57" s="23" t="n">
        <v>0</v>
      </c>
      <c r="M57" s="23">
        <f>IF(OR('Brouillard ventes'!$F$33="",'Brouillard ventes'!$J$33="À crédit",'Brouillard ventes'!$J$33=""),0,'Brouillard ventes'!$I$33)</f>
        <v/>
      </c>
    </row>
    <row r="58">
      <c r="A58" s="22" t="inlineStr">
        <is>
          <t>1</t>
        </is>
      </c>
      <c r="B58" s="22">
        <f>IF(OR('Brouillard ventes'!$F$34="",'Brouillard ventes'!$J$34="À crédit",'Brouillard ventes'!$J$34=""),"","EC"&amp;TEXT(ROW('Brouillard ventes'!$F$34)-5,"00000"))</f>
        <v/>
      </c>
      <c r="C58" s="22">
        <f>IF(OR('Brouillard ventes'!$F$34="",'Brouillard ventes'!$J$34="À crédit",'Brouillard ventes'!$J$34=""),"",YEAR('Brouillard ventes'!$A$34)*10000+MONTH('Brouillard ventes'!$A$34)*100+DAY('Brouillard ventes'!$A$34))</f>
        <v/>
      </c>
      <c r="D58" s="22">
        <f>IF(OR('Brouillard ventes'!$F$34="",'Brouillard ventes'!$J$34="À crédit",'Brouillard ventes'!$J$34=""),"",'Brouillard ventes'!$B$34)</f>
        <v/>
      </c>
      <c r="E58" s="22">
        <f>IF(OR('Brouillard ventes'!$F$34="",'Brouillard ventes'!$J$34="À crédit",'Brouillard ventes'!$J$34=""),"","REGL "&amp;LEFT('Brouillard ventes'!$D$34,25))</f>
        <v/>
      </c>
      <c r="F58" s="22">
        <f>IF(OR('Brouillard ventes'!$F$34="",'Brouillard ventes'!$J$34="À crédit",'Brouillard ventes'!$J$34=""),"",IF('Brouillard ventes'!$J$34="Espèces","04001","02001"))</f>
        <v/>
      </c>
      <c r="G58" s="22">
        <f>IF(OR('Brouillard ventes'!$F$34="",'Brouillard ventes'!$J$34="À crédit",'Brouillard ventes'!$J$34=""),"",IF('Brouillard ventes'!$J$34="Espèces","53000","51220"))</f>
        <v/>
      </c>
      <c r="H58" s="22" t="inlineStr"/>
      <c r="I58" s="22" t="inlineStr"/>
      <c r="J58" s="22" t="inlineStr"/>
      <c r="K58" s="22">
        <f>IF(OR('Brouillard ventes'!$F$34="",'Brouillard ventes'!$J$34="À crédit",'Brouillard ventes'!$J$34=""),"",Paramètres!$B$11)</f>
        <v/>
      </c>
      <c r="L58" s="23">
        <f>IF(OR('Brouillard ventes'!$F$34="",'Brouillard ventes'!$J$34="À crédit",'Brouillard ventes'!$J$34=""),0,'Brouillard ventes'!$I$34)</f>
        <v/>
      </c>
      <c r="M58" s="23" t="n">
        <v>0</v>
      </c>
    </row>
    <row r="59">
      <c r="A59" s="22" t="inlineStr">
        <is>
          <t>1</t>
        </is>
      </c>
      <c r="B59" s="22">
        <f>IF(OR('Brouillard ventes'!$F$34="",'Brouillard ventes'!$J$34="À crédit",'Brouillard ventes'!$J$34=""),"","EC"&amp;TEXT(ROW('Brouillard ventes'!$F$34)-5,"00000"))</f>
        <v/>
      </c>
      <c r="C59" s="22">
        <f>IF(OR('Brouillard ventes'!$F$34="",'Brouillard ventes'!$J$34="À crédit",'Brouillard ventes'!$J$34=""),"",YEAR('Brouillard ventes'!$A$34)*10000+MONTH('Brouillard ventes'!$A$34)*100+DAY('Brouillard ventes'!$A$34))</f>
        <v/>
      </c>
      <c r="D59" s="22">
        <f>IF(OR('Brouillard ventes'!$F$34="",'Brouillard ventes'!$J$34="À crédit",'Brouillard ventes'!$J$34=""),"",'Brouillard ventes'!$B$34)</f>
        <v/>
      </c>
      <c r="E59" s="22">
        <f>IF(OR('Brouillard ventes'!$F$34="",'Brouillard ventes'!$J$34="À crédit",'Brouillard ventes'!$J$34=""),"","REGL "&amp;LEFT('Brouillard ventes'!$D$34,25))</f>
        <v/>
      </c>
      <c r="F59" s="22">
        <f>IF(OR('Brouillard ventes'!$F$34="",'Brouillard ventes'!$J$34="À crédit",'Brouillard ventes'!$J$34=""),"",IF('Brouillard ventes'!$J$34="Espèces","04001","02001"))</f>
        <v/>
      </c>
      <c r="G59" s="22">
        <f>IF(OR('Brouillard ventes'!$F$34="",'Brouillard ventes'!$J$34="À crédit",'Brouillard ventes'!$J$34=""),"",Paramètres!$B$7)</f>
        <v/>
      </c>
      <c r="H59" s="22">
        <f>IF(OR('Brouillard ventes'!$F$34="",'Brouillard ventes'!$J$34="À crédit",'Brouillard ventes'!$J$34=""),"",IF('Brouillard ventes'!$C$34="","CD001",'Brouillard ventes'!$C$34))</f>
        <v/>
      </c>
      <c r="I59" s="22" t="inlineStr"/>
      <c r="J59" s="22" t="inlineStr"/>
      <c r="K59" s="22">
        <f>IF(OR('Brouillard ventes'!$F$34="",'Brouillard ventes'!$J$34="À crédit",'Brouillard ventes'!$J$34=""),"",Paramètres!$B$11)</f>
        <v/>
      </c>
      <c r="L59" s="23" t="n">
        <v>0</v>
      </c>
      <c r="M59" s="23">
        <f>IF(OR('Brouillard ventes'!$F$34="",'Brouillard ventes'!$J$34="À crédit",'Brouillard ventes'!$J$34=""),0,'Brouillard ventes'!$I$34)</f>
        <v/>
      </c>
    </row>
    <row r="60">
      <c r="A60" s="22" t="inlineStr">
        <is>
          <t>1</t>
        </is>
      </c>
      <c r="B60" s="22">
        <f>IF(OR('Brouillard ventes'!$F$35="",'Brouillard ventes'!$J$35="À crédit",'Brouillard ventes'!$J$35=""),"","EC"&amp;TEXT(ROW('Brouillard ventes'!$F$35)-5,"00000"))</f>
        <v/>
      </c>
      <c r="C60" s="22">
        <f>IF(OR('Brouillard ventes'!$F$35="",'Brouillard ventes'!$J$35="À crédit",'Brouillard ventes'!$J$35=""),"",YEAR('Brouillard ventes'!$A$35)*10000+MONTH('Brouillard ventes'!$A$35)*100+DAY('Brouillard ventes'!$A$35))</f>
        <v/>
      </c>
      <c r="D60" s="22">
        <f>IF(OR('Brouillard ventes'!$F$35="",'Brouillard ventes'!$J$35="À crédit",'Brouillard ventes'!$J$35=""),"",'Brouillard ventes'!$B$35)</f>
        <v/>
      </c>
      <c r="E60" s="22">
        <f>IF(OR('Brouillard ventes'!$F$35="",'Brouillard ventes'!$J$35="À crédit",'Brouillard ventes'!$J$35=""),"","REGL "&amp;LEFT('Brouillard ventes'!$D$35,25))</f>
        <v/>
      </c>
      <c r="F60" s="22">
        <f>IF(OR('Brouillard ventes'!$F$35="",'Brouillard ventes'!$J$35="À crédit",'Brouillard ventes'!$J$35=""),"",IF('Brouillard ventes'!$J$35="Espèces","04001","02001"))</f>
        <v/>
      </c>
      <c r="G60" s="22">
        <f>IF(OR('Brouillard ventes'!$F$35="",'Brouillard ventes'!$J$35="À crédit",'Brouillard ventes'!$J$35=""),"",IF('Brouillard ventes'!$J$35="Espèces","53000","51220"))</f>
        <v/>
      </c>
      <c r="H60" s="22" t="inlineStr"/>
      <c r="I60" s="22" t="inlineStr"/>
      <c r="J60" s="22" t="inlineStr"/>
      <c r="K60" s="22">
        <f>IF(OR('Brouillard ventes'!$F$35="",'Brouillard ventes'!$J$35="À crédit",'Brouillard ventes'!$J$35=""),"",Paramètres!$B$11)</f>
        <v/>
      </c>
      <c r="L60" s="23">
        <f>IF(OR('Brouillard ventes'!$F$35="",'Brouillard ventes'!$J$35="À crédit",'Brouillard ventes'!$J$35=""),0,'Brouillard ventes'!$I$35)</f>
        <v/>
      </c>
      <c r="M60" s="23" t="n">
        <v>0</v>
      </c>
    </row>
    <row r="61">
      <c r="A61" s="22" t="inlineStr">
        <is>
          <t>1</t>
        </is>
      </c>
      <c r="B61" s="22">
        <f>IF(OR('Brouillard ventes'!$F$35="",'Brouillard ventes'!$J$35="À crédit",'Brouillard ventes'!$J$35=""),"","EC"&amp;TEXT(ROW('Brouillard ventes'!$F$35)-5,"00000"))</f>
        <v/>
      </c>
      <c r="C61" s="22">
        <f>IF(OR('Brouillard ventes'!$F$35="",'Brouillard ventes'!$J$35="À crédit",'Brouillard ventes'!$J$35=""),"",YEAR('Brouillard ventes'!$A$35)*10000+MONTH('Brouillard ventes'!$A$35)*100+DAY('Brouillard ventes'!$A$35))</f>
        <v/>
      </c>
      <c r="D61" s="22">
        <f>IF(OR('Brouillard ventes'!$F$35="",'Brouillard ventes'!$J$35="À crédit",'Brouillard ventes'!$J$35=""),"",'Brouillard ventes'!$B$35)</f>
        <v/>
      </c>
      <c r="E61" s="22">
        <f>IF(OR('Brouillard ventes'!$F$35="",'Brouillard ventes'!$J$35="À crédit",'Brouillard ventes'!$J$35=""),"","REGL "&amp;LEFT('Brouillard ventes'!$D$35,25))</f>
        <v/>
      </c>
      <c r="F61" s="22">
        <f>IF(OR('Brouillard ventes'!$F$35="",'Brouillard ventes'!$J$35="À crédit",'Brouillard ventes'!$J$35=""),"",IF('Brouillard ventes'!$J$35="Espèces","04001","02001"))</f>
        <v/>
      </c>
      <c r="G61" s="22">
        <f>IF(OR('Brouillard ventes'!$F$35="",'Brouillard ventes'!$J$35="À crédit",'Brouillard ventes'!$J$35=""),"",Paramètres!$B$7)</f>
        <v/>
      </c>
      <c r="H61" s="22">
        <f>IF(OR('Brouillard ventes'!$F$35="",'Brouillard ventes'!$J$35="À crédit",'Brouillard ventes'!$J$35=""),"",IF('Brouillard ventes'!$C$35="","CD001",'Brouillard ventes'!$C$35))</f>
        <v/>
      </c>
      <c r="I61" s="22" t="inlineStr"/>
      <c r="J61" s="22" t="inlineStr"/>
      <c r="K61" s="22">
        <f>IF(OR('Brouillard ventes'!$F$35="",'Brouillard ventes'!$J$35="À crédit",'Brouillard ventes'!$J$35=""),"",Paramètres!$B$11)</f>
        <v/>
      </c>
      <c r="L61" s="23" t="n">
        <v>0</v>
      </c>
      <c r="M61" s="23">
        <f>IF(OR('Brouillard ventes'!$F$35="",'Brouillard ventes'!$J$35="À crédit",'Brouillard ventes'!$J$35=""),0,'Brouillard ventes'!$I$35)</f>
        <v/>
      </c>
    </row>
    <row r="62">
      <c r="A62" s="22" t="inlineStr">
        <is>
          <t>1</t>
        </is>
      </c>
      <c r="B62" s="22">
        <f>IF(OR('Brouillard ventes'!$F$36="",'Brouillard ventes'!$J$36="À crédit",'Brouillard ventes'!$J$36=""),"","EC"&amp;TEXT(ROW('Brouillard ventes'!$F$36)-5,"00000"))</f>
        <v/>
      </c>
      <c r="C62" s="22">
        <f>IF(OR('Brouillard ventes'!$F$36="",'Brouillard ventes'!$J$36="À crédit",'Brouillard ventes'!$J$36=""),"",YEAR('Brouillard ventes'!$A$36)*10000+MONTH('Brouillard ventes'!$A$36)*100+DAY('Brouillard ventes'!$A$36))</f>
        <v/>
      </c>
      <c r="D62" s="22">
        <f>IF(OR('Brouillard ventes'!$F$36="",'Brouillard ventes'!$J$36="À crédit",'Brouillard ventes'!$J$36=""),"",'Brouillard ventes'!$B$36)</f>
        <v/>
      </c>
      <c r="E62" s="22">
        <f>IF(OR('Brouillard ventes'!$F$36="",'Brouillard ventes'!$J$36="À crédit",'Brouillard ventes'!$J$36=""),"","REGL "&amp;LEFT('Brouillard ventes'!$D$36,25))</f>
        <v/>
      </c>
      <c r="F62" s="22">
        <f>IF(OR('Brouillard ventes'!$F$36="",'Brouillard ventes'!$J$36="À crédit",'Brouillard ventes'!$J$36=""),"",IF('Brouillard ventes'!$J$36="Espèces","04001","02001"))</f>
        <v/>
      </c>
      <c r="G62" s="22">
        <f>IF(OR('Brouillard ventes'!$F$36="",'Brouillard ventes'!$J$36="À crédit",'Brouillard ventes'!$J$36=""),"",IF('Brouillard ventes'!$J$36="Espèces","53000","51220"))</f>
        <v/>
      </c>
      <c r="H62" s="22" t="inlineStr"/>
      <c r="I62" s="22" t="inlineStr"/>
      <c r="J62" s="22" t="inlineStr"/>
      <c r="K62" s="22">
        <f>IF(OR('Brouillard ventes'!$F$36="",'Brouillard ventes'!$J$36="À crédit",'Brouillard ventes'!$J$36=""),"",Paramètres!$B$11)</f>
        <v/>
      </c>
      <c r="L62" s="23">
        <f>IF(OR('Brouillard ventes'!$F$36="",'Brouillard ventes'!$J$36="À crédit",'Brouillard ventes'!$J$36=""),0,'Brouillard ventes'!$I$36)</f>
        <v/>
      </c>
      <c r="M62" s="23" t="n">
        <v>0</v>
      </c>
    </row>
    <row r="63">
      <c r="A63" s="22" t="inlineStr">
        <is>
          <t>1</t>
        </is>
      </c>
      <c r="B63" s="22">
        <f>IF(OR('Brouillard ventes'!$F$36="",'Brouillard ventes'!$J$36="À crédit",'Brouillard ventes'!$J$36=""),"","EC"&amp;TEXT(ROW('Brouillard ventes'!$F$36)-5,"00000"))</f>
        <v/>
      </c>
      <c r="C63" s="22">
        <f>IF(OR('Brouillard ventes'!$F$36="",'Brouillard ventes'!$J$36="À crédit",'Brouillard ventes'!$J$36=""),"",YEAR('Brouillard ventes'!$A$36)*10000+MONTH('Brouillard ventes'!$A$36)*100+DAY('Brouillard ventes'!$A$36))</f>
        <v/>
      </c>
      <c r="D63" s="22">
        <f>IF(OR('Brouillard ventes'!$F$36="",'Brouillard ventes'!$J$36="À crédit",'Brouillard ventes'!$J$36=""),"",'Brouillard ventes'!$B$36)</f>
        <v/>
      </c>
      <c r="E63" s="22">
        <f>IF(OR('Brouillard ventes'!$F$36="",'Brouillard ventes'!$J$36="À crédit",'Brouillard ventes'!$J$36=""),"","REGL "&amp;LEFT('Brouillard ventes'!$D$36,25))</f>
        <v/>
      </c>
      <c r="F63" s="22">
        <f>IF(OR('Brouillard ventes'!$F$36="",'Brouillard ventes'!$J$36="À crédit",'Brouillard ventes'!$J$36=""),"",IF('Brouillard ventes'!$J$36="Espèces","04001","02001"))</f>
        <v/>
      </c>
      <c r="G63" s="22">
        <f>IF(OR('Brouillard ventes'!$F$36="",'Brouillard ventes'!$J$36="À crédit",'Brouillard ventes'!$J$36=""),"",Paramètres!$B$7)</f>
        <v/>
      </c>
      <c r="H63" s="22">
        <f>IF(OR('Brouillard ventes'!$F$36="",'Brouillard ventes'!$J$36="À crédit",'Brouillard ventes'!$J$36=""),"",IF('Brouillard ventes'!$C$36="","CD001",'Brouillard ventes'!$C$36))</f>
        <v/>
      </c>
      <c r="I63" s="22" t="inlineStr"/>
      <c r="J63" s="22" t="inlineStr"/>
      <c r="K63" s="22">
        <f>IF(OR('Brouillard ventes'!$F$36="",'Brouillard ventes'!$J$36="À crédit",'Brouillard ventes'!$J$36=""),"",Paramètres!$B$11)</f>
        <v/>
      </c>
      <c r="L63" s="23" t="n">
        <v>0</v>
      </c>
      <c r="M63" s="23">
        <f>IF(OR('Brouillard ventes'!$F$36="",'Brouillard ventes'!$J$36="À crédit",'Brouillard ventes'!$J$36=""),0,'Brouillard ventes'!$I$36)</f>
        <v/>
      </c>
    </row>
    <row r="64">
      <c r="A64" s="22" t="inlineStr">
        <is>
          <t>1</t>
        </is>
      </c>
      <c r="B64" s="22">
        <f>IF(OR('Brouillard ventes'!$F$37="",'Brouillard ventes'!$J$37="À crédit",'Brouillard ventes'!$J$37=""),"","EC"&amp;TEXT(ROW('Brouillard ventes'!$F$37)-5,"00000"))</f>
        <v/>
      </c>
      <c r="C64" s="22">
        <f>IF(OR('Brouillard ventes'!$F$37="",'Brouillard ventes'!$J$37="À crédit",'Brouillard ventes'!$J$37=""),"",YEAR('Brouillard ventes'!$A$37)*10000+MONTH('Brouillard ventes'!$A$37)*100+DAY('Brouillard ventes'!$A$37))</f>
        <v/>
      </c>
      <c r="D64" s="22">
        <f>IF(OR('Brouillard ventes'!$F$37="",'Brouillard ventes'!$J$37="À crédit",'Brouillard ventes'!$J$37=""),"",'Brouillard ventes'!$B$37)</f>
        <v/>
      </c>
      <c r="E64" s="22">
        <f>IF(OR('Brouillard ventes'!$F$37="",'Brouillard ventes'!$J$37="À crédit",'Brouillard ventes'!$J$37=""),"","REGL "&amp;LEFT('Brouillard ventes'!$D$37,25))</f>
        <v/>
      </c>
      <c r="F64" s="22">
        <f>IF(OR('Brouillard ventes'!$F$37="",'Brouillard ventes'!$J$37="À crédit",'Brouillard ventes'!$J$37=""),"",IF('Brouillard ventes'!$J$37="Espèces","04001","02001"))</f>
        <v/>
      </c>
      <c r="G64" s="22">
        <f>IF(OR('Brouillard ventes'!$F$37="",'Brouillard ventes'!$J$37="À crédit",'Brouillard ventes'!$J$37=""),"",IF('Brouillard ventes'!$J$37="Espèces","53000","51220"))</f>
        <v/>
      </c>
      <c r="H64" s="22" t="inlineStr"/>
      <c r="I64" s="22" t="inlineStr"/>
      <c r="J64" s="22" t="inlineStr"/>
      <c r="K64" s="22">
        <f>IF(OR('Brouillard ventes'!$F$37="",'Brouillard ventes'!$J$37="À crédit",'Brouillard ventes'!$J$37=""),"",Paramètres!$B$11)</f>
        <v/>
      </c>
      <c r="L64" s="23">
        <f>IF(OR('Brouillard ventes'!$F$37="",'Brouillard ventes'!$J$37="À crédit",'Brouillard ventes'!$J$37=""),0,'Brouillard ventes'!$I$37)</f>
        <v/>
      </c>
      <c r="M64" s="23" t="n">
        <v>0</v>
      </c>
    </row>
    <row r="65">
      <c r="A65" s="22" t="inlineStr">
        <is>
          <t>1</t>
        </is>
      </c>
      <c r="B65" s="22">
        <f>IF(OR('Brouillard ventes'!$F$37="",'Brouillard ventes'!$J$37="À crédit",'Brouillard ventes'!$J$37=""),"","EC"&amp;TEXT(ROW('Brouillard ventes'!$F$37)-5,"00000"))</f>
        <v/>
      </c>
      <c r="C65" s="22">
        <f>IF(OR('Brouillard ventes'!$F$37="",'Brouillard ventes'!$J$37="À crédit",'Brouillard ventes'!$J$37=""),"",YEAR('Brouillard ventes'!$A$37)*10000+MONTH('Brouillard ventes'!$A$37)*100+DAY('Brouillard ventes'!$A$37))</f>
        <v/>
      </c>
      <c r="D65" s="22">
        <f>IF(OR('Brouillard ventes'!$F$37="",'Brouillard ventes'!$J$37="À crédit",'Brouillard ventes'!$J$37=""),"",'Brouillard ventes'!$B$37)</f>
        <v/>
      </c>
      <c r="E65" s="22">
        <f>IF(OR('Brouillard ventes'!$F$37="",'Brouillard ventes'!$J$37="À crédit",'Brouillard ventes'!$J$37=""),"","REGL "&amp;LEFT('Brouillard ventes'!$D$37,25))</f>
        <v/>
      </c>
      <c r="F65" s="22">
        <f>IF(OR('Brouillard ventes'!$F$37="",'Brouillard ventes'!$J$37="À crédit",'Brouillard ventes'!$J$37=""),"",IF('Brouillard ventes'!$J$37="Espèces","04001","02001"))</f>
        <v/>
      </c>
      <c r="G65" s="22">
        <f>IF(OR('Brouillard ventes'!$F$37="",'Brouillard ventes'!$J$37="À crédit",'Brouillard ventes'!$J$37=""),"",Paramètres!$B$7)</f>
        <v/>
      </c>
      <c r="H65" s="22">
        <f>IF(OR('Brouillard ventes'!$F$37="",'Brouillard ventes'!$J$37="À crédit",'Brouillard ventes'!$J$37=""),"",IF('Brouillard ventes'!$C$37="","CD001",'Brouillard ventes'!$C$37))</f>
        <v/>
      </c>
      <c r="I65" s="22" t="inlineStr"/>
      <c r="J65" s="22" t="inlineStr"/>
      <c r="K65" s="22">
        <f>IF(OR('Brouillard ventes'!$F$37="",'Brouillard ventes'!$J$37="À crédit",'Brouillard ventes'!$J$37=""),"",Paramètres!$B$11)</f>
        <v/>
      </c>
      <c r="L65" s="23" t="n">
        <v>0</v>
      </c>
      <c r="M65" s="23">
        <f>IF(OR('Brouillard ventes'!$F$37="",'Brouillard ventes'!$J$37="À crédit",'Brouillard ventes'!$J$37=""),0,'Brouillard ventes'!$I$37)</f>
        <v/>
      </c>
    </row>
    <row r="66">
      <c r="A66" s="22" t="inlineStr">
        <is>
          <t>1</t>
        </is>
      </c>
      <c r="B66" s="22">
        <f>IF(OR('Brouillard ventes'!$F$38="",'Brouillard ventes'!$J$38="À crédit",'Brouillard ventes'!$J$38=""),"","EC"&amp;TEXT(ROW('Brouillard ventes'!$F$38)-5,"00000"))</f>
        <v/>
      </c>
      <c r="C66" s="22">
        <f>IF(OR('Brouillard ventes'!$F$38="",'Brouillard ventes'!$J$38="À crédit",'Brouillard ventes'!$J$38=""),"",YEAR('Brouillard ventes'!$A$38)*10000+MONTH('Brouillard ventes'!$A$38)*100+DAY('Brouillard ventes'!$A$38))</f>
        <v/>
      </c>
      <c r="D66" s="22">
        <f>IF(OR('Brouillard ventes'!$F$38="",'Brouillard ventes'!$J$38="À crédit",'Brouillard ventes'!$J$38=""),"",'Brouillard ventes'!$B$38)</f>
        <v/>
      </c>
      <c r="E66" s="22">
        <f>IF(OR('Brouillard ventes'!$F$38="",'Brouillard ventes'!$J$38="À crédit",'Brouillard ventes'!$J$38=""),"","REGL "&amp;LEFT('Brouillard ventes'!$D$38,25))</f>
        <v/>
      </c>
      <c r="F66" s="22">
        <f>IF(OR('Brouillard ventes'!$F$38="",'Brouillard ventes'!$J$38="À crédit",'Brouillard ventes'!$J$38=""),"",IF('Brouillard ventes'!$J$38="Espèces","04001","02001"))</f>
        <v/>
      </c>
      <c r="G66" s="22">
        <f>IF(OR('Brouillard ventes'!$F$38="",'Brouillard ventes'!$J$38="À crédit",'Brouillard ventes'!$J$38=""),"",IF('Brouillard ventes'!$J$38="Espèces","53000","51220"))</f>
        <v/>
      </c>
      <c r="H66" s="22" t="inlineStr"/>
      <c r="I66" s="22" t="inlineStr"/>
      <c r="J66" s="22" t="inlineStr"/>
      <c r="K66" s="22">
        <f>IF(OR('Brouillard ventes'!$F$38="",'Brouillard ventes'!$J$38="À crédit",'Brouillard ventes'!$J$38=""),"",Paramètres!$B$11)</f>
        <v/>
      </c>
      <c r="L66" s="23">
        <f>IF(OR('Brouillard ventes'!$F$38="",'Brouillard ventes'!$J$38="À crédit",'Brouillard ventes'!$J$38=""),0,'Brouillard ventes'!$I$38)</f>
        <v/>
      </c>
      <c r="M66" s="23" t="n">
        <v>0</v>
      </c>
    </row>
    <row r="67">
      <c r="A67" s="22" t="inlineStr">
        <is>
          <t>1</t>
        </is>
      </c>
      <c r="B67" s="22">
        <f>IF(OR('Brouillard ventes'!$F$38="",'Brouillard ventes'!$J$38="À crédit",'Brouillard ventes'!$J$38=""),"","EC"&amp;TEXT(ROW('Brouillard ventes'!$F$38)-5,"00000"))</f>
        <v/>
      </c>
      <c r="C67" s="22">
        <f>IF(OR('Brouillard ventes'!$F$38="",'Brouillard ventes'!$J$38="À crédit",'Brouillard ventes'!$J$38=""),"",YEAR('Brouillard ventes'!$A$38)*10000+MONTH('Brouillard ventes'!$A$38)*100+DAY('Brouillard ventes'!$A$38))</f>
        <v/>
      </c>
      <c r="D67" s="22">
        <f>IF(OR('Brouillard ventes'!$F$38="",'Brouillard ventes'!$J$38="À crédit",'Brouillard ventes'!$J$38=""),"",'Brouillard ventes'!$B$38)</f>
        <v/>
      </c>
      <c r="E67" s="22">
        <f>IF(OR('Brouillard ventes'!$F$38="",'Brouillard ventes'!$J$38="À crédit",'Brouillard ventes'!$J$38=""),"","REGL "&amp;LEFT('Brouillard ventes'!$D$38,25))</f>
        <v/>
      </c>
      <c r="F67" s="22">
        <f>IF(OR('Brouillard ventes'!$F$38="",'Brouillard ventes'!$J$38="À crédit",'Brouillard ventes'!$J$38=""),"",IF('Brouillard ventes'!$J$38="Espèces","04001","02001"))</f>
        <v/>
      </c>
      <c r="G67" s="22">
        <f>IF(OR('Brouillard ventes'!$F$38="",'Brouillard ventes'!$J$38="À crédit",'Brouillard ventes'!$J$38=""),"",Paramètres!$B$7)</f>
        <v/>
      </c>
      <c r="H67" s="22">
        <f>IF(OR('Brouillard ventes'!$F$38="",'Brouillard ventes'!$J$38="À crédit",'Brouillard ventes'!$J$38=""),"",IF('Brouillard ventes'!$C$38="","CD001",'Brouillard ventes'!$C$38))</f>
        <v/>
      </c>
      <c r="I67" s="22" t="inlineStr"/>
      <c r="J67" s="22" t="inlineStr"/>
      <c r="K67" s="22">
        <f>IF(OR('Brouillard ventes'!$F$38="",'Brouillard ventes'!$J$38="À crédit",'Brouillard ventes'!$J$38=""),"",Paramètres!$B$11)</f>
        <v/>
      </c>
      <c r="L67" s="23" t="n">
        <v>0</v>
      </c>
      <c r="M67" s="23">
        <f>IF(OR('Brouillard ventes'!$F$38="",'Brouillard ventes'!$J$38="À crédit",'Brouillard ventes'!$J$38=""),0,'Brouillard ventes'!$I$38)</f>
        <v/>
      </c>
    </row>
    <row r="68">
      <c r="A68" s="22" t="inlineStr">
        <is>
          <t>1</t>
        </is>
      </c>
      <c r="B68" s="22">
        <f>IF(OR('Brouillard ventes'!$F$39="",'Brouillard ventes'!$J$39="À crédit",'Brouillard ventes'!$J$39=""),"","EC"&amp;TEXT(ROW('Brouillard ventes'!$F$39)-5,"00000"))</f>
        <v/>
      </c>
      <c r="C68" s="22">
        <f>IF(OR('Brouillard ventes'!$F$39="",'Brouillard ventes'!$J$39="À crédit",'Brouillard ventes'!$J$39=""),"",YEAR('Brouillard ventes'!$A$39)*10000+MONTH('Brouillard ventes'!$A$39)*100+DAY('Brouillard ventes'!$A$39))</f>
        <v/>
      </c>
      <c r="D68" s="22">
        <f>IF(OR('Brouillard ventes'!$F$39="",'Brouillard ventes'!$J$39="À crédit",'Brouillard ventes'!$J$39=""),"",'Brouillard ventes'!$B$39)</f>
        <v/>
      </c>
      <c r="E68" s="22">
        <f>IF(OR('Brouillard ventes'!$F$39="",'Brouillard ventes'!$J$39="À crédit",'Brouillard ventes'!$J$39=""),"","REGL "&amp;LEFT('Brouillard ventes'!$D$39,25))</f>
        <v/>
      </c>
      <c r="F68" s="22">
        <f>IF(OR('Brouillard ventes'!$F$39="",'Brouillard ventes'!$J$39="À crédit",'Brouillard ventes'!$J$39=""),"",IF('Brouillard ventes'!$J$39="Espèces","04001","02001"))</f>
        <v/>
      </c>
      <c r="G68" s="22">
        <f>IF(OR('Brouillard ventes'!$F$39="",'Brouillard ventes'!$J$39="À crédit",'Brouillard ventes'!$J$39=""),"",IF('Brouillard ventes'!$J$39="Espèces","53000","51220"))</f>
        <v/>
      </c>
      <c r="H68" s="22" t="inlineStr"/>
      <c r="I68" s="22" t="inlineStr"/>
      <c r="J68" s="22" t="inlineStr"/>
      <c r="K68" s="22">
        <f>IF(OR('Brouillard ventes'!$F$39="",'Brouillard ventes'!$J$39="À crédit",'Brouillard ventes'!$J$39=""),"",Paramètres!$B$11)</f>
        <v/>
      </c>
      <c r="L68" s="23">
        <f>IF(OR('Brouillard ventes'!$F$39="",'Brouillard ventes'!$J$39="À crédit",'Brouillard ventes'!$J$39=""),0,'Brouillard ventes'!$I$39)</f>
        <v/>
      </c>
      <c r="M68" s="23" t="n">
        <v>0</v>
      </c>
    </row>
    <row r="69">
      <c r="A69" s="22" t="inlineStr">
        <is>
          <t>1</t>
        </is>
      </c>
      <c r="B69" s="22">
        <f>IF(OR('Brouillard ventes'!$F$39="",'Brouillard ventes'!$J$39="À crédit",'Brouillard ventes'!$J$39=""),"","EC"&amp;TEXT(ROW('Brouillard ventes'!$F$39)-5,"00000"))</f>
        <v/>
      </c>
      <c r="C69" s="22">
        <f>IF(OR('Brouillard ventes'!$F$39="",'Brouillard ventes'!$J$39="À crédit",'Brouillard ventes'!$J$39=""),"",YEAR('Brouillard ventes'!$A$39)*10000+MONTH('Brouillard ventes'!$A$39)*100+DAY('Brouillard ventes'!$A$39))</f>
        <v/>
      </c>
      <c r="D69" s="22">
        <f>IF(OR('Brouillard ventes'!$F$39="",'Brouillard ventes'!$J$39="À crédit",'Brouillard ventes'!$J$39=""),"",'Brouillard ventes'!$B$39)</f>
        <v/>
      </c>
      <c r="E69" s="22">
        <f>IF(OR('Brouillard ventes'!$F$39="",'Brouillard ventes'!$J$39="À crédit",'Brouillard ventes'!$J$39=""),"","REGL "&amp;LEFT('Brouillard ventes'!$D$39,25))</f>
        <v/>
      </c>
      <c r="F69" s="22">
        <f>IF(OR('Brouillard ventes'!$F$39="",'Brouillard ventes'!$J$39="À crédit",'Brouillard ventes'!$J$39=""),"",IF('Brouillard ventes'!$J$39="Espèces","04001","02001"))</f>
        <v/>
      </c>
      <c r="G69" s="22">
        <f>IF(OR('Brouillard ventes'!$F$39="",'Brouillard ventes'!$J$39="À crédit",'Brouillard ventes'!$J$39=""),"",Paramètres!$B$7)</f>
        <v/>
      </c>
      <c r="H69" s="22">
        <f>IF(OR('Brouillard ventes'!$F$39="",'Brouillard ventes'!$J$39="À crédit",'Brouillard ventes'!$J$39=""),"",IF('Brouillard ventes'!$C$39="","CD001",'Brouillard ventes'!$C$39))</f>
        <v/>
      </c>
      <c r="I69" s="22" t="inlineStr"/>
      <c r="J69" s="22" t="inlineStr"/>
      <c r="K69" s="22">
        <f>IF(OR('Brouillard ventes'!$F$39="",'Brouillard ventes'!$J$39="À crédit",'Brouillard ventes'!$J$39=""),"",Paramètres!$B$11)</f>
        <v/>
      </c>
      <c r="L69" s="23" t="n">
        <v>0</v>
      </c>
      <c r="M69" s="23">
        <f>IF(OR('Brouillard ventes'!$F$39="",'Brouillard ventes'!$J$39="À crédit",'Brouillard ventes'!$J$39=""),0,'Brouillard ventes'!$I$39)</f>
        <v/>
      </c>
    </row>
    <row r="70">
      <c r="A70" s="22" t="inlineStr">
        <is>
          <t>1</t>
        </is>
      </c>
      <c r="B70" s="22">
        <f>IF(OR('Brouillard ventes'!$F$40="",'Brouillard ventes'!$J$40="À crédit",'Brouillard ventes'!$J$40=""),"","EC"&amp;TEXT(ROW('Brouillard ventes'!$F$40)-5,"00000"))</f>
        <v/>
      </c>
      <c r="C70" s="22">
        <f>IF(OR('Brouillard ventes'!$F$40="",'Brouillard ventes'!$J$40="À crédit",'Brouillard ventes'!$J$40=""),"",YEAR('Brouillard ventes'!$A$40)*10000+MONTH('Brouillard ventes'!$A$40)*100+DAY('Brouillard ventes'!$A$40))</f>
        <v/>
      </c>
      <c r="D70" s="22">
        <f>IF(OR('Brouillard ventes'!$F$40="",'Brouillard ventes'!$J$40="À crédit",'Brouillard ventes'!$J$40=""),"",'Brouillard ventes'!$B$40)</f>
        <v/>
      </c>
      <c r="E70" s="22">
        <f>IF(OR('Brouillard ventes'!$F$40="",'Brouillard ventes'!$J$40="À crédit",'Brouillard ventes'!$J$40=""),"","REGL "&amp;LEFT('Brouillard ventes'!$D$40,25))</f>
        <v/>
      </c>
      <c r="F70" s="22">
        <f>IF(OR('Brouillard ventes'!$F$40="",'Brouillard ventes'!$J$40="À crédit",'Brouillard ventes'!$J$40=""),"",IF('Brouillard ventes'!$J$40="Espèces","04001","02001"))</f>
        <v/>
      </c>
      <c r="G70" s="22">
        <f>IF(OR('Brouillard ventes'!$F$40="",'Brouillard ventes'!$J$40="À crédit",'Brouillard ventes'!$J$40=""),"",IF('Brouillard ventes'!$J$40="Espèces","53000","51220"))</f>
        <v/>
      </c>
      <c r="H70" s="22" t="inlineStr"/>
      <c r="I70" s="22" t="inlineStr"/>
      <c r="J70" s="22" t="inlineStr"/>
      <c r="K70" s="22">
        <f>IF(OR('Brouillard ventes'!$F$40="",'Brouillard ventes'!$J$40="À crédit",'Brouillard ventes'!$J$40=""),"",Paramètres!$B$11)</f>
        <v/>
      </c>
      <c r="L70" s="23">
        <f>IF(OR('Brouillard ventes'!$F$40="",'Brouillard ventes'!$J$40="À crédit",'Brouillard ventes'!$J$40=""),0,'Brouillard ventes'!$I$40)</f>
        <v/>
      </c>
      <c r="M70" s="23" t="n">
        <v>0</v>
      </c>
    </row>
    <row r="71">
      <c r="A71" s="22" t="inlineStr">
        <is>
          <t>1</t>
        </is>
      </c>
      <c r="B71" s="22">
        <f>IF(OR('Brouillard ventes'!$F$40="",'Brouillard ventes'!$J$40="À crédit",'Brouillard ventes'!$J$40=""),"","EC"&amp;TEXT(ROW('Brouillard ventes'!$F$40)-5,"00000"))</f>
        <v/>
      </c>
      <c r="C71" s="22">
        <f>IF(OR('Brouillard ventes'!$F$40="",'Brouillard ventes'!$J$40="À crédit",'Brouillard ventes'!$J$40=""),"",YEAR('Brouillard ventes'!$A$40)*10000+MONTH('Brouillard ventes'!$A$40)*100+DAY('Brouillard ventes'!$A$40))</f>
        <v/>
      </c>
      <c r="D71" s="22">
        <f>IF(OR('Brouillard ventes'!$F$40="",'Brouillard ventes'!$J$40="À crédit",'Brouillard ventes'!$J$40=""),"",'Brouillard ventes'!$B$40)</f>
        <v/>
      </c>
      <c r="E71" s="22">
        <f>IF(OR('Brouillard ventes'!$F$40="",'Brouillard ventes'!$J$40="À crédit",'Brouillard ventes'!$J$40=""),"","REGL "&amp;LEFT('Brouillard ventes'!$D$40,25))</f>
        <v/>
      </c>
      <c r="F71" s="22">
        <f>IF(OR('Brouillard ventes'!$F$40="",'Brouillard ventes'!$J$40="À crédit",'Brouillard ventes'!$J$40=""),"",IF('Brouillard ventes'!$J$40="Espèces","04001","02001"))</f>
        <v/>
      </c>
      <c r="G71" s="22">
        <f>IF(OR('Brouillard ventes'!$F$40="",'Brouillard ventes'!$J$40="À crédit",'Brouillard ventes'!$J$40=""),"",Paramètres!$B$7)</f>
        <v/>
      </c>
      <c r="H71" s="22">
        <f>IF(OR('Brouillard ventes'!$F$40="",'Brouillard ventes'!$J$40="À crédit",'Brouillard ventes'!$J$40=""),"",IF('Brouillard ventes'!$C$40="","CD001",'Brouillard ventes'!$C$40))</f>
        <v/>
      </c>
      <c r="I71" s="22" t="inlineStr"/>
      <c r="J71" s="22" t="inlineStr"/>
      <c r="K71" s="22">
        <f>IF(OR('Brouillard ventes'!$F$40="",'Brouillard ventes'!$J$40="À crédit",'Brouillard ventes'!$J$40=""),"",Paramètres!$B$11)</f>
        <v/>
      </c>
      <c r="L71" s="23" t="n">
        <v>0</v>
      </c>
      <c r="M71" s="23">
        <f>IF(OR('Brouillard ventes'!$F$40="",'Brouillard ventes'!$J$40="À crédit",'Brouillard ventes'!$J$40=""),0,'Brouillard ventes'!$I$40)</f>
        <v/>
      </c>
    </row>
    <row r="72">
      <c r="A72" s="22" t="inlineStr">
        <is>
          <t>1</t>
        </is>
      </c>
      <c r="B72" s="22">
        <f>IF(OR('Brouillard ventes'!$F$41="",'Brouillard ventes'!$J$41="À crédit",'Brouillard ventes'!$J$41=""),"","EC"&amp;TEXT(ROW('Brouillard ventes'!$F$41)-5,"00000"))</f>
        <v/>
      </c>
      <c r="C72" s="22">
        <f>IF(OR('Brouillard ventes'!$F$41="",'Brouillard ventes'!$J$41="À crédit",'Brouillard ventes'!$J$41=""),"",YEAR('Brouillard ventes'!$A$41)*10000+MONTH('Brouillard ventes'!$A$41)*100+DAY('Brouillard ventes'!$A$41))</f>
        <v/>
      </c>
      <c r="D72" s="22">
        <f>IF(OR('Brouillard ventes'!$F$41="",'Brouillard ventes'!$J$41="À crédit",'Brouillard ventes'!$J$41=""),"",'Brouillard ventes'!$B$41)</f>
        <v/>
      </c>
      <c r="E72" s="22">
        <f>IF(OR('Brouillard ventes'!$F$41="",'Brouillard ventes'!$J$41="À crédit",'Brouillard ventes'!$J$41=""),"","REGL "&amp;LEFT('Brouillard ventes'!$D$41,25))</f>
        <v/>
      </c>
      <c r="F72" s="22">
        <f>IF(OR('Brouillard ventes'!$F$41="",'Brouillard ventes'!$J$41="À crédit",'Brouillard ventes'!$J$41=""),"",IF('Brouillard ventes'!$J$41="Espèces","04001","02001"))</f>
        <v/>
      </c>
      <c r="G72" s="22">
        <f>IF(OR('Brouillard ventes'!$F$41="",'Brouillard ventes'!$J$41="À crédit",'Brouillard ventes'!$J$41=""),"",IF('Brouillard ventes'!$J$41="Espèces","53000","51220"))</f>
        <v/>
      </c>
      <c r="H72" s="22" t="inlineStr"/>
      <c r="I72" s="22" t="inlineStr"/>
      <c r="J72" s="22" t="inlineStr"/>
      <c r="K72" s="22">
        <f>IF(OR('Brouillard ventes'!$F$41="",'Brouillard ventes'!$J$41="À crédit",'Brouillard ventes'!$J$41=""),"",Paramètres!$B$11)</f>
        <v/>
      </c>
      <c r="L72" s="23">
        <f>IF(OR('Brouillard ventes'!$F$41="",'Brouillard ventes'!$J$41="À crédit",'Brouillard ventes'!$J$41=""),0,'Brouillard ventes'!$I$41)</f>
        <v/>
      </c>
      <c r="M72" s="23" t="n">
        <v>0</v>
      </c>
    </row>
    <row r="73">
      <c r="A73" s="22" t="inlineStr">
        <is>
          <t>1</t>
        </is>
      </c>
      <c r="B73" s="22">
        <f>IF(OR('Brouillard ventes'!$F$41="",'Brouillard ventes'!$J$41="À crédit",'Brouillard ventes'!$J$41=""),"","EC"&amp;TEXT(ROW('Brouillard ventes'!$F$41)-5,"00000"))</f>
        <v/>
      </c>
      <c r="C73" s="22">
        <f>IF(OR('Brouillard ventes'!$F$41="",'Brouillard ventes'!$J$41="À crédit",'Brouillard ventes'!$J$41=""),"",YEAR('Brouillard ventes'!$A$41)*10000+MONTH('Brouillard ventes'!$A$41)*100+DAY('Brouillard ventes'!$A$41))</f>
        <v/>
      </c>
      <c r="D73" s="22">
        <f>IF(OR('Brouillard ventes'!$F$41="",'Brouillard ventes'!$J$41="À crédit",'Brouillard ventes'!$J$41=""),"",'Brouillard ventes'!$B$41)</f>
        <v/>
      </c>
      <c r="E73" s="22">
        <f>IF(OR('Brouillard ventes'!$F$41="",'Brouillard ventes'!$J$41="À crédit",'Brouillard ventes'!$J$41=""),"","REGL "&amp;LEFT('Brouillard ventes'!$D$41,25))</f>
        <v/>
      </c>
      <c r="F73" s="22">
        <f>IF(OR('Brouillard ventes'!$F$41="",'Brouillard ventes'!$J$41="À crédit",'Brouillard ventes'!$J$41=""),"",IF('Brouillard ventes'!$J$41="Espèces","04001","02001"))</f>
        <v/>
      </c>
      <c r="G73" s="22">
        <f>IF(OR('Brouillard ventes'!$F$41="",'Brouillard ventes'!$J$41="À crédit",'Brouillard ventes'!$J$41=""),"",Paramètres!$B$7)</f>
        <v/>
      </c>
      <c r="H73" s="22">
        <f>IF(OR('Brouillard ventes'!$F$41="",'Brouillard ventes'!$J$41="À crédit",'Brouillard ventes'!$J$41=""),"",IF('Brouillard ventes'!$C$41="","CD001",'Brouillard ventes'!$C$41))</f>
        <v/>
      </c>
      <c r="I73" s="22" t="inlineStr"/>
      <c r="J73" s="22" t="inlineStr"/>
      <c r="K73" s="22">
        <f>IF(OR('Brouillard ventes'!$F$41="",'Brouillard ventes'!$J$41="À crédit",'Brouillard ventes'!$J$41=""),"",Paramètres!$B$11)</f>
        <v/>
      </c>
      <c r="L73" s="23" t="n">
        <v>0</v>
      </c>
      <c r="M73" s="23">
        <f>IF(OR('Brouillard ventes'!$F$41="",'Brouillard ventes'!$J$41="À crédit",'Brouillard ventes'!$J$41=""),0,'Brouillard ventes'!$I$41)</f>
        <v/>
      </c>
    </row>
    <row r="74">
      <c r="A74" s="22" t="inlineStr">
        <is>
          <t>1</t>
        </is>
      </c>
      <c r="B74" s="22">
        <f>IF(OR('Brouillard ventes'!$F$42="",'Brouillard ventes'!$J$42="À crédit",'Brouillard ventes'!$J$42=""),"","EC"&amp;TEXT(ROW('Brouillard ventes'!$F$42)-5,"00000"))</f>
        <v/>
      </c>
      <c r="C74" s="22">
        <f>IF(OR('Brouillard ventes'!$F$42="",'Brouillard ventes'!$J$42="À crédit",'Brouillard ventes'!$J$42=""),"",YEAR('Brouillard ventes'!$A$42)*10000+MONTH('Brouillard ventes'!$A$42)*100+DAY('Brouillard ventes'!$A$42))</f>
        <v/>
      </c>
      <c r="D74" s="22">
        <f>IF(OR('Brouillard ventes'!$F$42="",'Brouillard ventes'!$J$42="À crédit",'Brouillard ventes'!$J$42=""),"",'Brouillard ventes'!$B$42)</f>
        <v/>
      </c>
      <c r="E74" s="22">
        <f>IF(OR('Brouillard ventes'!$F$42="",'Brouillard ventes'!$J$42="À crédit",'Brouillard ventes'!$J$42=""),"","REGL "&amp;LEFT('Brouillard ventes'!$D$42,25))</f>
        <v/>
      </c>
      <c r="F74" s="22">
        <f>IF(OR('Brouillard ventes'!$F$42="",'Brouillard ventes'!$J$42="À crédit",'Brouillard ventes'!$J$42=""),"",IF('Brouillard ventes'!$J$42="Espèces","04001","02001"))</f>
        <v/>
      </c>
      <c r="G74" s="22">
        <f>IF(OR('Brouillard ventes'!$F$42="",'Brouillard ventes'!$J$42="À crédit",'Brouillard ventes'!$J$42=""),"",IF('Brouillard ventes'!$J$42="Espèces","53000","51220"))</f>
        <v/>
      </c>
      <c r="H74" s="22" t="inlineStr"/>
      <c r="I74" s="22" t="inlineStr"/>
      <c r="J74" s="22" t="inlineStr"/>
      <c r="K74" s="22">
        <f>IF(OR('Brouillard ventes'!$F$42="",'Brouillard ventes'!$J$42="À crédit",'Brouillard ventes'!$J$42=""),"",Paramètres!$B$11)</f>
        <v/>
      </c>
      <c r="L74" s="23">
        <f>IF(OR('Brouillard ventes'!$F$42="",'Brouillard ventes'!$J$42="À crédit",'Brouillard ventes'!$J$42=""),0,'Brouillard ventes'!$I$42)</f>
        <v/>
      </c>
      <c r="M74" s="23" t="n">
        <v>0</v>
      </c>
    </row>
    <row r="75">
      <c r="A75" s="22" t="inlineStr">
        <is>
          <t>1</t>
        </is>
      </c>
      <c r="B75" s="22">
        <f>IF(OR('Brouillard ventes'!$F$42="",'Brouillard ventes'!$J$42="À crédit",'Brouillard ventes'!$J$42=""),"","EC"&amp;TEXT(ROW('Brouillard ventes'!$F$42)-5,"00000"))</f>
        <v/>
      </c>
      <c r="C75" s="22">
        <f>IF(OR('Brouillard ventes'!$F$42="",'Brouillard ventes'!$J$42="À crédit",'Brouillard ventes'!$J$42=""),"",YEAR('Brouillard ventes'!$A$42)*10000+MONTH('Brouillard ventes'!$A$42)*100+DAY('Brouillard ventes'!$A$42))</f>
        <v/>
      </c>
      <c r="D75" s="22">
        <f>IF(OR('Brouillard ventes'!$F$42="",'Brouillard ventes'!$J$42="À crédit",'Brouillard ventes'!$J$42=""),"",'Brouillard ventes'!$B$42)</f>
        <v/>
      </c>
      <c r="E75" s="22">
        <f>IF(OR('Brouillard ventes'!$F$42="",'Brouillard ventes'!$J$42="À crédit",'Brouillard ventes'!$J$42=""),"","REGL "&amp;LEFT('Brouillard ventes'!$D$42,25))</f>
        <v/>
      </c>
      <c r="F75" s="22">
        <f>IF(OR('Brouillard ventes'!$F$42="",'Brouillard ventes'!$J$42="À crédit",'Brouillard ventes'!$J$42=""),"",IF('Brouillard ventes'!$J$42="Espèces","04001","02001"))</f>
        <v/>
      </c>
      <c r="G75" s="22">
        <f>IF(OR('Brouillard ventes'!$F$42="",'Brouillard ventes'!$J$42="À crédit",'Brouillard ventes'!$J$42=""),"",Paramètres!$B$7)</f>
        <v/>
      </c>
      <c r="H75" s="22">
        <f>IF(OR('Brouillard ventes'!$F$42="",'Brouillard ventes'!$J$42="À crédit",'Brouillard ventes'!$J$42=""),"",IF('Brouillard ventes'!$C$42="","CD001",'Brouillard ventes'!$C$42))</f>
        <v/>
      </c>
      <c r="I75" s="22" t="inlineStr"/>
      <c r="J75" s="22" t="inlineStr"/>
      <c r="K75" s="22">
        <f>IF(OR('Brouillard ventes'!$F$42="",'Brouillard ventes'!$J$42="À crédit",'Brouillard ventes'!$J$42=""),"",Paramètres!$B$11)</f>
        <v/>
      </c>
      <c r="L75" s="23" t="n">
        <v>0</v>
      </c>
      <c r="M75" s="23">
        <f>IF(OR('Brouillard ventes'!$F$42="",'Brouillard ventes'!$J$42="À crédit",'Brouillard ventes'!$J$42=""),0,'Brouillard ventes'!$I$42)</f>
        <v/>
      </c>
    </row>
    <row r="76">
      <c r="A76" s="22" t="inlineStr">
        <is>
          <t>1</t>
        </is>
      </c>
      <c r="B76" s="22">
        <f>IF(OR('Brouillard ventes'!$F$43="",'Brouillard ventes'!$J$43="À crédit",'Brouillard ventes'!$J$43=""),"","EC"&amp;TEXT(ROW('Brouillard ventes'!$F$43)-5,"00000"))</f>
        <v/>
      </c>
      <c r="C76" s="22">
        <f>IF(OR('Brouillard ventes'!$F$43="",'Brouillard ventes'!$J$43="À crédit",'Brouillard ventes'!$J$43=""),"",YEAR('Brouillard ventes'!$A$43)*10000+MONTH('Brouillard ventes'!$A$43)*100+DAY('Brouillard ventes'!$A$43))</f>
        <v/>
      </c>
      <c r="D76" s="22">
        <f>IF(OR('Brouillard ventes'!$F$43="",'Brouillard ventes'!$J$43="À crédit",'Brouillard ventes'!$J$43=""),"",'Brouillard ventes'!$B$43)</f>
        <v/>
      </c>
      <c r="E76" s="22">
        <f>IF(OR('Brouillard ventes'!$F$43="",'Brouillard ventes'!$J$43="À crédit",'Brouillard ventes'!$J$43=""),"","REGL "&amp;LEFT('Brouillard ventes'!$D$43,25))</f>
        <v/>
      </c>
      <c r="F76" s="22">
        <f>IF(OR('Brouillard ventes'!$F$43="",'Brouillard ventes'!$J$43="À crédit",'Brouillard ventes'!$J$43=""),"",IF('Brouillard ventes'!$J$43="Espèces","04001","02001"))</f>
        <v/>
      </c>
      <c r="G76" s="22">
        <f>IF(OR('Brouillard ventes'!$F$43="",'Brouillard ventes'!$J$43="À crédit",'Brouillard ventes'!$J$43=""),"",IF('Brouillard ventes'!$J$43="Espèces","53000","51220"))</f>
        <v/>
      </c>
      <c r="H76" s="22" t="inlineStr"/>
      <c r="I76" s="22" t="inlineStr"/>
      <c r="J76" s="22" t="inlineStr"/>
      <c r="K76" s="22">
        <f>IF(OR('Brouillard ventes'!$F$43="",'Brouillard ventes'!$J$43="À crédit",'Brouillard ventes'!$J$43=""),"",Paramètres!$B$11)</f>
        <v/>
      </c>
      <c r="L76" s="23">
        <f>IF(OR('Brouillard ventes'!$F$43="",'Brouillard ventes'!$J$43="À crédit",'Brouillard ventes'!$J$43=""),0,'Brouillard ventes'!$I$43)</f>
        <v/>
      </c>
      <c r="M76" s="23" t="n">
        <v>0</v>
      </c>
    </row>
    <row r="77">
      <c r="A77" s="22" t="inlineStr">
        <is>
          <t>1</t>
        </is>
      </c>
      <c r="B77" s="22">
        <f>IF(OR('Brouillard ventes'!$F$43="",'Brouillard ventes'!$J$43="À crédit",'Brouillard ventes'!$J$43=""),"","EC"&amp;TEXT(ROW('Brouillard ventes'!$F$43)-5,"00000"))</f>
        <v/>
      </c>
      <c r="C77" s="22">
        <f>IF(OR('Brouillard ventes'!$F$43="",'Brouillard ventes'!$J$43="À crédit",'Brouillard ventes'!$J$43=""),"",YEAR('Brouillard ventes'!$A$43)*10000+MONTH('Brouillard ventes'!$A$43)*100+DAY('Brouillard ventes'!$A$43))</f>
        <v/>
      </c>
      <c r="D77" s="22">
        <f>IF(OR('Brouillard ventes'!$F$43="",'Brouillard ventes'!$J$43="À crédit",'Brouillard ventes'!$J$43=""),"",'Brouillard ventes'!$B$43)</f>
        <v/>
      </c>
      <c r="E77" s="22">
        <f>IF(OR('Brouillard ventes'!$F$43="",'Brouillard ventes'!$J$43="À crédit",'Brouillard ventes'!$J$43=""),"","REGL "&amp;LEFT('Brouillard ventes'!$D$43,25))</f>
        <v/>
      </c>
      <c r="F77" s="22">
        <f>IF(OR('Brouillard ventes'!$F$43="",'Brouillard ventes'!$J$43="À crédit",'Brouillard ventes'!$J$43=""),"",IF('Brouillard ventes'!$J$43="Espèces","04001","02001"))</f>
        <v/>
      </c>
      <c r="G77" s="22">
        <f>IF(OR('Brouillard ventes'!$F$43="",'Brouillard ventes'!$J$43="À crédit",'Brouillard ventes'!$J$43=""),"",Paramètres!$B$7)</f>
        <v/>
      </c>
      <c r="H77" s="22">
        <f>IF(OR('Brouillard ventes'!$F$43="",'Brouillard ventes'!$J$43="À crédit",'Brouillard ventes'!$J$43=""),"",IF('Brouillard ventes'!$C$43="","CD001",'Brouillard ventes'!$C$43))</f>
        <v/>
      </c>
      <c r="I77" s="22" t="inlineStr"/>
      <c r="J77" s="22" t="inlineStr"/>
      <c r="K77" s="22">
        <f>IF(OR('Brouillard ventes'!$F$43="",'Brouillard ventes'!$J$43="À crédit",'Brouillard ventes'!$J$43=""),"",Paramètres!$B$11)</f>
        <v/>
      </c>
      <c r="L77" s="23" t="n">
        <v>0</v>
      </c>
      <c r="M77" s="23">
        <f>IF(OR('Brouillard ventes'!$F$43="",'Brouillard ventes'!$J$43="À crédit",'Brouillard ventes'!$J$43=""),0,'Brouillard ventes'!$I$43)</f>
        <v/>
      </c>
    </row>
    <row r="78">
      <c r="A78" s="22" t="inlineStr">
        <is>
          <t>1</t>
        </is>
      </c>
      <c r="B78" s="22">
        <f>IF(OR('Brouillard ventes'!$F$44="",'Brouillard ventes'!$J$44="À crédit",'Brouillard ventes'!$J$44=""),"","EC"&amp;TEXT(ROW('Brouillard ventes'!$F$44)-5,"00000"))</f>
        <v/>
      </c>
      <c r="C78" s="22">
        <f>IF(OR('Brouillard ventes'!$F$44="",'Brouillard ventes'!$J$44="À crédit",'Brouillard ventes'!$J$44=""),"",YEAR('Brouillard ventes'!$A$44)*10000+MONTH('Brouillard ventes'!$A$44)*100+DAY('Brouillard ventes'!$A$44))</f>
        <v/>
      </c>
      <c r="D78" s="22">
        <f>IF(OR('Brouillard ventes'!$F$44="",'Brouillard ventes'!$J$44="À crédit",'Brouillard ventes'!$J$44=""),"",'Brouillard ventes'!$B$44)</f>
        <v/>
      </c>
      <c r="E78" s="22">
        <f>IF(OR('Brouillard ventes'!$F$44="",'Brouillard ventes'!$J$44="À crédit",'Brouillard ventes'!$J$44=""),"","REGL "&amp;LEFT('Brouillard ventes'!$D$44,25))</f>
        <v/>
      </c>
      <c r="F78" s="22">
        <f>IF(OR('Brouillard ventes'!$F$44="",'Brouillard ventes'!$J$44="À crédit",'Brouillard ventes'!$J$44=""),"",IF('Brouillard ventes'!$J$44="Espèces","04001","02001"))</f>
        <v/>
      </c>
      <c r="G78" s="22">
        <f>IF(OR('Brouillard ventes'!$F$44="",'Brouillard ventes'!$J$44="À crédit",'Brouillard ventes'!$J$44=""),"",IF('Brouillard ventes'!$J$44="Espèces","53000","51220"))</f>
        <v/>
      </c>
      <c r="H78" s="22" t="inlineStr"/>
      <c r="I78" s="22" t="inlineStr"/>
      <c r="J78" s="22" t="inlineStr"/>
      <c r="K78" s="22">
        <f>IF(OR('Brouillard ventes'!$F$44="",'Brouillard ventes'!$J$44="À crédit",'Brouillard ventes'!$J$44=""),"",Paramètres!$B$11)</f>
        <v/>
      </c>
      <c r="L78" s="23">
        <f>IF(OR('Brouillard ventes'!$F$44="",'Brouillard ventes'!$J$44="À crédit",'Brouillard ventes'!$J$44=""),0,'Brouillard ventes'!$I$44)</f>
        <v/>
      </c>
      <c r="M78" s="23" t="n">
        <v>0</v>
      </c>
    </row>
    <row r="79">
      <c r="A79" s="22" t="inlineStr">
        <is>
          <t>1</t>
        </is>
      </c>
      <c r="B79" s="22">
        <f>IF(OR('Brouillard ventes'!$F$44="",'Brouillard ventes'!$J$44="À crédit",'Brouillard ventes'!$J$44=""),"","EC"&amp;TEXT(ROW('Brouillard ventes'!$F$44)-5,"00000"))</f>
        <v/>
      </c>
      <c r="C79" s="22">
        <f>IF(OR('Brouillard ventes'!$F$44="",'Brouillard ventes'!$J$44="À crédit",'Brouillard ventes'!$J$44=""),"",YEAR('Brouillard ventes'!$A$44)*10000+MONTH('Brouillard ventes'!$A$44)*100+DAY('Brouillard ventes'!$A$44))</f>
        <v/>
      </c>
      <c r="D79" s="22">
        <f>IF(OR('Brouillard ventes'!$F$44="",'Brouillard ventes'!$J$44="À crédit",'Brouillard ventes'!$J$44=""),"",'Brouillard ventes'!$B$44)</f>
        <v/>
      </c>
      <c r="E79" s="22">
        <f>IF(OR('Brouillard ventes'!$F$44="",'Brouillard ventes'!$J$44="À crédit",'Brouillard ventes'!$J$44=""),"","REGL "&amp;LEFT('Brouillard ventes'!$D$44,25))</f>
        <v/>
      </c>
      <c r="F79" s="22">
        <f>IF(OR('Brouillard ventes'!$F$44="",'Brouillard ventes'!$J$44="À crédit",'Brouillard ventes'!$J$44=""),"",IF('Brouillard ventes'!$J$44="Espèces","04001","02001"))</f>
        <v/>
      </c>
      <c r="G79" s="22">
        <f>IF(OR('Brouillard ventes'!$F$44="",'Brouillard ventes'!$J$44="À crédit",'Brouillard ventes'!$J$44=""),"",Paramètres!$B$7)</f>
        <v/>
      </c>
      <c r="H79" s="22">
        <f>IF(OR('Brouillard ventes'!$F$44="",'Brouillard ventes'!$J$44="À crédit",'Brouillard ventes'!$J$44=""),"",IF('Brouillard ventes'!$C$44="","CD001",'Brouillard ventes'!$C$44))</f>
        <v/>
      </c>
      <c r="I79" s="22" t="inlineStr"/>
      <c r="J79" s="22" t="inlineStr"/>
      <c r="K79" s="22">
        <f>IF(OR('Brouillard ventes'!$F$44="",'Brouillard ventes'!$J$44="À crédit",'Brouillard ventes'!$J$44=""),"",Paramètres!$B$11)</f>
        <v/>
      </c>
      <c r="L79" s="23" t="n">
        <v>0</v>
      </c>
      <c r="M79" s="23">
        <f>IF(OR('Brouillard ventes'!$F$44="",'Brouillard ventes'!$J$44="À crédit",'Brouillard ventes'!$J$44=""),0,'Brouillard ventes'!$I$44)</f>
        <v/>
      </c>
    </row>
    <row r="80">
      <c r="A80" s="22" t="inlineStr">
        <is>
          <t>1</t>
        </is>
      </c>
      <c r="B80" s="22">
        <f>IF(OR('Brouillard ventes'!$F$45="",'Brouillard ventes'!$J$45="À crédit",'Brouillard ventes'!$J$45=""),"","EC"&amp;TEXT(ROW('Brouillard ventes'!$F$45)-5,"00000"))</f>
        <v/>
      </c>
      <c r="C80" s="22">
        <f>IF(OR('Brouillard ventes'!$F$45="",'Brouillard ventes'!$J$45="À crédit",'Brouillard ventes'!$J$45=""),"",YEAR('Brouillard ventes'!$A$45)*10000+MONTH('Brouillard ventes'!$A$45)*100+DAY('Brouillard ventes'!$A$45))</f>
        <v/>
      </c>
      <c r="D80" s="22">
        <f>IF(OR('Brouillard ventes'!$F$45="",'Brouillard ventes'!$J$45="À crédit",'Brouillard ventes'!$J$45=""),"",'Brouillard ventes'!$B$45)</f>
        <v/>
      </c>
      <c r="E80" s="22">
        <f>IF(OR('Brouillard ventes'!$F$45="",'Brouillard ventes'!$J$45="À crédit",'Brouillard ventes'!$J$45=""),"","REGL "&amp;LEFT('Brouillard ventes'!$D$45,25))</f>
        <v/>
      </c>
      <c r="F80" s="22">
        <f>IF(OR('Brouillard ventes'!$F$45="",'Brouillard ventes'!$J$45="À crédit",'Brouillard ventes'!$J$45=""),"",IF('Brouillard ventes'!$J$45="Espèces","04001","02001"))</f>
        <v/>
      </c>
      <c r="G80" s="22">
        <f>IF(OR('Brouillard ventes'!$F$45="",'Brouillard ventes'!$J$45="À crédit",'Brouillard ventes'!$J$45=""),"",IF('Brouillard ventes'!$J$45="Espèces","53000","51220"))</f>
        <v/>
      </c>
      <c r="H80" s="22" t="inlineStr"/>
      <c r="I80" s="22" t="inlineStr"/>
      <c r="J80" s="22" t="inlineStr"/>
      <c r="K80" s="22">
        <f>IF(OR('Brouillard ventes'!$F$45="",'Brouillard ventes'!$J$45="À crédit",'Brouillard ventes'!$J$45=""),"",Paramètres!$B$11)</f>
        <v/>
      </c>
      <c r="L80" s="23">
        <f>IF(OR('Brouillard ventes'!$F$45="",'Brouillard ventes'!$J$45="À crédit",'Brouillard ventes'!$J$45=""),0,'Brouillard ventes'!$I$45)</f>
        <v/>
      </c>
      <c r="M80" s="23" t="n">
        <v>0</v>
      </c>
    </row>
    <row r="81">
      <c r="A81" s="22" t="inlineStr">
        <is>
          <t>1</t>
        </is>
      </c>
      <c r="B81" s="22">
        <f>IF(OR('Brouillard ventes'!$F$45="",'Brouillard ventes'!$J$45="À crédit",'Brouillard ventes'!$J$45=""),"","EC"&amp;TEXT(ROW('Brouillard ventes'!$F$45)-5,"00000"))</f>
        <v/>
      </c>
      <c r="C81" s="22">
        <f>IF(OR('Brouillard ventes'!$F$45="",'Brouillard ventes'!$J$45="À crédit",'Brouillard ventes'!$J$45=""),"",YEAR('Brouillard ventes'!$A$45)*10000+MONTH('Brouillard ventes'!$A$45)*100+DAY('Brouillard ventes'!$A$45))</f>
        <v/>
      </c>
      <c r="D81" s="22">
        <f>IF(OR('Brouillard ventes'!$F$45="",'Brouillard ventes'!$J$45="À crédit",'Brouillard ventes'!$J$45=""),"",'Brouillard ventes'!$B$45)</f>
        <v/>
      </c>
      <c r="E81" s="22">
        <f>IF(OR('Brouillard ventes'!$F$45="",'Brouillard ventes'!$J$45="À crédit",'Brouillard ventes'!$J$45=""),"","REGL "&amp;LEFT('Brouillard ventes'!$D$45,25))</f>
        <v/>
      </c>
      <c r="F81" s="22">
        <f>IF(OR('Brouillard ventes'!$F$45="",'Brouillard ventes'!$J$45="À crédit",'Brouillard ventes'!$J$45=""),"",IF('Brouillard ventes'!$J$45="Espèces","04001","02001"))</f>
        <v/>
      </c>
      <c r="G81" s="22">
        <f>IF(OR('Brouillard ventes'!$F$45="",'Brouillard ventes'!$J$45="À crédit",'Brouillard ventes'!$J$45=""),"",Paramètres!$B$7)</f>
        <v/>
      </c>
      <c r="H81" s="22">
        <f>IF(OR('Brouillard ventes'!$F$45="",'Brouillard ventes'!$J$45="À crédit",'Brouillard ventes'!$J$45=""),"",IF('Brouillard ventes'!$C$45="","CD001",'Brouillard ventes'!$C$45))</f>
        <v/>
      </c>
      <c r="I81" s="22" t="inlineStr"/>
      <c r="J81" s="22" t="inlineStr"/>
      <c r="K81" s="22">
        <f>IF(OR('Brouillard ventes'!$F$45="",'Brouillard ventes'!$J$45="À crédit",'Brouillard ventes'!$J$45=""),"",Paramètres!$B$11)</f>
        <v/>
      </c>
      <c r="L81" s="23" t="n">
        <v>0</v>
      </c>
      <c r="M81" s="23">
        <f>IF(OR('Brouillard ventes'!$F$45="",'Brouillard ventes'!$J$45="À crédit",'Brouillard ventes'!$J$45=""),0,'Brouillard ventes'!$I$45)</f>
        <v/>
      </c>
    </row>
    <row r="82">
      <c r="A82" s="22" t="inlineStr">
        <is>
          <t>1</t>
        </is>
      </c>
      <c r="B82" s="22">
        <f>IF(OR('Brouillard ventes'!$F$46="",'Brouillard ventes'!$J$46="À crédit",'Brouillard ventes'!$J$46=""),"","EC"&amp;TEXT(ROW('Brouillard ventes'!$F$46)-5,"00000"))</f>
        <v/>
      </c>
      <c r="C82" s="22">
        <f>IF(OR('Brouillard ventes'!$F$46="",'Brouillard ventes'!$J$46="À crédit",'Brouillard ventes'!$J$46=""),"",YEAR('Brouillard ventes'!$A$46)*10000+MONTH('Brouillard ventes'!$A$46)*100+DAY('Brouillard ventes'!$A$46))</f>
        <v/>
      </c>
      <c r="D82" s="22">
        <f>IF(OR('Brouillard ventes'!$F$46="",'Brouillard ventes'!$J$46="À crédit",'Brouillard ventes'!$J$46=""),"",'Brouillard ventes'!$B$46)</f>
        <v/>
      </c>
      <c r="E82" s="22">
        <f>IF(OR('Brouillard ventes'!$F$46="",'Brouillard ventes'!$J$46="À crédit",'Brouillard ventes'!$J$46=""),"","REGL "&amp;LEFT('Brouillard ventes'!$D$46,25))</f>
        <v/>
      </c>
      <c r="F82" s="22">
        <f>IF(OR('Brouillard ventes'!$F$46="",'Brouillard ventes'!$J$46="À crédit",'Brouillard ventes'!$J$46=""),"",IF('Brouillard ventes'!$J$46="Espèces","04001","02001"))</f>
        <v/>
      </c>
      <c r="G82" s="22">
        <f>IF(OR('Brouillard ventes'!$F$46="",'Brouillard ventes'!$J$46="À crédit",'Brouillard ventes'!$J$46=""),"",IF('Brouillard ventes'!$J$46="Espèces","53000","51220"))</f>
        <v/>
      </c>
      <c r="H82" s="22" t="inlineStr"/>
      <c r="I82" s="22" t="inlineStr"/>
      <c r="J82" s="22" t="inlineStr"/>
      <c r="K82" s="22">
        <f>IF(OR('Brouillard ventes'!$F$46="",'Brouillard ventes'!$J$46="À crédit",'Brouillard ventes'!$J$46=""),"",Paramètres!$B$11)</f>
        <v/>
      </c>
      <c r="L82" s="23">
        <f>IF(OR('Brouillard ventes'!$F$46="",'Brouillard ventes'!$J$46="À crédit",'Brouillard ventes'!$J$46=""),0,'Brouillard ventes'!$I$46)</f>
        <v/>
      </c>
      <c r="M82" s="23" t="n">
        <v>0</v>
      </c>
    </row>
    <row r="83">
      <c r="A83" s="22" t="inlineStr">
        <is>
          <t>1</t>
        </is>
      </c>
      <c r="B83" s="22">
        <f>IF(OR('Brouillard ventes'!$F$46="",'Brouillard ventes'!$J$46="À crédit",'Brouillard ventes'!$J$46=""),"","EC"&amp;TEXT(ROW('Brouillard ventes'!$F$46)-5,"00000"))</f>
        <v/>
      </c>
      <c r="C83" s="22">
        <f>IF(OR('Brouillard ventes'!$F$46="",'Brouillard ventes'!$J$46="À crédit",'Brouillard ventes'!$J$46=""),"",YEAR('Brouillard ventes'!$A$46)*10000+MONTH('Brouillard ventes'!$A$46)*100+DAY('Brouillard ventes'!$A$46))</f>
        <v/>
      </c>
      <c r="D83" s="22">
        <f>IF(OR('Brouillard ventes'!$F$46="",'Brouillard ventes'!$J$46="À crédit",'Brouillard ventes'!$J$46=""),"",'Brouillard ventes'!$B$46)</f>
        <v/>
      </c>
      <c r="E83" s="22">
        <f>IF(OR('Brouillard ventes'!$F$46="",'Brouillard ventes'!$J$46="À crédit",'Brouillard ventes'!$J$46=""),"","REGL "&amp;LEFT('Brouillard ventes'!$D$46,25))</f>
        <v/>
      </c>
      <c r="F83" s="22">
        <f>IF(OR('Brouillard ventes'!$F$46="",'Brouillard ventes'!$J$46="À crédit",'Brouillard ventes'!$J$46=""),"",IF('Brouillard ventes'!$J$46="Espèces","04001","02001"))</f>
        <v/>
      </c>
      <c r="G83" s="22">
        <f>IF(OR('Brouillard ventes'!$F$46="",'Brouillard ventes'!$J$46="À crédit",'Brouillard ventes'!$J$46=""),"",Paramètres!$B$7)</f>
        <v/>
      </c>
      <c r="H83" s="22">
        <f>IF(OR('Brouillard ventes'!$F$46="",'Brouillard ventes'!$J$46="À crédit",'Brouillard ventes'!$J$46=""),"",IF('Brouillard ventes'!$C$46="","CD001",'Brouillard ventes'!$C$46))</f>
        <v/>
      </c>
      <c r="I83" s="22" t="inlineStr"/>
      <c r="J83" s="22" t="inlineStr"/>
      <c r="K83" s="22">
        <f>IF(OR('Brouillard ventes'!$F$46="",'Brouillard ventes'!$J$46="À crédit",'Brouillard ventes'!$J$46=""),"",Paramètres!$B$11)</f>
        <v/>
      </c>
      <c r="L83" s="23" t="n">
        <v>0</v>
      </c>
      <c r="M83" s="23">
        <f>IF(OR('Brouillard ventes'!$F$46="",'Brouillard ventes'!$J$46="À crédit",'Brouillard ventes'!$J$46=""),0,'Brouillard ventes'!$I$46)</f>
        <v/>
      </c>
    </row>
    <row r="84">
      <c r="A84" s="22" t="inlineStr">
        <is>
          <t>1</t>
        </is>
      </c>
      <c r="B84" s="22">
        <f>IF(OR('Brouillard ventes'!$F$47="",'Brouillard ventes'!$J$47="À crédit",'Brouillard ventes'!$J$47=""),"","EC"&amp;TEXT(ROW('Brouillard ventes'!$F$47)-5,"00000"))</f>
        <v/>
      </c>
      <c r="C84" s="22">
        <f>IF(OR('Brouillard ventes'!$F$47="",'Brouillard ventes'!$J$47="À crédit",'Brouillard ventes'!$J$47=""),"",YEAR('Brouillard ventes'!$A$47)*10000+MONTH('Brouillard ventes'!$A$47)*100+DAY('Brouillard ventes'!$A$47))</f>
        <v/>
      </c>
      <c r="D84" s="22">
        <f>IF(OR('Brouillard ventes'!$F$47="",'Brouillard ventes'!$J$47="À crédit",'Brouillard ventes'!$J$47=""),"",'Brouillard ventes'!$B$47)</f>
        <v/>
      </c>
      <c r="E84" s="22">
        <f>IF(OR('Brouillard ventes'!$F$47="",'Brouillard ventes'!$J$47="À crédit",'Brouillard ventes'!$J$47=""),"","REGL "&amp;LEFT('Brouillard ventes'!$D$47,25))</f>
        <v/>
      </c>
      <c r="F84" s="22">
        <f>IF(OR('Brouillard ventes'!$F$47="",'Brouillard ventes'!$J$47="À crédit",'Brouillard ventes'!$J$47=""),"",IF('Brouillard ventes'!$J$47="Espèces","04001","02001"))</f>
        <v/>
      </c>
      <c r="G84" s="22">
        <f>IF(OR('Brouillard ventes'!$F$47="",'Brouillard ventes'!$J$47="À crédit",'Brouillard ventes'!$J$47=""),"",IF('Brouillard ventes'!$J$47="Espèces","53000","51220"))</f>
        <v/>
      </c>
      <c r="H84" s="22" t="inlineStr"/>
      <c r="I84" s="22" t="inlineStr"/>
      <c r="J84" s="22" t="inlineStr"/>
      <c r="K84" s="22">
        <f>IF(OR('Brouillard ventes'!$F$47="",'Brouillard ventes'!$J$47="À crédit",'Brouillard ventes'!$J$47=""),"",Paramètres!$B$11)</f>
        <v/>
      </c>
      <c r="L84" s="23">
        <f>IF(OR('Brouillard ventes'!$F$47="",'Brouillard ventes'!$J$47="À crédit",'Brouillard ventes'!$J$47=""),0,'Brouillard ventes'!$I$47)</f>
        <v/>
      </c>
      <c r="M84" s="23" t="n">
        <v>0</v>
      </c>
    </row>
    <row r="85">
      <c r="A85" s="22" t="inlineStr">
        <is>
          <t>1</t>
        </is>
      </c>
      <c r="B85" s="22">
        <f>IF(OR('Brouillard ventes'!$F$47="",'Brouillard ventes'!$J$47="À crédit",'Brouillard ventes'!$J$47=""),"","EC"&amp;TEXT(ROW('Brouillard ventes'!$F$47)-5,"00000"))</f>
        <v/>
      </c>
      <c r="C85" s="22">
        <f>IF(OR('Brouillard ventes'!$F$47="",'Brouillard ventes'!$J$47="À crédit",'Brouillard ventes'!$J$47=""),"",YEAR('Brouillard ventes'!$A$47)*10000+MONTH('Brouillard ventes'!$A$47)*100+DAY('Brouillard ventes'!$A$47))</f>
        <v/>
      </c>
      <c r="D85" s="22">
        <f>IF(OR('Brouillard ventes'!$F$47="",'Brouillard ventes'!$J$47="À crédit",'Brouillard ventes'!$J$47=""),"",'Brouillard ventes'!$B$47)</f>
        <v/>
      </c>
      <c r="E85" s="22">
        <f>IF(OR('Brouillard ventes'!$F$47="",'Brouillard ventes'!$J$47="À crédit",'Brouillard ventes'!$J$47=""),"","REGL "&amp;LEFT('Brouillard ventes'!$D$47,25))</f>
        <v/>
      </c>
      <c r="F85" s="22">
        <f>IF(OR('Brouillard ventes'!$F$47="",'Brouillard ventes'!$J$47="À crédit",'Brouillard ventes'!$J$47=""),"",IF('Brouillard ventes'!$J$47="Espèces","04001","02001"))</f>
        <v/>
      </c>
      <c r="G85" s="22">
        <f>IF(OR('Brouillard ventes'!$F$47="",'Brouillard ventes'!$J$47="À crédit",'Brouillard ventes'!$J$47=""),"",Paramètres!$B$7)</f>
        <v/>
      </c>
      <c r="H85" s="22">
        <f>IF(OR('Brouillard ventes'!$F$47="",'Brouillard ventes'!$J$47="À crédit",'Brouillard ventes'!$J$47=""),"",IF('Brouillard ventes'!$C$47="","CD001",'Brouillard ventes'!$C$47))</f>
        <v/>
      </c>
      <c r="I85" s="22" t="inlineStr"/>
      <c r="J85" s="22" t="inlineStr"/>
      <c r="K85" s="22">
        <f>IF(OR('Brouillard ventes'!$F$47="",'Brouillard ventes'!$J$47="À crédit",'Brouillard ventes'!$J$47=""),"",Paramètres!$B$11)</f>
        <v/>
      </c>
      <c r="L85" s="23" t="n">
        <v>0</v>
      </c>
      <c r="M85" s="23">
        <f>IF(OR('Brouillard ventes'!$F$47="",'Brouillard ventes'!$J$47="À crédit",'Brouillard ventes'!$J$47=""),0,'Brouillard ventes'!$I$47)</f>
        <v/>
      </c>
    </row>
    <row r="86">
      <c r="A86" s="22" t="inlineStr">
        <is>
          <t>1</t>
        </is>
      </c>
      <c r="B86" s="22">
        <f>IF(OR('Brouillard ventes'!$F$48="",'Brouillard ventes'!$J$48="À crédit",'Brouillard ventes'!$J$48=""),"","EC"&amp;TEXT(ROW('Brouillard ventes'!$F$48)-5,"00000"))</f>
        <v/>
      </c>
      <c r="C86" s="22">
        <f>IF(OR('Brouillard ventes'!$F$48="",'Brouillard ventes'!$J$48="À crédit",'Brouillard ventes'!$J$48=""),"",YEAR('Brouillard ventes'!$A$48)*10000+MONTH('Brouillard ventes'!$A$48)*100+DAY('Brouillard ventes'!$A$48))</f>
        <v/>
      </c>
      <c r="D86" s="22">
        <f>IF(OR('Brouillard ventes'!$F$48="",'Brouillard ventes'!$J$48="À crédit",'Brouillard ventes'!$J$48=""),"",'Brouillard ventes'!$B$48)</f>
        <v/>
      </c>
      <c r="E86" s="22">
        <f>IF(OR('Brouillard ventes'!$F$48="",'Brouillard ventes'!$J$48="À crédit",'Brouillard ventes'!$J$48=""),"","REGL "&amp;LEFT('Brouillard ventes'!$D$48,25))</f>
        <v/>
      </c>
      <c r="F86" s="22">
        <f>IF(OR('Brouillard ventes'!$F$48="",'Brouillard ventes'!$J$48="À crédit",'Brouillard ventes'!$J$48=""),"",IF('Brouillard ventes'!$J$48="Espèces","04001","02001"))</f>
        <v/>
      </c>
      <c r="G86" s="22">
        <f>IF(OR('Brouillard ventes'!$F$48="",'Brouillard ventes'!$J$48="À crédit",'Brouillard ventes'!$J$48=""),"",IF('Brouillard ventes'!$J$48="Espèces","53000","51220"))</f>
        <v/>
      </c>
      <c r="H86" s="22" t="inlineStr"/>
      <c r="I86" s="22" t="inlineStr"/>
      <c r="J86" s="22" t="inlineStr"/>
      <c r="K86" s="22">
        <f>IF(OR('Brouillard ventes'!$F$48="",'Brouillard ventes'!$J$48="À crédit",'Brouillard ventes'!$J$48=""),"",Paramètres!$B$11)</f>
        <v/>
      </c>
      <c r="L86" s="23">
        <f>IF(OR('Brouillard ventes'!$F$48="",'Brouillard ventes'!$J$48="À crédit",'Brouillard ventes'!$J$48=""),0,'Brouillard ventes'!$I$48)</f>
        <v/>
      </c>
      <c r="M86" s="23" t="n">
        <v>0</v>
      </c>
    </row>
    <row r="87">
      <c r="A87" s="22" t="inlineStr">
        <is>
          <t>1</t>
        </is>
      </c>
      <c r="B87" s="22">
        <f>IF(OR('Brouillard ventes'!$F$48="",'Brouillard ventes'!$J$48="À crédit",'Brouillard ventes'!$J$48=""),"","EC"&amp;TEXT(ROW('Brouillard ventes'!$F$48)-5,"00000"))</f>
        <v/>
      </c>
      <c r="C87" s="22">
        <f>IF(OR('Brouillard ventes'!$F$48="",'Brouillard ventes'!$J$48="À crédit",'Brouillard ventes'!$J$48=""),"",YEAR('Brouillard ventes'!$A$48)*10000+MONTH('Brouillard ventes'!$A$48)*100+DAY('Brouillard ventes'!$A$48))</f>
        <v/>
      </c>
      <c r="D87" s="22">
        <f>IF(OR('Brouillard ventes'!$F$48="",'Brouillard ventes'!$J$48="À crédit",'Brouillard ventes'!$J$48=""),"",'Brouillard ventes'!$B$48)</f>
        <v/>
      </c>
      <c r="E87" s="22">
        <f>IF(OR('Brouillard ventes'!$F$48="",'Brouillard ventes'!$J$48="À crédit",'Brouillard ventes'!$J$48=""),"","REGL "&amp;LEFT('Brouillard ventes'!$D$48,25))</f>
        <v/>
      </c>
      <c r="F87" s="22">
        <f>IF(OR('Brouillard ventes'!$F$48="",'Brouillard ventes'!$J$48="À crédit",'Brouillard ventes'!$J$48=""),"",IF('Brouillard ventes'!$J$48="Espèces","04001","02001"))</f>
        <v/>
      </c>
      <c r="G87" s="22">
        <f>IF(OR('Brouillard ventes'!$F$48="",'Brouillard ventes'!$J$48="À crédit",'Brouillard ventes'!$J$48=""),"",Paramètres!$B$7)</f>
        <v/>
      </c>
      <c r="H87" s="22">
        <f>IF(OR('Brouillard ventes'!$F$48="",'Brouillard ventes'!$J$48="À crédit",'Brouillard ventes'!$J$48=""),"",IF('Brouillard ventes'!$C$48="","CD001",'Brouillard ventes'!$C$48))</f>
        <v/>
      </c>
      <c r="I87" s="22" t="inlineStr"/>
      <c r="J87" s="22" t="inlineStr"/>
      <c r="K87" s="22">
        <f>IF(OR('Brouillard ventes'!$F$48="",'Brouillard ventes'!$J$48="À crédit",'Brouillard ventes'!$J$48=""),"",Paramètres!$B$11)</f>
        <v/>
      </c>
      <c r="L87" s="23" t="n">
        <v>0</v>
      </c>
      <c r="M87" s="23">
        <f>IF(OR('Brouillard ventes'!$F$48="",'Brouillard ventes'!$J$48="À crédit",'Brouillard ventes'!$J$48=""),0,'Brouillard ventes'!$I$48)</f>
        <v/>
      </c>
    </row>
    <row r="88">
      <c r="A88" s="22" t="inlineStr">
        <is>
          <t>1</t>
        </is>
      </c>
      <c r="B88" s="22">
        <f>IF(OR('Brouillard ventes'!$F$49="",'Brouillard ventes'!$J$49="À crédit",'Brouillard ventes'!$J$49=""),"","EC"&amp;TEXT(ROW('Brouillard ventes'!$F$49)-5,"00000"))</f>
        <v/>
      </c>
      <c r="C88" s="22">
        <f>IF(OR('Brouillard ventes'!$F$49="",'Brouillard ventes'!$J$49="À crédit",'Brouillard ventes'!$J$49=""),"",YEAR('Brouillard ventes'!$A$49)*10000+MONTH('Brouillard ventes'!$A$49)*100+DAY('Brouillard ventes'!$A$49))</f>
        <v/>
      </c>
      <c r="D88" s="22">
        <f>IF(OR('Brouillard ventes'!$F$49="",'Brouillard ventes'!$J$49="À crédit",'Brouillard ventes'!$J$49=""),"",'Brouillard ventes'!$B$49)</f>
        <v/>
      </c>
      <c r="E88" s="22">
        <f>IF(OR('Brouillard ventes'!$F$49="",'Brouillard ventes'!$J$49="À crédit",'Brouillard ventes'!$J$49=""),"","REGL "&amp;LEFT('Brouillard ventes'!$D$49,25))</f>
        <v/>
      </c>
      <c r="F88" s="22">
        <f>IF(OR('Brouillard ventes'!$F$49="",'Brouillard ventes'!$J$49="À crédit",'Brouillard ventes'!$J$49=""),"",IF('Brouillard ventes'!$J$49="Espèces","04001","02001"))</f>
        <v/>
      </c>
      <c r="G88" s="22">
        <f>IF(OR('Brouillard ventes'!$F$49="",'Brouillard ventes'!$J$49="À crédit",'Brouillard ventes'!$J$49=""),"",IF('Brouillard ventes'!$J$49="Espèces","53000","51220"))</f>
        <v/>
      </c>
      <c r="H88" s="22" t="inlineStr"/>
      <c r="I88" s="22" t="inlineStr"/>
      <c r="J88" s="22" t="inlineStr"/>
      <c r="K88" s="22">
        <f>IF(OR('Brouillard ventes'!$F$49="",'Brouillard ventes'!$J$49="À crédit",'Brouillard ventes'!$J$49=""),"",Paramètres!$B$11)</f>
        <v/>
      </c>
      <c r="L88" s="23">
        <f>IF(OR('Brouillard ventes'!$F$49="",'Brouillard ventes'!$J$49="À crédit",'Brouillard ventes'!$J$49=""),0,'Brouillard ventes'!$I$49)</f>
        <v/>
      </c>
      <c r="M88" s="23" t="n">
        <v>0</v>
      </c>
    </row>
    <row r="89">
      <c r="A89" s="22" t="inlineStr">
        <is>
          <t>1</t>
        </is>
      </c>
      <c r="B89" s="22">
        <f>IF(OR('Brouillard ventes'!$F$49="",'Brouillard ventes'!$J$49="À crédit",'Brouillard ventes'!$J$49=""),"","EC"&amp;TEXT(ROW('Brouillard ventes'!$F$49)-5,"00000"))</f>
        <v/>
      </c>
      <c r="C89" s="22">
        <f>IF(OR('Brouillard ventes'!$F$49="",'Brouillard ventes'!$J$49="À crédit",'Brouillard ventes'!$J$49=""),"",YEAR('Brouillard ventes'!$A$49)*10000+MONTH('Brouillard ventes'!$A$49)*100+DAY('Brouillard ventes'!$A$49))</f>
        <v/>
      </c>
      <c r="D89" s="22">
        <f>IF(OR('Brouillard ventes'!$F$49="",'Brouillard ventes'!$J$49="À crédit",'Brouillard ventes'!$J$49=""),"",'Brouillard ventes'!$B$49)</f>
        <v/>
      </c>
      <c r="E89" s="22">
        <f>IF(OR('Brouillard ventes'!$F$49="",'Brouillard ventes'!$J$49="À crédit",'Brouillard ventes'!$J$49=""),"","REGL "&amp;LEFT('Brouillard ventes'!$D$49,25))</f>
        <v/>
      </c>
      <c r="F89" s="22">
        <f>IF(OR('Brouillard ventes'!$F$49="",'Brouillard ventes'!$J$49="À crédit",'Brouillard ventes'!$J$49=""),"",IF('Brouillard ventes'!$J$49="Espèces","04001","02001"))</f>
        <v/>
      </c>
      <c r="G89" s="22">
        <f>IF(OR('Brouillard ventes'!$F$49="",'Brouillard ventes'!$J$49="À crédit",'Brouillard ventes'!$J$49=""),"",Paramètres!$B$7)</f>
        <v/>
      </c>
      <c r="H89" s="22">
        <f>IF(OR('Brouillard ventes'!$F$49="",'Brouillard ventes'!$J$49="À crédit",'Brouillard ventes'!$J$49=""),"",IF('Brouillard ventes'!$C$49="","CD001",'Brouillard ventes'!$C$49))</f>
        <v/>
      </c>
      <c r="I89" s="22" t="inlineStr"/>
      <c r="J89" s="22" t="inlineStr"/>
      <c r="K89" s="22">
        <f>IF(OR('Brouillard ventes'!$F$49="",'Brouillard ventes'!$J$49="À crédit",'Brouillard ventes'!$J$49=""),"",Paramètres!$B$11)</f>
        <v/>
      </c>
      <c r="L89" s="23" t="n">
        <v>0</v>
      </c>
      <c r="M89" s="23">
        <f>IF(OR('Brouillard ventes'!$F$49="",'Brouillard ventes'!$J$49="À crédit",'Brouillard ventes'!$J$49=""),0,'Brouillard ventes'!$I$49)</f>
        <v/>
      </c>
    </row>
    <row r="90">
      <c r="A90" s="22" t="inlineStr">
        <is>
          <t>1</t>
        </is>
      </c>
      <c r="B90" s="22">
        <f>IF(OR('Brouillard ventes'!$F$50="",'Brouillard ventes'!$J$50="À crédit",'Brouillard ventes'!$J$50=""),"","EC"&amp;TEXT(ROW('Brouillard ventes'!$F$50)-5,"00000"))</f>
        <v/>
      </c>
      <c r="C90" s="22">
        <f>IF(OR('Brouillard ventes'!$F$50="",'Brouillard ventes'!$J$50="À crédit",'Brouillard ventes'!$J$50=""),"",YEAR('Brouillard ventes'!$A$50)*10000+MONTH('Brouillard ventes'!$A$50)*100+DAY('Brouillard ventes'!$A$50))</f>
        <v/>
      </c>
      <c r="D90" s="22">
        <f>IF(OR('Brouillard ventes'!$F$50="",'Brouillard ventes'!$J$50="À crédit",'Brouillard ventes'!$J$50=""),"",'Brouillard ventes'!$B$50)</f>
        <v/>
      </c>
      <c r="E90" s="22">
        <f>IF(OR('Brouillard ventes'!$F$50="",'Brouillard ventes'!$J$50="À crédit",'Brouillard ventes'!$J$50=""),"","REGL "&amp;LEFT('Brouillard ventes'!$D$50,25))</f>
        <v/>
      </c>
      <c r="F90" s="22">
        <f>IF(OR('Brouillard ventes'!$F$50="",'Brouillard ventes'!$J$50="À crédit",'Brouillard ventes'!$J$50=""),"",IF('Brouillard ventes'!$J$50="Espèces","04001","02001"))</f>
        <v/>
      </c>
      <c r="G90" s="22">
        <f>IF(OR('Brouillard ventes'!$F$50="",'Brouillard ventes'!$J$50="À crédit",'Brouillard ventes'!$J$50=""),"",IF('Brouillard ventes'!$J$50="Espèces","53000","51220"))</f>
        <v/>
      </c>
      <c r="H90" s="22" t="inlineStr"/>
      <c r="I90" s="22" t="inlineStr"/>
      <c r="J90" s="22" t="inlineStr"/>
      <c r="K90" s="22">
        <f>IF(OR('Brouillard ventes'!$F$50="",'Brouillard ventes'!$J$50="À crédit",'Brouillard ventes'!$J$50=""),"",Paramètres!$B$11)</f>
        <v/>
      </c>
      <c r="L90" s="23">
        <f>IF(OR('Brouillard ventes'!$F$50="",'Brouillard ventes'!$J$50="À crédit",'Brouillard ventes'!$J$50=""),0,'Brouillard ventes'!$I$50)</f>
        <v/>
      </c>
      <c r="M90" s="23" t="n">
        <v>0</v>
      </c>
    </row>
    <row r="91">
      <c r="A91" s="22" t="inlineStr">
        <is>
          <t>1</t>
        </is>
      </c>
      <c r="B91" s="22">
        <f>IF(OR('Brouillard ventes'!$F$50="",'Brouillard ventes'!$J$50="À crédit",'Brouillard ventes'!$J$50=""),"","EC"&amp;TEXT(ROW('Brouillard ventes'!$F$50)-5,"00000"))</f>
        <v/>
      </c>
      <c r="C91" s="22">
        <f>IF(OR('Brouillard ventes'!$F$50="",'Brouillard ventes'!$J$50="À crédit",'Brouillard ventes'!$J$50=""),"",YEAR('Brouillard ventes'!$A$50)*10000+MONTH('Brouillard ventes'!$A$50)*100+DAY('Brouillard ventes'!$A$50))</f>
        <v/>
      </c>
      <c r="D91" s="22">
        <f>IF(OR('Brouillard ventes'!$F$50="",'Brouillard ventes'!$J$50="À crédit",'Brouillard ventes'!$J$50=""),"",'Brouillard ventes'!$B$50)</f>
        <v/>
      </c>
      <c r="E91" s="22">
        <f>IF(OR('Brouillard ventes'!$F$50="",'Brouillard ventes'!$J$50="À crédit",'Brouillard ventes'!$J$50=""),"","REGL "&amp;LEFT('Brouillard ventes'!$D$50,25))</f>
        <v/>
      </c>
      <c r="F91" s="22">
        <f>IF(OR('Brouillard ventes'!$F$50="",'Brouillard ventes'!$J$50="À crédit",'Brouillard ventes'!$J$50=""),"",IF('Brouillard ventes'!$J$50="Espèces","04001","02001"))</f>
        <v/>
      </c>
      <c r="G91" s="22">
        <f>IF(OR('Brouillard ventes'!$F$50="",'Brouillard ventes'!$J$50="À crédit",'Brouillard ventes'!$J$50=""),"",Paramètres!$B$7)</f>
        <v/>
      </c>
      <c r="H91" s="22">
        <f>IF(OR('Brouillard ventes'!$F$50="",'Brouillard ventes'!$J$50="À crédit",'Brouillard ventes'!$J$50=""),"",IF('Brouillard ventes'!$C$50="","CD001",'Brouillard ventes'!$C$50))</f>
        <v/>
      </c>
      <c r="I91" s="22" t="inlineStr"/>
      <c r="J91" s="22" t="inlineStr"/>
      <c r="K91" s="22">
        <f>IF(OR('Brouillard ventes'!$F$50="",'Brouillard ventes'!$J$50="À crédit",'Brouillard ventes'!$J$50=""),"",Paramètres!$B$11)</f>
        <v/>
      </c>
      <c r="L91" s="23" t="n">
        <v>0</v>
      </c>
      <c r="M91" s="23">
        <f>IF(OR('Brouillard ventes'!$F$50="",'Brouillard ventes'!$J$50="À crédit",'Brouillard ventes'!$J$50=""),0,'Brouillard ventes'!$I$50)</f>
        <v/>
      </c>
    </row>
    <row r="92">
      <c r="A92" s="22" t="inlineStr">
        <is>
          <t>1</t>
        </is>
      </c>
      <c r="B92" s="22">
        <f>IF(OR('Brouillard ventes'!$F$51="",'Brouillard ventes'!$J$51="À crédit",'Brouillard ventes'!$J$51=""),"","EC"&amp;TEXT(ROW('Brouillard ventes'!$F$51)-5,"00000"))</f>
        <v/>
      </c>
      <c r="C92" s="22">
        <f>IF(OR('Brouillard ventes'!$F$51="",'Brouillard ventes'!$J$51="À crédit",'Brouillard ventes'!$J$51=""),"",YEAR('Brouillard ventes'!$A$51)*10000+MONTH('Brouillard ventes'!$A$51)*100+DAY('Brouillard ventes'!$A$51))</f>
        <v/>
      </c>
      <c r="D92" s="22">
        <f>IF(OR('Brouillard ventes'!$F$51="",'Brouillard ventes'!$J$51="À crédit",'Brouillard ventes'!$J$51=""),"",'Brouillard ventes'!$B$51)</f>
        <v/>
      </c>
      <c r="E92" s="22">
        <f>IF(OR('Brouillard ventes'!$F$51="",'Brouillard ventes'!$J$51="À crédit",'Brouillard ventes'!$J$51=""),"","REGL "&amp;LEFT('Brouillard ventes'!$D$51,25))</f>
        <v/>
      </c>
      <c r="F92" s="22">
        <f>IF(OR('Brouillard ventes'!$F$51="",'Brouillard ventes'!$J$51="À crédit",'Brouillard ventes'!$J$51=""),"",IF('Brouillard ventes'!$J$51="Espèces","04001","02001"))</f>
        <v/>
      </c>
      <c r="G92" s="22">
        <f>IF(OR('Brouillard ventes'!$F$51="",'Brouillard ventes'!$J$51="À crédit",'Brouillard ventes'!$J$51=""),"",IF('Brouillard ventes'!$J$51="Espèces","53000","51220"))</f>
        <v/>
      </c>
      <c r="H92" s="22" t="inlineStr"/>
      <c r="I92" s="22" t="inlineStr"/>
      <c r="J92" s="22" t="inlineStr"/>
      <c r="K92" s="22">
        <f>IF(OR('Brouillard ventes'!$F$51="",'Brouillard ventes'!$J$51="À crédit",'Brouillard ventes'!$J$51=""),"",Paramètres!$B$11)</f>
        <v/>
      </c>
      <c r="L92" s="23">
        <f>IF(OR('Brouillard ventes'!$F$51="",'Brouillard ventes'!$J$51="À crédit",'Brouillard ventes'!$J$51=""),0,'Brouillard ventes'!$I$51)</f>
        <v/>
      </c>
      <c r="M92" s="23" t="n">
        <v>0</v>
      </c>
    </row>
    <row r="93">
      <c r="A93" s="22" t="inlineStr">
        <is>
          <t>1</t>
        </is>
      </c>
      <c r="B93" s="22">
        <f>IF(OR('Brouillard ventes'!$F$51="",'Brouillard ventes'!$J$51="À crédit",'Brouillard ventes'!$J$51=""),"","EC"&amp;TEXT(ROW('Brouillard ventes'!$F$51)-5,"00000"))</f>
        <v/>
      </c>
      <c r="C93" s="22">
        <f>IF(OR('Brouillard ventes'!$F$51="",'Brouillard ventes'!$J$51="À crédit",'Brouillard ventes'!$J$51=""),"",YEAR('Brouillard ventes'!$A$51)*10000+MONTH('Brouillard ventes'!$A$51)*100+DAY('Brouillard ventes'!$A$51))</f>
        <v/>
      </c>
      <c r="D93" s="22">
        <f>IF(OR('Brouillard ventes'!$F$51="",'Brouillard ventes'!$J$51="À crédit",'Brouillard ventes'!$J$51=""),"",'Brouillard ventes'!$B$51)</f>
        <v/>
      </c>
      <c r="E93" s="22">
        <f>IF(OR('Brouillard ventes'!$F$51="",'Brouillard ventes'!$J$51="À crédit",'Brouillard ventes'!$J$51=""),"","REGL "&amp;LEFT('Brouillard ventes'!$D$51,25))</f>
        <v/>
      </c>
      <c r="F93" s="22">
        <f>IF(OR('Brouillard ventes'!$F$51="",'Brouillard ventes'!$J$51="À crédit",'Brouillard ventes'!$J$51=""),"",IF('Brouillard ventes'!$J$51="Espèces","04001","02001"))</f>
        <v/>
      </c>
      <c r="G93" s="22">
        <f>IF(OR('Brouillard ventes'!$F$51="",'Brouillard ventes'!$J$51="À crédit",'Brouillard ventes'!$J$51=""),"",Paramètres!$B$7)</f>
        <v/>
      </c>
      <c r="H93" s="22">
        <f>IF(OR('Brouillard ventes'!$F$51="",'Brouillard ventes'!$J$51="À crédit",'Brouillard ventes'!$J$51=""),"",IF('Brouillard ventes'!$C$51="","CD001",'Brouillard ventes'!$C$51))</f>
        <v/>
      </c>
      <c r="I93" s="22" t="inlineStr"/>
      <c r="J93" s="22" t="inlineStr"/>
      <c r="K93" s="22">
        <f>IF(OR('Brouillard ventes'!$F$51="",'Brouillard ventes'!$J$51="À crédit",'Brouillard ventes'!$J$51=""),"",Paramètres!$B$11)</f>
        <v/>
      </c>
      <c r="L93" s="23" t="n">
        <v>0</v>
      </c>
      <c r="M93" s="23">
        <f>IF(OR('Brouillard ventes'!$F$51="",'Brouillard ventes'!$J$51="À crédit",'Brouillard ventes'!$J$51=""),0,'Brouillard ventes'!$I$51)</f>
        <v/>
      </c>
    </row>
    <row r="94">
      <c r="A94" s="22" t="inlineStr">
        <is>
          <t>1</t>
        </is>
      </c>
      <c r="B94" s="22">
        <f>IF(OR('Brouillard ventes'!$F$52="",'Brouillard ventes'!$J$52="À crédit",'Brouillard ventes'!$J$52=""),"","EC"&amp;TEXT(ROW('Brouillard ventes'!$F$52)-5,"00000"))</f>
        <v/>
      </c>
      <c r="C94" s="22">
        <f>IF(OR('Brouillard ventes'!$F$52="",'Brouillard ventes'!$J$52="À crédit",'Brouillard ventes'!$J$52=""),"",YEAR('Brouillard ventes'!$A$52)*10000+MONTH('Brouillard ventes'!$A$52)*100+DAY('Brouillard ventes'!$A$52))</f>
        <v/>
      </c>
      <c r="D94" s="22">
        <f>IF(OR('Brouillard ventes'!$F$52="",'Brouillard ventes'!$J$52="À crédit",'Brouillard ventes'!$J$52=""),"",'Brouillard ventes'!$B$52)</f>
        <v/>
      </c>
      <c r="E94" s="22">
        <f>IF(OR('Brouillard ventes'!$F$52="",'Brouillard ventes'!$J$52="À crédit",'Brouillard ventes'!$J$52=""),"","REGL "&amp;LEFT('Brouillard ventes'!$D$52,25))</f>
        <v/>
      </c>
      <c r="F94" s="22">
        <f>IF(OR('Brouillard ventes'!$F$52="",'Brouillard ventes'!$J$52="À crédit",'Brouillard ventes'!$J$52=""),"",IF('Brouillard ventes'!$J$52="Espèces","04001","02001"))</f>
        <v/>
      </c>
      <c r="G94" s="22">
        <f>IF(OR('Brouillard ventes'!$F$52="",'Brouillard ventes'!$J$52="À crédit",'Brouillard ventes'!$J$52=""),"",IF('Brouillard ventes'!$J$52="Espèces","53000","51220"))</f>
        <v/>
      </c>
      <c r="H94" s="22" t="inlineStr"/>
      <c r="I94" s="22" t="inlineStr"/>
      <c r="J94" s="22" t="inlineStr"/>
      <c r="K94" s="22">
        <f>IF(OR('Brouillard ventes'!$F$52="",'Brouillard ventes'!$J$52="À crédit",'Brouillard ventes'!$J$52=""),"",Paramètres!$B$11)</f>
        <v/>
      </c>
      <c r="L94" s="23">
        <f>IF(OR('Brouillard ventes'!$F$52="",'Brouillard ventes'!$J$52="À crédit",'Brouillard ventes'!$J$52=""),0,'Brouillard ventes'!$I$52)</f>
        <v/>
      </c>
      <c r="M94" s="23" t="n">
        <v>0</v>
      </c>
    </row>
    <row r="95">
      <c r="A95" s="22" t="inlineStr">
        <is>
          <t>1</t>
        </is>
      </c>
      <c r="B95" s="22">
        <f>IF(OR('Brouillard ventes'!$F$52="",'Brouillard ventes'!$J$52="À crédit",'Brouillard ventes'!$J$52=""),"","EC"&amp;TEXT(ROW('Brouillard ventes'!$F$52)-5,"00000"))</f>
        <v/>
      </c>
      <c r="C95" s="22">
        <f>IF(OR('Brouillard ventes'!$F$52="",'Brouillard ventes'!$J$52="À crédit",'Brouillard ventes'!$J$52=""),"",YEAR('Brouillard ventes'!$A$52)*10000+MONTH('Brouillard ventes'!$A$52)*100+DAY('Brouillard ventes'!$A$52))</f>
        <v/>
      </c>
      <c r="D95" s="22">
        <f>IF(OR('Brouillard ventes'!$F$52="",'Brouillard ventes'!$J$52="À crédit",'Brouillard ventes'!$J$52=""),"",'Brouillard ventes'!$B$52)</f>
        <v/>
      </c>
      <c r="E95" s="22">
        <f>IF(OR('Brouillard ventes'!$F$52="",'Brouillard ventes'!$J$52="À crédit",'Brouillard ventes'!$J$52=""),"","REGL "&amp;LEFT('Brouillard ventes'!$D$52,25))</f>
        <v/>
      </c>
      <c r="F95" s="22">
        <f>IF(OR('Brouillard ventes'!$F$52="",'Brouillard ventes'!$J$52="À crédit",'Brouillard ventes'!$J$52=""),"",IF('Brouillard ventes'!$J$52="Espèces","04001","02001"))</f>
        <v/>
      </c>
      <c r="G95" s="22">
        <f>IF(OR('Brouillard ventes'!$F$52="",'Brouillard ventes'!$J$52="À crédit",'Brouillard ventes'!$J$52=""),"",Paramètres!$B$7)</f>
        <v/>
      </c>
      <c r="H95" s="22">
        <f>IF(OR('Brouillard ventes'!$F$52="",'Brouillard ventes'!$J$52="À crédit",'Brouillard ventes'!$J$52=""),"",IF('Brouillard ventes'!$C$52="","CD001",'Brouillard ventes'!$C$52))</f>
        <v/>
      </c>
      <c r="I95" s="22" t="inlineStr"/>
      <c r="J95" s="22" t="inlineStr"/>
      <c r="K95" s="22">
        <f>IF(OR('Brouillard ventes'!$F$52="",'Brouillard ventes'!$J$52="À crédit",'Brouillard ventes'!$J$52=""),"",Paramètres!$B$11)</f>
        <v/>
      </c>
      <c r="L95" s="23" t="n">
        <v>0</v>
      </c>
      <c r="M95" s="23">
        <f>IF(OR('Brouillard ventes'!$F$52="",'Brouillard ventes'!$J$52="À crédit",'Brouillard ventes'!$J$52=""),0,'Brouillard ventes'!$I$52)</f>
        <v/>
      </c>
    </row>
    <row r="96">
      <c r="A96" s="22" t="inlineStr">
        <is>
          <t>1</t>
        </is>
      </c>
      <c r="B96" s="22">
        <f>IF(OR('Brouillard ventes'!$F$53="",'Brouillard ventes'!$J$53="À crédit",'Brouillard ventes'!$J$53=""),"","EC"&amp;TEXT(ROW('Brouillard ventes'!$F$53)-5,"00000"))</f>
        <v/>
      </c>
      <c r="C96" s="22">
        <f>IF(OR('Brouillard ventes'!$F$53="",'Brouillard ventes'!$J$53="À crédit",'Brouillard ventes'!$J$53=""),"",YEAR('Brouillard ventes'!$A$53)*10000+MONTH('Brouillard ventes'!$A$53)*100+DAY('Brouillard ventes'!$A$53))</f>
        <v/>
      </c>
      <c r="D96" s="22">
        <f>IF(OR('Brouillard ventes'!$F$53="",'Brouillard ventes'!$J$53="À crédit",'Brouillard ventes'!$J$53=""),"",'Brouillard ventes'!$B$53)</f>
        <v/>
      </c>
      <c r="E96" s="22">
        <f>IF(OR('Brouillard ventes'!$F$53="",'Brouillard ventes'!$J$53="À crédit",'Brouillard ventes'!$J$53=""),"","REGL "&amp;LEFT('Brouillard ventes'!$D$53,25))</f>
        <v/>
      </c>
      <c r="F96" s="22">
        <f>IF(OR('Brouillard ventes'!$F$53="",'Brouillard ventes'!$J$53="À crédit",'Brouillard ventes'!$J$53=""),"",IF('Brouillard ventes'!$J$53="Espèces","04001","02001"))</f>
        <v/>
      </c>
      <c r="G96" s="22">
        <f>IF(OR('Brouillard ventes'!$F$53="",'Brouillard ventes'!$J$53="À crédit",'Brouillard ventes'!$J$53=""),"",IF('Brouillard ventes'!$J$53="Espèces","53000","51220"))</f>
        <v/>
      </c>
      <c r="H96" s="22" t="inlineStr"/>
      <c r="I96" s="22" t="inlineStr"/>
      <c r="J96" s="22" t="inlineStr"/>
      <c r="K96" s="22">
        <f>IF(OR('Brouillard ventes'!$F$53="",'Brouillard ventes'!$J$53="À crédit",'Brouillard ventes'!$J$53=""),"",Paramètres!$B$11)</f>
        <v/>
      </c>
      <c r="L96" s="23">
        <f>IF(OR('Brouillard ventes'!$F$53="",'Brouillard ventes'!$J$53="À crédit",'Brouillard ventes'!$J$53=""),0,'Brouillard ventes'!$I$53)</f>
        <v/>
      </c>
      <c r="M96" s="23" t="n">
        <v>0</v>
      </c>
    </row>
    <row r="97">
      <c r="A97" s="22" t="inlineStr">
        <is>
          <t>1</t>
        </is>
      </c>
      <c r="B97" s="22">
        <f>IF(OR('Brouillard ventes'!$F$53="",'Brouillard ventes'!$J$53="À crédit",'Brouillard ventes'!$J$53=""),"","EC"&amp;TEXT(ROW('Brouillard ventes'!$F$53)-5,"00000"))</f>
        <v/>
      </c>
      <c r="C97" s="22">
        <f>IF(OR('Brouillard ventes'!$F$53="",'Brouillard ventes'!$J$53="À crédit",'Brouillard ventes'!$J$53=""),"",YEAR('Brouillard ventes'!$A$53)*10000+MONTH('Brouillard ventes'!$A$53)*100+DAY('Brouillard ventes'!$A$53))</f>
        <v/>
      </c>
      <c r="D97" s="22">
        <f>IF(OR('Brouillard ventes'!$F$53="",'Brouillard ventes'!$J$53="À crédit",'Brouillard ventes'!$J$53=""),"",'Brouillard ventes'!$B$53)</f>
        <v/>
      </c>
      <c r="E97" s="22">
        <f>IF(OR('Brouillard ventes'!$F$53="",'Brouillard ventes'!$J$53="À crédit",'Brouillard ventes'!$J$53=""),"","REGL "&amp;LEFT('Brouillard ventes'!$D$53,25))</f>
        <v/>
      </c>
      <c r="F97" s="22">
        <f>IF(OR('Brouillard ventes'!$F$53="",'Brouillard ventes'!$J$53="À crédit",'Brouillard ventes'!$J$53=""),"",IF('Brouillard ventes'!$J$53="Espèces","04001","02001"))</f>
        <v/>
      </c>
      <c r="G97" s="22">
        <f>IF(OR('Brouillard ventes'!$F$53="",'Brouillard ventes'!$J$53="À crédit",'Brouillard ventes'!$J$53=""),"",Paramètres!$B$7)</f>
        <v/>
      </c>
      <c r="H97" s="22">
        <f>IF(OR('Brouillard ventes'!$F$53="",'Brouillard ventes'!$J$53="À crédit",'Brouillard ventes'!$J$53=""),"",IF('Brouillard ventes'!$C$53="","CD001",'Brouillard ventes'!$C$53))</f>
        <v/>
      </c>
      <c r="I97" s="22" t="inlineStr"/>
      <c r="J97" s="22" t="inlineStr"/>
      <c r="K97" s="22">
        <f>IF(OR('Brouillard ventes'!$F$53="",'Brouillard ventes'!$J$53="À crédit",'Brouillard ventes'!$J$53=""),"",Paramètres!$B$11)</f>
        <v/>
      </c>
      <c r="L97" s="23" t="n">
        <v>0</v>
      </c>
      <c r="M97" s="23">
        <f>IF(OR('Brouillard ventes'!$F$53="",'Brouillard ventes'!$J$53="À crédit",'Brouillard ventes'!$J$53=""),0,'Brouillard ventes'!$I$53)</f>
        <v/>
      </c>
    </row>
    <row r="98">
      <c r="A98" s="22" t="inlineStr">
        <is>
          <t>1</t>
        </is>
      </c>
      <c r="B98" s="22">
        <f>IF(OR('Brouillard ventes'!$F$54="",'Brouillard ventes'!$J$54="À crédit",'Brouillard ventes'!$J$54=""),"","EC"&amp;TEXT(ROW('Brouillard ventes'!$F$54)-5,"00000"))</f>
        <v/>
      </c>
      <c r="C98" s="22">
        <f>IF(OR('Brouillard ventes'!$F$54="",'Brouillard ventes'!$J$54="À crédit",'Brouillard ventes'!$J$54=""),"",YEAR('Brouillard ventes'!$A$54)*10000+MONTH('Brouillard ventes'!$A$54)*100+DAY('Brouillard ventes'!$A$54))</f>
        <v/>
      </c>
      <c r="D98" s="22">
        <f>IF(OR('Brouillard ventes'!$F$54="",'Brouillard ventes'!$J$54="À crédit",'Brouillard ventes'!$J$54=""),"",'Brouillard ventes'!$B$54)</f>
        <v/>
      </c>
      <c r="E98" s="22">
        <f>IF(OR('Brouillard ventes'!$F$54="",'Brouillard ventes'!$J$54="À crédit",'Brouillard ventes'!$J$54=""),"","REGL "&amp;LEFT('Brouillard ventes'!$D$54,25))</f>
        <v/>
      </c>
      <c r="F98" s="22">
        <f>IF(OR('Brouillard ventes'!$F$54="",'Brouillard ventes'!$J$54="À crédit",'Brouillard ventes'!$J$54=""),"",IF('Brouillard ventes'!$J$54="Espèces","04001","02001"))</f>
        <v/>
      </c>
      <c r="G98" s="22">
        <f>IF(OR('Brouillard ventes'!$F$54="",'Brouillard ventes'!$J$54="À crédit",'Brouillard ventes'!$J$54=""),"",IF('Brouillard ventes'!$J$54="Espèces","53000","51220"))</f>
        <v/>
      </c>
      <c r="H98" s="22" t="inlineStr"/>
      <c r="I98" s="22" t="inlineStr"/>
      <c r="J98" s="22" t="inlineStr"/>
      <c r="K98" s="22">
        <f>IF(OR('Brouillard ventes'!$F$54="",'Brouillard ventes'!$J$54="À crédit",'Brouillard ventes'!$J$54=""),"",Paramètres!$B$11)</f>
        <v/>
      </c>
      <c r="L98" s="23">
        <f>IF(OR('Brouillard ventes'!$F$54="",'Brouillard ventes'!$J$54="À crédit",'Brouillard ventes'!$J$54=""),0,'Brouillard ventes'!$I$54)</f>
        <v/>
      </c>
      <c r="M98" s="23" t="n">
        <v>0</v>
      </c>
    </row>
    <row r="99">
      <c r="A99" s="22" t="inlineStr">
        <is>
          <t>1</t>
        </is>
      </c>
      <c r="B99" s="22">
        <f>IF(OR('Brouillard ventes'!$F$54="",'Brouillard ventes'!$J$54="À crédit",'Brouillard ventes'!$J$54=""),"","EC"&amp;TEXT(ROW('Brouillard ventes'!$F$54)-5,"00000"))</f>
        <v/>
      </c>
      <c r="C99" s="22">
        <f>IF(OR('Brouillard ventes'!$F$54="",'Brouillard ventes'!$J$54="À crédit",'Brouillard ventes'!$J$54=""),"",YEAR('Brouillard ventes'!$A$54)*10000+MONTH('Brouillard ventes'!$A$54)*100+DAY('Brouillard ventes'!$A$54))</f>
        <v/>
      </c>
      <c r="D99" s="22">
        <f>IF(OR('Brouillard ventes'!$F$54="",'Brouillard ventes'!$J$54="À crédit",'Brouillard ventes'!$J$54=""),"",'Brouillard ventes'!$B$54)</f>
        <v/>
      </c>
      <c r="E99" s="22">
        <f>IF(OR('Brouillard ventes'!$F$54="",'Brouillard ventes'!$J$54="À crédit",'Brouillard ventes'!$J$54=""),"","REGL "&amp;LEFT('Brouillard ventes'!$D$54,25))</f>
        <v/>
      </c>
      <c r="F99" s="22">
        <f>IF(OR('Brouillard ventes'!$F$54="",'Brouillard ventes'!$J$54="À crédit",'Brouillard ventes'!$J$54=""),"",IF('Brouillard ventes'!$J$54="Espèces","04001","02001"))</f>
        <v/>
      </c>
      <c r="G99" s="22">
        <f>IF(OR('Brouillard ventes'!$F$54="",'Brouillard ventes'!$J$54="À crédit",'Brouillard ventes'!$J$54=""),"",Paramètres!$B$7)</f>
        <v/>
      </c>
      <c r="H99" s="22">
        <f>IF(OR('Brouillard ventes'!$F$54="",'Brouillard ventes'!$J$54="À crédit",'Brouillard ventes'!$J$54=""),"",IF('Brouillard ventes'!$C$54="","CD001",'Brouillard ventes'!$C$54))</f>
        <v/>
      </c>
      <c r="I99" s="22" t="inlineStr"/>
      <c r="J99" s="22" t="inlineStr"/>
      <c r="K99" s="22">
        <f>IF(OR('Brouillard ventes'!$F$54="",'Brouillard ventes'!$J$54="À crédit",'Brouillard ventes'!$J$54=""),"",Paramètres!$B$11)</f>
        <v/>
      </c>
      <c r="L99" s="23" t="n">
        <v>0</v>
      </c>
      <c r="M99" s="23">
        <f>IF(OR('Brouillard ventes'!$F$54="",'Brouillard ventes'!$J$54="À crédit",'Brouillard ventes'!$J$54=""),0,'Brouillard ventes'!$I$54)</f>
        <v/>
      </c>
    </row>
    <row r="100">
      <c r="A100" s="22" t="inlineStr">
        <is>
          <t>1</t>
        </is>
      </c>
      <c r="B100" s="22">
        <f>IF(OR('Brouillard ventes'!$F$55="",'Brouillard ventes'!$J$55="À crédit",'Brouillard ventes'!$J$55=""),"","EC"&amp;TEXT(ROW('Brouillard ventes'!$F$55)-5,"00000"))</f>
        <v/>
      </c>
      <c r="C100" s="22">
        <f>IF(OR('Brouillard ventes'!$F$55="",'Brouillard ventes'!$J$55="À crédit",'Brouillard ventes'!$J$55=""),"",YEAR('Brouillard ventes'!$A$55)*10000+MONTH('Brouillard ventes'!$A$55)*100+DAY('Brouillard ventes'!$A$55))</f>
        <v/>
      </c>
      <c r="D100" s="22">
        <f>IF(OR('Brouillard ventes'!$F$55="",'Brouillard ventes'!$J$55="À crédit",'Brouillard ventes'!$J$55=""),"",'Brouillard ventes'!$B$55)</f>
        <v/>
      </c>
      <c r="E100" s="22">
        <f>IF(OR('Brouillard ventes'!$F$55="",'Brouillard ventes'!$J$55="À crédit",'Brouillard ventes'!$J$55=""),"","REGL "&amp;LEFT('Brouillard ventes'!$D$55,25))</f>
        <v/>
      </c>
      <c r="F100" s="22">
        <f>IF(OR('Brouillard ventes'!$F$55="",'Brouillard ventes'!$J$55="À crédit",'Brouillard ventes'!$J$55=""),"",IF('Brouillard ventes'!$J$55="Espèces","04001","02001"))</f>
        <v/>
      </c>
      <c r="G100" s="22">
        <f>IF(OR('Brouillard ventes'!$F$55="",'Brouillard ventes'!$J$55="À crédit",'Brouillard ventes'!$J$55=""),"",IF('Brouillard ventes'!$J$55="Espèces","53000","51220"))</f>
        <v/>
      </c>
      <c r="H100" s="22" t="inlineStr"/>
      <c r="I100" s="22" t="inlineStr"/>
      <c r="J100" s="22" t="inlineStr"/>
      <c r="K100" s="22">
        <f>IF(OR('Brouillard ventes'!$F$55="",'Brouillard ventes'!$J$55="À crédit",'Brouillard ventes'!$J$55=""),"",Paramètres!$B$11)</f>
        <v/>
      </c>
      <c r="L100" s="23">
        <f>IF(OR('Brouillard ventes'!$F$55="",'Brouillard ventes'!$J$55="À crédit",'Brouillard ventes'!$J$55=""),0,'Brouillard ventes'!$I$55)</f>
        <v/>
      </c>
      <c r="M100" s="23" t="n">
        <v>0</v>
      </c>
    </row>
    <row r="101">
      <c r="A101" s="22" t="inlineStr">
        <is>
          <t>1</t>
        </is>
      </c>
      <c r="B101" s="22">
        <f>IF(OR('Brouillard ventes'!$F$55="",'Brouillard ventes'!$J$55="À crédit",'Brouillard ventes'!$J$55=""),"","EC"&amp;TEXT(ROW('Brouillard ventes'!$F$55)-5,"00000"))</f>
        <v/>
      </c>
      <c r="C101" s="22">
        <f>IF(OR('Brouillard ventes'!$F$55="",'Brouillard ventes'!$J$55="À crédit",'Brouillard ventes'!$J$55=""),"",YEAR('Brouillard ventes'!$A$55)*10000+MONTH('Brouillard ventes'!$A$55)*100+DAY('Brouillard ventes'!$A$55))</f>
        <v/>
      </c>
      <c r="D101" s="22">
        <f>IF(OR('Brouillard ventes'!$F$55="",'Brouillard ventes'!$J$55="À crédit",'Brouillard ventes'!$J$55=""),"",'Brouillard ventes'!$B$55)</f>
        <v/>
      </c>
      <c r="E101" s="22">
        <f>IF(OR('Brouillard ventes'!$F$55="",'Brouillard ventes'!$J$55="À crédit",'Brouillard ventes'!$J$55=""),"","REGL "&amp;LEFT('Brouillard ventes'!$D$55,25))</f>
        <v/>
      </c>
      <c r="F101" s="22">
        <f>IF(OR('Brouillard ventes'!$F$55="",'Brouillard ventes'!$J$55="À crédit",'Brouillard ventes'!$J$55=""),"",IF('Brouillard ventes'!$J$55="Espèces","04001","02001"))</f>
        <v/>
      </c>
      <c r="G101" s="22">
        <f>IF(OR('Brouillard ventes'!$F$55="",'Brouillard ventes'!$J$55="À crédit",'Brouillard ventes'!$J$55=""),"",Paramètres!$B$7)</f>
        <v/>
      </c>
      <c r="H101" s="22">
        <f>IF(OR('Brouillard ventes'!$F$55="",'Brouillard ventes'!$J$55="À crédit",'Brouillard ventes'!$J$55=""),"",IF('Brouillard ventes'!$C$55="","CD001",'Brouillard ventes'!$C$55))</f>
        <v/>
      </c>
      <c r="I101" s="22" t="inlineStr"/>
      <c r="J101" s="22" t="inlineStr"/>
      <c r="K101" s="22">
        <f>IF(OR('Brouillard ventes'!$F$55="",'Brouillard ventes'!$J$55="À crédit",'Brouillard ventes'!$J$55=""),"",Paramètres!$B$11)</f>
        <v/>
      </c>
      <c r="L101" s="23" t="n">
        <v>0</v>
      </c>
      <c r="M101" s="23">
        <f>IF(OR('Brouillard ventes'!$F$55="",'Brouillard ventes'!$J$55="À crédit",'Brouillard ventes'!$J$55=""),0,'Brouillard ventes'!$I$55)</f>
        <v/>
      </c>
    </row>
    <row r="102">
      <c r="A102" s="22" t="inlineStr">
        <is>
          <t>1</t>
        </is>
      </c>
      <c r="B102" s="22">
        <f>IF(OR('Brouillard ventes'!$F$56="",'Brouillard ventes'!$J$56="À crédit",'Brouillard ventes'!$J$56=""),"","EC"&amp;TEXT(ROW('Brouillard ventes'!$F$56)-5,"00000"))</f>
        <v/>
      </c>
      <c r="C102" s="22">
        <f>IF(OR('Brouillard ventes'!$F$56="",'Brouillard ventes'!$J$56="À crédit",'Brouillard ventes'!$J$56=""),"",YEAR('Brouillard ventes'!$A$56)*10000+MONTH('Brouillard ventes'!$A$56)*100+DAY('Brouillard ventes'!$A$56))</f>
        <v/>
      </c>
      <c r="D102" s="22">
        <f>IF(OR('Brouillard ventes'!$F$56="",'Brouillard ventes'!$J$56="À crédit",'Brouillard ventes'!$J$56=""),"",'Brouillard ventes'!$B$56)</f>
        <v/>
      </c>
      <c r="E102" s="22">
        <f>IF(OR('Brouillard ventes'!$F$56="",'Brouillard ventes'!$J$56="À crédit",'Brouillard ventes'!$J$56=""),"","REGL "&amp;LEFT('Brouillard ventes'!$D$56,25))</f>
        <v/>
      </c>
      <c r="F102" s="22">
        <f>IF(OR('Brouillard ventes'!$F$56="",'Brouillard ventes'!$J$56="À crédit",'Brouillard ventes'!$J$56=""),"",IF('Brouillard ventes'!$J$56="Espèces","04001","02001"))</f>
        <v/>
      </c>
      <c r="G102" s="22">
        <f>IF(OR('Brouillard ventes'!$F$56="",'Brouillard ventes'!$J$56="À crédit",'Brouillard ventes'!$J$56=""),"",IF('Brouillard ventes'!$J$56="Espèces","53000","51220"))</f>
        <v/>
      </c>
      <c r="H102" s="22" t="inlineStr"/>
      <c r="I102" s="22" t="inlineStr"/>
      <c r="J102" s="22" t="inlineStr"/>
      <c r="K102" s="22">
        <f>IF(OR('Brouillard ventes'!$F$56="",'Brouillard ventes'!$J$56="À crédit",'Brouillard ventes'!$J$56=""),"",Paramètres!$B$11)</f>
        <v/>
      </c>
      <c r="L102" s="23">
        <f>IF(OR('Brouillard ventes'!$F$56="",'Brouillard ventes'!$J$56="À crédit",'Brouillard ventes'!$J$56=""),0,'Brouillard ventes'!$I$56)</f>
        <v/>
      </c>
      <c r="M102" s="23" t="n">
        <v>0</v>
      </c>
    </row>
    <row r="103">
      <c r="A103" s="22" t="inlineStr">
        <is>
          <t>1</t>
        </is>
      </c>
      <c r="B103" s="22">
        <f>IF(OR('Brouillard ventes'!$F$56="",'Brouillard ventes'!$J$56="À crédit",'Brouillard ventes'!$J$56=""),"","EC"&amp;TEXT(ROW('Brouillard ventes'!$F$56)-5,"00000"))</f>
        <v/>
      </c>
      <c r="C103" s="22">
        <f>IF(OR('Brouillard ventes'!$F$56="",'Brouillard ventes'!$J$56="À crédit",'Brouillard ventes'!$J$56=""),"",YEAR('Brouillard ventes'!$A$56)*10000+MONTH('Brouillard ventes'!$A$56)*100+DAY('Brouillard ventes'!$A$56))</f>
        <v/>
      </c>
      <c r="D103" s="22">
        <f>IF(OR('Brouillard ventes'!$F$56="",'Brouillard ventes'!$J$56="À crédit",'Brouillard ventes'!$J$56=""),"",'Brouillard ventes'!$B$56)</f>
        <v/>
      </c>
      <c r="E103" s="22">
        <f>IF(OR('Brouillard ventes'!$F$56="",'Brouillard ventes'!$J$56="À crédit",'Brouillard ventes'!$J$56=""),"","REGL "&amp;LEFT('Brouillard ventes'!$D$56,25))</f>
        <v/>
      </c>
      <c r="F103" s="22">
        <f>IF(OR('Brouillard ventes'!$F$56="",'Brouillard ventes'!$J$56="À crédit",'Brouillard ventes'!$J$56=""),"",IF('Brouillard ventes'!$J$56="Espèces","04001","02001"))</f>
        <v/>
      </c>
      <c r="G103" s="22">
        <f>IF(OR('Brouillard ventes'!$F$56="",'Brouillard ventes'!$J$56="À crédit",'Brouillard ventes'!$J$56=""),"",Paramètres!$B$7)</f>
        <v/>
      </c>
      <c r="H103" s="22">
        <f>IF(OR('Brouillard ventes'!$F$56="",'Brouillard ventes'!$J$56="À crédit",'Brouillard ventes'!$J$56=""),"",IF('Brouillard ventes'!$C$56="","CD001",'Brouillard ventes'!$C$56))</f>
        <v/>
      </c>
      <c r="I103" s="22" t="inlineStr"/>
      <c r="J103" s="22" t="inlineStr"/>
      <c r="K103" s="22">
        <f>IF(OR('Brouillard ventes'!$F$56="",'Brouillard ventes'!$J$56="À crédit",'Brouillard ventes'!$J$56=""),"",Paramètres!$B$11)</f>
        <v/>
      </c>
      <c r="L103" s="23" t="n">
        <v>0</v>
      </c>
      <c r="M103" s="23">
        <f>IF(OR('Brouillard ventes'!$F$56="",'Brouillard ventes'!$J$56="À crédit",'Brouillard ventes'!$J$56=""),0,'Brouillard ventes'!$I$56)</f>
        <v/>
      </c>
    </row>
    <row r="104">
      <c r="A104" s="22" t="inlineStr">
        <is>
          <t>1</t>
        </is>
      </c>
      <c r="B104" s="22">
        <f>IF(OR('Brouillard ventes'!$F$57="",'Brouillard ventes'!$J$57="À crédit",'Brouillard ventes'!$J$57=""),"","EC"&amp;TEXT(ROW('Brouillard ventes'!$F$57)-5,"00000"))</f>
        <v/>
      </c>
      <c r="C104" s="22">
        <f>IF(OR('Brouillard ventes'!$F$57="",'Brouillard ventes'!$J$57="À crédit",'Brouillard ventes'!$J$57=""),"",YEAR('Brouillard ventes'!$A$57)*10000+MONTH('Brouillard ventes'!$A$57)*100+DAY('Brouillard ventes'!$A$57))</f>
        <v/>
      </c>
      <c r="D104" s="22">
        <f>IF(OR('Brouillard ventes'!$F$57="",'Brouillard ventes'!$J$57="À crédit",'Brouillard ventes'!$J$57=""),"",'Brouillard ventes'!$B$57)</f>
        <v/>
      </c>
      <c r="E104" s="22">
        <f>IF(OR('Brouillard ventes'!$F$57="",'Brouillard ventes'!$J$57="À crédit",'Brouillard ventes'!$J$57=""),"","REGL "&amp;LEFT('Brouillard ventes'!$D$57,25))</f>
        <v/>
      </c>
      <c r="F104" s="22">
        <f>IF(OR('Brouillard ventes'!$F$57="",'Brouillard ventes'!$J$57="À crédit",'Brouillard ventes'!$J$57=""),"",IF('Brouillard ventes'!$J$57="Espèces","04001","02001"))</f>
        <v/>
      </c>
      <c r="G104" s="22">
        <f>IF(OR('Brouillard ventes'!$F$57="",'Brouillard ventes'!$J$57="À crédit",'Brouillard ventes'!$J$57=""),"",IF('Brouillard ventes'!$J$57="Espèces","53000","51220"))</f>
        <v/>
      </c>
      <c r="H104" s="22" t="inlineStr"/>
      <c r="I104" s="22" t="inlineStr"/>
      <c r="J104" s="22" t="inlineStr"/>
      <c r="K104" s="22">
        <f>IF(OR('Brouillard ventes'!$F$57="",'Brouillard ventes'!$J$57="À crédit",'Brouillard ventes'!$J$57=""),"",Paramètres!$B$11)</f>
        <v/>
      </c>
      <c r="L104" s="23">
        <f>IF(OR('Brouillard ventes'!$F$57="",'Brouillard ventes'!$J$57="À crédit",'Brouillard ventes'!$J$57=""),0,'Brouillard ventes'!$I$57)</f>
        <v/>
      </c>
      <c r="M104" s="23" t="n">
        <v>0</v>
      </c>
    </row>
    <row r="105">
      <c r="A105" s="22" t="inlineStr">
        <is>
          <t>1</t>
        </is>
      </c>
      <c r="B105" s="22">
        <f>IF(OR('Brouillard ventes'!$F$57="",'Brouillard ventes'!$J$57="À crédit",'Brouillard ventes'!$J$57=""),"","EC"&amp;TEXT(ROW('Brouillard ventes'!$F$57)-5,"00000"))</f>
        <v/>
      </c>
      <c r="C105" s="22">
        <f>IF(OR('Brouillard ventes'!$F$57="",'Brouillard ventes'!$J$57="À crédit",'Brouillard ventes'!$J$57=""),"",YEAR('Brouillard ventes'!$A$57)*10000+MONTH('Brouillard ventes'!$A$57)*100+DAY('Brouillard ventes'!$A$57))</f>
        <v/>
      </c>
      <c r="D105" s="22">
        <f>IF(OR('Brouillard ventes'!$F$57="",'Brouillard ventes'!$J$57="À crédit",'Brouillard ventes'!$J$57=""),"",'Brouillard ventes'!$B$57)</f>
        <v/>
      </c>
      <c r="E105" s="22">
        <f>IF(OR('Brouillard ventes'!$F$57="",'Brouillard ventes'!$J$57="À crédit",'Brouillard ventes'!$J$57=""),"","REGL "&amp;LEFT('Brouillard ventes'!$D$57,25))</f>
        <v/>
      </c>
      <c r="F105" s="22">
        <f>IF(OR('Brouillard ventes'!$F$57="",'Brouillard ventes'!$J$57="À crédit",'Brouillard ventes'!$J$57=""),"",IF('Brouillard ventes'!$J$57="Espèces","04001","02001"))</f>
        <v/>
      </c>
      <c r="G105" s="22">
        <f>IF(OR('Brouillard ventes'!$F$57="",'Brouillard ventes'!$J$57="À crédit",'Brouillard ventes'!$J$57=""),"",Paramètres!$B$7)</f>
        <v/>
      </c>
      <c r="H105" s="22">
        <f>IF(OR('Brouillard ventes'!$F$57="",'Brouillard ventes'!$J$57="À crédit",'Brouillard ventes'!$J$57=""),"",IF('Brouillard ventes'!$C$57="","CD001",'Brouillard ventes'!$C$57))</f>
        <v/>
      </c>
      <c r="I105" s="22" t="inlineStr"/>
      <c r="J105" s="22" t="inlineStr"/>
      <c r="K105" s="22">
        <f>IF(OR('Brouillard ventes'!$F$57="",'Brouillard ventes'!$J$57="À crédit",'Brouillard ventes'!$J$57=""),"",Paramètres!$B$11)</f>
        <v/>
      </c>
      <c r="L105" s="23" t="n">
        <v>0</v>
      </c>
      <c r="M105" s="23">
        <f>IF(OR('Brouillard ventes'!$F$57="",'Brouillard ventes'!$J$57="À crédit",'Brouillard ventes'!$J$57=""),0,'Brouillard ventes'!$I$57)</f>
        <v/>
      </c>
    </row>
    <row r="106">
      <c r="A106" s="22" t="inlineStr">
        <is>
          <t>1</t>
        </is>
      </c>
      <c r="B106" s="22">
        <f>IF(OR('Brouillard ventes'!$F$58="",'Brouillard ventes'!$J$58="À crédit",'Brouillard ventes'!$J$58=""),"","EC"&amp;TEXT(ROW('Brouillard ventes'!$F$58)-5,"00000"))</f>
        <v/>
      </c>
      <c r="C106" s="22">
        <f>IF(OR('Brouillard ventes'!$F$58="",'Brouillard ventes'!$J$58="À crédit",'Brouillard ventes'!$J$58=""),"",YEAR('Brouillard ventes'!$A$58)*10000+MONTH('Brouillard ventes'!$A$58)*100+DAY('Brouillard ventes'!$A$58))</f>
        <v/>
      </c>
      <c r="D106" s="22">
        <f>IF(OR('Brouillard ventes'!$F$58="",'Brouillard ventes'!$J$58="À crédit",'Brouillard ventes'!$J$58=""),"",'Brouillard ventes'!$B$58)</f>
        <v/>
      </c>
      <c r="E106" s="22">
        <f>IF(OR('Brouillard ventes'!$F$58="",'Brouillard ventes'!$J$58="À crédit",'Brouillard ventes'!$J$58=""),"","REGL "&amp;LEFT('Brouillard ventes'!$D$58,25))</f>
        <v/>
      </c>
      <c r="F106" s="22">
        <f>IF(OR('Brouillard ventes'!$F$58="",'Brouillard ventes'!$J$58="À crédit",'Brouillard ventes'!$J$58=""),"",IF('Brouillard ventes'!$J$58="Espèces","04001","02001"))</f>
        <v/>
      </c>
      <c r="G106" s="22">
        <f>IF(OR('Brouillard ventes'!$F$58="",'Brouillard ventes'!$J$58="À crédit",'Brouillard ventes'!$J$58=""),"",IF('Brouillard ventes'!$J$58="Espèces","53000","51220"))</f>
        <v/>
      </c>
      <c r="H106" s="22" t="inlineStr"/>
      <c r="I106" s="22" t="inlineStr"/>
      <c r="J106" s="22" t="inlineStr"/>
      <c r="K106" s="22">
        <f>IF(OR('Brouillard ventes'!$F$58="",'Brouillard ventes'!$J$58="À crédit",'Brouillard ventes'!$J$58=""),"",Paramètres!$B$11)</f>
        <v/>
      </c>
      <c r="L106" s="23">
        <f>IF(OR('Brouillard ventes'!$F$58="",'Brouillard ventes'!$J$58="À crédit",'Brouillard ventes'!$J$58=""),0,'Brouillard ventes'!$I$58)</f>
        <v/>
      </c>
      <c r="M106" s="23" t="n">
        <v>0</v>
      </c>
    </row>
    <row r="107">
      <c r="A107" s="22" t="inlineStr">
        <is>
          <t>1</t>
        </is>
      </c>
      <c r="B107" s="22">
        <f>IF(OR('Brouillard ventes'!$F$58="",'Brouillard ventes'!$J$58="À crédit",'Brouillard ventes'!$J$58=""),"","EC"&amp;TEXT(ROW('Brouillard ventes'!$F$58)-5,"00000"))</f>
        <v/>
      </c>
      <c r="C107" s="22">
        <f>IF(OR('Brouillard ventes'!$F$58="",'Brouillard ventes'!$J$58="À crédit",'Brouillard ventes'!$J$58=""),"",YEAR('Brouillard ventes'!$A$58)*10000+MONTH('Brouillard ventes'!$A$58)*100+DAY('Brouillard ventes'!$A$58))</f>
        <v/>
      </c>
      <c r="D107" s="22">
        <f>IF(OR('Brouillard ventes'!$F$58="",'Brouillard ventes'!$J$58="À crédit",'Brouillard ventes'!$J$58=""),"",'Brouillard ventes'!$B$58)</f>
        <v/>
      </c>
      <c r="E107" s="22">
        <f>IF(OR('Brouillard ventes'!$F$58="",'Brouillard ventes'!$J$58="À crédit",'Brouillard ventes'!$J$58=""),"","REGL "&amp;LEFT('Brouillard ventes'!$D$58,25))</f>
        <v/>
      </c>
      <c r="F107" s="22">
        <f>IF(OR('Brouillard ventes'!$F$58="",'Brouillard ventes'!$J$58="À crédit",'Brouillard ventes'!$J$58=""),"",IF('Brouillard ventes'!$J$58="Espèces","04001","02001"))</f>
        <v/>
      </c>
      <c r="G107" s="22">
        <f>IF(OR('Brouillard ventes'!$F$58="",'Brouillard ventes'!$J$58="À crédit",'Brouillard ventes'!$J$58=""),"",Paramètres!$B$7)</f>
        <v/>
      </c>
      <c r="H107" s="22">
        <f>IF(OR('Brouillard ventes'!$F$58="",'Brouillard ventes'!$J$58="À crédit",'Brouillard ventes'!$J$58=""),"",IF('Brouillard ventes'!$C$58="","CD001",'Brouillard ventes'!$C$58))</f>
        <v/>
      </c>
      <c r="I107" s="22" t="inlineStr"/>
      <c r="J107" s="22" t="inlineStr"/>
      <c r="K107" s="22">
        <f>IF(OR('Brouillard ventes'!$F$58="",'Brouillard ventes'!$J$58="À crédit",'Brouillard ventes'!$J$58=""),"",Paramètres!$B$11)</f>
        <v/>
      </c>
      <c r="L107" s="23" t="n">
        <v>0</v>
      </c>
      <c r="M107" s="23">
        <f>IF(OR('Brouillard ventes'!$F$58="",'Brouillard ventes'!$J$58="À crédit",'Brouillard ventes'!$J$58=""),0,'Brouillard ventes'!$I$58)</f>
        <v/>
      </c>
    </row>
    <row r="108">
      <c r="A108" s="22" t="inlineStr">
        <is>
          <t>1</t>
        </is>
      </c>
      <c r="B108" s="22">
        <f>IF(OR('Brouillard ventes'!$F$59="",'Brouillard ventes'!$J$59="À crédit",'Brouillard ventes'!$J$59=""),"","EC"&amp;TEXT(ROW('Brouillard ventes'!$F$59)-5,"00000"))</f>
        <v/>
      </c>
      <c r="C108" s="22">
        <f>IF(OR('Brouillard ventes'!$F$59="",'Brouillard ventes'!$J$59="À crédit",'Brouillard ventes'!$J$59=""),"",YEAR('Brouillard ventes'!$A$59)*10000+MONTH('Brouillard ventes'!$A$59)*100+DAY('Brouillard ventes'!$A$59))</f>
        <v/>
      </c>
      <c r="D108" s="22">
        <f>IF(OR('Brouillard ventes'!$F$59="",'Brouillard ventes'!$J$59="À crédit",'Brouillard ventes'!$J$59=""),"",'Brouillard ventes'!$B$59)</f>
        <v/>
      </c>
      <c r="E108" s="22">
        <f>IF(OR('Brouillard ventes'!$F$59="",'Brouillard ventes'!$J$59="À crédit",'Brouillard ventes'!$J$59=""),"","REGL "&amp;LEFT('Brouillard ventes'!$D$59,25))</f>
        <v/>
      </c>
      <c r="F108" s="22">
        <f>IF(OR('Brouillard ventes'!$F$59="",'Brouillard ventes'!$J$59="À crédit",'Brouillard ventes'!$J$59=""),"",IF('Brouillard ventes'!$J$59="Espèces","04001","02001"))</f>
        <v/>
      </c>
      <c r="G108" s="22">
        <f>IF(OR('Brouillard ventes'!$F$59="",'Brouillard ventes'!$J$59="À crédit",'Brouillard ventes'!$J$59=""),"",IF('Brouillard ventes'!$J$59="Espèces","53000","51220"))</f>
        <v/>
      </c>
      <c r="H108" s="22" t="inlineStr"/>
      <c r="I108" s="22" t="inlineStr"/>
      <c r="J108" s="22" t="inlineStr"/>
      <c r="K108" s="22">
        <f>IF(OR('Brouillard ventes'!$F$59="",'Brouillard ventes'!$J$59="À crédit",'Brouillard ventes'!$J$59=""),"",Paramètres!$B$11)</f>
        <v/>
      </c>
      <c r="L108" s="23">
        <f>IF(OR('Brouillard ventes'!$F$59="",'Brouillard ventes'!$J$59="À crédit",'Brouillard ventes'!$J$59=""),0,'Brouillard ventes'!$I$59)</f>
        <v/>
      </c>
      <c r="M108" s="23" t="n">
        <v>0</v>
      </c>
    </row>
    <row r="109">
      <c r="A109" s="22" t="inlineStr">
        <is>
          <t>1</t>
        </is>
      </c>
      <c r="B109" s="22">
        <f>IF(OR('Brouillard ventes'!$F$59="",'Brouillard ventes'!$J$59="À crédit",'Brouillard ventes'!$J$59=""),"","EC"&amp;TEXT(ROW('Brouillard ventes'!$F$59)-5,"00000"))</f>
        <v/>
      </c>
      <c r="C109" s="22">
        <f>IF(OR('Brouillard ventes'!$F$59="",'Brouillard ventes'!$J$59="À crédit",'Brouillard ventes'!$J$59=""),"",YEAR('Brouillard ventes'!$A$59)*10000+MONTH('Brouillard ventes'!$A$59)*100+DAY('Brouillard ventes'!$A$59))</f>
        <v/>
      </c>
      <c r="D109" s="22">
        <f>IF(OR('Brouillard ventes'!$F$59="",'Brouillard ventes'!$J$59="À crédit",'Brouillard ventes'!$J$59=""),"",'Brouillard ventes'!$B$59)</f>
        <v/>
      </c>
      <c r="E109" s="22">
        <f>IF(OR('Brouillard ventes'!$F$59="",'Brouillard ventes'!$J$59="À crédit",'Brouillard ventes'!$J$59=""),"","REGL "&amp;LEFT('Brouillard ventes'!$D$59,25))</f>
        <v/>
      </c>
      <c r="F109" s="22">
        <f>IF(OR('Brouillard ventes'!$F$59="",'Brouillard ventes'!$J$59="À crédit",'Brouillard ventes'!$J$59=""),"",IF('Brouillard ventes'!$J$59="Espèces","04001","02001"))</f>
        <v/>
      </c>
      <c r="G109" s="22">
        <f>IF(OR('Brouillard ventes'!$F$59="",'Brouillard ventes'!$J$59="À crédit",'Brouillard ventes'!$J$59=""),"",Paramètres!$B$7)</f>
        <v/>
      </c>
      <c r="H109" s="22">
        <f>IF(OR('Brouillard ventes'!$F$59="",'Brouillard ventes'!$J$59="À crédit",'Brouillard ventes'!$J$59=""),"",IF('Brouillard ventes'!$C$59="","CD001",'Brouillard ventes'!$C$59))</f>
        <v/>
      </c>
      <c r="I109" s="22" t="inlineStr"/>
      <c r="J109" s="22" t="inlineStr"/>
      <c r="K109" s="22">
        <f>IF(OR('Brouillard ventes'!$F$59="",'Brouillard ventes'!$J$59="À crédit",'Brouillard ventes'!$J$59=""),"",Paramètres!$B$11)</f>
        <v/>
      </c>
      <c r="L109" s="23" t="n">
        <v>0</v>
      </c>
      <c r="M109" s="23">
        <f>IF(OR('Brouillard ventes'!$F$59="",'Brouillard ventes'!$J$59="À crédit",'Brouillard ventes'!$J$59=""),0,'Brouillard ventes'!$I$59)</f>
        <v/>
      </c>
    </row>
    <row r="110">
      <c r="A110" s="22" t="inlineStr">
        <is>
          <t>1</t>
        </is>
      </c>
      <c r="B110" s="22">
        <f>IF(OR('Brouillard ventes'!$F$60="",'Brouillard ventes'!$J$60="À crédit",'Brouillard ventes'!$J$60=""),"","EC"&amp;TEXT(ROW('Brouillard ventes'!$F$60)-5,"00000"))</f>
        <v/>
      </c>
      <c r="C110" s="22">
        <f>IF(OR('Brouillard ventes'!$F$60="",'Brouillard ventes'!$J$60="À crédit",'Brouillard ventes'!$J$60=""),"",YEAR('Brouillard ventes'!$A$60)*10000+MONTH('Brouillard ventes'!$A$60)*100+DAY('Brouillard ventes'!$A$60))</f>
        <v/>
      </c>
      <c r="D110" s="22">
        <f>IF(OR('Brouillard ventes'!$F$60="",'Brouillard ventes'!$J$60="À crédit",'Brouillard ventes'!$J$60=""),"",'Brouillard ventes'!$B$60)</f>
        <v/>
      </c>
      <c r="E110" s="22">
        <f>IF(OR('Brouillard ventes'!$F$60="",'Brouillard ventes'!$J$60="À crédit",'Brouillard ventes'!$J$60=""),"","REGL "&amp;LEFT('Brouillard ventes'!$D$60,25))</f>
        <v/>
      </c>
      <c r="F110" s="22">
        <f>IF(OR('Brouillard ventes'!$F$60="",'Brouillard ventes'!$J$60="À crédit",'Brouillard ventes'!$J$60=""),"",IF('Brouillard ventes'!$J$60="Espèces","04001","02001"))</f>
        <v/>
      </c>
      <c r="G110" s="22">
        <f>IF(OR('Brouillard ventes'!$F$60="",'Brouillard ventes'!$J$60="À crédit",'Brouillard ventes'!$J$60=""),"",IF('Brouillard ventes'!$J$60="Espèces","53000","51220"))</f>
        <v/>
      </c>
      <c r="H110" s="22" t="inlineStr"/>
      <c r="I110" s="22" t="inlineStr"/>
      <c r="J110" s="22" t="inlineStr"/>
      <c r="K110" s="22">
        <f>IF(OR('Brouillard ventes'!$F$60="",'Brouillard ventes'!$J$60="À crédit",'Brouillard ventes'!$J$60=""),"",Paramètres!$B$11)</f>
        <v/>
      </c>
      <c r="L110" s="23">
        <f>IF(OR('Brouillard ventes'!$F$60="",'Brouillard ventes'!$J$60="À crédit",'Brouillard ventes'!$J$60=""),0,'Brouillard ventes'!$I$60)</f>
        <v/>
      </c>
      <c r="M110" s="23" t="n">
        <v>0</v>
      </c>
    </row>
    <row r="111">
      <c r="A111" s="22" t="inlineStr">
        <is>
          <t>1</t>
        </is>
      </c>
      <c r="B111" s="22">
        <f>IF(OR('Brouillard ventes'!$F$60="",'Brouillard ventes'!$J$60="À crédit",'Brouillard ventes'!$J$60=""),"","EC"&amp;TEXT(ROW('Brouillard ventes'!$F$60)-5,"00000"))</f>
        <v/>
      </c>
      <c r="C111" s="22">
        <f>IF(OR('Brouillard ventes'!$F$60="",'Brouillard ventes'!$J$60="À crédit",'Brouillard ventes'!$J$60=""),"",YEAR('Brouillard ventes'!$A$60)*10000+MONTH('Brouillard ventes'!$A$60)*100+DAY('Brouillard ventes'!$A$60))</f>
        <v/>
      </c>
      <c r="D111" s="22">
        <f>IF(OR('Brouillard ventes'!$F$60="",'Brouillard ventes'!$J$60="À crédit",'Brouillard ventes'!$J$60=""),"",'Brouillard ventes'!$B$60)</f>
        <v/>
      </c>
      <c r="E111" s="22">
        <f>IF(OR('Brouillard ventes'!$F$60="",'Brouillard ventes'!$J$60="À crédit",'Brouillard ventes'!$J$60=""),"","REGL "&amp;LEFT('Brouillard ventes'!$D$60,25))</f>
        <v/>
      </c>
      <c r="F111" s="22">
        <f>IF(OR('Brouillard ventes'!$F$60="",'Brouillard ventes'!$J$60="À crédit",'Brouillard ventes'!$J$60=""),"",IF('Brouillard ventes'!$J$60="Espèces","04001","02001"))</f>
        <v/>
      </c>
      <c r="G111" s="22">
        <f>IF(OR('Brouillard ventes'!$F$60="",'Brouillard ventes'!$J$60="À crédit",'Brouillard ventes'!$J$60=""),"",Paramètres!$B$7)</f>
        <v/>
      </c>
      <c r="H111" s="22">
        <f>IF(OR('Brouillard ventes'!$F$60="",'Brouillard ventes'!$J$60="À crédit",'Brouillard ventes'!$J$60=""),"",IF('Brouillard ventes'!$C$60="","CD001",'Brouillard ventes'!$C$60))</f>
        <v/>
      </c>
      <c r="I111" s="22" t="inlineStr"/>
      <c r="J111" s="22" t="inlineStr"/>
      <c r="K111" s="22">
        <f>IF(OR('Brouillard ventes'!$F$60="",'Brouillard ventes'!$J$60="À crédit",'Brouillard ventes'!$J$60=""),"",Paramètres!$B$11)</f>
        <v/>
      </c>
      <c r="L111" s="23" t="n">
        <v>0</v>
      </c>
      <c r="M111" s="23">
        <f>IF(OR('Brouillard ventes'!$F$60="",'Brouillard ventes'!$J$60="À crédit",'Brouillard ventes'!$J$60=""),0,'Brouillard ventes'!$I$60)</f>
        <v/>
      </c>
    </row>
    <row r="112">
      <c r="A112" s="22" t="inlineStr">
        <is>
          <t>1</t>
        </is>
      </c>
      <c r="B112" s="22">
        <f>IF(OR('Brouillard ventes'!$F$61="",'Brouillard ventes'!$J$61="À crédit",'Brouillard ventes'!$J$61=""),"","EC"&amp;TEXT(ROW('Brouillard ventes'!$F$61)-5,"00000"))</f>
        <v/>
      </c>
      <c r="C112" s="22">
        <f>IF(OR('Brouillard ventes'!$F$61="",'Brouillard ventes'!$J$61="À crédit",'Brouillard ventes'!$J$61=""),"",YEAR('Brouillard ventes'!$A$61)*10000+MONTH('Brouillard ventes'!$A$61)*100+DAY('Brouillard ventes'!$A$61))</f>
        <v/>
      </c>
      <c r="D112" s="22">
        <f>IF(OR('Brouillard ventes'!$F$61="",'Brouillard ventes'!$J$61="À crédit",'Brouillard ventes'!$J$61=""),"",'Brouillard ventes'!$B$61)</f>
        <v/>
      </c>
      <c r="E112" s="22">
        <f>IF(OR('Brouillard ventes'!$F$61="",'Brouillard ventes'!$J$61="À crédit",'Brouillard ventes'!$J$61=""),"","REGL "&amp;LEFT('Brouillard ventes'!$D$61,25))</f>
        <v/>
      </c>
      <c r="F112" s="22">
        <f>IF(OR('Brouillard ventes'!$F$61="",'Brouillard ventes'!$J$61="À crédit",'Brouillard ventes'!$J$61=""),"",IF('Brouillard ventes'!$J$61="Espèces","04001","02001"))</f>
        <v/>
      </c>
      <c r="G112" s="22">
        <f>IF(OR('Brouillard ventes'!$F$61="",'Brouillard ventes'!$J$61="À crédit",'Brouillard ventes'!$J$61=""),"",IF('Brouillard ventes'!$J$61="Espèces","53000","51220"))</f>
        <v/>
      </c>
      <c r="H112" s="22" t="inlineStr"/>
      <c r="I112" s="22" t="inlineStr"/>
      <c r="J112" s="22" t="inlineStr"/>
      <c r="K112" s="22">
        <f>IF(OR('Brouillard ventes'!$F$61="",'Brouillard ventes'!$J$61="À crédit",'Brouillard ventes'!$J$61=""),"",Paramètres!$B$11)</f>
        <v/>
      </c>
      <c r="L112" s="23">
        <f>IF(OR('Brouillard ventes'!$F$61="",'Brouillard ventes'!$J$61="À crédit",'Brouillard ventes'!$J$61=""),0,'Brouillard ventes'!$I$61)</f>
        <v/>
      </c>
      <c r="M112" s="23" t="n">
        <v>0</v>
      </c>
    </row>
    <row r="113">
      <c r="A113" s="22" t="inlineStr">
        <is>
          <t>1</t>
        </is>
      </c>
      <c r="B113" s="22">
        <f>IF(OR('Brouillard ventes'!$F$61="",'Brouillard ventes'!$J$61="À crédit",'Brouillard ventes'!$J$61=""),"","EC"&amp;TEXT(ROW('Brouillard ventes'!$F$61)-5,"00000"))</f>
        <v/>
      </c>
      <c r="C113" s="22">
        <f>IF(OR('Brouillard ventes'!$F$61="",'Brouillard ventes'!$J$61="À crédit",'Brouillard ventes'!$J$61=""),"",YEAR('Brouillard ventes'!$A$61)*10000+MONTH('Brouillard ventes'!$A$61)*100+DAY('Brouillard ventes'!$A$61))</f>
        <v/>
      </c>
      <c r="D113" s="22">
        <f>IF(OR('Brouillard ventes'!$F$61="",'Brouillard ventes'!$J$61="À crédit",'Brouillard ventes'!$J$61=""),"",'Brouillard ventes'!$B$61)</f>
        <v/>
      </c>
      <c r="E113" s="22">
        <f>IF(OR('Brouillard ventes'!$F$61="",'Brouillard ventes'!$J$61="À crédit",'Brouillard ventes'!$J$61=""),"","REGL "&amp;LEFT('Brouillard ventes'!$D$61,25))</f>
        <v/>
      </c>
      <c r="F113" s="22">
        <f>IF(OR('Brouillard ventes'!$F$61="",'Brouillard ventes'!$J$61="À crédit",'Brouillard ventes'!$J$61=""),"",IF('Brouillard ventes'!$J$61="Espèces","04001","02001"))</f>
        <v/>
      </c>
      <c r="G113" s="22">
        <f>IF(OR('Brouillard ventes'!$F$61="",'Brouillard ventes'!$J$61="À crédit",'Brouillard ventes'!$J$61=""),"",Paramètres!$B$7)</f>
        <v/>
      </c>
      <c r="H113" s="22">
        <f>IF(OR('Brouillard ventes'!$F$61="",'Brouillard ventes'!$J$61="À crédit",'Brouillard ventes'!$J$61=""),"",IF('Brouillard ventes'!$C$61="","CD001",'Brouillard ventes'!$C$61))</f>
        <v/>
      </c>
      <c r="I113" s="22" t="inlineStr"/>
      <c r="J113" s="22" t="inlineStr"/>
      <c r="K113" s="22">
        <f>IF(OR('Brouillard ventes'!$F$61="",'Brouillard ventes'!$J$61="À crédit",'Brouillard ventes'!$J$61=""),"",Paramètres!$B$11)</f>
        <v/>
      </c>
      <c r="L113" s="23" t="n">
        <v>0</v>
      </c>
      <c r="M113" s="23">
        <f>IF(OR('Brouillard ventes'!$F$61="",'Brouillard ventes'!$J$61="À crédit",'Brouillard ventes'!$J$61=""),0,'Brouillard ventes'!$I$61)</f>
        <v/>
      </c>
    </row>
    <row r="114">
      <c r="A114" s="22" t="inlineStr">
        <is>
          <t>1</t>
        </is>
      </c>
      <c r="B114" s="22">
        <f>IF(OR('Brouillard ventes'!$F$62="",'Brouillard ventes'!$J$62="À crédit",'Brouillard ventes'!$J$62=""),"","EC"&amp;TEXT(ROW('Brouillard ventes'!$F$62)-5,"00000"))</f>
        <v/>
      </c>
      <c r="C114" s="22">
        <f>IF(OR('Brouillard ventes'!$F$62="",'Brouillard ventes'!$J$62="À crédit",'Brouillard ventes'!$J$62=""),"",YEAR('Brouillard ventes'!$A$62)*10000+MONTH('Brouillard ventes'!$A$62)*100+DAY('Brouillard ventes'!$A$62))</f>
        <v/>
      </c>
      <c r="D114" s="22">
        <f>IF(OR('Brouillard ventes'!$F$62="",'Brouillard ventes'!$J$62="À crédit",'Brouillard ventes'!$J$62=""),"",'Brouillard ventes'!$B$62)</f>
        <v/>
      </c>
      <c r="E114" s="22">
        <f>IF(OR('Brouillard ventes'!$F$62="",'Brouillard ventes'!$J$62="À crédit",'Brouillard ventes'!$J$62=""),"","REGL "&amp;LEFT('Brouillard ventes'!$D$62,25))</f>
        <v/>
      </c>
      <c r="F114" s="22">
        <f>IF(OR('Brouillard ventes'!$F$62="",'Brouillard ventes'!$J$62="À crédit",'Brouillard ventes'!$J$62=""),"",IF('Brouillard ventes'!$J$62="Espèces","04001","02001"))</f>
        <v/>
      </c>
      <c r="G114" s="22">
        <f>IF(OR('Brouillard ventes'!$F$62="",'Brouillard ventes'!$J$62="À crédit",'Brouillard ventes'!$J$62=""),"",IF('Brouillard ventes'!$J$62="Espèces","53000","51220"))</f>
        <v/>
      </c>
      <c r="H114" s="22" t="inlineStr"/>
      <c r="I114" s="22" t="inlineStr"/>
      <c r="J114" s="22" t="inlineStr"/>
      <c r="K114" s="22">
        <f>IF(OR('Brouillard ventes'!$F$62="",'Brouillard ventes'!$J$62="À crédit",'Brouillard ventes'!$J$62=""),"",Paramètres!$B$11)</f>
        <v/>
      </c>
      <c r="L114" s="23">
        <f>IF(OR('Brouillard ventes'!$F$62="",'Brouillard ventes'!$J$62="À crédit",'Brouillard ventes'!$J$62=""),0,'Brouillard ventes'!$I$62)</f>
        <v/>
      </c>
      <c r="M114" s="23" t="n">
        <v>0</v>
      </c>
    </row>
    <row r="115">
      <c r="A115" s="22" t="inlineStr">
        <is>
          <t>1</t>
        </is>
      </c>
      <c r="B115" s="22">
        <f>IF(OR('Brouillard ventes'!$F$62="",'Brouillard ventes'!$J$62="À crédit",'Brouillard ventes'!$J$62=""),"","EC"&amp;TEXT(ROW('Brouillard ventes'!$F$62)-5,"00000"))</f>
        <v/>
      </c>
      <c r="C115" s="22">
        <f>IF(OR('Brouillard ventes'!$F$62="",'Brouillard ventes'!$J$62="À crédit",'Brouillard ventes'!$J$62=""),"",YEAR('Brouillard ventes'!$A$62)*10000+MONTH('Brouillard ventes'!$A$62)*100+DAY('Brouillard ventes'!$A$62))</f>
        <v/>
      </c>
      <c r="D115" s="22">
        <f>IF(OR('Brouillard ventes'!$F$62="",'Brouillard ventes'!$J$62="À crédit",'Brouillard ventes'!$J$62=""),"",'Brouillard ventes'!$B$62)</f>
        <v/>
      </c>
      <c r="E115" s="22">
        <f>IF(OR('Brouillard ventes'!$F$62="",'Brouillard ventes'!$J$62="À crédit",'Brouillard ventes'!$J$62=""),"","REGL "&amp;LEFT('Brouillard ventes'!$D$62,25))</f>
        <v/>
      </c>
      <c r="F115" s="22">
        <f>IF(OR('Brouillard ventes'!$F$62="",'Brouillard ventes'!$J$62="À crédit",'Brouillard ventes'!$J$62=""),"",IF('Brouillard ventes'!$J$62="Espèces","04001","02001"))</f>
        <v/>
      </c>
      <c r="G115" s="22">
        <f>IF(OR('Brouillard ventes'!$F$62="",'Brouillard ventes'!$J$62="À crédit",'Brouillard ventes'!$J$62=""),"",Paramètres!$B$7)</f>
        <v/>
      </c>
      <c r="H115" s="22">
        <f>IF(OR('Brouillard ventes'!$F$62="",'Brouillard ventes'!$J$62="À crédit",'Brouillard ventes'!$J$62=""),"",IF('Brouillard ventes'!$C$62="","CD001",'Brouillard ventes'!$C$62))</f>
        <v/>
      </c>
      <c r="I115" s="22" t="inlineStr"/>
      <c r="J115" s="22" t="inlineStr"/>
      <c r="K115" s="22">
        <f>IF(OR('Brouillard ventes'!$F$62="",'Brouillard ventes'!$J$62="À crédit",'Brouillard ventes'!$J$62=""),"",Paramètres!$B$11)</f>
        <v/>
      </c>
      <c r="L115" s="23" t="n">
        <v>0</v>
      </c>
      <c r="M115" s="23">
        <f>IF(OR('Brouillard ventes'!$F$62="",'Brouillard ventes'!$J$62="À crédit",'Brouillard ventes'!$J$62=""),0,'Brouillard ventes'!$I$62)</f>
        <v/>
      </c>
    </row>
    <row r="116">
      <c r="A116" s="22" t="inlineStr">
        <is>
          <t>1</t>
        </is>
      </c>
      <c r="B116" s="22">
        <f>IF(OR('Brouillard ventes'!$F$63="",'Brouillard ventes'!$J$63="À crédit",'Brouillard ventes'!$J$63=""),"","EC"&amp;TEXT(ROW('Brouillard ventes'!$F$63)-5,"00000"))</f>
        <v/>
      </c>
      <c r="C116" s="22">
        <f>IF(OR('Brouillard ventes'!$F$63="",'Brouillard ventes'!$J$63="À crédit",'Brouillard ventes'!$J$63=""),"",YEAR('Brouillard ventes'!$A$63)*10000+MONTH('Brouillard ventes'!$A$63)*100+DAY('Brouillard ventes'!$A$63))</f>
        <v/>
      </c>
      <c r="D116" s="22">
        <f>IF(OR('Brouillard ventes'!$F$63="",'Brouillard ventes'!$J$63="À crédit",'Brouillard ventes'!$J$63=""),"",'Brouillard ventes'!$B$63)</f>
        <v/>
      </c>
      <c r="E116" s="22">
        <f>IF(OR('Brouillard ventes'!$F$63="",'Brouillard ventes'!$J$63="À crédit",'Brouillard ventes'!$J$63=""),"","REGL "&amp;LEFT('Brouillard ventes'!$D$63,25))</f>
        <v/>
      </c>
      <c r="F116" s="22">
        <f>IF(OR('Brouillard ventes'!$F$63="",'Brouillard ventes'!$J$63="À crédit",'Brouillard ventes'!$J$63=""),"",IF('Brouillard ventes'!$J$63="Espèces","04001","02001"))</f>
        <v/>
      </c>
      <c r="G116" s="22">
        <f>IF(OR('Brouillard ventes'!$F$63="",'Brouillard ventes'!$J$63="À crédit",'Brouillard ventes'!$J$63=""),"",IF('Brouillard ventes'!$J$63="Espèces","53000","51220"))</f>
        <v/>
      </c>
      <c r="H116" s="22" t="inlineStr"/>
      <c r="I116" s="22" t="inlineStr"/>
      <c r="J116" s="22" t="inlineStr"/>
      <c r="K116" s="22">
        <f>IF(OR('Brouillard ventes'!$F$63="",'Brouillard ventes'!$J$63="À crédit",'Brouillard ventes'!$J$63=""),"",Paramètres!$B$11)</f>
        <v/>
      </c>
      <c r="L116" s="23">
        <f>IF(OR('Brouillard ventes'!$F$63="",'Brouillard ventes'!$J$63="À crédit",'Brouillard ventes'!$J$63=""),0,'Brouillard ventes'!$I$63)</f>
        <v/>
      </c>
      <c r="M116" s="23" t="n">
        <v>0</v>
      </c>
    </row>
    <row r="117">
      <c r="A117" s="22" t="inlineStr">
        <is>
          <t>1</t>
        </is>
      </c>
      <c r="B117" s="22">
        <f>IF(OR('Brouillard ventes'!$F$63="",'Brouillard ventes'!$J$63="À crédit",'Brouillard ventes'!$J$63=""),"","EC"&amp;TEXT(ROW('Brouillard ventes'!$F$63)-5,"00000"))</f>
        <v/>
      </c>
      <c r="C117" s="22">
        <f>IF(OR('Brouillard ventes'!$F$63="",'Brouillard ventes'!$J$63="À crédit",'Brouillard ventes'!$J$63=""),"",YEAR('Brouillard ventes'!$A$63)*10000+MONTH('Brouillard ventes'!$A$63)*100+DAY('Brouillard ventes'!$A$63))</f>
        <v/>
      </c>
      <c r="D117" s="22">
        <f>IF(OR('Brouillard ventes'!$F$63="",'Brouillard ventes'!$J$63="À crédit",'Brouillard ventes'!$J$63=""),"",'Brouillard ventes'!$B$63)</f>
        <v/>
      </c>
      <c r="E117" s="22">
        <f>IF(OR('Brouillard ventes'!$F$63="",'Brouillard ventes'!$J$63="À crédit",'Brouillard ventes'!$J$63=""),"","REGL "&amp;LEFT('Brouillard ventes'!$D$63,25))</f>
        <v/>
      </c>
      <c r="F117" s="22">
        <f>IF(OR('Brouillard ventes'!$F$63="",'Brouillard ventes'!$J$63="À crédit",'Brouillard ventes'!$J$63=""),"",IF('Brouillard ventes'!$J$63="Espèces","04001","02001"))</f>
        <v/>
      </c>
      <c r="G117" s="22">
        <f>IF(OR('Brouillard ventes'!$F$63="",'Brouillard ventes'!$J$63="À crédit",'Brouillard ventes'!$J$63=""),"",Paramètres!$B$7)</f>
        <v/>
      </c>
      <c r="H117" s="22">
        <f>IF(OR('Brouillard ventes'!$F$63="",'Brouillard ventes'!$J$63="À crédit",'Brouillard ventes'!$J$63=""),"",IF('Brouillard ventes'!$C$63="","CD001",'Brouillard ventes'!$C$63))</f>
        <v/>
      </c>
      <c r="I117" s="22" t="inlineStr"/>
      <c r="J117" s="22" t="inlineStr"/>
      <c r="K117" s="22">
        <f>IF(OR('Brouillard ventes'!$F$63="",'Brouillard ventes'!$J$63="À crédit",'Brouillard ventes'!$J$63=""),"",Paramètres!$B$11)</f>
        <v/>
      </c>
      <c r="L117" s="23" t="n">
        <v>0</v>
      </c>
      <c r="M117" s="23">
        <f>IF(OR('Brouillard ventes'!$F$63="",'Brouillard ventes'!$J$63="À crédit",'Brouillard ventes'!$J$63=""),0,'Brouillard ventes'!$I$63)</f>
        <v/>
      </c>
    </row>
    <row r="118">
      <c r="A118" s="22" t="inlineStr">
        <is>
          <t>1</t>
        </is>
      </c>
      <c r="B118" s="22">
        <f>IF(OR('Brouillard ventes'!$F$64="",'Brouillard ventes'!$J$64="À crédit",'Brouillard ventes'!$J$64=""),"","EC"&amp;TEXT(ROW('Brouillard ventes'!$F$64)-5,"00000"))</f>
        <v/>
      </c>
      <c r="C118" s="22">
        <f>IF(OR('Brouillard ventes'!$F$64="",'Brouillard ventes'!$J$64="À crédit",'Brouillard ventes'!$J$64=""),"",YEAR('Brouillard ventes'!$A$64)*10000+MONTH('Brouillard ventes'!$A$64)*100+DAY('Brouillard ventes'!$A$64))</f>
        <v/>
      </c>
      <c r="D118" s="22">
        <f>IF(OR('Brouillard ventes'!$F$64="",'Brouillard ventes'!$J$64="À crédit",'Brouillard ventes'!$J$64=""),"",'Brouillard ventes'!$B$64)</f>
        <v/>
      </c>
      <c r="E118" s="22">
        <f>IF(OR('Brouillard ventes'!$F$64="",'Brouillard ventes'!$J$64="À crédit",'Brouillard ventes'!$J$64=""),"","REGL "&amp;LEFT('Brouillard ventes'!$D$64,25))</f>
        <v/>
      </c>
      <c r="F118" s="22">
        <f>IF(OR('Brouillard ventes'!$F$64="",'Brouillard ventes'!$J$64="À crédit",'Brouillard ventes'!$J$64=""),"",IF('Brouillard ventes'!$J$64="Espèces","04001","02001"))</f>
        <v/>
      </c>
      <c r="G118" s="22">
        <f>IF(OR('Brouillard ventes'!$F$64="",'Brouillard ventes'!$J$64="À crédit",'Brouillard ventes'!$J$64=""),"",IF('Brouillard ventes'!$J$64="Espèces","53000","51220"))</f>
        <v/>
      </c>
      <c r="H118" s="22" t="inlineStr"/>
      <c r="I118" s="22" t="inlineStr"/>
      <c r="J118" s="22" t="inlineStr"/>
      <c r="K118" s="22">
        <f>IF(OR('Brouillard ventes'!$F$64="",'Brouillard ventes'!$J$64="À crédit",'Brouillard ventes'!$J$64=""),"",Paramètres!$B$11)</f>
        <v/>
      </c>
      <c r="L118" s="23">
        <f>IF(OR('Brouillard ventes'!$F$64="",'Brouillard ventes'!$J$64="À crédit",'Brouillard ventes'!$J$64=""),0,'Brouillard ventes'!$I$64)</f>
        <v/>
      </c>
      <c r="M118" s="23" t="n">
        <v>0</v>
      </c>
    </row>
    <row r="119">
      <c r="A119" s="22" t="inlineStr">
        <is>
          <t>1</t>
        </is>
      </c>
      <c r="B119" s="22">
        <f>IF(OR('Brouillard ventes'!$F$64="",'Brouillard ventes'!$J$64="À crédit",'Brouillard ventes'!$J$64=""),"","EC"&amp;TEXT(ROW('Brouillard ventes'!$F$64)-5,"00000"))</f>
        <v/>
      </c>
      <c r="C119" s="22">
        <f>IF(OR('Brouillard ventes'!$F$64="",'Brouillard ventes'!$J$64="À crédit",'Brouillard ventes'!$J$64=""),"",YEAR('Brouillard ventes'!$A$64)*10000+MONTH('Brouillard ventes'!$A$64)*100+DAY('Brouillard ventes'!$A$64))</f>
        <v/>
      </c>
      <c r="D119" s="22">
        <f>IF(OR('Brouillard ventes'!$F$64="",'Brouillard ventes'!$J$64="À crédit",'Brouillard ventes'!$J$64=""),"",'Brouillard ventes'!$B$64)</f>
        <v/>
      </c>
      <c r="E119" s="22">
        <f>IF(OR('Brouillard ventes'!$F$64="",'Brouillard ventes'!$J$64="À crédit",'Brouillard ventes'!$J$64=""),"","REGL "&amp;LEFT('Brouillard ventes'!$D$64,25))</f>
        <v/>
      </c>
      <c r="F119" s="22">
        <f>IF(OR('Brouillard ventes'!$F$64="",'Brouillard ventes'!$J$64="À crédit",'Brouillard ventes'!$J$64=""),"",IF('Brouillard ventes'!$J$64="Espèces","04001","02001"))</f>
        <v/>
      </c>
      <c r="G119" s="22">
        <f>IF(OR('Brouillard ventes'!$F$64="",'Brouillard ventes'!$J$64="À crédit",'Brouillard ventes'!$J$64=""),"",Paramètres!$B$7)</f>
        <v/>
      </c>
      <c r="H119" s="22">
        <f>IF(OR('Brouillard ventes'!$F$64="",'Brouillard ventes'!$J$64="À crédit",'Brouillard ventes'!$J$64=""),"",IF('Brouillard ventes'!$C$64="","CD001",'Brouillard ventes'!$C$64))</f>
        <v/>
      </c>
      <c r="I119" s="22" t="inlineStr"/>
      <c r="J119" s="22" t="inlineStr"/>
      <c r="K119" s="22">
        <f>IF(OR('Brouillard ventes'!$F$64="",'Brouillard ventes'!$J$64="À crédit",'Brouillard ventes'!$J$64=""),"",Paramètres!$B$11)</f>
        <v/>
      </c>
      <c r="L119" s="23" t="n">
        <v>0</v>
      </c>
      <c r="M119" s="23">
        <f>IF(OR('Brouillard ventes'!$F$64="",'Brouillard ventes'!$J$64="À crédit",'Brouillard ventes'!$J$64=""),0,'Brouillard ventes'!$I$64)</f>
        <v/>
      </c>
    </row>
    <row r="120">
      <c r="A120" s="22" t="inlineStr">
        <is>
          <t>1</t>
        </is>
      </c>
      <c r="B120" s="22">
        <f>IF(OR('Brouillard ventes'!$F$65="",'Brouillard ventes'!$J$65="À crédit",'Brouillard ventes'!$J$65=""),"","EC"&amp;TEXT(ROW('Brouillard ventes'!$F$65)-5,"00000"))</f>
        <v/>
      </c>
      <c r="C120" s="22">
        <f>IF(OR('Brouillard ventes'!$F$65="",'Brouillard ventes'!$J$65="À crédit",'Brouillard ventes'!$J$65=""),"",YEAR('Brouillard ventes'!$A$65)*10000+MONTH('Brouillard ventes'!$A$65)*100+DAY('Brouillard ventes'!$A$65))</f>
        <v/>
      </c>
      <c r="D120" s="22">
        <f>IF(OR('Brouillard ventes'!$F$65="",'Brouillard ventes'!$J$65="À crédit",'Brouillard ventes'!$J$65=""),"",'Brouillard ventes'!$B$65)</f>
        <v/>
      </c>
      <c r="E120" s="22">
        <f>IF(OR('Brouillard ventes'!$F$65="",'Brouillard ventes'!$J$65="À crédit",'Brouillard ventes'!$J$65=""),"","REGL "&amp;LEFT('Brouillard ventes'!$D$65,25))</f>
        <v/>
      </c>
      <c r="F120" s="22">
        <f>IF(OR('Brouillard ventes'!$F$65="",'Brouillard ventes'!$J$65="À crédit",'Brouillard ventes'!$J$65=""),"",IF('Brouillard ventes'!$J$65="Espèces","04001","02001"))</f>
        <v/>
      </c>
      <c r="G120" s="22">
        <f>IF(OR('Brouillard ventes'!$F$65="",'Brouillard ventes'!$J$65="À crédit",'Brouillard ventes'!$J$65=""),"",IF('Brouillard ventes'!$J$65="Espèces","53000","51220"))</f>
        <v/>
      </c>
      <c r="H120" s="22" t="inlineStr"/>
      <c r="I120" s="22" t="inlineStr"/>
      <c r="J120" s="22" t="inlineStr"/>
      <c r="K120" s="22">
        <f>IF(OR('Brouillard ventes'!$F$65="",'Brouillard ventes'!$J$65="À crédit",'Brouillard ventes'!$J$65=""),"",Paramètres!$B$11)</f>
        <v/>
      </c>
      <c r="L120" s="23">
        <f>IF(OR('Brouillard ventes'!$F$65="",'Brouillard ventes'!$J$65="À crédit",'Brouillard ventes'!$J$65=""),0,'Brouillard ventes'!$I$65)</f>
        <v/>
      </c>
      <c r="M120" s="23" t="n">
        <v>0</v>
      </c>
    </row>
    <row r="121">
      <c r="A121" s="22" t="inlineStr">
        <is>
          <t>1</t>
        </is>
      </c>
      <c r="B121" s="22">
        <f>IF(OR('Brouillard ventes'!$F$65="",'Brouillard ventes'!$J$65="À crédit",'Brouillard ventes'!$J$65=""),"","EC"&amp;TEXT(ROW('Brouillard ventes'!$F$65)-5,"00000"))</f>
        <v/>
      </c>
      <c r="C121" s="22">
        <f>IF(OR('Brouillard ventes'!$F$65="",'Brouillard ventes'!$J$65="À crédit",'Brouillard ventes'!$J$65=""),"",YEAR('Brouillard ventes'!$A$65)*10000+MONTH('Brouillard ventes'!$A$65)*100+DAY('Brouillard ventes'!$A$65))</f>
        <v/>
      </c>
      <c r="D121" s="22">
        <f>IF(OR('Brouillard ventes'!$F$65="",'Brouillard ventes'!$J$65="À crédit",'Brouillard ventes'!$J$65=""),"",'Brouillard ventes'!$B$65)</f>
        <v/>
      </c>
      <c r="E121" s="22">
        <f>IF(OR('Brouillard ventes'!$F$65="",'Brouillard ventes'!$J$65="À crédit",'Brouillard ventes'!$J$65=""),"","REGL "&amp;LEFT('Brouillard ventes'!$D$65,25))</f>
        <v/>
      </c>
      <c r="F121" s="22">
        <f>IF(OR('Brouillard ventes'!$F$65="",'Brouillard ventes'!$J$65="À crédit",'Brouillard ventes'!$J$65=""),"",IF('Brouillard ventes'!$J$65="Espèces","04001","02001"))</f>
        <v/>
      </c>
      <c r="G121" s="22">
        <f>IF(OR('Brouillard ventes'!$F$65="",'Brouillard ventes'!$J$65="À crédit",'Brouillard ventes'!$J$65=""),"",Paramètres!$B$7)</f>
        <v/>
      </c>
      <c r="H121" s="22">
        <f>IF(OR('Brouillard ventes'!$F$65="",'Brouillard ventes'!$J$65="À crédit",'Brouillard ventes'!$J$65=""),"",IF('Brouillard ventes'!$C$65="","CD001",'Brouillard ventes'!$C$65))</f>
        <v/>
      </c>
      <c r="I121" s="22" t="inlineStr"/>
      <c r="J121" s="22" t="inlineStr"/>
      <c r="K121" s="22">
        <f>IF(OR('Brouillard ventes'!$F$65="",'Brouillard ventes'!$J$65="À crédit",'Brouillard ventes'!$J$65=""),"",Paramètres!$B$11)</f>
        <v/>
      </c>
      <c r="L121" s="23" t="n">
        <v>0</v>
      </c>
      <c r="M121" s="23">
        <f>IF(OR('Brouillard ventes'!$F$65="",'Brouillard ventes'!$J$65="À crédit",'Brouillard ventes'!$J$65=""),0,'Brouillard ventes'!$I$65)</f>
        <v/>
      </c>
    </row>
    <row r="122">
      <c r="A122" s="22" t="inlineStr">
        <is>
          <t>1</t>
        </is>
      </c>
      <c r="B122" s="22">
        <f>IF(OR('Brouillard ventes'!$F$66="",'Brouillard ventes'!$J$66="À crédit",'Brouillard ventes'!$J$66=""),"","EC"&amp;TEXT(ROW('Brouillard ventes'!$F$66)-5,"00000"))</f>
        <v/>
      </c>
      <c r="C122" s="22">
        <f>IF(OR('Brouillard ventes'!$F$66="",'Brouillard ventes'!$J$66="À crédit",'Brouillard ventes'!$J$66=""),"",YEAR('Brouillard ventes'!$A$66)*10000+MONTH('Brouillard ventes'!$A$66)*100+DAY('Brouillard ventes'!$A$66))</f>
        <v/>
      </c>
      <c r="D122" s="22">
        <f>IF(OR('Brouillard ventes'!$F$66="",'Brouillard ventes'!$J$66="À crédit",'Brouillard ventes'!$J$66=""),"",'Brouillard ventes'!$B$66)</f>
        <v/>
      </c>
      <c r="E122" s="22">
        <f>IF(OR('Brouillard ventes'!$F$66="",'Brouillard ventes'!$J$66="À crédit",'Brouillard ventes'!$J$66=""),"","REGL "&amp;LEFT('Brouillard ventes'!$D$66,25))</f>
        <v/>
      </c>
      <c r="F122" s="22">
        <f>IF(OR('Brouillard ventes'!$F$66="",'Brouillard ventes'!$J$66="À crédit",'Brouillard ventes'!$J$66=""),"",IF('Brouillard ventes'!$J$66="Espèces","04001","02001"))</f>
        <v/>
      </c>
      <c r="G122" s="22">
        <f>IF(OR('Brouillard ventes'!$F$66="",'Brouillard ventes'!$J$66="À crédit",'Brouillard ventes'!$J$66=""),"",IF('Brouillard ventes'!$J$66="Espèces","53000","51220"))</f>
        <v/>
      </c>
      <c r="H122" s="22" t="inlineStr"/>
      <c r="I122" s="22" t="inlineStr"/>
      <c r="J122" s="22" t="inlineStr"/>
      <c r="K122" s="22">
        <f>IF(OR('Brouillard ventes'!$F$66="",'Brouillard ventes'!$J$66="À crédit",'Brouillard ventes'!$J$66=""),"",Paramètres!$B$11)</f>
        <v/>
      </c>
      <c r="L122" s="23">
        <f>IF(OR('Brouillard ventes'!$F$66="",'Brouillard ventes'!$J$66="À crédit",'Brouillard ventes'!$J$66=""),0,'Brouillard ventes'!$I$66)</f>
        <v/>
      </c>
      <c r="M122" s="23" t="n">
        <v>0</v>
      </c>
    </row>
    <row r="123">
      <c r="A123" s="22" t="inlineStr">
        <is>
          <t>1</t>
        </is>
      </c>
      <c r="B123" s="22">
        <f>IF(OR('Brouillard ventes'!$F$66="",'Brouillard ventes'!$J$66="À crédit",'Brouillard ventes'!$J$66=""),"","EC"&amp;TEXT(ROW('Brouillard ventes'!$F$66)-5,"00000"))</f>
        <v/>
      </c>
      <c r="C123" s="22">
        <f>IF(OR('Brouillard ventes'!$F$66="",'Brouillard ventes'!$J$66="À crédit",'Brouillard ventes'!$J$66=""),"",YEAR('Brouillard ventes'!$A$66)*10000+MONTH('Brouillard ventes'!$A$66)*100+DAY('Brouillard ventes'!$A$66))</f>
        <v/>
      </c>
      <c r="D123" s="22">
        <f>IF(OR('Brouillard ventes'!$F$66="",'Brouillard ventes'!$J$66="À crédit",'Brouillard ventes'!$J$66=""),"",'Brouillard ventes'!$B$66)</f>
        <v/>
      </c>
      <c r="E123" s="22">
        <f>IF(OR('Brouillard ventes'!$F$66="",'Brouillard ventes'!$J$66="À crédit",'Brouillard ventes'!$J$66=""),"","REGL "&amp;LEFT('Brouillard ventes'!$D$66,25))</f>
        <v/>
      </c>
      <c r="F123" s="22">
        <f>IF(OR('Brouillard ventes'!$F$66="",'Brouillard ventes'!$J$66="À crédit",'Brouillard ventes'!$J$66=""),"",IF('Brouillard ventes'!$J$66="Espèces","04001","02001"))</f>
        <v/>
      </c>
      <c r="G123" s="22">
        <f>IF(OR('Brouillard ventes'!$F$66="",'Brouillard ventes'!$J$66="À crédit",'Brouillard ventes'!$J$66=""),"",Paramètres!$B$7)</f>
        <v/>
      </c>
      <c r="H123" s="22">
        <f>IF(OR('Brouillard ventes'!$F$66="",'Brouillard ventes'!$J$66="À crédit",'Brouillard ventes'!$J$66=""),"",IF('Brouillard ventes'!$C$66="","CD001",'Brouillard ventes'!$C$66))</f>
        <v/>
      </c>
      <c r="I123" s="22" t="inlineStr"/>
      <c r="J123" s="22" t="inlineStr"/>
      <c r="K123" s="22">
        <f>IF(OR('Brouillard ventes'!$F$66="",'Brouillard ventes'!$J$66="À crédit",'Brouillard ventes'!$J$66=""),"",Paramètres!$B$11)</f>
        <v/>
      </c>
      <c r="L123" s="23" t="n">
        <v>0</v>
      </c>
      <c r="M123" s="23">
        <f>IF(OR('Brouillard ventes'!$F$66="",'Brouillard ventes'!$J$66="À crédit",'Brouillard ventes'!$J$66=""),0,'Brouillard ventes'!$I$66)</f>
        <v/>
      </c>
    </row>
    <row r="124">
      <c r="A124" s="22" t="inlineStr">
        <is>
          <t>1</t>
        </is>
      </c>
      <c r="B124" s="22">
        <f>IF(OR('Brouillard ventes'!$F$67="",'Brouillard ventes'!$J$67="À crédit",'Brouillard ventes'!$J$67=""),"","EC"&amp;TEXT(ROW('Brouillard ventes'!$F$67)-5,"00000"))</f>
        <v/>
      </c>
      <c r="C124" s="22">
        <f>IF(OR('Brouillard ventes'!$F$67="",'Brouillard ventes'!$J$67="À crédit",'Brouillard ventes'!$J$67=""),"",YEAR('Brouillard ventes'!$A$67)*10000+MONTH('Brouillard ventes'!$A$67)*100+DAY('Brouillard ventes'!$A$67))</f>
        <v/>
      </c>
      <c r="D124" s="22">
        <f>IF(OR('Brouillard ventes'!$F$67="",'Brouillard ventes'!$J$67="À crédit",'Brouillard ventes'!$J$67=""),"",'Brouillard ventes'!$B$67)</f>
        <v/>
      </c>
      <c r="E124" s="22">
        <f>IF(OR('Brouillard ventes'!$F$67="",'Brouillard ventes'!$J$67="À crédit",'Brouillard ventes'!$J$67=""),"","REGL "&amp;LEFT('Brouillard ventes'!$D$67,25))</f>
        <v/>
      </c>
      <c r="F124" s="22">
        <f>IF(OR('Brouillard ventes'!$F$67="",'Brouillard ventes'!$J$67="À crédit",'Brouillard ventes'!$J$67=""),"",IF('Brouillard ventes'!$J$67="Espèces","04001","02001"))</f>
        <v/>
      </c>
      <c r="G124" s="22">
        <f>IF(OR('Brouillard ventes'!$F$67="",'Brouillard ventes'!$J$67="À crédit",'Brouillard ventes'!$J$67=""),"",IF('Brouillard ventes'!$J$67="Espèces","53000","51220"))</f>
        <v/>
      </c>
      <c r="H124" s="22" t="inlineStr"/>
      <c r="I124" s="22" t="inlineStr"/>
      <c r="J124" s="22" t="inlineStr"/>
      <c r="K124" s="22">
        <f>IF(OR('Brouillard ventes'!$F$67="",'Brouillard ventes'!$J$67="À crédit",'Brouillard ventes'!$J$67=""),"",Paramètres!$B$11)</f>
        <v/>
      </c>
      <c r="L124" s="23">
        <f>IF(OR('Brouillard ventes'!$F$67="",'Brouillard ventes'!$J$67="À crédit",'Brouillard ventes'!$J$67=""),0,'Brouillard ventes'!$I$67)</f>
        <v/>
      </c>
      <c r="M124" s="23" t="n">
        <v>0</v>
      </c>
    </row>
    <row r="125">
      <c r="A125" s="22" t="inlineStr">
        <is>
          <t>1</t>
        </is>
      </c>
      <c r="B125" s="22">
        <f>IF(OR('Brouillard ventes'!$F$67="",'Brouillard ventes'!$J$67="À crédit",'Brouillard ventes'!$J$67=""),"","EC"&amp;TEXT(ROW('Brouillard ventes'!$F$67)-5,"00000"))</f>
        <v/>
      </c>
      <c r="C125" s="22">
        <f>IF(OR('Brouillard ventes'!$F$67="",'Brouillard ventes'!$J$67="À crédit",'Brouillard ventes'!$J$67=""),"",YEAR('Brouillard ventes'!$A$67)*10000+MONTH('Brouillard ventes'!$A$67)*100+DAY('Brouillard ventes'!$A$67))</f>
        <v/>
      </c>
      <c r="D125" s="22">
        <f>IF(OR('Brouillard ventes'!$F$67="",'Brouillard ventes'!$J$67="À crédit",'Brouillard ventes'!$J$67=""),"",'Brouillard ventes'!$B$67)</f>
        <v/>
      </c>
      <c r="E125" s="22">
        <f>IF(OR('Brouillard ventes'!$F$67="",'Brouillard ventes'!$J$67="À crédit",'Brouillard ventes'!$J$67=""),"","REGL "&amp;LEFT('Brouillard ventes'!$D$67,25))</f>
        <v/>
      </c>
      <c r="F125" s="22">
        <f>IF(OR('Brouillard ventes'!$F$67="",'Brouillard ventes'!$J$67="À crédit",'Brouillard ventes'!$J$67=""),"",IF('Brouillard ventes'!$J$67="Espèces","04001","02001"))</f>
        <v/>
      </c>
      <c r="G125" s="22">
        <f>IF(OR('Brouillard ventes'!$F$67="",'Brouillard ventes'!$J$67="À crédit",'Brouillard ventes'!$J$67=""),"",Paramètres!$B$7)</f>
        <v/>
      </c>
      <c r="H125" s="22">
        <f>IF(OR('Brouillard ventes'!$F$67="",'Brouillard ventes'!$J$67="À crédit",'Brouillard ventes'!$J$67=""),"",IF('Brouillard ventes'!$C$67="","CD001",'Brouillard ventes'!$C$67))</f>
        <v/>
      </c>
      <c r="I125" s="22" t="inlineStr"/>
      <c r="J125" s="22" t="inlineStr"/>
      <c r="K125" s="22">
        <f>IF(OR('Brouillard ventes'!$F$67="",'Brouillard ventes'!$J$67="À crédit",'Brouillard ventes'!$J$67=""),"",Paramètres!$B$11)</f>
        <v/>
      </c>
      <c r="L125" s="23" t="n">
        <v>0</v>
      </c>
      <c r="M125" s="23">
        <f>IF(OR('Brouillard ventes'!$F$67="",'Brouillard ventes'!$J$67="À crédit",'Brouillard ventes'!$J$67=""),0,'Brouillard ventes'!$I$67)</f>
        <v/>
      </c>
    </row>
    <row r="126">
      <c r="A126" s="22" t="inlineStr">
        <is>
          <t>1</t>
        </is>
      </c>
      <c r="B126" s="22">
        <f>IF(OR('Brouillard ventes'!$F$68="",'Brouillard ventes'!$J$68="À crédit",'Brouillard ventes'!$J$68=""),"","EC"&amp;TEXT(ROW('Brouillard ventes'!$F$68)-5,"00000"))</f>
        <v/>
      </c>
      <c r="C126" s="22">
        <f>IF(OR('Brouillard ventes'!$F$68="",'Brouillard ventes'!$J$68="À crédit",'Brouillard ventes'!$J$68=""),"",YEAR('Brouillard ventes'!$A$68)*10000+MONTH('Brouillard ventes'!$A$68)*100+DAY('Brouillard ventes'!$A$68))</f>
        <v/>
      </c>
      <c r="D126" s="22">
        <f>IF(OR('Brouillard ventes'!$F$68="",'Brouillard ventes'!$J$68="À crédit",'Brouillard ventes'!$J$68=""),"",'Brouillard ventes'!$B$68)</f>
        <v/>
      </c>
      <c r="E126" s="22">
        <f>IF(OR('Brouillard ventes'!$F$68="",'Brouillard ventes'!$J$68="À crédit",'Brouillard ventes'!$J$68=""),"","REGL "&amp;LEFT('Brouillard ventes'!$D$68,25))</f>
        <v/>
      </c>
      <c r="F126" s="22">
        <f>IF(OR('Brouillard ventes'!$F$68="",'Brouillard ventes'!$J$68="À crédit",'Brouillard ventes'!$J$68=""),"",IF('Brouillard ventes'!$J$68="Espèces","04001","02001"))</f>
        <v/>
      </c>
      <c r="G126" s="22">
        <f>IF(OR('Brouillard ventes'!$F$68="",'Brouillard ventes'!$J$68="À crédit",'Brouillard ventes'!$J$68=""),"",IF('Brouillard ventes'!$J$68="Espèces","53000","51220"))</f>
        <v/>
      </c>
      <c r="H126" s="22" t="inlineStr"/>
      <c r="I126" s="22" t="inlineStr"/>
      <c r="J126" s="22" t="inlineStr"/>
      <c r="K126" s="22">
        <f>IF(OR('Brouillard ventes'!$F$68="",'Brouillard ventes'!$J$68="À crédit",'Brouillard ventes'!$J$68=""),"",Paramètres!$B$11)</f>
        <v/>
      </c>
      <c r="L126" s="23">
        <f>IF(OR('Brouillard ventes'!$F$68="",'Brouillard ventes'!$J$68="À crédit",'Brouillard ventes'!$J$68=""),0,'Brouillard ventes'!$I$68)</f>
        <v/>
      </c>
      <c r="M126" s="23" t="n">
        <v>0</v>
      </c>
    </row>
    <row r="127">
      <c r="A127" s="22" t="inlineStr">
        <is>
          <t>1</t>
        </is>
      </c>
      <c r="B127" s="22">
        <f>IF(OR('Brouillard ventes'!$F$68="",'Brouillard ventes'!$J$68="À crédit",'Brouillard ventes'!$J$68=""),"","EC"&amp;TEXT(ROW('Brouillard ventes'!$F$68)-5,"00000"))</f>
        <v/>
      </c>
      <c r="C127" s="22">
        <f>IF(OR('Brouillard ventes'!$F$68="",'Brouillard ventes'!$J$68="À crédit",'Brouillard ventes'!$J$68=""),"",YEAR('Brouillard ventes'!$A$68)*10000+MONTH('Brouillard ventes'!$A$68)*100+DAY('Brouillard ventes'!$A$68))</f>
        <v/>
      </c>
      <c r="D127" s="22">
        <f>IF(OR('Brouillard ventes'!$F$68="",'Brouillard ventes'!$J$68="À crédit",'Brouillard ventes'!$J$68=""),"",'Brouillard ventes'!$B$68)</f>
        <v/>
      </c>
      <c r="E127" s="22">
        <f>IF(OR('Brouillard ventes'!$F$68="",'Brouillard ventes'!$J$68="À crédit",'Brouillard ventes'!$J$68=""),"","REGL "&amp;LEFT('Brouillard ventes'!$D$68,25))</f>
        <v/>
      </c>
      <c r="F127" s="22">
        <f>IF(OR('Brouillard ventes'!$F$68="",'Brouillard ventes'!$J$68="À crédit",'Brouillard ventes'!$J$68=""),"",IF('Brouillard ventes'!$J$68="Espèces","04001","02001"))</f>
        <v/>
      </c>
      <c r="G127" s="22">
        <f>IF(OR('Brouillard ventes'!$F$68="",'Brouillard ventes'!$J$68="À crédit",'Brouillard ventes'!$J$68=""),"",Paramètres!$B$7)</f>
        <v/>
      </c>
      <c r="H127" s="22">
        <f>IF(OR('Brouillard ventes'!$F$68="",'Brouillard ventes'!$J$68="À crédit",'Brouillard ventes'!$J$68=""),"",IF('Brouillard ventes'!$C$68="","CD001",'Brouillard ventes'!$C$68))</f>
        <v/>
      </c>
      <c r="I127" s="22" t="inlineStr"/>
      <c r="J127" s="22" t="inlineStr"/>
      <c r="K127" s="22">
        <f>IF(OR('Brouillard ventes'!$F$68="",'Brouillard ventes'!$J$68="À crédit",'Brouillard ventes'!$J$68=""),"",Paramètres!$B$11)</f>
        <v/>
      </c>
      <c r="L127" s="23" t="n">
        <v>0</v>
      </c>
      <c r="M127" s="23">
        <f>IF(OR('Brouillard ventes'!$F$68="",'Brouillard ventes'!$J$68="À crédit",'Brouillard ventes'!$J$68=""),0,'Brouillard ventes'!$I$68)</f>
        <v/>
      </c>
    </row>
    <row r="128">
      <c r="A128" s="22" t="inlineStr">
        <is>
          <t>1</t>
        </is>
      </c>
      <c r="B128" s="22">
        <f>IF(OR('Brouillard ventes'!$F$69="",'Brouillard ventes'!$J$69="À crédit",'Brouillard ventes'!$J$69=""),"","EC"&amp;TEXT(ROW('Brouillard ventes'!$F$69)-5,"00000"))</f>
        <v/>
      </c>
      <c r="C128" s="22">
        <f>IF(OR('Brouillard ventes'!$F$69="",'Brouillard ventes'!$J$69="À crédit",'Brouillard ventes'!$J$69=""),"",YEAR('Brouillard ventes'!$A$69)*10000+MONTH('Brouillard ventes'!$A$69)*100+DAY('Brouillard ventes'!$A$69))</f>
        <v/>
      </c>
      <c r="D128" s="22">
        <f>IF(OR('Brouillard ventes'!$F$69="",'Brouillard ventes'!$J$69="À crédit",'Brouillard ventes'!$J$69=""),"",'Brouillard ventes'!$B$69)</f>
        <v/>
      </c>
      <c r="E128" s="22">
        <f>IF(OR('Brouillard ventes'!$F$69="",'Brouillard ventes'!$J$69="À crédit",'Brouillard ventes'!$J$69=""),"","REGL "&amp;LEFT('Brouillard ventes'!$D$69,25))</f>
        <v/>
      </c>
      <c r="F128" s="22">
        <f>IF(OR('Brouillard ventes'!$F$69="",'Brouillard ventes'!$J$69="À crédit",'Brouillard ventes'!$J$69=""),"",IF('Brouillard ventes'!$J$69="Espèces","04001","02001"))</f>
        <v/>
      </c>
      <c r="G128" s="22">
        <f>IF(OR('Brouillard ventes'!$F$69="",'Brouillard ventes'!$J$69="À crédit",'Brouillard ventes'!$J$69=""),"",IF('Brouillard ventes'!$J$69="Espèces","53000","51220"))</f>
        <v/>
      </c>
      <c r="H128" s="22" t="inlineStr"/>
      <c r="I128" s="22" t="inlineStr"/>
      <c r="J128" s="22" t="inlineStr"/>
      <c r="K128" s="22">
        <f>IF(OR('Brouillard ventes'!$F$69="",'Brouillard ventes'!$J$69="À crédit",'Brouillard ventes'!$J$69=""),"",Paramètres!$B$11)</f>
        <v/>
      </c>
      <c r="L128" s="23">
        <f>IF(OR('Brouillard ventes'!$F$69="",'Brouillard ventes'!$J$69="À crédit",'Brouillard ventes'!$J$69=""),0,'Brouillard ventes'!$I$69)</f>
        <v/>
      </c>
      <c r="M128" s="23" t="n">
        <v>0</v>
      </c>
    </row>
    <row r="129">
      <c r="A129" s="22" t="inlineStr">
        <is>
          <t>1</t>
        </is>
      </c>
      <c r="B129" s="22">
        <f>IF(OR('Brouillard ventes'!$F$69="",'Brouillard ventes'!$J$69="À crédit",'Brouillard ventes'!$J$69=""),"","EC"&amp;TEXT(ROW('Brouillard ventes'!$F$69)-5,"00000"))</f>
        <v/>
      </c>
      <c r="C129" s="22">
        <f>IF(OR('Brouillard ventes'!$F$69="",'Brouillard ventes'!$J$69="À crédit",'Brouillard ventes'!$J$69=""),"",YEAR('Brouillard ventes'!$A$69)*10000+MONTH('Brouillard ventes'!$A$69)*100+DAY('Brouillard ventes'!$A$69))</f>
        <v/>
      </c>
      <c r="D129" s="22">
        <f>IF(OR('Brouillard ventes'!$F$69="",'Brouillard ventes'!$J$69="À crédit",'Brouillard ventes'!$J$69=""),"",'Brouillard ventes'!$B$69)</f>
        <v/>
      </c>
      <c r="E129" s="22">
        <f>IF(OR('Brouillard ventes'!$F$69="",'Brouillard ventes'!$J$69="À crédit",'Brouillard ventes'!$J$69=""),"","REGL "&amp;LEFT('Brouillard ventes'!$D$69,25))</f>
        <v/>
      </c>
      <c r="F129" s="22">
        <f>IF(OR('Brouillard ventes'!$F$69="",'Brouillard ventes'!$J$69="À crédit",'Brouillard ventes'!$J$69=""),"",IF('Brouillard ventes'!$J$69="Espèces","04001","02001"))</f>
        <v/>
      </c>
      <c r="G129" s="22">
        <f>IF(OR('Brouillard ventes'!$F$69="",'Brouillard ventes'!$J$69="À crédit",'Brouillard ventes'!$J$69=""),"",Paramètres!$B$7)</f>
        <v/>
      </c>
      <c r="H129" s="22">
        <f>IF(OR('Brouillard ventes'!$F$69="",'Brouillard ventes'!$J$69="À crédit",'Brouillard ventes'!$J$69=""),"",IF('Brouillard ventes'!$C$69="","CD001",'Brouillard ventes'!$C$69))</f>
        <v/>
      </c>
      <c r="I129" s="22" t="inlineStr"/>
      <c r="J129" s="22" t="inlineStr"/>
      <c r="K129" s="22">
        <f>IF(OR('Brouillard ventes'!$F$69="",'Brouillard ventes'!$J$69="À crédit",'Brouillard ventes'!$J$69=""),"",Paramètres!$B$11)</f>
        <v/>
      </c>
      <c r="L129" s="23" t="n">
        <v>0</v>
      </c>
      <c r="M129" s="23">
        <f>IF(OR('Brouillard ventes'!$F$69="",'Brouillard ventes'!$J$69="À crédit",'Brouillard ventes'!$J$69=""),0,'Brouillard ventes'!$I$69)</f>
        <v/>
      </c>
    </row>
    <row r="130">
      <c r="A130" s="22" t="inlineStr">
        <is>
          <t>1</t>
        </is>
      </c>
      <c r="B130" s="22">
        <f>IF(OR('Brouillard ventes'!$F$70="",'Brouillard ventes'!$J$70="À crédit",'Brouillard ventes'!$J$70=""),"","EC"&amp;TEXT(ROW('Brouillard ventes'!$F$70)-5,"00000"))</f>
        <v/>
      </c>
      <c r="C130" s="22">
        <f>IF(OR('Brouillard ventes'!$F$70="",'Brouillard ventes'!$J$70="À crédit",'Brouillard ventes'!$J$70=""),"",YEAR('Brouillard ventes'!$A$70)*10000+MONTH('Brouillard ventes'!$A$70)*100+DAY('Brouillard ventes'!$A$70))</f>
        <v/>
      </c>
      <c r="D130" s="22">
        <f>IF(OR('Brouillard ventes'!$F$70="",'Brouillard ventes'!$J$70="À crédit",'Brouillard ventes'!$J$70=""),"",'Brouillard ventes'!$B$70)</f>
        <v/>
      </c>
      <c r="E130" s="22">
        <f>IF(OR('Brouillard ventes'!$F$70="",'Brouillard ventes'!$J$70="À crédit",'Brouillard ventes'!$J$70=""),"","REGL "&amp;LEFT('Brouillard ventes'!$D$70,25))</f>
        <v/>
      </c>
      <c r="F130" s="22">
        <f>IF(OR('Brouillard ventes'!$F$70="",'Brouillard ventes'!$J$70="À crédit",'Brouillard ventes'!$J$70=""),"",IF('Brouillard ventes'!$J$70="Espèces","04001","02001"))</f>
        <v/>
      </c>
      <c r="G130" s="22">
        <f>IF(OR('Brouillard ventes'!$F$70="",'Brouillard ventes'!$J$70="À crédit",'Brouillard ventes'!$J$70=""),"",IF('Brouillard ventes'!$J$70="Espèces","53000","51220"))</f>
        <v/>
      </c>
      <c r="H130" s="22" t="inlineStr"/>
      <c r="I130" s="22" t="inlineStr"/>
      <c r="J130" s="22" t="inlineStr"/>
      <c r="K130" s="22">
        <f>IF(OR('Brouillard ventes'!$F$70="",'Brouillard ventes'!$J$70="À crédit",'Brouillard ventes'!$J$70=""),"",Paramètres!$B$11)</f>
        <v/>
      </c>
      <c r="L130" s="23">
        <f>IF(OR('Brouillard ventes'!$F$70="",'Brouillard ventes'!$J$70="À crédit",'Brouillard ventes'!$J$70=""),0,'Brouillard ventes'!$I$70)</f>
        <v/>
      </c>
      <c r="M130" s="23" t="n">
        <v>0</v>
      </c>
    </row>
    <row r="131">
      <c r="A131" s="22" t="inlineStr">
        <is>
          <t>1</t>
        </is>
      </c>
      <c r="B131" s="22">
        <f>IF(OR('Brouillard ventes'!$F$70="",'Brouillard ventes'!$J$70="À crédit",'Brouillard ventes'!$J$70=""),"","EC"&amp;TEXT(ROW('Brouillard ventes'!$F$70)-5,"00000"))</f>
        <v/>
      </c>
      <c r="C131" s="22">
        <f>IF(OR('Brouillard ventes'!$F$70="",'Brouillard ventes'!$J$70="À crédit",'Brouillard ventes'!$J$70=""),"",YEAR('Brouillard ventes'!$A$70)*10000+MONTH('Brouillard ventes'!$A$70)*100+DAY('Brouillard ventes'!$A$70))</f>
        <v/>
      </c>
      <c r="D131" s="22">
        <f>IF(OR('Brouillard ventes'!$F$70="",'Brouillard ventes'!$J$70="À crédit",'Brouillard ventes'!$J$70=""),"",'Brouillard ventes'!$B$70)</f>
        <v/>
      </c>
      <c r="E131" s="22">
        <f>IF(OR('Brouillard ventes'!$F$70="",'Brouillard ventes'!$J$70="À crédit",'Brouillard ventes'!$J$70=""),"","REGL "&amp;LEFT('Brouillard ventes'!$D$70,25))</f>
        <v/>
      </c>
      <c r="F131" s="22">
        <f>IF(OR('Brouillard ventes'!$F$70="",'Brouillard ventes'!$J$70="À crédit",'Brouillard ventes'!$J$70=""),"",IF('Brouillard ventes'!$J$70="Espèces","04001","02001"))</f>
        <v/>
      </c>
      <c r="G131" s="22">
        <f>IF(OR('Brouillard ventes'!$F$70="",'Brouillard ventes'!$J$70="À crédit",'Brouillard ventes'!$J$70=""),"",Paramètres!$B$7)</f>
        <v/>
      </c>
      <c r="H131" s="22">
        <f>IF(OR('Brouillard ventes'!$F$70="",'Brouillard ventes'!$J$70="À crédit",'Brouillard ventes'!$J$70=""),"",IF('Brouillard ventes'!$C$70="","CD001",'Brouillard ventes'!$C$70))</f>
        <v/>
      </c>
      <c r="I131" s="22" t="inlineStr"/>
      <c r="J131" s="22" t="inlineStr"/>
      <c r="K131" s="22">
        <f>IF(OR('Brouillard ventes'!$F$70="",'Brouillard ventes'!$J$70="À crédit",'Brouillard ventes'!$J$70=""),"",Paramètres!$B$11)</f>
        <v/>
      </c>
      <c r="L131" s="23" t="n">
        <v>0</v>
      </c>
      <c r="M131" s="23">
        <f>IF(OR('Brouillard ventes'!$F$70="",'Brouillard ventes'!$J$70="À crédit",'Brouillard ventes'!$J$70=""),0,'Brouillard ventes'!$I$70)</f>
        <v/>
      </c>
    </row>
    <row r="132">
      <c r="A132" s="22" t="inlineStr">
        <is>
          <t>1</t>
        </is>
      </c>
      <c r="B132" s="22">
        <f>IF(OR('Brouillard ventes'!$F$71="",'Brouillard ventes'!$J$71="À crédit",'Brouillard ventes'!$J$71=""),"","EC"&amp;TEXT(ROW('Brouillard ventes'!$F$71)-5,"00000"))</f>
        <v/>
      </c>
      <c r="C132" s="22">
        <f>IF(OR('Brouillard ventes'!$F$71="",'Brouillard ventes'!$J$71="À crédit",'Brouillard ventes'!$J$71=""),"",YEAR('Brouillard ventes'!$A$71)*10000+MONTH('Brouillard ventes'!$A$71)*100+DAY('Brouillard ventes'!$A$71))</f>
        <v/>
      </c>
      <c r="D132" s="22">
        <f>IF(OR('Brouillard ventes'!$F$71="",'Brouillard ventes'!$J$71="À crédit",'Brouillard ventes'!$J$71=""),"",'Brouillard ventes'!$B$71)</f>
        <v/>
      </c>
      <c r="E132" s="22">
        <f>IF(OR('Brouillard ventes'!$F$71="",'Brouillard ventes'!$J$71="À crédit",'Brouillard ventes'!$J$71=""),"","REGL "&amp;LEFT('Brouillard ventes'!$D$71,25))</f>
        <v/>
      </c>
      <c r="F132" s="22">
        <f>IF(OR('Brouillard ventes'!$F$71="",'Brouillard ventes'!$J$71="À crédit",'Brouillard ventes'!$J$71=""),"",IF('Brouillard ventes'!$J$71="Espèces","04001","02001"))</f>
        <v/>
      </c>
      <c r="G132" s="22">
        <f>IF(OR('Brouillard ventes'!$F$71="",'Brouillard ventes'!$J$71="À crédit",'Brouillard ventes'!$J$71=""),"",IF('Brouillard ventes'!$J$71="Espèces","53000","51220"))</f>
        <v/>
      </c>
      <c r="H132" s="22" t="inlineStr"/>
      <c r="I132" s="22" t="inlineStr"/>
      <c r="J132" s="22" t="inlineStr"/>
      <c r="K132" s="22">
        <f>IF(OR('Brouillard ventes'!$F$71="",'Brouillard ventes'!$J$71="À crédit",'Brouillard ventes'!$J$71=""),"",Paramètres!$B$11)</f>
        <v/>
      </c>
      <c r="L132" s="23">
        <f>IF(OR('Brouillard ventes'!$F$71="",'Brouillard ventes'!$J$71="À crédit",'Brouillard ventes'!$J$71=""),0,'Brouillard ventes'!$I$71)</f>
        <v/>
      </c>
      <c r="M132" s="23" t="n">
        <v>0</v>
      </c>
    </row>
    <row r="133">
      <c r="A133" s="22" t="inlineStr">
        <is>
          <t>1</t>
        </is>
      </c>
      <c r="B133" s="22">
        <f>IF(OR('Brouillard ventes'!$F$71="",'Brouillard ventes'!$J$71="À crédit",'Brouillard ventes'!$J$71=""),"","EC"&amp;TEXT(ROW('Brouillard ventes'!$F$71)-5,"00000"))</f>
        <v/>
      </c>
      <c r="C133" s="22">
        <f>IF(OR('Brouillard ventes'!$F$71="",'Brouillard ventes'!$J$71="À crédit",'Brouillard ventes'!$J$71=""),"",YEAR('Brouillard ventes'!$A$71)*10000+MONTH('Brouillard ventes'!$A$71)*100+DAY('Brouillard ventes'!$A$71))</f>
        <v/>
      </c>
      <c r="D133" s="22">
        <f>IF(OR('Brouillard ventes'!$F$71="",'Brouillard ventes'!$J$71="À crédit",'Brouillard ventes'!$J$71=""),"",'Brouillard ventes'!$B$71)</f>
        <v/>
      </c>
      <c r="E133" s="22">
        <f>IF(OR('Brouillard ventes'!$F$71="",'Brouillard ventes'!$J$71="À crédit",'Brouillard ventes'!$J$71=""),"","REGL "&amp;LEFT('Brouillard ventes'!$D$71,25))</f>
        <v/>
      </c>
      <c r="F133" s="22">
        <f>IF(OR('Brouillard ventes'!$F$71="",'Brouillard ventes'!$J$71="À crédit",'Brouillard ventes'!$J$71=""),"",IF('Brouillard ventes'!$J$71="Espèces","04001","02001"))</f>
        <v/>
      </c>
      <c r="G133" s="22">
        <f>IF(OR('Brouillard ventes'!$F$71="",'Brouillard ventes'!$J$71="À crédit",'Brouillard ventes'!$J$71=""),"",Paramètres!$B$7)</f>
        <v/>
      </c>
      <c r="H133" s="22">
        <f>IF(OR('Brouillard ventes'!$F$71="",'Brouillard ventes'!$J$71="À crédit",'Brouillard ventes'!$J$71=""),"",IF('Brouillard ventes'!$C$71="","CD001",'Brouillard ventes'!$C$71))</f>
        <v/>
      </c>
      <c r="I133" s="22" t="inlineStr"/>
      <c r="J133" s="22" t="inlineStr"/>
      <c r="K133" s="22">
        <f>IF(OR('Brouillard ventes'!$F$71="",'Brouillard ventes'!$J$71="À crédit",'Brouillard ventes'!$J$71=""),"",Paramètres!$B$11)</f>
        <v/>
      </c>
      <c r="L133" s="23" t="n">
        <v>0</v>
      </c>
      <c r="M133" s="23">
        <f>IF(OR('Brouillard ventes'!$F$71="",'Brouillard ventes'!$J$71="À crédit",'Brouillard ventes'!$J$71=""),0,'Brouillard ventes'!$I$71)</f>
        <v/>
      </c>
    </row>
    <row r="134">
      <c r="A134" s="22" t="inlineStr">
        <is>
          <t>1</t>
        </is>
      </c>
      <c r="B134" s="22">
        <f>IF(OR('Brouillard ventes'!$F$72="",'Brouillard ventes'!$J$72="À crédit",'Brouillard ventes'!$J$72=""),"","EC"&amp;TEXT(ROW('Brouillard ventes'!$F$72)-5,"00000"))</f>
        <v/>
      </c>
      <c r="C134" s="22">
        <f>IF(OR('Brouillard ventes'!$F$72="",'Brouillard ventes'!$J$72="À crédit",'Brouillard ventes'!$J$72=""),"",YEAR('Brouillard ventes'!$A$72)*10000+MONTH('Brouillard ventes'!$A$72)*100+DAY('Brouillard ventes'!$A$72))</f>
        <v/>
      </c>
      <c r="D134" s="22">
        <f>IF(OR('Brouillard ventes'!$F$72="",'Brouillard ventes'!$J$72="À crédit",'Brouillard ventes'!$J$72=""),"",'Brouillard ventes'!$B$72)</f>
        <v/>
      </c>
      <c r="E134" s="22">
        <f>IF(OR('Brouillard ventes'!$F$72="",'Brouillard ventes'!$J$72="À crédit",'Brouillard ventes'!$J$72=""),"","REGL "&amp;LEFT('Brouillard ventes'!$D$72,25))</f>
        <v/>
      </c>
      <c r="F134" s="22">
        <f>IF(OR('Brouillard ventes'!$F$72="",'Brouillard ventes'!$J$72="À crédit",'Brouillard ventes'!$J$72=""),"",IF('Brouillard ventes'!$J$72="Espèces","04001","02001"))</f>
        <v/>
      </c>
      <c r="G134" s="22">
        <f>IF(OR('Brouillard ventes'!$F$72="",'Brouillard ventes'!$J$72="À crédit",'Brouillard ventes'!$J$72=""),"",IF('Brouillard ventes'!$J$72="Espèces","53000","51220"))</f>
        <v/>
      </c>
      <c r="H134" s="22" t="inlineStr"/>
      <c r="I134" s="22" t="inlineStr"/>
      <c r="J134" s="22" t="inlineStr"/>
      <c r="K134" s="22">
        <f>IF(OR('Brouillard ventes'!$F$72="",'Brouillard ventes'!$J$72="À crédit",'Brouillard ventes'!$J$72=""),"",Paramètres!$B$11)</f>
        <v/>
      </c>
      <c r="L134" s="23">
        <f>IF(OR('Brouillard ventes'!$F$72="",'Brouillard ventes'!$J$72="À crédit",'Brouillard ventes'!$J$72=""),0,'Brouillard ventes'!$I$72)</f>
        <v/>
      </c>
      <c r="M134" s="23" t="n">
        <v>0</v>
      </c>
    </row>
    <row r="135">
      <c r="A135" s="22" t="inlineStr">
        <is>
          <t>1</t>
        </is>
      </c>
      <c r="B135" s="22">
        <f>IF(OR('Brouillard ventes'!$F$72="",'Brouillard ventes'!$J$72="À crédit",'Brouillard ventes'!$J$72=""),"","EC"&amp;TEXT(ROW('Brouillard ventes'!$F$72)-5,"00000"))</f>
        <v/>
      </c>
      <c r="C135" s="22">
        <f>IF(OR('Brouillard ventes'!$F$72="",'Brouillard ventes'!$J$72="À crédit",'Brouillard ventes'!$J$72=""),"",YEAR('Brouillard ventes'!$A$72)*10000+MONTH('Brouillard ventes'!$A$72)*100+DAY('Brouillard ventes'!$A$72))</f>
        <v/>
      </c>
      <c r="D135" s="22">
        <f>IF(OR('Brouillard ventes'!$F$72="",'Brouillard ventes'!$J$72="À crédit",'Brouillard ventes'!$J$72=""),"",'Brouillard ventes'!$B$72)</f>
        <v/>
      </c>
      <c r="E135" s="22">
        <f>IF(OR('Brouillard ventes'!$F$72="",'Brouillard ventes'!$J$72="À crédit",'Brouillard ventes'!$J$72=""),"","REGL "&amp;LEFT('Brouillard ventes'!$D$72,25))</f>
        <v/>
      </c>
      <c r="F135" s="22">
        <f>IF(OR('Brouillard ventes'!$F$72="",'Brouillard ventes'!$J$72="À crédit",'Brouillard ventes'!$J$72=""),"",IF('Brouillard ventes'!$J$72="Espèces","04001","02001"))</f>
        <v/>
      </c>
      <c r="G135" s="22">
        <f>IF(OR('Brouillard ventes'!$F$72="",'Brouillard ventes'!$J$72="À crédit",'Brouillard ventes'!$J$72=""),"",Paramètres!$B$7)</f>
        <v/>
      </c>
      <c r="H135" s="22">
        <f>IF(OR('Brouillard ventes'!$F$72="",'Brouillard ventes'!$J$72="À crédit",'Brouillard ventes'!$J$72=""),"",IF('Brouillard ventes'!$C$72="","CD001",'Brouillard ventes'!$C$72))</f>
        <v/>
      </c>
      <c r="I135" s="22" t="inlineStr"/>
      <c r="J135" s="22" t="inlineStr"/>
      <c r="K135" s="22">
        <f>IF(OR('Brouillard ventes'!$F$72="",'Brouillard ventes'!$J$72="À crédit",'Brouillard ventes'!$J$72=""),"",Paramètres!$B$11)</f>
        <v/>
      </c>
      <c r="L135" s="23" t="n">
        <v>0</v>
      </c>
      <c r="M135" s="23">
        <f>IF(OR('Brouillard ventes'!$F$72="",'Brouillard ventes'!$J$72="À crédit",'Brouillard ventes'!$J$72=""),0,'Brouillard ventes'!$I$72)</f>
        <v/>
      </c>
    </row>
    <row r="136">
      <c r="A136" s="22" t="inlineStr">
        <is>
          <t>1</t>
        </is>
      </c>
      <c r="B136" s="22">
        <f>IF(OR('Brouillard ventes'!$F$73="",'Brouillard ventes'!$J$73="À crédit",'Brouillard ventes'!$J$73=""),"","EC"&amp;TEXT(ROW('Brouillard ventes'!$F$73)-5,"00000"))</f>
        <v/>
      </c>
      <c r="C136" s="22">
        <f>IF(OR('Brouillard ventes'!$F$73="",'Brouillard ventes'!$J$73="À crédit",'Brouillard ventes'!$J$73=""),"",YEAR('Brouillard ventes'!$A$73)*10000+MONTH('Brouillard ventes'!$A$73)*100+DAY('Brouillard ventes'!$A$73))</f>
        <v/>
      </c>
      <c r="D136" s="22">
        <f>IF(OR('Brouillard ventes'!$F$73="",'Brouillard ventes'!$J$73="À crédit",'Brouillard ventes'!$J$73=""),"",'Brouillard ventes'!$B$73)</f>
        <v/>
      </c>
      <c r="E136" s="22">
        <f>IF(OR('Brouillard ventes'!$F$73="",'Brouillard ventes'!$J$73="À crédit",'Brouillard ventes'!$J$73=""),"","REGL "&amp;LEFT('Brouillard ventes'!$D$73,25))</f>
        <v/>
      </c>
      <c r="F136" s="22">
        <f>IF(OR('Brouillard ventes'!$F$73="",'Brouillard ventes'!$J$73="À crédit",'Brouillard ventes'!$J$73=""),"",IF('Brouillard ventes'!$J$73="Espèces","04001","02001"))</f>
        <v/>
      </c>
      <c r="G136" s="22">
        <f>IF(OR('Brouillard ventes'!$F$73="",'Brouillard ventes'!$J$73="À crédit",'Brouillard ventes'!$J$73=""),"",IF('Brouillard ventes'!$J$73="Espèces","53000","51220"))</f>
        <v/>
      </c>
      <c r="H136" s="22" t="inlineStr"/>
      <c r="I136" s="22" t="inlineStr"/>
      <c r="J136" s="22" t="inlineStr"/>
      <c r="K136" s="22">
        <f>IF(OR('Brouillard ventes'!$F$73="",'Brouillard ventes'!$J$73="À crédit",'Brouillard ventes'!$J$73=""),"",Paramètres!$B$11)</f>
        <v/>
      </c>
      <c r="L136" s="23">
        <f>IF(OR('Brouillard ventes'!$F$73="",'Brouillard ventes'!$J$73="À crédit",'Brouillard ventes'!$J$73=""),0,'Brouillard ventes'!$I$73)</f>
        <v/>
      </c>
      <c r="M136" s="23" t="n">
        <v>0</v>
      </c>
    </row>
    <row r="137">
      <c r="A137" s="22" t="inlineStr">
        <is>
          <t>1</t>
        </is>
      </c>
      <c r="B137" s="22">
        <f>IF(OR('Brouillard ventes'!$F$73="",'Brouillard ventes'!$J$73="À crédit",'Brouillard ventes'!$J$73=""),"","EC"&amp;TEXT(ROW('Brouillard ventes'!$F$73)-5,"00000"))</f>
        <v/>
      </c>
      <c r="C137" s="22">
        <f>IF(OR('Brouillard ventes'!$F$73="",'Brouillard ventes'!$J$73="À crédit",'Brouillard ventes'!$J$73=""),"",YEAR('Brouillard ventes'!$A$73)*10000+MONTH('Brouillard ventes'!$A$73)*100+DAY('Brouillard ventes'!$A$73))</f>
        <v/>
      </c>
      <c r="D137" s="22">
        <f>IF(OR('Brouillard ventes'!$F$73="",'Brouillard ventes'!$J$73="À crédit",'Brouillard ventes'!$J$73=""),"",'Brouillard ventes'!$B$73)</f>
        <v/>
      </c>
      <c r="E137" s="22">
        <f>IF(OR('Brouillard ventes'!$F$73="",'Brouillard ventes'!$J$73="À crédit",'Brouillard ventes'!$J$73=""),"","REGL "&amp;LEFT('Brouillard ventes'!$D$73,25))</f>
        <v/>
      </c>
      <c r="F137" s="22">
        <f>IF(OR('Brouillard ventes'!$F$73="",'Brouillard ventes'!$J$73="À crédit",'Brouillard ventes'!$J$73=""),"",IF('Brouillard ventes'!$J$73="Espèces","04001","02001"))</f>
        <v/>
      </c>
      <c r="G137" s="22">
        <f>IF(OR('Brouillard ventes'!$F$73="",'Brouillard ventes'!$J$73="À crédit",'Brouillard ventes'!$J$73=""),"",Paramètres!$B$7)</f>
        <v/>
      </c>
      <c r="H137" s="22">
        <f>IF(OR('Brouillard ventes'!$F$73="",'Brouillard ventes'!$J$73="À crédit",'Brouillard ventes'!$J$73=""),"",IF('Brouillard ventes'!$C$73="","CD001",'Brouillard ventes'!$C$73))</f>
        <v/>
      </c>
      <c r="I137" s="22" t="inlineStr"/>
      <c r="J137" s="22" t="inlineStr"/>
      <c r="K137" s="22">
        <f>IF(OR('Brouillard ventes'!$F$73="",'Brouillard ventes'!$J$73="À crédit",'Brouillard ventes'!$J$73=""),"",Paramètres!$B$11)</f>
        <v/>
      </c>
      <c r="L137" s="23" t="n">
        <v>0</v>
      </c>
      <c r="M137" s="23">
        <f>IF(OR('Brouillard ventes'!$F$73="",'Brouillard ventes'!$J$73="À crédit",'Brouillard ventes'!$J$73=""),0,'Brouillard ventes'!$I$73)</f>
        <v/>
      </c>
    </row>
    <row r="138">
      <c r="A138" s="22" t="inlineStr">
        <is>
          <t>1</t>
        </is>
      </c>
      <c r="B138" s="22">
        <f>IF(OR('Brouillard ventes'!$F$74="",'Brouillard ventes'!$J$74="À crédit",'Brouillard ventes'!$J$74=""),"","EC"&amp;TEXT(ROW('Brouillard ventes'!$F$74)-5,"00000"))</f>
        <v/>
      </c>
      <c r="C138" s="22">
        <f>IF(OR('Brouillard ventes'!$F$74="",'Brouillard ventes'!$J$74="À crédit",'Brouillard ventes'!$J$74=""),"",YEAR('Brouillard ventes'!$A$74)*10000+MONTH('Brouillard ventes'!$A$74)*100+DAY('Brouillard ventes'!$A$74))</f>
        <v/>
      </c>
      <c r="D138" s="22">
        <f>IF(OR('Brouillard ventes'!$F$74="",'Brouillard ventes'!$J$74="À crédit",'Brouillard ventes'!$J$74=""),"",'Brouillard ventes'!$B$74)</f>
        <v/>
      </c>
      <c r="E138" s="22">
        <f>IF(OR('Brouillard ventes'!$F$74="",'Brouillard ventes'!$J$74="À crédit",'Brouillard ventes'!$J$74=""),"","REGL "&amp;LEFT('Brouillard ventes'!$D$74,25))</f>
        <v/>
      </c>
      <c r="F138" s="22">
        <f>IF(OR('Brouillard ventes'!$F$74="",'Brouillard ventes'!$J$74="À crédit",'Brouillard ventes'!$J$74=""),"",IF('Brouillard ventes'!$J$74="Espèces","04001","02001"))</f>
        <v/>
      </c>
      <c r="G138" s="22">
        <f>IF(OR('Brouillard ventes'!$F$74="",'Brouillard ventes'!$J$74="À crédit",'Brouillard ventes'!$J$74=""),"",IF('Brouillard ventes'!$J$74="Espèces","53000","51220"))</f>
        <v/>
      </c>
      <c r="H138" s="22" t="inlineStr"/>
      <c r="I138" s="22" t="inlineStr"/>
      <c r="J138" s="22" t="inlineStr"/>
      <c r="K138" s="22">
        <f>IF(OR('Brouillard ventes'!$F$74="",'Brouillard ventes'!$J$74="À crédit",'Brouillard ventes'!$J$74=""),"",Paramètres!$B$11)</f>
        <v/>
      </c>
      <c r="L138" s="23">
        <f>IF(OR('Brouillard ventes'!$F$74="",'Brouillard ventes'!$J$74="À crédit",'Brouillard ventes'!$J$74=""),0,'Brouillard ventes'!$I$74)</f>
        <v/>
      </c>
      <c r="M138" s="23" t="n">
        <v>0</v>
      </c>
    </row>
    <row r="139">
      <c r="A139" s="22" t="inlineStr">
        <is>
          <t>1</t>
        </is>
      </c>
      <c r="B139" s="22">
        <f>IF(OR('Brouillard ventes'!$F$74="",'Brouillard ventes'!$J$74="À crédit",'Brouillard ventes'!$J$74=""),"","EC"&amp;TEXT(ROW('Brouillard ventes'!$F$74)-5,"00000"))</f>
        <v/>
      </c>
      <c r="C139" s="22">
        <f>IF(OR('Brouillard ventes'!$F$74="",'Brouillard ventes'!$J$74="À crédit",'Brouillard ventes'!$J$74=""),"",YEAR('Brouillard ventes'!$A$74)*10000+MONTH('Brouillard ventes'!$A$74)*100+DAY('Brouillard ventes'!$A$74))</f>
        <v/>
      </c>
      <c r="D139" s="22">
        <f>IF(OR('Brouillard ventes'!$F$74="",'Brouillard ventes'!$J$74="À crédit",'Brouillard ventes'!$J$74=""),"",'Brouillard ventes'!$B$74)</f>
        <v/>
      </c>
      <c r="E139" s="22">
        <f>IF(OR('Brouillard ventes'!$F$74="",'Brouillard ventes'!$J$74="À crédit",'Brouillard ventes'!$J$74=""),"","REGL "&amp;LEFT('Brouillard ventes'!$D$74,25))</f>
        <v/>
      </c>
      <c r="F139" s="22">
        <f>IF(OR('Brouillard ventes'!$F$74="",'Brouillard ventes'!$J$74="À crédit",'Brouillard ventes'!$J$74=""),"",IF('Brouillard ventes'!$J$74="Espèces","04001","02001"))</f>
        <v/>
      </c>
      <c r="G139" s="22">
        <f>IF(OR('Brouillard ventes'!$F$74="",'Brouillard ventes'!$J$74="À crédit",'Brouillard ventes'!$J$74=""),"",Paramètres!$B$7)</f>
        <v/>
      </c>
      <c r="H139" s="22">
        <f>IF(OR('Brouillard ventes'!$F$74="",'Brouillard ventes'!$J$74="À crédit",'Brouillard ventes'!$J$74=""),"",IF('Brouillard ventes'!$C$74="","CD001",'Brouillard ventes'!$C$74))</f>
        <v/>
      </c>
      <c r="I139" s="22" t="inlineStr"/>
      <c r="J139" s="22" t="inlineStr"/>
      <c r="K139" s="22">
        <f>IF(OR('Brouillard ventes'!$F$74="",'Brouillard ventes'!$J$74="À crédit",'Brouillard ventes'!$J$74=""),"",Paramètres!$B$11)</f>
        <v/>
      </c>
      <c r="L139" s="23" t="n">
        <v>0</v>
      </c>
      <c r="M139" s="23">
        <f>IF(OR('Brouillard ventes'!$F$74="",'Brouillard ventes'!$J$74="À crédit",'Brouillard ventes'!$J$74=""),0,'Brouillard ventes'!$I$74)</f>
        <v/>
      </c>
    </row>
    <row r="140">
      <c r="A140" s="22" t="inlineStr">
        <is>
          <t>1</t>
        </is>
      </c>
      <c r="B140" s="22">
        <f>IF(OR('Brouillard ventes'!$F$75="",'Brouillard ventes'!$J$75="À crédit",'Brouillard ventes'!$J$75=""),"","EC"&amp;TEXT(ROW('Brouillard ventes'!$F$75)-5,"00000"))</f>
        <v/>
      </c>
      <c r="C140" s="22">
        <f>IF(OR('Brouillard ventes'!$F$75="",'Brouillard ventes'!$J$75="À crédit",'Brouillard ventes'!$J$75=""),"",YEAR('Brouillard ventes'!$A$75)*10000+MONTH('Brouillard ventes'!$A$75)*100+DAY('Brouillard ventes'!$A$75))</f>
        <v/>
      </c>
      <c r="D140" s="22">
        <f>IF(OR('Brouillard ventes'!$F$75="",'Brouillard ventes'!$J$75="À crédit",'Brouillard ventes'!$J$75=""),"",'Brouillard ventes'!$B$75)</f>
        <v/>
      </c>
      <c r="E140" s="22">
        <f>IF(OR('Brouillard ventes'!$F$75="",'Brouillard ventes'!$J$75="À crédit",'Brouillard ventes'!$J$75=""),"","REGL "&amp;LEFT('Brouillard ventes'!$D$75,25))</f>
        <v/>
      </c>
      <c r="F140" s="22">
        <f>IF(OR('Brouillard ventes'!$F$75="",'Brouillard ventes'!$J$75="À crédit",'Brouillard ventes'!$J$75=""),"",IF('Brouillard ventes'!$J$75="Espèces","04001","02001"))</f>
        <v/>
      </c>
      <c r="G140" s="22">
        <f>IF(OR('Brouillard ventes'!$F$75="",'Brouillard ventes'!$J$75="À crédit",'Brouillard ventes'!$J$75=""),"",IF('Brouillard ventes'!$J$75="Espèces","53000","51220"))</f>
        <v/>
      </c>
      <c r="H140" s="22" t="inlineStr"/>
      <c r="I140" s="22" t="inlineStr"/>
      <c r="J140" s="22" t="inlineStr"/>
      <c r="K140" s="22">
        <f>IF(OR('Brouillard ventes'!$F$75="",'Brouillard ventes'!$J$75="À crédit",'Brouillard ventes'!$J$75=""),"",Paramètres!$B$11)</f>
        <v/>
      </c>
      <c r="L140" s="23">
        <f>IF(OR('Brouillard ventes'!$F$75="",'Brouillard ventes'!$J$75="À crédit",'Brouillard ventes'!$J$75=""),0,'Brouillard ventes'!$I$75)</f>
        <v/>
      </c>
      <c r="M140" s="23" t="n">
        <v>0</v>
      </c>
    </row>
    <row r="141">
      <c r="A141" s="22" t="inlineStr">
        <is>
          <t>1</t>
        </is>
      </c>
      <c r="B141" s="22">
        <f>IF(OR('Brouillard ventes'!$F$75="",'Brouillard ventes'!$J$75="À crédit",'Brouillard ventes'!$J$75=""),"","EC"&amp;TEXT(ROW('Brouillard ventes'!$F$75)-5,"00000"))</f>
        <v/>
      </c>
      <c r="C141" s="22">
        <f>IF(OR('Brouillard ventes'!$F$75="",'Brouillard ventes'!$J$75="À crédit",'Brouillard ventes'!$J$75=""),"",YEAR('Brouillard ventes'!$A$75)*10000+MONTH('Brouillard ventes'!$A$75)*100+DAY('Brouillard ventes'!$A$75))</f>
        <v/>
      </c>
      <c r="D141" s="22">
        <f>IF(OR('Brouillard ventes'!$F$75="",'Brouillard ventes'!$J$75="À crédit",'Brouillard ventes'!$J$75=""),"",'Brouillard ventes'!$B$75)</f>
        <v/>
      </c>
      <c r="E141" s="22">
        <f>IF(OR('Brouillard ventes'!$F$75="",'Brouillard ventes'!$J$75="À crédit",'Brouillard ventes'!$J$75=""),"","REGL "&amp;LEFT('Brouillard ventes'!$D$75,25))</f>
        <v/>
      </c>
      <c r="F141" s="22">
        <f>IF(OR('Brouillard ventes'!$F$75="",'Brouillard ventes'!$J$75="À crédit",'Brouillard ventes'!$J$75=""),"",IF('Brouillard ventes'!$J$75="Espèces","04001","02001"))</f>
        <v/>
      </c>
      <c r="G141" s="22">
        <f>IF(OR('Brouillard ventes'!$F$75="",'Brouillard ventes'!$J$75="À crédit",'Brouillard ventes'!$J$75=""),"",Paramètres!$B$7)</f>
        <v/>
      </c>
      <c r="H141" s="22">
        <f>IF(OR('Brouillard ventes'!$F$75="",'Brouillard ventes'!$J$75="À crédit",'Brouillard ventes'!$J$75=""),"",IF('Brouillard ventes'!$C$75="","CD001",'Brouillard ventes'!$C$75))</f>
        <v/>
      </c>
      <c r="I141" s="22" t="inlineStr"/>
      <c r="J141" s="22" t="inlineStr"/>
      <c r="K141" s="22">
        <f>IF(OR('Brouillard ventes'!$F$75="",'Brouillard ventes'!$J$75="À crédit",'Brouillard ventes'!$J$75=""),"",Paramètres!$B$11)</f>
        <v/>
      </c>
      <c r="L141" s="23" t="n">
        <v>0</v>
      </c>
      <c r="M141" s="23">
        <f>IF(OR('Brouillard ventes'!$F$75="",'Brouillard ventes'!$J$75="À crédit",'Brouillard ventes'!$J$75=""),0,'Brouillard ventes'!$I$75)</f>
        <v/>
      </c>
    </row>
    <row r="142">
      <c r="A142" s="22" t="inlineStr">
        <is>
          <t>1</t>
        </is>
      </c>
      <c r="B142" s="22">
        <f>IF(OR('Brouillard ventes'!$F$76="",'Brouillard ventes'!$J$76="À crédit",'Brouillard ventes'!$J$76=""),"","EC"&amp;TEXT(ROW('Brouillard ventes'!$F$76)-5,"00000"))</f>
        <v/>
      </c>
      <c r="C142" s="22">
        <f>IF(OR('Brouillard ventes'!$F$76="",'Brouillard ventes'!$J$76="À crédit",'Brouillard ventes'!$J$76=""),"",YEAR('Brouillard ventes'!$A$76)*10000+MONTH('Brouillard ventes'!$A$76)*100+DAY('Brouillard ventes'!$A$76))</f>
        <v/>
      </c>
      <c r="D142" s="22">
        <f>IF(OR('Brouillard ventes'!$F$76="",'Brouillard ventes'!$J$76="À crédit",'Brouillard ventes'!$J$76=""),"",'Brouillard ventes'!$B$76)</f>
        <v/>
      </c>
      <c r="E142" s="22">
        <f>IF(OR('Brouillard ventes'!$F$76="",'Brouillard ventes'!$J$76="À crédit",'Brouillard ventes'!$J$76=""),"","REGL "&amp;LEFT('Brouillard ventes'!$D$76,25))</f>
        <v/>
      </c>
      <c r="F142" s="22">
        <f>IF(OR('Brouillard ventes'!$F$76="",'Brouillard ventes'!$J$76="À crédit",'Brouillard ventes'!$J$76=""),"",IF('Brouillard ventes'!$J$76="Espèces","04001","02001"))</f>
        <v/>
      </c>
      <c r="G142" s="22">
        <f>IF(OR('Brouillard ventes'!$F$76="",'Brouillard ventes'!$J$76="À crédit",'Brouillard ventes'!$J$76=""),"",IF('Brouillard ventes'!$J$76="Espèces","53000","51220"))</f>
        <v/>
      </c>
      <c r="H142" s="22" t="inlineStr"/>
      <c r="I142" s="22" t="inlineStr"/>
      <c r="J142" s="22" t="inlineStr"/>
      <c r="K142" s="22">
        <f>IF(OR('Brouillard ventes'!$F$76="",'Brouillard ventes'!$J$76="À crédit",'Brouillard ventes'!$J$76=""),"",Paramètres!$B$11)</f>
        <v/>
      </c>
      <c r="L142" s="23">
        <f>IF(OR('Brouillard ventes'!$F$76="",'Brouillard ventes'!$J$76="À crédit",'Brouillard ventes'!$J$76=""),0,'Brouillard ventes'!$I$76)</f>
        <v/>
      </c>
      <c r="M142" s="23" t="n">
        <v>0</v>
      </c>
    </row>
    <row r="143">
      <c r="A143" s="22" t="inlineStr">
        <is>
          <t>1</t>
        </is>
      </c>
      <c r="B143" s="22">
        <f>IF(OR('Brouillard ventes'!$F$76="",'Brouillard ventes'!$J$76="À crédit",'Brouillard ventes'!$J$76=""),"","EC"&amp;TEXT(ROW('Brouillard ventes'!$F$76)-5,"00000"))</f>
        <v/>
      </c>
      <c r="C143" s="22">
        <f>IF(OR('Brouillard ventes'!$F$76="",'Brouillard ventes'!$J$76="À crédit",'Brouillard ventes'!$J$76=""),"",YEAR('Brouillard ventes'!$A$76)*10000+MONTH('Brouillard ventes'!$A$76)*100+DAY('Brouillard ventes'!$A$76))</f>
        <v/>
      </c>
      <c r="D143" s="22">
        <f>IF(OR('Brouillard ventes'!$F$76="",'Brouillard ventes'!$J$76="À crédit",'Brouillard ventes'!$J$76=""),"",'Brouillard ventes'!$B$76)</f>
        <v/>
      </c>
      <c r="E143" s="22">
        <f>IF(OR('Brouillard ventes'!$F$76="",'Brouillard ventes'!$J$76="À crédit",'Brouillard ventes'!$J$76=""),"","REGL "&amp;LEFT('Brouillard ventes'!$D$76,25))</f>
        <v/>
      </c>
      <c r="F143" s="22">
        <f>IF(OR('Brouillard ventes'!$F$76="",'Brouillard ventes'!$J$76="À crédit",'Brouillard ventes'!$J$76=""),"",IF('Brouillard ventes'!$J$76="Espèces","04001","02001"))</f>
        <v/>
      </c>
      <c r="G143" s="22">
        <f>IF(OR('Brouillard ventes'!$F$76="",'Brouillard ventes'!$J$76="À crédit",'Brouillard ventes'!$J$76=""),"",Paramètres!$B$7)</f>
        <v/>
      </c>
      <c r="H143" s="22">
        <f>IF(OR('Brouillard ventes'!$F$76="",'Brouillard ventes'!$J$76="À crédit",'Brouillard ventes'!$J$76=""),"",IF('Brouillard ventes'!$C$76="","CD001",'Brouillard ventes'!$C$76))</f>
        <v/>
      </c>
      <c r="I143" s="22" t="inlineStr"/>
      <c r="J143" s="22" t="inlineStr"/>
      <c r="K143" s="22">
        <f>IF(OR('Brouillard ventes'!$F$76="",'Brouillard ventes'!$J$76="À crédit",'Brouillard ventes'!$J$76=""),"",Paramètres!$B$11)</f>
        <v/>
      </c>
      <c r="L143" s="23" t="n">
        <v>0</v>
      </c>
      <c r="M143" s="23">
        <f>IF(OR('Brouillard ventes'!$F$76="",'Brouillard ventes'!$J$76="À crédit",'Brouillard ventes'!$J$76=""),0,'Brouillard ventes'!$I$76)</f>
        <v/>
      </c>
    </row>
    <row r="144">
      <c r="A144" s="22" t="inlineStr">
        <is>
          <t>1</t>
        </is>
      </c>
      <c r="B144" s="22">
        <f>IF(OR('Brouillard ventes'!$F$77="",'Brouillard ventes'!$J$77="À crédit",'Brouillard ventes'!$J$77=""),"","EC"&amp;TEXT(ROW('Brouillard ventes'!$F$77)-5,"00000"))</f>
        <v/>
      </c>
      <c r="C144" s="22">
        <f>IF(OR('Brouillard ventes'!$F$77="",'Brouillard ventes'!$J$77="À crédit",'Brouillard ventes'!$J$77=""),"",YEAR('Brouillard ventes'!$A$77)*10000+MONTH('Brouillard ventes'!$A$77)*100+DAY('Brouillard ventes'!$A$77))</f>
        <v/>
      </c>
      <c r="D144" s="22">
        <f>IF(OR('Brouillard ventes'!$F$77="",'Brouillard ventes'!$J$77="À crédit",'Brouillard ventes'!$J$77=""),"",'Brouillard ventes'!$B$77)</f>
        <v/>
      </c>
      <c r="E144" s="22">
        <f>IF(OR('Brouillard ventes'!$F$77="",'Brouillard ventes'!$J$77="À crédit",'Brouillard ventes'!$J$77=""),"","REGL "&amp;LEFT('Brouillard ventes'!$D$77,25))</f>
        <v/>
      </c>
      <c r="F144" s="22">
        <f>IF(OR('Brouillard ventes'!$F$77="",'Brouillard ventes'!$J$77="À crédit",'Brouillard ventes'!$J$77=""),"",IF('Brouillard ventes'!$J$77="Espèces","04001","02001"))</f>
        <v/>
      </c>
      <c r="G144" s="22">
        <f>IF(OR('Brouillard ventes'!$F$77="",'Brouillard ventes'!$J$77="À crédit",'Brouillard ventes'!$J$77=""),"",IF('Brouillard ventes'!$J$77="Espèces","53000","51220"))</f>
        <v/>
      </c>
      <c r="H144" s="22" t="inlineStr"/>
      <c r="I144" s="22" t="inlineStr"/>
      <c r="J144" s="22" t="inlineStr"/>
      <c r="K144" s="22">
        <f>IF(OR('Brouillard ventes'!$F$77="",'Brouillard ventes'!$J$77="À crédit",'Brouillard ventes'!$J$77=""),"",Paramètres!$B$11)</f>
        <v/>
      </c>
      <c r="L144" s="23">
        <f>IF(OR('Brouillard ventes'!$F$77="",'Brouillard ventes'!$J$77="À crédit",'Brouillard ventes'!$J$77=""),0,'Brouillard ventes'!$I$77)</f>
        <v/>
      </c>
      <c r="M144" s="23" t="n">
        <v>0</v>
      </c>
    </row>
    <row r="145">
      <c r="A145" s="22" t="inlineStr">
        <is>
          <t>1</t>
        </is>
      </c>
      <c r="B145" s="22">
        <f>IF(OR('Brouillard ventes'!$F$77="",'Brouillard ventes'!$J$77="À crédit",'Brouillard ventes'!$J$77=""),"","EC"&amp;TEXT(ROW('Brouillard ventes'!$F$77)-5,"00000"))</f>
        <v/>
      </c>
      <c r="C145" s="22">
        <f>IF(OR('Brouillard ventes'!$F$77="",'Brouillard ventes'!$J$77="À crédit",'Brouillard ventes'!$J$77=""),"",YEAR('Brouillard ventes'!$A$77)*10000+MONTH('Brouillard ventes'!$A$77)*100+DAY('Brouillard ventes'!$A$77))</f>
        <v/>
      </c>
      <c r="D145" s="22">
        <f>IF(OR('Brouillard ventes'!$F$77="",'Brouillard ventes'!$J$77="À crédit",'Brouillard ventes'!$J$77=""),"",'Brouillard ventes'!$B$77)</f>
        <v/>
      </c>
      <c r="E145" s="22">
        <f>IF(OR('Brouillard ventes'!$F$77="",'Brouillard ventes'!$J$77="À crédit",'Brouillard ventes'!$J$77=""),"","REGL "&amp;LEFT('Brouillard ventes'!$D$77,25))</f>
        <v/>
      </c>
      <c r="F145" s="22">
        <f>IF(OR('Brouillard ventes'!$F$77="",'Brouillard ventes'!$J$77="À crédit",'Brouillard ventes'!$J$77=""),"",IF('Brouillard ventes'!$J$77="Espèces","04001","02001"))</f>
        <v/>
      </c>
      <c r="G145" s="22">
        <f>IF(OR('Brouillard ventes'!$F$77="",'Brouillard ventes'!$J$77="À crédit",'Brouillard ventes'!$J$77=""),"",Paramètres!$B$7)</f>
        <v/>
      </c>
      <c r="H145" s="22">
        <f>IF(OR('Brouillard ventes'!$F$77="",'Brouillard ventes'!$J$77="À crédit",'Brouillard ventes'!$J$77=""),"",IF('Brouillard ventes'!$C$77="","CD001",'Brouillard ventes'!$C$77))</f>
        <v/>
      </c>
      <c r="I145" s="22" t="inlineStr"/>
      <c r="J145" s="22" t="inlineStr"/>
      <c r="K145" s="22">
        <f>IF(OR('Brouillard ventes'!$F$77="",'Brouillard ventes'!$J$77="À crédit",'Brouillard ventes'!$J$77=""),"",Paramètres!$B$11)</f>
        <v/>
      </c>
      <c r="L145" s="23" t="n">
        <v>0</v>
      </c>
      <c r="M145" s="23">
        <f>IF(OR('Brouillard ventes'!$F$77="",'Brouillard ventes'!$J$77="À crédit",'Brouillard ventes'!$J$77=""),0,'Brouillard ventes'!$I$77)</f>
        <v/>
      </c>
    </row>
    <row r="146">
      <c r="A146" s="22" t="inlineStr">
        <is>
          <t>1</t>
        </is>
      </c>
      <c r="B146" s="22">
        <f>IF(OR('Brouillard ventes'!$F$78="",'Brouillard ventes'!$J$78="À crédit",'Brouillard ventes'!$J$78=""),"","EC"&amp;TEXT(ROW('Brouillard ventes'!$F$78)-5,"00000"))</f>
        <v/>
      </c>
      <c r="C146" s="22">
        <f>IF(OR('Brouillard ventes'!$F$78="",'Brouillard ventes'!$J$78="À crédit",'Brouillard ventes'!$J$78=""),"",YEAR('Brouillard ventes'!$A$78)*10000+MONTH('Brouillard ventes'!$A$78)*100+DAY('Brouillard ventes'!$A$78))</f>
        <v/>
      </c>
      <c r="D146" s="22">
        <f>IF(OR('Brouillard ventes'!$F$78="",'Brouillard ventes'!$J$78="À crédit",'Brouillard ventes'!$J$78=""),"",'Brouillard ventes'!$B$78)</f>
        <v/>
      </c>
      <c r="E146" s="22">
        <f>IF(OR('Brouillard ventes'!$F$78="",'Brouillard ventes'!$J$78="À crédit",'Brouillard ventes'!$J$78=""),"","REGL "&amp;LEFT('Brouillard ventes'!$D$78,25))</f>
        <v/>
      </c>
      <c r="F146" s="22">
        <f>IF(OR('Brouillard ventes'!$F$78="",'Brouillard ventes'!$J$78="À crédit",'Brouillard ventes'!$J$78=""),"",IF('Brouillard ventes'!$J$78="Espèces","04001","02001"))</f>
        <v/>
      </c>
      <c r="G146" s="22">
        <f>IF(OR('Brouillard ventes'!$F$78="",'Brouillard ventes'!$J$78="À crédit",'Brouillard ventes'!$J$78=""),"",IF('Brouillard ventes'!$J$78="Espèces","53000","51220"))</f>
        <v/>
      </c>
      <c r="H146" s="22" t="inlineStr"/>
      <c r="I146" s="22" t="inlineStr"/>
      <c r="J146" s="22" t="inlineStr"/>
      <c r="K146" s="22">
        <f>IF(OR('Brouillard ventes'!$F$78="",'Brouillard ventes'!$J$78="À crédit",'Brouillard ventes'!$J$78=""),"",Paramètres!$B$11)</f>
        <v/>
      </c>
      <c r="L146" s="23">
        <f>IF(OR('Brouillard ventes'!$F$78="",'Brouillard ventes'!$J$78="À crédit",'Brouillard ventes'!$J$78=""),0,'Brouillard ventes'!$I$78)</f>
        <v/>
      </c>
      <c r="M146" s="23" t="n">
        <v>0</v>
      </c>
    </row>
    <row r="147">
      <c r="A147" s="22" t="inlineStr">
        <is>
          <t>1</t>
        </is>
      </c>
      <c r="B147" s="22">
        <f>IF(OR('Brouillard ventes'!$F$78="",'Brouillard ventes'!$J$78="À crédit",'Brouillard ventes'!$J$78=""),"","EC"&amp;TEXT(ROW('Brouillard ventes'!$F$78)-5,"00000"))</f>
        <v/>
      </c>
      <c r="C147" s="22">
        <f>IF(OR('Brouillard ventes'!$F$78="",'Brouillard ventes'!$J$78="À crédit",'Brouillard ventes'!$J$78=""),"",YEAR('Brouillard ventes'!$A$78)*10000+MONTH('Brouillard ventes'!$A$78)*100+DAY('Brouillard ventes'!$A$78))</f>
        <v/>
      </c>
      <c r="D147" s="22">
        <f>IF(OR('Brouillard ventes'!$F$78="",'Brouillard ventes'!$J$78="À crédit",'Brouillard ventes'!$J$78=""),"",'Brouillard ventes'!$B$78)</f>
        <v/>
      </c>
      <c r="E147" s="22">
        <f>IF(OR('Brouillard ventes'!$F$78="",'Brouillard ventes'!$J$78="À crédit",'Brouillard ventes'!$J$78=""),"","REGL "&amp;LEFT('Brouillard ventes'!$D$78,25))</f>
        <v/>
      </c>
      <c r="F147" s="22">
        <f>IF(OR('Brouillard ventes'!$F$78="",'Brouillard ventes'!$J$78="À crédit",'Brouillard ventes'!$J$78=""),"",IF('Brouillard ventes'!$J$78="Espèces","04001","02001"))</f>
        <v/>
      </c>
      <c r="G147" s="22">
        <f>IF(OR('Brouillard ventes'!$F$78="",'Brouillard ventes'!$J$78="À crédit",'Brouillard ventes'!$J$78=""),"",Paramètres!$B$7)</f>
        <v/>
      </c>
      <c r="H147" s="22">
        <f>IF(OR('Brouillard ventes'!$F$78="",'Brouillard ventes'!$J$78="À crédit",'Brouillard ventes'!$J$78=""),"",IF('Brouillard ventes'!$C$78="","CD001",'Brouillard ventes'!$C$78))</f>
        <v/>
      </c>
      <c r="I147" s="22" t="inlineStr"/>
      <c r="J147" s="22" t="inlineStr"/>
      <c r="K147" s="22">
        <f>IF(OR('Brouillard ventes'!$F$78="",'Brouillard ventes'!$J$78="À crédit",'Brouillard ventes'!$J$78=""),"",Paramètres!$B$11)</f>
        <v/>
      </c>
      <c r="L147" s="23" t="n">
        <v>0</v>
      </c>
      <c r="M147" s="23">
        <f>IF(OR('Brouillard ventes'!$F$78="",'Brouillard ventes'!$J$78="À crédit",'Brouillard ventes'!$J$78=""),0,'Brouillard ventes'!$I$78)</f>
        <v/>
      </c>
    </row>
    <row r="148">
      <c r="A148" s="22" t="inlineStr">
        <is>
          <t>1</t>
        </is>
      </c>
      <c r="B148" s="22">
        <f>IF(OR('Brouillard ventes'!$F$79="",'Brouillard ventes'!$J$79="À crédit",'Brouillard ventes'!$J$79=""),"","EC"&amp;TEXT(ROW('Brouillard ventes'!$F$79)-5,"00000"))</f>
        <v/>
      </c>
      <c r="C148" s="22">
        <f>IF(OR('Brouillard ventes'!$F$79="",'Brouillard ventes'!$J$79="À crédit",'Brouillard ventes'!$J$79=""),"",YEAR('Brouillard ventes'!$A$79)*10000+MONTH('Brouillard ventes'!$A$79)*100+DAY('Brouillard ventes'!$A$79))</f>
        <v/>
      </c>
      <c r="D148" s="22">
        <f>IF(OR('Brouillard ventes'!$F$79="",'Brouillard ventes'!$J$79="À crédit",'Brouillard ventes'!$J$79=""),"",'Brouillard ventes'!$B$79)</f>
        <v/>
      </c>
      <c r="E148" s="22">
        <f>IF(OR('Brouillard ventes'!$F$79="",'Brouillard ventes'!$J$79="À crédit",'Brouillard ventes'!$J$79=""),"","REGL "&amp;LEFT('Brouillard ventes'!$D$79,25))</f>
        <v/>
      </c>
      <c r="F148" s="22">
        <f>IF(OR('Brouillard ventes'!$F$79="",'Brouillard ventes'!$J$79="À crédit",'Brouillard ventes'!$J$79=""),"",IF('Brouillard ventes'!$J$79="Espèces","04001","02001"))</f>
        <v/>
      </c>
      <c r="G148" s="22">
        <f>IF(OR('Brouillard ventes'!$F$79="",'Brouillard ventes'!$J$79="À crédit",'Brouillard ventes'!$J$79=""),"",IF('Brouillard ventes'!$J$79="Espèces","53000","51220"))</f>
        <v/>
      </c>
      <c r="H148" s="22" t="inlineStr"/>
      <c r="I148" s="22" t="inlineStr"/>
      <c r="J148" s="22" t="inlineStr"/>
      <c r="K148" s="22">
        <f>IF(OR('Brouillard ventes'!$F$79="",'Brouillard ventes'!$J$79="À crédit",'Brouillard ventes'!$J$79=""),"",Paramètres!$B$11)</f>
        <v/>
      </c>
      <c r="L148" s="23">
        <f>IF(OR('Brouillard ventes'!$F$79="",'Brouillard ventes'!$J$79="À crédit",'Brouillard ventes'!$J$79=""),0,'Brouillard ventes'!$I$79)</f>
        <v/>
      </c>
      <c r="M148" s="23" t="n">
        <v>0</v>
      </c>
    </row>
    <row r="149">
      <c r="A149" s="22" t="inlineStr">
        <is>
          <t>1</t>
        </is>
      </c>
      <c r="B149" s="22">
        <f>IF(OR('Brouillard ventes'!$F$79="",'Brouillard ventes'!$J$79="À crédit",'Brouillard ventes'!$J$79=""),"","EC"&amp;TEXT(ROW('Brouillard ventes'!$F$79)-5,"00000"))</f>
        <v/>
      </c>
      <c r="C149" s="22">
        <f>IF(OR('Brouillard ventes'!$F$79="",'Brouillard ventes'!$J$79="À crédit",'Brouillard ventes'!$J$79=""),"",YEAR('Brouillard ventes'!$A$79)*10000+MONTH('Brouillard ventes'!$A$79)*100+DAY('Brouillard ventes'!$A$79))</f>
        <v/>
      </c>
      <c r="D149" s="22">
        <f>IF(OR('Brouillard ventes'!$F$79="",'Brouillard ventes'!$J$79="À crédit",'Brouillard ventes'!$J$79=""),"",'Brouillard ventes'!$B$79)</f>
        <v/>
      </c>
      <c r="E149" s="22">
        <f>IF(OR('Brouillard ventes'!$F$79="",'Brouillard ventes'!$J$79="À crédit",'Brouillard ventes'!$J$79=""),"","REGL "&amp;LEFT('Brouillard ventes'!$D$79,25))</f>
        <v/>
      </c>
      <c r="F149" s="22">
        <f>IF(OR('Brouillard ventes'!$F$79="",'Brouillard ventes'!$J$79="À crédit",'Brouillard ventes'!$J$79=""),"",IF('Brouillard ventes'!$J$79="Espèces","04001","02001"))</f>
        <v/>
      </c>
      <c r="G149" s="22">
        <f>IF(OR('Brouillard ventes'!$F$79="",'Brouillard ventes'!$J$79="À crédit",'Brouillard ventes'!$J$79=""),"",Paramètres!$B$7)</f>
        <v/>
      </c>
      <c r="H149" s="22">
        <f>IF(OR('Brouillard ventes'!$F$79="",'Brouillard ventes'!$J$79="À crédit",'Brouillard ventes'!$J$79=""),"",IF('Brouillard ventes'!$C$79="","CD001",'Brouillard ventes'!$C$79))</f>
        <v/>
      </c>
      <c r="I149" s="22" t="inlineStr"/>
      <c r="J149" s="22" t="inlineStr"/>
      <c r="K149" s="22">
        <f>IF(OR('Brouillard ventes'!$F$79="",'Brouillard ventes'!$J$79="À crédit",'Brouillard ventes'!$J$79=""),"",Paramètres!$B$11)</f>
        <v/>
      </c>
      <c r="L149" s="23" t="n">
        <v>0</v>
      </c>
      <c r="M149" s="23">
        <f>IF(OR('Brouillard ventes'!$F$79="",'Brouillard ventes'!$J$79="À crédit",'Brouillard ventes'!$J$79=""),0,'Brouillard ventes'!$I$79)</f>
        <v/>
      </c>
    </row>
    <row r="150">
      <c r="A150" s="22" t="inlineStr">
        <is>
          <t>1</t>
        </is>
      </c>
      <c r="B150" s="22">
        <f>IF(OR('Brouillard ventes'!$F$80="",'Brouillard ventes'!$J$80="À crédit",'Brouillard ventes'!$J$80=""),"","EC"&amp;TEXT(ROW('Brouillard ventes'!$F$80)-5,"00000"))</f>
        <v/>
      </c>
      <c r="C150" s="22">
        <f>IF(OR('Brouillard ventes'!$F$80="",'Brouillard ventes'!$J$80="À crédit",'Brouillard ventes'!$J$80=""),"",YEAR('Brouillard ventes'!$A$80)*10000+MONTH('Brouillard ventes'!$A$80)*100+DAY('Brouillard ventes'!$A$80))</f>
        <v/>
      </c>
      <c r="D150" s="22">
        <f>IF(OR('Brouillard ventes'!$F$80="",'Brouillard ventes'!$J$80="À crédit",'Brouillard ventes'!$J$80=""),"",'Brouillard ventes'!$B$80)</f>
        <v/>
      </c>
      <c r="E150" s="22">
        <f>IF(OR('Brouillard ventes'!$F$80="",'Brouillard ventes'!$J$80="À crédit",'Brouillard ventes'!$J$80=""),"","REGL "&amp;LEFT('Brouillard ventes'!$D$80,25))</f>
        <v/>
      </c>
      <c r="F150" s="22">
        <f>IF(OR('Brouillard ventes'!$F$80="",'Brouillard ventes'!$J$80="À crédit",'Brouillard ventes'!$J$80=""),"",IF('Brouillard ventes'!$J$80="Espèces","04001","02001"))</f>
        <v/>
      </c>
      <c r="G150" s="22">
        <f>IF(OR('Brouillard ventes'!$F$80="",'Brouillard ventes'!$J$80="À crédit",'Brouillard ventes'!$J$80=""),"",IF('Brouillard ventes'!$J$80="Espèces","53000","51220"))</f>
        <v/>
      </c>
      <c r="H150" s="22" t="inlineStr"/>
      <c r="I150" s="22" t="inlineStr"/>
      <c r="J150" s="22" t="inlineStr"/>
      <c r="K150" s="22">
        <f>IF(OR('Brouillard ventes'!$F$80="",'Brouillard ventes'!$J$80="À crédit",'Brouillard ventes'!$J$80=""),"",Paramètres!$B$11)</f>
        <v/>
      </c>
      <c r="L150" s="23">
        <f>IF(OR('Brouillard ventes'!$F$80="",'Brouillard ventes'!$J$80="À crédit",'Brouillard ventes'!$J$80=""),0,'Brouillard ventes'!$I$80)</f>
        <v/>
      </c>
      <c r="M150" s="23" t="n">
        <v>0</v>
      </c>
    </row>
    <row r="151">
      <c r="A151" s="22" t="inlineStr">
        <is>
          <t>1</t>
        </is>
      </c>
      <c r="B151" s="22">
        <f>IF(OR('Brouillard ventes'!$F$80="",'Brouillard ventes'!$J$80="À crédit",'Brouillard ventes'!$J$80=""),"","EC"&amp;TEXT(ROW('Brouillard ventes'!$F$80)-5,"00000"))</f>
        <v/>
      </c>
      <c r="C151" s="22">
        <f>IF(OR('Brouillard ventes'!$F$80="",'Brouillard ventes'!$J$80="À crédit",'Brouillard ventes'!$J$80=""),"",YEAR('Brouillard ventes'!$A$80)*10000+MONTH('Brouillard ventes'!$A$80)*100+DAY('Brouillard ventes'!$A$80))</f>
        <v/>
      </c>
      <c r="D151" s="22">
        <f>IF(OR('Brouillard ventes'!$F$80="",'Brouillard ventes'!$J$80="À crédit",'Brouillard ventes'!$J$80=""),"",'Brouillard ventes'!$B$80)</f>
        <v/>
      </c>
      <c r="E151" s="22">
        <f>IF(OR('Brouillard ventes'!$F$80="",'Brouillard ventes'!$J$80="À crédit",'Brouillard ventes'!$J$80=""),"","REGL "&amp;LEFT('Brouillard ventes'!$D$80,25))</f>
        <v/>
      </c>
      <c r="F151" s="22">
        <f>IF(OR('Brouillard ventes'!$F$80="",'Brouillard ventes'!$J$80="À crédit",'Brouillard ventes'!$J$80=""),"",IF('Brouillard ventes'!$J$80="Espèces","04001","02001"))</f>
        <v/>
      </c>
      <c r="G151" s="22">
        <f>IF(OR('Brouillard ventes'!$F$80="",'Brouillard ventes'!$J$80="À crédit",'Brouillard ventes'!$J$80=""),"",Paramètres!$B$7)</f>
        <v/>
      </c>
      <c r="H151" s="22">
        <f>IF(OR('Brouillard ventes'!$F$80="",'Brouillard ventes'!$J$80="À crédit",'Brouillard ventes'!$J$80=""),"",IF('Brouillard ventes'!$C$80="","CD001",'Brouillard ventes'!$C$80))</f>
        <v/>
      </c>
      <c r="I151" s="22" t="inlineStr"/>
      <c r="J151" s="22" t="inlineStr"/>
      <c r="K151" s="22">
        <f>IF(OR('Brouillard ventes'!$F$80="",'Brouillard ventes'!$J$80="À crédit",'Brouillard ventes'!$J$80=""),"",Paramètres!$B$11)</f>
        <v/>
      </c>
      <c r="L151" s="23" t="n">
        <v>0</v>
      </c>
      <c r="M151" s="23">
        <f>IF(OR('Brouillard ventes'!$F$80="",'Brouillard ventes'!$J$80="À crédit",'Brouillard ventes'!$J$80=""),0,'Brouillard ventes'!$I$80)</f>
        <v/>
      </c>
    </row>
    <row r="152">
      <c r="A152" s="22" t="inlineStr">
        <is>
          <t>1</t>
        </is>
      </c>
      <c r="B152" s="22">
        <f>IF(OR('Brouillard ventes'!$F$81="",'Brouillard ventes'!$J$81="À crédit",'Brouillard ventes'!$J$81=""),"","EC"&amp;TEXT(ROW('Brouillard ventes'!$F$81)-5,"00000"))</f>
        <v/>
      </c>
      <c r="C152" s="22">
        <f>IF(OR('Brouillard ventes'!$F$81="",'Brouillard ventes'!$J$81="À crédit",'Brouillard ventes'!$J$81=""),"",YEAR('Brouillard ventes'!$A$81)*10000+MONTH('Brouillard ventes'!$A$81)*100+DAY('Brouillard ventes'!$A$81))</f>
        <v/>
      </c>
      <c r="D152" s="22">
        <f>IF(OR('Brouillard ventes'!$F$81="",'Brouillard ventes'!$J$81="À crédit",'Brouillard ventes'!$J$81=""),"",'Brouillard ventes'!$B$81)</f>
        <v/>
      </c>
      <c r="E152" s="22">
        <f>IF(OR('Brouillard ventes'!$F$81="",'Brouillard ventes'!$J$81="À crédit",'Brouillard ventes'!$J$81=""),"","REGL "&amp;LEFT('Brouillard ventes'!$D$81,25))</f>
        <v/>
      </c>
      <c r="F152" s="22">
        <f>IF(OR('Brouillard ventes'!$F$81="",'Brouillard ventes'!$J$81="À crédit",'Brouillard ventes'!$J$81=""),"",IF('Brouillard ventes'!$J$81="Espèces","04001","02001"))</f>
        <v/>
      </c>
      <c r="G152" s="22">
        <f>IF(OR('Brouillard ventes'!$F$81="",'Brouillard ventes'!$J$81="À crédit",'Brouillard ventes'!$J$81=""),"",IF('Brouillard ventes'!$J$81="Espèces","53000","51220"))</f>
        <v/>
      </c>
      <c r="H152" s="22" t="inlineStr"/>
      <c r="I152" s="22" t="inlineStr"/>
      <c r="J152" s="22" t="inlineStr"/>
      <c r="K152" s="22">
        <f>IF(OR('Brouillard ventes'!$F$81="",'Brouillard ventes'!$J$81="À crédit",'Brouillard ventes'!$J$81=""),"",Paramètres!$B$11)</f>
        <v/>
      </c>
      <c r="L152" s="23">
        <f>IF(OR('Brouillard ventes'!$F$81="",'Brouillard ventes'!$J$81="À crédit",'Brouillard ventes'!$J$81=""),0,'Brouillard ventes'!$I$81)</f>
        <v/>
      </c>
      <c r="M152" s="23" t="n">
        <v>0</v>
      </c>
    </row>
    <row r="153">
      <c r="A153" s="22" t="inlineStr">
        <is>
          <t>1</t>
        </is>
      </c>
      <c r="B153" s="22">
        <f>IF(OR('Brouillard ventes'!$F$81="",'Brouillard ventes'!$J$81="À crédit",'Brouillard ventes'!$J$81=""),"","EC"&amp;TEXT(ROW('Brouillard ventes'!$F$81)-5,"00000"))</f>
        <v/>
      </c>
      <c r="C153" s="22">
        <f>IF(OR('Brouillard ventes'!$F$81="",'Brouillard ventes'!$J$81="À crédit",'Brouillard ventes'!$J$81=""),"",YEAR('Brouillard ventes'!$A$81)*10000+MONTH('Brouillard ventes'!$A$81)*100+DAY('Brouillard ventes'!$A$81))</f>
        <v/>
      </c>
      <c r="D153" s="22">
        <f>IF(OR('Brouillard ventes'!$F$81="",'Brouillard ventes'!$J$81="À crédit",'Brouillard ventes'!$J$81=""),"",'Brouillard ventes'!$B$81)</f>
        <v/>
      </c>
      <c r="E153" s="22">
        <f>IF(OR('Brouillard ventes'!$F$81="",'Brouillard ventes'!$J$81="À crédit",'Brouillard ventes'!$J$81=""),"","REGL "&amp;LEFT('Brouillard ventes'!$D$81,25))</f>
        <v/>
      </c>
      <c r="F153" s="22">
        <f>IF(OR('Brouillard ventes'!$F$81="",'Brouillard ventes'!$J$81="À crédit",'Brouillard ventes'!$J$81=""),"",IF('Brouillard ventes'!$J$81="Espèces","04001","02001"))</f>
        <v/>
      </c>
      <c r="G153" s="22">
        <f>IF(OR('Brouillard ventes'!$F$81="",'Brouillard ventes'!$J$81="À crédit",'Brouillard ventes'!$J$81=""),"",Paramètres!$B$7)</f>
        <v/>
      </c>
      <c r="H153" s="22">
        <f>IF(OR('Brouillard ventes'!$F$81="",'Brouillard ventes'!$J$81="À crédit",'Brouillard ventes'!$J$81=""),"",IF('Brouillard ventes'!$C$81="","CD001",'Brouillard ventes'!$C$81))</f>
        <v/>
      </c>
      <c r="I153" s="22" t="inlineStr"/>
      <c r="J153" s="22" t="inlineStr"/>
      <c r="K153" s="22">
        <f>IF(OR('Brouillard ventes'!$F$81="",'Brouillard ventes'!$J$81="À crédit",'Brouillard ventes'!$J$81=""),"",Paramètres!$B$11)</f>
        <v/>
      </c>
      <c r="L153" s="23" t="n">
        <v>0</v>
      </c>
      <c r="M153" s="23">
        <f>IF(OR('Brouillard ventes'!$F$81="",'Brouillard ventes'!$J$81="À crédit",'Brouillard ventes'!$J$81=""),0,'Brouillard ventes'!$I$81)</f>
        <v/>
      </c>
    </row>
    <row r="154">
      <c r="A154" s="22" t="inlineStr">
        <is>
          <t>1</t>
        </is>
      </c>
      <c r="B154" s="22">
        <f>IF(OR('Brouillard ventes'!$F$82="",'Brouillard ventes'!$J$82="À crédit",'Brouillard ventes'!$J$82=""),"","EC"&amp;TEXT(ROW('Brouillard ventes'!$F$82)-5,"00000"))</f>
        <v/>
      </c>
      <c r="C154" s="22">
        <f>IF(OR('Brouillard ventes'!$F$82="",'Brouillard ventes'!$J$82="À crédit",'Brouillard ventes'!$J$82=""),"",YEAR('Brouillard ventes'!$A$82)*10000+MONTH('Brouillard ventes'!$A$82)*100+DAY('Brouillard ventes'!$A$82))</f>
        <v/>
      </c>
      <c r="D154" s="22">
        <f>IF(OR('Brouillard ventes'!$F$82="",'Brouillard ventes'!$J$82="À crédit",'Brouillard ventes'!$J$82=""),"",'Brouillard ventes'!$B$82)</f>
        <v/>
      </c>
      <c r="E154" s="22">
        <f>IF(OR('Brouillard ventes'!$F$82="",'Brouillard ventes'!$J$82="À crédit",'Brouillard ventes'!$J$82=""),"","REGL "&amp;LEFT('Brouillard ventes'!$D$82,25))</f>
        <v/>
      </c>
      <c r="F154" s="22">
        <f>IF(OR('Brouillard ventes'!$F$82="",'Brouillard ventes'!$J$82="À crédit",'Brouillard ventes'!$J$82=""),"",IF('Brouillard ventes'!$J$82="Espèces","04001","02001"))</f>
        <v/>
      </c>
      <c r="G154" s="22">
        <f>IF(OR('Brouillard ventes'!$F$82="",'Brouillard ventes'!$J$82="À crédit",'Brouillard ventes'!$J$82=""),"",IF('Brouillard ventes'!$J$82="Espèces","53000","51220"))</f>
        <v/>
      </c>
      <c r="H154" s="22" t="inlineStr"/>
      <c r="I154" s="22" t="inlineStr"/>
      <c r="J154" s="22" t="inlineStr"/>
      <c r="K154" s="22">
        <f>IF(OR('Brouillard ventes'!$F$82="",'Brouillard ventes'!$J$82="À crédit",'Brouillard ventes'!$J$82=""),"",Paramètres!$B$11)</f>
        <v/>
      </c>
      <c r="L154" s="23">
        <f>IF(OR('Brouillard ventes'!$F$82="",'Brouillard ventes'!$J$82="À crédit",'Brouillard ventes'!$J$82=""),0,'Brouillard ventes'!$I$82)</f>
        <v/>
      </c>
      <c r="M154" s="23" t="n">
        <v>0</v>
      </c>
    </row>
    <row r="155">
      <c r="A155" s="22" t="inlineStr">
        <is>
          <t>1</t>
        </is>
      </c>
      <c r="B155" s="22">
        <f>IF(OR('Brouillard ventes'!$F$82="",'Brouillard ventes'!$J$82="À crédit",'Brouillard ventes'!$J$82=""),"","EC"&amp;TEXT(ROW('Brouillard ventes'!$F$82)-5,"00000"))</f>
        <v/>
      </c>
      <c r="C155" s="22">
        <f>IF(OR('Brouillard ventes'!$F$82="",'Brouillard ventes'!$J$82="À crédit",'Brouillard ventes'!$J$82=""),"",YEAR('Brouillard ventes'!$A$82)*10000+MONTH('Brouillard ventes'!$A$82)*100+DAY('Brouillard ventes'!$A$82))</f>
        <v/>
      </c>
      <c r="D155" s="22">
        <f>IF(OR('Brouillard ventes'!$F$82="",'Brouillard ventes'!$J$82="À crédit",'Brouillard ventes'!$J$82=""),"",'Brouillard ventes'!$B$82)</f>
        <v/>
      </c>
      <c r="E155" s="22">
        <f>IF(OR('Brouillard ventes'!$F$82="",'Brouillard ventes'!$J$82="À crédit",'Brouillard ventes'!$J$82=""),"","REGL "&amp;LEFT('Brouillard ventes'!$D$82,25))</f>
        <v/>
      </c>
      <c r="F155" s="22">
        <f>IF(OR('Brouillard ventes'!$F$82="",'Brouillard ventes'!$J$82="À crédit",'Brouillard ventes'!$J$82=""),"",IF('Brouillard ventes'!$J$82="Espèces","04001","02001"))</f>
        <v/>
      </c>
      <c r="G155" s="22">
        <f>IF(OR('Brouillard ventes'!$F$82="",'Brouillard ventes'!$J$82="À crédit",'Brouillard ventes'!$J$82=""),"",Paramètres!$B$7)</f>
        <v/>
      </c>
      <c r="H155" s="22">
        <f>IF(OR('Brouillard ventes'!$F$82="",'Brouillard ventes'!$J$82="À crédit",'Brouillard ventes'!$J$82=""),"",IF('Brouillard ventes'!$C$82="","CD001",'Brouillard ventes'!$C$82))</f>
        <v/>
      </c>
      <c r="I155" s="22" t="inlineStr"/>
      <c r="J155" s="22" t="inlineStr"/>
      <c r="K155" s="22">
        <f>IF(OR('Brouillard ventes'!$F$82="",'Brouillard ventes'!$J$82="À crédit",'Brouillard ventes'!$J$82=""),"",Paramètres!$B$11)</f>
        <v/>
      </c>
      <c r="L155" s="23" t="n">
        <v>0</v>
      </c>
      <c r="M155" s="23">
        <f>IF(OR('Brouillard ventes'!$F$82="",'Brouillard ventes'!$J$82="À crédit",'Brouillard ventes'!$J$82=""),0,'Brouillard ventes'!$I$82)</f>
        <v/>
      </c>
    </row>
    <row r="156">
      <c r="A156" s="22" t="inlineStr">
        <is>
          <t>1</t>
        </is>
      </c>
      <c r="B156" s="22">
        <f>IF(OR('Brouillard ventes'!$F$83="",'Brouillard ventes'!$J$83="À crédit",'Brouillard ventes'!$J$83=""),"","EC"&amp;TEXT(ROW('Brouillard ventes'!$F$83)-5,"00000"))</f>
        <v/>
      </c>
      <c r="C156" s="22">
        <f>IF(OR('Brouillard ventes'!$F$83="",'Brouillard ventes'!$J$83="À crédit",'Brouillard ventes'!$J$83=""),"",YEAR('Brouillard ventes'!$A$83)*10000+MONTH('Brouillard ventes'!$A$83)*100+DAY('Brouillard ventes'!$A$83))</f>
        <v/>
      </c>
      <c r="D156" s="22">
        <f>IF(OR('Brouillard ventes'!$F$83="",'Brouillard ventes'!$J$83="À crédit",'Brouillard ventes'!$J$83=""),"",'Brouillard ventes'!$B$83)</f>
        <v/>
      </c>
      <c r="E156" s="22">
        <f>IF(OR('Brouillard ventes'!$F$83="",'Brouillard ventes'!$J$83="À crédit",'Brouillard ventes'!$J$83=""),"","REGL "&amp;LEFT('Brouillard ventes'!$D$83,25))</f>
        <v/>
      </c>
      <c r="F156" s="22">
        <f>IF(OR('Brouillard ventes'!$F$83="",'Brouillard ventes'!$J$83="À crédit",'Brouillard ventes'!$J$83=""),"",IF('Brouillard ventes'!$J$83="Espèces","04001","02001"))</f>
        <v/>
      </c>
      <c r="G156" s="22">
        <f>IF(OR('Brouillard ventes'!$F$83="",'Brouillard ventes'!$J$83="À crédit",'Brouillard ventes'!$J$83=""),"",IF('Brouillard ventes'!$J$83="Espèces","53000","51220"))</f>
        <v/>
      </c>
      <c r="H156" s="22" t="inlineStr"/>
      <c r="I156" s="22" t="inlineStr"/>
      <c r="J156" s="22" t="inlineStr"/>
      <c r="K156" s="22">
        <f>IF(OR('Brouillard ventes'!$F$83="",'Brouillard ventes'!$J$83="À crédit",'Brouillard ventes'!$J$83=""),"",Paramètres!$B$11)</f>
        <v/>
      </c>
      <c r="L156" s="23">
        <f>IF(OR('Brouillard ventes'!$F$83="",'Brouillard ventes'!$J$83="À crédit",'Brouillard ventes'!$J$83=""),0,'Brouillard ventes'!$I$83)</f>
        <v/>
      </c>
      <c r="M156" s="23" t="n">
        <v>0</v>
      </c>
    </row>
    <row r="157">
      <c r="A157" s="22" t="inlineStr">
        <is>
          <t>1</t>
        </is>
      </c>
      <c r="B157" s="22">
        <f>IF(OR('Brouillard ventes'!$F$83="",'Brouillard ventes'!$J$83="À crédit",'Brouillard ventes'!$J$83=""),"","EC"&amp;TEXT(ROW('Brouillard ventes'!$F$83)-5,"00000"))</f>
        <v/>
      </c>
      <c r="C157" s="22">
        <f>IF(OR('Brouillard ventes'!$F$83="",'Brouillard ventes'!$J$83="À crédit",'Brouillard ventes'!$J$83=""),"",YEAR('Brouillard ventes'!$A$83)*10000+MONTH('Brouillard ventes'!$A$83)*100+DAY('Brouillard ventes'!$A$83))</f>
        <v/>
      </c>
      <c r="D157" s="22">
        <f>IF(OR('Brouillard ventes'!$F$83="",'Brouillard ventes'!$J$83="À crédit",'Brouillard ventes'!$J$83=""),"",'Brouillard ventes'!$B$83)</f>
        <v/>
      </c>
      <c r="E157" s="22">
        <f>IF(OR('Brouillard ventes'!$F$83="",'Brouillard ventes'!$J$83="À crédit",'Brouillard ventes'!$J$83=""),"","REGL "&amp;LEFT('Brouillard ventes'!$D$83,25))</f>
        <v/>
      </c>
      <c r="F157" s="22">
        <f>IF(OR('Brouillard ventes'!$F$83="",'Brouillard ventes'!$J$83="À crédit",'Brouillard ventes'!$J$83=""),"",IF('Brouillard ventes'!$J$83="Espèces","04001","02001"))</f>
        <v/>
      </c>
      <c r="G157" s="22">
        <f>IF(OR('Brouillard ventes'!$F$83="",'Brouillard ventes'!$J$83="À crédit",'Brouillard ventes'!$J$83=""),"",Paramètres!$B$7)</f>
        <v/>
      </c>
      <c r="H157" s="22">
        <f>IF(OR('Brouillard ventes'!$F$83="",'Brouillard ventes'!$J$83="À crédit",'Brouillard ventes'!$J$83=""),"",IF('Brouillard ventes'!$C$83="","CD001",'Brouillard ventes'!$C$83))</f>
        <v/>
      </c>
      <c r="I157" s="22" t="inlineStr"/>
      <c r="J157" s="22" t="inlineStr"/>
      <c r="K157" s="22">
        <f>IF(OR('Brouillard ventes'!$F$83="",'Brouillard ventes'!$J$83="À crédit",'Brouillard ventes'!$J$83=""),"",Paramètres!$B$11)</f>
        <v/>
      </c>
      <c r="L157" s="23" t="n">
        <v>0</v>
      </c>
      <c r="M157" s="23">
        <f>IF(OR('Brouillard ventes'!$F$83="",'Brouillard ventes'!$J$83="À crédit",'Brouillard ventes'!$J$83=""),0,'Brouillard ventes'!$I$83)</f>
        <v/>
      </c>
    </row>
    <row r="158">
      <c r="A158" s="22" t="inlineStr">
        <is>
          <t>1</t>
        </is>
      </c>
      <c r="B158" s="22">
        <f>IF(OR('Brouillard ventes'!$F$84="",'Brouillard ventes'!$J$84="À crédit",'Brouillard ventes'!$J$84=""),"","EC"&amp;TEXT(ROW('Brouillard ventes'!$F$84)-5,"00000"))</f>
        <v/>
      </c>
      <c r="C158" s="22">
        <f>IF(OR('Brouillard ventes'!$F$84="",'Brouillard ventes'!$J$84="À crédit",'Brouillard ventes'!$J$84=""),"",YEAR('Brouillard ventes'!$A$84)*10000+MONTH('Brouillard ventes'!$A$84)*100+DAY('Brouillard ventes'!$A$84))</f>
        <v/>
      </c>
      <c r="D158" s="22">
        <f>IF(OR('Brouillard ventes'!$F$84="",'Brouillard ventes'!$J$84="À crédit",'Brouillard ventes'!$J$84=""),"",'Brouillard ventes'!$B$84)</f>
        <v/>
      </c>
      <c r="E158" s="22">
        <f>IF(OR('Brouillard ventes'!$F$84="",'Brouillard ventes'!$J$84="À crédit",'Brouillard ventes'!$J$84=""),"","REGL "&amp;LEFT('Brouillard ventes'!$D$84,25))</f>
        <v/>
      </c>
      <c r="F158" s="22">
        <f>IF(OR('Brouillard ventes'!$F$84="",'Brouillard ventes'!$J$84="À crédit",'Brouillard ventes'!$J$84=""),"",IF('Brouillard ventes'!$J$84="Espèces","04001","02001"))</f>
        <v/>
      </c>
      <c r="G158" s="22">
        <f>IF(OR('Brouillard ventes'!$F$84="",'Brouillard ventes'!$J$84="À crédit",'Brouillard ventes'!$J$84=""),"",IF('Brouillard ventes'!$J$84="Espèces","53000","51220"))</f>
        <v/>
      </c>
      <c r="H158" s="22" t="inlineStr"/>
      <c r="I158" s="22" t="inlineStr"/>
      <c r="J158" s="22" t="inlineStr"/>
      <c r="K158" s="22">
        <f>IF(OR('Brouillard ventes'!$F$84="",'Brouillard ventes'!$J$84="À crédit",'Brouillard ventes'!$J$84=""),"",Paramètres!$B$11)</f>
        <v/>
      </c>
      <c r="L158" s="23">
        <f>IF(OR('Brouillard ventes'!$F$84="",'Brouillard ventes'!$J$84="À crédit",'Brouillard ventes'!$J$84=""),0,'Brouillard ventes'!$I$84)</f>
        <v/>
      </c>
      <c r="M158" s="23" t="n">
        <v>0</v>
      </c>
    </row>
    <row r="159">
      <c r="A159" s="22" t="inlineStr">
        <is>
          <t>1</t>
        </is>
      </c>
      <c r="B159" s="22">
        <f>IF(OR('Brouillard ventes'!$F$84="",'Brouillard ventes'!$J$84="À crédit",'Brouillard ventes'!$J$84=""),"","EC"&amp;TEXT(ROW('Brouillard ventes'!$F$84)-5,"00000"))</f>
        <v/>
      </c>
      <c r="C159" s="22">
        <f>IF(OR('Brouillard ventes'!$F$84="",'Brouillard ventes'!$J$84="À crédit",'Brouillard ventes'!$J$84=""),"",YEAR('Brouillard ventes'!$A$84)*10000+MONTH('Brouillard ventes'!$A$84)*100+DAY('Brouillard ventes'!$A$84))</f>
        <v/>
      </c>
      <c r="D159" s="22">
        <f>IF(OR('Brouillard ventes'!$F$84="",'Brouillard ventes'!$J$84="À crédit",'Brouillard ventes'!$J$84=""),"",'Brouillard ventes'!$B$84)</f>
        <v/>
      </c>
      <c r="E159" s="22">
        <f>IF(OR('Brouillard ventes'!$F$84="",'Brouillard ventes'!$J$84="À crédit",'Brouillard ventes'!$J$84=""),"","REGL "&amp;LEFT('Brouillard ventes'!$D$84,25))</f>
        <v/>
      </c>
      <c r="F159" s="22">
        <f>IF(OR('Brouillard ventes'!$F$84="",'Brouillard ventes'!$J$84="À crédit",'Brouillard ventes'!$J$84=""),"",IF('Brouillard ventes'!$J$84="Espèces","04001","02001"))</f>
        <v/>
      </c>
      <c r="G159" s="22">
        <f>IF(OR('Brouillard ventes'!$F$84="",'Brouillard ventes'!$J$84="À crédit",'Brouillard ventes'!$J$84=""),"",Paramètres!$B$7)</f>
        <v/>
      </c>
      <c r="H159" s="22">
        <f>IF(OR('Brouillard ventes'!$F$84="",'Brouillard ventes'!$J$84="À crédit",'Brouillard ventes'!$J$84=""),"",IF('Brouillard ventes'!$C$84="","CD001",'Brouillard ventes'!$C$84))</f>
        <v/>
      </c>
      <c r="I159" s="22" t="inlineStr"/>
      <c r="J159" s="22" t="inlineStr"/>
      <c r="K159" s="22">
        <f>IF(OR('Brouillard ventes'!$F$84="",'Brouillard ventes'!$J$84="À crédit",'Brouillard ventes'!$J$84=""),"",Paramètres!$B$11)</f>
        <v/>
      </c>
      <c r="L159" s="23" t="n">
        <v>0</v>
      </c>
      <c r="M159" s="23">
        <f>IF(OR('Brouillard ventes'!$F$84="",'Brouillard ventes'!$J$84="À crédit",'Brouillard ventes'!$J$84=""),0,'Brouillard ventes'!$I$84)</f>
        <v/>
      </c>
    </row>
    <row r="160">
      <c r="A160" s="22" t="inlineStr">
        <is>
          <t>1</t>
        </is>
      </c>
      <c r="B160" s="22">
        <f>IF(OR('Brouillard ventes'!$F$85="",'Brouillard ventes'!$J$85="À crédit",'Brouillard ventes'!$J$85=""),"","EC"&amp;TEXT(ROW('Brouillard ventes'!$F$85)-5,"00000"))</f>
        <v/>
      </c>
      <c r="C160" s="22">
        <f>IF(OR('Brouillard ventes'!$F$85="",'Brouillard ventes'!$J$85="À crédit",'Brouillard ventes'!$J$85=""),"",YEAR('Brouillard ventes'!$A$85)*10000+MONTH('Brouillard ventes'!$A$85)*100+DAY('Brouillard ventes'!$A$85))</f>
        <v/>
      </c>
      <c r="D160" s="22">
        <f>IF(OR('Brouillard ventes'!$F$85="",'Brouillard ventes'!$J$85="À crédit",'Brouillard ventes'!$J$85=""),"",'Brouillard ventes'!$B$85)</f>
        <v/>
      </c>
      <c r="E160" s="22">
        <f>IF(OR('Brouillard ventes'!$F$85="",'Brouillard ventes'!$J$85="À crédit",'Brouillard ventes'!$J$85=""),"","REGL "&amp;LEFT('Brouillard ventes'!$D$85,25))</f>
        <v/>
      </c>
      <c r="F160" s="22">
        <f>IF(OR('Brouillard ventes'!$F$85="",'Brouillard ventes'!$J$85="À crédit",'Brouillard ventes'!$J$85=""),"",IF('Brouillard ventes'!$J$85="Espèces","04001","02001"))</f>
        <v/>
      </c>
      <c r="G160" s="22">
        <f>IF(OR('Brouillard ventes'!$F$85="",'Brouillard ventes'!$J$85="À crédit",'Brouillard ventes'!$J$85=""),"",IF('Brouillard ventes'!$J$85="Espèces","53000","51220"))</f>
        <v/>
      </c>
      <c r="H160" s="22" t="inlineStr"/>
      <c r="I160" s="22" t="inlineStr"/>
      <c r="J160" s="22" t="inlineStr"/>
      <c r="K160" s="22">
        <f>IF(OR('Brouillard ventes'!$F$85="",'Brouillard ventes'!$J$85="À crédit",'Brouillard ventes'!$J$85=""),"",Paramètres!$B$11)</f>
        <v/>
      </c>
      <c r="L160" s="23">
        <f>IF(OR('Brouillard ventes'!$F$85="",'Brouillard ventes'!$J$85="À crédit",'Brouillard ventes'!$J$85=""),0,'Brouillard ventes'!$I$85)</f>
        <v/>
      </c>
      <c r="M160" s="23" t="n">
        <v>0</v>
      </c>
    </row>
    <row r="161">
      <c r="A161" s="22" t="inlineStr">
        <is>
          <t>1</t>
        </is>
      </c>
      <c r="B161" s="22">
        <f>IF(OR('Brouillard ventes'!$F$85="",'Brouillard ventes'!$J$85="À crédit",'Brouillard ventes'!$J$85=""),"","EC"&amp;TEXT(ROW('Brouillard ventes'!$F$85)-5,"00000"))</f>
        <v/>
      </c>
      <c r="C161" s="22">
        <f>IF(OR('Brouillard ventes'!$F$85="",'Brouillard ventes'!$J$85="À crédit",'Brouillard ventes'!$J$85=""),"",YEAR('Brouillard ventes'!$A$85)*10000+MONTH('Brouillard ventes'!$A$85)*100+DAY('Brouillard ventes'!$A$85))</f>
        <v/>
      </c>
      <c r="D161" s="22">
        <f>IF(OR('Brouillard ventes'!$F$85="",'Brouillard ventes'!$J$85="À crédit",'Brouillard ventes'!$J$85=""),"",'Brouillard ventes'!$B$85)</f>
        <v/>
      </c>
      <c r="E161" s="22">
        <f>IF(OR('Brouillard ventes'!$F$85="",'Brouillard ventes'!$J$85="À crédit",'Brouillard ventes'!$J$85=""),"","REGL "&amp;LEFT('Brouillard ventes'!$D$85,25))</f>
        <v/>
      </c>
      <c r="F161" s="22">
        <f>IF(OR('Brouillard ventes'!$F$85="",'Brouillard ventes'!$J$85="À crédit",'Brouillard ventes'!$J$85=""),"",IF('Brouillard ventes'!$J$85="Espèces","04001","02001"))</f>
        <v/>
      </c>
      <c r="G161" s="22">
        <f>IF(OR('Brouillard ventes'!$F$85="",'Brouillard ventes'!$J$85="À crédit",'Brouillard ventes'!$J$85=""),"",Paramètres!$B$7)</f>
        <v/>
      </c>
      <c r="H161" s="22">
        <f>IF(OR('Brouillard ventes'!$F$85="",'Brouillard ventes'!$J$85="À crédit",'Brouillard ventes'!$J$85=""),"",IF('Brouillard ventes'!$C$85="","CD001",'Brouillard ventes'!$C$85))</f>
        <v/>
      </c>
      <c r="I161" s="22" t="inlineStr"/>
      <c r="J161" s="22" t="inlineStr"/>
      <c r="K161" s="22">
        <f>IF(OR('Brouillard ventes'!$F$85="",'Brouillard ventes'!$J$85="À crédit",'Brouillard ventes'!$J$85=""),"",Paramètres!$B$11)</f>
        <v/>
      </c>
      <c r="L161" s="23" t="n">
        <v>0</v>
      </c>
      <c r="M161" s="23">
        <f>IF(OR('Brouillard ventes'!$F$85="",'Brouillard ventes'!$J$85="À crédit",'Brouillard ventes'!$J$85=""),0,'Brouillard ventes'!$I$85)</f>
        <v/>
      </c>
    </row>
    <row r="162">
      <c r="A162" s="22" t="inlineStr">
        <is>
          <t>1</t>
        </is>
      </c>
      <c r="B162" s="22">
        <f>IF(OR('Brouillard ventes'!$F$86="",'Brouillard ventes'!$J$86="À crédit",'Brouillard ventes'!$J$86=""),"","EC"&amp;TEXT(ROW('Brouillard ventes'!$F$86)-5,"00000"))</f>
        <v/>
      </c>
      <c r="C162" s="22">
        <f>IF(OR('Brouillard ventes'!$F$86="",'Brouillard ventes'!$J$86="À crédit",'Brouillard ventes'!$J$86=""),"",YEAR('Brouillard ventes'!$A$86)*10000+MONTH('Brouillard ventes'!$A$86)*100+DAY('Brouillard ventes'!$A$86))</f>
        <v/>
      </c>
      <c r="D162" s="22">
        <f>IF(OR('Brouillard ventes'!$F$86="",'Brouillard ventes'!$J$86="À crédit",'Brouillard ventes'!$J$86=""),"",'Brouillard ventes'!$B$86)</f>
        <v/>
      </c>
      <c r="E162" s="22">
        <f>IF(OR('Brouillard ventes'!$F$86="",'Brouillard ventes'!$J$86="À crédit",'Brouillard ventes'!$J$86=""),"","REGL "&amp;LEFT('Brouillard ventes'!$D$86,25))</f>
        <v/>
      </c>
      <c r="F162" s="22">
        <f>IF(OR('Brouillard ventes'!$F$86="",'Brouillard ventes'!$J$86="À crédit",'Brouillard ventes'!$J$86=""),"",IF('Brouillard ventes'!$J$86="Espèces","04001","02001"))</f>
        <v/>
      </c>
      <c r="G162" s="22">
        <f>IF(OR('Brouillard ventes'!$F$86="",'Brouillard ventes'!$J$86="À crédit",'Brouillard ventes'!$J$86=""),"",IF('Brouillard ventes'!$J$86="Espèces","53000","51220"))</f>
        <v/>
      </c>
      <c r="H162" s="22" t="inlineStr"/>
      <c r="I162" s="22" t="inlineStr"/>
      <c r="J162" s="22" t="inlineStr"/>
      <c r="K162" s="22">
        <f>IF(OR('Brouillard ventes'!$F$86="",'Brouillard ventes'!$J$86="À crédit",'Brouillard ventes'!$J$86=""),"",Paramètres!$B$11)</f>
        <v/>
      </c>
      <c r="L162" s="23">
        <f>IF(OR('Brouillard ventes'!$F$86="",'Brouillard ventes'!$J$86="À crédit",'Brouillard ventes'!$J$86=""),0,'Brouillard ventes'!$I$86)</f>
        <v/>
      </c>
      <c r="M162" s="23" t="n">
        <v>0</v>
      </c>
    </row>
    <row r="163">
      <c r="A163" s="22" t="inlineStr">
        <is>
          <t>1</t>
        </is>
      </c>
      <c r="B163" s="22">
        <f>IF(OR('Brouillard ventes'!$F$86="",'Brouillard ventes'!$J$86="À crédit",'Brouillard ventes'!$J$86=""),"","EC"&amp;TEXT(ROW('Brouillard ventes'!$F$86)-5,"00000"))</f>
        <v/>
      </c>
      <c r="C163" s="22">
        <f>IF(OR('Brouillard ventes'!$F$86="",'Brouillard ventes'!$J$86="À crédit",'Brouillard ventes'!$J$86=""),"",YEAR('Brouillard ventes'!$A$86)*10000+MONTH('Brouillard ventes'!$A$86)*100+DAY('Brouillard ventes'!$A$86))</f>
        <v/>
      </c>
      <c r="D163" s="22">
        <f>IF(OR('Brouillard ventes'!$F$86="",'Brouillard ventes'!$J$86="À crédit",'Brouillard ventes'!$J$86=""),"",'Brouillard ventes'!$B$86)</f>
        <v/>
      </c>
      <c r="E163" s="22">
        <f>IF(OR('Brouillard ventes'!$F$86="",'Brouillard ventes'!$J$86="À crédit",'Brouillard ventes'!$J$86=""),"","REGL "&amp;LEFT('Brouillard ventes'!$D$86,25))</f>
        <v/>
      </c>
      <c r="F163" s="22">
        <f>IF(OR('Brouillard ventes'!$F$86="",'Brouillard ventes'!$J$86="À crédit",'Brouillard ventes'!$J$86=""),"",IF('Brouillard ventes'!$J$86="Espèces","04001","02001"))</f>
        <v/>
      </c>
      <c r="G163" s="22">
        <f>IF(OR('Brouillard ventes'!$F$86="",'Brouillard ventes'!$J$86="À crédit",'Brouillard ventes'!$J$86=""),"",Paramètres!$B$7)</f>
        <v/>
      </c>
      <c r="H163" s="22">
        <f>IF(OR('Brouillard ventes'!$F$86="",'Brouillard ventes'!$J$86="À crédit",'Brouillard ventes'!$J$86=""),"",IF('Brouillard ventes'!$C$86="","CD001",'Brouillard ventes'!$C$86))</f>
        <v/>
      </c>
      <c r="I163" s="22" t="inlineStr"/>
      <c r="J163" s="22" t="inlineStr"/>
      <c r="K163" s="22">
        <f>IF(OR('Brouillard ventes'!$F$86="",'Brouillard ventes'!$J$86="À crédit",'Brouillard ventes'!$J$86=""),"",Paramètres!$B$11)</f>
        <v/>
      </c>
      <c r="L163" s="23" t="n">
        <v>0</v>
      </c>
      <c r="M163" s="23">
        <f>IF(OR('Brouillard ventes'!$F$86="",'Brouillard ventes'!$J$86="À crédit",'Brouillard ventes'!$J$86=""),0,'Brouillard ventes'!$I$86)</f>
        <v/>
      </c>
    </row>
    <row r="164">
      <c r="A164" s="22" t="inlineStr">
        <is>
          <t>1</t>
        </is>
      </c>
      <c r="B164" s="22">
        <f>IF(OR('Brouillard ventes'!$F$87="",'Brouillard ventes'!$J$87="À crédit",'Brouillard ventes'!$J$87=""),"","EC"&amp;TEXT(ROW('Brouillard ventes'!$F$87)-5,"00000"))</f>
        <v/>
      </c>
      <c r="C164" s="22">
        <f>IF(OR('Brouillard ventes'!$F$87="",'Brouillard ventes'!$J$87="À crédit",'Brouillard ventes'!$J$87=""),"",YEAR('Brouillard ventes'!$A$87)*10000+MONTH('Brouillard ventes'!$A$87)*100+DAY('Brouillard ventes'!$A$87))</f>
        <v/>
      </c>
      <c r="D164" s="22">
        <f>IF(OR('Brouillard ventes'!$F$87="",'Brouillard ventes'!$J$87="À crédit",'Brouillard ventes'!$J$87=""),"",'Brouillard ventes'!$B$87)</f>
        <v/>
      </c>
      <c r="E164" s="22">
        <f>IF(OR('Brouillard ventes'!$F$87="",'Brouillard ventes'!$J$87="À crédit",'Brouillard ventes'!$J$87=""),"","REGL "&amp;LEFT('Brouillard ventes'!$D$87,25))</f>
        <v/>
      </c>
      <c r="F164" s="22">
        <f>IF(OR('Brouillard ventes'!$F$87="",'Brouillard ventes'!$J$87="À crédit",'Brouillard ventes'!$J$87=""),"",IF('Brouillard ventes'!$J$87="Espèces","04001","02001"))</f>
        <v/>
      </c>
      <c r="G164" s="22">
        <f>IF(OR('Brouillard ventes'!$F$87="",'Brouillard ventes'!$J$87="À crédit",'Brouillard ventes'!$J$87=""),"",IF('Brouillard ventes'!$J$87="Espèces","53000","51220"))</f>
        <v/>
      </c>
      <c r="H164" s="22" t="inlineStr"/>
      <c r="I164" s="22" t="inlineStr"/>
      <c r="J164" s="22" t="inlineStr"/>
      <c r="K164" s="22">
        <f>IF(OR('Brouillard ventes'!$F$87="",'Brouillard ventes'!$J$87="À crédit",'Brouillard ventes'!$J$87=""),"",Paramètres!$B$11)</f>
        <v/>
      </c>
      <c r="L164" s="23">
        <f>IF(OR('Brouillard ventes'!$F$87="",'Brouillard ventes'!$J$87="À crédit",'Brouillard ventes'!$J$87=""),0,'Brouillard ventes'!$I$87)</f>
        <v/>
      </c>
      <c r="M164" s="23" t="n">
        <v>0</v>
      </c>
    </row>
    <row r="165">
      <c r="A165" s="22" t="inlineStr">
        <is>
          <t>1</t>
        </is>
      </c>
      <c r="B165" s="22">
        <f>IF(OR('Brouillard ventes'!$F$87="",'Brouillard ventes'!$J$87="À crédit",'Brouillard ventes'!$J$87=""),"","EC"&amp;TEXT(ROW('Brouillard ventes'!$F$87)-5,"00000"))</f>
        <v/>
      </c>
      <c r="C165" s="22">
        <f>IF(OR('Brouillard ventes'!$F$87="",'Brouillard ventes'!$J$87="À crédit",'Brouillard ventes'!$J$87=""),"",YEAR('Brouillard ventes'!$A$87)*10000+MONTH('Brouillard ventes'!$A$87)*100+DAY('Brouillard ventes'!$A$87))</f>
        <v/>
      </c>
      <c r="D165" s="22">
        <f>IF(OR('Brouillard ventes'!$F$87="",'Brouillard ventes'!$J$87="À crédit",'Brouillard ventes'!$J$87=""),"",'Brouillard ventes'!$B$87)</f>
        <v/>
      </c>
      <c r="E165" s="22">
        <f>IF(OR('Brouillard ventes'!$F$87="",'Brouillard ventes'!$J$87="À crédit",'Brouillard ventes'!$J$87=""),"","REGL "&amp;LEFT('Brouillard ventes'!$D$87,25))</f>
        <v/>
      </c>
      <c r="F165" s="22">
        <f>IF(OR('Brouillard ventes'!$F$87="",'Brouillard ventes'!$J$87="À crédit",'Brouillard ventes'!$J$87=""),"",IF('Brouillard ventes'!$J$87="Espèces","04001","02001"))</f>
        <v/>
      </c>
      <c r="G165" s="22">
        <f>IF(OR('Brouillard ventes'!$F$87="",'Brouillard ventes'!$J$87="À crédit",'Brouillard ventes'!$J$87=""),"",Paramètres!$B$7)</f>
        <v/>
      </c>
      <c r="H165" s="22">
        <f>IF(OR('Brouillard ventes'!$F$87="",'Brouillard ventes'!$J$87="À crédit",'Brouillard ventes'!$J$87=""),"",IF('Brouillard ventes'!$C$87="","CD001",'Brouillard ventes'!$C$87))</f>
        <v/>
      </c>
      <c r="I165" s="22" t="inlineStr"/>
      <c r="J165" s="22" t="inlineStr"/>
      <c r="K165" s="22">
        <f>IF(OR('Brouillard ventes'!$F$87="",'Brouillard ventes'!$J$87="À crédit",'Brouillard ventes'!$J$87=""),"",Paramètres!$B$11)</f>
        <v/>
      </c>
      <c r="L165" s="23" t="n">
        <v>0</v>
      </c>
      <c r="M165" s="23">
        <f>IF(OR('Brouillard ventes'!$F$87="",'Brouillard ventes'!$J$87="À crédit",'Brouillard ventes'!$J$87=""),0,'Brouillard ventes'!$I$87)</f>
        <v/>
      </c>
    </row>
    <row r="166">
      <c r="A166" s="22" t="inlineStr">
        <is>
          <t>1</t>
        </is>
      </c>
      <c r="B166" s="22">
        <f>IF(OR('Brouillard ventes'!$F$88="",'Brouillard ventes'!$J$88="À crédit",'Brouillard ventes'!$J$88=""),"","EC"&amp;TEXT(ROW('Brouillard ventes'!$F$88)-5,"00000"))</f>
        <v/>
      </c>
      <c r="C166" s="22">
        <f>IF(OR('Brouillard ventes'!$F$88="",'Brouillard ventes'!$J$88="À crédit",'Brouillard ventes'!$J$88=""),"",YEAR('Brouillard ventes'!$A$88)*10000+MONTH('Brouillard ventes'!$A$88)*100+DAY('Brouillard ventes'!$A$88))</f>
        <v/>
      </c>
      <c r="D166" s="22">
        <f>IF(OR('Brouillard ventes'!$F$88="",'Brouillard ventes'!$J$88="À crédit",'Brouillard ventes'!$J$88=""),"",'Brouillard ventes'!$B$88)</f>
        <v/>
      </c>
      <c r="E166" s="22">
        <f>IF(OR('Brouillard ventes'!$F$88="",'Brouillard ventes'!$J$88="À crédit",'Brouillard ventes'!$J$88=""),"","REGL "&amp;LEFT('Brouillard ventes'!$D$88,25))</f>
        <v/>
      </c>
      <c r="F166" s="22">
        <f>IF(OR('Brouillard ventes'!$F$88="",'Brouillard ventes'!$J$88="À crédit",'Brouillard ventes'!$J$88=""),"",IF('Brouillard ventes'!$J$88="Espèces","04001","02001"))</f>
        <v/>
      </c>
      <c r="G166" s="22">
        <f>IF(OR('Brouillard ventes'!$F$88="",'Brouillard ventes'!$J$88="À crédit",'Brouillard ventes'!$J$88=""),"",IF('Brouillard ventes'!$J$88="Espèces","53000","51220"))</f>
        <v/>
      </c>
      <c r="H166" s="22" t="inlineStr"/>
      <c r="I166" s="22" t="inlineStr"/>
      <c r="J166" s="22" t="inlineStr"/>
      <c r="K166" s="22">
        <f>IF(OR('Brouillard ventes'!$F$88="",'Brouillard ventes'!$J$88="À crédit",'Brouillard ventes'!$J$88=""),"",Paramètres!$B$11)</f>
        <v/>
      </c>
      <c r="L166" s="23">
        <f>IF(OR('Brouillard ventes'!$F$88="",'Brouillard ventes'!$J$88="À crédit",'Brouillard ventes'!$J$88=""),0,'Brouillard ventes'!$I$88)</f>
        <v/>
      </c>
      <c r="M166" s="23" t="n">
        <v>0</v>
      </c>
    </row>
    <row r="167">
      <c r="A167" s="22" t="inlineStr">
        <is>
          <t>1</t>
        </is>
      </c>
      <c r="B167" s="22">
        <f>IF(OR('Brouillard ventes'!$F$88="",'Brouillard ventes'!$J$88="À crédit",'Brouillard ventes'!$J$88=""),"","EC"&amp;TEXT(ROW('Brouillard ventes'!$F$88)-5,"00000"))</f>
        <v/>
      </c>
      <c r="C167" s="22">
        <f>IF(OR('Brouillard ventes'!$F$88="",'Brouillard ventes'!$J$88="À crédit",'Brouillard ventes'!$J$88=""),"",YEAR('Brouillard ventes'!$A$88)*10000+MONTH('Brouillard ventes'!$A$88)*100+DAY('Brouillard ventes'!$A$88))</f>
        <v/>
      </c>
      <c r="D167" s="22">
        <f>IF(OR('Brouillard ventes'!$F$88="",'Brouillard ventes'!$J$88="À crédit",'Brouillard ventes'!$J$88=""),"",'Brouillard ventes'!$B$88)</f>
        <v/>
      </c>
      <c r="E167" s="22">
        <f>IF(OR('Brouillard ventes'!$F$88="",'Brouillard ventes'!$J$88="À crédit",'Brouillard ventes'!$J$88=""),"","REGL "&amp;LEFT('Brouillard ventes'!$D$88,25))</f>
        <v/>
      </c>
      <c r="F167" s="22">
        <f>IF(OR('Brouillard ventes'!$F$88="",'Brouillard ventes'!$J$88="À crédit",'Brouillard ventes'!$J$88=""),"",IF('Brouillard ventes'!$J$88="Espèces","04001","02001"))</f>
        <v/>
      </c>
      <c r="G167" s="22">
        <f>IF(OR('Brouillard ventes'!$F$88="",'Brouillard ventes'!$J$88="À crédit",'Brouillard ventes'!$J$88=""),"",Paramètres!$B$7)</f>
        <v/>
      </c>
      <c r="H167" s="22">
        <f>IF(OR('Brouillard ventes'!$F$88="",'Brouillard ventes'!$J$88="À crédit",'Brouillard ventes'!$J$88=""),"",IF('Brouillard ventes'!$C$88="","CD001",'Brouillard ventes'!$C$88))</f>
        <v/>
      </c>
      <c r="I167" s="22" t="inlineStr"/>
      <c r="J167" s="22" t="inlineStr"/>
      <c r="K167" s="22">
        <f>IF(OR('Brouillard ventes'!$F$88="",'Brouillard ventes'!$J$88="À crédit",'Brouillard ventes'!$J$88=""),"",Paramètres!$B$11)</f>
        <v/>
      </c>
      <c r="L167" s="23" t="n">
        <v>0</v>
      </c>
      <c r="M167" s="23">
        <f>IF(OR('Brouillard ventes'!$F$88="",'Brouillard ventes'!$J$88="À crédit",'Brouillard ventes'!$J$88=""),0,'Brouillard ventes'!$I$88)</f>
        <v/>
      </c>
    </row>
    <row r="168">
      <c r="A168" s="22" t="inlineStr">
        <is>
          <t>1</t>
        </is>
      </c>
      <c r="B168" s="22">
        <f>IF(OR('Brouillard ventes'!$F$89="",'Brouillard ventes'!$J$89="À crédit",'Brouillard ventes'!$J$89=""),"","EC"&amp;TEXT(ROW('Brouillard ventes'!$F$89)-5,"00000"))</f>
        <v/>
      </c>
      <c r="C168" s="22">
        <f>IF(OR('Brouillard ventes'!$F$89="",'Brouillard ventes'!$J$89="À crédit",'Brouillard ventes'!$J$89=""),"",YEAR('Brouillard ventes'!$A$89)*10000+MONTH('Brouillard ventes'!$A$89)*100+DAY('Brouillard ventes'!$A$89))</f>
        <v/>
      </c>
      <c r="D168" s="22">
        <f>IF(OR('Brouillard ventes'!$F$89="",'Brouillard ventes'!$J$89="À crédit",'Brouillard ventes'!$J$89=""),"",'Brouillard ventes'!$B$89)</f>
        <v/>
      </c>
      <c r="E168" s="22">
        <f>IF(OR('Brouillard ventes'!$F$89="",'Brouillard ventes'!$J$89="À crédit",'Brouillard ventes'!$J$89=""),"","REGL "&amp;LEFT('Brouillard ventes'!$D$89,25))</f>
        <v/>
      </c>
      <c r="F168" s="22">
        <f>IF(OR('Brouillard ventes'!$F$89="",'Brouillard ventes'!$J$89="À crédit",'Brouillard ventes'!$J$89=""),"",IF('Brouillard ventes'!$J$89="Espèces","04001","02001"))</f>
        <v/>
      </c>
      <c r="G168" s="22">
        <f>IF(OR('Brouillard ventes'!$F$89="",'Brouillard ventes'!$J$89="À crédit",'Brouillard ventes'!$J$89=""),"",IF('Brouillard ventes'!$J$89="Espèces","53000","51220"))</f>
        <v/>
      </c>
      <c r="H168" s="22" t="inlineStr"/>
      <c r="I168" s="22" t="inlineStr"/>
      <c r="J168" s="22" t="inlineStr"/>
      <c r="K168" s="22">
        <f>IF(OR('Brouillard ventes'!$F$89="",'Brouillard ventes'!$J$89="À crédit",'Brouillard ventes'!$J$89=""),"",Paramètres!$B$11)</f>
        <v/>
      </c>
      <c r="L168" s="23">
        <f>IF(OR('Brouillard ventes'!$F$89="",'Brouillard ventes'!$J$89="À crédit",'Brouillard ventes'!$J$89=""),0,'Brouillard ventes'!$I$89)</f>
        <v/>
      </c>
      <c r="M168" s="23" t="n">
        <v>0</v>
      </c>
    </row>
    <row r="169">
      <c r="A169" s="22" t="inlineStr">
        <is>
          <t>1</t>
        </is>
      </c>
      <c r="B169" s="22">
        <f>IF(OR('Brouillard ventes'!$F$89="",'Brouillard ventes'!$J$89="À crédit",'Brouillard ventes'!$J$89=""),"","EC"&amp;TEXT(ROW('Brouillard ventes'!$F$89)-5,"00000"))</f>
        <v/>
      </c>
      <c r="C169" s="22">
        <f>IF(OR('Brouillard ventes'!$F$89="",'Brouillard ventes'!$J$89="À crédit",'Brouillard ventes'!$J$89=""),"",YEAR('Brouillard ventes'!$A$89)*10000+MONTH('Brouillard ventes'!$A$89)*100+DAY('Brouillard ventes'!$A$89))</f>
        <v/>
      </c>
      <c r="D169" s="22">
        <f>IF(OR('Brouillard ventes'!$F$89="",'Brouillard ventes'!$J$89="À crédit",'Brouillard ventes'!$J$89=""),"",'Brouillard ventes'!$B$89)</f>
        <v/>
      </c>
      <c r="E169" s="22">
        <f>IF(OR('Brouillard ventes'!$F$89="",'Brouillard ventes'!$J$89="À crédit",'Brouillard ventes'!$J$89=""),"","REGL "&amp;LEFT('Brouillard ventes'!$D$89,25))</f>
        <v/>
      </c>
      <c r="F169" s="22">
        <f>IF(OR('Brouillard ventes'!$F$89="",'Brouillard ventes'!$J$89="À crédit",'Brouillard ventes'!$J$89=""),"",IF('Brouillard ventes'!$J$89="Espèces","04001","02001"))</f>
        <v/>
      </c>
      <c r="G169" s="22">
        <f>IF(OR('Brouillard ventes'!$F$89="",'Brouillard ventes'!$J$89="À crédit",'Brouillard ventes'!$J$89=""),"",Paramètres!$B$7)</f>
        <v/>
      </c>
      <c r="H169" s="22">
        <f>IF(OR('Brouillard ventes'!$F$89="",'Brouillard ventes'!$J$89="À crédit",'Brouillard ventes'!$J$89=""),"",IF('Brouillard ventes'!$C$89="","CD001",'Brouillard ventes'!$C$89))</f>
        <v/>
      </c>
      <c r="I169" s="22" t="inlineStr"/>
      <c r="J169" s="22" t="inlineStr"/>
      <c r="K169" s="22">
        <f>IF(OR('Brouillard ventes'!$F$89="",'Brouillard ventes'!$J$89="À crédit",'Brouillard ventes'!$J$89=""),"",Paramètres!$B$11)</f>
        <v/>
      </c>
      <c r="L169" s="23" t="n">
        <v>0</v>
      </c>
      <c r="M169" s="23">
        <f>IF(OR('Brouillard ventes'!$F$89="",'Brouillard ventes'!$J$89="À crédit",'Brouillard ventes'!$J$89=""),0,'Brouillard ventes'!$I$89)</f>
        <v/>
      </c>
    </row>
    <row r="170">
      <c r="A170" s="22" t="inlineStr">
        <is>
          <t>1</t>
        </is>
      </c>
      <c r="B170" s="22">
        <f>IF(OR('Brouillard ventes'!$F$90="",'Brouillard ventes'!$J$90="À crédit",'Brouillard ventes'!$J$90=""),"","EC"&amp;TEXT(ROW('Brouillard ventes'!$F$90)-5,"00000"))</f>
        <v/>
      </c>
      <c r="C170" s="22">
        <f>IF(OR('Brouillard ventes'!$F$90="",'Brouillard ventes'!$J$90="À crédit",'Brouillard ventes'!$J$90=""),"",YEAR('Brouillard ventes'!$A$90)*10000+MONTH('Brouillard ventes'!$A$90)*100+DAY('Brouillard ventes'!$A$90))</f>
        <v/>
      </c>
      <c r="D170" s="22">
        <f>IF(OR('Brouillard ventes'!$F$90="",'Brouillard ventes'!$J$90="À crédit",'Brouillard ventes'!$J$90=""),"",'Brouillard ventes'!$B$90)</f>
        <v/>
      </c>
      <c r="E170" s="22">
        <f>IF(OR('Brouillard ventes'!$F$90="",'Brouillard ventes'!$J$90="À crédit",'Brouillard ventes'!$J$90=""),"","REGL "&amp;LEFT('Brouillard ventes'!$D$90,25))</f>
        <v/>
      </c>
      <c r="F170" s="22">
        <f>IF(OR('Brouillard ventes'!$F$90="",'Brouillard ventes'!$J$90="À crédit",'Brouillard ventes'!$J$90=""),"",IF('Brouillard ventes'!$J$90="Espèces","04001","02001"))</f>
        <v/>
      </c>
      <c r="G170" s="22">
        <f>IF(OR('Brouillard ventes'!$F$90="",'Brouillard ventes'!$J$90="À crédit",'Brouillard ventes'!$J$90=""),"",IF('Brouillard ventes'!$J$90="Espèces","53000","51220"))</f>
        <v/>
      </c>
      <c r="H170" s="22" t="inlineStr"/>
      <c r="I170" s="22" t="inlineStr"/>
      <c r="J170" s="22" t="inlineStr"/>
      <c r="K170" s="22">
        <f>IF(OR('Brouillard ventes'!$F$90="",'Brouillard ventes'!$J$90="À crédit",'Brouillard ventes'!$J$90=""),"",Paramètres!$B$11)</f>
        <v/>
      </c>
      <c r="L170" s="23">
        <f>IF(OR('Brouillard ventes'!$F$90="",'Brouillard ventes'!$J$90="À crédit",'Brouillard ventes'!$J$90=""),0,'Brouillard ventes'!$I$90)</f>
        <v/>
      </c>
      <c r="M170" s="23" t="n">
        <v>0</v>
      </c>
    </row>
    <row r="171">
      <c r="A171" s="22" t="inlineStr">
        <is>
          <t>1</t>
        </is>
      </c>
      <c r="B171" s="22">
        <f>IF(OR('Brouillard ventes'!$F$90="",'Brouillard ventes'!$J$90="À crédit",'Brouillard ventes'!$J$90=""),"","EC"&amp;TEXT(ROW('Brouillard ventes'!$F$90)-5,"00000"))</f>
        <v/>
      </c>
      <c r="C171" s="22">
        <f>IF(OR('Brouillard ventes'!$F$90="",'Brouillard ventes'!$J$90="À crédit",'Brouillard ventes'!$J$90=""),"",YEAR('Brouillard ventes'!$A$90)*10000+MONTH('Brouillard ventes'!$A$90)*100+DAY('Brouillard ventes'!$A$90))</f>
        <v/>
      </c>
      <c r="D171" s="22">
        <f>IF(OR('Brouillard ventes'!$F$90="",'Brouillard ventes'!$J$90="À crédit",'Brouillard ventes'!$J$90=""),"",'Brouillard ventes'!$B$90)</f>
        <v/>
      </c>
      <c r="E171" s="22">
        <f>IF(OR('Brouillard ventes'!$F$90="",'Brouillard ventes'!$J$90="À crédit",'Brouillard ventes'!$J$90=""),"","REGL "&amp;LEFT('Brouillard ventes'!$D$90,25))</f>
        <v/>
      </c>
      <c r="F171" s="22">
        <f>IF(OR('Brouillard ventes'!$F$90="",'Brouillard ventes'!$J$90="À crédit",'Brouillard ventes'!$J$90=""),"",IF('Brouillard ventes'!$J$90="Espèces","04001","02001"))</f>
        <v/>
      </c>
      <c r="G171" s="22">
        <f>IF(OR('Brouillard ventes'!$F$90="",'Brouillard ventes'!$J$90="À crédit",'Brouillard ventes'!$J$90=""),"",Paramètres!$B$7)</f>
        <v/>
      </c>
      <c r="H171" s="22">
        <f>IF(OR('Brouillard ventes'!$F$90="",'Brouillard ventes'!$J$90="À crédit",'Brouillard ventes'!$J$90=""),"",IF('Brouillard ventes'!$C$90="","CD001",'Brouillard ventes'!$C$90))</f>
        <v/>
      </c>
      <c r="I171" s="22" t="inlineStr"/>
      <c r="J171" s="22" t="inlineStr"/>
      <c r="K171" s="22">
        <f>IF(OR('Brouillard ventes'!$F$90="",'Brouillard ventes'!$J$90="À crédit",'Brouillard ventes'!$J$90=""),"",Paramètres!$B$11)</f>
        <v/>
      </c>
      <c r="L171" s="23" t="n">
        <v>0</v>
      </c>
      <c r="M171" s="23">
        <f>IF(OR('Brouillard ventes'!$F$90="",'Brouillard ventes'!$J$90="À crédit",'Brouillard ventes'!$J$90=""),0,'Brouillard ventes'!$I$90)</f>
        <v/>
      </c>
    </row>
    <row r="172">
      <c r="A172" s="22" t="inlineStr">
        <is>
          <t>1</t>
        </is>
      </c>
      <c r="B172" s="22">
        <f>IF(OR('Brouillard ventes'!$F$91="",'Brouillard ventes'!$J$91="À crédit",'Brouillard ventes'!$J$91=""),"","EC"&amp;TEXT(ROW('Brouillard ventes'!$F$91)-5,"00000"))</f>
        <v/>
      </c>
      <c r="C172" s="22">
        <f>IF(OR('Brouillard ventes'!$F$91="",'Brouillard ventes'!$J$91="À crédit",'Brouillard ventes'!$J$91=""),"",YEAR('Brouillard ventes'!$A$91)*10000+MONTH('Brouillard ventes'!$A$91)*100+DAY('Brouillard ventes'!$A$91))</f>
        <v/>
      </c>
      <c r="D172" s="22">
        <f>IF(OR('Brouillard ventes'!$F$91="",'Brouillard ventes'!$J$91="À crédit",'Brouillard ventes'!$J$91=""),"",'Brouillard ventes'!$B$91)</f>
        <v/>
      </c>
      <c r="E172" s="22">
        <f>IF(OR('Brouillard ventes'!$F$91="",'Brouillard ventes'!$J$91="À crédit",'Brouillard ventes'!$J$91=""),"","REGL "&amp;LEFT('Brouillard ventes'!$D$91,25))</f>
        <v/>
      </c>
      <c r="F172" s="22">
        <f>IF(OR('Brouillard ventes'!$F$91="",'Brouillard ventes'!$J$91="À crédit",'Brouillard ventes'!$J$91=""),"",IF('Brouillard ventes'!$J$91="Espèces","04001","02001"))</f>
        <v/>
      </c>
      <c r="G172" s="22">
        <f>IF(OR('Brouillard ventes'!$F$91="",'Brouillard ventes'!$J$91="À crédit",'Brouillard ventes'!$J$91=""),"",IF('Brouillard ventes'!$J$91="Espèces","53000","51220"))</f>
        <v/>
      </c>
      <c r="H172" s="22" t="inlineStr"/>
      <c r="I172" s="22" t="inlineStr"/>
      <c r="J172" s="22" t="inlineStr"/>
      <c r="K172" s="22">
        <f>IF(OR('Brouillard ventes'!$F$91="",'Brouillard ventes'!$J$91="À crédit",'Brouillard ventes'!$J$91=""),"",Paramètres!$B$11)</f>
        <v/>
      </c>
      <c r="L172" s="23">
        <f>IF(OR('Brouillard ventes'!$F$91="",'Brouillard ventes'!$J$91="À crédit",'Brouillard ventes'!$J$91=""),0,'Brouillard ventes'!$I$91)</f>
        <v/>
      </c>
      <c r="M172" s="23" t="n">
        <v>0</v>
      </c>
    </row>
    <row r="173">
      <c r="A173" s="22" t="inlineStr">
        <is>
          <t>1</t>
        </is>
      </c>
      <c r="B173" s="22">
        <f>IF(OR('Brouillard ventes'!$F$91="",'Brouillard ventes'!$J$91="À crédit",'Brouillard ventes'!$J$91=""),"","EC"&amp;TEXT(ROW('Brouillard ventes'!$F$91)-5,"00000"))</f>
        <v/>
      </c>
      <c r="C173" s="22">
        <f>IF(OR('Brouillard ventes'!$F$91="",'Brouillard ventes'!$J$91="À crédit",'Brouillard ventes'!$J$91=""),"",YEAR('Brouillard ventes'!$A$91)*10000+MONTH('Brouillard ventes'!$A$91)*100+DAY('Brouillard ventes'!$A$91))</f>
        <v/>
      </c>
      <c r="D173" s="22">
        <f>IF(OR('Brouillard ventes'!$F$91="",'Brouillard ventes'!$J$91="À crédit",'Brouillard ventes'!$J$91=""),"",'Brouillard ventes'!$B$91)</f>
        <v/>
      </c>
      <c r="E173" s="22">
        <f>IF(OR('Brouillard ventes'!$F$91="",'Brouillard ventes'!$J$91="À crédit",'Brouillard ventes'!$J$91=""),"","REGL "&amp;LEFT('Brouillard ventes'!$D$91,25))</f>
        <v/>
      </c>
      <c r="F173" s="22">
        <f>IF(OR('Brouillard ventes'!$F$91="",'Brouillard ventes'!$J$91="À crédit",'Brouillard ventes'!$J$91=""),"",IF('Brouillard ventes'!$J$91="Espèces","04001","02001"))</f>
        <v/>
      </c>
      <c r="G173" s="22">
        <f>IF(OR('Brouillard ventes'!$F$91="",'Brouillard ventes'!$J$91="À crédit",'Brouillard ventes'!$J$91=""),"",Paramètres!$B$7)</f>
        <v/>
      </c>
      <c r="H173" s="22">
        <f>IF(OR('Brouillard ventes'!$F$91="",'Brouillard ventes'!$J$91="À crédit",'Brouillard ventes'!$J$91=""),"",IF('Brouillard ventes'!$C$91="","CD001",'Brouillard ventes'!$C$91))</f>
        <v/>
      </c>
      <c r="I173" s="22" t="inlineStr"/>
      <c r="J173" s="22" t="inlineStr"/>
      <c r="K173" s="22">
        <f>IF(OR('Brouillard ventes'!$F$91="",'Brouillard ventes'!$J$91="À crédit",'Brouillard ventes'!$J$91=""),"",Paramètres!$B$11)</f>
        <v/>
      </c>
      <c r="L173" s="23" t="n">
        <v>0</v>
      </c>
      <c r="M173" s="23">
        <f>IF(OR('Brouillard ventes'!$F$91="",'Brouillard ventes'!$J$91="À crédit",'Brouillard ventes'!$J$91=""),0,'Brouillard ventes'!$I$91)</f>
        <v/>
      </c>
    </row>
    <row r="174">
      <c r="A174" s="22" t="inlineStr">
        <is>
          <t>1</t>
        </is>
      </c>
      <c r="B174" s="22">
        <f>IF(OR('Brouillard ventes'!$F$92="",'Brouillard ventes'!$J$92="À crédit",'Brouillard ventes'!$J$92=""),"","EC"&amp;TEXT(ROW('Brouillard ventes'!$F$92)-5,"00000"))</f>
        <v/>
      </c>
      <c r="C174" s="22">
        <f>IF(OR('Brouillard ventes'!$F$92="",'Brouillard ventes'!$J$92="À crédit",'Brouillard ventes'!$J$92=""),"",YEAR('Brouillard ventes'!$A$92)*10000+MONTH('Brouillard ventes'!$A$92)*100+DAY('Brouillard ventes'!$A$92))</f>
        <v/>
      </c>
      <c r="D174" s="22">
        <f>IF(OR('Brouillard ventes'!$F$92="",'Brouillard ventes'!$J$92="À crédit",'Brouillard ventes'!$J$92=""),"",'Brouillard ventes'!$B$92)</f>
        <v/>
      </c>
      <c r="E174" s="22">
        <f>IF(OR('Brouillard ventes'!$F$92="",'Brouillard ventes'!$J$92="À crédit",'Brouillard ventes'!$J$92=""),"","REGL "&amp;LEFT('Brouillard ventes'!$D$92,25))</f>
        <v/>
      </c>
      <c r="F174" s="22">
        <f>IF(OR('Brouillard ventes'!$F$92="",'Brouillard ventes'!$J$92="À crédit",'Brouillard ventes'!$J$92=""),"",IF('Brouillard ventes'!$J$92="Espèces","04001","02001"))</f>
        <v/>
      </c>
      <c r="G174" s="22">
        <f>IF(OR('Brouillard ventes'!$F$92="",'Brouillard ventes'!$J$92="À crédit",'Brouillard ventes'!$J$92=""),"",IF('Brouillard ventes'!$J$92="Espèces","53000","51220"))</f>
        <v/>
      </c>
      <c r="H174" s="22" t="inlineStr"/>
      <c r="I174" s="22" t="inlineStr"/>
      <c r="J174" s="22" t="inlineStr"/>
      <c r="K174" s="22">
        <f>IF(OR('Brouillard ventes'!$F$92="",'Brouillard ventes'!$J$92="À crédit",'Brouillard ventes'!$J$92=""),"",Paramètres!$B$11)</f>
        <v/>
      </c>
      <c r="L174" s="23">
        <f>IF(OR('Brouillard ventes'!$F$92="",'Brouillard ventes'!$J$92="À crédit",'Brouillard ventes'!$J$92=""),0,'Brouillard ventes'!$I$92)</f>
        <v/>
      </c>
      <c r="M174" s="23" t="n">
        <v>0</v>
      </c>
    </row>
    <row r="175">
      <c r="A175" s="22" t="inlineStr">
        <is>
          <t>1</t>
        </is>
      </c>
      <c r="B175" s="22">
        <f>IF(OR('Brouillard ventes'!$F$92="",'Brouillard ventes'!$J$92="À crédit",'Brouillard ventes'!$J$92=""),"","EC"&amp;TEXT(ROW('Brouillard ventes'!$F$92)-5,"00000"))</f>
        <v/>
      </c>
      <c r="C175" s="22">
        <f>IF(OR('Brouillard ventes'!$F$92="",'Brouillard ventes'!$J$92="À crédit",'Brouillard ventes'!$J$92=""),"",YEAR('Brouillard ventes'!$A$92)*10000+MONTH('Brouillard ventes'!$A$92)*100+DAY('Brouillard ventes'!$A$92))</f>
        <v/>
      </c>
      <c r="D175" s="22">
        <f>IF(OR('Brouillard ventes'!$F$92="",'Brouillard ventes'!$J$92="À crédit",'Brouillard ventes'!$J$92=""),"",'Brouillard ventes'!$B$92)</f>
        <v/>
      </c>
      <c r="E175" s="22">
        <f>IF(OR('Brouillard ventes'!$F$92="",'Brouillard ventes'!$J$92="À crédit",'Brouillard ventes'!$J$92=""),"","REGL "&amp;LEFT('Brouillard ventes'!$D$92,25))</f>
        <v/>
      </c>
      <c r="F175" s="22">
        <f>IF(OR('Brouillard ventes'!$F$92="",'Brouillard ventes'!$J$92="À crédit",'Brouillard ventes'!$J$92=""),"",IF('Brouillard ventes'!$J$92="Espèces","04001","02001"))</f>
        <v/>
      </c>
      <c r="G175" s="22">
        <f>IF(OR('Brouillard ventes'!$F$92="",'Brouillard ventes'!$J$92="À crédit",'Brouillard ventes'!$J$92=""),"",Paramètres!$B$7)</f>
        <v/>
      </c>
      <c r="H175" s="22">
        <f>IF(OR('Brouillard ventes'!$F$92="",'Brouillard ventes'!$J$92="À crédit",'Brouillard ventes'!$J$92=""),"",IF('Brouillard ventes'!$C$92="","CD001",'Brouillard ventes'!$C$92))</f>
        <v/>
      </c>
      <c r="I175" s="22" t="inlineStr"/>
      <c r="J175" s="22" t="inlineStr"/>
      <c r="K175" s="22">
        <f>IF(OR('Brouillard ventes'!$F$92="",'Brouillard ventes'!$J$92="À crédit",'Brouillard ventes'!$J$92=""),"",Paramètres!$B$11)</f>
        <v/>
      </c>
      <c r="L175" s="23" t="n">
        <v>0</v>
      </c>
      <c r="M175" s="23">
        <f>IF(OR('Brouillard ventes'!$F$92="",'Brouillard ventes'!$J$92="À crédit",'Brouillard ventes'!$J$92=""),0,'Brouillard ventes'!$I$92)</f>
        <v/>
      </c>
    </row>
    <row r="176">
      <c r="A176" s="22" t="inlineStr">
        <is>
          <t>1</t>
        </is>
      </c>
      <c r="B176" s="22">
        <f>IF(OR('Brouillard ventes'!$F$93="",'Brouillard ventes'!$J$93="À crédit",'Brouillard ventes'!$J$93=""),"","EC"&amp;TEXT(ROW('Brouillard ventes'!$F$93)-5,"00000"))</f>
        <v/>
      </c>
      <c r="C176" s="22">
        <f>IF(OR('Brouillard ventes'!$F$93="",'Brouillard ventes'!$J$93="À crédit",'Brouillard ventes'!$J$93=""),"",YEAR('Brouillard ventes'!$A$93)*10000+MONTH('Brouillard ventes'!$A$93)*100+DAY('Brouillard ventes'!$A$93))</f>
        <v/>
      </c>
      <c r="D176" s="22">
        <f>IF(OR('Brouillard ventes'!$F$93="",'Brouillard ventes'!$J$93="À crédit",'Brouillard ventes'!$J$93=""),"",'Brouillard ventes'!$B$93)</f>
        <v/>
      </c>
      <c r="E176" s="22">
        <f>IF(OR('Brouillard ventes'!$F$93="",'Brouillard ventes'!$J$93="À crédit",'Brouillard ventes'!$J$93=""),"","REGL "&amp;LEFT('Brouillard ventes'!$D$93,25))</f>
        <v/>
      </c>
      <c r="F176" s="22">
        <f>IF(OR('Brouillard ventes'!$F$93="",'Brouillard ventes'!$J$93="À crédit",'Brouillard ventes'!$J$93=""),"",IF('Brouillard ventes'!$J$93="Espèces","04001","02001"))</f>
        <v/>
      </c>
      <c r="G176" s="22">
        <f>IF(OR('Brouillard ventes'!$F$93="",'Brouillard ventes'!$J$93="À crédit",'Brouillard ventes'!$J$93=""),"",IF('Brouillard ventes'!$J$93="Espèces","53000","51220"))</f>
        <v/>
      </c>
      <c r="H176" s="22" t="inlineStr"/>
      <c r="I176" s="22" t="inlineStr"/>
      <c r="J176" s="22" t="inlineStr"/>
      <c r="K176" s="22">
        <f>IF(OR('Brouillard ventes'!$F$93="",'Brouillard ventes'!$J$93="À crédit",'Brouillard ventes'!$J$93=""),"",Paramètres!$B$11)</f>
        <v/>
      </c>
      <c r="L176" s="23">
        <f>IF(OR('Brouillard ventes'!$F$93="",'Brouillard ventes'!$J$93="À crédit",'Brouillard ventes'!$J$93=""),0,'Brouillard ventes'!$I$93)</f>
        <v/>
      </c>
      <c r="M176" s="23" t="n">
        <v>0</v>
      </c>
    </row>
    <row r="177">
      <c r="A177" s="22" t="inlineStr">
        <is>
          <t>1</t>
        </is>
      </c>
      <c r="B177" s="22">
        <f>IF(OR('Brouillard ventes'!$F$93="",'Brouillard ventes'!$J$93="À crédit",'Brouillard ventes'!$J$93=""),"","EC"&amp;TEXT(ROW('Brouillard ventes'!$F$93)-5,"00000"))</f>
        <v/>
      </c>
      <c r="C177" s="22">
        <f>IF(OR('Brouillard ventes'!$F$93="",'Brouillard ventes'!$J$93="À crédit",'Brouillard ventes'!$J$93=""),"",YEAR('Brouillard ventes'!$A$93)*10000+MONTH('Brouillard ventes'!$A$93)*100+DAY('Brouillard ventes'!$A$93))</f>
        <v/>
      </c>
      <c r="D177" s="22">
        <f>IF(OR('Brouillard ventes'!$F$93="",'Brouillard ventes'!$J$93="À crédit",'Brouillard ventes'!$J$93=""),"",'Brouillard ventes'!$B$93)</f>
        <v/>
      </c>
      <c r="E177" s="22">
        <f>IF(OR('Brouillard ventes'!$F$93="",'Brouillard ventes'!$J$93="À crédit",'Brouillard ventes'!$J$93=""),"","REGL "&amp;LEFT('Brouillard ventes'!$D$93,25))</f>
        <v/>
      </c>
      <c r="F177" s="22">
        <f>IF(OR('Brouillard ventes'!$F$93="",'Brouillard ventes'!$J$93="À crédit",'Brouillard ventes'!$J$93=""),"",IF('Brouillard ventes'!$J$93="Espèces","04001","02001"))</f>
        <v/>
      </c>
      <c r="G177" s="22">
        <f>IF(OR('Brouillard ventes'!$F$93="",'Brouillard ventes'!$J$93="À crédit",'Brouillard ventes'!$J$93=""),"",Paramètres!$B$7)</f>
        <v/>
      </c>
      <c r="H177" s="22">
        <f>IF(OR('Brouillard ventes'!$F$93="",'Brouillard ventes'!$J$93="À crédit",'Brouillard ventes'!$J$93=""),"",IF('Brouillard ventes'!$C$93="","CD001",'Brouillard ventes'!$C$93))</f>
        <v/>
      </c>
      <c r="I177" s="22" t="inlineStr"/>
      <c r="J177" s="22" t="inlineStr"/>
      <c r="K177" s="22">
        <f>IF(OR('Brouillard ventes'!$F$93="",'Brouillard ventes'!$J$93="À crédit",'Brouillard ventes'!$J$93=""),"",Paramètres!$B$11)</f>
        <v/>
      </c>
      <c r="L177" s="23" t="n">
        <v>0</v>
      </c>
      <c r="M177" s="23">
        <f>IF(OR('Brouillard ventes'!$F$93="",'Brouillard ventes'!$J$93="À crédit",'Brouillard ventes'!$J$93=""),0,'Brouillard ventes'!$I$93)</f>
        <v/>
      </c>
    </row>
    <row r="178">
      <c r="A178" s="22" t="inlineStr">
        <is>
          <t>1</t>
        </is>
      </c>
      <c r="B178" s="22">
        <f>IF(OR('Brouillard ventes'!$F$94="",'Brouillard ventes'!$J$94="À crédit",'Brouillard ventes'!$J$94=""),"","EC"&amp;TEXT(ROW('Brouillard ventes'!$F$94)-5,"00000"))</f>
        <v/>
      </c>
      <c r="C178" s="22">
        <f>IF(OR('Brouillard ventes'!$F$94="",'Brouillard ventes'!$J$94="À crédit",'Brouillard ventes'!$J$94=""),"",YEAR('Brouillard ventes'!$A$94)*10000+MONTH('Brouillard ventes'!$A$94)*100+DAY('Brouillard ventes'!$A$94))</f>
        <v/>
      </c>
      <c r="D178" s="22">
        <f>IF(OR('Brouillard ventes'!$F$94="",'Brouillard ventes'!$J$94="À crédit",'Brouillard ventes'!$J$94=""),"",'Brouillard ventes'!$B$94)</f>
        <v/>
      </c>
      <c r="E178" s="22">
        <f>IF(OR('Brouillard ventes'!$F$94="",'Brouillard ventes'!$J$94="À crédit",'Brouillard ventes'!$J$94=""),"","REGL "&amp;LEFT('Brouillard ventes'!$D$94,25))</f>
        <v/>
      </c>
      <c r="F178" s="22">
        <f>IF(OR('Brouillard ventes'!$F$94="",'Brouillard ventes'!$J$94="À crédit",'Brouillard ventes'!$J$94=""),"",IF('Brouillard ventes'!$J$94="Espèces","04001","02001"))</f>
        <v/>
      </c>
      <c r="G178" s="22">
        <f>IF(OR('Brouillard ventes'!$F$94="",'Brouillard ventes'!$J$94="À crédit",'Brouillard ventes'!$J$94=""),"",IF('Brouillard ventes'!$J$94="Espèces","53000","51220"))</f>
        <v/>
      </c>
      <c r="H178" s="22" t="inlineStr"/>
      <c r="I178" s="22" t="inlineStr"/>
      <c r="J178" s="22" t="inlineStr"/>
      <c r="K178" s="22">
        <f>IF(OR('Brouillard ventes'!$F$94="",'Brouillard ventes'!$J$94="À crédit",'Brouillard ventes'!$J$94=""),"",Paramètres!$B$11)</f>
        <v/>
      </c>
      <c r="L178" s="23">
        <f>IF(OR('Brouillard ventes'!$F$94="",'Brouillard ventes'!$J$94="À crédit",'Brouillard ventes'!$J$94=""),0,'Brouillard ventes'!$I$94)</f>
        <v/>
      </c>
      <c r="M178" s="23" t="n">
        <v>0</v>
      </c>
    </row>
    <row r="179">
      <c r="A179" s="22" t="inlineStr">
        <is>
          <t>1</t>
        </is>
      </c>
      <c r="B179" s="22">
        <f>IF(OR('Brouillard ventes'!$F$94="",'Brouillard ventes'!$J$94="À crédit",'Brouillard ventes'!$J$94=""),"","EC"&amp;TEXT(ROW('Brouillard ventes'!$F$94)-5,"00000"))</f>
        <v/>
      </c>
      <c r="C179" s="22">
        <f>IF(OR('Brouillard ventes'!$F$94="",'Brouillard ventes'!$J$94="À crédit",'Brouillard ventes'!$J$94=""),"",YEAR('Brouillard ventes'!$A$94)*10000+MONTH('Brouillard ventes'!$A$94)*100+DAY('Brouillard ventes'!$A$94))</f>
        <v/>
      </c>
      <c r="D179" s="22">
        <f>IF(OR('Brouillard ventes'!$F$94="",'Brouillard ventes'!$J$94="À crédit",'Brouillard ventes'!$J$94=""),"",'Brouillard ventes'!$B$94)</f>
        <v/>
      </c>
      <c r="E179" s="22">
        <f>IF(OR('Brouillard ventes'!$F$94="",'Brouillard ventes'!$J$94="À crédit",'Brouillard ventes'!$J$94=""),"","REGL "&amp;LEFT('Brouillard ventes'!$D$94,25))</f>
        <v/>
      </c>
      <c r="F179" s="22">
        <f>IF(OR('Brouillard ventes'!$F$94="",'Brouillard ventes'!$J$94="À crédit",'Brouillard ventes'!$J$94=""),"",IF('Brouillard ventes'!$J$94="Espèces","04001","02001"))</f>
        <v/>
      </c>
      <c r="G179" s="22">
        <f>IF(OR('Brouillard ventes'!$F$94="",'Brouillard ventes'!$J$94="À crédit",'Brouillard ventes'!$J$94=""),"",Paramètres!$B$7)</f>
        <v/>
      </c>
      <c r="H179" s="22">
        <f>IF(OR('Brouillard ventes'!$F$94="",'Brouillard ventes'!$J$94="À crédit",'Brouillard ventes'!$J$94=""),"",IF('Brouillard ventes'!$C$94="","CD001",'Brouillard ventes'!$C$94))</f>
        <v/>
      </c>
      <c r="I179" s="22" t="inlineStr"/>
      <c r="J179" s="22" t="inlineStr"/>
      <c r="K179" s="22">
        <f>IF(OR('Brouillard ventes'!$F$94="",'Brouillard ventes'!$J$94="À crédit",'Brouillard ventes'!$J$94=""),"",Paramètres!$B$11)</f>
        <v/>
      </c>
      <c r="L179" s="23" t="n">
        <v>0</v>
      </c>
      <c r="M179" s="23">
        <f>IF(OR('Brouillard ventes'!$F$94="",'Brouillard ventes'!$J$94="À crédit",'Brouillard ventes'!$J$94=""),0,'Brouillard ventes'!$I$94)</f>
        <v/>
      </c>
    </row>
    <row r="180">
      <c r="A180" s="22" t="inlineStr">
        <is>
          <t>1</t>
        </is>
      </c>
      <c r="B180" s="22">
        <f>IF(OR('Brouillard ventes'!$F$95="",'Brouillard ventes'!$J$95="À crédit",'Brouillard ventes'!$J$95=""),"","EC"&amp;TEXT(ROW('Brouillard ventes'!$F$95)-5,"00000"))</f>
        <v/>
      </c>
      <c r="C180" s="22">
        <f>IF(OR('Brouillard ventes'!$F$95="",'Brouillard ventes'!$J$95="À crédit",'Brouillard ventes'!$J$95=""),"",YEAR('Brouillard ventes'!$A$95)*10000+MONTH('Brouillard ventes'!$A$95)*100+DAY('Brouillard ventes'!$A$95))</f>
        <v/>
      </c>
      <c r="D180" s="22">
        <f>IF(OR('Brouillard ventes'!$F$95="",'Brouillard ventes'!$J$95="À crédit",'Brouillard ventes'!$J$95=""),"",'Brouillard ventes'!$B$95)</f>
        <v/>
      </c>
      <c r="E180" s="22">
        <f>IF(OR('Brouillard ventes'!$F$95="",'Brouillard ventes'!$J$95="À crédit",'Brouillard ventes'!$J$95=""),"","REGL "&amp;LEFT('Brouillard ventes'!$D$95,25))</f>
        <v/>
      </c>
      <c r="F180" s="22">
        <f>IF(OR('Brouillard ventes'!$F$95="",'Brouillard ventes'!$J$95="À crédit",'Brouillard ventes'!$J$95=""),"",IF('Brouillard ventes'!$J$95="Espèces","04001","02001"))</f>
        <v/>
      </c>
      <c r="G180" s="22">
        <f>IF(OR('Brouillard ventes'!$F$95="",'Brouillard ventes'!$J$95="À crédit",'Brouillard ventes'!$J$95=""),"",IF('Brouillard ventes'!$J$95="Espèces","53000","51220"))</f>
        <v/>
      </c>
      <c r="H180" s="22" t="inlineStr"/>
      <c r="I180" s="22" t="inlineStr"/>
      <c r="J180" s="22" t="inlineStr"/>
      <c r="K180" s="22">
        <f>IF(OR('Brouillard ventes'!$F$95="",'Brouillard ventes'!$J$95="À crédit",'Brouillard ventes'!$J$95=""),"",Paramètres!$B$11)</f>
        <v/>
      </c>
      <c r="L180" s="23">
        <f>IF(OR('Brouillard ventes'!$F$95="",'Brouillard ventes'!$J$95="À crédit",'Brouillard ventes'!$J$95=""),0,'Brouillard ventes'!$I$95)</f>
        <v/>
      </c>
      <c r="M180" s="23" t="n">
        <v>0</v>
      </c>
    </row>
    <row r="181">
      <c r="A181" s="22" t="inlineStr">
        <is>
          <t>1</t>
        </is>
      </c>
      <c r="B181" s="22">
        <f>IF(OR('Brouillard ventes'!$F$95="",'Brouillard ventes'!$J$95="À crédit",'Brouillard ventes'!$J$95=""),"","EC"&amp;TEXT(ROW('Brouillard ventes'!$F$95)-5,"00000"))</f>
        <v/>
      </c>
      <c r="C181" s="22">
        <f>IF(OR('Brouillard ventes'!$F$95="",'Brouillard ventes'!$J$95="À crédit",'Brouillard ventes'!$J$95=""),"",YEAR('Brouillard ventes'!$A$95)*10000+MONTH('Brouillard ventes'!$A$95)*100+DAY('Brouillard ventes'!$A$95))</f>
        <v/>
      </c>
      <c r="D181" s="22">
        <f>IF(OR('Brouillard ventes'!$F$95="",'Brouillard ventes'!$J$95="À crédit",'Brouillard ventes'!$J$95=""),"",'Brouillard ventes'!$B$95)</f>
        <v/>
      </c>
      <c r="E181" s="22">
        <f>IF(OR('Brouillard ventes'!$F$95="",'Brouillard ventes'!$J$95="À crédit",'Brouillard ventes'!$J$95=""),"","REGL "&amp;LEFT('Brouillard ventes'!$D$95,25))</f>
        <v/>
      </c>
      <c r="F181" s="22">
        <f>IF(OR('Brouillard ventes'!$F$95="",'Brouillard ventes'!$J$95="À crédit",'Brouillard ventes'!$J$95=""),"",IF('Brouillard ventes'!$J$95="Espèces","04001","02001"))</f>
        <v/>
      </c>
      <c r="G181" s="22">
        <f>IF(OR('Brouillard ventes'!$F$95="",'Brouillard ventes'!$J$95="À crédit",'Brouillard ventes'!$J$95=""),"",Paramètres!$B$7)</f>
        <v/>
      </c>
      <c r="H181" s="22">
        <f>IF(OR('Brouillard ventes'!$F$95="",'Brouillard ventes'!$J$95="À crédit",'Brouillard ventes'!$J$95=""),"",IF('Brouillard ventes'!$C$95="","CD001",'Brouillard ventes'!$C$95))</f>
        <v/>
      </c>
      <c r="I181" s="22" t="inlineStr"/>
      <c r="J181" s="22" t="inlineStr"/>
      <c r="K181" s="22">
        <f>IF(OR('Brouillard ventes'!$F$95="",'Brouillard ventes'!$J$95="À crédit",'Brouillard ventes'!$J$95=""),"",Paramètres!$B$11)</f>
        <v/>
      </c>
      <c r="L181" s="23" t="n">
        <v>0</v>
      </c>
      <c r="M181" s="23">
        <f>IF(OR('Brouillard ventes'!$F$95="",'Brouillard ventes'!$J$95="À crédit",'Brouillard ventes'!$J$95=""),0,'Brouillard ventes'!$I$95)</f>
        <v/>
      </c>
    </row>
    <row r="182">
      <c r="A182" s="22" t="inlineStr">
        <is>
          <t>1</t>
        </is>
      </c>
      <c r="B182" s="22">
        <f>IF(OR('Brouillard ventes'!$F$96="",'Brouillard ventes'!$J$96="À crédit",'Brouillard ventes'!$J$96=""),"","EC"&amp;TEXT(ROW('Brouillard ventes'!$F$96)-5,"00000"))</f>
        <v/>
      </c>
      <c r="C182" s="22">
        <f>IF(OR('Brouillard ventes'!$F$96="",'Brouillard ventes'!$J$96="À crédit",'Brouillard ventes'!$J$96=""),"",YEAR('Brouillard ventes'!$A$96)*10000+MONTH('Brouillard ventes'!$A$96)*100+DAY('Brouillard ventes'!$A$96))</f>
        <v/>
      </c>
      <c r="D182" s="22">
        <f>IF(OR('Brouillard ventes'!$F$96="",'Brouillard ventes'!$J$96="À crédit",'Brouillard ventes'!$J$96=""),"",'Brouillard ventes'!$B$96)</f>
        <v/>
      </c>
      <c r="E182" s="22">
        <f>IF(OR('Brouillard ventes'!$F$96="",'Brouillard ventes'!$J$96="À crédit",'Brouillard ventes'!$J$96=""),"","REGL "&amp;LEFT('Brouillard ventes'!$D$96,25))</f>
        <v/>
      </c>
      <c r="F182" s="22">
        <f>IF(OR('Brouillard ventes'!$F$96="",'Brouillard ventes'!$J$96="À crédit",'Brouillard ventes'!$J$96=""),"",IF('Brouillard ventes'!$J$96="Espèces","04001","02001"))</f>
        <v/>
      </c>
      <c r="G182" s="22">
        <f>IF(OR('Brouillard ventes'!$F$96="",'Brouillard ventes'!$J$96="À crédit",'Brouillard ventes'!$J$96=""),"",IF('Brouillard ventes'!$J$96="Espèces","53000","51220"))</f>
        <v/>
      </c>
      <c r="H182" s="22" t="inlineStr"/>
      <c r="I182" s="22" t="inlineStr"/>
      <c r="J182" s="22" t="inlineStr"/>
      <c r="K182" s="22">
        <f>IF(OR('Brouillard ventes'!$F$96="",'Brouillard ventes'!$J$96="À crédit",'Brouillard ventes'!$J$96=""),"",Paramètres!$B$11)</f>
        <v/>
      </c>
      <c r="L182" s="23">
        <f>IF(OR('Brouillard ventes'!$F$96="",'Brouillard ventes'!$J$96="À crédit",'Brouillard ventes'!$J$96=""),0,'Brouillard ventes'!$I$96)</f>
        <v/>
      </c>
      <c r="M182" s="23" t="n">
        <v>0</v>
      </c>
    </row>
    <row r="183">
      <c r="A183" s="22" t="inlineStr">
        <is>
          <t>1</t>
        </is>
      </c>
      <c r="B183" s="22">
        <f>IF(OR('Brouillard ventes'!$F$96="",'Brouillard ventes'!$J$96="À crédit",'Brouillard ventes'!$J$96=""),"","EC"&amp;TEXT(ROW('Brouillard ventes'!$F$96)-5,"00000"))</f>
        <v/>
      </c>
      <c r="C183" s="22">
        <f>IF(OR('Brouillard ventes'!$F$96="",'Brouillard ventes'!$J$96="À crédit",'Brouillard ventes'!$J$96=""),"",YEAR('Brouillard ventes'!$A$96)*10000+MONTH('Brouillard ventes'!$A$96)*100+DAY('Brouillard ventes'!$A$96))</f>
        <v/>
      </c>
      <c r="D183" s="22">
        <f>IF(OR('Brouillard ventes'!$F$96="",'Brouillard ventes'!$J$96="À crédit",'Brouillard ventes'!$J$96=""),"",'Brouillard ventes'!$B$96)</f>
        <v/>
      </c>
      <c r="E183" s="22">
        <f>IF(OR('Brouillard ventes'!$F$96="",'Brouillard ventes'!$J$96="À crédit",'Brouillard ventes'!$J$96=""),"","REGL "&amp;LEFT('Brouillard ventes'!$D$96,25))</f>
        <v/>
      </c>
      <c r="F183" s="22">
        <f>IF(OR('Brouillard ventes'!$F$96="",'Brouillard ventes'!$J$96="À crédit",'Brouillard ventes'!$J$96=""),"",IF('Brouillard ventes'!$J$96="Espèces","04001","02001"))</f>
        <v/>
      </c>
      <c r="G183" s="22">
        <f>IF(OR('Brouillard ventes'!$F$96="",'Brouillard ventes'!$J$96="À crédit",'Brouillard ventes'!$J$96=""),"",Paramètres!$B$7)</f>
        <v/>
      </c>
      <c r="H183" s="22">
        <f>IF(OR('Brouillard ventes'!$F$96="",'Brouillard ventes'!$J$96="À crédit",'Brouillard ventes'!$J$96=""),"",IF('Brouillard ventes'!$C$96="","CD001",'Brouillard ventes'!$C$96))</f>
        <v/>
      </c>
      <c r="I183" s="22" t="inlineStr"/>
      <c r="J183" s="22" t="inlineStr"/>
      <c r="K183" s="22">
        <f>IF(OR('Brouillard ventes'!$F$96="",'Brouillard ventes'!$J$96="À crédit",'Brouillard ventes'!$J$96=""),"",Paramètres!$B$11)</f>
        <v/>
      </c>
      <c r="L183" s="23" t="n">
        <v>0</v>
      </c>
      <c r="M183" s="23">
        <f>IF(OR('Brouillard ventes'!$F$96="",'Brouillard ventes'!$J$96="À crédit",'Brouillard ventes'!$J$96=""),0,'Brouillard ventes'!$I$96)</f>
        <v/>
      </c>
    </row>
    <row r="184">
      <c r="A184" s="22" t="inlineStr">
        <is>
          <t>1</t>
        </is>
      </c>
      <c r="B184" s="22">
        <f>IF(OR('Brouillard ventes'!$F$97="",'Brouillard ventes'!$J$97="À crédit",'Brouillard ventes'!$J$97=""),"","EC"&amp;TEXT(ROW('Brouillard ventes'!$F$97)-5,"00000"))</f>
        <v/>
      </c>
      <c r="C184" s="22">
        <f>IF(OR('Brouillard ventes'!$F$97="",'Brouillard ventes'!$J$97="À crédit",'Brouillard ventes'!$J$97=""),"",YEAR('Brouillard ventes'!$A$97)*10000+MONTH('Brouillard ventes'!$A$97)*100+DAY('Brouillard ventes'!$A$97))</f>
        <v/>
      </c>
      <c r="D184" s="22">
        <f>IF(OR('Brouillard ventes'!$F$97="",'Brouillard ventes'!$J$97="À crédit",'Brouillard ventes'!$J$97=""),"",'Brouillard ventes'!$B$97)</f>
        <v/>
      </c>
      <c r="E184" s="22">
        <f>IF(OR('Brouillard ventes'!$F$97="",'Brouillard ventes'!$J$97="À crédit",'Brouillard ventes'!$J$97=""),"","REGL "&amp;LEFT('Brouillard ventes'!$D$97,25))</f>
        <v/>
      </c>
      <c r="F184" s="22">
        <f>IF(OR('Brouillard ventes'!$F$97="",'Brouillard ventes'!$J$97="À crédit",'Brouillard ventes'!$J$97=""),"",IF('Brouillard ventes'!$J$97="Espèces","04001","02001"))</f>
        <v/>
      </c>
      <c r="G184" s="22">
        <f>IF(OR('Brouillard ventes'!$F$97="",'Brouillard ventes'!$J$97="À crédit",'Brouillard ventes'!$J$97=""),"",IF('Brouillard ventes'!$J$97="Espèces","53000","51220"))</f>
        <v/>
      </c>
      <c r="H184" s="22" t="inlineStr"/>
      <c r="I184" s="22" t="inlineStr"/>
      <c r="J184" s="22" t="inlineStr"/>
      <c r="K184" s="22">
        <f>IF(OR('Brouillard ventes'!$F$97="",'Brouillard ventes'!$J$97="À crédit",'Brouillard ventes'!$J$97=""),"",Paramètres!$B$11)</f>
        <v/>
      </c>
      <c r="L184" s="23">
        <f>IF(OR('Brouillard ventes'!$F$97="",'Brouillard ventes'!$J$97="À crédit",'Brouillard ventes'!$J$97=""),0,'Brouillard ventes'!$I$97)</f>
        <v/>
      </c>
      <c r="M184" s="23" t="n">
        <v>0</v>
      </c>
    </row>
    <row r="185">
      <c r="A185" s="22" t="inlineStr">
        <is>
          <t>1</t>
        </is>
      </c>
      <c r="B185" s="22">
        <f>IF(OR('Brouillard ventes'!$F$97="",'Brouillard ventes'!$J$97="À crédit",'Brouillard ventes'!$J$97=""),"","EC"&amp;TEXT(ROW('Brouillard ventes'!$F$97)-5,"00000"))</f>
        <v/>
      </c>
      <c r="C185" s="22">
        <f>IF(OR('Brouillard ventes'!$F$97="",'Brouillard ventes'!$J$97="À crédit",'Brouillard ventes'!$J$97=""),"",YEAR('Brouillard ventes'!$A$97)*10000+MONTH('Brouillard ventes'!$A$97)*100+DAY('Brouillard ventes'!$A$97))</f>
        <v/>
      </c>
      <c r="D185" s="22">
        <f>IF(OR('Brouillard ventes'!$F$97="",'Brouillard ventes'!$J$97="À crédit",'Brouillard ventes'!$J$97=""),"",'Brouillard ventes'!$B$97)</f>
        <v/>
      </c>
      <c r="E185" s="22">
        <f>IF(OR('Brouillard ventes'!$F$97="",'Brouillard ventes'!$J$97="À crédit",'Brouillard ventes'!$J$97=""),"","REGL "&amp;LEFT('Brouillard ventes'!$D$97,25))</f>
        <v/>
      </c>
      <c r="F185" s="22">
        <f>IF(OR('Brouillard ventes'!$F$97="",'Brouillard ventes'!$J$97="À crédit",'Brouillard ventes'!$J$97=""),"",IF('Brouillard ventes'!$J$97="Espèces","04001","02001"))</f>
        <v/>
      </c>
      <c r="G185" s="22">
        <f>IF(OR('Brouillard ventes'!$F$97="",'Brouillard ventes'!$J$97="À crédit",'Brouillard ventes'!$J$97=""),"",Paramètres!$B$7)</f>
        <v/>
      </c>
      <c r="H185" s="22">
        <f>IF(OR('Brouillard ventes'!$F$97="",'Brouillard ventes'!$J$97="À crédit",'Brouillard ventes'!$J$97=""),"",IF('Brouillard ventes'!$C$97="","CD001",'Brouillard ventes'!$C$97))</f>
        <v/>
      </c>
      <c r="I185" s="22" t="inlineStr"/>
      <c r="J185" s="22" t="inlineStr"/>
      <c r="K185" s="22">
        <f>IF(OR('Brouillard ventes'!$F$97="",'Brouillard ventes'!$J$97="À crédit",'Brouillard ventes'!$J$97=""),"",Paramètres!$B$11)</f>
        <v/>
      </c>
      <c r="L185" s="23" t="n">
        <v>0</v>
      </c>
      <c r="M185" s="23">
        <f>IF(OR('Brouillard ventes'!$F$97="",'Brouillard ventes'!$J$97="À crédit",'Brouillard ventes'!$J$97=""),0,'Brouillard ventes'!$I$97)</f>
        <v/>
      </c>
    </row>
    <row r="186">
      <c r="A186" s="22" t="inlineStr">
        <is>
          <t>1</t>
        </is>
      </c>
      <c r="B186" s="22">
        <f>IF(OR('Brouillard ventes'!$F$98="",'Brouillard ventes'!$J$98="À crédit",'Brouillard ventes'!$J$98=""),"","EC"&amp;TEXT(ROW('Brouillard ventes'!$F$98)-5,"00000"))</f>
        <v/>
      </c>
      <c r="C186" s="22">
        <f>IF(OR('Brouillard ventes'!$F$98="",'Brouillard ventes'!$J$98="À crédit",'Brouillard ventes'!$J$98=""),"",YEAR('Brouillard ventes'!$A$98)*10000+MONTH('Brouillard ventes'!$A$98)*100+DAY('Brouillard ventes'!$A$98))</f>
        <v/>
      </c>
      <c r="D186" s="22">
        <f>IF(OR('Brouillard ventes'!$F$98="",'Brouillard ventes'!$J$98="À crédit",'Brouillard ventes'!$J$98=""),"",'Brouillard ventes'!$B$98)</f>
        <v/>
      </c>
      <c r="E186" s="22">
        <f>IF(OR('Brouillard ventes'!$F$98="",'Brouillard ventes'!$J$98="À crédit",'Brouillard ventes'!$J$98=""),"","REGL "&amp;LEFT('Brouillard ventes'!$D$98,25))</f>
        <v/>
      </c>
      <c r="F186" s="22">
        <f>IF(OR('Brouillard ventes'!$F$98="",'Brouillard ventes'!$J$98="À crédit",'Brouillard ventes'!$J$98=""),"",IF('Brouillard ventes'!$J$98="Espèces","04001","02001"))</f>
        <v/>
      </c>
      <c r="G186" s="22">
        <f>IF(OR('Brouillard ventes'!$F$98="",'Brouillard ventes'!$J$98="À crédit",'Brouillard ventes'!$J$98=""),"",IF('Brouillard ventes'!$J$98="Espèces","53000","51220"))</f>
        <v/>
      </c>
      <c r="H186" s="22" t="inlineStr"/>
      <c r="I186" s="22" t="inlineStr"/>
      <c r="J186" s="22" t="inlineStr"/>
      <c r="K186" s="22">
        <f>IF(OR('Brouillard ventes'!$F$98="",'Brouillard ventes'!$J$98="À crédit",'Brouillard ventes'!$J$98=""),"",Paramètres!$B$11)</f>
        <v/>
      </c>
      <c r="L186" s="23">
        <f>IF(OR('Brouillard ventes'!$F$98="",'Brouillard ventes'!$J$98="À crédit",'Brouillard ventes'!$J$98=""),0,'Brouillard ventes'!$I$98)</f>
        <v/>
      </c>
      <c r="M186" s="23" t="n">
        <v>0</v>
      </c>
    </row>
    <row r="187">
      <c r="A187" s="22" t="inlineStr">
        <is>
          <t>1</t>
        </is>
      </c>
      <c r="B187" s="22">
        <f>IF(OR('Brouillard ventes'!$F$98="",'Brouillard ventes'!$J$98="À crédit",'Brouillard ventes'!$J$98=""),"","EC"&amp;TEXT(ROW('Brouillard ventes'!$F$98)-5,"00000"))</f>
        <v/>
      </c>
      <c r="C187" s="22">
        <f>IF(OR('Brouillard ventes'!$F$98="",'Brouillard ventes'!$J$98="À crédit",'Brouillard ventes'!$J$98=""),"",YEAR('Brouillard ventes'!$A$98)*10000+MONTH('Brouillard ventes'!$A$98)*100+DAY('Brouillard ventes'!$A$98))</f>
        <v/>
      </c>
      <c r="D187" s="22">
        <f>IF(OR('Brouillard ventes'!$F$98="",'Brouillard ventes'!$J$98="À crédit",'Brouillard ventes'!$J$98=""),"",'Brouillard ventes'!$B$98)</f>
        <v/>
      </c>
      <c r="E187" s="22">
        <f>IF(OR('Brouillard ventes'!$F$98="",'Brouillard ventes'!$J$98="À crédit",'Brouillard ventes'!$J$98=""),"","REGL "&amp;LEFT('Brouillard ventes'!$D$98,25))</f>
        <v/>
      </c>
      <c r="F187" s="22">
        <f>IF(OR('Brouillard ventes'!$F$98="",'Brouillard ventes'!$J$98="À crédit",'Brouillard ventes'!$J$98=""),"",IF('Brouillard ventes'!$J$98="Espèces","04001","02001"))</f>
        <v/>
      </c>
      <c r="G187" s="22">
        <f>IF(OR('Brouillard ventes'!$F$98="",'Brouillard ventes'!$J$98="À crédit",'Brouillard ventes'!$J$98=""),"",Paramètres!$B$7)</f>
        <v/>
      </c>
      <c r="H187" s="22">
        <f>IF(OR('Brouillard ventes'!$F$98="",'Brouillard ventes'!$J$98="À crédit",'Brouillard ventes'!$J$98=""),"",IF('Brouillard ventes'!$C$98="","CD001",'Brouillard ventes'!$C$98))</f>
        <v/>
      </c>
      <c r="I187" s="22" t="inlineStr"/>
      <c r="J187" s="22" t="inlineStr"/>
      <c r="K187" s="22">
        <f>IF(OR('Brouillard ventes'!$F$98="",'Brouillard ventes'!$J$98="À crédit",'Brouillard ventes'!$J$98=""),"",Paramètres!$B$11)</f>
        <v/>
      </c>
      <c r="L187" s="23" t="n">
        <v>0</v>
      </c>
      <c r="M187" s="23">
        <f>IF(OR('Brouillard ventes'!$F$98="",'Brouillard ventes'!$J$98="À crédit",'Brouillard ventes'!$J$98=""),0,'Brouillard ventes'!$I$98)</f>
        <v/>
      </c>
    </row>
    <row r="188">
      <c r="A188" s="22" t="inlineStr">
        <is>
          <t>1</t>
        </is>
      </c>
      <c r="B188" s="22">
        <f>IF(OR('Brouillard ventes'!$F$99="",'Brouillard ventes'!$J$99="À crédit",'Brouillard ventes'!$J$99=""),"","EC"&amp;TEXT(ROW('Brouillard ventes'!$F$99)-5,"00000"))</f>
        <v/>
      </c>
      <c r="C188" s="22">
        <f>IF(OR('Brouillard ventes'!$F$99="",'Brouillard ventes'!$J$99="À crédit",'Brouillard ventes'!$J$99=""),"",YEAR('Brouillard ventes'!$A$99)*10000+MONTH('Brouillard ventes'!$A$99)*100+DAY('Brouillard ventes'!$A$99))</f>
        <v/>
      </c>
      <c r="D188" s="22">
        <f>IF(OR('Brouillard ventes'!$F$99="",'Brouillard ventes'!$J$99="À crédit",'Brouillard ventes'!$J$99=""),"",'Brouillard ventes'!$B$99)</f>
        <v/>
      </c>
      <c r="E188" s="22">
        <f>IF(OR('Brouillard ventes'!$F$99="",'Brouillard ventes'!$J$99="À crédit",'Brouillard ventes'!$J$99=""),"","REGL "&amp;LEFT('Brouillard ventes'!$D$99,25))</f>
        <v/>
      </c>
      <c r="F188" s="22">
        <f>IF(OR('Brouillard ventes'!$F$99="",'Brouillard ventes'!$J$99="À crédit",'Brouillard ventes'!$J$99=""),"",IF('Brouillard ventes'!$J$99="Espèces","04001","02001"))</f>
        <v/>
      </c>
      <c r="G188" s="22">
        <f>IF(OR('Brouillard ventes'!$F$99="",'Brouillard ventes'!$J$99="À crédit",'Brouillard ventes'!$J$99=""),"",IF('Brouillard ventes'!$J$99="Espèces","53000","51220"))</f>
        <v/>
      </c>
      <c r="H188" s="22" t="inlineStr"/>
      <c r="I188" s="22" t="inlineStr"/>
      <c r="J188" s="22" t="inlineStr"/>
      <c r="K188" s="22">
        <f>IF(OR('Brouillard ventes'!$F$99="",'Brouillard ventes'!$J$99="À crédit",'Brouillard ventes'!$J$99=""),"",Paramètres!$B$11)</f>
        <v/>
      </c>
      <c r="L188" s="23">
        <f>IF(OR('Brouillard ventes'!$F$99="",'Brouillard ventes'!$J$99="À crédit",'Brouillard ventes'!$J$99=""),0,'Brouillard ventes'!$I$99)</f>
        <v/>
      </c>
      <c r="M188" s="23" t="n">
        <v>0</v>
      </c>
    </row>
    <row r="189">
      <c r="A189" s="22" t="inlineStr">
        <is>
          <t>1</t>
        </is>
      </c>
      <c r="B189" s="22">
        <f>IF(OR('Brouillard ventes'!$F$99="",'Brouillard ventes'!$J$99="À crédit",'Brouillard ventes'!$J$99=""),"","EC"&amp;TEXT(ROW('Brouillard ventes'!$F$99)-5,"00000"))</f>
        <v/>
      </c>
      <c r="C189" s="22">
        <f>IF(OR('Brouillard ventes'!$F$99="",'Brouillard ventes'!$J$99="À crédit",'Brouillard ventes'!$J$99=""),"",YEAR('Brouillard ventes'!$A$99)*10000+MONTH('Brouillard ventes'!$A$99)*100+DAY('Brouillard ventes'!$A$99))</f>
        <v/>
      </c>
      <c r="D189" s="22">
        <f>IF(OR('Brouillard ventes'!$F$99="",'Brouillard ventes'!$J$99="À crédit",'Brouillard ventes'!$J$99=""),"",'Brouillard ventes'!$B$99)</f>
        <v/>
      </c>
      <c r="E189" s="22">
        <f>IF(OR('Brouillard ventes'!$F$99="",'Brouillard ventes'!$J$99="À crédit",'Brouillard ventes'!$J$99=""),"","REGL "&amp;LEFT('Brouillard ventes'!$D$99,25))</f>
        <v/>
      </c>
      <c r="F189" s="22">
        <f>IF(OR('Brouillard ventes'!$F$99="",'Brouillard ventes'!$J$99="À crédit",'Brouillard ventes'!$J$99=""),"",IF('Brouillard ventes'!$J$99="Espèces","04001","02001"))</f>
        <v/>
      </c>
      <c r="G189" s="22">
        <f>IF(OR('Brouillard ventes'!$F$99="",'Brouillard ventes'!$J$99="À crédit",'Brouillard ventes'!$J$99=""),"",Paramètres!$B$7)</f>
        <v/>
      </c>
      <c r="H189" s="22">
        <f>IF(OR('Brouillard ventes'!$F$99="",'Brouillard ventes'!$J$99="À crédit",'Brouillard ventes'!$J$99=""),"",IF('Brouillard ventes'!$C$99="","CD001",'Brouillard ventes'!$C$99))</f>
        <v/>
      </c>
      <c r="I189" s="22" t="inlineStr"/>
      <c r="J189" s="22" t="inlineStr"/>
      <c r="K189" s="22">
        <f>IF(OR('Brouillard ventes'!$F$99="",'Brouillard ventes'!$J$99="À crédit",'Brouillard ventes'!$J$99=""),"",Paramètres!$B$11)</f>
        <v/>
      </c>
      <c r="L189" s="23" t="n">
        <v>0</v>
      </c>
      <c r="M189" s="23">
        <f>IF(OR('Brouillard ventes'!$F$99="",'Brouillard ventes'!$J$99="À crédit",'Brouillard ventes'!$J$99=""),0,'Brouillard ventes'!$I$99)</f>
        <v/>
      </c>
    </row>
    <row r="190">
      <c r="A190" s="22" t="inlineStr">
        <is>
          <t>1</t>
        </is>
      </c>
      <c r="B190" s="22">
        <f>IF(OR('Brouillard ventes'!$F$100="",'Brouillard ventes'!$J$100="À crédit",'Brouillard ventes'!$J$100=""),"","EC"&amp;TEXT(ROW('Brouillard ventes'!$F$100)-5,"00000"))</f>
        <v/>
      </c>
      <c r="C190" s="22">
        <f>IF(OR('Brouillard ventes'!$F$100="",'Brouillard ventes'!$J$100="À crédit",'Brouillard ventes'!$J$100=""),"",YEAR('Brouillard ventes'!$A$100)*10000+MONTH('Brouillard ventes'!$A$100)*100+DAY('Brouillard ventes'!$A$100))</f>
        <v/>
      </c>
      <c r="D190" s="22">
        <f>IF(OR('Brouillard ventes'!$F$100="",'Brouillard ventes'!$J$100="À crédit",'Brouillard ventes'!$J$100=""),"",'Brouillard ventes'!$B$100)</f>
        <v/>
      </c>
      <c r="E190" s="22">
        <f>IF(OR('Brouillard ventes'!$F$100="",'Brouillard ventes'!$J$100="À crédit",'Brouillard ventes'!$J$100=""),"","REGL "&amp;LEFT('Brouillard ventes'!$D$100,25))</f>
        <v/>
      </c>
      <c r="F190" s="22">
        <f>IF(OR('Brouillard ventes'!$F$100="",'Brouillard ventes'!$J$100="À crédit",'Brouillard ventes'!$J$100=""),"",IF('Brouillard ventes'!$J$100="Espèces","04001","02001"))</f>
        <v/>
      </c>
      <c r="G190" s="22">
        <f>IF(OR('Brouillard ventes'!$F$100="",'Brouillard ventes'!$J$100="À crédit",'Brouillard ventes'!$J$100=""),"",IF('Brouillard ventes'!$J$100="Espèces","53000","51220"))</f>
        <v/>
      </c>
      <c r="H190" s="22" t="inlineStr"/>
      <c r="I190" s="22" t="inlineStr"/>
      <c r="J190" s="22" t="inlineStr"/>
      <c r="K190" s="22">
        <f>IF(OR('Brouillard ventes'!$F$100="",'Brouillard ventes'!$J$100="À crédit",'Brouillard ventes'!$J$100=""),"",Paramètres!$B$11)</f>
        <v/>
      </c>
      <c r="L190" s="23">
        <f>IF(OR('Brouillard ventes'!$F$100="",'Brouillard ventes'!$J$100="À crédit",'Brouillard ventes'!$J$100=""),0,'Brouillard ventes'!$I$100)</f>
        <v/>
      </c>
      <c r="M190" s="23" t="n">
        <v>0</v>
      </c>
    </row>
    <row r="191">
      <c r="A191" s="22" t="inlineStr">
        <is>
          <t>1</t>
        </is>
      </c>
      <c r="B191" s="22">
        <f>IF(OR('Brouillard ventes'!$F$100="",'Brouillard ventes'!$J$100="À crédit",'Brouillard ventes'!$J$100=""),"","EC"&amp;TEXT(ROW('Brouillard ventes'!$F$100)-5,"00000"))</f>
        <v/>
      </c>
      <c r="C191" s="22">
        <f>IF(OR('Brouillard ventes'!$F$100="",'Brouillard ventes'!$J$100="À crédit",'Brouillard ventes'!$J$100=""),"",YEAR('Brouillard ventes'!$A$100)*10000+MONTH('Brouillard ventes'!$A$100)*100+DAY('Brouillard ventes'!$A$100))</f>
        <v/>
      </c>
      <c r="D191" s="22">
        <f>IF(OR('Brouillard ventes'!$F$100="",'Brouillard ventes'!$J$100="À crédit",'Brouillard ventes'!$J$100=""),"",'Brouillard ventes'!$B$100)</f>
        <v/>
      </c>
      <c r="E191" s="22">
        <f>IF(OR('Brouillard ventes'!$F$100="",'Brouillard ventes'!$J$100="À crédit",'Brouillard ventes'!$J$100=""),"","REGL "&amp;LEFT('Brouillard ventes'!$D$100,25))</f>
        <v/>
      </c>
      <c r="F191" s="22">
        <f>IF(OR('Brouillard ventes'!$F$100="",'Brouillard ventes'!$J$100="À crédit",'Brouillard ventes'!$J$100=""),"",IF('Brouillard ventes'!$J$100="Espèces","04001","02001"))</f>
        <v/>
      </c>
      <c r="G191" s="22">
        <f>IF(OR('Brouillard ventes'!$F$100="",'Brouillard ventes'!$J$100="À crédit",'Brouillard ventes'!$J$100=""),"",Paramètres!$B$7)</f>
        <v/>
      </c>
      <c r="H191" s="22">
        <f>IF(OR('Brouillard ventes'!$F$100="",'Brouillard ventes'!$J$100="À crédit",'Brouillard ventes'!$J$100=""),"",IF('Brouillard ventes'!$C$100="","CD001",'Brouillard ventes'!$C$100))</f>
        <v/>
      </c>
      <c r="I191" s="22" t="inlineStr"/>
      <c r="J191" s="22" t="inlineStr"/>
      <c r="K191" s="22">
        <f>IF(OR('Brouillard ventes'!$F$100="",'Brouillard ventes'!$J$100="À crédit",'Brouillard ventes'!$J$100=""),"",Paramètres!$B$11)</f>
        <v/>
      </c>
      <c r="L191" s="23" t="n">
        <v>0</v>
      </c>
      <c r="M191" s="23">
        <f>IF(OR('Brouillard ventes'!$F$100="",'Brouillard ventes'!$J$100="À crédit",'Brouillard ventes'!$J$100=""),0,'Brouillard ventes'!$I$100)</f>
        <v/>
      </c>
    </row>
    <row r="192">
      <c r="A192" s="22" t="inlineStr">
        <is>
          <t>1</t>
        </is>
      </c>
      <c r="B192" s="22">
        <f>IF(OR('Brouillard ventes'!$F$101="",'Brouillard ventes'!$J$101="À crédit",'Brouillard ventes'!$J$101=""),"","EC"&amp;TEXT(ROW('Brouillard ventes'!$F$101)-5,"00000"))</f>
        <v/>
      </c>
      <c r="C192" s="22">
        <f>IF(OR('Brouillard ventes'!$F$101="",'Brouillard ventes'!$J$101="À crédit",'Brouillard ventes'!$J$101=""),"",YEAR('Brouillard ventes'!$A$101)*10000+MONTH('Brouillard ventes'!$A$101)*100+DAY('Brouillard ventes'!$A$101))</f>
        <v/>
      </c>
      <c r="D192" s="22">
        <f>IF(OR('Brouillard ventes'!$F$101="",'Brouillard ventes'!$J$101="À crédit",'Brouillard ventes'!$J$101=""),"",'Brouillard ventes'!$B$101)</f>
        <v/>
      </c>
      <c r="E192" s="22">
        <f>IF(OR('Brouillard ventes'!$F$101="",'Brouillard ventes'!$J$101="À crédit",'Brouillard ventes'!$J$101=""),"","REGL "&amp;LEFT('Brouillard ventes'!$D$101,25))</f>
        <v/>
      </c>
      <c r="F192" s="22">
        <f>IF(OR('Brouillard ventes'!$F$101="",'Brouillard ventes'!$J$101="À crédit",'Brouillard ventes'!$J$101=""),"",IF('Brouillard ventes'!$J$101="Espèces","04001","02001"))</f>
        <v/>
      </c>
      <c r="G192" s="22">
        <f>IF(OR('Brouillard ventes'!$F$101="",'Brouillard ventes'!$J$101="À crédit",'Brouillard ventes'!$J$101=""),"",IF('Brouillard ventes'!$J$101="Espèces","53000","51220"))</f>
        <v/>
      </c>
      <c r="H192" s="22" t="inlineStr"/>
      <c r="I192" s="22" t="inlineStr"/>
      <c r="J192" s="22" t="inlineStr"/>
      <c r="K192" s="22">
        <f>IF(OR('Brouillard ventes'!$F$101="",'Brouillard ventes'!$J$101="À crédit",'Brouillard ventes'!$J$101=""),"",Paramètres!$B$11)</f>
        <v/>
      </c>
      <c r="L192" s="23">
        <f>IF(OR('Brouillard ventes'!$F$101="",'Brouillard ventes'!$J$101="À crédit",'Brouillard ventes'!$J$101=""),0,'Brouillard ventes'!$I$101)</f>
        <v/>
      </c>
      <c r="M192" s="23" t="n">
        <v>0</v>
      </c>
    </row>
    <row r="193">
      <c r="A193" s="22" t="inlineStr">
        <is>
          <t>1</t>
        </is>
      </c>
      <c r="B193" s="22">
        <f>IF(OR('Brouillard ventes'!$F$101="",'Brouillard ventes'!$J$101="À crédit",'Brouillard ventes'!$J$101=""),"","EC"&amp;TEXT(ROW('Brouillard ventes'!$F$101)-5,"00000"))</f>
        <v/>
      </c>
      <c r="C193" s="22">
        <f>IF(OR('Brouillard ventes'!$F$101="",'Brouillard ventes'!$J$101="À crédit",'Brouillard ventes'!$J$101=""),"",YEAR('Brouillard ventes'!$A$101)*10000+MONTH('Brouillard ventes'!$A$101)*100+DAY('Brouillard ventes'!$A$101))</f>
        <v/>
      </c>
      <c r="D193" s="22">
        <f>IF(OR('Brouillard ventes'!$F$101="",'Brouillard ventes'!$J$101="À crédit",'Brouillard ventes'!$J$101=""),"",'Brouillard ventes'!$B$101)</f>
        <v/>
      </c>
      <c r="E193" s="22">
        <f>IF(OR('Brouillard ventes'!$F$101="",'Brouillard ventes'!$J$101="À crédit",'Brouillard ventes'!$J$101=""),"","REGL "&amp;LEFT('Brouillard ventes'!$D$101,25))</f>
        <v/>
      </c>
      <c r="F193" s="22">
        <f>IF(OR('Brouillard ventes'!$F$101="",'Brouillard ventes'!$J$101="À crédit",'Brouillard ventes'!$J$101=""),"",IF('Brouillard ventes'!$J$101="Espèces","04001","02001"))</f>
        <v/>
      </c>
      <c r="G193" s="22">
        <f>IF(OR('Brouillard ventes'!$F$101="",'Brouillard ventes'!$J$101="À crédit",'Brouillard ventes'!$J$101=""),"",Paramètres!$B$7)</f>
        <v/>
      </c>
      <c r="H193" s="22">
        <f>IF(OR('Brouillard ventes'!$F$101="",'Brouillard ventes'!$J$101="À crédit",'Brouillard ventes'!$J$101=""),"",IF('Brouillard ventes'!$C$101="","CD001",'Brouillard ventes'!$C$101))</f>
        <v/>
      </c>
      <c r="I193" s="22" t="inlineStr"/>
      <c r="J193" s="22" t="inlineStr"/>
      <c r="K193" s="22">
        <f>IF(OR('Brouillard ventes'!$F$101="",'Brouillard ventes'!$J$101="À crédit",'Brouillard ventes'!$J$101=""),"",Paramètres!$B$11)</f>
        <v/>
      </c>
      <c r="L193" s="23" t="n">
        <v>0</v>
      </c>
      <c r="M193" s="23">
        <f>IF(OR('Brouillard ventes'!$F$101="",'Brouillard ventes'!$J$101="À crédit",'Brouillard ventes'!$J$101=""),0,'Brouillard ventes'!$I$101)</f>
        <v/>
      </c>
    </row>
    <row r="194">
      <c r="A194" s="22" t="inlineStr">
        <is>
          <t>1</t>
        </is>
      </c>
      <c r="B194" s="22">
        <f>IF(OR('Brouillard ventes'!$F$102="",'Brouillard ventes'!$J$102="À crédit",'Brouillard ventes'!$J$102=""),"","EC"&amp;TEXT(ROW('Brouillard ventes'!$F$102)-5,"00000"))</f>
        <v/>
      </c>
      <c r="C194" s="22">
        <f>IF(OR('Brouillard ventes'!$F$102="",'Brouillard ventes'!$J$102="À crédit",'Brouillard ventes'!$J$102=""),"",YEAR('Brouillard ventes'!$A$102)*10000+MONTH('Brouillard ventes'!$A$102)*100+DAY('Brouillard ventes'!$A$102))</f>
        <v/>
      </c>
      <c r="D194" s="22">
        <f>IF(OR('Brouillard ventes'!$F$102="",'Brouillard ventes'!$J$102="À crédit",'Brouillard ventes'!$J$102=""),"",'Brouillard ventes'!$B$102)</f>
        <v/>
      </c>
      <c r="E194" s="22">
        <f>IF(OR('Brouillard ventes'!$F$102="",'Brouillard ventes'!$J$102="À crédit",'Brouillard ventes'!$J$102=""),"","REGL "&amp;LEFT('Brouillard ventes'!$D$102,25))</f>
        <v/>
      </c>
      <c r="F194" s="22">
        <f>IF(OR('Brouillard ventes'!$F$102="",'Brouillard ventes'!$J$102="À crédit",'Brouillard ventes'!$J$102=""),"",IF('Brouillard ventes'!$J$102="Espèces","04001","02001"))</f>
        <v/>
      </c>
      <c r="G194" s="22">
        <f>IF(OR('Brouillard ventes'!$F$102="",'Brouillard ventes'!$J$102="À crédit",'Brouillard ventes'!$J$102=""),"",IF('Brouillard ventes'!$J$102="Espèces","53000","51220"))</f>
        <v/>
      </c>
      <c r="H194" s="22" t="inlineStr"/>
      <c r="I194" s="22" t="inlineStr"/>
      <c r="J194" s="22" t="inlineStr"/>
      <c r="K194" s="22">
        <f>IF(OR('Brouillard ventes'!$F$102="",'Brouillard ventes'!$J$102="À crédit",'Brouillard ventes'!$J$102=""),"",Paramètres!$B$11)</f>
        <v/>
      </c>
      <c r="L194" s="23">
        <f>IF(OR('Brouillard ventes'!$F$102="",'Brouillard ventes'!$J$102="À crédit",'Brouillard ventes'!$J$102=""),0,'Brouillard ventes'!$I$102)</f>
        <v/>
      </c>
      <c r="M194" s="23" t="n">
        <v>0</v>
      </c>
    </row>
    <row r="195">
      <c r="A195" s="22" t="inlineStr">
        <is>
          <t>1</t>
        </is>
      </c>
      <c r="B195" s="22">
        <f>IF(OR('Brouillard ventes'!$F$102="",'Brouillard ventes'!$J$102="À crédit",'Brouillard ventes'!$J$102=""),"","EC"&amp;TEXT(ROW('Brouillard ventes'!$F$102)-5,"00000"))</f>
        <v/>
      </c>
      <c r="C195" s="22">
        <f>IF(OR('Brouillard ventes'!$F$102="",'Brouillard ventes'!$J$102="À crédit",'Brouillard ventes'!$J$102=""),"",YEAR('Brouillard ventes'!$A$102)*10000+MONTH('Brouillard ventes'!$A$102)*100+DAY('Brouillard ventes'!$A$102))</f>
        <v/>
      </c>
      <c r="D195" s="22">
        <f>IF(OR('Brouillard ventes'!$F$102="",'Brouillard ventes'!$J$102="À crédit",'Brouillard ventes'!$J$102=""),"",'Brouillard ventes'!$B$102)</f>
        <v/>
      </c>
      <c r="E195" s="22">
        <f>IF(OR('Brouillard ventes'!$F$102="",'Brouillard ventes'!$J$102="À crédit",'Brouillard ventes'!$J$102=""),"","REGL "&amp;LEFT('Brouillard ventes'!$D$102,25))</f>
        <v/>
      </c>
      <c r="F195" s="22">
        <f>IF(OR('Brouillard ventes'!$F$102="",'Brouillard ventes'!$J$102="À crédit",'Brouillard ventes'!$J$102=""),"",IF('Brouillard ventes'!$J$102="Espèces","04001","02001"))</f>
        <v/>
      </c>
      <c r="G195" s="22">
        <f>IF(OR('Brouillard ventes'!$F$102="",'Brouillard ventes'!$J$102="À crédit",'Brouillard ventes'!$J$102=""),"",Paramètres!$B$7)</f>
        <v/>
      </c>
      <c r="H195" s="22">
        <f>IF(OR('Brouillard ventes'!$F$102="",'Brouillard ventes'!$J$102="À crédit",'Brouillard ventes'!$J$102=""),"",IF('Brouillard ventes'!$C$102="","CD001",'Brouillard ventes'!$C$102))</f>
        <v/>
      </c>
      <c r="I195" s="22" t="inlineStr"/>
      <c r="J195" s="22" t="inlineStr"/>
      <c r="K195" s="22">
        <f>IF(OR('Brouillard ventes'!$F$102="",'Brouillard ventes'!$J$102="À crédit",'Brouillard ventes'!$J$102=""),"",Paramètres!$B$11)</f>
        <v/>
      </c>
      <c r="L195" s="23" t="n">
        <v>0</v>
      </c>
      <c r="M195" s="23">
        <f>IF(OR('Brouillard ventes'!$F$102="",'Brouillard ventes'!$J$102="À crédit",'Brouillard ventes'!$J$102=""),0,'Brouillard ventes'!$I$102)</f>
        <v/>
      </c>
    </row>
    <row r="196">
      <c r="A196" s="22" t="inlineStr">
        <is>
          <t>1</t>
        </is>
      </c>
      <c r="B196" s="22">
        <f>IF(OR('Brouillard ventes'!$F$103="",'Brouillard ventes'!$J$103="À crédit",'Brouillard ventes'!$J$103=""),"","EC"&amp;TEXT(ROW('Brouillard ventes'!$F$103)-5,"00000"))</f>
        <v/>
      </c>
      <c r="C196" s="22">
        <f>IF(OR('Brouillard ventes'!$F$103="",'Brouillard ventes'!$J$103="À crédit",'Brouillard ventes'!$J$103=""),"",YEAR('Brouillard ventes'!$A$103)*10000+MONTH('Brouillard ventes'!$A$103)*100+DAY('Brouillard ventes'!$A$103))</f>
        <v/>
      </c>
      <c r="D196" s="22">
        <f>IF(OR('Brouillard ventes'!$F$103="",'Brouillard ventes'!$J$103="À crédit",'Brouillard ventes'!$J$103=""),"",'Brouillard ventes'!$B$103)</f>
        <v/>
      </c>
      <c r="E196" s="22">
        <f>IF(OR('Brouillard ventes'!$F$103="",'Brouillard ventes'!$J$103="À crédit",'Brouillard ventes'!$J$103=""),"","REGL "&amp;LEFT('Brouillard ventes'!$D$103,25))</f>
        <v/>
      </c>
      <c r="F196" s="22">
        <f>IF(OR('Brouillard ventes'!$F$103="",'Brouillard ventes'!$J$103="À crédit",'Brouillard ventes'!$J$103=""),"",IF('Brouillard ventes'!$J$103="Espèces","04001","02001"))</f>
        <v/>
      </c>
      <c r="G196" s="22">
        <f>IF(OR('Brouillard ventes'!$F$103="",'Brouillard ventes'!$J$103="À crédit",'Brouillard ventes'!$J$103=""),"",IF('Brouillard ventes'!$J$103="Espèces","53000","51220"))</f>
        <v/>
      </c>
      <c r="H196" s="22" t="inlineStr"/>
      <c r="I196" s="22" t="inlineStr"/>
      <c r="J196" s="22" t="inlineStr"/>
      <c r="K196" s="22">
        <f>IF(OR('Brouillard ventes'!$F$103="",'Brouillard ventes'!$J$103="À crédit",'Brouillard ventes'!$J$103=""),"",Paramètres!$B$11)</f>
        <v/>
      </c>
      <c r="L196" s="23">
        <f>IF(OR('Brouillard ventes'!$F$103="",'Brouillard ventes'!$J$103="À crédit",'Brouillard ventes'!$J$103=""),0,'Brouillard ventes'!$I$103)</f>
        <v/>
      </c>
      <c r="M196" s="23" t="n">
        <v>0</v>
      </c>
    </row>
    <row r="197">
      <c r="A197" s="22" t="inlineStr">
        <is>
          <t>1</t>
        </is>
      </c>
      <c r="B197" s="22">
        <f>IF(OR('Brouillard ventes'!$F$103="",'Brouillard ventes'!$J$103="À crédit",'Brouillard ventes'!$J$103=""),"","EC"&amp;TEXT(ROW('Brouillard ventes'!$F$103)-5,"00000"))</f>
        <v/>
      </c>
      <c r="C197" s="22">
        <f>IF(OR('Brouillard ventes'!$F$103="",'Brouillard ventes'!$J$103="À crédit",'Brouillard ventes'!$J$103=""),"",YEAR('Brouillard ventes'!$A$103)*10000+MONTH('Brouillard ventes'!$A$103)*100+DAY('Brouillard ventes'!$A$103))</f>
        <v/>
      </c>
      <c r="D197" s="22">
        <f>IF(OR('Brouillard ventes'!$F$103="",'Brouillard ventes'!$J$103="À crédit",'Brouillard ventes'!$J$103=""),"",'Brouillard ventes'!$B$103)</f>
        <v/>
      </c>
      <c r="E197" s="22">
        <f>IF(OR('Brouillard ventes'!$F$103="",'Brouillard ventes'!$J$103="À crédit",'Brouillard ventes'!$J$103=""),"","REGL "&amp;LEFT('Brouillard ventes'!$D$103,25))</f>
        <v/>
      </c>
      <c r="F197" s="22">
        <f>IF(OR('Brouillard ventes'!$F$103="",'Brouillard ventes'!$J$103="À crédit",'Brouillard ventes'!$J$103=""),"",IF('Brouillard ventes'!$J$103="Espèces","04001","02001"))</f>
        <v/>
      </c>
      <c r="G197" s="22">
        <f>IF(OR('Brouillard ventes'!$F$103="",'Brouillard ventes'!$J$103="À crédit",'Brouillard ventes'!$J$103=""),"",Paramètres!$B$7)</f>
        <v/>
      </c>
      <c r="H197" s="22">
        <f>IF(OR('Brouillard ventes'!$F$103="",'Brouillard ventes'!$J$103="À crédit",'Brouillard ventes'!$J$103=""),"",IF('Brouillard ventes'!$C$103="","CD001",'Brouillard ventes'!$C$103))</f>
        <v/>
      </c>
      <c r="I197" s="22" t="inlineStr"/>
      <c r="J197" s="22" t="inlineStr"/>
      <c r="K197" s="22">
        <f>IF(OR('Brouillard ventes'!$F$103="",'Brouillard ventes'!$J$103="À crédit",'Brouillard ventes'!$J$103=""),"",Paramètres!$B$11)</f>
        <v/>
      </c>
      <c r="L197" s="23" t="n">
        <v>0</v>
      </c>
      <c r="M197" s="23">
        <f>IF(OR('Brouillard ventes'!$F$103="",'Brouillard ventes'!$J$103="À crédit",'Brouillard ventes'!$J$103=""),0,'Brouillard ventes'!$I$103)</f>
        <v/>
      </c>
    </row>
    <row r="198">
      <c r="A198" s="22" t="inlineStr">
        <is>
          <t>1</t>
        </is>
      </c>
      <c r="B198" s="22">
        <f>IF(OR('Brouillard ventes'!$F$104="",'Brouillard ventes'!$J$104="À crédit",'Brouillard ventes'!$J$104=""),"","EC"&amp;TEXT(ROW('Brouillard ventes'!$F$104)-5,"00000"))</f>
        <v/>
      </c>
      <c r="C198" s="22">
        <f>IF(OR('Brouillard ventes'!$F$104="",'Brouillard ventes'!$J$104="À crédit",'Brouillard ventes'!$J$104=""),"",YEAR('Brouillard ventes'!$A$104)*10000+MONTH('Brouillard ventes'!$A$104)*100+DAY('Brouillard ventes'!$A$104))</f>
        <v/>
      </c>
      <c r="D198" s="22">
        <f>IF(OR('Brouillard ventes'!$F$104="",'Brouillard ventes'!$J$104="À crédit",'Brouillard ventes'!$J$104=""),"",'Brouillard ventes'!$B$104)</f>
        <v/>
      </c>
      <c r="E198" s="22">
        <f>IF(OR('Brouillard ventes'!$F$104="",'Brouillard ventes'!$J$104="À crédit",'Brouillard ventes'!$J$104=""),"","REGL "&amp;LEFT('Brouillard ventes'!$D$104,25))</f>
        <v/>
      </c>
      <c r="F198" s="22">
        <f>IF(OR('Brouillard ventes'!$F$104="",'Brouillard ventes'!$J$104="À crédit",'Brouillard ventes'!$J$104=""),"",IF('Brouillard ventes'!$J$104="Espèces","04001","02001"))</f>
        <v/>
      </c>
      <c r="G198" s="22">
        <f>IF(OR('Brouillard ventes'!$F$104="",'Brouillard ventes'!$J$104="À crédit",'Brouillard ventes'!$J$104=""),"",IF('Brouillard ventes'!$J$104="Espèces","53000","51220"))</f>
        <v/>
      </c>
      <c r="H198" s="22" t="inlineStr"/>
      <c r="I198" s="22" t="inlineStr"/>
      <c r="J198" s="22" t="inlineStr"/>
      <c r="K198" s="22">
        <f>IF(OR('Brouillard ventes'!$F$104="",'Brouillard ventes'!$J$104="À crédit",'Brouillard ventes'!$J$104=""),"",Paramètres!$B$11)</f>
        <v/>
      </c>
      <c r="L198" s="23">
        <f>IF(OR('Brouillard ventes'!$F$104="",'Brouillard ventes'!$J$104="À crédit",'Brouillard ventes'!$J$104=""),0,'Brouillard ventes'!$I$104)</f>
        <v/>
      </c>
      <c r="M198" s="23" t="n">
        <v>0</v>
      </c>
    </row>
    <row r="199">
      <c r="A199" s="22" t="inlineStr">
        <is>
          <t>1</t>
        </is>
      </c>
      <c r="B199" s="22">
        <f>IF(OR('Brouillard ventes'!$F$104="",'Brouillard ventes'!$J$104="À crédit",'Brouillard ventes'!$J$104=""),"","EC"&amp;TEXT(ROW('Brouillard ventes'!$F$104)-5,"00000"))</f>
        <v/>
      </c>
      <c r="C199" s="22">
        <f>IF(OR('Brouillard ventes'!$F$104="",'Brouillard ventes'!$J$104="À crédit",'Brouillard ventes'!$J$104=""),"",YEAR('Brouillard ventes'!$A$104)*10000+MONTH('Brouillard ventes'!$A$104)*100+DAY('Brouillard ventes'!$A$104))</f>
        <v/>
      </c>
      <c r="D199" s="22">
        <f>IF(OR('Brouillard ventes'!$F$104="",'Brouillard ventes'!$J$104="À crédit",'Brouillard ventes'!$J$104=""),"",'Brouillard ventes'!$B$104)</f>
        <v/>
      </c>
      <c r="E199" s="22">
        <f>IF(OR('Brouillard ventes'!$F$104="",'Brouillard ventes'!$J$104="À crédit",'Brouillard ventes'!$J$104=""),"","REGL "&amp;LEFT('Brouillard ventes'!$D$104,25))</f>
        <v/>
      </c>
      <c r="F199" s="22">
        <f>IF(OR('Brouillard ventes'!$F$104="",'Brouillard ventes'!$J$104="À crédit",'Brouillard ventes'!$J$104=""),"",IF('Brouillard ventes'!$J$104="Espèces","04001","02001"))</f>
        <v/>
      </c>
      <c r="G199" s="22">
        <f>IF(OR('Brouillard ventes'!$F$104="",'Brouillard ventes'!$J$104="À crédit",'Brouillard ventes'!$J$104=""),"",Paramètres!$B$7)</f>
        <v/>
      </c>
      <c r="H199" s="22">
        <f>IF(OR('Brouillard ventes'!$F$104="",'Brouillard ventes'!$J$104="À crédit",'Brouillard ventes'!$J$104=""),"",IF('Brouillard ventes'!$C$104="","CD001",'Brouillard ventes'!$C$104))</f>
        <v/>
      </c>
      <c r="I199" s="22" t="inlineStr"/>
      <c r="J199" s="22" t="inlineStr"/>
      <c r="K199" s="22">
        <f>IF(OR('Brouillard ventes'!$F$104="",'Brouillard ventes'!$J$104="À crédit",'Brouillard ventes'!$J$104=""),"",Paramètres!$B$11)</f>
        <v/>
      </c>
      <c r="L199" s="23" t="n">
        <v>0</v>
      </c>
      <c r="M199" s="23">
        <f>IF(OR('Brouillard ventes'!$F$104="",'Brouillard ventes'!$J$104="À crédit",'Brouillard ventes'!$J$104=""),0,'Brouillard ventes'!$I$104)</f>
        <v/>
      </c>
    </row>
    <row r="200">
      <c r="A200" s="22" t="inlineStr">
        <is>
          <t>1</t>
        </is>
      </c>
      <c r="B200" s="22">
        <f>IF(OR('Brouillard ventes'!$F$105="",'Brouillard ventes'!$J$105="À crédit",'Brouillard ventes'!$J$105=""),"","EC"&amp;TEXT(ROW('Brouillard ventes'!$F$105)-5,"00000"))</f>
        <v/>
      </c>
      <c r="C200" s="22">
        <f>IF(OR('Brouillard ventes'!$F$105="",'Brouillard ventes'!$J$105="À crédit",'Brouillard ventes'!$J$105=""),"",YEAR('Brouillard ventes'!$A$105)*10000+MONTH('Brouillard ventes'!$A$105)*100+DAY('Brouillard ventes'!$A$105))</f>
        <v/>
      </c>
      <c r="D200" s="22">
        <f>IF(OR('Brouillard ventes'!$F$105="",'Brouillard ventes'!$J$105="À crédit",'Brouillard ventes'!$J$105=""),"",'Brouillard ventes'!$B$105)</f>
        <v/>
      </c>
      <c r="E200" s="22">
        <f>IF(OR('Brouillard ventes'!$F$105="",'Brouillard ventes'!$J$105="À crédit",'Brouillard ventes'!$J$105=""),"","REGL "&amp;LEFT('Brouillard ventes'!$D$105,25))</f>
        <v/>
      </c>
      <c r="F200" s="22">
        <f>IF(OR('Brouillard ventes'!$F$105="",'Brouillard ventes'!$J$105="À crédit",'Brouillard ventes'!$J$105=""),"",IF('Brouillard ventes'!$J$105="Espèces","04001","02001"))</f>
        <v/>
      </c>
      <c r="G200" s="22">
        <f>IF(OR('Brouillard ventes'!$F$105="",'Brouillard ventes'!$J$105="À crédit",'Brouillard ventes'!$J$105=""),"",IF('Brouillard ventes'!$J$105="Espèces","53000","51220"))</f>
        <v/>
      </c>
      <c r="H200" s="22" t="inlineStr"/>
      <c r="I200" s="22" t="inlineStr"/>
      <c r="J200" s="22" t="inlineStr"/>
      <c r="K200" s="22">
        <f>IF(OR('Brouillard ventes'!$F$105="",'Brouillard ventes'!$J$105="À crédit",'Brouillard ventes'!$J$105=""),"",Paramètres!$B$11)</f>
        <v/>
      </c>
      <c r="L200" s="23">
        <f>IF(OR('Brouillard ventes'!$F$105="",'Brouillard ventes'!$J$105="À crédit",'Brouillard ventes'!$J$105=""),0,'Brouillard ventes'!$I$105)</f>
        <v/>
      </c>
      <c r="M200" s="23" t="n">
        <v>0</v>
      </c>
    </row>
    <row r="201">
      <c r="A201" s="22" t="inlineStr">
        <is>
          <t>1</t>
        </is>
      </c>
      <c r="B201" s="22">
        <f>IF(OR('Brouillard ventes'!$F$105="",'Brouillard ventes'!$J$105="À crédit",'Brouillard ventes'!$J$105=""),"","EC"&amp;TEXT(ROW('Brouillard ventes'!$F$105)-5,"00000"))</f>
        <v/>
      </c>
      <c r="C201" s="22">
        <f>IF(OR('Brouillard ventes'!$F$105="",'Brouillard ventes'!$J$105="À crédit",'Brouillard ventes'!$J$105=""),"",YEAR('Brouillard ventes'!$A$105)*10000+MONTH('Brouillard ventes'!$A$105)*100+DAY('Brouillard ventes'!$A$105))</f>
        <v/>
      </c>
      <c r="D201" s="22">
        <f>IF(OR('Brouillard ventes'!$F$105="",'Brouillard ventes'!$J$105="À crédit",'Brouillard ventes'!$J$105=""),"",'Brouillard ventes'!$B$105)</f>
        <v/>
      </c>
      <c r="E201" s="22">
        <f>IF(OR('Brouillard ventes'!$F$105="",'Brouillard ventes'!$J$105="À crédit",'Brouillard ventes'!$J$105=""),"","REGL "&amp;LEFT('Brouillard ventes'!$D$105,25))</f>
        <v/>
      </c>
      <c r="F201" s="22">
        <f>IF(OR('Brouillard ventes'!$F$105="",'Brouillard ventes'!$J$105="À crédit",'Brouillard ventes'!$J$105=""),"",IF('Brouillard ventes'!$J$105="Espèces","04001","02001"))</f>
        <v/>
      </c>
      <c r="G201" s="22">
        <f>IF(OR('Brouillard ventes'!$F$105="",'Brouillard ventes'!$J$105="À crédit",'Brouillard ventes'!$J$105=""),"",Paramètres!$B$7)</f>
        <v/>
      </c>
      <c r="H201" s="22">
        <f>IF(OR('Brouillard ventes'!$F$105="",'Brouillard ventes'!$J$105="À crédit",'Brouillard ventes'!$J$105=""),"",IF('Brouillard ventes'!$C$105="","CD001",'Brouillard ventes'!$C$105))</f>
        <v/>
      </c>
      <c r="I201" s="22" t="inlineStr"/>
      <c r="J201" s="22" t="inlineStr"/>
      <c r="K201" s="22">
        <f>IF(OR('Brouillard ventes'!$F$105="",'Brouillard ventes'!$J$105="À crédit",'Brouillard ventes'!$J$105=""),"",Paramètres!$B$11)</f>
        <v/>
      </c>
      <c r="L201" s="23" t="n">
        <v>0</v>
      </c>
      <c r="M201" s="23">
        <f>IF(OR('Brouillard ventes'!$F$105="",'Brouillard ventes'!$J$105="À crédit",'Brouillard ventes'!$J$105=""),0,'Brouillard ventes'!$I$105)</f>
        <v/>
      </c>
    </row>
    <row r="202">
      <c r="A202" s="22" t="inlineStr">
        <is>
          <t>1</t>
        </is>
      </c>
      <c r="B202" s="22">
        <f>IF(OR('Brouillard ventes'!$F$106="",'Brouillard ventes'!$J$106="À crédit",'Brouillard ventes'!$J$106=""),"","EC"&amp;TEXT(ROW('Brouillard ventes'!$F$106)-5,"00000"))</f>
        <v/>
      </c>
      <c r="C202" s="22">
        <f>IF(OR('Brouillard ventes'!$F$106="",'Brouillard ventes'!$J$106="À crédit",'Brouillard ventes'!$J$106=""),"",YEAR('Brouillard ventes'!$A$106)*10000+MONTH('Brouillard ventes'!$A$106)*100+DAY('Brouillard ventes'!$A$106))</f>
        <v/>
      </c>
      <c r="D202" s="22">
        <f>IF(OR('Brouillard ventes'!$F$106="",'Brouillard ventes'!$J$106="À crédit",'Brouillard ventes'!$J$106=""),"",'Brouillard ventes'!$B$106)</f>
        <v/>
      </c>
      <c r="E202" s="22">
        <f>IF(OR('Brouillard ventes'!$F$106="",'Brouillard ventes'!$J$106="À crédit",'Brouillard ventes'!$J$106=""),"","REGL "&amp;LEFT('Brouillard ventes'!$D$106,25))</f>
        <v/>
      </c>
      <c r="F202" s="22">
        <f>IF(OR('Brouillard ventes'!$F$106="",'Brouillard ventes'!$J$106="À crédit",'Brouillard ventes'!$J$106=""),"",IF('Brouillard ventes'!$J$106="Espèces","04001","02001"))</f>
        <v/>
      </c>
      <c r="G202" s="22">
        <f>IF(OR('Brouillard ventes'!$F$106="",'Brouillard ventes'!$J$106="À crédit",'Brouillard ventes'!$J$106=""),"",IF('Brouillard ventes'!$J$106="Espèces","53000","51220"))</f>
        <v/>
      </c>
      <c r="H202" s="22" t="inlineStr"/>
      <c r="I202" s="22" t="inlineStr"/>
      <c r="J202" s="22" t="inlineStr"/>
      <c r="K202" s="22">
        <f>IF(OR('Brouillard ventes'!$F$106="",'Brouillard ventes'!$J$106="À crédit",'Brouillard ventes'!$J$106=""),"",Paramètres!$B$11)</f>
        <v/>
      </c>
      <c r="L202" s="23">
        <f>IF(OR('Brouillard ventes'!$F$106="",'Brouillard ventes'!$J$106="À crédit",'Brouillard ventes'!$J$106=""),0,'Brouillard ventes'!$I$106)</f>
        <v/>
      </c>
      <c r="M202" s="23" t="n">
        <v>0</v>
      </c>
    </row>
    <row r="203">
      <c r="A203" s="22" t="inlineStr">
        <is>
          <t>1</t>
        </is>
      </c>
      <c r="B203" s="22">
        <f>IF(OR('Brouillard ventes'!$F$106="",'Brouillard ventes'!$J$106="À crédit",'Brouillard ventes'!$J$106=""),"","EC"&amp;TEXT(ROW('Brouillard ventes'!$F$106)-5,"00000"))</f>
        <v/>
      </c>
      <c r="C203" s="22">
        <f>IF(OR('Brouillard ventes'!$F$106="",'Brouillard ventes'!$J$106="À crédit",'Brouillard ventes'!$J$106=""),"",YEAR('Brouillard ventes'!$A$106)*10000+MONTH('Brouillard ventes'!$A$106)*100+DAY('Brouillard ventes'!$A$106))</f>
        <v/>
      </c>
      <c r="D203" s="22">
        <f>IF(OR('Brouillard ventes'!$F$106="",'Brouillard ventes'!$J$106="À crédit",'Brouillard ventes'!$J$106=""),"",'Brouillard ventes'!$B$106)</f>
        <v/>
      </c>
      <c r="E203" s="22">
        <f>IF(OR('Brouillard ventes'!$F$106="",'Brouillard ventes'!$J$106="À crédit",'Brouillard ventes'!$J$106=""),"","REGL "&amp;LEFT('Brouillard ventes'!$D$106,25))</f>
        <v/>
      </c>
      <c r="F203" s="22">
        <f>IF(OR('Brouillard ventes'!$F$106="",'Brouillard ventes'!$J$106="À crédit",'Brouillard ventes'!$J$106=""),"",IF('Brouillard ventes'!$J$106="Espèces","04001","02001"))</f>
        <v/>
      </c>
      <c r="G203" s="22">
        <f>IF(OR('Brouillard ventes'!$F$106="",'Brouillard ventes'!$J$106="À crédit",'Brouillard ventes'!$J$106=""),"",Paramètres!$B$7)</f>
        <v/>
      </c>
      <c r="H203" s="22">
        <f>IF(OR('Brouillard ventes'!$F$106="",'Brouillard ventes'!$J$106="À crédit",'Brouillard ventes'!$J$106=""),"",IF('Brouillard ventes'!$C$106="","CD001",'Brouillard ventes'!$C$106))</f>
        <v/>
      </c>
      <c r="I203" s="22" t="inlineStr"/>
      <c r="J203" s="22" t="inlineStr"/>
      <c r="K203" s="22">
        <f>IF(OR('Brouillard ventes'!$F$106="",'Brouillard ventes'!$J$106="À crédit",'Brouillard ventes'!$J$106=""),"",Paramètres!$B$11)</f>
        <v/>
      </c>
      <c r="L203" s="23" t="n">
        <v>0</v>
      </c>
      <c r="M203" s="23">
        <f>IF(OR('Brouillard ventes'!$F$106="",'Brouillard ventes'!$J$106="À crédit",'Brouillard ventes'!$J$106=""),0,'Brouillard ventes'!$I$106)</f>
        <v/>
      </c>
    </row>
    <row r="204">
      <c r="A204" s="22" t="inlineStr">
        <is>
          <t>1</t>
        </is>
      </c>
      <c r="B204" s="22">
        <f>IF(OR('Brouillard ventes'!$F$107="",'Brouillard ventes'!$J$107="À crédit",'Brouillard ventes'!$J$107=""),"","EC"&amp;TEXT(ROW('Brouillard ventes'!$F$107)-5,"00000"))</f>
        <v/>
      </c>
      <c r="C204" s="22">
        <f>IF(OR('Brouillard ventes'!$F$107="",'Brouillard ventes'!$J$107="À crédit",'Brouillard ventes'!$J$107=""),"",YEAR('Brouillard ventes'!$A$107)*10000+MONTH('Brouillard ventes'!$A$107)*100+DAY('Brouillard ventes'!$A$107))</f>
        <v/>
      </c>
      <c r="D204" s="22">
        <f>IF(OR('Brouillard ventes'!$F$107="",'Brouillard ventes'!$J$107="À crédit",'Brouillard ventes'!$J$107=""),"",'Brouillard ventes'!$B$107)</f>
        <v/>
      </c>
      <c r="E204" s="22">
        <f>IF(OR('Brouillard ventes'!$F$107="",'Brouillard ventes'!$J$107="À crédit",'Brouillard ventes'!$J$107=""),"","REGL "&amp;LEFT('Brouillard ventes'!$D$107,25))</f>
        <v/>
      </c>
      <c r="F204" s="22">
        <f>IF(OR('Brouillard ventes'!$F$107="",'Brouillard ventes'!$J$107="À crédit",'Brouillard ventes'!$J$107=""),"",IF('Brouillard ventes'!$J$107="Espèces","04001","02001"))</f>
        <v/>
      </c>
      <c r="G204" s="22">
        <f>IF(OR('Brouillard ventes'!$F$107="",'Brouillard ventes'!$J$107="À crédit",'Brouillard ventes'!$J$107=""),"",IF('Brouillard ventes'!$J$107="Espèces","53000","51220"))</f>
        <v/>
      </c>
      <c r="H204" s="22" t="inlineStr"/>
      <c r="I204" s="22" t="inlineStr"/>
      <c r="J204" s="22" t="inlineStr"/>
      <c r="K204" s="22">
        <f>IF(OR('Brouillard ventes'!$F$107="",'Brouillard ventes'!$J$107="À crédit",'Brouillard ventes'!$J$107=""),"",Paramètres!$B$11)</f>
        <v/>
      </c>
      <c r="L204" s="23">
        <f>IF(OR('Brouillard ventes'!$F$107="",'Brouillard ventes'!$J$107="À crédit",'Brouillard ventes'!$J$107=""),0,'Brouillard ventes'!$I$107)</f>
        <v/>
      </c>
      <c r="M204" s="23" t="n">
        <v>0</v>
      </c>
    </row>
    <row r="205">
      <c r="A205" s="22" t="inlineStr">
        <is>
          <t>1</t>
        </is>
      </c>
      <c r="B205" s="22">
        <f>IF(OR('Brouillard ventes'!$F$107="",'Brouillard ventes'!$J$107="À crédit",'Brouillard ventes'!$J$107=""),"","EC"&amp;TEXT(ROW('Brouillard ventes'!$F$107)-5,"00000"))</f>
        <v/>
      </c>
      <c r="C205" s="22">
        <f>IF(OR('Brouillard ventes'!$F$107="",'Brouillard ventes'!$J$107="À crédit",'Brouillard ventes'!$J$107=""),"",YEAR('Brouillard ventes'!$A$107)*10000+MONTH('Brouillard ventes'!$A$107)*100+DAY('Brouillard ventes'!$A$107))</f>
        <v/>
      </c>
      <c r="D205" s="22">
        <f>IF(OR('Brouillard ventes'!$F$107="",'Brouillard ventes'!$J$107="À crédit",'Brouillard ventes'!$J$107=""),"",'Brouillard ventes'!$B$107)</f>
        <v/>
      </c>
      <c r="E205" s="22">
        <f>IF(OR('Brouillard ventes'!$F$107="",'Brouillard ventes'!$J$107="À crédit",'Brouillard ventes'!$J$107=""),"","REGL "&amp;LEFT('Brouillard ventes'!$D$107,25))</f>
        <v/>
      </c>
      <c r="F205" s="22">
        <f>IF(OR('Brouillard ventes'!$F$107="",'Brouillard ventes'!$J$107="À crédit",'Brouillard ventes'!$J$107=""),"",IF('Brouillard ventes'!$J$107="Espèces","04001","02001"))</f>
        <v/>
      </c>
      <c r="G205" s="22">
        <f>IF(OR('Brouillard ventes'!$F$107="",'Brouillard ventes'!$J$107="À crédit",'Brouillard ventes'!$J$107=""),"",Paramètres!$B$7)</f>
        <v/>
      </c>
      <c r="H205" s="22">
        <f>IF(OR('Brouillard ventes'!$F$107="",'Brouillard ventes'!$J$107="À crédit",'Brouillard ventes'!$J$107=""),"",IF('Brouillard ventes'!$C$107="","CD001",'Brouillard ventes'!$C$107))</f>
        <v/>
      </c>
      <c r="I205" s="22" t="inlineStr"/>
      <c r="J205" s="22" t="inlineStr"/>
      <c r="K205" s="22">
        <f>IF(OR('Brouillard ventes'!$F$107="",'Brouillard ventes'!$J$107="À crédit",'Brouillard ventes'!$J$107=""),"",Paramètres!$B$11)</f>
        <v/>
      </c>
      <c r="L205" s="23" t="n">
        <v>0</v>
      </c>
      <c r="M205" s="23">
        <f>IF(OR('Brouillard ventes'!$F$107="",'Brouillard ventes'!$J$107="À crédit",'Brouillard ventes'!$J$107=""),0,'Brouillard ventes'!$I$107)</f>
        <v/>
      </c>
    </row>
    <row r="206">
      <c r="A206" s="22" t="inlineStr">
        <is>
          <t>1</t>
        </is>
      </c>
      <c r="B206" s="22">
        <f>IF(OR('Brouillard ventes'!$F$108="",'Brouillard ventes'!$J$108="À crédit",'Brouillard ventes'!$J$108=""),"","EC"&amp;TEXT(ROW('Brouillard ventes'!$F$108)-5,"00000"))</f>
        <v/>
      </c>
      <c r="C206" s="22">
        <f>IF(OR('Brouillard ventes'!$F$108="",'Brouillard ventes'!$J$108="À crédit",'Brouillard ventes'!$J$108=""),"",YEAR('Brouillard ventes'!$A$108)*10000+MONTH('Brouillard ventes'!$A$108)*100+DAY('Brouillard ventes'!$A$108))</f>
        <v/>
      </c>
      <c r="D206" s="22">
        <f>IF(OR('Brouillard ventes'!$F$108="",'Brouillard ventes'!$J$108="À crédit",'Brouillard ventes'!$J$108=""),"",'Brouillard ventes'!$B$108)</f>
        <v/>
      </c>
      <c r="E206" s="22">
        <f>IF(OR('Brouillard ventes'!$F$108="",'Brouillard ventes'!$J$108="À crédit",'Brouillard ventes'!$J$108=""),"","REGL "&amp;LEFT('Brouillard ventes'!$D$108,25))</f>
        <v/>
      </c>
      <c r="F206" s="22">
        <f>IF(OR('Brouillard ventes'!$F$108="",'Brouillard ventes'!$J$108="À crédit",'Brouillard ventes'!$J$108=""),"",IF('Brouillard ventes'!$J$108="Espèces","04001","02001"))</f>
        <v/>
      </c>
      <c r="G206" s="22">
        <f>IF(OR('Brouillard ventes'!$F$108="",'Brouillard ventes'!$J$108="À crédit",'Brouillard ventes'!$J$108=""),"",IF('Brouillard ventes'!$J$108="Espèces","53000","51220"))</f>
        <v/>
      </c>
      <c r="H206" s="22" t="inlineStr"/>
      <c r="I206" s="22" t="inlineStr"/>
      <c r="J206" s="22" t="inlineStr"/>
      <c r="K206" s="22">
        <f>IF(OR('Brouillard ventes'!$F$108="",'Brouillard ventes'!$J$108="À crédit",'Brouillard ventes'!$J$108=""),"",Paramètres!$B$11)</f>
        <v/>
      </c>
      <c r="L206" s="23">
        <f>IF(OR('Brouillard ventes'!$F$108="",'Brouillard ventes'!$J$108="À crédit",'Brouillard ventes'!$J$108=""),0,'Brouillard ventes'!$I$108)</f>
        <v/>
      </c>
      <c r="M206" s="23" t="n">
        <v>0</v>
      </c>
    </row>
    <row r="207">
      <c r="A207" s="22" t="inlineStr">
        <is>
          <t>1</t>
        </is>
      </c>
      <c r="B207" s="22">
        <f>IF(OR('Brouillard ventes'!$F$108="",'Brouillard ventes'!$J$108="À crédit",'Brouillard ventes'!$J$108=""),"","EC"&amp;TEXT(ROW('Brouillard ventes'!$F$108)-5,"00000"))</f>
        <v/>
      </c>
      <c r="C207" s="22">
        <f>IF(OR('Brouillard ventes'!$F$108="",'Brouillard ventes'!$J$108="À crédit",'Brouillard ventes'!$J$108=""),"",YEAR('Brouillard ventes'!$A$108)*10000+MONTH('Brouillard ventes'!$A$108)*100+DAY('Brouillard ventes'!$A$108))</f>
        <v/>
      </c>
      <c r="D207" s="22">
        <f>IF(OR('Brouillard ventes'!$F$108="",'Brouillard ventes'!$J$108="À crédit",'Brouillard ventes'!$J$108=""),"",'Brouillard ventes'!$B$108)</f>
        <v/>
      </c>
      <c r="E207" s="22">
        <f>IF(OR('Brouillard ventes'!$F$108="",'Brouillard ventes'!$J$108="À crédit",'Brouillard ventes'!$J$108=""),"","REGL "&amp;LEFT('Brouillard ventes'!$D$108,25))</f>
        <v/>
      </c>
      <c r="F207" s="22">
        <f>IF(OR('Brouillard ventes'!$F$108="",'Brouillard ventes'!$J$108="À crédit",'Brouillard ventes'!$J$108=""),"",IF('Brouillard ventes'!$J$108="Espèces","04001","02001"))</f>
        <v/>
      </c>
      <c r="G207" s="22">
        <f>IF(OR('Brouillard ventes'!$F$108="",'Brouillard ventes'!$J$108="À crédit",'Brouillard ventes'!$J$108=""),"",Paramètres!$B$7)</f>
        <v/>
      </c>
      <c r="H207" s="22">
        <f>IF(OR('Brouillard ventes'!$F$108="",'Brouillard ventes'!$J$108="À crédit",'Brouillard ventes'!$J$108=""),"",IF('Brouillard ventes'!$C$108="","CD001",'Brouillard ventes'!$C$108))</f>
        <v/>
      </c>
      <c r="I207" s="22" t="inlineStr"/>
      <c r="J207" s="22" t="inlineStr"/>
      <c r="K207" s="22">
        <f>IF(OR('Brouillard ventes'!$F$108="",'Brouillard ventes'!$J$108="À crédit",'Brouillard ventes'!$J$108=""),"",Paramètres!$B$11)</f>
        <v/>
      </c>
      <c r="L207" s="23" t="n">
        <v>0</v>
      </c>
      <c r="M207" s="23">
        <f>IF(OR('Brouillard ventes'!$F$108="",'Brouillard ventes'!$J$108="À crédit",'Brouillard ventes'!$J$108=""),0,'Brouillard ventes'!$I$108)</f>
        <v/>
      </c>
    </row>
    <row r="208">
      <c r="A208" s="22" t="inlineStr">
        <is>
          <t>1</t>
        </is>
      </c>
      <c r="B208" s="22">
        <f>IF(OR('Brouillard ventes'!$F$109="",'Brouillard ventes'!$J$109="À crédit",'Brouillard ventes'!$J$109=""),"","EC"&amp;TEXT(ROW('Brouillard ventes'!$F$109)-5,"00000"))</f>
        <v/>
      </c>
      <c r="C208" s="22">
        <f>IF(OR('Brouillard ventes'!$F$109="",'Brouillard ventes'!$J$109="À crédit",'Brouillard ventes'!$J$109=""),"",YEAR('Brouillard ventes'!$A$109)*10000+MONTH('Brouillard ventes'!$A$109)*100+DAY('Brouillard ventes'!$A$109))</f>
        <v/>
      </c>
      <c r="D208" s="22">
        <f>IF(OR('Brouillard ventes'!$F$109="",'Brouillard ventes'!$J$109="À crédit",'Brouillard ventes'!$J$109=""),"",'Brouillard ventes'!$B$109)</f>
        <v/>
      </c>
      <c r="E208" s="22">
        <f>IF(OR('Brouillard ventes'!$F$109="",'Brouillard ventes'!$J$109="À crédit",'Brouillard ventes'!$J$109=""),"","REGL "&amp;LEFT('Brouillard ventes'!$D$109,25))</f>
        <v/>
      </c>
      <c r="F208" s="22">
        <f>IF(OR('Brouillard ventes'!$F$109="",'Brouillard ventes'!$J$109="À crédit",'Brouillard ventes'!$J$109=""),"",IF('Brouillard ventes'!$J$109="Espèces","04001","02001"))</f>
        <v/>
      </c>
      <c r="G208" s="22">
        <f>IF(OR('Brouillard ventes'!$F$109="",'Brouillard ventes'!$J$109="À crédit",'Brouillard ventes'!$J$109=""),"",IF('Brouillard ventes'!$J$109="Espèces","53000","51220"))</f>
        <v/>
      </c>
      <c r="H208" s="22" t="inlineStr"/>
      <c r="I208" s="22" t="inlineStr"/>
      <c r="J208" s="22" t="inlineStr"/>
      <c r="K208" s="22">
        <f>IF(OR('Brouillard ventes'!$F$109="",'Brouillard ventes'!$J$109="À crédit",'Brouillard ventes'!$J$109=""),"",Paramètres!$B$11)</f>
        <v/>
      </c>
      <c r="L208" s="23">
        <f>IF(OR('Brouillard ventes'!$F$109="",'Brouillard ventes'!$J$109="À crédit",'Brouillard ventes'!$J$109=""),0,'Brouillard ventes'!$I$109)</f>
        <v/>
      </c>
      <c r="M208" s="23" t="n">
        <v>0</v>
      </c>
    </row>
    <row r="209">
      <c r="A209" s="22" t="inlineStr">
        <is>
          <t>1</t>
        </is>
      </c>
      <c r="B209" s="22">
        <f>IF(OR('Brouillard ventes'!$F$109="",'Brouillard ventes'!$J$109="À crédit",'Brouillard ventes'!$J$109=""),"","EC"&amp;TEXT(ROW('Brouillard ventes'!$F$109)-5,"00000"))</f>
        <v/>
      </c>
      <c r="C209" s="22">
        <f>IF(OR('Brouillard ventes'!$F$109="",'Brouillard ventes'!$J$109="À crédit",'Brouillard ventes'!$J$109=""),"",YEAR('Brouillard ventes'!$A$109)*10000+MONTH('Brouillard ventes'!$A$109)*100+DAY('Brouillard ventes'!$A$109))</f>
        <v/>
      </c>
      <c r="D209" s="22">
        <f>IF(OR('Brouillard ventes'!$F$109="",'Brouillard ventes'!$J$109="À crédit",'Brouillard ventes'!$J$109=""),"",'Brouillard ventes'!$B$109)</f>
        <v/>
      </c>
      <c r="E209" s="22">
        <f>IF(OR('Brouillard ventes'!$F$109="",'Brouillard ventes'!$J$109="À crédit",'Brouillard ventes'!$J$109=""),"","REGL "&amp;LEFT('Brouillard ventes'!$D$109,25))</f>
        <v/>
      </c>
      <c r="F209" s="22">
        <f>IF(OR('Brouillard ventes'!$F$109="",'Brouillard ventes'!$J$109="À crédit",'Brouillard ventes'!$J$109=""),"",IF('Brouillard ventes'!$J$109="Espèces","04001","02001"))</f>
        <v/>
      </c>
      <c r="G209" s="22">
        <f>IF(OR('Brouillard ventes'!$F$109="",'Brouillard ventes'!$J$109="À crédit",'Brouillard ventes'!$J$109=""),"",Paramètres!$B$7)</f>
        <v/>
      </c>
      <c r="H209" s="22">
        <f>IF(OR('Brouillard ventes'!$F$109="",'Brouillard ventes'!$J$109="À crédit",'Brouillard ventes'!$J$109=""),"",IF('Brouillard ventes'!$C$109="","CD001",'Brouillard ventes'!$C$109))</f>
        <v/>
      </c>
      <c r="I209" s="22" t="inlineStr"/>
      <c r="J209" s="22" t="inlineStr"/>
      <c r="K209" s="22">
        <f>IF(OR('Brouillard ventes'!$F$109="",'Brouillard ventes'!$J$109="À crédit",'Brouillard ventes'!$J$109=""),"",Paramètres!$B$11)</f>
        <v/>
      </c>
      <c r="L209" s="23" t="n">
        <v>0</v>
      </c>
      <c r="M209" s="23">
        <f>IF(OR('Brouillard ventes'!$F$109="",'Brouillard ventes'!$J$109="À crédit",'Brouillard ventes'!$J$109=""),0,'Brouillard ventes'!$I$109)</f>
        <v/>
      </c>
    </row>
    <row r="210">
      <c r="A210" s="22" t="inlineStr">
        <is>
          <t>1</t>
        </is>
      </c>
      <c r="B210" s="22">
        <f>IF(OR('Brouillard ventes'!$F$110="",'Brouillard ventes'!$J$110="À crédit",'Brouillard ventes'!$J$110=""),"","EC"&amp;TEXT(ROW('Brouillard ventes'!$F$110)-5,"00000"))</f>
        <v/>
      </c>
      <c r="C210" s="22">
        <f>IF(OR('Brouillard ventes'!$F$110="",'Brouillard ventes'!$J$110="À crédit",'Brouillard ventes'!$J$110=""),"",YEAR('Brouillard ventes'!$A$110)*10000+MONTH('Brouillard ventes'!$A$110)*100+DAY('Brouillard ventes'!$A$110))</f>
        <v/>
      </c>
      <c r="D210" s="22">
        <f>IF(OR('Brouillard ventes'!$F$110="",'Brouillard ventes'!$J$110="À crédit",'Brouillard ventes'!$J$110=""),"",'Brouillard ventes'!$B$110)</f>
        <v/>
      </c>
      <c r="E210" s="22">
        <f>IF(OR('Brouillard ventes'!$F$110="",'Brouillard ventes'!$J$110="À crédit",'Brouillard ventes'!$J$110=""),"","REGL "&amp;LEFT('Brouillard ventes'!$D$110,25))</f>
        <v/>
      </c>
      <c r="F210" s="22">
        <f>IF(OR('Brouillard ventes'!$F$110="",'Brouillard ventes'!$J$110="À crédit",'Brouillard ventes'!$J$110=""),"",IF('Brouillard ventes'!$J$110="Espèces","04001","02001"))</f>
        <v/>
      </c>
      <c r="G210" s="22">
        <f>IF(OR('Brouillard ventes'!$F$110="",'Brouillard ventes'!$J$110="À crédit",'Brouillard ventes'!$J$110=""),"",IF('Brouillard ventes'!$J$110="Espèces","53000","51220"))</f>
        <v/>
      </c>
      <c r="H210" s="22" t="inlineStr"/>
      <c r="I210" s="22" t="inlineStr"/>
      <c r="J210" s="22" t="inlineStr"/>
      <c r="K210" s="22">
        <f>IF(OR('Brouillard ventes'!$F$110="",'Brouillard ventes'!$J$110="À crédit",'Brouillard ventes'!$J$110=""),"",Paramètres!$B$11)</f>
        <v/>
      </c>
      <c r="L210" s="23">
        <f>IF(OR('Brouillard ventes'!$F$110="",'Brouillard ventes'!$J$110="À crédit",'Brouillard ventes'!$J$110=""),0,'Brouillard ventes'!$I$110)</f>
        <v/>
      </c>
      <c r="M210" s="23" t="n">
        <v>0</v>
      </c>
    </row>
    <row r="211">
      <c r="A211" s="22" t="inlineStr">
        <is>
          <t>1</t>
        </is>
      </c>
      <c r="B211" s="22">
        <f>IF(OR('Brouillard ventes'!$F$110="",'Brouillard ventes'!$J$110="À crédit",'Brouillard ventes'!$J$110=""),"","EC"&amp;TEXT(ROW('Brouillard ventes'!$F$110)-5,"00000"))</f>
        <v/>
      </c>
      <c r="C211" s="22">
        <f>IF(OR('Brouillard ventes'!$F$110="",'Brouillard ventes'!$J$110="À crédit",'Brouillard ventes'!$J$110=""),"",YEAR('Brouillard ventes'!$A$110)*10000+MONTH('Brouillard ventes'!$A$110)*100+DAY('Brouillard ventes'!$A$110))</f>
        <v/>
      </c>
      <c r="D211" s="22">
        <f>IF(OR('Brouillard ventes'!$F$110="",'Brouillard ventes'!$J$110="À crédit",'Brouillard ventes'!$J$110=""),"",'Brouillard ventes'!$B$110)</f>
        <v/>
      </c>
      <c r="E211" s="22">
        <f>IF(OR('Brouillard ventes'!$F$110="",'Brouillard ventes'!$J$110="À crédit",'Brouillard ventes'!$J$110=""),"","REGL "&amp;LEFT('Brouillard ventes'!$D$110,25))</f>
        <v/>
      </c>
      <c r="F211" s="22">
        <f>IF(OR('Brouillard ventes'!$F$110="",'Brouillard ventes'!$J$110="À crédit",'Brouillard ventes'!$J$110=""),"",IF('Brouillard ventes'!$J$110="Espèces","04001","02001"))</f>
        <v/>
      </c>
      <c r="G211" s="22">
        <f>IF(OR('Brouillard ventes'!$F$110="",'Brouillard ventes'!$J$110="À crédit",'Brouillard ventes'!$J$110=""),"",Paramètres!$B$7)</f>
        <v/>
      </c>
      <c r="H211" s="22">
        <f>IF(OR('Brouillard ventes'!$F$110="",'Brouillard ventes'!$J$110="À crédit",'Brouillard ventes'!$J$110=""),"",IF('Brouillard ventes'!$C$110="","CD001",'Brouillard ventes'!$C$110))</f>
        <v/>
      </c>
      <c r="I211" s="22" t="inlineStr"/>
      <c r="J211" s="22" t="inlineStr"/>
      <c r="K211" s="22">
        <f>IF(OR('Brouillard ventes'!$F$110="",'Brouillard ventes'!$J$110="À crédit",'Brouillard ventes'!$J$110=""),"",Paramètres!$B$11)</f>
        <v/>
      </c>
      <c r="L211" s="23" t="n">
        <v>0</v>
      </c>
      <c r="M211" s="23">
        <f>IF(OR('Brouillard ventes'!$F$110="",'Brouillard ventes'!$J$110="À crédit",'Brouillard ventes'!$J$110=""),0,'Brouillard ventes'!$I$110)</f>
        <v/>
      </c>
    </row>
    <row r="212">
      <c r="A212" s="22" t="inlineStr">
        <is>
          <t>1</t>
        </is>
      </c>
      <c r="B212" s="22">
        <f>IF(OR('Brouillard ventes'!$F$111="",'Brouillard ventes'!$J$111="À crédit",'Brouillard ventes'!$J$111=""),"","EC"&amp;TEXT(ROW('Brouillard ventes'!$F$111)-5,"00000"))</f>
        <v/>
      </c>
      <c r="C212" s="22">
        <f>IF(OR('Brouillard ventes'!$F$111="",'Brouillard ventes'!$J$111="À crédit",'Brouillard ventes'!$J$111=""),"",YEAR('Brouillard ventes'!$A$111)*10000+MONTH('Brouillard ventes'!$A$111)*100+DAY('Brouillard ventes'!$A$111))</f>
        <v/>
      </c>
      <c r="D212" s="22">
        <f>IF(OR('Brouillard ventes'!$F$111="",'Brouillard ventes'!$J$111="À crédit",'Brouillard ventes'!$J$111=""),"",'Brouillard ventes'!$B$111)</f>
        <v/>
      </c>
      <c r="E212" s="22">
        <f>IF(OR('Brouillard ventes'!$F$111="",'Brouillard ventes'!$J$111="À crédit",'Brouillard ventes'!$J$111=""),"","REGL "&amp;LEFT('Brouillard ventes'!$D$111,25))</f>
        <v/>
      </c>
      <c r="F212" s="22">
        <f>IF(OR('Brouillard ventes'!$F$111="",'Brouillard ventes'!$J$111="À crédit",'Brouillard ventes'!$J$111=""),"",IF('Brouillard ventes'!$J$111="Espèces","04001","02001"))</f>
        <v/>
      </c>
      <c r="G212" s="22">
        <f>IF(OR('Brouillard ventes'!$F$111="",'Brouillard ventes'!$J$111="À crédit",'Brouillard ventes'!$J$111=""),"",IF('Brouillard ventes'!$J$111="Espèces","53000","51220"))</f>
        <v/>
      </c>
      <c r="H212" s="22" t="inlineStr"/>
      <c r="I212" s="22" t="inlineStr"/>
      <c r="J212" s="22" t="inlineStr"/>
      <c r="K212" s="22">
        <f>IF(OR('Brouillard ventes'!$F$111="",'Brouillard ventes'!$J$111="À crédit",'Brouillard ventes'!$J$111=""),"",Paramètres!$B$11)</f>
        <v/>
      </c>
      <c r="L212" s="23">
        <f>IF(OR('Brouillard ventes'!$F$111="",'Brouillard ventes'!$J$111="À crédit",'Brouillard ventes'!$J$111=""),0,'Brouillard ventes'!$I$111)</f>
        <v/>
      </c>
      <c r="M212" s="23" t="n">
        <v>0</v>
      </c>
    </row>
    <row r="213">
      <c r="A213" s="22" t="inlineStr">
        <is>
          <t>1</t>
        </is>
      </c>
      <c r="B213" s="22">
        <f>IF(OR('Brouillard ventes'!$F$111="",'Brouillard ventes'!$J$111="À crédit",'Brouillard ventes'!$J$111=""),"","EC"&amp;TEXT(ROW('Brouillard ventes'!$F$111)-5,"00000"))</f>
        <v/>
      </c>
      <c r="C213" s="22">
        <f>IF(OR('Brouillard ventes'!$F$111="",'Brouillard ventes'!$J$111="À crédit",'Brouillard ventes'!$J$111=""),"",YEAR('Brouillard ventes'!$A$111)*10000+MONTH('Brouillard ventes'!$A$111)*100+DAY('Brouillard ventes'!$A$111))</f>
        <v/>
      </c>
      <c r="D213" s="22">
        <f>IF(OR('Brouillard ventes'!$F$111="",'Brouillard ventes'!$J$111="À crédit",'Brouillard ventes'!$J$111=""),"",'Brouillard ventes'!$B$111)</f>
        <v/>
      </c>
      <c r="E213" s="22">
        <f>IF(OR('Brouillard ventes'!$F$111="",'Brouillard ventes'!$J$111="À crédit",'Brouillard ventes'!$J$111=""),"","REGL "&amp;LEFT('Brouillard ventes'!$D$111,25))</f>
        <v/>
      </c>
      <c r="F213" s="22">
        <f>IF(OR('Brouillard ventes'!$F$111="",'Brouillard ventes'!$J$111="À crédit",'Brouillard ventes'!$J$111=""),"",IF('Brouillard ventes'!$J$111="Espèces","04001","02001"))</f>
        <v/>
      </c>
      <c r="G213" s="22">
        <f>IF(OR('Brouillard ventes'!$F$111="",'Brouillard ventes'!$J$111="À crédit",'Brouillard ventes'!$J$111=""),"",Paramètres!$B$7)</f>
        <v/>
      </c>
      <c r="H213" s="22">
        <f>IF(OR('Brouillard ventes'!$F$111="",'Brouillard ventes'!$J$111="À crédit",'Brouillard ventes'!$J$111=""),"",IF('Brouillard ventes'!$C$111="","CD001",'Brouillard ventes'!$C$111))</f>
        <v/>
      </c>
      <c r="I213" s="22" t="inlineStr"/>
      <c r="J213" s="22" t="inlineStr"/>
      <c r="K213" s="22">
        <f>IF(OR('Brouillard ventes'!$F$111="",'Brouillard ventes'!$J$111="À crédit",'Brouillard ventes'!$J$111=""),"",Paramètres!$B$11)</f>
        <v/>
      </c>
      <c r="L213" s="23" t="n">
        <v>0</v>
      </c>
      <c r="M213" s="23">
        <f>IF(OR('Brouillard ventes'!$F$111="",'Brouillard ventes'!$J$111="À crédit",'Brouillard ventes'!$J$111=""),0,'Brouillard ventes'!$I$111)</f>
        <v/>
      </c>
    </row>
    <row r="214">
      <c r="A214" s="22" t="inlineStr">
        <is>
          <t>1</t>
        </is>
      </c>
      <c r="B214" s="22">
        <f>IF(OR('Brouillard ventes'!$F$112="",'Brouillard ventes'!$J$112="À crédit",'Brouillard ventes'!$J$112=""),"","EC"&amp;TEXT(ROW('Brouillard ventes'!$F$112)-5,"00000"))</f>
        <v/>
      </c>
      <c r="C214" s="22">
        <f>IF(OR('Brouillard ventes'!$F$112="",'Brouillard ventes'!$J$112="À crédit",'Brouillard ventes'!$J$112=""),"",YEAR('Brouillard ventes'!$A$112)*10000+MONTH('Brouillard ventes'!$A$112)*100+DAY('Brouillard ventes'!$A$112))</f>
        <v/>
      </c>
      <c r="D214" s="22">
        <f>IF(OR('Brouillard ventes'!$F$112="",'Brouillard ventes'!$J$112="À crédit",'Brouillard ventes'!$J$112=""),"",'Brouillard ventes'!$B$112)</f>
        <v/>
      </c>
      <c r="E214" s="22">
        <f>IF(OR('Brouillard ventes'!$F$112="",'Brouillard ventes'!$J$112="À crédit",'Brouillard ventes'!$J$112=""),"","REGL "&amp;LEFT('Brouillard ventes'!$D$112,25))</f>
        <v/>
      </c>
      <c r="F214" s="22">
        <f>IF(OR('Brouillard ventes'!$F$112="",'Brouillard ventes'!$J$112="À crédit",'Brouillard ventes'!$J$112=""),"",IF('Brouillard ventes'!$J$112="Espèces","04001","02001"))</f>
        <v/>
      </c>
      <c r="G214" s="22">
        <f>IF(OR('Brouillard ventes'!$F$112="",'Brouillard ventes'!$J$112="À crédit",'Brouillard ventes'!$J$112=""),"",IF('Brouillard ventes'!$J$112="Espèces","53000","51220"))</f>
        <v/>
      </c>
      <c r="H214" s="22" t="inlineStr"/>
      <c r="I214" s="22" t="inlineStr"/>
      <c r="J214" s="22" t="inlineStr"/>
      <c r="K214" s="22">
        <f>IF(OR('Brouillard ventes'!$F$112="",'Brouillard ventes'!$J$112="À crédit",'Brouillard ventes'!$J$112=""),"",Paramètres!$B$11)</f>
        <v/>
      </c>
      <c r="L214" s="23">
        <f>IF(OR('Brouillard ventes'!$F$112="",'Brouillard ventes'!$J$112="À crédit",'Brouillard ventes'!$J$112=""),0,'Brouillard ventes'!$I$112)</f>
        <v/>
      </c>
      <c r="M214" s="23" t="n">
        <v>0</v>
      </c>
    </row>
    <row r="215">
      <c r="A215" s="22" t="inlineStr">
        <is>
          <t>1</t>
        </is>
      </c>
      <c r="B215" s="22">
        <f>IF(OR('Brouillard ventes'!$F$112="",'Brouillard ventes'!$J$112="À crédit",'Brouillard ventes'!$J$112=""),"","EC"&amp;TEXT(ROW('Brouillard ventes'!$F$112)-5,"00000"))</f>
        <v/>
      </c>
      <c r="C215" s="22">
        <f>IF(OR('Brouillard ventes'!$F$112="",'Brouillard ventes'!$J$112="À crédit",'Brouillard ventes'!$J$112=""),"",YEAR('Brouillard ventes'!$A$112)*10000+MONTH('Brouillard ventes'!$A$112)*100+DAY('Brouillard ventes'!$A$112))</f>
        <v/>
      </c>
      <c r="D215" s="22">
        <f>IF(OR('Brouillard ventes'!$F$112="",'Brouillard ventes'!$J$112="À crédit",'Brouillard ventes'!$J$112=""),"",'Brouillard ventes'!$B$112)</f>
        <v/>
      </c>
      <c r="E215" s="22">
        <f>IF(OR('Brouillard ventes'!$F$112="",'Brouillard ventes'!$J$112="À crédit",'Brouillard ventes'!$J$112=""),"","REGL "&amp;LEFT('Brouillard ventes'!$D$112,25))</f>
        <v/>
      </c>
      <c r="F215" s="22">
        <f>IF(OR('Brouillard ventes'!$F$112="",'Brouillard ventes'!$J$112="À crédit",'Brouillard ventes'!$J$112=""),"",IF('Brouillard ventes'!$J$112="Espèces","04001","02001"))</f>
        <v/>
      </c>
      <c r="G215" s="22">
        <f>IF(OR('Brouillard ventes'!$F$112="",'Brouillard ventes'!$J$112="À crédit",'Brouillard ventes'!$J$112=""),"",Paramètres!$B$7)</f>
        <v/>
      </c>
      <c r="H215" s="22">
        <f>IF(OR('Brouillard ventes'!$F$112="",'Brouillard ventes'!$J$112="À crédit",'Brouillard ventes'!$J$112=""),"",IF('Brouillard ventes'!$C$112="","CD001",'Brouillard ventes'!$C$112))</f>
        <v/>
      </c>
      <c r="I215" s="22" t="inlineStr"/>
      <c r="J215" s="22" t="inlineStr"/>
      <c r="K215" s="22">
        <f>IF(OR('Brouillard ventes'!$F$112="",'Brouillard ventes'!$J$112="À crédit",'Brouillard ventes'!$J$112=""),"",Paramètres!$B$11)</f>
        <v/>
      </c>
      <c r="L215" s="23" t="n">
        <v>0</v>
      </c>
      <c r="M215" s="23">
        <f>IF(OR('Brouillard ventes'!$F$112="",'Brouillard ventes'!$J$112="À crédit",'Brouillard ventes'!$J$112=""),0,'Brouillard ventes'!$I$112)</f>
        <v/>
      </c>
    </row>
    <row r="216">
      <c r="A216" s="22" t="inlineStr">
        <is>
          <t>1</t>
        </is>
      </c>
      <c r="B216" s="22">
        <f>IF(OR('Brouillard ventes'!$F$113="",'Brouillard ventes'!$J$113="À crédit",'Brouillard ventes'!$J$113=""),"","EC"&amp;TEXT(ROW('Brouillard ventes'!$F$113)-5,"00000"))</f>
        <v/>
      </c>
      <c r="C216" s="22">
        <f>IF(OR('Brouillard ventes'!$F$113="",'Brouillard ventes'!$J$113="À crédit",'Brouillard ventes'!$J$113=""),"",YEAR('Brouillard ventes'!$A$113)*10000+MONTH('Brouillard ventes'!$A$113)*100+DAY('Brouillard ventes'!$A$113))</f>
        <v/>
      </c>
      <c r="D216" s="22">
        <f>IF(OR('Brouillard ventes'!$F$113="",'Brouillard ventes'!$J$113="À crédit",'Brouillard ventes'!$J$113=""),"",'Brouillard ventes'!$B$113)</f>
        <v/>
      </c>
      <c r="E216" s="22">
        <f>IF(OR('Brouillard ventes'!$F$113="",'Brouillard ventes'!$J$113="À crédit",'Brouillard ventes'!$J$113=""),"","REGL "&amp;LEFT('Brouillard ventes'!$D$113,25))</f>
        <v/>
      </c>
      <c r="F216" s="22">
        <f>IF(OR('Brouillard ventes'!$F$113="",'Brouillard ventes'!$J$113="À crédit",'Brouillard ventes'!$J$113=""),"",IF('Brouillard ventes'!$J$113="Espèces","04001","02001"))</f>
        <v/>
      </c>
      <c r="G216" s="22">
        <f>IF(OR('Brouillard ventes'!$F$113="",'Brouillard ventes'!$J$113="À crédit",'Brouillard ventes'!$J$113=""),"",IF('Brouillard ventes'!$J$113="Espèces","53000","51220"))</f>
        <v/>
      </c>
      <c r="H216" s="22" t="inlineStr"/>
      <c r="I216" s="22" t="inlineStr"/>
      <c r="J216" s="22" t="inlineStr"/>
      <c r="K216" s="22">
        <f>IF(OR('Brouillard ventes'!$F$113="",'Brouillard ventes'!$J$113="À crédit",'Brouillard ventes'!$J$113=""),"",Paramètres!$B$11)</f>
        <v/>
      </c>
      <c r="L216" s="23">
        <f>IF(OR('Brouillard ventes'!$F$113="",'Brouillard ventes'!$J$113="À crédit",'Brouillard ventes'!$J$113=""),0,'Brouillard ventes'!$I$113)</f>
        <v/>
      </c>
      <c r="M216" s="23" t="n">
        <v>0</v>
      </c>
    </row>
    <row r="217">
      <c r="A217" s="22" t="inlineStr">
        <is>
          <t>1</t>
        </is>
      </c>
      <c r="B217" s="22">
        <f>IF(OR('Brouillard ventes'!$F$113="",'Brouillard ventes'!$J$113="À crédit",'Brouillard ventes'!$J$113=""),"","EC"&amp;TEXT(ROW('Brouillard ventes'!$F$113)-5,"00000"))</f>
        <v/>
      </c>
      <c r="C217" s="22">
        <f>IF(OR('Brouillard ventes'!$F$113="",'Brouillard ventes'!$J$113="À crédit",'Brouillard ventes'!$J$113=""),"",YEAR('Brouillard ventes'!$A$113)*10000+MONTH('Brouillard ventes'!$A$113)*100+DAY('Brouillard ventes'!$A$113))</f>
        <v/>
      </c>
      <c r="D217" s="22">
        <f>IF(OR('Brouillard ventes'!$F$113="",'Brouillard ventes'!$J$113="À crédit",'Brouillard ventes'!$J$113=""),"",'Brouillard ventes'!$B$113)</f>
        <v/>
      </c>
      <c r="E217" s="22">
        <f>IF(OR('Brouillard ventes'!$F$113="",'Brouillard ventes'!$J$113="À crédit",'Brouillard ventes'!$J$113=""),"","REGL "&amp;LEFT('Brouillard ventes'!$D$113,25))</f>
        <v/>
      </c>
      <c r="F217" s="22">
        <f>IF(OR('Brouillard ventes'!$F$113="",'Brouillard ventes'!$J$113="À crédit",'Brouillard ventes'!$J$113=""),"",IF('Brouillard ventes'!$J$113="Espèces","04001","02001"))</f>
        <v/>
      </c>
      <c r="G217" s="22">
        <f>IF(OR('Brouillard ventes'!$F$113="",'Brouillard ventes'!$J$113="À crédit",'Brouillard ventes'!$J$113=""),"",Paramètres!$B$7)</f>
        <v/>
      </c>
      <c r="H217" s="22">
        <f>IF(OR('Brouillard ventes'!$F$113="",'Brouillard ventes'!$J$113="À crédit",'Brouillard ventes'!$J$113=""),"",IF('Brouillard ventes'!$C$113="","CD001",'Brouillard ventes'!$C$113))</f>
        <v/>
      </c>
      <c r="I217" s="22" t="inlineStr"/>
      <c r="J217" s="22" t="inlineStr"/>
      <c r="K217" s="22">
        <f>IF(OR('Brouillard ventes'!$F$113="",'Brouillard ventes'!$J$113="À crédit",'Brouillard ventes'!$J$113=""),"",Paramètres!$B$11)</f>
        <v/>
      </c>
      <c r="L217" s="23" t="n">
        <v>0</v>
      </c>
      <c r="M217" s="23">
        <f>IF(OR('Brouillard ventes'!$F$113="",'Brouillard ventes'!$J$113="À crédit",'Brouillard ventes'!$J$113=""),0,'Brouillard ventes'!$I$113)</f>
        <v/>
      </c>
    </row>
    <row r="218">
      <c r="A218" s="22" t="inlineStr">
        <is>
          <t>1</t>
        </is>
      </c>
      <c r="B218" s="22">
        <f>IF(OR('Brouillard ventes'!$F$114="",'Brouillard ventes'!$J$114="À crédit",'Brouillard ventes'!$J$114=""),"","EC"&amp;TEXT(ROW('Brouillard ventes'!$F$114)-5,"00000"))</f>
        <v/>
      </c>
      <c r="C218" s="22">
        <f>IF(OR('Brouillard ventes'!$F$114="",'Brouillard ventes'!$J$114="À crédit",'Brouillard ventes'!$J$114=""),"",YEAR('Brouillard ventes'!$A$114)*10000+MONTH('Brouillard ventes'!$A$114)*100+DAY('Brouillard ventes'!$A$114))</f>
        <v/>
      </c>
      <c r="D218" s="22">
        <f>IF(OR('Brouillard ventes'!$F$114="",'Brouillard ventes'!$J$114="À crédit",'Brouillard ventes'!$J$114=""),"",'Brouillard ventes'!$B$114)</f>
        <v/>
      </c>
      <c r="E218" s="22">
        <f>IF(OR('Brouillard ventes'!$F$114="",'Brouillard ventes'!$J$114="À crédit",'Brouillard ventes'!$J$114=""),"","REGL "&amp;LEFT('Brouillard ventes'!$D$114,25))</f>
        <v/>
      </c>
      <c r="F218" s="22">
        <f>IF(OR('Brouillard ventes'!$F$114="",'Brouillard ventes'!$J$114="À crédit",'Brouillard ventes'!$J$114=""),"",IF('Brouillard ventes'!$J$114="Espèces","04001","02001"))</f>
        <v/>
      </c>
      <c r="G218" s="22">
        <f>IF(OR('Brouillard ventes'!$F$114="",'Brouillard ventes'!$J$114="À crédit",'Brouillard ventes'!$J$114=""),"",IF('Brouillard ventes'!$J$114="Espèces","53000","51220"))</f>
        <v/>
      </c>
      <c r="H218" s="22" t="inlineStr"/>
      <c r="I218" s="22" t="inlineStr"/>
      <c r="J218" s="22" t="inlineStr"/>
      <c r="K218" s="22">
        <f>IF(OR('Brouillard ventes'!$F$114="",'Brouillard ventes'!$J$114="À crédit",'Brouillard ventes'!$J$114=""),"",Paramètres!$B$11)</f>
        <v/>
      </c>
      <c r="L218" s="23">
        <f>IF(OR('Brouillard ventes'!$F$114="",'Brouillard ventes'!$J$114="À crédit",'Brouillard ventes'!$J$114=""),0,'Brouillard ventes'!$I$114)</f>
        <v/>
      </c>
      <c r="M218" s="23" t="n">
        <v>0</v>
      </c>
    </row>
    <row r="219">
      <c r="A219" s="22" t="inlineStr">
        <is>
          <t>1</t>
        </is>
      </c>
      <c r="B219" s="22">
        <f>IF(OR('Brouillard ventes'!$F$114="",'Brouillard ventes'!$J$114="À crédit",'Brouillard ventes'!$J$114=""),"","EC"&amp;TEXT(ROW('Brouillard ventes'!$F$114)-5,"00000"))</f>
        <v/>
      </c>
      <c r="C219" s="22">
        <f>IF(OR('Brouillard ventes'!$F$114="",'Brouillard ventes'!$J$114="À crédit",'Brouillard ventes'!$J$114=""),"",YEAR('Brouillard ventes'!$A$114)*10000+MONTH('Brouillard ventes'!$A$114)*100+DAY('Brouillard ventes'!$A$114))</f>
        <v/>
      </c>
      <c r="D219" s="22">
        <f>IF(OR('Brouillard ventes'!$F$114="",'Brouillard ventes'!$J$114="À crédit",'Brouillard ventes'!$J$114=""),"",'Brouillard ventes'!$B$114)</f>
        <v/>
      </c>
      <c r="E219" s="22">
        <f>IF(OR('Brouillard ventes'!$F$114="",'Brouillard ventes'!$J$114="À crédit",'Brouillard ventes'!$J$114=""),"","REGL "&amp;LEFT('Brouillard ventes'!$D$114,25))</f>
        <v/>
      </c>
      <c r="F219" s="22">
        <f>IF(OR('Brouillard ventes'!$F$114="",'Brouillard ventes'!$J$114="À crédit",'Brouillard ventes'!$J$114=""),"",IF('Brouillard ventes'!$J$114="Espèces","04001","02001"))</f>
        <v/>
      </c>
      <c r="G219" s="22">
        <f>IF(OR('Brouillard ventes'!$F$114="",'Brouillard ventes'!$J$114="À crédit",'Brouillard ventes'!$J$114=""),"",Paramètres!$B$7)</f>
        <v/>
      </c>
      <c r="H219" s="22">
        <f>IF(OR('Brouillard ventes'!$F$114="",'Brouillard ventes'!$J$114="À crédit",'Brouillard ventes'!$J$114=""),"",IF('Brouillard ventes'!$C$114="","CD001",'Brouillard ventes'!$C$114))</f>
        <v/>
      </c>
      <c r="I219" s="22" t="inlineStr"/>
      <c r="J219" s="22" t="inlineStr"/>
      <c r="K219" s="22">
        <f>IF(OR('Brouillard ventes'!$F$114="",'Brouillard ventes'!$J$114="À crédit",'Brouillard ventes'!$J$114=""),"",Paramètres!$B$11)</f>
        <v/>
      </c>
      <c r="L219" s="23" t="n">
        <v>0</v>
      </c>
      <c r="M219" s="23">
        <f>IF(OR('Brouillard ventes'!$F$114="",'Brouillard ventes'!$J$114="À crédit",'Brouillard ventes'!$J$114=""),0,'Brouillard ventes'!$I$114)</f>
        <v/>
      </c>
    </row>
    <row r="220">
      <c r="A220" s="22" t="inlineStr">
        <is>
          <t>1</t>
        </is>
      </c>
      <c r="B220" s="22">
        <f>IF(OR('Brouillard ventes'!$F$115="",'Brouillard ventes'!$J$115="À crédit",'Brouillard ventes'!$J$115=""),"","EC"&amp;TEXT(ROW('Brouillard ventes'!$F$115)-5,"00000"))</f>
        <v/>
      </c>
      <c r="C220" s="22">
        <f>IF(OR('Brouillard ventes'!$F$115="",'Brouillard ventes'!$J$115="À crédit",'Brouillard ventes'!$J$115=""),"",YEAR('Brouillard ventes'!$A$115)*10000+MONTH('Brouillard ventes'!$A$115)*100+DAY('Brouillard ventes'!$A$115))</f>
        <v/>
      </c>
      <c r="D220" s="22">
        <f>IF(OR('Brouillard ventes'!$F$115="",'Brouillard ventes'!$J$115="À crédit",'Brouillard ventes'!$J$115=""),"",'Brouillard ventes'!$B$115)</f>
        <v/>
      </c>
      <c r="E220" s="22">
        <f>IF(OR('Brouillard ventes'!$F$115="",'Brouillard ventes'!$J$115="À crédit",'Brouillard ventes'!$J$115=""),"","REGL "&amp;LEFT('Brouillard ventes'!$D$115,25))</f>
        <v/>
      </c>
      <c r="F220" s="22">
        <f>IF(OR('Brouillard ventes'!$F$115="",'Brouillard ventes'!$J$115="À crédit",'Brouillard ventes'!$J$115=""),"",IF('Brouillard ventes'!$J$115="Espèces","04001","02001"))</f>
        <v/>
      </c>
      <c r="G220" s="22">
        <f>IF(OR('Brouillard ventes'!$F$115="",'Brouillard ventes'!$J$115="À crédit",'Brouillard ventes'!$J$115=""),"",IF('Brouillard ventes'!$J$115="Espèces","53000","51220"))</f>
        <v/>
      </c>
      <c r="H220" s="22" t="inlineStr"/>
      <c r="I220" s="22" t="inlineStr"/>
      <c r="J220" s="22" t="inlineStr"/>
      <c r="K220" s="22">
        <f>IF(OR('Brouillard ventes'!$F$115="",'Brouillard ventes'!$J$115="À crédit",'Brouillard ventes'!$J$115=""),"",Paramètres!$B$11)</f>
        <v/>
      </c>
      <c r="L220" s="23">
        <f>IF(OR('Brouillard ventes'!$F$115="",'Brouillard ventes'!$J$115="À crédit",'Brouillard ventes'!$J$115=""),0,'Brouillard ventes'!$I$115)</f>
        <v/>
      </c>
      <c r="M220" s="23" t="n">
        <v>0</v>
      </c>
    </row>
    <row r="221">
      <c r="A221" s="22" t="inlineStr">
        <is>
          <t>1</t>
        </is>
      </c>
      <c r="B221" s="22">
        <f>IF(OR('Brouillard ventes'!$F$115="",'Brouillard ventes'!$J$115="À crédit",'Brouillard ventes'!$J$115=""),"","EC"&amp;TEXT(ROW('Brouillard ventes'!$F$115)-5,"00000"))</f>
        <v/>
      </c>
      <c r="C221" s="22">
        <f>IF(OR('Brouillard ventes'!$F$115="",'Brouillard ventes'!$J$115="À crédit",'Brouillard ventes'!$J$115=""),"",YEAR('Brouillard ventes'!$A$115)*10000+MONTH('Brouillard ventes'!$A$115)*100+DAY('Brouillard ventes'!$A$115))</f>
        <v/>
      </c>
      <c r="D221" s="22">
        <f>IF(OR('Brouillard ventes'!$F$115="",'Brouillard ventes'!$J$115="À crédit",'Brouillard ventes'!$J$115=""),"",'Brouillard ventes'!$B$115)</f>
        <v/>
      </c>
      <c r="E221" s="22">
        <f>IF(OR('Brouillard ventes'!$F$115="",'Brouillard ventes'!$J$115="À crédit",'Brouillard ventes'!$J$115=""),"","REGL "&amp;LEFT('Brouillard ventes'!$D$115,25))</f>
        <v/>
      </c>
      <c r="F221" s="22">
        <f>IF(OR('Brouillard ventes'!$F$115="",'Brouillard ventes'!$J$115="À crédit",'Brouillard ventes'!$J$115=""),"",IF('Brouillard ventes'!$J$115="Espèces","04001","02001"))</f>
        <v/>
      </c>
      <c r="G221" s="22">
        <f>IF(OR('Brouillard ventes'!$F$115="",'Brouillard ventes'!$J$115="À crédit",'Brouillard ventes'!$J$115=""),"",Paramètres!$B$7)</f>
        <v/>
      </c>
      <c r="H221" s="22">
        <f>IF(OR('Brouillard ventes'!$F$115="",'Brouillard ventes'!$J$115="À crédit",'Brouillard ventes'!$J$115=""),"",IF('Brouillard ventes'!$C$115="","CD001",'Brouillard ventes'!$C$115))</f>
        <v/>
      </c>
      <c r="I221" s="22" t="inlineStr"/>
      <c r="J221" s="22" t="inlineStr"/>
      <c r="K221" s="22">
        <f>IF(OR('Brouillard ventes'!$F$115="",'Brouillard ventes'!$J$115="À crédit",'Brouillard ventes'!$J$115=""),"",Paramètres!$B$11)</f>
        <v/>
      </c>
      <c r="L221" s="23" t="n">
        <v>0</v>
      </c>
      <c r="M221" s="23">
        <f>IF(OR('Brouillard ventes'!$F$115="",'Brouillard ventes'!$J$115="À crédit",'Brouillard ventes'!$J$115=""),0,'Brouillard ventes'!$I$115)</f>
        <v/>
      </c>
    </row>
    <row r="222">
      <c r="A222" s="22" t="inlineStr">
        <is>
          <t>1</t>
        </is>
      </c>
      <c r="B222" s="22">
        <f>IF(OR('Brouillard ventes'!$F$116="",'Brouillard ventes'!$J$116="À crédit",'Brouillard ventes'!$J$116=""),"","EC"&amp;TEXT(ROW('Brouillard ventes'!$F$116)-5,"00000"))</f>
        <v/>
      </c>
      <c r="C222" s="22">
        <f>IF(OR('Brouillard ventes'!$F$116="",'Brouillard ventes'!$J$116="À crédit",'Brouillard ventes'!$J$116=""),"",YEAR('Brouillard ventes'!$A$116)*10000+MONTH('Brouillard ventes'!$A$116)*100+DAY('Brouillard ventes'!$A$116))</f>
        <v/>
      </c>
      <c r="D222" s="22">
        <f>IF(OR('Brouillard ventes'!$F$116="",'Brouillard ventes'!$J$116="À crédit",'Brouillard ventes'!$J$116=""),"",'Brouillard ventes'!$B$116)</f>
        <v/>
      </c>
      <c r="E222" s="22">
        <f>IF(OR('Brouillard ventes'!$F$116="",'Brouillard ventes'!$J$116="À crédit",'Brouillard ventes'!$J$116=""),"","REGL "&amp;LEFT('Brouillard ventes'!$D$116,25))</f>
        <v/>
      </c>
      <c r="F222" s="22">
        <f>IF(OR('Brouillard ventes'!$F$116="",'Brouillard ventes'!$J$116="À crédit",'Brouillard ventes'!$J$116=""),"",IF('Brouillard ventes'!$J$116="Espèces","04001","02001"))</f>
        <v/>
      </c>
      <c r="G222" s="22">
        <f>IF(OR('Brouillard ventes'!$F$116="",'Brouillard ventes'!$J$116="À crédit",'Brouillard ventes'!$J$116=""),"",IF('Brouillard ventes'!$J$116="Espèces","53000","51220"))</f>
        <v/>
      </c>
      <c r="H222" s="22" t="inlineStr"/>
      <c r="I222" s="22" t="inlineStr"/>
      <c r="J222" s="22" t="inlineStr"/>
      <c r="K222" s="22">
        <f>IF(OR('Brouillard ventes'!$F$116="",'Brouillard ventes'!$J$116="À crédit",'Brouillard ventes'!$J$116=""),"",Paramètres!$B$11)</f>
        <v/>
      </c>
      <c r="L222" s="23">
        <f>IF(OR('Brouillard ventes'!$F$116="",'Brouillard ventes'!$J$116="À crédit",'Brouillard ventes'!$J$116=""),0,'Brouillard ventes'!$I$116)</f>
        <v/>
      </c>
      <c r="M222" s="23" t="n">
        <v>0</v>
      </c>
    </row>
    <row r="223">
      <c r="A223" s="22" t="inlineStr">
        <is>
          <t>1</t>
        </is>
      </c>
      <c r="B223" s="22">
        <f>IF(OR('Brouillard ventes'!$F$116="",'Brouillard ventes'!$J$116="À crédit",'Brouillard ventes'!$J$116=""),"","EC"&amp;TEXT(ROW('Brouillard ventes'!$F$116)-5,"00000"))</f>
        <v/>
      </c>
      <c r="C223" s="22">
        <f>IF(OR('Brouillard ventes'!$F$116="",'Brouillard ventes'!$J$116="À crédit",'Brouillard ventes'!$J$116=""),"",YEAR('Brouillard ventes'!$A$116)*10000+MONTH('Brouillard ventes'!$A$116)*100+DAY('Brouillard ventes'!$A$116))</f>
        <v/>
      </c>
      <c r="D223" s="22">
        <f>IF(OR('Brouillard ventes'!$F$116="",'Brouillard ventes'!$J$116="À crédit",'Brouillard ventes'!$J$116=""),"",'Brouillard ventes'!$B$116)</f>
        <v/>
      </c>
      <c r="E223" s="22">
        <f>IF(OR('Brouillard ventes'!$F$116="",'Brouillard ventes'!$J$116="À crédit",'Brouillard ventes'!$J$116=""),"","REGL "&amp;LEFT('Brouillard ventes'!$D$116,25))</f>
        <v/>
      </c>
      <c r="F223" s="22">
        <f>IF(OR('Brouillard ventes'!$F$116="",'Brouillard ventes'!$J$116="À crédit",'Brouillard ventes'!$J$116=""),"",IF('Brouillard ventes'!$J$116="Espèces","04001","02001"))</f>
        <v/>
      </c>
      <c r="G223" s="22">
        <f>IF(OR('Brouillard ventes'!$F$116="",'Brouillard ventes'!$J$116="À crédit",'Brouillard ventes'!$J$116=""),"",Paramètres!$B$7)</f>
        <v/>
      </c>
      <c r="H223" s="22">
        <f>IF(OR('Brouillard ventes'!$F$116="",'Brouillard ventes'!$J$116="À crédit",'Brouillard ventes'!$J$116=""),"",IF('Brouillard ventes'!$C$116="","CD001",'Brouillard ventes'!$C$116))</f>
        <v/>
      </c>
      <c r="I223" s="22" t="inlineStr"/>
      <c r="J223" s="22" t="inlineStr"/>
      <c r="K223" s="22">
        <f>IF(OR('Brouillard ventes'!$F$116="",'Brouillard ventes'!$J$116="À crédit",'Brouillard ventes'!$J$116=""),"",Paramètres!$B$11)</f>
        <v/>
      </c>
      <c r="L223" s="23" t="n">
        <v>0</v>
      </c>
      <c r="M223" s="23">
        <f>IF(OR('Brouillard ventes'!$F$116="",'Brouillard ventes'!$J$116="À crédit",'Brouillard ventes'!$J$116=""),0,'Brouillard ventes'!$I$116)</f>
        <v/>
      </c>
    </row>
    <row r="224">
      <c r="A224" s="22" t="inlineStr">
        <is>
          <t>1</t>
        </is>
      </c>
      <c r="B224" s="22">
        <f>IF(OR('Brouillard ventes'!$F$117="",'Brouillard ventes'!$J$117="À crédit",'Brouillard ventes'!$J$117=""),"","EC"&amp;TEXT(ROW('Brouillard ventes'!$F$117)-5,"00000"))</f>
        <v/>
      </c>
      <c r="C224" s="22">
        <f>IF(OR('Brouillard ventes'!$F$117="",'Brouillard ventes'!$J$117="À crédit",'Brouillard ventes'!$J$117=""),"",YEAR('Brouillard ventes'!$A$117)*10000+MONTH('Brouillard ventes'!$A$117)*100+DAY('Brouillard ventes'!$A$117))</f>
        <v/>
      </c>
      <c r="D224" s="22">
        <f>IF(OR('Brouillard ventes'!$F$117="",'Brouillard ventes'!$J$117="À crédit",'Brouillard ventes'!$J$117=""),"",'Brouillard ventes'!$B$117)</f>
        <v/>
      </c>
      <c r="E224" s="22">
        <f>IF(OR('Brouillard ventes'!$F$117="",'Brouillard ventes'!$J$117="À crédit",'Brouillard ventes'!$J$117=""),"","REGL "&amp;LEFT('Brouillard ventes'!$D$117,25))</f>
        <v/>
      </c>
      <c r="F224" s="22">
        <f>IF(OR('Brouillard ventes'!$F$117="",'Brouillard ventes'!$J$117="À crédit",'Brouillard ventes'!$J$117=""),"",IF('Brouillard ventes'!$J$117="Espèces","04001","02001"))</f>
        <v/>
      </c>
      <c r="G224" s="22">
        <f>IF(OR('Brouillard ventes'!$F$117="",'Brouillard ventes'!$J$117="À crédit",'Brouillard ventes'!$J$117=""),"",IF('Brouillard ventes'!$J$117="Espèces","53000","51220"))</f>
        <v/>
      </c>
      <c r="H224" s="22" t="inlineStr"/>
      <c r="I224" s="22" t="inlineStr"/>
      <c r="J224" s="22" t="inlineStr"/>
      <c r="K224" s="22">
        <f>IF(OR('Brouillard ventes'!$F$117="",'Brouillard ventes'!$J$117="À crédit",'Brouillard ventes'!$J$117=""),"",Paramètres!$B$11)</f>
        <v/>
      </c>
      <c r="L224" s="23">
        <f>IF(OR('Brouillard ventes'!$F$117="",'Brouillard ventes'!$J$117="À crédit",'Brouillard ventes'!$J$117=""),0,'Brouillard ventes'!$I$117)</f>
        <v/>
      </c>
      <c r="M224" s="23" t="n">
        <v>0</v>
      </c>
    </row>
    <row r="225">
      <c r="A225" s="22" t="inlineStr">
        <is>
          <t>1</t>
        </is>
      </c>
      <c r="B225" s="22">
        <f>IF(OR('Brouillard ventes'!$F$117="",'Brouillard ventes'!$J$117="À crédit",'Brouillard ventes'!$J$117=""),"","EC"&amp;TEXT(ROW('Brouillard ventes'!$F$117)-5,"00000"))</f>
        <v/>
      </c>
      <c r="C225" s="22">
        <f>IF(OR('Brouillard ventes'!$F$117="",'Brouillard ventes'!$J$117="À crédit",'Brouillard ventes'!$J$117=""),"",YEAR('Brouillard ventes'!$A$117)*10000+MONTH('Brouillard ventes'!$A$117)*100+DAY('Brouillard ventes'!$A$117))</f>
        <v/>
      </c>
      <c r="D225" s="22">
        <f>IF(OR('Brouillard ventes'!$F$117="",'Brouillard ventes'!$J$117="À crédit",'Brouillard ventes'!$J$117=""),"",'Brouillard ventes'!$B$117)</f>
        <v/>
      </c>
      <c r="E225" s="22">
        <f>IF(OR('Brouillard ventes'!$F$117="",'Brouillard ventes'!$J$117="À crédit",'Brouillard ventes'!$J$117=""),"","REGL "&amp;LEFT('Brouillard ventes'!$D$117,25))</f>
        <v/>
      </c>
      <c r="F225" s="22">
        <f>IF(OR('Brouillard ventes'!$F$117="",'Brouillard ventes'!$J$117="À crédit",'Brouillard ventes'!$J$117=""),"",IF('Brouillard ventes'!$J$117="Espèces","04001","02001"))</f>
        <v/>
      </c>
      <c r="G225" s="22">
        <f>IF(OR('Brouillard ventes'!$F$117="",'Brouillard ventes'!$J$117="À crédit",'Brouillard ventes'!$J$117=""),"",Paramètres!$B$7)</f>
        <v/>
      </c>
      <c r="H225" s="22">
        <f>IF(OR('Brouillard ventes'!$F$117="",'Brouillard ventes'!$J$117="À crédit",'Brouillard ventes'!$J$117=""),"",IF('Brouillard ventes'!$C$117="","CD001",'Brouillard ventes'!$C$117))</f>
        <v/>
      </c>
      <c r="I225" s="22" t="inlineStr"/>
      <c r="J225" s="22" t="inlineStr"/>
      <c r="K225" s="22">
        <f>IF(OR('Brouillard ventes'!$F$117="",'Brouillard ventes'!$J$117="À crédit",'Brouillard ventes'!$J$117=""),"",Paramètres!$B$11)</f>
        <v/>
      </c>
      <c r="L225" s="23" t="n">
        <v>0</v>
      </c>
      <c r="M225" s="23">
        <f>IF(OR('Brouillard ventes'!$F$117="",'Brouillard ventes'!$J$117="À crédit",'Brouillard ventes'!$J$117=""),0,'Brouillard ventes'!$I$117)</f>
        <v/>
      </c>
    </row>
    <row r="226">
      <c r="A226" s="22" t="inlineStr">
        <is>
          <t>1</t>
        </is>
      </c>
      <c r="B226" s="22">
        <f>IF(OR('Brouillard ventes'!$F$118="",'Brouillard ventes'!$J$118="À crédit",'Brouillard ventes'!$J$118=""),"","EC"&amp;TEXT(ROW('Brouillard ventes'!$F$118)-5,"00000"))</f>
        <v/>
      </c>
      <c r="C226" s="22">
        <f>IF(OR('Brouillard ventes'!$F$118="",'Brouillard ventes'!$J$118="À crédit",'Brouillard ventes'!$J$118=""),"",YEAR('Brouillard ventes'!$A$118)*10000+MONTH('Brouillard ventes'!$A$118)*100+DAY('Brouillard ventes'!$A$118))</f>
        <v/>
      </c>
      <c r="D226" s="22">
        <f>IF(OR('Brouillard ventes'!$F$118="",'Brouillard ventes'!$J$118="À crédit",'Brouillard ventes'!$J$118=""),"",'Brouillard ventes'!$B$118)</f>
        <v/>
      </c>
      <c r="E226" s="22">
        <f>IF(OR('Brouillard ventes'!$F$118="",'Brouillard ventes'!$J$118="À crédit",'Brouillard ventes'!$J$118=""),"","REGL "&amp;LEFT('Brouillard ventes'!$D$118,25))</f>
        <v/>
      </c>
      <c r="F226" s="22">
        <f>IF(OR('Brouillard ventes'!$F$118="",'Brouillard ventes'!$J$118="À crédit",'Brouillard ventes'!$J$118=""),"",IF('Brouillard ventes'!$J$118="Espèces","04001","02001"))</f>
        <v/>
      </c>
      <c r="G226" s="22">
        <f>IF(OR('Brouillard ventes'!$F$118="",'Brouillard ventes'!$J$118="À crédit",'Brouillard ventes'!$J$118=""),"",IF('Brouillard ventes'!$J$118="Espèces","53000","51220"))</f>
        <v/>
      </c>
      <c r="H226" s="22" t="inlineStr"/>
      <c r="I226" s="22" t="inlineStr"/>
      <c r="J226" s="22" t="inlineStr"/>
      <c r="K226" s="22">
        <f>IF(OR('Brouillard ventes'!$F$118="",'Brouillard ventes'!$J$118="À crédit",'Brouillard ventes'!$J$118=""),"",Paramètres!$B$11)</f>
        <v/>
      </c>
      <c r="L226" s="23">
        <f>IF(OR('Brouillard ventes'!$F$118="",'Brouillard ventes'!$J$118="À crédit",'Brouillard ventes'!$J$118=""),0,'Brouillard ventes'!$I$118)</f>
        <v/>
      </c>
      <c r="M226" s="23" t="n">
        <v>0</v>
      </c>
    </row>
    <row r="227">
      <c r="A227" s="22" t="inlineStr">
        <is>
          <t>1</t>
        </is>
      </c>
      <c r="B227" s="22">
        <f>IF(OR('Brouillard ventes'!$F$118="",'Brouillard ventes'!$J$118="À crédit",'Brouillard ventes'!$J$118=""),"","EC"&amp;TEXT(ROW('Brouillard ventes'!$F$118)-5,"00000"))</f>
        <v/>
      </c>
      <c r="C227" s="22">
        <f>IF(OR('Brouillard ventes'!$F$118="",'Brouillard ventes'!$J$118="À crédit",'Brouillard ventes'!$J$118=""),"",YEAR('Brouillard ventes'!$A$118)*10000+MONTH('Brouillard ventes'!$A$118)*100+DAY('Brouillard ventes'!$A$118))</f>
        <v/>
      </c>
      <c r="D227" s="22">
        <f>IF(OR('Brouillard ventes'!$F$118="",'Brouillard ventes'!$J$118="À crédit",'Brouillard ventes'!$J$118=""),"",'Brouillard ventes'!$B$118)</f>
        <v/>
      </c>
      <c r="E227" s="22">
        <f>IF(OR('Brouillard ventes'!$F$118="",'Brouillard ventes'!$J$118="À crédit",'Brouillard ventes'!$J$118=""),"","REGL "&amp;LEFT('Brouillard ventes'!$D$118,25))</f>
        <v/>
      </c>
      <c r="F227" s="22">
        <f>IF(OR('Brouillard ventes'!$F$118="",'Brouillard ventes'!$J$118="À crédit",'Brouillard ventes'!$J$118=""),"",IF('Brouillard ventes'!$J$118="Espèces","04001","02001"))</f>
        <v/>
      </c>
      <c r="G227" s="22">
        <f>IF(OR('Brouillard ventes'!$F$118="",'Brouillard ventes'!$J$118="À crédit",'Brouillard ventes'!$J$118=""),"",Paramètres!$B$7)</f>
        <v/>
      </c>
      <c r="H227" s="22">
        <f>IF(OR('Brouillard ventes'!$F$118="",'Brouillard ventes'!$J$118="À crédit",'Brouillard ventes'!$J$118=""),"",IF('Brouillard ventes'!$C$118="","CD001",'Brouillard ventes'!$C$118))</f>
        <v/>
      </c>
      <c r="I227" s="22" t="inlineStr"/>
      <c r="J227" s="22" t="inlineStr"/>
      <c r="K227" s="22">
        <f>IF(OR('Brouillard ventes'!$F$118="",'Brouillard ventes'!$J$118="À crédit",'Brouillard ventes'!$J$118=""),"",Paramètres!$B$11)</f>
        <v/>
      </c>
      <c r="L227" s="23" t="n">
        <v>0</v>
      </c>
      <c r="M227" s="23">
        <f>IF(OR('Brouillard ventes'!$F$118="",'Brouillard ventes'!$J$118="À crédit",'Brouillard ventes'!$J$118=""),0,'Brouillard ventes'!$I$118)</f>
        <v/>
      </c>
    </row>
    <row r="228">
      <c r="A228" s="22" t="inlineStr">
        <is>
          <t>1</t>
        </is>
      </c>
      <c r="B228" s="22">
        <f>IF(OR('Brouillard ventes'!$F$119="",'Brouillard ventes'!$J$119="À crédit",'Brouillard ventes'!$J$119=""),"","EC"&amp;TEXT(ROW('Brouillard ventes'!$F$119)-5,"00000"))</f>
        <v/>
      </c>
      <c r="C228" s="22">
        <f>IF(OR('Brouillard ventes'!$F$119="",'Brouillard ventes'!$J$119="À crédit",'Brouillard ventes'!$J$119=""),"",YEAR('Brouillard ventes'!$A$119)*10000+MONTH('Brouillard ventes'!$A$119)*100+DAY('Brouillard ventes'!$A$119))</f>
        <v/>
      </c>
      <c r="D228" s="22">
        <f>IF(OR('Brouillard ventes'!$F$119="",'Brouillard ventes'!$J$119="À crédit",'Brouillard ventes'!$J$119=""),"",'Brouillard ventes'!$B$119)</f>
        <v/>
      </c>
      <c r="E228" s="22">
        <f>IF(OR('Brouillard ventes'!$F$119="",'Brouillard ventes'!$J$119="À crédit",'Brouillard ventes'!$J$119=""),"","REGL "&amp;LEFT('Brouillard ventes'!$D$119,25))</f>
        <v/>
      </c>
      <c r="F228" s="22">
        <f>IF(OR('Brouillard ventes'!$F$119="",'Brouillard ventes'!$J$119="À crédit",'Brouillard ventes'!$J$119=""),"",IF('Brouillard ventes'!$J$119="Espèces","04001","02001"))</f>
        <v/>
      </c>
      <c r="G228" s="22">
        <f>IF(OR('Brouillard ventes'!$F$119="",'Brouillard ventes'!$J$119="À crédit",'Brouillard ventes'!$J$119=""),"",IF('Brouillard ventes'!$J$119="Espèces","53000","51220"))</f>
        <v/>
      </c>
      <c r="H228" s="22" t="inlineStr"/>
      <c r="I228" s="22" t="inlineStr"/>
      <c r="J228" s="22" t="inlineStr"/>
      <c r="K228" s="22">
        <f>IF(OR('Brouillard ventes'!$F$119="",'Brouillard ventes'!$J$119="À crédit",'Brouillard ventes'!$J$119=""),"",Paramètres!$B$11)</f>
        <v/>
      </c>
      <c r="L228" s="23">
        <f>IF(OR('Brouillard ventes'!$F$119="",'Brouillard ventes'!$J$119="À crédit",'Brouillard ventes'!$J$119=""),0,'Brouillard ventes'!$I$119)</f>
        <v/>
      </c>
      <c r="M228" s="23" t="n">
        <v>0</v>
      </c>
    </row>
    <row r="229">
      <c r="A229" s="22" t="inlineStr">
        <is>
          <t>1</t>
        </is>
      </c>
      <c r="B229" s="22">
        <f>IF(OR('Brouillard ventes'!$F$119="",'Brouillard ventes'!$J$119="À crédit",'Brouillard ventes'!$J$119=""),"","EC"&amp;TEXT(ROW('Brouillard ventes'!$F$119)-5,"00000"))</f>
        <v/>
      </c>
      <c r="C229" s="22">
        <f>IF(OR('Brouillard ventes'!$F$119="",'Brouillard ventes'!$J$119="À crédit",'Brouillard ventes'!$J$119=""),"",YEAR('Brouillard ventes'!$A$119)*10000+MONTH('Brouillard ventes'!$A$119)*100+DAY('Brouillard ventes'!$A$119))</f>
        <v/>
      </c>
      <c r="D229" s="22">
        <f>IF(OR('Brouillard ventes'!$F$119="",'Brouillard ventes'!$J$119="À crédit",'Brouillard ventes'!$J$119=""),"",'Brouillard ventes'!$B$119)</f>
        <v/>
      </c>
      <c r="E229" s="22">
        <f>IF(OR('Brouillard ventes'!$F$119="",'Brouillard ventes'!$J$119="À crédit",'Brouillard ventes'!$J$119=""),"","REGL "&amp;LEFT('Brouillard ventes'!$D$119,25))</f>
        <v/>
      </c>
      <c r="F229" s="22">
        <f>IF(OR('Brouillard ventes'!$F$119="",'Brouillard ventes'!$J$119="À crédit",'Brouillard ventes'!$J$119=""),"",IF('Brouillard ventes'!$J$119="Espèces","04001","02001"))</f>
        <v/>
      </c>
      <c r="G229" s="22">
        <f>IF(OR('Brouillard ventes'!$F$119="",'Brouillard ventes'!$J$119="À crédit",'Brouillard ventes'!$J$119=""),"",Paramètres!$B$7)</f>
        <v/>
      </c>
      <c r="H229" s="22">
        <f>IF(OR('Brouillard ventes'!$F$119="",'Brouillard ventes'!$J$119="À crédit",'Brouillard ventes'!$J$119=""),"",IF('Brouillard ventes'!$C$119="","CD001",'Brouillard ventes'!$C$119))</f>
        <v/>
      </c>
      <c r="I229" s="22" t="inlineStr"/>
      <c r="J229" s="22" t="inlineStr"/>
      <c r="K229" s="22">
        <f>IF(OR('Brouillard ventes'!$F$119="",'Brouillard ventes'!$J$119="À crédit",'Brouillard ventes'!$J$119=""),"",Paramètres!$B$11)</f>
        <v/>
      </c>
      <c r="L229" s="23" t="n">
        <v>0</v>
      </c>
      <c r="M229" s="23">
        <f>IF(OR('Brouillard ventes'!$F$119="",'Brouillard ventes'!$J$119="À crédit",'Brouillard ventes'!$J$119=""),0,'Brouillard ventes'!$I$119)</f>
        <v/>
      </c>
    </row>
    <row r="230">
      <c r="A230" s="22" t="inlineStr">
        <is>
          <t>1</t>
        </is>
      </c>
      <c r="B230" s="22">
        <f>IF(OR('Brouillard ventes'!$F$120="",'Brouillard ventes'!$J$120="À crédit",'Brouillard ventes'!$J$120=""),"","EC"&amp;TEXT(ROW('Brouillard ventes'!$F$120)-5,"00000"))</f>
        <v/>
      </c>
      <c r="C230" s="22">
        <f>IF(OR('Brouillard ventes'!$F$120="",'Brouillard ventes'!$J$120="À crédit",'Brouillard ventes'!$J$120=""),"",YEAR('Brouillard ventes'!$A$120)*10000+MONTH('Brouillard ventes'!$A$120)*100+DAY('Brouillard ventes'!$A$120))</f>
        <v/>
      </c>
      <c r="D230" s="22">
        <f>IF(OR('Brouillard ventes'!$F$120="",'Brouillard ventes'!$J$120="À crédit",'Brouillard ventes'!$J$120=""),"",'Brouillard ventes'!$B$120)</f>
        <v/>
      </c>
      <c r="E230" s="22">
        <f>IF(OR('Brouillard ventes'!$F$120="",'Brouillard ventes'!$J$120="À crédit",'Brouillard ventes'!$J$120=""),"","REGL "&amp;LEFT('Brouillard ventes'!$D$120,25))</f>
        <v/>
      </c>
      <c r="F230" s="22">
        <f>IF(OR('Brouillard ventes'!$F$120="",'Brouillard ventes'!$J$120="À crédit",'Brouillard ventes'!$J$120=""),"",IF('Brouillard ventes'!$J$120="Espèces","04001","02001"))</f>
        <v/>
      </c>
      <c r="G230" s="22">
        <f>IF(OR('Brouillard ventes'!$F$120="",'Brouillard ventes'!$J$120="À crédit",'Brouillard ventes'!$J$120=""),"",IF('Brouillard ventes'!$J$120="Espèces","53000","51220"))</f>
        <v/>
      </c>
      <c r="H230" s="22" t="inlineStr"/>
      <c r="I230" s="22" t="inlineStr"/>
      <c r="J230" s="22" t="inlineStr"/>
      <c r="K230" s="22">
        <f>IF(OR('Brouillard ventes'!$F$120="",'Brouillard ventes'!$J$120="À crédit",'Brouillard ventes'!$J$120=""),"",Paramètres!$B$11)</f>
        <v/>
      </c>
      <c r="L230" s="23">
        <f>IF(OR('Brouillard ventes'!$F$120="",'Brouillard ventes'!$J$120="À crédit",'Brouillard ventes'!$J$120=""),0,'Brouillard ventes'!$I$120)</f>
        <v/>
      </c>
      <c r="M230" s="23" t="n">
        <v>0</v>
      </c>
    </row>
    <row r="231">
      <c r="A231" s="22" t="inlineStr">
        <is>
          <t>1</t>
        </is>
      </c>
      <c r="B231" s="22">
        <f>IF(OR('Brouillard ventes'!$F$120="",'Brouillard ventes'!$J$120="À crédit",'Brouillard ventes'!$J$120=""),"","EC"&amp;TEXT(ROW('Brouillard ventes'!$F$120)-5,"00000"))</f>
        <v/>
      </c>
      <c r="C231" s="22">
        <f>IF(OR('Brouillard ventes'!$F$120="",'Brouillard ventes'!$J$120="À crédit",'Brouillard ventes'!$J$120=""),"",YEAR('Brouillard ventes'!$A$120)*10000+MONTH('Brouillard ventes'!$A$120)*100+DAY('Brouillard ventes'!$A$120))</f>
        <v/>
      </c>
      <c r="D231" s="22">
        <f>IF(OR('Brouillard ventes'!$F$120="",'Brouillard ventes'!$J$120="À crédit",'Brouillard ventes'!$J$120=""),"",'Brouillard ventes'!$B$120)</f>
        <v/>
      </c>
      <c r="E231" s="22">
        <f>IF(OR('Brouillard ventes'!$F$120="",'Brouillard ventes'!$J$120="À crédit",'Brouillard ventes'!$J$120=""),"","REGL "&amp;LEFT('Brouillard ventes'!$D$120,25))</f>
        <v/>
      </c>
      <c r="F231" s="22">
        <f>IF(OR('Brouillard ventes'!$F$120="",'Brouillard ventes'!$J$120="À crédit",'Brouillard ventes'!$J$120=""),"",IF('Brouillard ventes'!$J$120="Espèces","04001","02001"))</f>
        <v/>
      </c>
      <c r="G231" s="22">
        <f>IF(OR('Brouillard ventes'!$F$120="",'Brouillard ventes'!$J$120="À crédit",'Brouillard ventes'!$J$120=""),"",Paramètres!$B$7)</f>
        <v/>
      </c>
      <c r="H231" s="22">
        <f>IF(OR('Brouillard ventes'!$F$120="",'Brouillard ventes'!$J$120="À crédit",'Brouillard ventes'!$J$120=""),"",IF('Brouillard ventes'!$C$120="","CD001",'Brouillard ventes'!$C$120))</f>
        <v/>
      </c>
      <c r="I231" s="22" t="inlineStr"/>
      <c r="J231" s="22" t="inlineStr"/>
      <c r="K231" s="22">
        <f>IF(OR('Brouillard ventes'!$F$120="",'Brouillard ventes'!$J$120="À crédit",'Brouillard ventes'!$J$120=""),"",Paramètres!$B$11)</f>
        <v/>
      </c>
      <c r="L231" s="23" t="n">
        <v>0</v>
      </c>
      <c r="M231" s="23">
        <f>IF(OR('Brouillard ventes'!$F$120="",'Brouillard ventes'!$J$120="À crédit",'Brouillard ventes'!$J$120=""),0,'Brouillard ventes'!$I$120)</f>
        <v/>
      </c>
    </row>
    <row r="232">
      <c r="A232" s="22" t="inlineStr">
        <is>
          <t>1</t>
        </is>
      </c>
      <c r="B232" s="22">
        <f>IF(OR('Brouillard ventes'!$F$121="",'Brouillard ventes'!$J$121="À crédit",'Brouillard ventes'!$J$121=""),"","EC"&amp;TEXT(ROW('Brouillard ventes'!$F$121)-5,"00000"))</f>
        <v/>
      </c>
      <c r="C232" s="22">
        <f>IF(OR('Brouillard ventes'!$F$121="",'Brouillard ventes'!$J$121="À crédit",'Brouillard ventes'!$J$121=""),"",YEAR('Brouillard ventes'!$A$121)*10000+MONTH('Brouillard ventes'!$A$121)*100+DAY('Brouillard ventes'!$A$121))</f>
        <v/>
      </c>
      <c r="D232" s="22">
        <f>IF(OR('Brouillard ventes'!$F$121="",'Brouillard ventes'!$J$121="À crédit",'Brouillard ventes'!$J$121=""),"",'Brouillard ventes'!$B$121)</f>
        <v/>
      </c>
      <c r="E232" s="22">
        <f>IF(OR('Brouillard ventes'!$F$121="",'Brouillard ventes'!$J$121="À crédit",'Brouillard ventes'!$J$121=""),"","REGL "&amp;LEFT('Brouillard ventes'!$D$121,25))</f>
        <v/>
      </c>
      <c r="F232" s="22">
        <f>IF(OR('Brouillard ventes'!$F$121="",'Brouillard ventes'!$J$121="À crédit",'Brouillard ventes'!$J$121=""),"",IF('Brouillard ventes'!$J$121="Espèces","04001","02001"))</f>
        <v/>
      </c>
      <c r="G232" s="22">
        <f>IF(OR('Brouillard ventes'!$F$121="",'Brouillard ventes'!$J$121="À crédit",'Brouillard ventes'!$J$121=""),"",IF('Brouillard ventes'!$J$121="Espèces","53000","51220"))</f>
        <v/>
      </c>
      <c r="H232" s="22" t="inlineStr"/>
      <c r="I232" s="22" t="inlineStr"/>
      <c r="J232" s="22" t="inlineStr"/>
      <c r="K232" s="22">
        <f>IF(OR('Brouillard ventes'!$F$121="",'Brouillard ventes'!$J$121="À crédit",'Brouillard ventes'!$J$121=""),"",Paramètres!$B$11)</f>
        <v/>
      </c>
      <c r="L232" s="23">
        <f>IF(OR('Brouillard ventes'!$F$121="",'Brouillard ventes'!$J$121="À crédit",'Brouillard ventes'!$J$121=""),0,'Brouillard ventes'!$I$121)</f>
        <v/>
      </c>
      <c r="M232" s="23" t="n">
        <v>0</v>
      </c>
    </row>
    <row r="233">
      <c r="A233" s="22" t="inlineStr">
        <is>
          <t>1</t>
        </is>
      </c>
      <c r="B233" s="22">
        <f>IF(OR('Brouillard ventes'!$F$121="",'Brouillard ventes'!$J$121="À crédit",'Brouillard ventes'!$J$121=""),"","EC"&amp;TEXT(ROW('Brouillard ventes'!$F$121)-5,"00000"))</f>
        <v/>
      </c>
      <c r="C233" s="22">
        <f>IF(OR('Brouillard ventes'!$F$121="",'Brouillard ventes'!$J$121="À crédit",'Brouillard ventes'!$J$121=""),"",YEAR('Brouillard ventes'!$A$121)*10000+MONTH('Brouillard ventes'!$A$121)*100+DAY('Brouillard ventes'!$A$121))</f>
        <v/>
      </c>
      <c r="D233" s="22">
        <f>IF(OR('Brouillard ventes'!$F$121="",'Brouillard ventes'!$J$121="À crédit",'Brouillard ventes'!$J$121=""),"",'Brouillard ventes'!$B$121)</f>
        <v/>
      </c>
      <c r="E233" s="22">
        <f>IF(OR('Brouillard ventes'!$F$121="",'Brouillard ventes'!$J$121="À crédit",'Brouillard ventes'!$J$121=""),"","REGL "&amp;LEFT('Brouillard ventes'!$D$121,25))</f>
        <v/>
      </c>
      <c r="F233" s="22">
        <f>IF(OR('Brouillard ventes'!$F$121="",'Brouillard ventes'!$J$121="À crédit",'Brouillard ventes'!$J$121=""),"",IF('Brouillard ventes'!$J$121="Espèces","04001","02001"))</f>
        <v/>
      </c>
      <c r="G233" s="22">
        <f>IF(OR('Brouillard ventes'!$F$121="",'Brouillard ventes'!$J$121="À crédit",'Brouillard ventes'!$J$121=""),"",Paramètres!$B$7)</f>
        <v/>
      </c>
      <c r="H233" s="22">
        <f>IF(OR('Brouillard ventes'!$F$121="",'Brouillard ventes'!$J$121="À crédit",'Brouillard ventes'!$J$121=""),"",IF('Brouillard ventes'!$C$121="","CD001",'Brouillard ventes'!$C$121))</f>
        <v/>
      </c>
      <c r="I233" s="22" t="inlineStr"/>
      <c r="J233" s="22" t="inlineStr"/>
      <c r="K233" s="22">
        <f>IF(OR('Brouillard ventes'!$F$121="",'Brouillard ventes'!$J$121="À crédit",'Brouillard ventes'!$J$121=""),"",Paramètres!$B$11)</f>
        <v/>
      </c>
      <c r="L233" s="23" t="n">
        <v>0</v>
      </c>
      <c r="M233" s="23">
        <f>IF(OR('Brouillard ventes'!$F$121="",'Brouillard ventes'!$J$121="À crédit",'Brouillard ventes'!$J$121=""),0,'Brouillard ventes'!$I$121)</f>
        <v/>
      </c>
    </row>
    <row r="234">
      <c r="A234" s="22" t="inlineStr">
        <is>
          <t>1</t>
        </is>
      </c>
      <c r="B234" s="22">
        <f>IF(OR('Brouillard ventes'!$F$122="",'Brouillard ventes'!$J$122="À crédit",'Brouillard ventes'!$J$122=""),"","EC"&amp;TEXT(ROW('Brouillard ventes'!$F$122)-5,"00000"))</f>
        <v/>
      </c>
      <c r="C234" s="22">
        <f>IF(OR('Brouillard ventes'!$F$122="",'Brouillard ventes'!$J$122="À crédit",'Brouillard ventes'!$J$122=""),"",YEAR('Brouillard ventes'!$A$122)*10000+MONTH('Brouillard ventes'!$A$122)*100+DAY('Brouillard ventes'!$A$122))</f>
        <v/>
      </c>
      <c r="D234" s="22">
        <f>IF(OR('Brouillard ventes'!$F$122="",'Brouillard ventes'!$J$122="À crédit",'Brouillard ventes'!$J$122=""),"",'Brouillard ventes'!$B$122)</f>
        <v/>
      </c>
      <c r="E234" s="22">
        <f>IF(OR('Brouillard ventes'!$F$122="",'Brouillard ventes'!$J$122="À crédit",'Brouillard ventes'!$J$122=""),"","REGL "&amp;LEFT('Brouillard ventes'!$D$122,25))</f>
        <v/>
      </c>
      <c r="F234" s="22">
        <f>IF(OR('Brouillard ventes'!$F$122="",'Brouillard ventes'!$J$122="À crédit",'Brouillard ventes'!$J$122=""),"",IF('Brouillard ventes'!$J$122="Espèces","04001","02001"))</f>
        <v/>
      </c>
      <c r="G234" s="22">
        <f>IF(OR('Brouillard ventes'!$F$122="",'Brouillard ventes'!$J$122="À crédit",'Brouillard ventes'!$J$122=""),"",IF('Brouillard ventes'!$J$122="Espèces","53000","51220"))</f>
        <v/>
      </c>
      <c r="H234" s="22" t="inlineStr"/>
      <c r="I234" s="22" t="inlineStr"/>
      <c r="J234" s="22" t="inlineStr"/>
      <c r="K234" s="22">
        <f>IF(OR('Brouillard ventes'!$F$122="",'Brouillard ventes'!$J$122="À crédit",'Brouillard ventes'!$J$122=""),"",Paramètres!$B$11)</f>
        <v/>
      </c>
      <c r="L234" s="23">
        <f>IF(OR('Brouillard ventes'!$F$122="",'Brouillard ventes'!$J$122="À crédit",'Brouillard ventes'!$J$122=""),0,'Brouillard ventes'!$I$122)</f>
        <v/>
      </c>
      <c r="M234" s="23" t="n">
        <v>0</v>
      </c>
    </row>
    <row r="235">
      <c r="A235" s="22" t="inlineStr">
        <is>
          <t>1</t>
        </is>
      </c>
      <c r="B235" s="22">
        <f>IF(OR('Brouillard ventes'!$F$122="",'Brouillard ventes'!$J$122="À crédit",'Brouillard ventes'!$J$122=""),"","EC"&amp;TEXT(ROW('Brouillard ventes'!$F$122)-5,"00000"))</f>
        <v/>
      </c>
      <c r="C235" s="22">
        <f>IF(OR('Brouillard ventes'!$F$122="",'Brouillard ventes'!$J$122="À crédit",'Brouillard ventes'!$J$122=""),"",YEAR('Brouillard ventes'!$A$122)*10000+MONTH('Brouillard ventes'!$A$122)*100+DAY('Brouillard ventes'!$A$122))</f>
        <v/>
      </c>
      <c r="D235" s="22">
        <f>IF(OR('Brouillard ventes'!$F$122="",'Brouillard ventes'!$J$122="À crédit",'Brouillard ventes'!$J$122=""),"",'Brouillard ventes'!$B$122)</f>
        <v/>
      </c>
      <c r="E235" s="22">
        <f>IF(OR('Brouillard ventes'!$F$122="",'Brouillard ventes'!$J$122="À crédit",'Brouillard ventes'!$J$122=""),"","REGL "&amp;LEFT('Brouillard ventes'!$D$122,25))</f>
        <v/>
      </c>
      <c r="F235" s="22">
        <f>IF(OR('Brouillard ventes'!$F$122="",'Brouillard ventes'!$J$122="À crédit",'Brouillard ventes'!$J$122=""),"",IF('Brouillard ventes'!$J$122="Espèces","04001","02001"))</f>
        <v/>
      </c>
      <c r="G235" s="22">
        <f>IF(OR('Brouillard ventes'!$F$122="",'Brouillard ventes'!$J$122="À crédit",'Brouillard ventes'!$J$122=""),"",Paramètres!$B$7)</f>
        <v/>
      </c>
      <c r="H235" s="22">
        <f>IF(OR('Brouillard ventes'!$F$122="",'Brouillard ventes'!$J$122="À crédit",'Brouillard ventes'!$J$122=""),"",IF('Brouillard ventes'!$C$122="","CD001",'Brouillard ventes'!$C$122))</f>
        <v/>
      </c>
      <c r="I235" s="22" t="inlineStr"/>
      <c r="J235" s="22" t="inlineStr"/>
      <c r="K235" s="22">
        <f>IF(OR('Brouillard ventes'!$F$122="",'Brouillard ventes'!$J$122="À crédit",'Brouillard ventes'!$J$122=""),"",Paramètres!$B$11)</f>
        <v/>
      </c>
      <c r="L235" s="23" t="n">
        <v>0</v>
      </c>
      <c r="M235" s="23">
        <f>IF(OR('Brouillard ventes'!$F$122="",'Brouillard ventes'!$J$122="À crédit",'Brouillard ventes'!$J$122=""),0,'Brouillard ventes'!$I$122)</f>
        <v/>
      </c>
    </row>
    <row r="236">
      <c r="A236" s="22" t="inlineStr">
        <is>
          <t>1</t>
        </is>
      </c>
      <c r="B236" s="22">
        <f>IF(OR('Brouillard ventes'!$F$123="",'Brouillard ventes'!$J$123="À crédit",'Brouillard ventes'!$J$123=""),"","EC"&amp;TEXT(ROW('Brouillard ventes'!$F$123)-5,"00000"))</f>
        <v/>
      </c>
      <c r="C236" s="22">
        <f>IF(OR('Brouillard ventes'!$F$123="",'Brouillard ventes'!$J$123="À crédit",'Brouillard ventes'!$J$123=""),"",YEAR('Brouillard ventes'!$A$123)*10000+MONTH('Brouillard ventes'!$A$123)*100+DAY('Brouillard ventes'!$A$123))</f>
        <v/>
      </c>
      <c r="D236" s="22">
        <f>IF(OR('Brouillard ventes'!$F$123="",'Brouillard ventes'!$J$123="À crédit",'Brouillard ventes'!$J$123=""),"",'Brouillard ventes'!$B$123)</f>
        <v/>
      </c>
      <c r="E236" s="22">
        <f>IF(OR('Brouillard ventes'!$F$123="",'Brouillard ventes'!$J$123="À crédit",'Brouillard ventes'!$J$123=""),"","REGL "&amp;LEFT('Brouillard ventes'!$D$123,25))</f>
        <v/>
      </c>
      <c r="F236" s="22">
        <f>IF(OR('Brouillard ventes'!$F$123="",'Brouillard ventes'!$J$123="À crédit",'Brouillard ventes'!$J$123=""),"",IF('Brouillard ventes'!$J$123="Espèces","04001","02001"))</f>
        <v/>
      </c>
      <c r="G236" s="22">
        <f>IF(OR('Brouillard ventes'!$F$123="",'Brouillard ventes'!$J$123="À crédit",'Brouillard ventes'!$J$123=""),"",IF('Brouillard ventes'!$J$123="Espèces","53000","51220"))</f>
        <v/>
      </c>
      <c r="H236" s="22" t="inlineStr"/>
      <c r="I236" s="22" t="inlineStr"/>
      <c r="J236" s="22" t="inlineStr"/>
      <c r="K236" s="22">
        <f>IF(OR('Brouillard ventes'!$F$123="",'Brouillard ventes'!$J$123="À crédit",'Brouillard ventes'!$J$123=""),"",Paramètres!$B$11)</f>
        <v/>
      </c>
      <c r="L236" s="23">
        <f>IF(OR('Brouillard ventes'!$F$123="",'Brouillard ventes'!$J$123="À crédit",'Brouillard ventes'!$J$123=""),0,'Brouillard ventes'!$I$123)</f>
        <v/>
      </c>
      <c r="M236" s="23" t="n">
        <v>0</v>
      </c>
    </row>
    <row r="237">
      <c r="A237" s="22" t="inlineStr">
        <is>
          <t>1</t>
        </is>
      </c>
      <c r="B237" s="22">
        <f>IF(OR('Brouillard ventes'!$F$123="",'Brouillard ventes'!$J$123="À crédit",'Brouillard ventes'!$J$123=""),"","EC"&amp;TEXT(ROW('Brouillard ventes'!$F$123)-5,"00000"))</f>
        <v/>
      </c>
      <c r="C237" s="22">
        <f>IF(OR('Brouillard ventes'!$F$123="",'Brouillard ventes'!$J$123="À crédit",'Brouillard ventes'!$J$123=""),"",YEAR('Brouillard ventes'!$A$123)*10000+MONTH('Brouillard ventes'!$A$123)*100+DAY('Brouillard ventes'!$A$123))</f>
        <v/>
      </c>
      <c r="D237" s="22">
        <f>IF(OR('Brouillard ventes'!$F$123="",'Brouillard ventes'!$J$123="À crédit",'Brouillard ventes'!$J$123=""),"",'Brouillard ventes'!$B$123)</f>
        <v/>
      </c>
      <c r="E237" s="22">
        <f>IF(OR('Brouillard ventes'!$F$123="",'Brouillard ventes'!$J$123="À crédit",'Brouillard ventes'!$J$123=""),"","REGL "&amp;LEFT('Brouillard ventes'!$D$123,25))</f>
        <v/>
      </c>
      <c r="F237" s="22">
        <f>IF(OR('Brouillard ventes'!$F$123="",'Brouillard ventes'!$J$123="À crédit",'Brouillard ventes'!$J$123=""),"",IF('Brouillard ventes'!$J$123="Espèces","04001","02001"))</f>
        <v/>
      </c>
      <c r="G237" s="22">
        <f>IF(OR('Brouillard ventes'!$F$123="",'Brouillard ventes'!$J$123="À crédit",'Brouillard ventes'!$J$123=""),"",Paramètres!$B$7)</f>
        <v/>
      </c>
      <c r="H237" s="22">
        <f>IF(OR('Brouillard ventes'!$F$123="",'Brouillard ventes'!$J$123="À crédit",'Brouillard ventes'!$J$123=""),"",IF('Brouillard ventes'!$C$123="","CD001",'Brouillard ventes'!$C$123))</f>
        <v/>
      </c>
      <c r="I237" s="22" t="inlineStr"/>
      <c r="J237" s="22" t="inlineStr"/>
      <c r="K237" s="22">
        <f>IF(OR('Brouillard ventes'!$F$123="",'Brouillard ventes'!$J$123="À crédit",'Brouillard ventes'!$J$123=""),"",Paramètres!$B$11)</f>
        <v/>
      </c>
      <c r="L237" s="23" t="n">
        <v>0</v>
      </c>
      <c r="M237" s="23">
        <f>IF(OR('Brouillard ventes'!$F$123="",'Brouillard ventes'!$J$123="À crédit",'Brouillard ventes'!$J$123=""),0,'Brouillard ventes'!$I$123)</f>
        <v/>
      </c>
    </row>
    <row r="238">
      <c r="A238" s="22" t="inlineStr">
        <is>
          <t>1</t>
        </is>
      </c>
      <c r="B238" s="22">
        <f>IF(OR('Brouillard ventes'!$F$124="",'Brouillard ventes'!$J$124="À crédit",'Brouillard ventes'!$J$124=""),"","EC"&amp;TEXT(ROW('Brouillard ventes'!$F$124)-5,"00000"))</f>
        <v/>
      </c>
      <c r="C238" s="22">
        <f>IF(OR('Brouillard ventes'!$F$124="",'Brouillard ventes'!$J$124="À crédit",'Brouillard ventes'!$J$124=""),"",YEAR('Brouillard ventes'!$A$124)*10000+MONTH('Brouillard ventes'!$A$124)*100+DAY('Brouillard ventes'!$A$124))</f>
        <v/>
      </c>
      <c r="D238" s="22">
        <f>IF(OR('Brouillard ventes'!$F$124="",'Brouillard ventes'!$J$124="À crédit",'Brouillard ventes'!$J$124=""),"",'Brouillard ventes'!$B$124)</f>
        <v/>
      </c>
      <c r="E238" s="22">
        <f>IF(OR('Brouillard ventes'!$F$124="",'Brouillard ventes'!$J$124="À crédit",'Brouillard ventes'!$J$124=""),"","REGL "&amp;LEFT('Brouillard ventes'!$D$124,25))</f>
        <v/>
      </c>
      <c r="F238" s="22">
        <f>IF(OR('Brouillard ventes'!$F$124="",'Brouillard ventes'!$J$124="À crédit",'Brouillard ventes'!$J$124=""),"",IF('Brouillard ventes'!$J$124="Espèces","04001","02001"))</f>
        <v/>
      </c>
      <c r="G238" s="22">
        <f>IF(OR('Brouillard ventes'!$F$124="",'Brouillard ventes'!$J$124="À crédit",'Brouillard ventes'!$J$124=""),"",IF('Brouillard ventes'!$J$124="Espèces","53000","51220"))</f>
        <v/>
      </c>
      <c r="H238" s="22" t="inlineStr"/>
      <c r="I238" s="22" t="inlineStr"/>
      <c r="J238" s="22" t="inlineStr"/>
      <c r="K238" s="22">
        <f>IF(OR('Brouillard ventes'!$F$124="",'Brouillard ventes'!$J$124="À crédit",'Brouillard ventes'!$J$124=""),"",Paramètres!$B$11)</f>
        <v/>
      </c>
      <c r="L238" s="23">
        <f>IF(OR('Brouillard ventes'!$F$124="",'Brouillard ventes'!$J$124="À crédit",'Brouillard ventes'!$J$124=""),0,'Brouillard ventes'!$I$124)</f>
        <v/>
      </c>
      <c r="M238" s="23" t="n">
        <v>0</v>
      </c>
    </row>
    <row r="239">
      <c r="A239" s="22" t="inlineStr">
        <is>
          <t>1</t>
        </is>
      </c>
      <c r="B239" s="22">
        <f>IF(OR('Brouillard ventes'!$F$124="",'Brouillard ventes'!$J$124="À crédit",'Brouillard ventes'!$J$124=""),"","EC"&amp;TEXT(ROW('Brouillard ventes'!$F$124)-5,"00000"))</f>
        <v/>
      </c>
      <c r="C239" s="22">
        <f>IF(OR('Brouillard ventes'!$F$124="",'Brouillard ventes'!$J$124="À crédit",'Brouillard ventes'!$J$124=""),"",YEAR('Brouillard ventes'!$A$124)*10000+MONTH('Brouillard ventes'!$A$124)*100+DAY('Brouillard ventes'!$A$124))</f>
        <v/>
      </c>
      <c r="D239" s="22">
        <f>IF(OR('Brouillard ventes'!$F$124="",'Brouillard ventes'!$J$124="À crédit",'Brouillard ventes'!$J$124=""),"",'Brouillard ventes'!$B$124)</f>
        <v/>
      </c>
      <c r="E239" s="22">
        <f>IF(OR('Brouillard ventes'!$F$124="",'Brouillard ventes'!$J$124="À crédit",'Brouillard ventes'!$J$124=""),"","REGL "&amp;LEFT('Brouillard ventes'!$D$124,25))</f>
        <v/>
      </c>
      <c r="F239" s="22">
        <f>IF(OR('Brouillard ventes'!$F$124="",'Brouillard ventes'!$J$124="À crédit",'Brouillard ventes'!$J$124=""),"",IF('Brouillard ventes'!$J$124="Espèces","04001","02001"))</f>
        <v/>
      </c>
      <c r="G239" s="22">
        <f>IF(OR('Brouillard ventes'!$F$124="",'Brouillard ventes'!$J$124="À crédit",'Brouillard ventes'!$J$124=""),"",Paramètres!$B$7)</f>
        <v/>
      </c>
      <c r="H239" s="22">
        <f>IF(OR('Brouillard ventes'!$F$124="",'Brouillard ventes'!$J$124="À crédit",'Brouillard ventes'!$J$124=""),"",IF('Brouillard ventes'!$C$124="","CD001",'Brouillard ventes'!$C$124))</f>
        <v/>
      </c>
      <c r="I239" s="22" t="inlineStr"/>
      <c r="J239" s="22" t="inlineStr"/>
      <c r="K239" s="22">
        <f>IF(OR('Brouillard ventes'!$F$124="",'Brouillard ventes'!$J$124="À crédit",'Brouillard ventes'!$J$124=""),"",Paramètres!$B$11)</f>
        <v/>
      </c>
      <c r="L239" s="23" t="n">
        <v>0</v>
      </c>
      <c r="M239" s="23">
        <f>IF(OR('Brouillard ventes'!$F$124="",'Brouillard ventes'!$J$124="À crédit",'Brouillard ventes'!$J$124=""),0,'Brouillard ventes'!$I$124)</f>
        <v/>
      </c>
    </row>
    <row r="240">
      <c r="A240" s="22" t="inlineStr">
        <is>
          <t>1</t>
        </is>
      </c>
      <c r="B240" s="22">
        <f>IF(OR('Brouillard ventes'!$F$125="",'Brouillard ventes'!$J$125="À crédit",'Brouillard ventes'!$J$125=""),"","EC"&amp;TEXT(ROW('Brouillard ventes'!$F$125)-5,"00000"))</f>
        <v/>
      </c>
      <c r="C240" s="22">
        <f>IF(OR('Brouillard ventes'!$F$125="",'Brouillard ventes'!$J$125="À crédit",'Brouillard ventes'!$J$125=""),"",YEAR('Brouillard ventes'!$A$125)*10000+MONTH('Brouillard ventes'!$A$125)*100+DAY('Brouillard ventes'!$A$125))</f>
        <v/>
      </c>
      <c r="D240" s="22">
        <f>IF(OR('Brouillard ventes'!$F$125="",'Brouillard ventes'!$J$125="À crédit",'Brouillard ventes'!$J$125=""),"",'Brouillard ventes'!$B$125)</f>
        <v/>
      </c>
      <c r="E240" s="22">
        <f>IF(OR('Brouillard ventes'!$F$125="",'Brouillard ventes'!$J$125="À crédit",'Brouillard ventes'!$J$125=""),"","REGL "&amp;LEFT('Brouillard ventes'!$D$125,25))</f>
        <v/>
      </c>
      <c r="F240" s="22">
        <f>IF(OR('Brouillard ventes'!$F$125="",'Brouillard ventes'!$J$125="À crédit",'Brouillard ventes'!$J$125=""),"",IF('Brouillard ventes'!$J$125="Espèces","04001","02001"))</f>
        <v/>
      </c>
      <c r="G240" s="22">
        <f>IF(OR('Brouillard ventes'!$F$125="",'Brouillard ventes'!$J$125="À crédit",'Brouillard ventes'!$J$125=""),"",IF('Brouillard ventes'!$J$125="Espèces","53000","51220"))</f>
        <v/>
      </c>
      <c r="H240" s="22" t="inlineStr"/>
      <c r="I240" s="22" t="inlineStr"/>
      <c r="J240" s="22" t="inlineStr"/>
      <c r="K240" s="22">
        <f>IF(OR('Brouillard ventes'!$F$125="",'Brouillard ventes'!$J$125="À crédit",'Brouillard ventes'!$J$125=""),"",Paramètres!$B$11)</f>
        <v/>
      </c>
      <c r="L240" s="23">
        <f>IF(OR('Brouillard ventes'!$F$125="",'Brouillard ventes'!$J$125="À crédit",'Brouillard ventes'!$J$125=""),0,'Brouillard ventes'!$I$125)</f>
        <v/>
      </c>
      <c r="M240" s="23" t="n">
        <v>0</v>
      </c>
    </row>
    <row r="241">
      <c r="A241" s="22" t="inlineStr">
        <is>
          <t>1</t>
        </is>
      </c>
      <c r="B241" s="22">
        <f>IF(OR('Brouillard ventes'!$F$125="",'Brouillard ventes'!$J$125="À crédit",'Brouillard ventes'!$J$125=""),"","EC"&amp;TEXT(ROW('Brouillard ventes'!$F$125)-5,"00000"))</f>
        <v/>
      </c>
      <c r="C241" s="22">
        <f>IF(OR('Brouillard ventes'!$F$125="",'Brouillard ventes'!$J$125="À crédit",'Brouillard ventes'!$J$125=""),"",YEAR('Brouillard ventes'!$A$125)*10000+MONTH('Brouillard ventes'!$A$125)*100+DAY('Brouillard ventes'!$A$125))</f>
        <v/>
      </c>
      <c r="D241" s="22">
        <f>IF(OR('Brouillard ventes'!$F$125="",'Brouillard ventes'!$J$125="À crédit",'Brouillard ventes'!$J$125=""),"",'Brouillard ventes'!$B$125)</f>
        <v/>
      </c>
      <c r="E241" s="22">
        <f>IF(OR('Brouillard ventes'!$F$125="",'Brouillard ventes'!$J$125="À crédit",'Brouillard ventes'!$J$125=""),"","REGL "&amp;LEFT('Brouillard ventes'!$D$125,25))</f>
        <v/>
      </c>
      <c r="F241" s="22">
        <f>IF(OR('Brouillard ventes'!$F$125="",'Brouillard ventes'!$J$125="À crédit",'Brouillard ventes'!$J$125=""),"",IF('Brouillard ventes'!$J$125="Espèces","04001","02001"))</f>
        <v/>
      </c>
      <c r="G241" s="22">
        <f>IF(OR('Brouillard ventes'!$F$125="",'Brouillard ventes'!$J$125="À crédit",'Brouillard ventes'!$J$125=""),"",Paramètres!$B$7)</f>
        <v/>
      </c>
      <c r="H241" s="22">
        <f>IF(OR('Brouillard ventes'!$F$125="",'Brouillard ventes'!$J$125="À crédit",'Brouillard ventes'!$J$125=""),"",IF('Brouillard ventes'!$C$125="","CD001",'Brouillard ventes'!$C$125))</f>
        <v/>
      </c>
      <c r="I241" s="22" t="inlineStr"/>
      <c r="J241" s="22" t="inlineStr"/>
      <c r="K241" s="22">
        <f>IF(OR('Brouillard ventes'!$F$125="",'Brouillard ventes'!$J$125="À crédit",'Brouillard ventes'!$J$125=""),"",Paramètres!$B$11)</f>
        <v/>
      </c>
      <c r="L241" s="23" t="n">
        <v>0</v>
      </c>
      <c r="M241" s="23">
        <f>IF(OR('Brouillard ventes'!$F$125="",'Brouillard ventes'!$J$125="À crédit",'Brouillard ventes'!$J$125=""),0,'Brouillard ventes'!$I$125)</f>
        <v/>
      </c>
    </row>
    <row r="242">
      <c r="A242" s="22" t="inlineStr">
        <is>
          <t>1</t>
        </is>
      </c>
      <c r="B242" s="22">
        <f>IF(OR('Brouillard ventes'!$F$126="",'Brouillard ventes'!$J$126="À crédit",'Brouillard ventes'!$J$126=""),"","EC"&amp;TEXT(ROW('Brouillard ventes'!$F$126)-5,"00000"))</f>
        <v/>
      </c>
      <c r="C242" s="22">
        <f>IF(OR('Brouillard ventes'!$F$126="",'Brouillard ventes'!$J$126="À crédit",'Brouillard ventes'!$J$126=""),"",YEAR('Brouillard ventes'!$A$126)*10000+MONTH('Brouillard ventes'!$A$126)*100+DAY('Brouillard ventes'!$A$126))</f>
        <v/>
      </c>
      <c r="D242" s="22">
        <f>IF(OR('Brouillard ventes'!$F$126="",'Brouillard ventes'!$J$126="À crédit",'Brouillard ventes'!$J$126=""),"",'Brouillard ventes'!$B$126)</f>
        <v/>
      </c>
      <c r="E242" s="22">
        <f>IF(OR('Brouillard ventes'!$F$126="",'Brouillard ventes'!$J$126="À crédit",'Brouillard ventes'!$J$126=""),"","REGL "&amp;LEFT('Brouillard ventes'!$D$126,25))</f>
        <v/>
      </c>
      <c r="F242" s="22">
        <f>IF(OR('Brouillard ventes'!$F$126="",'Brouillard ventes'!$J$126="À crédit",'Brouillard ventes'!$J$126=""),"",IF('Brouillard ventes'!$J$126="Espèces","04001","02001"))</f>
        <v/>
      </c>
      <c r="G242" s="22">
        <f>IF(OR('Brouillard ventes'!$F$126="",'Brouillard ventes'!$J$126="À crédit",'Brouillard ventes'!$J$126=""),"",IF('Brouillard ventes'!$J$126="Espèces","53000","51220"))</f>
        <v/>
      </c>
      <c r="H242" s="22" t="inlineStr"/>
      <c r="I242" s="22" t="inlineStr"/>
      <c r="J242" s="22" t="inlineStr"/>
      <c r="K242" s="22">
        <f>IF(OR('Brouillard ventes'!$F$126="",'Brouillard ventes'!$J$126="À crédit",'Brouillard ventes'!$J$126=""),"",Paramètres!$B$11)</f>
        <v/>
      </c>
      <c r="L242" s="23">
        <f>IF(OR('Brouillard ventes'!$F$126="",'Brouillard ventes'!$J$126="À crédit",'Brouillard ventes'!$J$126=""),0,'Brouillard ventes'!$I$126)</f>
        <v/>
      </c>
      <c r="M242" s="23" t="n">
        <v>0</v>
      </c>
    </row>
    <row r="243">
      <c r="A243" s="22" t="inlineStr">
        <is>
          <t>1</t>
        </is>
      </c>
      <c r="B243" s="22">
        <f>IF(OR('Brouillard ventes'!$F$126="",'Brouillard ventes'!$J$126="À crédit",'Brouillard ventes'!$J$126=""),"","EC"&amp;TEXT(ROW('Brouillard ventes'!$F$126)-5,"00000"))</f>
        <v/>
      </c>
      <c r="C243" s="22">
        <f>IF(OR('Brouillard ventes'!$F$126="",'Brouillard ventes'!$J$126="À crédit",'Brouillard ventes'!$J$126=""),"",YEAR('Brouillard ventes'!$A$126)*10000+MONTH('Brouillard ventes'!$A$126)*100+DAY('Brouillard ventes'!$A$126))</f>
        <v/>
      </c>
      <c r="D243" s="22">
        <f>IF(OR('Brouillard ventes'!$F$126="",'Brouillard ventes'!$J$126="À crédit",'Brouillard ventes'!$J$126=""),"",'Brouillard ventes'!$B$126)</f>
        <v/>
      </c>
      <c r="E243" s="22">
        <f>IF(OR('Brouillard ventes'!$F$126="",'Brouillard ventes'!$J$126="À crédit",'Brouillard ventes'!$J$126=""),"","REGL "&amp;LEFT('Brouillard ventes'!$D$126,25))</f>
        <v/>
      </c>
      <c r="F243" s="22">
        <f>IF(OR('Brouillard ventes'!$F$126="",'Brouillard ventes'!$J$126="À crédit",'Brouillard ventes'!$J$126=""),"",IF('Brouillard ventes'!$J$126="Espèces","04001","02001"))</f>
        <v/>
      </c>
      <c r="G243" s="22">
        <f>IF(OR('Brouillard ventes'!$F$126="",'Brouillard ventes'!$J$126="À crédit",'Brouillard ventes'!$J$126=""),"",Paramètres!$B$7)</f>
        <v/>
      </c>
      <c r="H243" s="22">
        <f>IF(OR('Brouillard ventes'!$F$126="",'Brouillard ventes'!$J$126="À crédit",'Brouillard ventes'!$J$126=""),"",IF('Brouillard ventes'!$C$126="","CD001",'Brouillard ventes'!$C$126))</f>
        <v/>
      </c>
      <c r="I243" s="22" t="inlineStr"/>
      <c r="J243" s="22" t="inlineStr"/>
      <c r="K243" s="22">
        <f>IF(OR('Brouillard ventes'!$F$126="",'Brouillard ventes'!$J$126="À crédit",'Brouillard ventes'!$J$126=""),"",Paramètres!$B$11)</f>
        <v/>
      </c>
      <c r="L243" s="23" t="n">
        <v>0</v>
      </c>
      <c r="M243" s="23">
        <f>IF(OR('Brouillard ventes'!$F$126="",'Brouillard ventes'!$J$126="À crédit",'Brouillard ventes'!$J$126=""),0,'Brouillard ventes'!$I$126)</f>
        <v/>
      </c>
    </row>
    <row r="244">
      <c r="A244" s="22" t="inlineStr">
        <is>
          <t>1</t>
        </is>
      </c>
      <c r="B244" s="22">
        <f>IF(OR('Brouillard ventes'!$F$127="",'Brouillard ventes'!$J$127="À crédit",'Brouillard ventes'!$J$127=""),"","EC"&amp;TEXT(ROW('Brouillard ventes'!$F$127)-5,"00000"))</f>
        <v/>
      </c>
      <c r="C244" s="22">
        <f>IF(OR('Brouillard ventes'!$F$127="",'Brouillard ventes'!$J$127="À crédit",'Brouillard ventes'!$J$127=""),"",YEAR('Brouillard ventes'!$A$127)*10000+MONTH('Brouillard ventes'!$A$127)*100+DAY('Brouillard ventes'!$A$127))</f>
        <v/>
      </c>
      <c r="D244" s="22">
        <f>IF(OR('Brouillard ventes'!$F$127="",'Brouillard ventes'!$J$127="À crédit",'Brouillard ventes'!$J$127=""),"",'Brouillard ventes'!$B$127)</f>
        <v/>
      </c>
      <c r="E244" s="22">
        <f>IF(OR('Brouillard ventes'!$F$127="",'Brouillard ventes'!$J$127="À crédit",'Brouillard ventes'!$J$127=""),"","REGL "&amp;LEFT('Brouillard ventes'!$D$127,25))</f>
        <v/>
      </c>
      <c r="F244" s="22">
        <f>IF(OR('Brouillard ventes'!$F$127="",'Brouillard ventes'!$J$127="À crédit",'Brouillard ventes'!$J$127=""),"",IF('Brouillard ventes'!$J$127="Espèces","04001","02001"))</f>
        <v/>
      </c>
      <c r="G244" s="22">
        <f>IF(OR('Brouillard ventes'!$F$127="",'Brouillard ventes'!$J$127="À crédit",'Brouillard ventes'!$J$127=""),"",IF('Brouillard ventes'!$J$127="Espèces","53000","51220"))</f>
        <v/>
      </c>
      <c r="H244" s="22" t="inlineStr"/>
      <c r="I244" s="22" t="inlineStr"/>
      <c r="J244" s="22" t="inlineStr"/>
      <c r="K244" s="22">
        <f>IF(OR('Brouillard ventes'!$F$127="",'Brouillard ventes'!$J$127="À crédit",'Brouillard ventes'!$J$127=""),"",Paramètres!$B$11)</f>
        <v/>
      </c>
      <c r="L244" s="23">
        <f>IF(OR('Brouillard ventes'!$F$127="",'Brouillard ventes'!$J$127="À crédit",'Brouillard ventes'!$J$127=""),0,'Brouillard ventes'!$I$127)</f>
        <v/>
      </c>
      <c r="M244" s="23" t="n">
        <v>0</v>
      </c>
    </row>
    <row r="245">
      <c r="A245" s="22" t="inlineStr">
        <is>
          <t>1</t>
        </is>
      </c>
      <c r="B245" s="22">
        <f>IF(OR('Brouillard ventes'!$F$127="",'Brouillard ventes'!$J$127="À crédit",'Brouillard ventes'!$J$127=""),"","EC"&amp;TEXT(ROW('Brouillard ventes'!$F$127)-5,"00000"))</f>
        <v/>
      </c>
      <c r="C245" s="22">
        <f>IF(OR('Brouillard ventes'!$F$127="",'Brouillard ventes'!$J$127="À crédit",'Brouillard ventes'!$J$127=""),"",YEAR('Brouillard ventes'!$A$127)*10000+MONTH('Brouillard ventes'!$A$127)*100+DAY('Brouillard ventes'!$A$127))</f>
        <v/>
      </c>
      <c r="D245" s="22">
        <f>IF(OR('Brouillard ventes'!$F$127="",'Brouillard ventes'!$J$127="À crédit",'Brouillard ventes'!$J$127=""),"",'Brouillard ventes'!$B$127)</f>
        <v/>
      </c>
      <c r="E245" s="22">
        <f>IF(OR('Brouillard ventes'!$F$127="",'Brouillard ventes'!$J$127="À crédit",'Brouillard ventes'!$J$127=""),"","REGL "&amp;LEFT('Brouillard ventes'!$D$127,25))</f>
        <v/>
      </c>
      <c r="F245" s="22">
        <f>IF(OR('Brouillard ventes'!$F$127="",'Brouillard ventes'!$J$127="À crédit",'Brouillard ventes'!$J$127=""),"",IF('Brouillard ventes'!$J$127="Espèces","04001","02001"))</f>
        <v/>
      </c>
      <c r="G245" s="22">
        <f>IF(OR('Brouillard ventes'!$F$127="",'Brouillard ventes'!$J$127="À crédit",'Brouillard ventes'!$J$127=""),"",Paramètres!$B$7)</f>
        <v/>
      </c>
      <c r="H245" s="22">
        <f>IF(OR('Brouillard ventes'!$F$127="",'Brouillard ventes'!$J$127="À crédit",'Brouillard ventes'!$J$127=""),"",IF('Brouillard ventes'!$C$127="","CD001",'Brouillard ventes'!$C$127))</f>
        <v/>
      </c>
      <c r="I245" s="22" t="inlineStr"/>
      <c r="J245" s="22" t="inlineStr"/>
      <c r="K245" s="22">
        <f>IF(OR('Brouillard ventes'!$F$127="",'Brouillard ventes'!$J$127="À crédit",'Brouillard ventes'!$J$127=""),"",Paramètres!$B$11)</f>
        <v/>
      </c>
      <c r="L245" s="23" t="n">
        <v>0</v>
      </c>
      <c r="M245" s="23">
        <f>IF(OR('Brouillard ventes'!$F$127="",'Brouillard ventes'!$J$127="À crédit",'Brouillard ventes'!$J$127=""),0,'Brouillard ventes'!$I$127)</f>
        <v/>
      </c>
    </row>
    <row r="246">
      <c r="A246" s="22" t="inlineStr">
        <is>
          <t>1</t>
        </is>
      </c>
      <c r="B246" s="22">
        <f>IF(OR('Brouillard ventes'!$F$128="",'Brouillard ventes'!$J$128="À crédit",'Brouillard ventes'!$J$128=""),"","EC"&amp;TEXT(ROW('Brouillard ventes'!$F$128)-5,"00000"))</f>
        <v/>
      </c>
      <c r="C246" s="22">
        <f>IF(OR('Brouillard ventes'!$F$128="",'Brouillard ventes'!$J$128="À crédit",'Brouillard ventes'!$J$128=""),"",YEAR('Brouillard ventes'!$A$128)*10000+MONTH('Brouillard ventes'!$A$128)*100+DAY('Brouillard ventes'!$A$128))</f>
        <v/>
      </c>
      <c r="D246" s="22">
        <f>IF(OR('Brouillard ventes'!$F$128="",'Brouillard ventes'!$J$128="À crédit",'Brouillard ventes'!$J$128=""),"",'Brouillard ventes'!$B$128)</f>
        <v/>
      </c>
      <c r="E246" s="22">
        <f>IF(OR('Brouillard ventes'!$F$128="",'Brouillard ventes'!$J$128="À crédit",'Brouillard ventes'!$J$128=""),"","REGL "&amp;LEFT('Brouillard ventes'!$D$128,25))</f>
        <v/>
      </c>
      <c r="F246" s="22">
        <f>IF(OR('Brouillard ventes'!$F$128="",'Brouillard ventes'!$J$128="À crédit",'Brouillard ventes'!$J$128=""),"",IF('Brouillard ventes'!$J$128="Espèces","04001","02001"))</f>
        <v/>
      </c>
      <c r="G246" s="22">
        <f>IF(OR('Brouillard ventes'!$F$128="",'Brouillard ventes'!$J$128="À crédit",'Brouillard ventes'!$J$128=""),"",IF('Brouillard ventes'!$J$128="Espèces","53000","51220"))</f>
        <v/>
      </c>
      <c r="H246" s="22" t="inlineStr"/>
      <c r="I246" s="22" t="inlineStr"/>
      <c r="J246" s="22" t="inlineStr"/>
      <c r="K246" s="22">
        <f>IF(OR('Brouillard ventes'!$F$128="",'Brouillard ventes'!$J$128="À crédit",'Brouillard ventes'!$J$128=""),"",Paramètres!$B$11)</f>
        <v/>
      </c>
      <c r="L246" s="23">
        <f>IF(OR('Brouillard ventes'!$F$128="",'Brouillard ventes'!$J$128="À crédit",'Brouillard ventes'!$J$128=""),0,'Brouillard ventes'!$I$128)</f>
        <v/>
      </c>
      <c r="M246" s="23" t="n">
        <v>0</v>
      </c>
    </row>
    <row r="247">
      <c r="A247" s="22" t="inlineStr">
        <is>
          <t>1</t>
        </is>
      </c>
      <c r="B247" s="22">
        <f>IF(OR('Brouillard ventes'!$F$128="",'Brouillard ventes'!$J$128="À crédit",'Brouillard ventes'!$J$128=""),"","EC"&amp;TEXT(ROW('Brouillard ventes'!$F$128)-5,"00000"))</f>
        <v/>
      </c>
      <c r="C247" s="22">
        <f>IF(OR('Brouillard ventes'!$F$128="",'Brouillard ventes'!$J$128="À crédit",'Brouillard ventes'!$J$128=""),"",YEAR('Brouillard ventes'!$A$128)*10000+MONTH('Brouillard ventes'!$A$128)*100+DAY('Brouillard ventes'!$A$128))</f>
        <v/>
      </c>
      <c r="D247" s="22">
        <f>IF(OR('Brouillard ventes'!$F$128="",'Brouillard ventes'!$J$128="À crédit",'Brouillard ventes'!$J$128=""),"",'Brouillard ventes'!$B$128)</f>
        <v/>
      </c>
      <c r="E247" s="22">
        <f>IF(OR('Brouillard ventes'!$F$128="",'Brouillard ventes'!$J$128="À crédit",'Brouillard ventes'!$J$128=""),"","REGL "&amp;LEFT('Brouillard ventes'!$D$128,25))</f>
        <v/>
      </c>
      <c r="F247" s="22">
        <f>IF(OR('Brouillard ventes'!$F$128="",'Brouillard ventes'!$J$128="À crédit",'Brouillard ventes'!$J$128=""),"",IF('Brouillard ventes'!$J$128="Espèces","04001","02001"))</f>
        <v/>
      </c>
      <c r="G247" s="22">
        <f>IF(OR('Brouillard ventes'!$F$128="",'Brouillard ventes'!$J$128="À crédit",'Brouillard ventes'!$J$128=""),"",Paramètres!$B$7)</f>
        <v/>
      </c>
      <c r="H247" s="22">
        <f>IF(OR('Brouillard ventes'!$F$128="",'Brouillard ventes'!$J$128="À crédit",'Brouillard ventes'!$J$128=""),"",IF('Brouillard ventes'!$C$128="","CD001",'Brouillard ventes'!$C$128))</f>
        <v/>
      </c>
      <c r="I247" s="22" t="inlineStr"/>
      <c r="J247" s="22" t="inlineStr"/>
      <c r="K247" s="22">
        <f>IF(OR('Brouillard ventes'!$F$128="",'Brouillard ventes'!$J$128="À crédit",'Brouillard ventes'!$J$128=""),"",Paramètres!$B$11)</f>
        <v/>
      </c>
      <c r="L247" s="23" t="n">
        <v>0</v>
      </c>
      <c r="M247" s="23">
        <f>IF(OR('Brouillard ventes'!$F$128="",'Brouillard ventes'!$J$128="À crédit",'Brouillard ventes'!$J$128=""),0,'Brouillard ventes'!$I$128)</f>
        <v/>
      </c>
    </row>
    <row r="248">
      <c r="A248" s="22" t="inlineStr">
        <is>
          <t>1</t>
        </is>
      </c>
      <c r="B248" s="22">
        <f>IF(OR('Brouillard ventes'!$F$129="",'Brouillard ventes'!$J$129="À crédit",'Brouillard ventes'!$J$129=""),"","EC"&amp;TEXT(ROW('Brouillard ventes'!$F$129)-5,"00000"))</f>
        <v/>
      </c>
      <c r="C248" s="22">
        <f>IF(OR('Brouillard ventes'!$F$129="",'Brouillard ventes'!$J$129="À crédit",'Brouillard ventes'!$J$129=""),"",YEAR('Brouillard ventes'!$A$129)*10000+MONTH('Brouillard ventes'!$A$129)*100+DAY('Brouillard ventes'!$A$129))</f>
        <v/>
      </c>
      <c r="D248" s="22">
        <f>IF(OR('Brouillard ventes'!$F$129="",'Brouillard ventes'!$J$129="À crédit",'Brouillard ventes'!$J$129=""),"",'Brouillard ventes'!$B$129)</f>
        <v/>
      </c>
      <c r="E248" s="22">
        <f>IF(OR('Brouillard ventes'!$F$129="",'Brouillard ventes'!$J$129="À crédit",'Brouillard ventes'!$J$129=""),"","REGL "&amp;LEFT('Brouillard ventes'!$D$129,25))</f>
        <v/>
      </c>
      <c r="F248" s="22">
        <f>IF(OR('Brouillard ventes'!$F$129="",'Brouillard ventes'!$J$129="À crédit",'Brouillard ventes'!$J$129=""),"",IF('Brouillard ventes'!$J$129="Espèces","04001","02001"))</f>
        <v/>
      </c>
      <c r="G248" s="22">
        <f>IF(OR('Brouillard ventes'!$F$129="",'Brouillard ventes'!$J$129="À crédit",'Brouillard ventes'!$J$129=""),"",IF('Brouillard ventes'!$J$129="Espèces","53000","51220"))</f>
        <v/>
      </c>
      <c r="H248" s="22" t="inlineStr"/>
      <c r="I248" s="22" t="inlineStr"/>
      <c r="J248" s="22" t="inlineStr"/>
      <c r="K248" s="22">
        <f>IF(OR('Brouillard ventes'!$F$129="",'Brouillard ventes'!$J$129="À crédit",'Brouillard ventes'!$J$129=""),"",Paramètres!$B$11)</f>
        <v/>
      </c>
      <c r="L248" s="23">
        <f>IF(OR('Brouillard ventes'!$F$129="",'Brouillard ventes'!$J$129="À crédit",'Brouillard ventes'!$J$129=""),0,'Brouillard ventes'!$I$129)</f>
        <v/>
      </c>
      <c r="M248" s="23" t="n">
        <v>0</v>
      </c>
    </row>
    <row r="249">
      <c r="A249" s="22" t="inlineStr">
        <is>
          <t>1</t>
        </is>
      </c>
      <c r="B249" s="22">
        <f>IF(OR('Brouillard ventes'!$F$129="",'Brouillard ventes'!$J$129="À crédit",'Brouillard ventes'!$J$129=""),"","EC"&amp;TEXT(ROW('Brouillard ventes'!$F$129)-5,"00000"))</f>
        <v/>
      </c>
      <c r="C249" s="22">
        <f>IF(OR('Brouillard ventes'!$F$129="",'Brouillard ventes'!$J$129="À crédit",'Brouillard ventes'!$J$129=""),"",YEAR('Brouillard ventes'!$A$129)*10000+MONTH('Brouillard ventes'!$A$129)*100+DAY('Brouillard ventes'!$A$129))</f>
        <v/>
      </c>
      <c r="D249" s="22">
        <f>IF(OR('Brouillard ventes'!$F$129="",'Brouillard ventes'!$J$129="À crédit",'Brouillard ventes'!$J$129=""),"",'Brouillard ventes'!$B$129)</f>
        <v/>
      </c>
      <c r="E249" s="22">
        <f>IF(OR('Brouillard ventes'!$F$129="",'Brouillard ventes'!$J$129="À crédit",'Brouillard ventes'!$J$129=""),"","REGL "&amp;LEFT('Brouillard ventes'!$D$129,25))</f>
        <v/>
      </c>
      <c r="F249" s="22">
        <f>IF(OR('Brouillard ventes'!$F$129="",'Brouillard ventes'!$J$129="À crédit",'Brouillard ventes'!$J$129=""),"",IF('Brouillard ventes'!$J$129="Espèces","04001","02001"))</f>
        <v/>
      </c>
      <c r="G249" s="22">
        <f>IF(OR('Brouillard ventes'!$F$129="",'Brouillard ventes'!$J$129="À crédit",'Brouillard ventes'!$J$129=""),"",Paramètres!$B$7)</f>
        <v/>
      </c>
      <c r="H249" s="22">
        <f>IF(OR('Brouillard ventes'!$F$129="",'Brouillard ventes'!$J$129="À crédit",'Brouillard ventes'!$J$129=""),"",IF('Brouillard ventes'!$C$129="","CD001",'Brouillard ventes'!$C$129))</f>
        <v/>
      </c>
      <c r="I249" s="22" t="inlineStr"/>
      <c r="J249" s="22" t="inlineStr"/>
      <c r="K249" s="22">
        <f>IF(OR('Brouillard ventes'!$F$129="",'Brouillard ventes'!$J$129="À crédit",'Brouillard ventes'!$J$129=""),"",Paramètres!$B$11)</f>
        <v/>
      </c>
      <c r="L249" s="23" t="n">
        <v>0</v>
      </c>
      <c r="M249" s="23">
        <f>IF(OR('Brouillard ventes'!$F$129="",'Brouillard ventes'!$J$129="À crédit",'Brouillard ventes'!$J$129=""),0,'Brouillard ventes'!$I$129)</f>
        <v/>
      </c>
    </row>
    <row r="250">
      <c r="A250" s="22" t="inlineStr">
        <is>
          <t>1</t>
        </is>
      </c>
      <c r="B250" s="22">
        <f>IF(OR('Brouillard ventes'!$F$130="",'Brouillard ventes'!$J$130="À crédit",'Brouillard ventes'!$J$130=""),"","EC"&amp;TEXT(ROW('Brouillard ventes'!$F$130)-5,"00000"))</f>
        <v/>
      </c>
      <c r="C250" s="22">
        <f>IF(OR('Brouillard ventes'!$F$130="",'Brouillard ventes'!$J$130="À crédit",'Brouillard ventes'!$J$130=""),"",YEAR('Brouillard ventes'!$A$130)*10000+MONTH('Brouillard ventes'!$A$130)*100+DAY('Brouillard ventes'!$A$130))</f>
        <v/>
      </c>
      <c r="D250" s="22">
        <f>IF(OR('Brouillard ventes'!$F$130="",'Brouillard ventes'!$J$130="À crédit",'Brouillard ventes'!$J$130=""),"",'Brouillard ventes'!$B$130)</f>
        <v/>
      </c>
      <c r="E250" s="22">
        <f>IF(OR('Brouillard ventes'!$F$130="",'Brouillard ventes'!$J$130="À crédit",'Brouillard ventes'!$J$130=""),"","REGL "&amp;LEFT('Brouillard ventes'!$D$130,25))</f>
        <v/>
      </c>
      <c r="F250" s="22">
        <f>IF(OR('Brouillard ventes'!$F$130="",'Brouillard ventes'!$J$130="À crédit",'Brouillard ventes'!$J$130=""),"",IF('Brouillard ventes'!$J$130="Espèces","04001","02001"))</f>
        <v/>
      </c>
      <c r="G250" s="22">
        <f>IF(OR('Brouillard ventes'!$F$130="",'Brouillard ventes'!$J$130="À crédit",'Brouillard ventes'!$J$130=""),"",IF('Brouillard ventes'!$J$130="Espèces","53000","51220"))</f>
        <v/>
      </c>
      <c r="H250" s="22" t="inlineStr"/>
      <c r="I250" s="22" t="inlineStr"/>
      <c r="J250" s="22" t="inlineStr"/>
      <c r="K250" s="22">
        <f>IF(OR('Brouillard ventes'!$F$130="",'Brouillard ventes'!$J$130="À crédit",'Brouillard ventes'!$J$130=""),"",Paramètres!$B$11)</f>
        <v/>
      </c>
      <c r="L250" s="23">
        <f>IF(OR('Brouillard ventes'!$F$130="",'Brouillard ventes'!$J$130="À crédit",'Brouillard ventes'!$J$130=""),0,'Brouillard ventes'!$I$130)</f>
        <v/>
      </c>
      <c r="M250" s="23" t="n">
        <v>0</v>
      </c>
    </row>
    <row r="251">
      <c r="A251" s="22" t="inlineStr">
        <is>
          <t>1</t>
        </is>
      </c>
      <c r="B251" s="22">
        <f>IF(OR('Brouillard ventes'!$F$130="",'Brouillard ventes'!$J$130="À crédit",'Brouillard ventes'!$J$130=""),"","EC"&amp;TEXT(ROW('Brouillard ventes'!$F$130)-5,"00000"))</f>
        <v/>
      </c>
      <c r="C251" s="22">
        <f>IF(OR('Brouillard ventes'!$F$130="",'Brouillard ventes'!$J$130="À crédit",'Brouillard ventes'!$J$130=""),"",YEAR('Brouillard ventes'!$A$130)*10000+MONTH('Brouillard ventes'!$A$130)*100+DAY('Brouillard ventes'!$A$130))</f>
        <v/>
      </c>
      <c r="D251" s="22">
        <f>IF(OR('Brouillard ventes'!$F$130="",'Brouillard ventes'!$J$130="À crédit",'Brouillard ventes'!$J$130=""),"",'Brouillard ventes'!$B$130)</f>
        <v/>
      </c>
      <c r="E251" s="22">
        <f>IF(OR('Brouillard ventes'!$F$130="",'Brouillard ventes'!$J$130="À crédit",'Brouillard ventes'!$J$130=""),"","REGL "&amp;LEFT('Brouillard ventes'!$D$130,25))</f>
        <v/>
      </c>
      <c r="F251" s="22">
        <f>IF(OR('Brouillard ventes'!$F$130="",'Brouillard ventes'!$J$130="À crédit",'Brouillard ventes'!$J$130=""),"",IF('Brouillard ventes'!$J$130="Espèces","04001","02001"))</f>
        <v/>
      </c>
      <c r="G251" s="22">
        <f>IF(OR('Brouillard ventes'!$F$130="",'Brouillard ventes'!$J$130="À crédit",'Brouillard ventes'!$J$130=""),"",Paramètres!$B$7)</f>
        <v/>
      </c>
      <c r="H251" s="22">
        <f>IF(OR('Brouillard ventes'!$F$130="",'Brouillard ventes'!$J$130="À crédit",'Brouillard ventes'!$J$130=""),"",IF('Brouillard ventes'!$C$130="","CD001",'Brouillard ventes'!$C$130))</f>
        <v/>
      </c>
      <c r="I251" s="22" t="inlineStr"/>
      <c r="J251" s="22" t="inlineStr"/>
      <c r="K251" s="22">
        <f>IF(OR('Brouillard ventes'!$F$130="",'Brouillard ventes'!$J$130="À crédit",'Brouillard ventes'!$J$130=""),"",Paramètres!$B$11)</f>
        <v/>
      </c>
      <c r="L251" s="23" t="n">
        <v>0</v>
      </c>
      <c r="M251" s="23">
        <f>IF(OR('Brouillard ventes'!$F$130="",'Brouillard ventes'!$J$130="À crédit",'Brouillard ventes'!$J$130=""),0,'Brouillard ventes'!$I$130)</f>
        <v/>
      </c>
    </row>
    <row r="252">
      <c r="A252" s="22" t="inlineStr">
        <is>
          <t>1</t>
        </is>
      </c>
      <c r="B252" s="22">
        <f>IF(OR('Brouillard ventes'!$F$131="",'Brouillard ventes'!$J$131="À crédit",'Brouillard ventes'!$J$131=""),"","EC"&amp;TEXT(ROW('Brouillard ventes'!$F$131)-5,"00000"))</f>
        <v/>
      </c>
      <c r="C252" s="22">
        <f>IF(OR('Brouillard ventes'!$F$131="",'Brouillard ventes'!$J$131="À crédit",'Brouillard ventes'!$J$131=""),"",YEAR('Brouillard ventes'!$A$131)*10000+MONTH('Brouillard ventes'!$A$131)*100+DAY('Brouillard ventes'!$A$131))</f>
        <v/>
      </c>
      <c r="D252" s="22">
        <f>IF(OR('Brouillard ventes'!$F$131="",'Brouillard ventes'!$J$131="À crédit",'Brouillard ventes'!$J$131=""),"",'Brouillard ventes'!$B$131)</f>
        <v/>
      </c>
      <c r="E252" s="22">
        <f>IF(OR('Brouillard ventes'!$F$131="",'Brouillard ventes'!$J$131="À crédit",'Brouillard ventes'!$J$131=""),"","REGL "&amp;LEFT('Brouillard ventes'!$D$131,25))</f>
        <v/>
      </c>
      <c r="F252" s="22">
        <f>IF(OR('Brouillard ventes'!$F$131="",'Brouillard ventes'!$J$131="À crédit",'Brouillard ventes'!$J$131=""),"",IF('Brouillard ventes'!$J$131="Espèces","04001","02001"))</f>
        <v/>
      </c>
      <c r="G252" s="22">
        <f>IF(OR('Brouillard ventes'!$F$131="",'Brouillard ventes'!$J$131="À crédit",'Brouillard ventes'!$J$131=""),"",IF('Brouillard ventes'!$J$131="Espèces","53000","51220"))</f>
        <v/>
      </c>
      <c r="H252" s="22" t="inlineStr"/>
      <c r="I252" s="22" t="inlineStr"/>
      <c r="J252" s="22" t="inlineStr"/>
      <c r="K252" s="22">
        <f>IF(OR('Brouillard ventes'!$F$131="",'Brouillard ventes'!$J$131="À crédit",'Brouillard ventes'!$J$131=""),"",Paramètres!$B$11)</f>
        <v/>
      </c>
      <c r="L252" s="23">
        <f>IF(OR('Brouillard ventes'!$F$131="",'Brouillard ventes'!$J$131="À crédit",'Brouillard ventes'!$J$131=""),0,'Brouillard ventes'!$I$131)</f>
        <v/>
      </c>
      <c r="M252" s="23" t="n">
        <v>0</v>
      </c>
    </row>
    <row r="253">
      <c r="A253" s="22" t="inlineStr">
        <is>
          <t>1</t>
        </is>
      </c>
      <c r="B253" s="22">
        <f>IF(OR('Brouillard ventes'!$F$131="",'Brouillard ventes'!$J$131="À crédit",'Brouillard ventes'!$J$131=""),"","EC"&amp;TEXT(ROW('Brouillard ventes'!$F$131)-5,"00000"))</f>
        <v/>
      </c>
      <c r="C253" s="22">
        <f>IF(OR('Brouillard ventes'!$F$131="",'Brouillard ventes'!$J$131="À crédit",'Brouillard ventes'!$J$131=""),"",YEAR('Brouillard ventes'!$A$131)*10000+MONTH('Brouillard ventes'!$A$131)*100+DAY('Brouillard ventes'!$A$131))</f>
        <v/>
      </c>
      <c r="D253" s="22">
        <f>IF(OR('Brouillard ventes'!$F$131="",'Brouillard ventes'!$J$131="À crédit",'Brouillard ventes'!$J$131=""),"",'Brouillard ventes'!$B$131)</f>
        <v/>
      </c>
      <c r="E253" s="22">
        <f>IF(OR('Brouillard ventes'!$F$131="",'Brouillard ventes'!$J$131="À crédit",'Brouillard ventes'!$J$131=""),"","REGL "&amp;LEFT('Brouillard ventes'!$D$131,25))</f>
        <v/>
      </c>
      <c r="F253" s="22">
        <f>IF(OR('Brouillard ventes'!$F$131="",'Brouillard ventes'!$J$131="À crédit",'Brouillard ventes'!$J$131=""),"",IF('Brouillard ventes'!$J$131="Espèces","04001","02001"))</f>
        <v/>
      </c>
      <c r="G253" s="22">
        <f>IF(OR('Brouillard ventes'!$F$131="",'Brouillard ventes'!$J$131="À crédit",'Brouillard ventes'!$J$131=""),"",Paramètres!$B$7)</f>
        <v/>
      </c>
      <c r="H253" s="22">
        <f>IF(OR('Brouillard ventes'!$F$131="",'Brouillard ventes'!$J$131="À crédit",'Brouillard ventes'!$J$131=""),"",IF('Brouillard ventes'!$C$131="","CD001",'Brouillard ventes'!$C$131))</f>
        <v/>
      </c>
      <c r="I253" s="22" t="inlineStr"/>
      <c r="J253" s="22" t="inlineStr"/>
      <c r="K253" s="22">
        <f>IF(OR('Brouillard ventes'!$F$131="",'Brouillard ventes'!$J$131="À crédit",'Brouillard ventes'!$J$131=""),"",Paramètres!$B$11)</f>
        <v/>
      </c>
      <c r="L253" s="23" t="n">
        <v>0</v>
      </c>
      <c r="M253" s="23">
        <f>IF(OR('Brouillard ventes'!$F$131="",'Brouillard ventes'!$J$131="À crédit",'Brouillard ventes'!$J$131=""),0,'Brouillard ventes'!$I$131)</f>
        <v/>
      </c>
    </row>
    <row r="254">
      <c r="A254" s="22" t="inlineStr">
        <is>
          <t>1</t>
        </is>
      </c>
      <c r="B254" s="22">
        <f>IF(OR('Brouillard ventes'!$F$132="",'Brouillard ventes'!$J$132="À crédit",'Brouillard ventes'!$J$132=""),"","EC"&amp;TEXT(ROW('Brouillard ventes'!$F$132)-5,"00000"))</f>
        <v/>
      </c>
      <c r="C254" s="22">
        <f>IF(OR('Brouillard ventes'!$F$132="",'Brouillard ventes'!$J$132="À crédit",'Brouillard ventes'!$J$132=""),"",YEAR('Brouillard ventes'!$A$132)*10000+MONTH('Brouillard ventes'!$A$132)*100+DAY('Brouillard ventes'!$A$132))</f>
        <v/>
      </c>
      <c r="D254" s="22">
        <f>IF(OR('Brouillard ventes'!$F$132="",'Brouillard ventes'!$J$132="À crédit",'Brouillard ventes'!$J$132=""),"",'Brouillard ventes'!$B$132)</f>
        <v/>
      </c>
      <c r="E254" s="22">
        <f>IF(OR('Brouillard ventes'!$F$132="",'Brouillard ventes'!$J$132="À crédit",'Brouillard ventes'!$J$132=""),"","REGL "&amp;LEFT('Brouillard ventes'!$D$132,25))</f>
        <v/>
      </c>
      <c r="F254" s="22">
        <f>IF(OR('Brouillard ventes'!$F$132="",'Brouillard ventes'!$J$132="À crédit",'Brouillard ventes'!$J$132=""),"",IF('Brouillard ventes'!$J$132="Espèces","04001","02001"))</f>
        <v/>
      </c>
      <c r="G254" s="22">
        <f>IF(OR('Brouillard ventes'!$F$132="",'Brouillard ventes'!$J$132="À crédit",'Brouillard ventes'!$J$132=""),"",IF('Brouillard ventes'!$J$132="Espèces","53000","51220"))</f>
        <v/>
      </c>
      <c r="H254" s="22" t="inlineStr"/>
      <c r="I254" s="22" t="inlineStr"/>
      <c r="J254" s="22" t="inlineStr"/>
      <c r="K254" s="22">
        <f>IF(OR('Brouillard ventes'!$F$132="",'Brouillard ventes'!$J$132="À crédit",'Brouillard ventes'!$J$132=""),"",Paramètres!$B$11)</f>
        <v/>
      </c>
      <c r="L254" s="23">
        <f>IF(OR('Brouillard ventes'!$F$132="",'Brouillard ventes'!$J$132="À crédit",'Brouillard ventes'!$J$132=""),0,'Brouillard ventes'!$I$132)</f>
        <v/>
      </c>
      <c r="M254" s="23" t="n">
        <v>0</v>
      </c>
    </row>
    <row r="255">
      <c r="A255" s="22" t="inlineStr">
        <is>
          <t>1</t>
        </is>
      </c>
      <c r="B255" s="22">
        <f>IF(OR('Brouillard ventes'!$F$132="",'Brouillard ventes'!$J$132="À crédit",'Brouillard ventes'!$J$132=""),"","EC"&amp;TEXT(ROW('Brouillard ventes'!$F$132)-5,"00000"))</f>
        <v/>
      </c>
      <c r="C255" s="22">
        <f>IF(OR('Brouillard ventes'!$F$132="",'Brouillard ventes'!$J$132="À crédit",'Brouillard ventes'!$J$132=""),"",YEAR('Brouillard ventes'!$A$132)*10000+MONTH('Brouillard ventes'!$A$132)*100+DAY('Brouillard ventes'!$A$132))</f>
        <v/>
      </c>
      <c r="D255" s="22">
        <f>IF(OR('Brouillard ventes'!$F$132="",'Brouillard ventes'!$J$132="À crédit",'Brouillard ventes'!$J$132=""),"",'Brouillard ventes'!$B$132)</f>
        <v/>
      </c>
      <c r="E255" s="22">
        <f>IF(OR('Brouillard ventes'!$F$132="",'Brouillard ventes'!$J$132="À crédit",'Brouillard ventes'!$J$132=""),"","REGL "&amp;LEFT('Brouillard ventes'!$D$132,25))</f>
        <v/>
      </c>
      <c r="F255" s="22">
        <f>IF(OR('Brouillard ventes'!$F$132="",'Brouillard ventes'!$J$132="À crédit",'Brouillard ventes'!$J$132=""),"",IF('Brouillard ventes'!$J$132="Espèces","04001","02001"))</f>
        <v/>
      </c>
      <c r="G255" s="22">
        <f>IF(OR('Brouillard ventes'!$F$132="",'Brouillard ventes'!$J$132="À crédit",'Brouillard ventes'!$J$132=""),"",Paramètres!$B$7)</f>
        <v/>
      </c>
      <c r="H255" s="22">
        <f>IF(OR('Brouillard ventes'!$F$132="",'Brouillard ventes'!$J$132="À crédit",'Brouillard ventes'!$J$132=""),"",IF('Brouillard ventes'!$C$132="","CD001",'Brouillard ventes'!$C$132))</f>
        <v/>
      </c>
      <c r="I255" s="22" t="inlineStr"/>
      <c r="J255" s="22" t="inlineStr"/>
      <c r="K255" s="22">
        <f>IF(OR('Brouillard ventes'!$F$132="",'Brouillard ventes'!$J$132="À crédit",'Brouillard ventes'!$J$132=""),"",Paramètres!$B$11)</f>
        <v/>
      </c>
      <c r="L255" s="23" t="n">
        <v>0</v>
      </c>
      <c r="M255" s="23">
        <f>IF(OR('Brouillard ventes'!$F$132="",'Brouillard ventes'!$J$132="À crédit",'Brouillard ventes'!$J$132=""),0,'Brouillard ventes'!$I$132)</f>
        <v/>
      </c>
    </row>
    <row r="256">
      <c r="A256" s="22" t="inlineStr">
        <is>
          <t>1</t>
        </is>
      </c>
      <c r="B256" s="22">
        <f>IF(OR('Brouillard ventes'!$F$133="",'Brouillard ventes'!$J$133="À crédit",'Brouillard ventes'!$J$133=""),"","EC"&amp;TEXT(ROW('Brouillard ventes'!$F$133)-5,"00000"))</f>
        <v/>
      </c>
      <c r="C256" s="22">
        <f>IF(OR('Brouillard ventes'!$F$133="",'Brouillard ventes'!$J$133="À crédit",'Brouillard ventes'!$J$133=""),"",YEAR('Brouillard ventes'!$A$133)*10000+MONTH('Brouillard ventes'!$A$133)*100+DAY('Brouillard ventes'!$A$133))</f>
        <v/>
      </c>
      <c r="D256" s="22">
        <f>IF(OR('Brouillard ventes'!$F$133="",'Brouillard ventes'!$J$133="À crédit",'Brouillard ventes'!$J$133=""),"",'Brouillard ventes'!$B$133)</f>
        <v/>
      </c>
      <c r="E256" s="22">
        <f>IF(OR('Brouillard ventes'!$F$133="",'Brouillard ventes'!$J$133="À crédit",'Brouillard ventes'!$J$133=""),"","REGL "&amp;LEFT('Brouillard ventes'!$D$133,25))</f>
        <v/>
      </c>
      <c r="F256" s="22">
        <f>IF(OR('Brouillard ventes'!$F$133="",'Brouillard ventes'!$J$133="À crédit",'Brouillard ventes'!$J$133=""),"",IF('Brouillard ventes'!$J$133="Espèces","04001","02001"))</f>
        <v/>
      </c>
      <c r="G256" s="22">
        <f>IF(OR('Brouillard ventes'!$F$133="",'Brouillard ventes'!$J$133="À crédit",'Brouillard ventes'!$J$133=""),"",IF('Brouillard ventes'!$J$133="Espèces","53000","51220"))</f>
        <v/>
      </c>
      <c r="H256" s="22" t="inlineStr"/>
      <c r="I256" s="22" t="inlineStr"/>
      <c r="J256" s="22" t="inlineStr"/>
      <c r="K256" s="22">
        <f>IF(OR('Brouillard ventes'!$F$133="",'Brouillard ventes'!$J$133="À crédit",'Brouillard ventes'!$J$133=""),"",Paramètres!$B$11)</f>
        <v/>
      </c>
      <c r="L256" s="23">
        <f>IF(OR('Brouillard ventes'!$F$133="",'Brouillard ventes'!$J$133="À crédit",'Brouillard ventes'!$J$133=""),0,'Brouillard ventes'!$I$133)</f>
        <v/>
      </c>
      <c r="M256" s="23" t="n">
        <v>0</v>
      </c>
    </row>
    <row r="257">
      <c r="A257" s="22" t="inlineStr">
        <is>
          <t>1</t>
        </is>
      </c>
      <c r="B257" s="22">
        <f>IF(OR('Brouillard ventes'!$F$133="",'Brouillard ventes'!$J$133="À crédit",'Brouillard ventes'!$J$133=""),"","EC"&amp;TEXT(ROW('Brouillard ventes'!$F$133)-5,"00000"))</f>
        <v/>
      </c>
      <c r="C257" s="22">
        <f>IF(OR('Brouillard ventes'!$F$133="",'Brouillard ventes'!$J$133="À crédit",'Brouillard ventes'!$J$133=""),"",YEAR('Brouillard ventes'!$A$133)*10000+MONTH('Brouillard ventes'!$A$133)*100+DAY('Brouillard ventes'!$A$133))</f>
        <v/>
      </c>
      <c r="D257" s="22">
        <f>IF(OR('Brouillard ventes'!$F$133="",'Brouillard ventes'!$J$133="À crédit",'Brouillard ventes'!$J$133=""),"",'Brouillard ventes'!$B$133)</f>
        <v/>
      </c>
      <c r="E257" s="22">
        <f>IF(OR('Brouillard ventes'!$F$133="",'Brouillard ventes'!$J$133="À crédit",'Brouillard ventes'!$J$133=""),"","REGL "&amp;LEFT('Brouillard ventes'!$D$133,25))</f>
        <v/>
      </c>
      <c r="F257" s="22">
        <f>IF(OR('Brouillard ventes'!$F$133="",'Brouillard ventes'!$J$133="À crédit",'Brouillard ventes'!$J$133=""),"",IF('Brouillard ventes'!$J$133="Espèces","04001","02001"))</f>
        <v/>
      </c>
      <c r="G257" s="22">
        <f>IF(OR('Brouillard ventes'!$F$133="",'Brouillard ventes'!$J$133="À crédit",'Brouillard ventes'!$J$133=""),"",Paramètres!$B$7)</f>
        <v/>
      </c>
      <c r="H257" s="22">
        <f>IF(OR('Brouillard ventes'!$F$133="",'Brouillard ventes'!$J$133="À crédit",'Brouillard ventes'!$J$133=""),"",IF('Brouillard ventes'!$C$133="","CD001",'Brouillard ventes'!$C$133))</f>
        <v/>
      </c>
      <c r="I257" s="22" t="inlineStr"/>
      <c r="J257" s="22" t="inlineStr"/>
      <c r="K257" s="22">
        <f>IF(OR('Brouillard ventes'!$F$133="",'Brouillard ventes'!$J$133="À crédit",'Brouillard ventes'!$J$133=""),"",Paramètres!$B$11)</f>
        <v/>
      </c>
      <c r="L257" s="23" t="n">
        <v>0</v>
      </c>
      <c r="M257" s="23">
        <f>IF(OR('Brouillard ventes'!$F$133="",'Brouillard ventes'!$J$133="À crédit",'Brouillard ventes'!$J$133=""),0,'Brouillard ventes'!$I$133)</f>
        <v/>
      </c>
    </row>
    <row r="258">
      <c r="A258" s="22" t="inlineStr">
        <is>
          <t>1</t>
        </is>
      </c>
      <c r="B258" s="22">
        <f>IF(OR('Brouillard ventes'!$F$134="",'Brouillard ventes'!$J$134="À crédit",'Brouillard ventes'!$J$134=""),"","EC"&amp;TEXT(ROW('Brouillard ventes'!$F$134)-5,"00000"))</f>
        <v/>
      </c>
      <c r="C258" s="22">
        <f>IF(OR('Brouillard ventes'!$F$134="",'Brouillard ventes'!$J$134="À crédit",'Brouillard ventes'!$J$134=""),"",YEAR('Brouillard ventes'!$A$134)*10000+MONTH('Brouillard ventes'!$A$134)*100+DAY('Brouillard ventes'!$A$134))</f>
        <v/>
      </c>
      <c r="D258" s="22">
        <f>IF(OR('Brouillard ventes'!$F$134="",'Brouillard ventes'!$J$134="À crédit",'Brouillard ventes'!$J$134=""),"",'Brouillard ventes'!$B$134)</f>
        <v/>
      </c>
      <c r="E258" s="22">
        <f>IF(OR('Brouillard ventes'!$F$134="",'Brouillard ventes'!$J$134="À crédit",'Brouillard ventes'!$J$134=""),"","REGL "&amp;LEFT('Brouillard ventes'!$D$134,25))</f>
        <v/>
      </c>
      <c r="F258" s="22">
        <f>IF(OR('Brouillard ventes'!$F$134="",'Brouillard ventes'!$J$134="À crédit",'Brouillard ventes'!$J$134=""),"",IF('Brouillard ventes'!$J$134="Espèces","04001","02001"))</f>
        <v/>
      </c>
      <c r="G258" s="22">
        <f>IF(OR('Brouillard ventes'!$F$134="",'Brouillard ventes'!$J$134="À crédit",'Brouillard ventes'!$J$134=""),"",IF('Brouillard ventes'!$J$134="Espèces","53000","51220"))</f>
        <v/>
      </c>
      <c r="H258" s="22" t="inlineStr"/>
      <c r="I258" s="22" t="inlineStr"/>
      <c r="J258" s="22" t="inlineStr"/>
      <c r="K258" s="22">
        <f>IF(OR('Brouillard ventes'!$F$134="",'Brouillard ventes'!$J$134="À crédit",'Brouillard ventes'!$J$134=""),"",Paramètres!$B$11)</f>
        <v/>
      </c>
      <c r="L258" s="23">
        <f>IF(OR('Brouillard ventes'!$F$134="",'Brouillard ventes'!$J$134="À crédit",'Brouillard ventes'!$J$134=""),0,'Brouillard ventes'!$I$134)</f>
        <v/>
      </c>
      <c r="M258" s="23" t="n">
        <v>0</v>
      </c>
    </row>
    <row r="259">
      <c r="A259" s="22" t="inlineStr">
        <is>
          <t>1</t>
        </is>
      </c>
      <c r="B259" s="22">
        <f>IF(OR('Brouillard ventes'!$F$134="",'Brouillard ventes'!$J$134="À crédit",'Brouillard ventes'!$J$134=""),"","EC"&amp;TEXT(ROW('Brouillard ventes'!$F$134)-5,"00000"))</f>
        <v/>
      </c>
      <c r="C259" s="22">
        <f>IF(OR('Brouillard ventes'!$F$134="",'Brouillard ventes'!$J$134="À crédit",'Brouillard ventes'!$J$134=""),"",YEAR('Brouillard ventes'!$A$134)*10000+MONTH('Brouillard ventes'!$A$134)*100+DAY('Brouillard ventes'!$A$134))</f>
        <v/>
      </c>
      <c r="D259" s="22">
        <f>IF(OR('Brouillard ventes'!$F$134="",'Brouillard ventes'!$J$134="À crédit",'Brouillard ventes'!$J$134=""),"",'Brouillard ventes'!$B$134)</f>
        <v/>
      </c>
      <c r="E259" s="22">
        <f>IF(OR('Brouillard ventes'!$F$134="",'Brouillard ventes'!$J$134="À crédit",'Brouillard ventes'!$J$134=""),"","REGL "&amp;LEFT('Brouillard ventes'!$D$134,25))</f>
        <v/>
      </c>
      <c r="F259" s="22">
        <f>IF(OR('Brouillard ventes'!$F$134="",'Brouillard ventes'!$J$134="À crédit",'Brouillard ventes'!$J$134=""),"",IF('Brouillard ventes'!$J$134="Espèces","04001","02001"))</f>
        <v/>
      </c>
      <c r="G259" s="22">
        <f>IF(OR('Brouillard ventes'!$F$134="",'Brouillard ventes'!$J$134="À crédit",'Brouillard ventes'!$J$134=""),"",Paramètres!$B$7)</f>
        <v/>
      </c>
      <c r="H259" s="22">
        <f>IF(OR('Brouillard ventes'!$F$134="",'Brouillard ventes'!$J$134="À crédit",'Brouillard ventes'!$J$134=""),"",IF('Brouillard ventes'!$C$134="","CD001",'Brouillard ventes'!$C$134))</f>
        <v/>
      </c>
      <c r="I259" s="22" t="inlineStr"/>
      <c r="J259" s="22" t="inlineStr"/>
      <c r="K259" s="22">
        <f>IF(OR('Brouillard ventes'!$F$134="",'Brouillard ventes'!$J$134="À crédit",'Brouillard ventes'!$J$134=""),"",Paramètres!$B$11)</f>
        <v/>
      </c>
      <c r="L259" s="23" t="n">
        <v>0</v>
      </c>
      <c r="M259" s="23">
        <f>IF(OR('Brouillard ventes'!$F$134="",'Brouillard ventes'!$J$134="À crédit",'Brouillard ventes'!$J$134=""),0,'Brouillard ventes'!$I$134)</f>
        <v/>
      </c>
    </row>
    <row r="260">
      <c r="A260" s="22" t="inlineStr">
        <is>
          <t>1</t>
        </is>
      </c>
      <c r="B260" s="22">
        <f>IF(OR('Brouillard ventes'!$F$135="",'Brouillard ventes'!$J$135="À crédit",'Brouillard ventes'!$J$135=""),"","EC"&amp;TEXT(ROW('Brouillard ventes'!$F$135)-5,"00000"))</f>
        <v/>
      </c>
      <c r="C260" s="22">
        <f>IF(OR('Brouillard ventes'!$F$135="",'Brouillard ventes'!$J$135="À crédit",'Brouillard ventes'!$J$135=""),"",YEAR('Brouillard ventes'!$A$135)*10000+MONTH('Brouillard ventes'!$A$135)*100+DAY('Brouillard ventes'!$A$135))</f>
        <v/>
      </c>
      <c r="D260" s="22">
        <f>IF(OR('Brouillard ventes'!$F$135="",'Brouillard ventes'!$J$135="À crédit",'Brouillard ventes'!$J$135=""),"",'Brouillard ventes'!$B$135)</f>
        <v/>
      </c>
      <c r="E260" s="22">
        <f>IF(OR('Brouillard ventes'!$F$135="",'Brouillard ventes'!$J$135="À crédit",'Brouillard ventes'!$J$135=""),"","REGL "&amp;LEFT('Brouillard ventes'!$D$135,25))</f>
        <v/>
      </c>
      <c r="F260" s="22">
        <f>IF(OR('Brouillard ventes'!$F$135="",'Brouillard ventes'!$J$135="À crédit",'Brouillard ventes'!$J$135=""),"",IF('Brouillard ventes'!$J$135="Espèces","04001","02001"))</f>
        <v/>
      </c>
      <c r="G260" s="22">
        <f>IF(OR('Brouillard ventes'!$F$135="",'Brouillard ventes'!$J$135="À crédit",'Brouillard ventes'!$J$135=""),"",IF('Brouillard ventes'!$J$135="Espèces","53000","51220"))</f>
        <v/>
      </c>
      <c r="H260" s="22" t="inlineStr"/>
      <c r="I260" s="22" t="inlineStr"/>
      <c r="J260" s="22" t="inlineStr"/>
      <c r="K260" s="22">
        <f>IF(OR('Brouillard ventes'!$F$135="",'Brouillard ventes'!$J$135="À crédit",'Brouillard ventes'!$J$135=""),"",Paramètres!$B$11)</f>
        <v/>
      </c>
      <c r="L260" s="23">
        <f>IF(OR('Brouillard ventes'!$F$135="",'Brouillard ventes'!$J$135="À crédit",'Brouillard ventes'!$J$135=""),0,'Brouillard ventes'!$I$135)</f>
        <v/>
      </c>
      <c r="M260" s="23" t="n">
        <v>0</v>
      </c>
    </row>
    <row r="261">
      <c r="A261" s="22" t="inlineStr">
        <is>
          <t>1</t>
        </is>
      </c>
      <c r="B261" s="22">
        <f>IF(OR('Brouillard ventes'!$F$135="",'Brouillard ventes'!$J$135="À crédit",'Brouillard ventes'!$J$135=""),"","EC"&amp;TEXT(ROW('Brouillard ventes'!$F$135)-5,"00000"))</f>
        <v/>
      </c>
      <c r="C261" s="22">
        <f>IF(OR('Brouillard ventes'!$F$135="",'Brouillard ventes'!$J$135="À crédit",'Brouillard ventes'!$J$135=""),"",YEAR('Brouillard ventes'!$A$135)*10000+MONTH('Brouillard ventes'!$A$135)*100+DAY('Brouillard ventes'!$A$135))</f>
        <v/>
      </c>
      <c r="D261" s="22">
        <f>IF(OR('Brouillard ventes'!$F$135="",'Brouillard ventes'!$J$135="À crédit",'Brouillard ventes'!$J$135=""),"",'Brouillard ventes'!$B$135)</f>
        <v/>
      </c>
      <c r="E261" s="22">
        <f>IF(OR('Brouillard ventes'!$F$135="",'Brouillard ventes'!$J$135="À crédit",'Brouillard ventes'!$J$135=""),"","REGL "&amp;LEFT('Brouillard ventes'!$D$135,25))</f>
        <v/>
      </c>
      <c r="F261" s="22">
        <f>IF(OR('Brouillard ventes'!$F$135="",'Brouillard ventes'!$J$135="À crédit",'Brouillard ventes'!$J$135=""),"",IF('Brouillard ventes'!$J$135="Espèces","04001","02001"))</f>
        <v/>
      </c>
      <c r="G261" s="22">
        <f>IF(OR('Brouillard ventes'!$F$135="",'Brouillard ventes'!$J$135="À crédit",'Brouillard ventes'!$J$135=""),"",Paramètres!$B$7)</f>
        <v/>
      </c>
      <c r="H261" s="22">
        <f>IF(OR('Brouillard ventes'!$F$135="",'Brouillard ventes'!$J$135="À crédit",'Brouillard ventes'!$J$135=""),"",IF('Brouillard ventes'!$C$135="","CD001",'Brouillard ventes'!$C$135))</f>
        <v/>
      </c>
      <c r="I261" s="22" t="inlineStr"/>
      <c r="J261" s="22" t="inlineStr"/>
      <c r="K261" s="22">
        <f>IF(OR('Brouillard ventes'!$F$135="",'Brouillard ventes'!$J$135="À crédit",'Brouillard ventes'!$J$135=""),"",Paramètres!$B$11)</f>
        <v/>
      </c>
      <c r="L261" s="23" t="n">
        <v>0</v>
      </c>
      <c r="M261" s="23">
        <f>IF(OR('Brouillard ventes'!$F$135="",'Brouillard ventes'!$J$135="À crédit",'Brouillard ventes'!$J$135=""),0,'Brouillard ventes'!$I$135)</f>
        <v/>
      </c>
    </row>
    <row r="262">
      <c r="A262" s="22" t="inlineStr">
        <is>
          <t>1</t>
        </is>
      </c>
      <c r="B262" s="22">
        <f>IF(OR('Brouillard ventes'!$F$136="",'Brouillard ventes'!$J$136="À crédit",'Brouillard ventes'!$J$136=""),"","EC"&amp;TEXT(ROW('Brouillard ventes'!$F$136)-5,"00000"))</f>
        <v/>
      </c>
      <c r="C262" s="22">
        <f>IF(OR('Brouillard ventes'!$F$136="",'Brouillard ventes'!$J$136="À crédit",'Brouillard ventes'!$J$136=""),"",YEAR('Brouillard ventes'!$A$136)*10000+MONTH('Brouillard ventes'!$A$136)*100+DAY('Brouillard ventes'!$A$136))</f>
        <v/>
      </c>
      <c r="D262" s="22">
        <f>IF(OR('Brouillard ventes'!$F$136="",'Brouillard ventes'!$J$136="À crédit",'Brouillard ventes'!$J$136=""),"",'Brouillard ventes'!$B$136)</f>
        <v/>
      </c>
      <c r="E262" s="22">
        <f>IF(OR('Brouillard ventes'!$F$136="",'Brouillard ventes'!$J$136="À crédit",'Brouillard ventes'!$J$136=""),"","REGL "&amp;LEFT('Brouillard ventes'!$D$136,25))</f>
        <v/>
      </c>
      <c r="F262" s="22">
        <f>IF(OR('Brouillard ventes'!$F$136="",'Brouillard ventes'!$J$136="À crédit",'Brouillard ventes'!$J$136=""),"",IF('Brouillard ventes'!$J$136="Espèces","04001","02001"))</f>
        <v/>
      </c>
      <c r="G262" s="22">
        <f>IF(OR('Brouillard ventes'!$F$136="",'Brouillard ventes'!$J$136="À crédit",'Brouillard ventes'!$J$136=""),"",IF('Brouillard ventes'!$J$136="Espèces","53000","51220"))</f>
        <v/>
      </c>
      <c r="H262" s="22" t="inlineStr"/>
      <c r="I262" s="22" t="inlineStr"/>
      <c r="J262" s="22" t="inlineStr"/>
      <c r="K262" s="22">
        <f>IF(OR('Brouillard ventes'!$F$136="",'Brouillard ventes'!$J$136="À crédit",'Brouillard ventes'!$J$136=""),"",Paramètres!$B$11)</f>
        <v/>
      </c>
      <c r="L262" s="23">
        <f>IF(OR('Brouillard ventes'!$F$136="",'Brouillard ventes'!$J$136="À crédit",'Brouillard ventes'!$J$136=""),0,'Brouillard ventes'!$I$136)</f>
        <v/>
      </c>
      <c r="M262" s="23" t="n">
        <v>0</v>
      </c>
    </row>
    <row r="263">
      <c r="A263" s="22" t="inlineStr">
        <is>
          <t>1</t>
        </is>
      </c>
      <c r="B263" s="22">
        <f>IF(OR('Brouillard ventes'!$F$136="",'Brouillard ventes'!$J$136="À crédit",'Brouillard ventes'!$J$136=""),"","EC"&amp;TEXT(ROW('Brouillard ventes'!$F$136)-5,"00000"))</f>
        <v/>
      </c>
      <c r="C263" s="22">
        <f>IF(OR('Brouillard ventes'!$F$136="",'Brouillard ventes'!$J$136="À crédit",'Brouillard ventes'!$J$136=""),"",YEAR('Brouillard ventes'!$A$136)*10000+MONTH('Brouillard ventes'!$A$136)*100+DAY('Brouillard ventes'!$A$136))</f>
        <v/>
      </c>
      <c r="D263" s="22">
        <f>IF(OR('Brouillard ventes'!$F$136="",'Brouillard ventes'!$J$136="À crédit",'Brouillard ventes'!$J$136=""),"",'Brouillard ventes'!$B$136)</f>
        <v/>
      </c>
      <c r="E263" s="22">
        <f>IF(OR('Brouillard ventes'!$F$136="",'Brouillard ventes'!$J$136="À crédit",'Brouillard ventes'!$J$136=""),"","REGL "&amp;LEFT('Brouillard ventes'!$D$136,25))</f>
        <v/>
      </c>
      <c r="F263" s="22">
        <f>IF(OR('Brouillard ventes'!$F$136="",'Brouillard ventes'!$J$136="À crédit",'Brouillard ventes'!$J$136=""),"",IF('Brouillard ventes'!$J$136="Espèces","04001","02001"))</f>
        <v/>
      </c>
      <c r="G263" s="22">
        <f>IF(OR('Brouillard ventes'!$F$136="",'Brouillard ventes'!$J$136="À crédit",'Brouillard ventes'!$J$136=""),"",Paramètres!$B$7)</f>
        <v/>
      </c>
      <c r="H263" s="22">
        <f>IF(OR('Brouillard ventes'!$F$136="",'Brouillard ventes'!$J$136="À crédit",'Brouillard ventes'!$J$136=""),"",IF('Brouillard ventes'!$C$136="","CD001",'Brouillard ventes'!$C$136))</f>
        <v/>
      </c>
      <c r="I263" s="22" t="inlineStr"/>
      <c r="J263" s="22" t="inlineStr"/>
      <c r="K263" s="22">
        <f>IF(OR('Brouillard ventes'!$F$136="",'Brouillard ventes'!$J$136="À crédit",'Brouillard ventes'!$J$136=""),"",Paramètres!$B$11)</f>
        <v/>
      </c>
      <c r="L263" s="23" t="n">
        <v>0</v>
      </c>
      <c r="M263" s="23">
        <f>IF(OR('Brouillard ventes'!$F$136="",'Brouillard ventes'!$J$136="À crédit",'Brouillard ventes'!$J$136=""),0,'Brouillard ventes'!$I$136)</f>
        <v/>
      </c>
    </row>
    <row r="264">
      <c r="A264" s="22" t="inlineStr">
        <is>
          <t>1</t>
        </is>
      </c>
      <c r="B264" s="22">
        <f>IF(OR('Brouillard ventes'!$F$137="",'Brouillard ventes'!$J$137="À crédit",'Brouillard ventes'!$J$137=""),"","EC"&amp;TEXT(ROW('Brouillard ventes'!$F$137)-5,"00000"))</f>
        <v/>
      </c>
      <c r="C264" s="22">
        <f>IF(OR('Brouillard ventes'!$F$137="",'Brouillard ventes'!$J$137="À crédit",'Brouillard ventes'!$J$137=""),"",YEAR('Brouillard ventes'!$A$137)*10000+MONTH('Brouillard ventes'!$A$137)*100+DAY('Brouillard ventes'!$A$137))</f>
        <v/>
      </c>
      <c r="D264" s="22">
        <f>IF(OR('Brouillard ventes'!$F$137="",'Brouillard ventes'!$J$137="À crédit",'Brouillard ventes'!$J$137=""),"",'Brouillard ventes'!$B$137)</f>
        <v/>
      </c>
      <c r="E264" s="22">
        <f>IF(OR('Brouillard ventes'!$F$137="",'Brouillard ventes'!$J$137="À crédit",'Brouillard ventes'!$J$137=""),"","REGL "&amp;LEFT('Brouillard ventes'!$D$137,25))</f>
        <v/>
      </c>
      <c r="F264" s="22">
        <f>IF(OR('Brouillard ventes'!$F$137="",'Brouillard ventes'!$J$137="À crédit",'Brouillard ventes'!$J$137=""),"",IF('Brouillard ventes'!$J$137="Espèces","04001","02001"))</f>
        <v/>
      </c>
      <c r="G264" s="22">
        <f>IF(OR('Brouillard ventes'!$F$137="",'Brouillard ventes'!$J$137="À crédit",'Brouillard ventes'!$J$137=""),"",IF('Brouillard ventes'!$J$137="Espèces","53000","51220"))</f>
        <v/>
      </c>
      <c r="H264" s="22" t="inlineStr"/>
      <c r="I264" s="22" t="inlineStr"/>
      <c r="J264" s="22" t="inlineStr"/>
      <c r="K264" s="22">
        <f>IF(OR('Brouillard ventes'!$F$137="",'Brouillard ventes'!$J$137="À crédit",'Brouillard ventes'!$J$137=""),"",Paramètres!$B$11)</f>
        <v/>
      </c>
      <c r="L264" s="23">
        <f>IF(OR('Brouillard ventes'!$F$137="",'Brouillard ventes'!$J$137="À crédit",'Brouillard ventes'!$J$137=""),0,'Brouillard ventes'!$I$137)</f>
        <v/>
      </c>
      <c r="M264" s="23" t="n">
        <v>0</v>
      </c>
    </row>
    <row r="265">
      <c r="A265" s="22" t="inlineStr">
        <is>
          <t>1</t>
        </is>
      </c>
      <c r="B265" s="22">
        <f>IF(OR('Brouillard ventes'!$F$137="",'Brouillard ventes'!$J$137="À crédit",'Brouillard ventes'!$J$137=""),"","EC"&amp;TEXT(ROW('Brouillard ventes'!$F$137)-5,"00000"))</f>
        <v/>
      </c>
      <c r="C265" s="22">
        <f>IF(OR('Brouillard ventes'!$F$137="",'Brouillard ventes'!$J$137="À crédit",'Brouillard ventes'!$J$137=""),"",YEAR('Brouillard ventes'!$A$137)*10000+MONTH('Brouillard ventes'!$A$137)*100+DAY('Brouillard ventes'!$A$137))</f>
        <v/>
      </c>
      <c r="D265" s="22">
        <f>IF(OR('Brouillard ventes'!$F$137="",'Brouillard ventes'!$J$137="À crédit",'Brouillard ventes'!$J$137=""),"",'Brouillard ventes'!$B$137)</f>
        <v/>
      </c>
      <c r="E265" s="22">
        <f>IF(OR('Brouillard ventes'!$F$137="",'Brouillard ventes'!$J$137="À crédit",'Brouillard ventes'!$J$137=""),"","REGL "&amp;LEFT('Brouillard ventes'!$D$137,25))</f>
        <v/>
      </c>
      <c r="F265" s="22">
        <f>IF(OR('Brouillard ventes'!$F$137="",'Brouillard ventes'!$J$137="À crédit",'Brouillard ventes'!$J$137=""),"",IF('Brouillard ventes'!$J$137="Espèces","04001","02001"))</f>
        <v/>
      </c>
      <c r="G265" s="22">
        <f>IF(OR('Brouillard ventes'!$F$137="",'Brouillard ventes'!$J$137="À crédit",'Brouillard ventes'!$J$137=""),"",Paramètres!$B$7)</f>
        <v/>
      </c>
      <c r="H265" s="22">
        <f>IF(OR('Brouillard ventes'!$F$137="",'Brouillard ventes'!$J$137="À crédit",'Brouillard ventes'!$J$137=""),"",IF('Brouillard ventes'!$C$137="","CD001",'Brouillard ventes'!$C$137))</f>
        <v/>
      </c>
      <c r="I265" s="22" t="inlineStr"/>
      <c r="J265" s="22" t="inlineStr"/>
      <c r="K265" s="22">
        <f>IF(OR('Brouillard ventes'!$F$137="",'Brouillard ventes'!$J$137="À crédit",'Brouillard ventes'!$J$137=""),"",Paramètres!$B$11)</f>
        <v/>
      </c>
      <c r="L265" s="23" t="n">
        <v>0</v>
      </c>
      <c r="M265" s="23">
        <f>IF(OR('Brouillard ventes'!$F$137="",'Brouillard ventes'!$J$137="À crédit",'Brouillard ventes'!$J$137=""),0,'Brouillard ventes'!$I$137)</f>
        <v/>
      </c>
    </row>
    <row r="266">
      <c r="A266" s="22" t="inlineStr">
        <is>
          <t>1</t>
        </is>
      </c>
      <c r="B266" s="22">
        <f>IF(OR('Brouillard ventes'!$F$138="",'Brouillard ventes'!$J$138="À crédit",'Brouillard ventes'!$J$138=""),"","EC"&amp;TEXT(ROW('Brouillard ventes'!$F$138)-5,"00000"))</f>
        <v/>
      </c>
      <c r="C266" s="22">
        <f>IF(OR('Brouillard ventes'!$F$138="",'Brouillard ventes'!$J$138="À crédit",'Brouillard ventes'!$J$138=""),"",YEAR('Brouillard ventes'!$A$138)*10000+MONTH('Brouillard ventes'!$A$138)*100+DAY('Brouillard ventes'!$A$138))</f>
        <v/>
      </c>
      <c r="D266" s="22">
        <f>IF(OR('Brouillard ventes'!$F$138="",'Brouillard ventes'!$J$138="À crédit",'Brouillard ventes'!$J$138=""),"",'Brouillard ventes'!$B$138)</f>
        <v/>
      </c>
      <c r="E266" s="22">
        <f>IF(OR('Brouillard ventes'!$F$138="",'Brouillard ventes'!$J$138="À crédit",'Brouillard ventes'!$J$138=""),"","REGL "&amp;LEFT('Brouillard ventes'!$D$138,25))</f>
        <v/>
      </c>
      <c r="F266" s="22">
        <f>IF(OR('Brouillard ventes'!$F$138="",'Brouillard ventes'!$J$138="À crédit",'Brouillard ventes'!$J$138=""),"",IF('Brouillard ventes'!$J$138="Espèces","04001","02001"))</f>
        <v/>
      </c>
      <c r="G266" s="22">
        <f>IF(OR('Brouillard ventes'!$F$138="",'Brouillard ventes'!$J$138="À crédit",'Brouillard ventes'!$J$138=""),"",IF('Brouillard ventes'!$J$138="Espèces","53000","51220"))</f>
        <v/>
      </c>
      <c r="H266" s="22" t="inlineStr"/>
      <c r="I266" s="22" t="inlineStr"/>
      <c r="J266" s="22" t="inlineStr"/>
      <c r="K266" s="22">
        <f>IF(OR('Brouillard ventes'!$F$138="",'Brouillard ventes'!$J$138="À crédit",'Brouillard ventes'!$J$138=""),"",Paramètres!$B$11)</f>
        <v/>
      </c>
      <c r="L266" s="23">
        <f>IF(OR('Brouillard ventes'!$F$138="",'Brouillard ventes'!$J$138="À crédit",'Brouillard ventes'!$J$138=""),0,'Brouillard ventes'!$I$138)</f>
        <v/>
      </c>
      <c r="M266" s="23" t="n">
        <v>0</v>
      </c>
    </row>
    <row r="267">
      <c r="A267" s="22" t="inlineStr">
        <is>
          <t>1</t>
        </is>
      </c>
      <c r="B267" s="22">
        <f>IF(OR('Brouillard ventes'!$F$138="",'Brouillard ventes'!$J$138="À crédit",'Brouillard ventes'!$J$138=""),"","EC"&amp;TEXT(ROW('Brouillard ventes'!$F$138)-5,"00000"))</f>
        <v/>
      </c>
      <c r="C267" s="22">
        <f>IF(OR('Brouillard ventes'!$F$138="",'Brouillard ventes'!$J$138="À crédit",'Brouillard ventes'!$J$138=""),"",YEAR('Brouillard ventes'!$A$138)*10000+MONTH('Brouillard ventes'!$A$138)*100+DAY('Brouillard ventes'!$A$138))</f>
        <v/>
      </c>
      <c r="D267" s="22">
        <f>IF(OR('Brouillard ventes'!$F$138="",'Brouillard ventes'!$J$138="À crédit",'Brouillard ventes'!$J$138=""),"",'Brouillard ventes'!$B$138)</f>
        <v/>
      </c>
      <c r="E267" s="22">
        <f>IF(OR('Brouillard ventes'!$F$138="",'Brouillard ventes'!$J$138="À crédit",'Brouillard ventes'!$J$138=""),"","REGL "&amp;LEFT('Brouillard ventes'!$D$138,25))</f>
        <v/>
      </c>
      <c r="F267" s="22">
        <f>IF(OR('Brouillard ventes'!$F$138="",'Brouillard ventes'!$J$138="À crédit",'Brouillard ventes'!$J$138=""),"",IF('Brouillard ventes'!$J$138="Espèces","04001","02001"))</f>
        <v/>
      </c>
      <c r="G267" s="22">
        <f>IF(OR('Brouillard ventes'!$F$138="",'Brouillard ventes'!$J$138="À crédit",'Brouillard ventes'!$J$138=""),"",Paramètres!$B$7)</f>
        <v/>
      </c>
      <c r="H267" s="22">
        <f>IF(OR('Brouillard ventes'!$F$138="",'Brouillard ventes'!$J$138="À crédit",'Brouillard ventes'!$J$138=""),"",IF('Brouillard ventes'!$C$138="","CD001",'Brouillard ventes'!$C$138))</f>
        <v/>
      </c>
      <c r="I267" s="22" t="inlineStr"/>
      <c r="J267" s="22" t="inlineStr"/>
      <c r="K267" s="22">
        <f>IF(OR('Brouillard ventes'!$F$138="",'Brouillard ventes'!$J$138="À crédit",'Brouillard ventes'!$J$138=""),"",Paramètres!$B$11)</f>
        <v/>
      </c>
      <c r="L267" s="23" t="n">
        <v>0</v>
      </c>
      <c r="M267" s="23">
        <f>IF(OR('Brouillard ventes'!$F$138="",'Brouillard ventes'!$J$138="À crédit",'Brouillard ventes'!$J$138=""),0,'Brouillard ventes'!$I$138)</f>
        <v/>
      </c>
    </row>
    <row r="268">
      <c r="A268" s="22" t="inlineStr">
        <is>
          <t>1</t>
        </is>
      </c>
      <c r="B268" s="22">
        <f>IF(OR('Brouillard ventes'!$F$139="",'Brouillard ventes'!$J$139="À crédit",'Brouillard ventes'!$J$139=""),"","EC"&amp;TEXT(ROW('Brouillard ventes'!$F$139)-5,"00000"))</f>
        <v/>
      </c>
      <c r="C268" s="22">
        <f>IF(OR('Brouillard ventes'!$F$139="",'Brouillard ventes'!$J$139="À crédit",'Brouillard ventes'!$J$139=""),"",YEAR('Brouillard ventes'!$A$139)*10000+MONTH('Brouillard ventes'!$A$139)*100+DAY('Brouillard ventes'!$A$139))</f>
        <v/>
      </c>
      <c r="D268" s="22">
        <f>IF(OR('Brouillard ventes'!$F$139="",'Brouillard ventes'!$J$139="À crédit",'Brouillard ventes'!$J$139=""),"",'Brouillard ventes'!$B$139)</f>
        <v/>
      </c>
      <c r="E268" s="22">
        <f>IF(OR('Brouillard ventes'!$F$139="",'Brouillard ventes'!$J$139="À crédit",'Brouillard ventes'!$J$139=""),"","REGL "&amp;LEFT('Brouillard ventes'!$D$139,25))</f>
        <v/>
      </c>
      <c r="F268" s="22">
        <f>IF(OR('Brouillard ventes'!$F$139="",'Brouillard ventes'!$J$139="À crédit",'Brouillard ventes'!$J$139=""),"",IF('Brouillard ventes'!$J$139="Espèces","04001","02001"))</f>
        <v/>
      </c>
      <c r="G268" s="22">
        <f>IF(OR('Brouillard ventes'!$F$139="",'Brouillard ventes'!$J$139="À crédit",'Brouillard ventes'!$J$139=""),"",IF('Brouillard ventes'!$J$139="Espèces","53000","51220"))</f>
        <v/>
      </c>
      <c r="H268" s="22" t="inlineStr"/>
      <c r="I268" s="22" t="inlineStr"/>
      <c r="J268" s="22" t="inlineStr"/>
      <c r="K268" s="22">
        <f>IF(OR('Brouillard ventes'!$F$139="",'Brouillard ventes'!$J$139="À crédit",'Brouillard ventes'!$J$139=""),"",Paramètres!$B$11)</f>
        <v/>
      </c>
      <c r="L268" s="23">
        <f>IF(OR('Brouillard ventes'!$F$139="",'Brouillard ventes'!$J$139="À crédit",'Brouillard ventes'!$J$139=""),0,'Brouillard ventes'!$I$139)</f>
        <v/>
      </c>
      <c r="M268" s="23" t="n">
        <v>0</v>
      </c>
    </row>
    <row r="269">
      <c r="A269" s="22" t="inlineStr">
        <is>
          <t>1</t>
        </is>
      </c>
      <c r="B269" s="22">
        <f>IF(OR('Brouillard ventes'!$F$139="",'Brouillard ventes'!$J$139="À crédit",'Brouillard ventes'!$J$139=""),"","EC"&amp;TEXT(ROW('Brouillard ventes'!$F$139)-5,"00000"))</f>
        <v/>
      </c>
      <c r="C269" s="22">
        <f>IF(OR('Brouillard ventes'!$F$139="",'Brouillard ventes'!$J$139="À crédit",'Brouillard ventes'!$J$139=""),"",YEAR('Brouillard ventes'!$A$139)*10000+MONTH('Brouillard ventes'!$A$139)*100+DAY('Brouillard ventes'!$A$139))</f>
        <v/>
      </c>
      <c r="D269" s="22">
        <f>IF(OR('Brouillard ventes'!$F$139="",'Brouillard ventes'!$J$139="À crédit",'Brouillard ventes'!$J$139=""),"",'Brouillard ventes'!$B$139)</f>
        <v/>
      </c>
      <c r="E269" s="22">
        <f>IF(OR('Brouillard ventes'!$F$139="",'Brouillard ventes'!$J$139="À crédit",'Brouillard ventes'!$J$139=""),"","REGL "&amp;LEFT('Brouillard ventes'!$D$139,25))</f>
        <v/>
      </c>
      <c r="F269" s="22">
        <f>IF(OR('Brouillard ventes'!$F$139="",'Brouillard ventes'!$J$139="À crédit",'Brouillard ventes'!$J$139=""),"",IF('Brouillard ventes'!$J$139="Espèces","04001","02001"))</f>
        <v/>
      </c>
      <c r="G269" s="22">
        <f>IF(OR('Brouillard ventes'!$F$139="",'Brouillard ventes'!$J$139="À crédit",'Brouillard ventes'!$J$139=""),"",Paramètres!$B$7)</f>
        <v/>
      </c>
      <c r="H269" s="22">
        <f>IF(OR('Brouillard ventes'!$F$139="",'Brouillard ventes'!$J$139="À crédit",'Brouillard ventes'!$J$139=""),"",IF('Brouillard ventes'!$C$139="","CD001",'Brouillard ventes'!$C$139))</f>
        <v/>
      </c>
      <c r="I269" s="22" t="inlineStr"/>
      <c r="J269" s="22" t="inlineStr"/>
      <c r="K269" s="22">
        <f>IF(OR('Brouillard ventes'!$F$139="",'Brouillard ventes'!$J$139="À crédit",'Brouillard ventes'!$J$139=""),"",Paramètres!$B$11)</f>
        <v/>
      </c>
      <c r="L269" s="23" t="n">
        <v>0</v>
      </c>
      <c r="M269" s="23">
        <f>IF(OR('Brouillard ventes'!$F$139="",'Brouillard ventes'!$J$139="À crédit",'Brouillard ventes'!$J$139=""),0,'Brouillard ventes'!$I$139)</f>
        <v/>
      </c>
    </row>
    <row r="270">
      <c r="A270" s="22" t="inlineStr">
        <is>
          <t>1</t>
        </is>
      </c>
      <c r="B270" s="22">
        <f>IF(OR('Brouillard ventes'!$F$140="",'Brouillard ventes'!$J$140="À crédit",'Brouillard ventes'!$J$140=""),"","EC"&amp;TEXT(ROW('Brouillard ventes'!$F$140)-5,"00000"))</f>
        <v/>
      </c>
      <c r="C270" s="22">
        <f>IF(OR('Brouillard ventes'!$F$140="",'Brouillard ventes'!$J$140="À crédit",'Brouillard ventes'!$J$140=""),"",YEAR('Brouillard ventes'!$A$140)*10000+MONTH('Brouillard ventes'!$A$140)*100+DAY('Brouillard ventes'!$A$140))</f>
        <v/>
      </c>
      <c r="D270" s="22">
        <f>IF(OR('Brouillard ventes'!$F$140="",'Brouillard ventes'!$J$140="À crédit",'Brouillard ventes'!$J$140=""),"",'Brouillard ventes'!$B$140)</f>
        <v/>
      </c>
      <c r="E270" s="22">
        <f>IF(OR('Brouillard ventes'!$F$140="",'Brouillard ventes'!$J$140="À crédit",'Brouillard ventes'!$J$140=""),"","REGL "&amp;LEFT('Brouillard ventes'!$D$140,25))</f>
        <v/>
      </c>
      <c r="F270" s="22">
        <f>IF(OR('Brouillard ventes'!$F$140="",'Brouillard ventes'!$J$140="À crédit",'Brouillard ventes'!$J$140=""),"",IF('Brouillard ventes'!$J$140="Espèces","04001","02001"))</f>
        <v/>
      </c>
      <c r="G270" s="22">
        <f>IF(OR('Brouillard ventes'!$F$140="",'Brouillard ventes'!$J$140="À crédit",'Brouillard ventes'!$J$140=""),"",IF('Brouillard ventes'!$J$140="Espèces","53000","51220"))</f>
        <v/>
      </c>
      <c r="H270" s="22" t="inlineStr"/>
      <c r="I270" s="22" t="inlineStr"/>
      <c r="J270" s="22" t="inlineStr"/>
      <c r="K270" s="22">
        <f>IF(OR('Brouillard ventes'!$F$140="",'Brouillard ventes'!$J$140="À crédit",'Brouillard ventes'!$J$140=""),"",Paramètres!$B$11)</f>
        <v/>
      </c>
      <c r="L270" s="23">
        <f>IF(OR('Brouillard ventes'!$F$140="",'Brouillard ventes'!$J$140="À crédit",'Brouillard ventes'!$J$140=""),0,'Brouillard ventes'!$I$140)</f>
        <v/>
      </c>
      <c r="M270" s="23" t="n">
        <v>0</v>
      </c>
    </row>
    <row r="271">
      <c r="A271" s="22" t="inlineStr">
        <is>
          <t>1</t>
        </is>
      </c>
      <c r="B271" s="22">
        <f>IF(OR('Brouillard ventes'!$F$140="",'Brouillard ventes'!$J$140="À crédit",'Brouillard ventes'!$J$140=""),"","EC"&amp;TEXT(ROW('Brouillard ventes'!$F$140)-5,"00000"))</f>
        <v/>
      </c>
      <c r="C271" s="22">
        <f>IF(OR('Brouillard ventes'!$F$140="",'Brouillard ventes'!$J$140="À crédit",'Brouillard ventes'!$J$140=""),"",YEAR('Brouillard ventes'!$A$140)*10000+MONTH('Brouillard ventes'!$A$140)*100+DAY('Brouillard ventes'!$A$140))</f>
        <v/>
      </c>
      <c r="D271" s="22">
        <f>IF(OR('Brouillard ventes'!$F$140="",'Brouillard ventes'!$J$140="À crédit",'Brouillard ventes'!$J$140=""),"",'Brouillard ventes'!$B$140)</f>
        <v/>
      </c>
      <c r="E271" s="22">
        <f>IF(OR('Brouillard ventes'!$F$140="",'Brouillard ventes'!$J$140="À crédit",'Brouillard ventes'!$J$140=""),"","REGL "&amp;LEFT('Brouillard ventes'!$D$140,25))</f>
        <v/>
      </c>
      <c r="F271" s="22">
        <f>IF(OR('Brouillard ventes'!$F$140="",'Brouillard ventes'!$J$140="À crédit",'Brouillard ventes'!$J$140=""),"",IF('Brouillard ventes'!$J$140="Espèces","04001","02001"))</f>
        <v/>
      </c>
      <c r="G271" s="22">
        <f>IF(OR('Brouillard ventes'!$F$140="",'Brouillard ventes'!$J$140="À crédit",'Brouillard ventes'!$J$140=""),"",Paramètres!$B$7)</f>
        <v/>
      </c>
      <c r="H271" s="22">
        <f>IF(OR('Brouillard ventes'!$F$140="",'Brouillard ventes'!$J$140="À crédit",'Brouillard ventes'!$J$140=""),"",IF('Brouillard ventes'!$C$140="","CD001",'Brouillard ventes'!$C$140))</f>
        <v/>
      </c>
      <c r="I271" s="22" t="inlineStr"/>
      <c r="J271" s="22" t="inlineStr"/>
      <c r="K271" s="22">
        <f>IF(OR('Brouillard ventes'!$F$140="",'Brouillard ventes'!$J$140="À crédit",'Brouillard ventes'!$J$140=""),"",Paramètres!$B$11)</f>
        <v/>
      </c>
      <c r="L271" s="23" t="n">
        <v>0</v>
      </c>
      <c r="M271" s="23">
        <f>IF(OR('Brouillard ventes'!$F$140="",'Brouillard ventes'!$J$140="À crédit",'Brouillard ventes'!$J$140=""),0,'Brouillard ventes'!$I$140)</f>
        <v/>
      </c>
    </row>
    <row r="272">
      <c r="A272" s="22" t="inlineStr">
        <is>
          <t>1</t>
        </is>
      </c>
      <c r="B272" s="22">
        <f>IF(OR('Brouillard ventes'!$F$141="",'Brouillard ventes'!$J$141="À crédit",'Brouillard ventes'!$J$141=""),"","EC"&amp;TEXT(ROW('Brouillard ventes'!$F$141)-5,"00000"))</f>
        <v/>
      </c>
      <c r="C272" s="22">
        <f>IF(OR('Brouillard ventes'!$F$141="",'Brouillard ventes'!$J$141="À crédit",'Brouillard ventes'!$J$141=""),"",YEAR('Brouillard ventes'!$A$141)*10000+MONTH('Brouillard ventes'!$A$141)*100+DAY('Brouillard ventes'!$A$141))</f>
        <v/>
      </c>
      <c r="D272" s="22">
        <f>IF(OR('Brouillard ventes'!$F$141="",'Brouillard ventes'!$J$141="À crédit",'Brouillard ventes'!$J$141=""),"",'Brouillard ventes'!$B$141)</f>
        <v/>
      </c>
      <c r="E272" s="22">
        <f>IF(OR('Brouillard ventes'!$F$141="",'Brouillard ventes'!$J$141="À crédit",'Brouillard ventes'!$J$141=""),"","REGL "&amp;LEFT('Brouillard ventes'!$D$141,25))</f>
        <v/>
      </c>
      <c r="F272" s="22">
        <f>IF(OR('Brouillard ventes'!$F$141="",'Brouillard ventes'!$J$141="À crédit",'Brouillard ventes'!$J$141=""),"",IF('Brouillard ventes'!$J$141="Espèces","04001","02001"))</f>
        <v/>
      </c>
      <c r="G272" s="22">
        <f>IF(OR('Brouillard ventes'!$F$141="",'Brouillard ventes'!$J$141="À crédit",'Brouillard ventes'!$J$141=""),"",IF('Brouillard ventes'!$J$141="Espèces","53000","51220"))</f>
        <v/>
      </c>
      <c r="H272" s="22" t="inlineStr"/>
      <c r="I272" s="22" t="inlineStr"/>
      <c r="J272" s="22" t="inlineStr"/>
      <c r="K272" s="22">
        <f>IF(OR('Brouillard ventes'!$F$141="",'Brouillard ventes'!$J$141="À crédit",'Brouillard ventes'!$J$141=""),"",Paramètres!$B$11)</f>
        <v/>
      </c>
      <c r="L272" s="23">
        <f>IF(OR('Brouillard ventes'!$F$141="",'Brouillard ventes'!$J$141="À crédit",'Brouillard ventes'!$J$141=""),0,'Brouillard ventes'!$I$141)</f>
        <v/>
      </c>
      <c r="M272" s="23" t="n">
        <v>0</v>
      </c>
    </row>
    <row r="273">
      <c r="A273" s="22" t="inlineStr">
        <is>
          <t>1</t>
        </is>
      </c>
      <c r="B273" s="22">
        <f>IF(OR('Brouillard ventes'!$F$141="",'Brouillard ventes'!$J$141="À crédit",'Brouillard ventes'!$J$141=""),"","EC"&amp;TEXT(ROW('Brouillard ventes'!$F$141)-5,"00000"))</f>
        <v/>
      </c>
      <c r="C273" s="22">
        <f>IF(OR('Brouillard ventes'!$F$141="",'Brouillard ventes'!$J$141="À crédit",'Brouillard ventes'!$J$141=""),"",YEAR('Brouillard ventes'!$A$141)*10000+MONTH('Brouillard ventes'!$A$141)*100+DAY('Brouillard ventes'!$A$141))</f>
        <v/>
      </c>
      <c r="D273" s="22">
        <f>IF(OR('Brouillard ventes'!$F$141="",'Brouillard ventes'!$J$141="À crédit",'Brouillard ventes'!$J$141=""),"",'Brouillard ventes'!$B$141)</f>
        <v/>
      </c>
      <c r="E273" s="22">
        <f>IF(OR('Brouillard ventes'!$F$141="",'Brouillard ventes'!$J$141="À crédit",'Brouillard ventes'!$J$141=""),"","REGL "&amp;LEFT('Brouillard ventes'!$D$141,25))</f>
        <v/>
      </c>
      <c r="F273" s="22">
        <f>IF(OR('Brouillard ventes'!$F$141="",'Brouillard ventes'!$J$141="À crédit",'Brouillard ventes'!$J$141=""),"",IF('Brouillard ventes'!$J$141="Espèces","04001","02001"))</f>
        <v/>
      </c>
      <c r="G273" s="22">
        <f>IF(OR('Brouillard ventes'!$F$141="",'Brouillard ventes'!$J$141="À crédit",'Brouillard ventes'!$J$141=""),"",Paramètres!$B$7)</f>
        <v/>
      </c>
      <c r="H273" s="22">
        <f>IF(OR('Brouillard ventes'!$F$141="",'Brouillard ventes'!$J$141="À crédit",'Brouillard ventes'!$J$141=""),"",IF('Brouillard ventes'!$C$141="","CD001",'Brouillard ventes'!$C$141))</f>
        <v/>
      </c>
      <c r="I273" s="22" t="inlineStr"/>
      <c r="J273" s="22" t="inlineStr"/>
      <c r="K273" s="22">
        <f>IF(OR('Brouillard ventes'!$F$141="",'Brouillard ventes'!$J$141="À crédit",'Brouillard ventes'!$J$141=""),"",Paramètres!$B$11)</f>
        <v/>
      </c>
      <c r="L273" s="23" t="n">
        <v>0</v>
      </c>
      <c r="M273" s="23">
        <f>IF(OR('Brouillard ventes'!$F$141="",'Brouillard ventes'!$J$141="À crédit",'Brouillard ventes'!$J$141=""),0,'Brouillard ventes'!$I$141)</f>
        <v/>
      </c>
    </row>
    <row r="274">
      <c r="A274" s="22" t="inlineStr">
        <is>
          <t>1</t>
        </is>
      </c>
      <c r="B274" s="22">
        <f>IF(OR('Brouillard ventes'!$F$142="",'Brouillard ventes'!$J$142="À crédit",'Brouillard ventes'!$J$142=""),"","EC"&amp;TEXT(ROW('Brouillard ventes'!$F$142)-5,"00000"))</f>
        <v/>
      </c>
      <c r="C274" s="22">
        <f>IF(OR('Brouillard ventes'!$F$142="",'Brouillard ventes'!$J$142="À crédit",'Brouillard ventes'!$J$142=""),"",YEAR('Brouillard ventes'!$A$142)*10000+MONTH('Brouillard ventes'!$A$142)*100+DAY('Brouillard ventes'!$A$142))</f>
        <v/>
      </c>
      <c r="D274" s="22">
        <f>IF(OR('Brouillard ventes'!$F$142="",'Brouillard ventes'!$J$142="À crédit",'Brouillard ventes'!$J$142=""),"",'Brouillard ventes'!$B$142)</f>
        <v/>
      </c>
      <c r="E274" s="22">
        <f>IF(OR('Brouillard ventes'!$F$142="",'Brouillard ventes'!$J$142="À crédit",'Brouillard ventes'!$J$142=""),"","REGL "&amp;LEFT('Brouillard ventes'!$D$142,25))</f>
        <v/>
      </c>
      <c r="F274" s="22">
        <f>IF(OR('Brouillard ventes'!$F$142="",'Brouillard ventes'!$J$142="À crédit",'Brouillard ventes'!$J$142=""),"",IF('Brouillard ventes'!$J$142="Espèces","04001","02001"))</f>
        <v/>
      </c>
      <c r="G274" s="22">
        <f>IF(OR('Brouillard ventes'!$F$142="",'Brouillard ventes'!$J$142="À crédit",'Brouillard ventes'!$J$142=""),"",IF('Brouillard ventes'!$J$142="Espèces","53000","51220"))</f>
        <v/>
      </c>
      <c r="H274" s="22" t="inlineStr"/>
      <c r="I274" s="22" t="inlineStr"/>
      <c r="J274" s="22" t="inlineStr"/>
      <c r="K274" s="22">
        <f>IF(OR('Brouillard ventes'!$F$142="",'Brouillard ventes'!$J$142="À crédit",'Brouillard ventes'!$J$142=""),"",Paramètres!$B$11)</f>
        <v/>
      </c>
      <c r="L274" s="23">
        <f>IF(OR('Brouillard ventes'!$F$142="",'Brouillard ventes'!$J$142="À crédit",'Brouillard ventes'!$J$142=""),0,'Brouillard ventes'!$I$142)</f>
        <v/>
      </c>
      <c r="M274" s="23" t="n">
        <v>0</v>
      </c>
    </row>
    <row r="275">
      <c r="A275" s="22" t="inlineStr">
        <is>
          <t>1</t>
        </is>
      </c>
      <c r="B275" s="22">
        <f>IF(OR('Brouillard ventes'!$F$142="",'Brouillard ventes'!$J$142="À crédit",'Brouillard ventes'!$J$142=""),"","EC"&amp;TEXT(ROW('Brouillard ventes'!$F$142)-5,"00000"))</f>
        <v/>
      </c>
      <c r="C275" s="22">
        <f>IF(OR('Brouillard ventes'!$F$142="",'Brouillard ventes'!$J$142="À crédit",'Brouillard ventes'!$J$142=""),"",YEAR('Brouillard ventes'!$A$142)*10000+MONTH('Brouillard ventes'!$A$142)*100+DAY('Brouillard ventes'!$A$142))</f>
        <v/>
      </c>
      <c r="D275" s="22">
        <f>IF(OR('Brouillard ventes'!$F$142="",'Brouillard ventes'!$J$142="À crédit",'Brouillard ventes'!$J$142=""),"",'Brouillard ventes'!$B$142)</f>
        <v/>
      </c>
      <c r="E275" s="22">
        <f>IF(OR('Brouillard ventes'!$F$142="",'Brouillard ventes'!$J$142="À crédit",'Brouillard ventes'!$J$142=""),"","REGL "&amp;LEFT('Brouillard ventes'!$D$142,25))</f>
        <v/>
      </c>
      <c r="F275" s="22">
        <f>IF(OR('Brouillard ventes'!$F$142="",'Brouillard ventes'!$J$142="À crédit",'Brouillard ventes'!$J$142=""),"",IF('Brouillard ventes'!$J$142="Espèces","04001","02001"))</f>
        <v/>
      </c>
      <c r="G275" s="22">
        <f>IF(OR('Brouillard ventes'!$F$142="",'Brouillard ventes'!$J$142="À crédit",'Brouillard ventes'!$J$142=""),"",Paramètres!$B$7)</f>
        <v/>
      </c>
      <c r="H275" s="22">
        <f>IF(OR('Brouillard ventes'!$F$142="",'Brouillard ventes'!$J$142="À crédit",'Brouillard ventes'!$J$142=""),"",IF('Brouillard ventes'!$C$142="","CD001",'Brouillard ventes'!$C$142))</f>
        <v/>
      </c>
      <c r="I275" s="22" t="inlineStr"/>
      <c r="J275" s="22" t="inlineStr"/>
      <c r="K275" s="22">
        <f>IF(OR('Brouillard ventes'!$F$142="",'Brouillard ventes'!$J$142="À crédit",'Brouillard ventes'!$J$142=""),"",Paramètres!$B$11)</f>
        <v/>
      </c>
      <c r="L275" s="23" t="n">
        <v>0</v>
      </c>
      <c r="M275" s="23">
        <f>IF(OR('Brouillard ventes'!$F$142="",'Brouillard ventes'!$J$142="À crédit",'Brouillard ventes'!$J$142=""),0,'Brouillard ventes'!$I$142)</f>
        <v/>
      </c>
    </row>
    <row r="276">
      <c r="A276" s="22" t="inlineStr">
        <is>
          <t>1</t>
        </is>
      </c>
      <c r="B276" s="22">
        <f>IF(OR('Brouillard ventes'!$F$143="",'Brouillard ventes'!$J$143="À crédit",'Brouillard ventes'!$J$143=""),"","EC"&amp;TEXT(ROW('Brouillard ventes'!$F$143)-5,"00000"))</f>
        <v/>
      </c>
      <c r="C276" s="22">
        <f>IF(OR('Brouillard ventes'!$F$143="",'Brouillard ventes'!$J$143="À crédit",'Brouillard ventes'!$J$143=""),"",YEAR('Brouillard ventes'!$A$143)*10000+MONTH('Brouillard ventes'!$A$143)*100+DAY('Brouillard ventes'!$A$143))</f>
        <v/>
      </c>
      <c r="D276" s="22">
        <f>IF(OR('Brouillard ventes'!$F$143="",'Brouillard ventes'!$J$143="À crédit",'Brouillard ventes'!$J$143=""),"",'Brouillard ventes'!$B$143)</f>
        <v/>
      </c>
      <c r="E276" s="22">
        <f>IF(OR('Brouillard ventes'!$F$143="",'Brouillard ventes'!$J$143="À crédit",'Brouillard ventes'!$J$143=""),"","REGL "&amp;LEFT('Brouillard ventes'!$D$143,25))</f>
        <v/>
      </c>
      <c r="F276" s="22">
        <f>IF(OR('Brouillard ventes'!$F$143="",'Brouillard ventes'!$J$143="À crédit",'Brouillard ventes'!$J$143=""),"",IF('Brouillard ventes'!$J$143="Espèces","04001","02001"))</f>
        <v/>
      </c>
      <c r="G276" s="22">
        <f>IF(OR('Brouillard ventes'!$F$143="",'Brouillard ventes'!$J$143="À crédit",'Brouillard ventes'!$J$143=""),"",IF('Brouillard ventes'!$J$143="Espèces","53000","51220"))</f>
        <v/>
      </c>
      <c r="H276" s="22" t="inlineStr"/>
      <c r="I276" s="22" t="inlineStr"/>
      <c r="J276" s="22" t="inlineStr"/>
      <c r="K276" s="22">
        <f>IF(OR('Brouillard ventes'!$F$143="",'Brouillard ventes'!$J$143="À crédit",'Brouillard ventes'!$J$143=""),"",Paramètres!$B$11)</f>
        <v/>
      </c>
      <c r="L276" s="23">
        <f>IF(OR('Brouillard ventes'!$F$143="",'Brouillard ventes'!$J$143="À crédit",'Brouillard ventes'!$J$143=""),0,'Brouillard ventes'!$I$143)</f>
        <v/>
      </c>
      <c r="M276" s="23" t="n">
        <v>0</v>
      </c>
    </row>
    <row r="277">
      <c r="A277" s="22" t="inlineStr">
        <is>
          <t>1</t>
        </is>
      </c>
      <c r="B277" s="22">
        <f>IF(OR('Brouillard ventes'!$F$143="",'Brouillard ventes'!$J$143="À crédit",'Brouillard ventes'!$J$143=""),"","EC"&amp;TEXT(ROW('Brouillard ventes'!$F$143)-5,"00000"))</f>
        <v/>
      </c>
      <c r="C277" s="22">
        <f>IF(OR('Brouillard ventes'!$F$143="",'Brouillard ventes'!$J$143="À crédit",'Brouillard ventes'!$J$143=""),"",YEAR('Brouillard ventes'!$A$143)*10000+MONTH('Brouillard ventes'!$A$143)*100+DAY('Brouillard ventes'!$A$143))</f>
        <v/>
      </c>
      <c r="D277" s="22">
        <f>IF(OR('Brouillard ventes'!$F$143="",'Brouillard ventes'!$J$143="À crédit",'Brouillard ventes'!$J$143=""),"",'Brouillard ventes'!$B$143)</f>
        <v/>
      </c>
      <c r="E277" s="22">
        <f>IF(OR('Brouillard ventes'!$F$143="",'Brouillard ventes'!$J$143="À crédit",'Brouillard ventes'!$J$143=""),"","REGL "&amp;LEFT('Brouillard ventes'!$D$143,25))</f>
        <v/>
      </c>
      <c r="F277" s="22">
        <f>IF(OR('Brouillard ventes'!$F$143="",'Brouillard ventes'!$J$143="À crédit",'Brouillard ventes'!$J$143=""),"",IF('Brouillard ventes'!$J$143="Espèces","04001","02001"))</f>
        <v/>
      </c>
      <c r="G277" s="22">
        <f>IF(OR('Brouillard ventes'!$F$143="",'Brouillard ventes'!$J$143="À crédit",'Brouillard ventes'!$J$143=""),"",Paramètres!$B$7)</f>
        <v/>
      </c>
      <c r="H277" s="22">
        <f>IF(OR('Brouillard ventes'!$F$143="",'Brouillard ventes'!$J$143="À crédit",'Brouillard ventes'!$J$143=""),"",IF('Brouillard ventes'!$C$143="","CD001",'Brouillard ventes'!$C$143))</f>
        <v/>
      </c>
      <c r="I277" s="22" t="inlineStr"/>
      <c r="J277" s="22" t="inlineStr"/>
      <c r="K277" s="22">
        <f>IF(OR('Brouillard ventes'!$F$143="",'Brouillard ventes'!$J$143="À crédit",'Brouillard ventes'!$J$143=""),"",Paramètres!$B$11)</f>
        <v/>
      </c>
      <c r="L277" s="23" t="n">
        <v>0</v>
      </c>
      <c r="M277" s="23">
        <f>IF(OR('Brouillard ventes'!$F$143="",'Brouillard ventes'!$J$143="À crédit",'Brouillard ventes'!$J$143=""),0,'Brouillard ventes'!$I$143)</f>
        <v/>
      </c>
    </row>
    <row r="278">
      <c r="A278" s="22" t="inlineStr">
        <is>
          <t>1</t>
        </is>
      </c>
      <c r="B278" s="22">
        <f>IF(OR('Brouillard ventes'!$F$144="",'Brouillard ventes'!$J$144="À crédit",'Brouillard ventes'!$J$144=""),"","EC"&amp;TEXT(ROW('Brouillard ventes'!$F$144)-5,"00000"))</f>
        <v/>
      </c>
      <c r="C278" s="22">
        <f>IF(OR('Brouillard ventes'!$F$144="",'Brouillard ventes'!$J$144="À crédit",'Brouillard ventes'!$J$144=""),"",YEAR('Brouillard ventes'!$A$144)*10000+MONTH('Brouillard ventes'!$A$144)*100+DAY('Brouillard ventes'!$A$144))</f>
        <v/>
      </c>
      <c r="D278" s="22">
        <f>IF(OR('Brouillard ventes'!$F$144="",'Brouillard ventes'!$J$144="À crédit",'Brouillard ventes'!$J$144=""),"",'Brouillard ventes'!$B$144)</f>
        <v/>
      </c>
      <c r="E278" s="22">
        <f>IF(OR('Brouillard ventes'!$F$144="",'Brouillard ventes'!$J$144="À crédit",'Brouillard ventes'!$J$144=""),"","REGL "&amp;LEFT('Brouillard ventes'!$D$144,25))</f>
        <v/>
      </c>
      <c r="F278" s="22">
        <f>IF(OR('Brouillard ventes'!$F$144="",'Brouillard ventes'!$J$144="À crédit",'Brouillard ventes'!$J$144=""),"",IF('Brouillard ventes'!$J$144="Espèces","04001","02001"))</f>
        <v/>
      </c>
      <c r="G278" s="22">
        <f>IF(OR('Brouillard ventes'!$F$144="",'Brouillard ventes'!$J$144="À crédit",'Brouillard ventes'!$J$144=""),"",IF('Brouillard ventes'!$J$144="Espèces","53000","51220"))</f>
        <v/>
      </c>
      <c r="H278" s="22" t="inlineStr"/>
      <c r="I278" s="22" t="inlineStr"/>
      <c r="J278" s="22" t="inlineStr"/>
      <c r="K278" s="22">
        <f>IF(OR('Brouillard ventes'!$F$144="",'Brouillard ventes'!$J$144="À crédit",'Brouillard ventes'!$J$144=""),"",Paramètres!$B$11)</f>
        <v/>
      </c>
      <c r="L278" s="23">
        <f>IF(OR('Brouillard ventes'!$F$144="",'Brouillard ventes'!$J$144="À crédit",'Brouillard ventes'!$J$144=""),0,'Brouillard ventes'!$I$144)</f>
        <v/>
      </c>
      <c r="M278" s="23" t="n">
        <v>0</v>
      </c>
    </row>
    <row r="279">
      <c r="A279" s="22" t="inlineStr">
        <is>
          <t>1</t>
        </is>
      </c>
      <c r="B279" s="22">
        <f>IF(OR('Brouillard ventes'!$F$144="",'Brouillard ventes'!$J$144="À crédit",'Brouillard ventes'!$J$144=""),"","EC"&amp;TEXT(ROW('Brouillard ventes'!$F$144)-5,"00000"))</f>
        <v/>
      </c>
      <c r="C279" s="22">
        <f>IF(OR('Brouillard ventes'!$F$144="",'Brouillard ventes'!$J$144="À crédit",'Brouillard ventes'!$J$144=""),"",YEAR('Brouillard ventes'!$A$144)*10000+MONTH('Brouillard ventes'!$A$144)*100+DAY('Brouillard ventes'!$A$144))</f>
        <v/>
      </c>
      <c r="D279" s="22">
        <f>IF(OR('Brouillard ventes'!$F$144="",'Brouillard ventes'!$J$144="À crédit",'Brouillard ventes'!$J$144=""),"",'Brouillard ventes'!$B$144)</f>
        <v/>
      </c>
      <c r="E279" s="22">
        <f>IF(OR('Brouillard ventes'!$F$144="",'Brouillard ventes'!$J$144="À crédit",'Brouillard ventes'!$J$144=""),"","REGL "&amp;LEFT('Brouillard ventes'!$D$144,25))</f>
        <v/>
      </c>
      <c r="F279" s="22">
        <f>IF(OR('Brouillard ventes'!$F$144="",'Brouillard ventes'!$J$144="À crédit",'Brouillard ventes'!$J$144=""),"",IF('Brouillard ventes'!$J$144="Espèces","04001","02001"))</f>
        <v/>
      </c>
      <c r="G279" s="22">
        <f>IF(OR('Brouillard ventes'!$F$144="",'Brouillard ventes'!$J$144="À crédit",'Brouillard ventes'!$J$144=""),"",Paramètres!$B$7)</f>
        <v/>
      </c>
      <c r="H279" s="22">
        <f>IF(OR('Brouillard ventes'!$F$144="",'Brouillard ventes'!$J$144="À crédit",'Brouillard ventes'!$J$144=""),"",IF('Brouillard ventes'!$C$144="","CD001",'Brouillard ventes'!$C$144))</f>
        <v/>
      </c>
      <c r="I279" s="22" t="inlineStr"/>
      <c r="J279" s="22" t="inlineStr"/>
      <c r="K279" s="22">
        <f>IF(OR('Brouillard ventes'!$F$144="",'Brouillard ventes'!$J$144="À crédit",'Brouillard ventes'!$J$144=""),"",Paramètres!$B$11)</f>
        <v/>
      </c>
      <c r="L279" s="23" t="n">
        <v>0</v>
      </c>
      <c r="M279" s="23">
        <f>IF(OR('Brouillard ventes'!$F$144="",'Brouillard ventes'!$J$144="À crédit",'Brouillard ventes'!$J$144=""),0,'Brouillard ventes'!$I$144)</f>
        <v/>
      </c>
    </row>
    <row r="280">
      <c r="A280" s="22" t="inlineStr">
        <is>
          <t>1</t>
        </is>
      </c>
      <c r="B280" s="22">
        <f>IF(OR('Brouillard ventes'!$F$145="",'Brouillard ventes'!$J$145="À crédit",'Brouillard ventes'!$J$145=""),"","EC"&amp;TEXT(ROW('Brouillard ventes'!$F$145)-5,"00000"))</f>
        <v/>
      </c>
      <c r="C280" s="22">
        <f>IF(OR('Brouillard ventes'!$F$145="",'Brouillard ventes'!$J$145="À crédit",'Brouillard ventes'!$J$145=""),"",YEAR('Brouillard ventes'!$A$145)*10000+MONTH('Brouillard ventes'!$A$145)*100+DAY('Brouillard ventes'!$A$145))</f>
        <v/>
      </c>
      <c r="D280" s="22">
        <f>IF(OR('Brouillard ventes'!$F$145="",'Brouillard ventes'!$J$145="À crédit",'Brouillard ventes'!$J$145=""),"",'Brouillard ventes'!$B$145)</f>
        <v/>
      </c>
      <c r="E280" s="22">
        <f>IF(OR('Brouillard ventes'!$F$145="",'Brouillard ventes'!$J$145="À crédit",'Brouillard ventes'!$J$145=""),"","REGL "&amp;LEFT('Brouillard ventes'!$D$145,25))</f>
        <v/>
      </c>
      <c r="F280" s="22">
        <f>IF(OR('Brouillard ventes'!$F$145="",'Brouillard ventes'!$J$145="À crédit",'Brouillard ventes'!$J$145=""),"",IF('Brouillard ventes'!$J$145="Espèces","04001","02001"))</f>
        <v/>
      </c>
      <c r="G280" s="22">
        <f>IF(OR('Brouillard ventes'!$F$145="",'Brouillard ventes'!$J$145="À crédit",'Brouillard ventes'!$J$145=""),"",IF('Brouillard ventes'!$J$145="Espèces","53000","51220"))</f>
        <v/>
      </c>
      <c r="H280" s="22" t="inlineStr"/>
      <c r="I280" s="22" t="inlineStr"/>
      <c r="J280" s="22" t="inlineStr"/>
      <c r="K280" s="22">
        <f>IF(OR('Brouillard ventes'!$F$145="",'Brouillard ventes'!$J$145="À crédit",'Brouillard ventes'!$J$145=""),"",Paramètres!$B$11)</f>
        <v/>
      </c>
      <c r="L280" s="23">
        <f>IF(OR('Brouillard ventes'!$F$145="",'Brouillard ventes'!$J$145="À crédit",'Brouillard ventes'!$J$145=""),0,'Brouillard ventes'!$I$145)</f>
        <v/>
      </c>
      <c r="M280" s="23" t="n">
        <v>0</v>
      </c>
    </row>
    <row r="281">
      <c r="A281" s="22" t="inlineStr">
        <is>
          <t>1</t>
        </is>
      </c>
      <c r="B281" s="22">
        <f>IF(OR('Brouillard ventes'!$F$145="",'Brouillard ventes'!$J$145="À crédit",'Brouillard ventes'!$J$145=""),"","EC"&amp;TEXT(ROW('Brouillard ventes'!$F$145)-5,"00000"))</f>
        <v/>
      </c>
      <c r="C281" s="22">
        <f>IF(OR('Brouillard ventes'!$F$145="",'Brouillard ventes'!$J$145="À crédit",'Brouillard ventes'!$J$145=""),"",YEAR('Brouillard ventes'!$A$145)*10000+MONTH('Brouillard ventes'!$A$145)*100+DAY('Brouillard ventes'!$A$145))</f>
        <v/>
      </c>
      <c r="D281" s="22">
        <f>IF(OR('Brouillard ventes'!$F$145="",'Brouillard ventes'!$J$145="À crédit",'Brouillard ventes'!$J$145=""),"",'Brouillard ventes'!$B$145)</f>
        <v/>
      </c>
      <c r="E281" s="22">
        <f>IF(OR('Brouillard ventes'!$F$145="",'Brouillard ventes'!$J$145="À crédit",'Brouillard ventes'!$J$145=""),"","REGL "&amp;LEFT('Brouillard ventes'!$D$145,25))</f>
        <v/>
      </c>
      <c r="F281" s="22">
        <f>IF(OR('Brouillard ventes'!$F$145="",'Brouillard ventes'!$J$145="À crédit",'Brouillard ventes'!$J$145=""),"",IF('Brouillard ventes'!$J$145="Espèces","04001","02001"))</f>
        <v/>
      </c>
      <c r="G281" s="22">
        <f>IF(OR('Brouillard ventes'!$F$145="",'Brouillard ventes'!$J$145="À crédit",'Brouillard ventes'!$J$145=""),"",Paramètres!$B$7)</f>
        <v/>
      </c>
      <c r="H281" s="22">
        <f>IF(OR('Brouillard ventes'!$F$145="",'Brouillard ventes'!$J$145="À crédit",'Brouillard ventes'!$J$145=""),"",IF('Brouillard ventes'!$C$145="","CD001",'Brouillard ventes'!$C$145))</f>
        <v/>
      </c>
      <c r="I281" s="22" t="inlineStr"/>
      <c r="J281" s="22" t="inlineStr"/>
      <c r="K281" s="22">
        <f>IF(OR('Brouillard ventes'!$F$145="",'Brouillard ventes'!$J$145="À crédit",'Brouillard ventes'!$J$145=""),"",Paramètres!$B$11)</f>
        <v/>
      </c>
      <c r="L281" s="23" t="n">
        <v>0</v>
      </c>
      <c r="M281" s="23">
        <f>IF(OR('Brouillard ventes'!$F$145="",'Brouillard ventes'!$J$145="À crédit",'Brouillard ventes'!$J$145=""),0,'Brouillard ventes'!$I$145)</f>
        <v/>
      </c>
    </row>
    <row r="282">
      <c r="A282" s="22" t="inlineStr">
        <is>
          <t>1</t>
        </is>
      </c>
      <c r="B282" s="22">
        <f>IF(OR('Brouillard ventes'!$F$146="",'Brouillard ventes'!$J$146="À crédit",'Brouillard ventes'!$J$146=""),"","EC"&amp;TEXT(ROW('Brouillard ventes'!$F$146)-5,"00000"))</f>
        <v/>
      </c>
      <c r="C282" s="22">
        <f>IF(OR('Brouillard ventes'!$F$146="",'Brouillard ventes'!$J$146="À crédit",'Brouillard ventes'!$J$146=""),"",YEAR('Brouillard ventes'!$A$146)*10000+MONTH('Brouillard ventes'!$A$146)*100+DAY('Brouillard ventes'!$A$146))</f>
        <v/>
      </c>
      <c r="D282" s="22">
        <f>IF(OR('Brouillard ventes'!$F$146="",'Brouillard ventes'!$J$146="À crédit",'Brouillard ventes'!$J$146=""),"",'Brouillard ventes'!$B$146)</f>
        <v/>
      </c>
      <c r="E282" s="22">
        <f>IF(OR('Brouillard ventes'!$F$146="",'Brouillard ventes'!$J$146="À crédit",'Brouillard ventes'!$J$146=""),"","REGL "&amp;LEFT('Brouillard ventes'!$D$146,25))</f>
        <v/>
      </c>
      <c r="F282" s="22">
        <f>IF(OR('Brouillard ventes'!$F$146="",'Brouillard ventes'!$J$146="À crédit",'Brouillard ventes'!$J$146=""),"",IF('Brouillard ventes'!$J$146="Espèces","04001","02001"))</f>
        <v/>
      </c>
      <c r="G282" s="22">
        <f>IF(OR('Brouillard ventes'!$F$146="",'Brouillard ventes'!$J$146="À crédit",'Brouillard ventes'!$J$146=""),"",IF('Brouillard ventes'!$J$146="Espèces","53000","51220"))</f>
        <v/>
      </c>
      <c r="H282" s="22" t="inlineStr"/>
      <c r="I282" s="22" t="inlineStr"/>
      <c r="J282" s="22" t="inlineStr"/>
      <c r="K282" s="22">
        <f>IF(OR('Brouillard ventes'!$F$146="",'Brouillard ventes'!$J$146="À crédit",'Brouillard ventes'!$J$146=""),"",Paramètres!$B$11)</f>
        <v/>
      </c>
      <c r="L282" s="23">
        <f>IF(OR('Brouillard ventes'!$F$146="",'Brouillard ventes'!$J$146="À crédit",'Brouillard ventes'!$J$146=""),0,'Brouillard ventes'!$I$146)</f>
        <v/>
      </c>
      <c r="M282" s="23" t="n">
        <v>0</v>
      </c>
    </row>
    <row r="283">
      <c r="A283" s="22" t="inlineStr">
        <is>
          <t>1</t>
        </is>
      </c>
      <c r="B283" s="22">
        <f>IF(OR('Brouillard ventes'!$F$146="",'Brouillard ventes'!$J$146="À crédit",'Brouillard ventes'!$J$146=""),"","EC"&amp;TEXT(ROW('Brouillard ventes'!$F$146)-5,"00000"))</f>
        <v/>
      </c>
      <c r="C283" s="22">
        <f>IF(OR('Brouillard ventes'!$F$146="",'Brouillard ventes'!$J$146="À crédit",'Brouillard ventes'!$J$146=""),"",YEAR('Brouillard ventes'!$A$146)*10000+MONTH('Brouillard ventes'!$A$146)*100+DAY('Brouillard ventes'!$A$146))</f>
        <v/>
      </c>
      <c r="D283" s="22">
        <f>IF(OR('Brouillard ventes'!$F$146="",'Brouillard ventes'!$J$146="À crédit",'Brouillard ventes'!$J$146=""),"",'Brouillard ventes'!$B$146)</f>
        <v/>
      </c>
      <c r="E283" s="22">
        <f>IF(OR('Brouillard ventes'!$F$146="",'Brouillard ventes'!$J$146="À crédit",'Brouillard ventes'!$J$146=""),"","REGL "&amp;LEFT('Brouillard ventes'!$D$146,25))</f>
        <v/>
      </c>
      <c r="F283" s="22">
        <f>IF(OR('Brouillard ventes'!$F$146="",'Brouillard ventes'!$J$146="À crédit",'Brouillard ventes'!$J$146=""),"",IF('Brouillard ventes'!$J$146="Espèces","04001","02001"))</f>
        <v/>
      </c>
      <c r="G283" s="22">
        <f>IF(OR('Brouillard ventes'!$F$146="",'Brouillard ventes'!$J$146="À crédit",'Brouillard ventes'!$J$146=""),"",Paramètres!$B$7)</f>
        <v/>
      </c>
      <c r="H283" s="22">
        <f>IF(OR('Brouillard ventes'!$F$146="",'Brouillard ventes'!$J$146="À crédit",'Brouillard ventes'!$J$146=""),"",IF('Brouillard ventes'!$C$146="","CD001",'Brouillard ventes'!$C$146))</f>
        <v/>
      </c>
      <c r="I283" s="22" t="inlineStr"/>
      <c r="J283" s="22" t="inlineStr"/>
      <c r="K283" s="22">
        <f>IF(OR('Brouillard ventes'!$F$146="",'Brouillard ventes'!$J$146="À crédit",'Brouillard ventes'!$J$146=""),"",Paramètres!$B$11)</f>
        <v/>
      </c>
      <c r="L283" s="23" t="n">
        <v>0</v>
      </c>
      <c r="M283" s="23">
        <f>IF(OR('Brouillard ventes'!$F$146="",'Brouillard ventes'!$J$146="À crédit",'Brouillard ventes'!$J$146=""),0,'Brouillard ventes'!$I$146)</f>
        <v/>
      </c>
    </row>
    <row r="284">
      <c r="A284" s="22" t="inlineStr">
        <is>
          <t>1</t>
        </is>
      </c>
      <c r="B284" s="22">
        <f>IF(OR('Brouillard ventes'!$F$147="",'Brouillard ventes'!$J$147="À crédit",'Brouillard ventes'!$J$147=""),"","EC"&amp;TEXT(ROW('Brouillard ventes'!$F$147)-5,"00000"))</f>
        <v/>
      </c>
      <c r="C284" s="22">
        <f>IF(OR('Brouillard ventes'!$F$147="",'Brouillard ventes'!$J$147="À crédit",'Brouillard ventes'!$J$147=""),"",YEAR('Brouillard ventes'!$A$147)*10000+MONTH('Brouillard ventes'!$A$147)*100+DAY('Brouillard ventes'!$A$147))</f>
        <v/>
      </c>
      <c r="D284" s="22">
        <f>IF(OR('Brouillard ventes'!$F$147="",'Brouillard ventes'!$J$147="À crédit",'Brouillard ventes'!$J$147=""),"",'Brouillard ventes'!$B$147)</f>
        <v/>
      </c>
      <c r="E284" s="22">
        <f>IF(OR('Brouillard ventes'!$F$147="",'Brouillard ventes'!$J$147="À crédit",'Brouillard ventes'!$J$147=""),"","REGL "&amp;LEFT('Brouillard ventes'!$D$147,25))</f>
        <v/>
      </c>
      <c r="F284" s="22">
        <f>IF(OR('Brouillard ventes'!$F$147="",'Brouillard ventes'!$J$147="À crédit",'Brouillard ventes'!$J$147=""),"",IF('Brouillard ventes'!$J$147="Espèces","04001","02001"))</f>
        <v/>
      </c>
      <c r="G284" s="22">
        <f>IF(OR('Brouillard ventes'!$F$147="",'Brouillard ventes'!$J$147="À crédit",'Brouillard ventes'!$J$147=""),"",IF('Brouillard ventes'!$J$147="Espèces","53000","51220"))</f>
        <v/>
      </c>
      <c r="H284" s="22" t="inlineStr"/>
      <c r="I284" s="22" t="inlineStr"/>
      <c r="J284" s="22" t="inlineStr"/>
      <c r="K284" s="22">
        <f>IF(OR('Brouillard ventes'!$F$147="",'Brouillard ventes'!$J$147="À crédit",'Brouillard ventes'!$J$147=""),"",Paramètres!$B$11)</f>
        <v/>
      </c>
      <c r="L284" s="23">
        <f>IF(OR('Brouillard ventes'!$F$147="",'Brouillard ventes'!$J$147="À crédit",'Brouillard ventes'!$J$147=""),0,'Brouillard ventes'!$I$147)</f>
        <v/>
      </c>
      <c r="M284" s="23" t="n">
        <v>0</v>
      </c>
    </row>
    <row r="285">
      <c r="A285" s="22" t="inlineStr">
        <is>
          <t>1</t>
        </is>
      </c>
      <c r="B285" s="22">
        <f>IF(OR('Brouillard ventes'!$F$147="",'Brouillard ventes'!$J$147="À crédit",'Brouillard ventes'!$J$147=""),"","EC"&amp;TEXT(ROW('Brouillard ventes'!$F$147)-5,"00000"))</f>
        <v/>
      </c>
      <c r="C285" s="22">
        <f>IF(OR('Brouillard ventes'!$F$147="",'Brouillard ventes'!$J$147="À crédit",'Brouillard ventes'!$J$147=""),"",YEAR('Brouillard ventes'!$A$147)*10000+MONTH('Brouillard ventes'!$A$147)*100+DAY('Brouillard ventes'!$A$147))</f>
        <v/>
      </c>
      <c r="D285" s="22">
        <f>IF(OR('Brouillard ventes'!$F$147="",'Brouillard ventes'!$J$147="À crédit",'Brouillard ventes'!$J$147=""),"",'Brouillard ventes'!$B$147)</f>
        <v/>
      </c>
      <c r="E285" s="22">
        <f>IF(OR('Brouillard ventes'!$F$147="",'Brouillard ventes'!$J$147="À crédit",'Brouillard ventes'!$J$147=""),"","REGL "&amp;LEFT('Brouillard ventes'!$D$147,25))</f>
        <v/>
      </c>
      <c r="F285" s="22">
        <f>IF(OR('Brouillard ventes'!$F$147="",'Brouillard ventes'!$J$147="À crédit",'Brouillard ventes'!$J$147=""),"",IF('Brouillard ventes'!$J$147="Espèces","04001","02001"))</f>
        <v/>
      </c>
      <c r="G285" s="22">
        <f>IF(OR('Brouillard ventes'!$F$147="",'Brouillard ventes'!$J$147="À crédit",'Brouillard ventes'!$J$147=""),"",Paramètres!$B$7)</f>
        <v/>
      </c>
      <c r="H285" s="22">
        <f>IF(OR('Brouillard ventes'!$F$147="",'Brouillard ventes'!$J$147="À crédit",'Brouillard ventes'!$J$147=""),"",IF('Brouillard ventes'!$C$147="","CD001",'Brouillard ventes'!$C$147))</f>
        <v/>
      </c>
      <c r="I285" s="22" t="inlineStr"/>
      <c r="J285" s="22" t="inlineStr"/>
      <c r="K285" s="22">
        <f>IF(OR('Brouillard ventes'!$F$147="",'Brouillard ventes'!$J$147="À crédit",'Brouillard ventes'!$J$147=""),"",Paramètres!$B$11)</f>
        <v/>
      </c>
      <c r="L285" s="23" t="n">
        <v>0</v>
      </c>
      <c r="M285" s="23">
        <f>IF(OR('Brouillard ventes'!$F$147="",'Brouillard ventes'!$J$147="À crédit",'Brouillard ventes'!$J$147=""),0,'Brouillard ventes'!$I$147)</f>
        <v/>
      </c>
    </row>
    <row r="286">
      <c r="A286" s="22" t="inlineStr">
        <is>
          <t>1</t>
        </is>
      </c>
      <c r="B286" s="22">
        <f>IF(OR('Brouillard ventes'!$F$148="",'Brouillard ventes'!$J$148="À crédit",'Brouillard ventes'!$J$148=""),"","EC"&amp;TEXT(ROW('Brouillard ventes'!$F$148)-5,"00000"))</f>
        <v/>
      </c>
      <c r="C286" s="22">
        <f>IF(OR('Brouillard ventes'!$F$148="",'Brouillard ventes'!$J$148="À crédit",'Brouillard ventes'!$J$148=""),"",YEAR('Brouillard ventes'!$A$148)*10000+MONTH('Brouillard ventes'!$A$148)*100+DAY('Brouillard ventes'!$A$148))</f>
        <v/>
      </c>
      <c r="D286" s="22">
        <f>IF(OR('Brouillard ventes'!$F$148="",'Brouillard ventes'!$J$148="À crédit",'Brouillard ventes'!$J$148=""),"",'Brouillard ventes'!$B$148)</f>
        <v/>
      </c>
      <c r="E286" s="22">
        <f>IF(OR('Brouillard ventes'!$F$148="",'Brouillard ventes'!$J$148="À crédit",'Brouillard ventes'!$J$148=""),"","REGL "&amp;LEFT('Brouillard ventes'!$D$148,25))</f>
        <v/>
      </c>
      <c r="F286" s="22">
        <f>IF(OR('Brouillard ventes'!$F$148="",'Brouillard ventes'!$J$148="À crédit",'Brouillard ventes'!$J$148=""),"",IF('Brouillard ventes'!$J$148="Espèces","04001","02001"))</f>
        <v/>
      </c>
      <c r="G286" s="22">
        <f>IF(OR('Brouillard ventes'!$F$148="",'Brouillard ventes'!$J$148="À crédit",'Brouillard ventes'!$J$148=""),"",IF('Brouillard ventes'!$J$148="Espèces","53000","51220"))</f>
        <v/>
      </c>
      <c r="H286" s="22" t="inlineStr"/>
      <c r="I286" s="22" t="inlineStr"/>
      <c r="J286" s="22" t="inlineStr"/>
      <c r="K286" s="22">
        <f>IF(OR('Brouillard ventes'!$F$148="",'Brouillard ventes'!$J$148="À crédit",'Brouillard ventes'!$J$148=""),"",Paramètres!$B$11)</f>
        <v/>
      </c>
      <c r="L286" s="23">
        <f>IF(OR('Brouillard ventes'!$F$148="",'Brouillard ventes'!$J$148="À crédit",'Brouillard ventes'!$J$148=""),0,'Brouillard ventes'!$I$148)</f>
        <v/>
      </c>
      <c r="M286" s="23" t="n">
        <v>0</v>
      </c>
    </row>
    <row r="287">
      <c r="A287" s="22" t="inlineStr">
        <is>
          <t>1</t>
        </is>
      </c>
      <c r="B287" s="22">
        <f>IF(OR('Brouillard ventes'!$F$148="",'Brouillard ventes'!$J$148="À crédit",'Brouillard ventes'!$J$148=""),"","EC"&amp;TEXT(ROW('Brouillard ventes'!$F$148)-5,"00000"))</f>
        <v/>
      </c>
      <c r="C287" s="22">
        <f>IF(OR('Brouillard ventes'!$F$148="",'Brouillard ventes'!$J$148="À crédit",'Brouillard ventes'!$J$148=""),"",YEAR('Brouillard ventes'!$A$148)*10000+MONTH('Brouillard ventes'!$A$148)*100+DAY('Brouillard ventes'!$A$148))</f>
        <v/>
      </c>
      <c r="D287" s="22">
        <f>IF(OR('Brouillard ventes'!$F$148="",'Brouillard ventes'!$J$148="À crédit",'Brouillard ventes'!$J$148=""),"",'Brouillard ventes'!$B$148)</f>
        <v/>
      </c>
      <c r="E287" s="22">
        <f>IF(OR('Brouillard ventes'!$F$148="",'Brouillard ventes'!$J$148="À crédit",'Brouillard ventes'!$J$148=""),"","REGL "&amp;LEFT('Brouillard ventes'!$D$148,25))</f>
        <v/>
      </c>
      <c r="F287" s="22">
        <f>IF(OR('Brouillard ventes'!$F$148="",'Brouillard ventes'!$J$148="À crédit",'Brouillard ventes'!$J$148=""),"",IF('Brouillard ventes'!$J$148="Espèces","04001","02001"))</f>
        <v/>
      </c>
      <c r="G287" s="22">
        <f>IF(OR('Brouillard ventes'!$F$148="",'Brouillard ventes'!$J$148="À crédit",'Brouillard ventes'!$J$148=""),"",Paramètres!$B$7)</f>
        <v/>
      </c>
      <c r="H287" s="22">
        <f>IF(OR('Brouillard ventes'!$F$148="",'Brouillard ventes'!$J$148="À crédit",'Brouillard ventes'!$J$148=""),"",IF('Brouillard ventes'!$C$148="","CD001",'Brouillard ventes'!$C$148))</f>
        <v/>
      </c>
      <c r="I287" s="22" t="inlineStr"/>
      <c r="J287" s="22" t="inlineStr"/>
      <c r="K287" s="22">
        <f>IF(OR('Brouillard ventes'!$F$148="",'Brouillard ventes'!$J$148="À crédit",'Brouillard ventes'!$J$148=""),"",Paramètres!$B$11)</f>
        <v/>
      </c>
      <c r="L287" s="23" t="n">
        <v>0</v>
      </c>
      <c r="M287" s="23">
        <f>IF(OR('Brouillard ventes'!$F$148="",'Brouillard ventes'!$J$148="À crédit",'Brouillard ventes'!$J$148=""),0,'Brouillard ventes'!$I$148)</f>
        <v/>
      </c>
    </row>
    <row r="288">
      <c r="A288" s="22" t="inlineStr">
        <is>
          <t>1</t>
        </is>
      </c>
      <c r="B288" s="22">
        <f>IF(OR('Brouillard ventes'!$F$149="",'Brouillard ventes'!$J$149="À crédit",'Brouillard ventes'!$J$149=""),"","EC"&amp;TEXT(ROW('Brouillard ventes'!$F$149)-5,"00000"))</f>
        <v/>
      </c>
      <c r="C288" s="22">
        <f>IF(OR('Brouillard ventes'!$F$149="",'Brouillard ventes'!$J$149="À crédit",'Brouillard ventes'!$J$149=""),"",YEAR('Brouillard ventes'!$A$149)*10000+MONTH('Brouillard ventes'!$A$149)*100+DAY('Brouillard ventes'!$A$149))</f>
        <v/>
      </c>
      <c r="D288" s="22">
        <f>IF(OR('Brouillard ventes'!$F$149="",'Brouillard ventes'!$J$149="À crédit",'Brouillard ventes'!$J$149=""),"",'Brouillard ventes'!$B$149)</f>
        <v/>
      </c>
      <c r="E288" s="22">
        <f>IF(OR('Brouillard ventes'!$F$149="",'Brouillard ventes'!$J$149="À crédit",'Brouillard ventes'!$J$149=""),"","REGL "&amp;LEFT('Brouillard ventes'!$D$149,25))</f>
        <v/>
      </c>
      <c r="F288" s="22">
        <f>IF(OR('Brouillard ventes'!$F$149="",'Brouillard ventes'!$J$149="À crédit",'Brouillard ventes'!$J$149=""),"",IF('Brouillard ventes'!$J$149="Espèces","04001","02001"))</f>
        <v/>
      </c>
      <c r="G288" s="22">
        <f>IF(OR('Brouillard ventes'!$F$149="",'Brouillard ventes'!$J$149="À crédit",'Brouillard ventes'!$J$149=""),"",IF('Brouillard ventes'!$J$149="Espèces","53000","51220"))</f>
        <v/>
      </c>
      <c r="H288" s="22" t="inlineStr"/>
      <c r="I288" s="22" t="inlineStr"/>
      <c r="J288" s="22" t="inlineStr"/>
      <c r="K288" s="22">
        <f>IF(OR('Brouillard ventes'!$F$149="",'Brouillard ventes'!$J$149="À crédit",'Brouillard ventes'!$J$149=""),"",Paramètres!$B$11)</f>
        <v/>
      </c>
      <c r="L288" s="23">
        <f>IF(OR('Brouillard ventes'!$F$149="",'Brouillard ventes'!$J$149="À crédit",'Brouillard ventes'!$J$149=""),0,'Brouillard ventes'!$I$149)</f>
        <v/>
      </c>
      <c r="M288" s="23" t="n">
        <v>0</v>
      </c>
    </row>
    <row r="289">
      <c r="A289" s="22" t="inlineStr">
        <is>
          <t>1</t>
        </is>
      </c>
      <c r="B289" s="22">
        <f>IF(OR('Brouillard ventes'!$F$149="",'Brouillard ventes'!$J$149="À crédit",'Brouillard ventes'!$J$149=""),"","EC"&amp;TEXT(ROW('Brouillard ventes'!$F$149)-5,"00000"))</f>
        <v/>
      </c>
      <c r="C289" s="22">
        <f>IF(OR('Brouillard ventes'!$F$149="",'Brouillard ventes'!$J$149="À crédit",'Brouillard ventes'!$J$149=""),"",YEAR('Brouillard ventes'!$A$149)*10000+MONTH('Brouillard ventes'!$A$149)*100+DAY('Brouillard ventes'!$A$149))</f>
        <v/>
      </c>
      <c r="D289" s="22">
        <f>IF(OR('Brouillard ventes'!$F$149="",'Brouillard ventes'!$J$149="À crédit",'Brouillard ventes'!$J$149=""),"",'Brouillard ventes'!$B$149)</f>
        <v/>
      </c>
      <c r="E289" s="22">
        <f>IF(OR('Brouillard ventes'!$F$149="",'Brouillard ventes'!$J$149="À crédit",'Brouillard ventes'!$J$149=""),"","REGL "&amp;LEFT('Brouillard ventes'!$D$149,25))</f>
        <v/>
      </c>
      <c r="F289" s="22">
        <f>IF(OR('Brouillard ventes'!$F$149="",'Brouillard ventes'!$J$149="À crédit",'Brouillard ventes'!$J$149=""),"",IF('Brouillard ventes'!$J$149="Espèces","04001","02001"))</f>
        <v/>
      </c>
      <c r="G289" s="22">
        <f>IF(OR('Brouillard ventes'!$F$149="",'Brouillard ventes'!$J$149="À crédit",'Brouillard ventes'!$J$149=""),"",Paramètres!$B$7)</f>
        <v/>
      </c>
      <c r="H289" s="22">
        <f>IF(OR('Brouillard ventes'!$F$149="",'Brouillard ventes'!$J$149="À crédit",'Brouillard ventes'!$J$149=""),"",IF('Brouillard ventes'!$C$149="","CD001",'Brouillard ventes'!$C$149))</f>
        <v/>
      </c>
      <c r="I289" s="22" t="inlineStr"/>
      <c r="J289" s="22" t="inlineStr"/>
      <c r="K289" s="22">
        <f>IF(OR('Brouillard ventes'!$F$149="",'Brouillard ventes'!$J$149="À crédit",'Brouillard ventes'!$J$149=""),"",Paramètres!$B$11)</f>
        <v/>
      </c>
      <c r="L289" s="23" t="n">
        <v>0</v>
      </c>
      <c r="M289" s="23">
        <f>IF(OR('Brouillard ventes'!$F$149="",'Brouillard ventes'!$J$149="À crédit",'Brouillard ventes'!$J$149=""),0,'Brouillard ventes'!$I$149)</f>
        <v/>
      </c>
    </row>
    <row r="290">
      <c r="A290" s="22" t="inlineStr">
        <is>
          <t>1</t>
        </is>
      </c>
      <c r="B290" s="22">
        <f>IF(OR('Brouillard ventes'!$F$150="",'Brouillard ventes'!$J$150="À crédit",'Brouillard ventes'!$J$150=""),"","EC"&amp;TEXT(ROW('Brouillard ventes'!$F$150)-5,"00000"))</f>
        <v/>
      </c>
      <c r="C290" s="22">
        <f>IF(OR('Brouillard ventes'!$F$150="",'Brouillard ventes'!$J$150="À crédit",'Brouillard ventes'!$J$150=""),"",YEAR('Brouillard ventes'!$A$150)*10000+MONTH('Brouillard ventes'!$A$150)*100+DAY('Brouillard ventes'!$A$150))</f>
        <v/>
      </c>
      <c r="D290" s="22">
        <f>IF(OR('Brouillard ventes'!$F$150="",'Brouillard ventes'!$J$150="À crédit",'Brouillard ventes'!$J$150=""),"",'Brouillard ventes'!$B$150)</f>
        <v/>
      </c>
      <c r="E290" s="22">
        <f>IF(OR('Brouillard ventes'!$F$150="",'Brouillard ventes'!$J$150="À crédit",'Brouillard ventes'!$J$150=""),"","REGL "&amp;LEFT('Brouillard ventes'!$D$150,25))</f>
        <v/>
      </c>
      <c r="F290" s="22">
        <f>IF(OR('Brouillard ventes'!$F$150="",'Brouillard ventes'!$J$150="À crédit",'Brouillard ventes'!$J$150=""),"",IF('Brouillard ventes'!$J$150="Espèces","04001","02001"))</f>
        <v/>
      </c>
      <c r="G290" s="22">
        <f>IF(OR('Brouillard ventes'!$F$150="",'Brouillard ventes'!$J$150="À crédit",'Brouillard ventes'!$J$150=""),"",IF('Brouillard ventes'!$J$150="Espèces","53000","51220"))</f>
        <v/>
      </c>
      <c r="H290" s="22" t="inlineStr"/>
      <c r="I290" s="22" t="inlineStr"/>
      <c r="J290" s="22" t="inlineStr"/>
      <c r="K290" s="22">
        <f>IF(OR('Brouillard ventes'!$F$150="",'Brouillard ventes'!$J$150="À crédit",'Brouillard ventes'!$J$150=""),"",Paramètres!$B$11)</f>
        <v/>
      </c>
      <c r="L290" s="23">
        <f>IF(OR('Brouillard ventes'!$F$150="",'Brouillard ventes'!$J$150="À crédit",'Brouillard ventes'!$J$150=""),0,'Brouillard ventes'!$I$150)</f>
        <v/>
      </c>
      <c r="M290" s="23" t="n">
        <v>0</v>
      </c>
    </row>
    <row r="291">
      <c r="A291" s="22" t="inlineStr">
        <is>
          <t>1</t>
        </is>
      </c>
      <c r="B291" s="22">
        <f>IF(OR('Brouillard ventes'!$F$150="",'Brouillard ventes'!$J$150="À crédit",'Brouillard ventes'!$J$150=""),"","EC"&amp;TEXT(ROW('Brouillard ventes'!$F$150)-5,"00000"))</f>
        <v/>
      </c>
      <c r="C291" s="22">
        <f>IF(OR('Brouillard ventes'!$F$150="",'Brouillard ventes'!$J$150="À crédit",'Brouillard ventes'!$J$150=""),"",YEAR('Brouillard ventes'!$A$150)*10000+MONTH('Brouillard ventes'!$A$150)*100+DAY('Brouillard ventes'!$A$150))</f>
        <v/>
      </c>
      <c r="D291" s="22">
        <f>IF(OR('Brouillard ventes'!$F$150="",'Brouillard ventes'!$J$150="À crédit",'Brouillard ventes'!$J$150=""),"",'Brouillard ventes'!$B$150)</f>
        <v/>
      </c>
      <c r="E291" s="22">
        <f>IF(OR('Brouillard ventes'!$F$150="",'Brouillard ventes'!$J$150="À crédit",'Brouillard ventes'!$J$150=""),"","REGL "&amp;LEFT('Brouillard ventes'!$D$150,25))</f>
        <v/>
      </c>
      <c r="F291" s="22">
        <f>IF(OR('Brouillard ventes'!$F$150="",'Brouillard ventes'!$J$150="À crédit",'Brouillard ventes'!$J$150=""),"",IF('Brouillard ventes'!$J$150="Espèces","04001","02001"))</f>
        <v/>
      </c>
      <c r="G291" s="22">
        <f>IF(OR('Brouillard ventes'!$F$150="",'Brouillard ventes'!$J$150="À crédit",'Brouillard ventes'!$J$150=""),"",Paramètres!$B$7)</f>
        <v/>
      </c>
      <c r="H291" s="22">
        <f>IF(OR('Brouillard ventes'!$F$150="",'Brouillard ventes'!$J$150="À crédit",'Brouillard ventes'!$J$150=""),"",IF('Brouillard ventes'!$C$150="","CD001",'Brouillard ventes'!$C$150))</f>
        <v/>
      </c>
      <c r="I291" s="22" t="inlineStr"/>
      <c r="J291" s="22" t="inlineStr"/>
      <c r="K291" s="22">
        <f>IF(OR('Brouillard ventes'!$F$150="",'Brouillard ventes'!$J$150="À crédit",'Brouillard ventes'!$J$150=""),"",Paramètres!$B$11)</f>
        <v/>
      </c>
      <c r="L291" s="23" t="n">
        <v>0</v>
      </c>
      <c r="M291" s="23">
        <f>IF(OR('Brouillard ventes'!$F$150="",'Brouillard ventes'!$J$150="À crédit",'Brouillard ventes'!$J$150=""),0,'Brouillard ventes'!$I$150)</f>
        <v/>
      </c>
    </row>
    <row r="292">
      <c r="A292" s="22" t="inlineStr">
        <is>
          <t>1</t>
        </is>
      </c>
      <c r="B292" s="22">
        <f>IF(OR('Brouillard ventes'!$F$151="",'Brouillard ventes'!$J$151="À crédit",'Brouillard ventes'!$J$151=""),"","EC"&amp;TEXT(ROW('Brouillard ventes'!$F$151)-5,"00000"))</f>
        <v/>
      </c>
      <c r="C292" s="22">
        <f>IF(OR('Brouillard ventes'!$F$151="",'Brouillard ventes'!$J$151="À crédit",'Brouillard ventes'!$J$151=""),"",YEAR('Brouillard ventes'!$A$151)*10000+MONTH('Brouillard ventes'!$A$151)*100+DAY('Brouillard ventes'!$A$151))</f>
        <v/>
      </c>
      <c r="D292" s="22">
        <f>IF(OR('Brouillard ventes'!$F$151="",'Brouillard ventes'!$J$151="À crédit",'Brouillard ventes'!$J$151=""),"",'Brouillard ventes'!$B$151)</f>
        <v/>
      </c>
      <c r="E292" s="22">
        <f>IF(OR('Brouillard ventes'!$F$151="",'Brouillard ventes'!$J$151="À crédit",'Brouillard ventes'!$J$151=""),"","REGL "&amp;LEFT('Brouillard ventes'!$D$151,25))</f>
        <v/>
      </c>
      <c r="F292" s="22">
        <f>IF(OR('Brouillard ventes'!$F$151="",'Brouillard ventes'!$J$151="À crédit",'Brouillard ventes'!$J$151=""),"",IF('Brouillard ventes'!$J$151="Espèces","04001","02001"))</f>
        <v/>
      </c>
      <c r="G292" s="22">
        <f>IF(OR('Brouillard ventes'!$F$151="",'Brouillard ventes'!$J$151="À crédit",'Brouillard ventes'!$J$151=""),"",IF('Brouillard ventes'!$J$151="Espèces","53000","51220"))</f>
        <v/>
      </c>
      <c r="H292" s="22" t="inlineStr"/>
      <c r="I292" s="22" t="inlineStr"/>
      <c r="J292" s="22" t="inlineStr"/>
      <c r="K292" s="22">
        <f>IF(OR('Brouillard ventes'!$F$151="",'Brouillard ventes'!$J$151="À crédit",'Brouillard ventes'!$J$151=""),"",Paramètres!$B$11)</f>
        <v/>
      </c>
      <c r="L292" s="23">
        <f>IF(OR('Brouillard ventes'!$F$151="",'Brouillard ventes'!$J$151="À crédit",'Brouillard ventes'!$J$151=""),0,'Brouillard ventes'!$I$151)</f>
        <v/>
      </c>
      <c r="M292" s="23" t="n">
        <v>0</v>
      </c>
    </row>
    <row r="293">
      <c r="A293" s="22" t="inlineStr">
        <is>
          <t>1</t>
        </is>
      </c>
      <c r="B293" s="22">
        <f>IF(OR('Brouillard ventes'!$F$151="",'Brouillard ventes'!$J$151="À crédit",'Brouillard ventes'!$J$151=""),"","EC"&amp;TEXT(ROW('Brouillard ventes'!$F$151)-5,"00000"))</f>
        <v/>
      </c>
      <c r="C293" s="22">
        <f>IF(OR('Brouillard ventes'!$F$151="",'Brouillard ventes'!$J$151="À crédit",'Brouillard ventes'!$J$151=""),"",YEAR('Brouillard ventes'!$A$151)*10000+MONTH('Brouillard ventes'!$A$151)*100+DAY('Brouillard ventes'!$A$151))</f>
        <v/>
      </c>
      <c r="D293" s="22">
        <f>IF(OR('Brouillard ventes'!$F$151="",'Brouillard ventes'!$J$151="À crédit",'Brouillard ventes'!$J$151=""),"",'Brouillard ventes'!$B$151)</f>
        <v/>
      </c>
      <c r="E293" s="22">
        <f>IF(OR('Brouillard ventes'!$F$151="",'Brouillard ventes'!$J$151="À crédit",'Brouillard ventes'!$J$151=""),"","REGL "&amp;LEFT('Brouillard ventes'!$D$151,25))</f>
        <v/>
      </c>
      <c r="F293" s="22">
        <f>IF(OR('Brouillard ventes'!$F$151="",'Brouillard ventes'!$J$151="À crédit",'Brouillard ventes'!$J$151=""),"",IF('Brouillard ventes'!$J$151="Espèces","04001","02001"))</f>
        <v/>
      </c>
      <c r="G293" s="22">
        <f>IF(OR('Brouillard ventes'!$F$151="",'Brouillard ventes'!$J$151="À crédit",'Brouillard ventes'!$J$151=""),"",Paramètres!$B$7)</f>
        <v/>
      </c>
      <c r="H293" s="22">
        <f>IF(OR('Brouillard ventes'!$F$151="",'Brouillard ventes'!$J$151="À crédit",'Brouillard ventes'!$J$151=""),"",IF('Brouillard ventes'!$C$151="","CD001",'Brouillard ventes'!$C$151))</f>
        <v/>
      </c>
      <c r="I293" s="22" t="inlineStr"/>
      <c r="J293" s="22" t="inlineStr"/>
      <c r="K293" s="22">
        <f>IF(OR('Brouillard ventes'!$F$151="",'Brouillard ventes'!$J$151="À crédit",'Brouillard ventes'!$J$151=""),"",Paramètres!$B$11)</f>
        <v/>
      </c>
      <c r="L293" s="23" t="n">
        <v>0</v>
      </c>
      <c r="M293" s="23">
        <f>IF(OR('Brouillard ventes'!$F$151="",'Brouillard ventes'!$J$151="À crédit",'Brouillard ventes'!$J$151=""),0,'Brouillard ventes'!$I$151)</f>
        <v/>
      </c>
    </row>
    <row r="294">
      <c r="A294" s="22" t="inlineStr">
        <is>
          <t>1</t>
        </is>
      </c>
      <c r="B294" s="22">
        <f>IF(OR('Brouillard ventes'!$F$152="",'Brouillard ventes'!$J$152="À crédit",'Brouillard ventes'!$J$152=""),"","EC"&amp;TEXT(ROW('Brouillard ventes'!$F$152)-5,"00000"))</f>
        <v/>
      </c>
      <c r="C294" s="22">
        <f>IF(OR('Brouillard ventes'!$F$152="",'Brouillard ventes'!$J$152="À crédit",'Brouillard ventes'!$J$152=""),"",YEAR('Brouillard ventes'!$A$152)*10000+MONTH('Brouillard ventes'!$A$152)*100+DAY('Brouillard ventes'!$A$152))</f>
        <v/>
      </c>
      <c r="D294" s="22">
        <f>IF(OR('Brouillard ventes'!$F$152="",'Brouillard ventes'!$J$152="À crédit",'Brouillard ventes'!$J$152=""),"",'Brouillard ventes'!$B$152)</f>
        <v/>
      </c>
      <c r="E294" s="22">
        <f>IF(OR('Brouillard ventes'!$F$152="",'Brouillard ventes'!$J$152="À crédit",'Brouillard ventes'!$J$152=""),"","REGL "&amp;LEFT('Brouillard ventes'!$D$152,25))</f>
        <v/>
      </c>
      <c r="F294" s="22">
        <f>IF(OR('Brouillard ventes'!$F$152="",'Brouillard ventes'!$J$152="À crédit",'Brouillard ventes'!$J$152=""),"",IF('Brouillard ventes'!$J$152="Espèces","04001","02001"))</f>
        <v/>
      </c>
      <c r="G294" s="22">
        <f>IF(OR('Brouillard ventes'!$F$152="",'Brouillard ventes'!$J$152="À crédit",'Brouillard ventes'!$J$152=""),"",IF('Brouillard ventes'!$J$152="Espèces","53000","51220"))</f>
        <v/>
      </c>
      <c r="H294" s="22" t="inlineStr"/>
      <c r="I294" s="22" t="inlineStr"/>
      <c r="J294" s="22" t="inlineStr"/>
      <c r="K294" s="22">
        <f>IF(OR('Brouillard ventes'!$F$152="",'Brouillard ventes'!$J$152="À crédit",'Brouillard ventes'!$J$152=""),"",Paramètres!$B$11)</f>
        <v/>
      </c>
      <c r="L294" s="23">
        <f>IF(OR('Brouillard ventes'!$F$152="",'Brouillard ventes'!$J$152="À crédit",'Brouillard ventes'!$J$152=""),0,'Brouillard ventes'!$I$152)</f>
        <v/>
      </c>
      <c r="M294" s="23" t="n">
        <v>0</v>
      </c>
    </row>
    <row r="295">
      <c r="A295" s="22" t="inlineStr">
        <is>
          <t>1</t>
        </is>
      </c>
      <c r="B295" s="22">
        <f>IF(OR('Brouillard ventes'!$F$152="",'Brouillard ventes'!$J$152="À crédit",'Brouillard ventes'!$J$152=""),"","EC"&amp;TEXT(ROW('Brouillard ventes'!$F$152)-5,"00000"))</f>
        <v/>
      </c>
      <c r="C295" s="22">
        <f>IF(OR('Brouillard ventes'!$F$152="",'Brouillard ventes'!$J$152="À crédit",'Brouillard ventes'!$J$152=""),"",YEAR('Brouillard ventes'!$A$152)*10000+MONTH('Brouillard ventes'!$A$152)*100+DAY('Brouillard ventes'!$A$152))</f>
        <v/>
      </c>
      <c r="D295" s="22">
        <f>IF(OR('Brouillard ventes'!$F$152="",'Brouillard ventes'!$J$152="À crédit",'Brouillard ventes'!$J$152=""),"",'Brouillard ventes'!$B$152)</f>
        <v/>
      </c>
      <c r="E295" s="22">
        <f>IF(OR('Brouillard ventes'!$F$152="",'Brouillard ventes'!$J$152="À crédit",'Brouillard ventes'!$J$152=""),"","REGL "&amp;LEFT('Brouillard ventes'!$D$152,25))</f>
        <v/>
      </c>
      <c r="F295" s="22">
        <f>IF(OR('Brouillard ventes'!$F$152="",'Brouillard ventes'!$J$152="À crédit",'Brouillard ventes'!$J$152=""),"",IF('Brouillard ventes'!$J$152="Espèces","04001","02001"))</f>
        <v/>
      </c>
      <c r="G295" s="22">
        <f>IF(OR('Brouillard ventes'!$F$152="",'Brouillard ventes'!$J$152="À crédit",'Brouillard ventes'!$J$152=""),"",Paramètres!$B$7)</f>
        <v/>
      </c>
      <c r="H295" s="22">
        <f>IF(OR('Brouillard ventes'!$F$152="",'Brouillard ventes'!$J$152="À crédit",'Brouillard ventes'!$J$152=""),"",IF('Brouillard ventes'!$C$152="","CD001",'Brouillard ventes'!$C$152))</f>
        <v/>
      </c>
      <c r="I295" s="22" t="inlineStr"/>
      <c r="J295" s="22" t="inlineStr"/>
      <c r="K295" s="22">
        <f>IF(OR('Brouillard ventes'!$F$152="",'Brouillard ventes'!$J$152="À crédit",'Brouillard ventes'!$J$152=""),"",Paramètres!$B$11)</f>
        <v/>
      </c>
      <c r="L295" s="23" t="n">
        <v>0</v>
      </c>
      <c r="M295" s="23">
        <f>IF(OR('Brouillard ventes'!$F$152="",'Brouillard ventes'!$J$152="À crédit",'Brouillard ventes'!$J$152=""),0,'Brouillard ventes'!$I$152)</f>
        <v/>
      </c>
    </row>
    <row r="296">
      <c r="A296" s="22" t="inlineStr">
        <is>
          <t>1</t>
        </is>
      </c>
      <c r="B296" s="22">
        <f>IF(OR('Brouillard ventes'!$F$153="",'Brouillard ventes'!$J$153="À crédit",'Brouillard ventes'!$J$153=""),"","EC"&amp;TEXT(ROW('Brouillard ventes'!$F$153)-5,"00000"))</f>
        <v/>
      </c>
      <c r="C296" s="22">
        <f>IF(OR('Brouillard ventes'!$F$153="",'Brouillard ventes'!$J$153="À crédit",'Brouillard ventes'!$J$153=""),"",YEAR('Brouillard ventes'!$A$153)*10000+MONTH('Brouillard ventes'!$A$153)*100+DAY('Brouillard ventes'!$A$153))</f>
        <v/>
      </c>
      <c r="D296" s="22">
        <f>IF(OR('Brouillard ventes'!$F$153="",'Brouillard ventes'!$J$153="À crédit",'Brouillard ventes'!$J$153=""),"",'Brouillard ventes'!$B$153)</f>
        <v/>
      </c>
      <c r="E296" s="22">
        <f>IF(OR('Brouillard ventes'!$F$153="",'Brouillard ventes'!$J$153="À crédit",'Brouillard ventes'!$J$153=""),"","REGL "&amp;LEFT('Brouillard ventes'!$D$153,25))</f>
        <v/>
      </c>
      <c r="F296" s="22">
        <f>IF(OR('Brouillard ventes'!$F$153="",'Brouillard ventes'!$J$153="À crédit",'Brouillard ventes'!$J$153=""),"",IF('Brouillard ventes'!$J$153="Espèces","04001","02001"))</f>
        <v/>
      </c>
      <c r="G296" s="22">
        <f>IF(OR('Brouillard ventes'!$F$153="",'Brouillard ventes'!$J$153="À crédit",'Brouillard ventes'!$J$153=""),"",IF('Brouillard ventes'!$J$153="Espèces","53000","51220"))</f>
        <v/>
      </c>
      <c r="H296" s="22" t="inlineStr"/>
      <c r="I296" s="22" t="inlineStr"/>
      <c r="J296" s="22" t="inlineStr"/>
      <c r="K296" s="22">
        <f>IF(OR('Brouillard ventes'!$F$153="",'Brouillard ventes'!$J$153="À crédit",'Brouillard ventes'!$J$153=""),"",Paramètres!$B$11)</f>
        <v/>
      </c>
      <c r="L296" s="23">
        <f>IF(OR('Brouillard ventes'!$F$153="",'Brouillard ventes'!$J$153="À crédit",'Brouillard ventes'!$J$153=""),0,'Brouillard ventes'!$I$153)</f>
        <v/>
      </c>
      <c r="M296" s="23" t="n">
        <v>0</v>
      </c>
    </row>
    <row r="297">
      <c r="A297" s="22" t="inlineStr">
        <is>
          <t>1</t>
        </is>
      </c>
      <c r="B297" s="22">
        <f>IF(OR('Brouillard ventes'!$F$153="",'Brouillard ventes'!$J$153="À crédit",'Brouillard ventes'!$J$153=""),"","EC"&amp;TEXT(ROW('Brouillard ventes'!$F$153)-5,"00000"))</f>
        <v/>
      </c>
      <c r="C297" s="22">
        <f>IF(OR('Brouillard ventes'!$F$153="",'Brouillard ventes'!$J$153="À crédit",'Brouillard ventes'!$J$153=""),"",YEAR('Brouillard ventes'!$A$153)*10000+MONTH('Brouillard ventes'!$A$153)*100+DAY('Brouillard ventes'!$A$153))</f>
        <v/>
      </c>
      <c r="D297" s="22">
        <f>IF(OR('Brouillard ventes'!$F$153="",'Brouillard ventes'!$J$153="À crédit",'Brouillard ventes'!$J$153=""),"",'Brouillard ventes'!$B$153)</f>
        <v/>
      </c>
      <c r="E297" s="22">
        <f>IF(OR('Brouillard ventes'!$F$153="",'Brouillard ventes'!$J$153="À crédit",'Brouillard ventes'!$J$153=""),"","REGL "&amp;LEFT('Brouillard ventes'!$D$153,25))</f>
        <v/>
      </c>
      <c r="F297" s="22">
        <f>IF(OR('Brouillard ventes'!$F$153="",'Brouillard ventes'!$J$153="À crédit",'Brouillard ventes'!$J$153=""),"",IF('Brouillard ventes'!$J$153="Espèces","04001","02001"))</f>
        <v/>
      </c>
      <c r="G297" s="22">
        <f>IF(OR('Brouillard ventes'!$F$153="",'Brouillard ventes'!$J$153="À crédit",'Brouillard ventes'!$J$153=""),"",Paramètres!$B$7)</f>
        <v/>
      </c>
      <c r="H297" s="22">
        <f>IF(OR('Brouillard ventes'!$F$153="",'Brouillard ventes'!$J$153="À crédit",'Brouillard ventes'!$J$153=""),"",IF('Brouillard ventes'!$C$153="","CD001",'Brouillard ventes'!$C$153))</f>
        <v/>
      </c>
      <c r="I297" s="22" t="inlineStr"/>
      <c r="J297" s="22" t="inlineStr"/>
      <c r="K297" s="22">
        <f>IF(OR('Brouillard ventes'!$F$153="",'Brouillard ventes'!$J$153="À crédit",'Brouillard ventes'!$J$153=""),"",Paramètres!$B$11)</f>
        <v/>
      </c>
      <c r="L297" s="23" t="n">
        <v>0</v>
      </c>
      <c r="M297" s="23">
        <f>IF(OR('Brouillard ventes'!$F$153="",'Brouillard ventes'!$J$153="À crédit",'Brouillard ventes'!$J$153=""),0,'Brouillard ventes'!$I$153)</f>
        <v/>
      </c>
    </row>
    <row r="298">
      <c r="A298" s="22" t="inlineStr">
        <is>
          <t>1</t>
        </is>
      </c>
      <c r="B298" s="22">
        <f>IF(OR('Brouillard ventes'!$F$154="",'Brouillard ventes'!$J$154="À crédit",'Brouillard ventes'!$J$154=""),"","EC"&amp;TEXT(ROW('Brouillard ventes'!$F$154)-5,"00000"))</f>
        <v/>
      </c>
      <c r="C298" s="22">
        <f>IF(OR('Brouillard ventes'!$F$154="",'Brouillard ventes'!$J$154="À crédit",'Brouillard ventes'!$J$154=""),"",YEAR('Brouillard ventes'!$A$154)*10000+MONTH('Brouillard ventes'!$A$154)*100+DAY('Brouillard ventes'!$A$154))</f>
        <v/>
      </c>
      <c r="D298" s="22">
        <f>IF(OR('Brouillard ventes'!$F$154="",'Brouillard ventes'!$J$154="À crédit",'Brouillard ventes'!$J$154=""),"",'Brouillard ventes'!$B$154)</f>
        <v/>
      </c>
      <c r="E298" s="22">
        <f>IF(OR('Brouillard ventes'!$F$154="",'Brouillard ventes'!$J$154="À crédit",'Brouillard ventes'!$J$154=""),"","REGL "&amp;LEFT('Brouillard ventes'!$D$154,25))</f>
        <v/>
      </c>
      <c r="F298" s="22">
        <f>IF(OR('Brouillard ventes'!$F$154="",'Brouillard ventes'!$J$154="À crédit",'Brouillard ventes'!$J$154=""),"",IF('Brouillard ventes'!$J$154="Espèces","04001","02001"))</f>
        <v/>
      </c>
      <c r="G298" s="22">
        <f>IF(OR('Brouillard ventes'!$F$154="",'Brouillard ventes'!$J$154="À crédit",'Brouillard ventes'!$J$154=""),"",IF('Brouillard ventes'!$J$154="Espèces","53000","51220"))</f>
        <v/>
      </c>
      <c r="H298" s="22" t="inlineStr"/>
      <c r="I298" s="22" t="inlineStr"/>
      <c r="J298" s="22" t="inlineStr"/>
      <c r="K298" s="22">
        <f>IF(OR('Brouillard ventes'!$F$154="",'Brouillard ventes'!$J$154="À crédit",'Brouillard ventes'!$J$154=""),"",Paramètres!$B$11)</f>
        <v/>
      </c>
      <c r="L298" s="23">
        <f>IF(OR('Brouillard ventes'!$F$154="",'Brouillard ventes'!$J$154="À crédit",'Brouillard ventes'!$J$154=""),0,'Brouillard ventes'!$I$154)</f>
        <v/>
      </c>
      <c r="M298" s="23" t="n">
        <v>0</v>
      </c>
    </row>
    <row r="299">
      <c r="A299" s="22" t="inlineStr">
        <is>
          <t>1</t>
        </is>
      </c>
      <c r="B299" s="22">
        <f>IF(OR('Brouillard ventes'!$F$154="",'Brouillard ventes'!$J$154="À crédit",'Brouillard ventes'!$J$154=""),"","EC"&amp;TEXT(ROW('Brouillard ventes'!$F$154)-5,"00000"))</f>
        <v/>
      </c>
      <c r="C299" s="22">
        <f>IF(OR('Brouillard ventes'!$F$154="",'Brouillard ventes'!$J$154="À crédit",'Brouillard ventes'!$J$154=""),"",YEAR('Brouillard ventes'!$A$154)*10000+MONTH('Brouillard ventes'!$A$154)*100+DAY('Brouillard ventes'!$A$154))</f>
        <v/>
      </c>
      <c r="D299" s="22">
        <f>IF(OR('Brouillard ventes'!$F$154="",'Brouillard ventes'!$J$154="À crédit",'Brouillard ventes'!$J$154=""),"",'Brouillard ventes'!$B$154)</f>
        <v/>
      </c>
      <c r="E299" s="22">
        <f>IF(OR('Brouillard ventes'!$F$154="",'Brouillard ventes'!$J$154="À crédit",'Brouillard ventes'!$J$154=""),"","REGL "&amp;LEFT('Brouillard ventes'!$D$154,25))</f>
        <v/>
      </c>
      <c r="F299" s="22">
        <f>IF(OR('Brouillard ventes'!$F$154="",'Brouillard ventes'!$J$154="À crédit",'Brouillard ventes'!$J$154=""),"",IF('Brouillard ventes'!$J$154="Espèces","04001","02001"))</f>
        <v/>
      </c>
      <c r="G299" s="22">
        <f>IF(OR('Brouillard ventes'!$F$154="",'Brouillard ventes'!$J$154="À crédit",'Brouillard ventes'!$J$154=""),"",Paramètres!$B$7)</f>
        <v/>
      </c>
      <c r="H299" s="22">
        <f>IF(OR('Brouillard ventes'!$F$154="",'Brouillard ventes'!$J$154="À crédit",'Brouillard ventes'!$J$154=""),"",IF('Brouillard ventes'!$C$154="","CD001",'Brouillard ventes'!$C$154))</f>
        <v/>
      </c>
      <c r="I299" s="22" t="inlineStr"/>
      <c r="J299" s="22" t="inlineStr"/>
      <c r="K299" s="22">
        <f>IF(OR('Brouillard ventes'!$F$154="",'Brouillard ventes'!$J$154="À crédit",'Brouillard ventes'!$J$154=""),"",Paramètres!$B$11)</f>
        <v/>
      </c>
      <c r="L299" s="23" t="n">
        <v>0</v>
      </c>
      <c r="M299" s="23">
        <f>IF(OR('Brouillard ventes'!$F$154="",'Brouillard ventes'!$J$154="À crédit",'Brouillard ventes'!$J$154=""),0,'Brouillard ventes'!$I$154)</f>
        <v/>
      </c>
    </row>
    <row r="300">
      <c r="A300" s="22" t="inlineStr">
        <is>
          <t>1</t>
        </is>
      </c>
      <c r="B300" s="22">
        <f>IF(OR('Brouillard ventes'!$F$155="",'Brouillard ventes'!$J$155="À crédit",'Brouillard ventes'!$J$155=""),"","EC"&amp;TEXT(ROW('Brouillard ventes'!$F$155)-5,"00000"))</f>
        <v/>
      </c>
      <c r="C300" s="22">
        <f>IF(OR('Brouillard ventes'!$F$155="",'Brouillard ventes'!$J$155="À crédit",'Brouillard ventes'!$J$155=""),"",YEAR('Brouillard ventes'!$A$155)*10000+MONTH('Brouillard ventes'!$A$155)*100+DAY('Brouillard ventes'!$A$155))</f>
        <v/>
      </c>
      <c r="D300" s="22">
        <f>IF(OR('Brouillard ventes'!$F$155="",'Brouillard ventes'!$J$155="À crédit",'Brouillard ventes'!$J$155=""),"",'Brouillard ventes'!$B$155)</f>
        <v/>
      </c>
      <c r="E300" s="22">
        <f>IF(OR('Brouillard ventes'!$F$155="",'Brouillard ventes'!$J$155="À crédit",'Brouillard ventes'!$J$155=""),"","REGL "&amp;LEFT('Brouillard ventes'!$D$155,25))</f>
        <v/>
      </c>
      <c r="F300" s="22">
        <f>IF(OR('Brouillard ventes'!$F$155="",'Brouillard ventes'!$J$155="À crédit",'Brouillard ventes'!$J$155=""),"",IF('Brouillard ventes'!$J$155="Espèces","04001","02001"))</f>
        <v/>
      </c>
      <c r="G300" s="22">
        <f>IF(OR('Brouillard ventes'!$F$155="",'Brouillard ventes'!$J$155="À crédit",'Brouillard ventes'!$J$155=""),"",IF('Brouillard ventes'!$J$155="Espèces","53000","51220"))</f>
        <v/>
      </c>
      <c r="H300" s="22" t="inlineStr"/>
      <c r="I300" s="22" t="inlineStr"/>
      <c r="J300" s="22" t="inlineStr"/>
      <c r="K300" s="22">
        <f>IF(OR('Brouillard ventes'!$F$155="",'Brouillard ventes'!$J$155="À crédit",'Brouillard ventes'!$J$155=""),"",Paramètres!$B$11)</f>
        <v/>
      </c>
      <c r="L300" s="23">
        <f>IF(OR('Brouillard ventes'!$F$155="",'Brouillard ventes'!$J$155="À crédit",'Brouillard ventes'!$J$155=""),0,'Brouillard ventes'!$I$155)</f>
        <v/>
      </c>
      <c r="M300" s="23" t="n">
        <v>0</v>
      </c>
    </row>
    <row r="301">
      <c r="A301" s="22" t="inlineStr">
        <is>
          <t>1</t>
        </is>
      </c>
      <c r="B301" s="22">
        <f>IF(OR('Brouillard ventes'!$F$155="",'Brouillard ventes'!$J$155="À crédit",'Brouillard ventes'!$J$155=""),"","EC"&amp;TEXT(ROW('Brouillard ventes'!$F$155)-5,"00000"))</f>
        <v/>
      </c>
      <c r="C301" s="22">
        <f>IF(OR('Brouillard ventes'!$F$155="",'Brouillard ventes'!$J$155="À crédit",'Brouillard ventes'!$J$155=""),"",YEAR('Brouillard ventes'!$A$155)*10000+MONTH('Brouillard ventes'!$A$155)*100+DAY('Brouillard ventes'!$A$155))</f>
        <v/>
      </c>
      <c r="D301" s="22">
        <f>IF(OR('Brouillard ventes'!$F$155="",'Brouillard ventes'!$J$155="À crédit",'Brouillard ventes'!$J$155=""),"",'Brouillard ventes'!$B$155)</f>
        <v/>
      </c>
      <c r="E301" s="22">
        <f>IF(OR('Brouillard ventes'!$F$155="",'Brouillard ventes'!$J$155="À crédit",'Brouillard ventes'!$J$155=""),"","REGL "&amp;LEFT('Brouillard ventes'!$D$155,25))</f>
        <v/>
      </c>
      <c r="F301" s="22">
        <f>IF(OR('Brouillard ventes'!$F$155="",'Brouillard ventes'!$J$155="À crédit",'Brouillard ventes'!$J$155=""),"",IF('Brouillard ventes'!$J$155="Espèces","04001","02001"))</f>
        <v/>
      </c>
      <c r="G301" s="22">
        <f>IF(OR('Brouillard ventes'!$F$155="",'Brouillard ventes'!$J$155="À crédit",'Brouillard ventes'!$J$155=""),"",Paramètres!$B$7)</f>
        <v/>
      </c>
      <c r="H301" s="22">
        <f>IF(OR('Brouillard ventes'!$F$155="",'Brouillard ventes'!$J$155="À crédit",'Brouillard ventes'!$J$155=""),"",IF('Brouillard ventes'!$C$155="","CD001",'Brouillard ventes'!$C$155))</f>
        <v/>
      </c>
      <c r="I301" s="22" t="inlineStr"/>
      <c r="J301" s="22" t="inlineStr"/>
      <c r="K301" s="22">
        <f>IF(OR('Brouillard ventes'!$F$155="",'Brouillard ventes'!$J$155="À crédit",'Brouillard ventes'!$J$155=""),"",Paramètres!$B$11)</f>
        <v/>
      </c>
      <c r="L301" s="23" t="n">
        <v>0</v>
      </c>
      <c r="M301" s="23">
        <f>IF(OR('Brouillard ventes'!$F$155="",'Brouillard ventes'!$J$155="À crédit",'Brouillard ventes'!$J$155=""),0,'Brouillard ventes'!$I$155)</f>
        <v/>
      </c>
    </row>
    <row r="302">
      <c r="A302" s="22" t="inlineStr">
        <is>
          <t>1</t>
        </is>
      </c>
      <c r="B302" s="22">
        <f>IF(OR('Brouillard ventes'!$F$156="",'Brouillard ventes'!$J$156="À crédit",'Brouillard ventes'!$J$156=""),"","EC"&amp;TEXT(ROW('Brouillard ventes'!$F$156)-5,"00000"))</f>
        <v/>
      </c>
      <c r="C302" s="22">
        <f>IF(OR('Brouillard ventes'!$F$156="",'Brouillard ventes'!$J$156="À crédit",'Brouillard ventes'!$J$156=""),"",YEAR('Brouillard ventes'!$A$156)*10000+MONTH('Brouillard ventes'!$A$156)*100+DAY('Brouillard ventes'!$A$156))</f>
        <v/>
      </c>
      <c r="D302" s="22">
        <f>IF(OR('Brouillard ventes'!$F$156="",'Brouillard ventes'!$J$156="À crédit",'Brouillard ventes'!$J$156=""),"",'Brouillard ventes'!$B$156)</f>
        <v/>
      </c>
      <c r="E302" s="22">
        <f>IF(OR('Brouillard ventes'!$F$156="",'Brouillard ventes'!$J$156="À crédit",'Brouillard ventes'!$J$156=""),"","REGL "&amp;LEFT('Brouillard ventes'!$D$156,25))</f>
        <v/>
      </c>
      <c r="F302" s="22">
        <f>IF(OR('Brouillard ventes'!$F$156="",'Brouillard ventes'!$J$156="À crédit",'Brouillard ventes'!$J$156=""),"",IF('Brouillard ventes'!$J$156="Espèces","04001","02001"))</f>
        <v/>
      </c>
      <c r="G302" s="22">
        <f>IF(OR('Brouillard ventes'!$F$156="",'Brouillard ventes'!$J$156="À crédit",'Brouillard ventes'!$J$156=""),"",IF('Brouillard ventes'!$J$156="Espèces","53000","51220"))</f>
        <v/>
      </c>
      <c r="H302" s="22" t="inlineStr"/>
      <c r="I302" s="22" t="inlineStr"/>
      <c r="J302" s="22" t="inlineStr"/>
      <c r="K302" s="22">
        <f>IF(OR('Brouillard ventes'!$F$156="",'Brouillard ventes'!$J$156="À crédit",'Brouillard ventes'!$J$156=""),"",Paramètres!$B$11)</f>
        <v/>
      </c>
      <c r="L302" s="23">
        <f>IF(OR('Brouillard ventes'!$F$156="",'Brouillard ventes'!$J$156="À crédit",'Brouillard ventes'!$J$156=""),0,'Brouillard ventes'!$I$156)</f>
        <v/>
      </c>
      <c r="M302" s="23" t="n">
        <v>0</v>
      </c>
    </row>
    <row r="303">
      <c r="A303" s="22" t="inlineStr">
        <is>
          <t>1</t>
        </is>
      </c>
      <c r="B303" s="22">
        <f>IF(OR('Brouillard ventes'!$F$156="",'Brouillard ventes'!$J$156="À crédit",'Brouillard ventes'!$J$156=""),"","EC"&amp;TEXT(ROW('Brouillard ventes'!$F$156)-5,"00000"))</f>
        <v/>
      </c>
      <c r="C303" s="22">
        <f>IF(OR('Brouillard ventes'!$F$156="",'Brouillard ventes'!$J$156="À crédit",'Brouillard ventes'!$J$156=""),"",YEAR('Brouillard ventes'!$A$156)*10000+MONTH('Brouillard ventes'!$A$156)*100+DAY('Brouillard ventes'!$A$156))</f>
        <v/>
      </c>
      <c r="D303" s="22">
        <f>IF(OR('Brouillard ventes'!$F$156="",'Brouillard ventes'!$J$156="À crédit",'Brouillard ventes'!$J$156=""),"",'Brouillard ventes'!$B$156)</f>
        <v/>
      </c>
      <c r="E303" s="22">
        <f>IF(OR('Brouillard ventes'!$F$156="",'Brouillard ventes'!$J$156="À crédit",'Brouillard ventes'!$J$156=""),"","REGL "&amp;LEFT('Brouillard ventes'!$D$156,25))</f>
        <v/>
      </c>
      <c r="F303" s="22">
        <f>IF(OR('Brouillard ventes'!$F$156="",'Brouillard ventes'!$J$156="À crédit",'Brouillard ventes'!$J$156=""),"",IF('Brouillard ventes'!$J$156="Espèces","04001","02001"))</f>
        <v/>
      </c>
      <c r="G303" s="22">
        <f>IF(OR('Brouillard ventes'!$F$156="",'Brouillard ventes'!$J$156="À crédit",'Brouillard ventes'!$J$156=""),"",Paramètres!$B$7)</f>
        <v/>
      </c>
      <c r="H303" s="22">
        <f>IF(OR('Brouillard ventes'!$F$156="",'Brouillard ventes'!$J$156="À crédit",'Brouillard ventes'!$J$156=""),"",IF('Brouillard ventes'!$C$156="","CD001",'Brouillard ventes'!$C$156))</f>
        <v/>
      </c>
      <c r="I303" s="22" t="inlineStr"/>
      <c r="J303" s="22" t="inlineStr"/>
      <c r="K303" s="22">
        <f>IF(OR('Brouillard ventes'!$F$156="",'Brouillard ventes'!$J$156="À crédit",'Brouillard ventes'!$J$156=""),"",Paramètres!$B$11)</f>
        <v/>
      </c>
      <c r="L303" s="23" t="n">
        <v>0</v>
      </c>
      <c r="M303" s="23">
        <f>IF(OR('Brouillard ventes'!$F$156="",'Brouillard ventes'!$J$156="À crédit",'Brouillard ventes'!$J$156=""),0,'Brouillard ventes'!$I$156)</f>
        <v/>
      </c>
    </row>
    <row r="304">
      <c r="A304" s="22" t="inlineStr">
        <is>
          <t>1</t>
        </is>
      </c>
      <c r="B304" s="22">
        <f>IF(OR('Brouillard ventes'!$F$157="",'Brouillard ventes'!$J$157="À crédit",'Brouillard ventes'!$J$157=""),"","EC"&amp;TEXT(ROW('Brouillard ventes'!$F$157)-5,"00000"))</f>
        <v/>
      </c>
      <c r="C304" s="22">
        <f>IF(OR('Brouillard ventes'!$F$157="",'Brouillard ventes'!$J$157="À crédit",'Brouillard ventes'!$J$157=""),"",YEAR('Brouillard ventes'!$A$157)*10000+MONTH('Brouillard ventes'!$A$157)*100+DAY('Brouillard ventes'!$A$157))</f>
        <v/>
      </c>
      <c r="D304" s="22">
        <f>IF(OR('Brouillard ventes'!$F$157="",'Brouillard ventes'!$J$157="À crédit",'Brouillard ventes'!$J$157=""),"",'Brouillard ventes'!$B$157)</f>
        <v/>
      </c>
      <c r="E304" s="22">
        <f>IF(OR('Brouillard ventes'!$F$157="",'Brouillard ventes'!$J$157="À crédit",'Brouillard ventes'!$J$157=""),"","REGL "&amp;LEFT('Brouillard ventes'!$D$157,25))</f>
        <v/>
      </c>
      <c r="F304" s="22">
        <f>IF(OR('Brouillard ventes'!$F$157="",'Brouillard ventes'!$J$157="À crédit",'Brouillard ventes'!$J$157=""),"",IF('Brouillard ventes'!$J$157="Espèces","04001","02001"))</f>
        <v/>
      </c>
      <c r="G304" s="22">
        <f>IF(OR('Brouillard ventes'!$F$157="",'Brouillard ventes'!$J$157="À crédit",'Brouillard ventes'!$J$157=""),"",IF('Brouillard ventes'!$J$157="Espèces","53000","51220"))</f>
        <v/>
      </c>
      <c r="H304" s="22" t="inlineStr"/>
      <c r="I304" s="22" t="inlineStr"/>
      <c r="J304" s="22" t="inlineStr"/>
      <c r="K304" s="22">
        <f>IF(OR('Brouillard ventes'!$F$157="",'Brouillard ventes'!$J$157="À crédit",'Brouillard ventes'!$J$157=""),"",Paramètres!$B$11)</f>
        <v/>
      </c>
      <c r="L304" s="23">
        <f>IF(OR('Brouillard ventes'!$F$157="",'Brouillard ventes'!$J$157="À crédit",'Brouillard ventes'!$J$157=""),0,'Brouillard ventes'!$I$157)</f>
        <v/>
      </c>
      <c r="M304" s="23" t="n">
        <v>0</v>
      </c>
    </row>
    <row r="305">
      <c r="A305" s="22" t="inlineStr">
        <is>
          <t>1</t>
        </is>
      </c>
      <c r="B305" s="22">
        <f>IF(OR('Brouillard ventes'!$F$157="",'Brouillard ventes'!$J$157="À crédit",'Brouillard ventes'!$J$157=""),"","EC"&amp;TEXT(ROW('Brouillard ventes'!$F$157)-5,"00000"))</f>
        <v/>
      </c>
      <c r="C305" s="22">
        <f>IF(OR('Brouillard ventes'!$F$157="",'Brouillard ventes'!$J$157="À crédit",'Brouillard ventes'!$J$157=""),"",YEAR('Brouillard ventes'!$A$157)*10000+MONTH('Brouillard ventes'!$A$157)*100+DAY('Brouillard ventes'!$A$157))</f>
        <v/>
      </c>
      <c r="D305" s="22">
        <f>IF(OR('Brouillard ventes'!$F$157="",'Brouillard ventes'!$J$157="À crédit",'Brouillard ventes'!$J$157=""),"",'Brouillard ventes'!$B$157)</f>
        <v/>
      </c>
      <c r="E305" s="22">
        <f>IF(OR('Brouillard ventes'!$F$157="",'Brouillard ventes'!$J$157="À crédit",'Brouillard ventes'!$J$157=""),"","REGL "&amp;LEFT('Brouillard ventes'!$D$157,25))</f>
        <v/>
      </c>
      <c r="F305" s="22">
        <f>IF(OR('Brouillard ventes'!$F$157="",'Brouillard ventes'!$J$157="À crédit",'Brouillard ventes'!$J$157=""),"",IF('Brouillard ventes'!$J$157="Espèces","04001","02001"))</f>
        <v/>
      </c>
      <c r="G305" s="22">
        <f>IF(OR('Brouillard ventes'!$F$157="",'Brouillard ventes'!$J$157="À crédit",'Brouillard ventes'!$J$157=""),"",Paramètres!$B$7)</f>
        <v/>
      </c>
      <c r="H305" s="22">
        <f>IF(OR('Brouillard ventes'!$F$157="",'Brouillard ventes'!$J$157="À crédit",'Brouillard ventes'!$J$157=""),"",IF('Brouillard ventes'!$C$157="","CD001",'Brouillard ventes'!$C$157))</f>
        <v/>
      </c>
      <c r="I305" s="22" t="inlineStr"/>
      <c r="J305" s="22" t="inlineStr"/>
      <c r="K305" s="22">
        <f>IF(OR('Brouillard ventes'!$F$157="",'Brouillard ventes'!$J$157="À crédit",'Brouillard ventes'!$J$157=""),"",Paramètres!$B$11)</f>
        <v/>
      </c>
      <c r="L305" s="23" t="n">
        <v>0</v>
      </c>
      <c r="M305" s="23">
        <f>IF(OR('Brouillard ventes'!$F$157="",'Brouillard ventes'!$J$157="À crédit",'Brouillard ventes'!$J$157=""),0,'Brouillard ventes'!$I$157)</f>
        <v/>
      </c>
    </row>
    <row r="306">
      <c r="A306" s="22" t="inlineStr">
        <is>
          <t>1</t>
        </is>
      </c>
      <c r="B306" s="22">
        <f>IF(OR('Brouillard ventes'!$F$158="",'Brouillard ventes'!$J$158="À crédit",'Brouillard ventes'!$J$158=""),"","EC"&amp;TEXT(ROW('Brouillard ventes'!$F$158)-5,"00000"))</f>
        <v/>
      </c>
      <c r="C306" s="22">
        <f>IF(OR('Brouillard ventes'!$F$158="",'Brouillard ventes'!$J$158="À crédit",'Brouillard ventes'!$J$158=""),"",YEAR('Brouillard ventes'!$A$158)*10000+MONTH('Brouillard ventes'!$A$158)*100+DAY('Brouillard ventes'!$A$158))</f>
        <v/>
      </c>
      <c r="D306" s="22">
        <f>IF(OR('Brouillard ventes'!$F$158="",'Brouillard ventes'!$J$158="À crédit",'Brouillard ventes'!$J$158=""),"",'Brouillard ventes'!$B$158)</f>
        <v/>
      </c>
      <c r="E306" s="22">
        <f>IF(OR('Brouillard ventes'!$F$158="",'Brouillard ventes'!$J$158="À crédit",'Brouillard ventes'!$J$158=""),"","REGL "&amp;LEFT('Brouillard ventes'!$D$158,25))</f>
        <v/>
      </c>
      <c r="F306" s="22">
        <f>IF(OR('Brouillard ventes'!$F$158="",'Brouillard ventes'!$J$158="À crédit",'Brouillard ventes'!$J$158=""),"",IF('Brouillard ventes'!$J$158="Espèces","04001","02001"))</f>
        <v/>
      </c>
      <c r="G306" s="22">
        <f>IF(OR('Brouillard ventes'!$F$158="",'Brouillard ventes'!$J$158="À crédit",'Brouillard ventes'!$J$158=""),"",IF('Brouillard ventes'!$J$158="Espèces","53000","51220"))</f>
        <v/>
      </c>
      <c r="H306" s="22" t="inlineStr"/>
      <c r="I306" s="22" t="inlineStr"/>
      <c r="J306" s="22" t="inlineStr"/>
      <c r="K306" s="22">
        <f>IF(OR('Brouillard ventes'!$F$158="",'Brouillard ventes'!$J$158="À crédit",'Brouillard ventes'!$J$158=""),"",Paramètres!$B$11)</f>
        <v/>
      </c>
      <c r="L306" s="23">
        <f>IF(OR('Brouillard ventes'!$F$158="",'Brouillard ventes'!$J$158="À crédit",'Brouillard ventes'!$J$158=""),0,'Brouillard ventes'!$I$158)</f>
        <v/>
      </c>
      <c r="M306" s="23" t="n">
        <v>0</v>
      </c>
    </row>
    <row r="307">
      <c r="A307" s="22" t="inlineStr">
        <is>
          <t>1</t>
        </is>
      </c>
      <c r="B307" s="22">
        <f>IF(OR('Brouillard ventes'!$F$158="",'Brouillard ventes'!$J$158="À crédit",'Brouillard ventes'!$J$158=""),"","EC"&amp;TEXT(ROW('Brouillard ventes'!$F$158)-5,"00000"))</f>
        <v/>
      </c>
      <c r="C307" s="22">
        <f>IF(OR('Brouillard ventes'!$F$158="",'Brouillard ventes'!$J$158="À crédit",'Brouillard ventes'!$J$158=""),"",YEAR('Brouillard ventes'!$A$158)*10000+MONTH('Brouillard ventes'!$A$158)*100+DAY('Brouillard ventes'!$A$158))</f>
        <v/>
      </c>
      <c r="D307" s="22">
        <f>IF(OR('Brouillard ventes'!$F$158="",'Brouillard ventes'!$J$158="À crédit",'Brouillard ventes'!$J$158=""),"",'Brouillard ventes'!$B$158)</f>
        <v/>
      </c>
      <c r="E307" s="22">
        <f>IF(OR('Brouillard ventes'!$F$158="",'Brouillard ventes'!$J$158="À crédit",'Brouillard ventes'!$J$158=""),"","REGL "&amp;LEFT('Brouillard ventes'!$D$158,25))</f>
        <v/>
      </c>
      <c r="F307" s="22">
        <f>IF(OR('Brouillard ventes'!$F$158="",'Brouillard ventes'!$J$158="À crédit",'Brouillard ventes'!$J$158=""),"",IF('Brouillard ventes'!$J$158="Espèces","04001","02001"))</f>
        <v/>
      </c>
      <c r="G307" s="22">
        <f>IF(OR('Brouillard ventes'!$F$158="",'Brouillard ventes'!$J$158="À crédit",'Brouillard ventes'!$J$158=""),"",Paramètres!$B$7)</f>
        <v/>
      </c>
      <c r="H307" s="22">
        <f>IF(OR('Brouillard ventes'!$F$158="",'Brouillard ventes'!$J$158="À crédit",'Brouillard ventes'!$J$158=""),"",IF('Brouillard ventes'!$C$158="","CD001",'Brouillard ventes'!$C$158))</f>
        <v/>
      </c>
      <c r="I307" s="22" t="inlineStr"/>
      <c r="J307" s="22" t="inlineStr"/>
      <c r="K307" s="22">
        <f>IF(OR('Brouillard ventes'!$F$158="",'Brouillard ventes'!$J$158="À crédit",'Brouillard ventes'!$J$158=""),"",Paramètres!$B$11)</f>
        <v/>
      </c>
      <c r="L307" s="23" t="n">
        <v>0</v>
      </c>
      <c r="M307" s="23">
        <f>IF(OR('Brouillard ventes'!$F$158="",'Brouillard ventes'!$J$158="À crédit",'Brouillard ventes'!$J$158=""),0,'Brouillard ventes'!$I$158)</f>
        <v/>
      </c>
    </row>
    <row r="308">
      <c r="A308" s="22" t="inlineStr">
        <is>
          <t>1</t>
        </is>
      </c>
      <c r="B308" s="22">
        <f>IF(OR('Brouillard ventes'!$F$159="",'Brouillard ventes'!$J$159="À crédit",'Brouillard ventes'!$J$159=""),"","EC"&amp;TEXT(ROW('Brouillard ventes'!$F$159)-5,"00000"))</f>
        <v/>
      </c>
      <c r="C308" s="22">
        <f>IF(OR('Brouillard ventes'!$F$159="",'Brouillard ventes'!$J$159="À crédit",'Brouillard ventes'!$J$159=""),"",YEAR('Brouillard ventes'!$A$159)*10000+MONTH('Brouillard ventes'!$A$159)*100+DAY('Brouillard ventes'!$A$159))</f>
        <v/>
      </c>
      <c r="D308" s="22">
        <f>IF(OR('Brouillard ventes'!$F$159="",'Brouillard ventes'!$J$159="À crédit",'Brouillard ventes'!$J$159=""),"",'Brouillard ventes'!$B$159)</f>
        <v/>
      </c>
      <c r="E308" s="22">
        <f>IF(OR('Brouillard ventes'!$F$159="",'Brouillard ventes'!$J$159="À crédit",'Brouillard ventes'!$J$159=""),"","REGL "&amp;LEFT('Brouillard ventes'!$D$159,25))</f>
        <v/>
      </c>
      <c r="F308" s="22">
        <f>IF(OR('Brouillard ventes'!$F$159="",'Brouillard ventes'!$J$159="À crédit",'Brouillard ventes'!$J$159=""),"",IF('Brouillard ventes'!$J$159="Espèces","04001","02001"))</f>
        <v/>
      </c>
      <c r="G308" s="22">
        <f>IF(OR('Brouillard ventes'!$F$159="",'Brouillard ventes'!$J$159="À crédit",'Brouillard ventes'!$J$159=""),"",IF('Brouillard ventes'!$J$159="Espèces","53000","51220"))</f>
        <v/>
      </c>
      <c r="H308" s="22" t="inlineStr"/>
      <c r="I308" s="22" t="inlineStr"/>
      <c r="J308" s="22" t="inlineStr"/>
      <c r="K308" s="22">
        <f>IF(OR('Brouillard ventes'!$F$159="",'Brouillard ventes'!$J$159="À crédit",'Brouillard ventes'!$J$159=""),"",Paramètres!$B$11)</f>
        <v/>
      </c>
      <c r="L308" s="23">
        <f>IF(OR('Brouillard ventes'!$F$159="",'Brouillard ventes'!$J$159="À crédit",'Brouillard ventes'!$J$159=""),0,'Brouillard ventes'!$I$159)</f>
        <v/>
      </c>
      <c r="M308" s="23" t="n">
        <v>0</v>
      </c>
    </row>
    <row r="309">
      <c r="A309" s="22" t="inlineStr">
        <is>
          <t>1</t>
        </is>
      </c>
      <c r="B309" s="22">
        <f>IF(OR('Brouillard ventes'!$F$159="",'Brouillard ventes'!$J$159="À crédit",'Brouillard ventes'!$J$159=""),"","EC"&amp;TEXT(ROW('Brouillard ventes'!$F$159)-5,"00000"))</f>
        <v/>
      </c>
      <c r="C309" s="22">
        <f>IF(OR('Brouillard ventes'!$F$159="",'Brouillard ventes'!$J$159="À crédit",'Brouillard ventes'!$J$159=""),"",YEAR('Brouillard ventes'!$A$159)*10000+MONTH('Brouillard ventes'!$A$159)*100+DAY('Brouillard ventes'!$A$159))</f>
        <v/>
      </c>
      <c r="D309" s="22">
        <f>IF(OR('Brouillard ventes'!$F$159="",'Brouillard ventes'!$J$159="À crédit",'Brouillard ventes'!$J$159=""),"",'Brouillard ventes'!$B$159)</f>
        <v/>
      </c>
      <c r="E309" s="22">
        <f>IF(OR('Brouillard ventes'!$F$159="",'Brouillard ventes'!$J$159="À crédit",'Brouillard ventes'!$J$159=""),"","REGL "&amp;LEFT('Brouillard ventes'!$D$159,25))</f>
        <v/>
      </c>
      <c r="F309" s="22">
        <f>IF(OR('Brouillard ventes'!$F$159="",'Brouillard ventes'!$J$159="À crédit",'Brouillard ventes'!$J$159=""),"",IF('Brouillard ventes'!$J$159="Espèces","04001","02001"))</f>
        <v/>
      </c>
      <c r="G309" s="22">
        <f>IF(OR('Brouillard ventes'!$F$159="",'Brouillard ventes'!$J$159="À crédit",'Brouillard ventes'!$J$159=""),"",Paramètres!$B$7)</f>
        <v/>
      </c>
      <c r="H309" s="22">
        <f>IF(OR('Brouillard ventes'!$F$159="",'Brouillard ventes'!$J$159="À crédit",'Brouillard ventes'!$J$159=""),"",IF('Brouillard ventes'!$C$159="","CD001",'Brouillard ventes'!$C$159))</f>
        <v/>
      </c>
      <c r="I309" s="22" t="inlineStr"/>
      <c r="J309" s="22" t="inlineStr"/>
      <c r="K309" s="22">
        <f>IF(OR('Brouillard ventes'!$F$159="",'Brouillard ventes'!$J$159="À crédit",'Brouillard ventes'!$J$159=""),"",Paramètres!$B$11)</f>
        <v/>
      </c>
      <c r="L309" s="23" t="n">
        <v>0</v>
      </c>
      <c r="M309" s="23">
        <f>IF(OR('Brouillard ventes'!$F$159="",'Brouillard ventes'!$J$159="À crédit",'Brouillard ventes'!$J$159=""),0,'Brouillard ventes'!$I$159)</f>
        <v/>
      </c>
    </row>
    <row r="310">
      <c r="A310" s="22" t="inlineStr">
        <is>
          <t>1</t>
        </is>
      </c>
      <c r="B310" s="22">
        <f>IF(OR('Brouillard ventes'!$F$160="",'Brouillard ventes'!$J$160="À crédit",'Brouillard ventes'!$J$160=""),"","EC"&amp;TEXT(ROW('Brouillard ventes'!$F$160)-5,"00000"))</f>
        <v/>
      </c>
      <c r="C310" s="22">
        <f>IF(OR('Brouillard ventes'!$F$160="",'Brouillard ventes'!$J$160="À crédit",'Brouillard ventes'!$J$160=""),"",YEAR('Brouillard ventes'!$A$160)*10000+MONTH('Brouillard ventes'!$A$160)*100+DAY('Brouillard ventes'!$A$160))</f>
        <v/>
      </c>
      <c r="D310" s="22">
        <f>IF(OR('Brouillard ventes'!$F$160="",'Brouillard ventes'!$J$160="À crédit",'Brouillard ventes'!$J$160=""),"",'Brouillard ventes'!$B$160)</f>
        <v/>
      </c>
      <c r="E310" s="22">
        <f>IF(OR('Brouillard ventes'!$F$160="",'Brouillard ventes'!$J$160="À crédit",'Brouillard ventes'!$J$160=""),"","REGL "&amp;LEFT('Brouillard ventes'!$D$160,25))</f>
        <v/>
      </c>
      <c r="F310" s="22">
        <f>IF(OR('Brouillard ventes'!$F$160="",'Brouillard ventes'!$J$160="À crédit",'Brouillard ventes'!$J$160=""),"",IF('Brouillard ventes'!$J$160="Espèces","04001","02001"))</f>
        <v/>
      </c>
      <c r="G310" s="22">
        <f>IF(OR('Brouillard ventes'!$F$160="",'Brouillard ventes'!$J$160="À crédit",'Brouillard ventes'!$J$160=""),"",IF('Brouillard ventes'!$J$160="Espèces","53000","51220"))</f>
        <v/>
      </c>
      <c r="H310" s="22" t="inlineStr"/>
      <c r="I310" s="22" t="inlineStr"/>
      <c r="J310" s="22" t="inlineStr"/>
      <c r="K310" s="22">
        <f>IF(OR('Brouillard ventes'!$F$160="",'Brouillard ventes'!$J$160="À crédit",'Brouillard ventes'!$J$160=""),"",Paramètres!$B$11)</f>
        <v/>
      </c>
      <c r="L310" s="23">
        <f>IF(OR('Brouillard ventes'!$F$160="",'Brouillard ventes'!$J$160="À crédit",'Brouillard ventes'!$J$160=""),0,'Brouillard ventes'!$I$160)</f>
        <v/>
      </c>
      <c r="M310" s="23" t="n">
        <v>0</v>
      </c>
    </row>
    <row r="311">
      <c r="A311" s="22" t="inlineStr">
        <is>
          <t>1</t>
        </is>
      </c>
      <c r="B311" s="22">
        <f>IF(OR('Brouillard ventes'!$F$160="",'Brouillard ventes'!$J$160="À crédit",'Brouillard ventes'!$J$160=""),"","EC"&amp;TEXT(ROW('Brouillard ventes'!$F$160)-5,"00000"))</f>
        <v/>
      </c>
      <c r="C311" s="22">
        <f>IF(OR('Brouillard ventes'!$F$160="",'Brouillard ventes'!$J$160="À crédit",'Brouillard ventes'!$J$160=""),"",YEAR('Brouillard ventes'!$A$160)*10000+MONTH('Brouillard ventes'!$A$160)*100+DAY('Brouillard ventes'!$A$160))</f>
        <v/>
      </c>
      <c r="D311" s="22">
        <f>IF(OR('Brouillard ventes'!$F$160="",'Brouillard ventes'!$J$160="À crédit",'Brouillard ventes'!$J$160=""),"",'Brouillard ventes'!$B$160)</f>
        <v/>
      </c>
      <c r="E311" s="22">
        <f>IF(OR('Brouillard ventes'!$F$160="",'Brouillard ventes'!$J$160="À crédit",'Brouillard ventes'!$J$160=""),"","REGL "&amp;LEFT('Brouillard ventes'!$D$160,25))</f>
        <v/>
      </c>
      <c r="F311" s="22">
        <f>IF(OR('Brouillard ventes'!$F$160="",'Brouillard ventes'!$J$160="À crédit",'Brouillard ventes'!$J$160=""),"",IF('Brouillard ventes'!$J$160="Espèces","04001","02001"))</f>
        <v/>
      </c>
      <c r="G311" s="22">
        <f>IF(OR('Brouillard ventes'!$F$160="",'Brouillard ventes'!$J$160="À crédit",'Brouillard ventes'!$J$160=""),"",Paramètres!$B$7)</f>
        <v/>
      </c>
      <c r="H311" s="22">
        <f>IF(OR('Brouillard ventes'!$F$160="",'Brouillard ventes'!$J$160="À crédit",'Brouillard ventes'!$J$160=""),"",IF('Brouillard ventes'!$C$160="","CD001",'Brouillard ventes'!$C$160))</f>
        <v/>
      </c>
      <c r="I311" s="22" t="inlineStr"/>
      <c r="J311" s="22" t="inlineStr"/>
      <c r="K311" s="22">
        <f>IF(OR('Brouillard ventes'!$F$160="",'Brouillard ventes'!$J$160="À crédit",'Brouillard ventes'!$J$160=""),"",Paramètres!$B$11)</f>
        <v/>
      </c>
      <c r="L311" s="23" t="n">
        <v>0</v>
      </c>
      <c r="M311" s="23">
        <f>IF(OR('Brouillard ventes'!$F$160="",'Brouillard ventes'!$J$160="À crédit",'Brouillard ventes'!$J$160=""),0,'Brouillard ventes'!$I$160)</f>
        <v/>
      </c>
    </row>
    <row r="312">
      <c r="A312" s="22" t="inlineStr">
        <is>
          <t>1</t>
        </is>
      </c>
      <c r="B312" s="22">
        <f>IF(OR('Brouillard ventes'!$F$161="",'Brouillard ventes'!$J$161="À crédit",'Brouillard ventes'!$J$161=""),"","EC"&amp;TEXT(ROW('Brouillard ventes'!$F$161)-5,"00000"))</f>
        <v/>
      </c>
      <c r="C312" s="22">
        <f>IF(OR('Brouillard ventes'!$F$161="",'Brouillard ventes'!$J$161="À crédit",'Brouillard ventes'!$J$161=""),"",YEAR('Brouillard ventes'!$A$161)*10000+MONTH('Brouillard ventes'!$A$161)*100+DAY('Brouillard ventes'!$A$161))</f>
        <v/>
      </c>
      <c r="D312" s="22">
        <f>IF(OR('Brouillard ventes'!$F$161="",'Brouillard ventes'!$J$161="À crédit",'Brouillard ventes'!$J$161=""),"",'Brouillard ventes'!$B$161)</f>
        <v/>
      </c>
      <c r="E312" s="22">
        <f>IF(OR('Brouillard ventes'!$F$161="",'Brouillard ventes'!$J$161="À crédit",'Brouillard ventes'!$J$161=""),"","REGL "&amp;LEFT('Brouillard ventes'!$D$161,25))</f>
        <v/>
      </c>
      <c r="F312" s="22">
        <f>IF(OR('Brouillard ventes'!$F$161="",'Brouillard ventes'!$J$161="À crédit",'Brouillard ventes'!$J$161=""),"",IF('Brouillard ventes'!$J$161="Espèces","04001","02001"))</f>
        <v/>
      </c>
      <c r="G312" s="22">
        <f>IF(OR('Brouillard ventes'!$F$161="",'Brouillard ventes'!$J$161="À crédit",'Brouillard ventes'!$J$161=""),"",IF('Brouillard ventes'!$J$161="Espèces","53000","51220"))</f>
        <v/>
      </c>
      <c r="H312" s="22" t="inlineStr"/>
      <c r="I312" s="22" t="inlineStr"/>
      <c r="J312" s="22" t="inlineStr"/>
      <c r="K312" s="22">
        <f>IF(OR('Brouillard ventes'!$F$161="",'Brouillard ventes'!$J$161="À crédit",'Brouillard ventes'!$J$161=""),"",Paramètres!$B$11)</f>
        <v/>
      </c>
      <c r="L312" s="23">
        <f>IF(OR('Brouillard ventes'!$F$161="",'Brouillard ventes'!$J$161="À crédit",'Brouillard ventes'!$J$161=""),0,'Brouillard ventes'!$I$161)</f>
        <v/>
      </c>
      <c r="M312" s="23" t="n">
        <v>0</v>
      </c>
    </row>
    <row r="313">
      <c r="A313" s="22" t="inlineStr">
        <is>
          <t>1</t>
        </is>
      </c>
      <c r="B313" s="22">
        <f>IF(OR('Brouillard ventes'!$F$161="",'Brouillard ventes'!$J$161="À crédit",'Brouillard ventes'!$J$161=""),"","EC"&amp;TEXT(ROW('Brouillard ventes'!$F$161)-5,"00000"))</f>
        <v/>
      </c>
      <c r="C313" s="22">
        <f>IF(OR('Brouillard ventes'!$F$161="",'Brouillard ventes'!$J$161="À crédit",'Brouillard ventes'!$J$161=""),"",YEAR('Brouillard ventes'!$A$161)*10000+MONTH('Brouillard ventes'!$A$161)*100+DAY('Brouillard ventes'!$A$161))</f>
        <v/>
      </c>
      <c r="D313" s="22">
        <f>IF(OR('Brouillard ventes'!$F$161="",'Brouillard ventes'!$J$161="À crédit",'Brouillard ventes'!$J$161=""),"",'Brouillard ventes'!$B$161)</f>
        <v/>
      </c>
      <c r="E313" s="22">
        <f>IF(OR('Brouillard ventes'!$F$161="",'Brouillard ventes'!$J$161="À crédit",'Brouillard ventes'!$J$161=""),"","REGL "&amp;LEFT('Brouillard ventes'!$D$161,25))</f>
        <v/>
      </c>
      <c r="F313" s="22">
        <f>IF(OR('Brouillard ventes'!$F$161="",'Brouillard ventes'!$J$161="À crédit",'Brouillard ventes'!$J$161=""),"",IF('Brouillard ventes'!$J$161="Espèces","04001","02001"))</f>
        <v/>
      </c>
      <c r="G313" s="22">
        <f>IF(OR('Brouillard ventes'!$F$161="",'Brouillard ventes'!$J$161="À crédit",'Brouillard ventes'!$J$161=""),"",Paramètres!$B$7)</f>
        <v/>
      </c>
      <c r="H313" s="22">
        <f>IF(OR('Brouillard ventes'!$F$161="",'Brouillard ventes'!$J$161="À crédit",'Brouillard ventes'!$J$161=""),"",IF('Brouillard ventes'!$C$161="","CD001",'Brouillard ventes'!$C$161))</f>
        <v/>
      </c>
      <c r="I313" s="22" t="inlineStr"/>
      <c r="J313" s="22" t="inlineStr"/>
      <c r="K313" s="22">
        <f>IF(OR('Brouillard ventes'!$F$161="",'Brouillard ventes'!$J$161="À crédit",'Brouillard ventes'!$J$161=""),"",Paramètres!$B$11)</f>
        <v/>
      </c>
      <c r="L313" s="23" t="n">
        <v>0</v>
      </c>
      <c r="M313" s="23">
        <f>IF(OR('Brouillard ventes'!$F$161="",'Brouillard ventes'!$J$161="À crédit",'Brouillard ventes'!$J$161=""),0,'Brouillard ventes'!$I$161)</f>
        <v/>
      </c>
    </row>
    <row r="314">
      <c r="A314" s="22" t="inlineStr">
        <is>
          <t>1</t>
        </is>
      </c>
      <c r="B314" s="22">
        <f>IF(OR('Brouillard ventes'!$F$162="",'Brouillard ventes'!$J$162="À crédit",'Brouillard ventes'!$J$162=""),"","EC"&amp;TEXT(ROW('Brouillard ventes'!$F$162)-5,"00000"))</f>
        <v/>
      </c>
      <c r="C314" s="22">
        <f>IF(OR('Brouillard ventes'!$F$162="",'Brouillard ventes'!$J$162="À crédit",'Brouillard ventes'!$J$162=""),"",YEAR('Brouillard ventes'!$A$162)*10000+MONTH('Brouillard ventes'!$A$162)*100+DAY('Brouillard ventes'!$A$162))</f>
        <v/>
      </c>
      <c r="D314" s="22">
        <f>IF(OR('Brouillard ventes'!$F$162="",'Brouillard ventes'!$J$162="À crédit",'Brouillard ventes'!$J$162=""),"",'Brouillard ventes'!$B$162)</f>
        <v/>
      </c>
      <c r="E314" s="22">
        <f>IF(OR('Brouillard ventes'!$F$162="",'Brouillard ventes'!$J$162="À crédit",'Brouillard ventes'!$J$162=""),"","REGL "&amp;LEFT('Brouillard ventes'!$D$162,25))</f>
        <v/>
      </c>
      <c r="F314" s="22">
        <f>IF(OR('Brouillard ventes'!$F$162="",'Brouillard ventes'!$J$162="À crédit",'Brouillard ventes'!$J$162=""),"",IF('Brouillard ventes'!$J$162="Espèces","04001","02001"))</f>
        <v/>
      </c>
      <c r="G314" s="22">
        <f>IF(OR('Brouillard ventes'!$F$162="",'Brouillard ventes'!$J$162="À crédit",'Brouillard ventes'!$J$162=""),"",IF('Brouillard ventes'!$J$162="Espèces","53000","51220"))</f>
        <v/>
      </c>
      <c r="H314" s="22" t="inlineStr"/>
      <c r="I314" s="22" t="inlineStr"/>
      <c r="J314" s="22" t="inlineStr"/>
      <c r="K314" s="22">
        <f>IF(OR('Brouillard ventes'!$F$162="",'Brouillard ventes'!$J$162="À crédit",'Brouillard ventes'!$J$162=""),"",Paramètres!$B$11)</f>
        <v/>
      </c>
      <c r="L314" s="23">
        <f>IF(OR('Brouillard ventes'!$F$162="",'Brouillard ventes'!$J$162="À crédit",'Brouillard ventes'!$J$162=""),0,'Brouillard ventes'!$I$162)</f>
        <v/>
      </c>
      <c r="M314" s="23" t="n">
        <v>0</v>
      </c>
    </row>
    <row r="315">
      <c r="A315" s="22" t="inlineStr">
        <is>
          <t>1</t>
        </is>
      </c>
      <c r="B315" s="22">
        <f>IF(OR('Brouillard ventes'!$F$162="",'Brouillard ventes'!$J$162="À crédit",'Brouillard ventes'!$J$162=""),"","EC"&amp;TEXT(ROW('Brouillard ventes'!$F$162)-5,"00000"))</f>
        <v/>
      </c>
      <c r="C315" s="22">
        <f>IF(OR('Brouillard ventes'!$F$162="",'Brouillard ventes'!$J$162="À crédit",'Brouillard ventes'!$J$162=""),"",YEAR('Brouillard ventes'!$A$162)*10000+MONTH('Brouillard ventes'!$A$162)*100+DAY('Brouillard ventes'!$A$162))</f>
        <v/>
      </c>
      <c r="D315" s="22">
        <f>IF(OR('Brouillard ventes'!$F$162="",'Brouillard ventes'!$J$162="À crédit",'Brouillard ventes'!$J$162=""),"",'Brouillard ventes'!$B$162)</f>
        <v/>
      </c>
      <c r="E315" s="22">
        <f>IF(OR('Brouillard ventes'!$F$162="",'Brouillard ventes'!$J$162="À crédit",'Brouillard ventes'!$J$162=""),"","REGL "&amp;LEFT('Brouillard ventes'!$D$162,25))</f>
        <v/>
      </c>
      <c r="F315" s="22">
        <f>IF(OR('Brouillard ventes'!$F$162="",'Brouillard ventes'!$J$162="À crédit",'Brouillard ventes'!$J$162=""),"",IF('Brouillard ventes'!$J$162="Espèces","04001","02001"))</f>
        <v/>
      </c>
      <c r="G315" s="22">
        <f>IF(OR('Brouillard ventes'!$F$162="",'Brouillard ventes'!$J$162="À crédit",'Brouillard ventes'!$J$162=""),"",Paramètres!$B$7)</f>
        <v/>
      </c>
      <c r="H315" s="22">
        <f>IF(OR('Brouillard ventes'!$F$162="",'Brouillard ventes'!$J$162="À crédit",'Brouillard ventes'!$J$162=""),"",IF('Brouillard ventes'!$C$162="","CD001",'Brouillard ventes'!$C$162))</f>
        <v/>
      </c>
      <c r="I315" s="22" t="inlineStr"/>
      <c r="J315" s="22" t="inlineStr"/>
      <c r="K315" s="22">
        <f>IF(OR('Brouillard ventes'!$F$162="",'Brouillard ventes'!$J$162="À crédit",'Brouillard ventes'!$J$162=""),"",Paramètres!$B$11)</f>
        <v/>
      </c>
      <c r="L315" s="23" t="n">
        <v>0</v>
      </c>
      <c r="M315" s="23">
        <f>IF(OR('Brouillard ventes'!$F$162="",'Brouillard ventes'!$J$162="À crédit",'Brouillard ventes'!$J$162=""),0,'Brouillard ventes'!$I$162)</f>
        <v/>
      </c>
    </row>
    <row r="316">
      <c r="A316" s="22" t="inlineStr">
        <is>
          <t>1</t>
        </is>
      </c>
      <c r="B316" s="22">
        <f>IF(OR('Brouillard ventes'!$F$163="",'Brouillard ventes'!$J$163="À crédit",'Brouillard ventes'!$J$163=""),"","EC"&amp;TEXT(ROW('Brouillard ventes'!$F$163)-5,"00000"))</f>
        <v/>
      </c>
      <c r="C316" s="22">
        <f>IF(OR('Brouillard ventes'!$F$163="",'Brouillard ventes'!$J$163="À crédit",'Brouillard ventes'!$J$163=""),"",YEAR('Brouillard ventes'!$A$163)*10000+MONTH('Brouillard ventes'!$A$163)*100+DAY('Brouillard ventes'!$A$163))</f>
        <v/>
      </c>
      <c r="D316" s="22">
        <f>IF(OR('Brouillard ventes'!$F$163="",'Brouillard ventes'!$J$163="À crédit",'Brouillard ventes'!$J$163=""),"",'Brouillard ventes'!$B$163)</f>
        <v/>
      </c>
      <c r="E316" s="22">
        <f>IF(OR('Brouillard ventes'!$F$163="",'Brouillard ventes'!$J$163="À crédit",'Brouillard ventes'!$J$163=""),"","REGL "&amp;LEFT('Brouillard ventes'!$D$163,25))</f>
        <v/>
      </c>
      <c r="F316" s="22">
        <f>IF(OR('Brouillard ventes'!$F$163="",'Brouillard ventes'!$J$163="À crédit",'Brouillard ventes'!$J$163=""),"",IF('Brouillard ventes'!$J$163="Espèces","04001","02001"))</f>
        <v/>
      </c>
      <c r="G316" s="22">
        <f>IF(OR('Brouillard ventes'!$F$163="",'Brouillard ventes'!$J$163="À crédit",'Brouillard ventes'!$J$163=""),"",IF('Brouillard ventes'!$J$163="Espèces","53000","51220"))</f>
        <v/>
      </c>
      <c r="H316" s="22" t="inlineStr"/>
      <c r="I316" s="22" t="inlineStr"/>
      <c r="J316" s="22" t="inlineStr"/>
      <c r="K316" s="22">
        <f>IF(OR('Brouillard ventes'!$F$163="",'Brouillard ventes'!$J$163="À crédit",'Brouillard ventes'!$J$163=""),"",Paramètres!$B$11)</f>
        <v/>
      </c>
      <c r="L316" s="23">
        <f>IF(OR('Brouillard ventes'!$F$163="",'Brouillard ventes'!$J$163="À crédit",'Brouillard ventes'!$J$163=""),0,'Brouillard ventes'!$I$163)</f>
        <v/>
      </c>
      <c r="M316" s="23" t="n">
        <v>0</v>
      </c>
    </row>
    <row r="317">
      <c r="A317" s="22" t="inlineStr">
        <is>
          <t>1</t>
        </is>
      </c>
      <c r="B317" s="22">
        <f>IF(OR('Brouillard ventes'!$F$163="",'Brouillard ventes'!$J$163="À crédit",'Brouillard ventes'!$J$163=""),"","EC"&amp;TEXT(ROW('Brouillard ventes'!$F$163)-5,"00000"))</f>
        <v/>
      </c>
      <c r="C317" s="22">
        <f>IF(OR('Brouillard ventes'!$F$163="",'Brouillard ventes'!$J$163="À crédit",'Brouillard ventes'!$J$163=""),"",YEAR('Brouillard ventes'!$A$163)*10000+MONTH('Brouillard ventes'!$A$163)*100+DAY('Brouillard ventes'!$A$163))</f>
        <v/>
      </c>
      <c r="D317" s="22">
        <f>IF(OR('Brouillard ventes'!$F$163="",'Brouillard ventes'!$J$163="À crédit",'Brouillard ventes'!$J$163=""),"",'Brouillard ventes'!$B$163)</f>
        <v/>
      </c>
      <c r="E317" s="22">
        <f>IF(OR('Brouillard ventes'!$F$163="",'Brouillard ventes'!$J$163="À crédit",'Brouillard ventes'!$J$163=""),"","REGL "&amp;LEFT('Brouillard ventes'!$D$163,25))</f>
        <v/>
      </c>
      <c r="F317" s="22">
        <f>IF(OR('Brouillard ventes'!$F$163="",'Brouillard ventes'!$J$163="À crédit",'Brouillard ventes'!$J$163=""),"",IF('Brouillard ventes'!$J$163="Espèces","04001","02001"))</f>
        <v/>
      </c>
      <c r="G317" s="22">
        <f>IF(OR('Brouillard ventes'!$F$163="",'Brouillard ventes'!$J$163="À crédit",'Brouillard ventes'!$J$163=""),"",Paramètres!$B$7)</f>
        <v/>
      </c>
      <c r="H317" s="22">
        <f>IF(OR('Brouillard ventes'!$F$163="",'Brouillard ventes'!$J$163="À crédit",'Brouillard ventes'!$J$163=""),"",IF('Brouillard ventes'!$C$163="","CD001",'Brouillard ventes'!$C$163))</f>
        <v/>
      </c>
      <c r="I317" s="22" t="inlineStr"/>
      <c r="J317" s="22" t="inlineStr"/>
      <c r="K317" s="22">
        <f>IF(OR('Brouillard ventes'!$F$163="",'Brouillard ventes'!$J$163="À crédit",'Brouillard ventes'!$J$163=""),"",Paramètres!$B$11)</f>
        <v/>
      </c>
      <c r="L317" s="23" t="n">
        <v>0</v>
      </c>
      <c r="M317" s="23">
        <f>IF(OR('Brouillard ventes'!$F$163="",'Brouillard ventes'!$J$163="À crédit",'Brouillard ventes'!$J$163=""),0,'Brouillard ventes'!$I$163)</f>
        <v/>
      </c>
    </row>
    <row r="318">
      <c r="A318" s="22" t="inlineStr">
        <is>
          <t>1</t>
        </is>
      </c>
      <c r="B318" s="22">
        <f>IF(OR('Brouillard ventes'!$F$164="",'Brouillard ventes'!$J$164="À crédit",'Brouillard ventes'!$J$164=""),"","EC"&amp;TEXT(ROW('Brouillard ventes'!$F$164)-5,"00000"))</f>
        <v/>
      </c>
      <c r="C318" s="22">
        <f>IF(OR('Brouillard ventes'!$F$164="",'Brouillard ventes'!$J$164="À crédit",'Brouillard ventes'!$J$164=""),"",YEAR('Brouillard ventes'!$A$164)*10000+MONTH('Brouillard ventes'!$A$164)*100+DAY('Brouillard ventes'!$A$164))</f>
        <v/>
      </c>
      <c r="D318" s="22">
        <f>IF(OR('Brouillard ventes'!$F$164="",'Brouillard ventes'!$J$164="À crédit",'Brouillard ventes'!$J$164=""),"",'Brouillard ventes'!$B$164)</f>
        <v/>
      </c>
      <c r="E318" s="22">
        <f>IF(OR('Brouillard ventes'!$F$164="",'Brouillard ventes'!$J$164="À crédit",'Brouillard ventes'!$J$164=""),"","REGL "&amp;LEFT('Brouillard ventes'!$D$164,25))</f>
        <v/>
      </c>
      <c r="F318" s="22">
        <f>IF(OR('Brouillard ventes'!$F$164="",'Brouillard ventes'!$J$164="À crédit",'Brouillard ventes'!$J$164=""),"",IF('Brouillard ventes'!$J$164="Espèces","04001","02001"))</f>
        <v/>
      </c>
      <c r="G318" s="22">
        <f>IF(OR('Brouillard ventes'!$F$164="",'Brouillard ventes'!$J$164="À crédit",'Brouillard ventes'!$J$164=""),"",IF('Brouillard ventes'!$J$164="Espèces","53000","51220"))</f>
        <v/>
      </c>
      <c r="H318" s="22" t="inlineStr"/>
      <c r="I318" s="22" t="inlineStr"/>
      <c r="J318" s="22" t="inlineStr"/>
      <c r="K318" s="22">
        <f>IF(OR('Brouillard ventes'!$F$164="",'Brouillard ventes'!$J$164="À crédit",'Brouillard ventes'!$J$164=""),"",Paramètres!$B$11)</f>
        <v/>
      </c>
      <c r="L318" s="23">
        <f>IF(OR('Brouillard ventes'!$F$164="",'Brouillard ventes'!$J$164="À crédit",'Brouillard ventes'!$J$164=""),0,'Brouillard ventes'!$I$164)</f>
        <v/>
      </c>
      <c r="M318" s="23" t="n">
        <v>0</v>
      </c>
    </row>
    <row r="319">
      <c r="A319" s="22" t="inlineStr">
        <is>
          <t>1</t>
        </is>
      </c>
      <c r="B319" s="22">
        <f>IF(OR('Brouillard ventes'!$F$164="",'Brouillard ventes'!$J$164="À crédit",'Brouillard ventes'!$J$164=""),"","EC"&amp;TEXT(ROW('Brouillard ventes'!$F$164)-5,"00000"))</f>
        <v/>
      </c>
      <c r="C319" s="22">
        <f>IF(OR('Brouillard ventes'!$F$164="",'Brouillard ventes'!$J$164="À crédit",'Brouillard ventes'!$J$164=""),"",YEAR('Brouillard ventes'!$A$164)*10000+MONTH('Brouillard ventes'!$A$164)*100+DAY('Brouillard ventes'!$A$164))</f>
        <v/>
      </c>
      <c r="D319" s="22">
        <f>IF(OR('Brouillard ventes'!$F$164="",'Brouillard ventes'!$J$164="À crédit",'Brouillard ventes'!$J$164=""),"",'Brouillard ventes'!$B$164)</f>
        <v/>
      </c>
      <c r="E319" s="22">
        <f>IF(OR('Brouillard ventes'!$F$164="",'Brouillard ventes'!$J$164="À crédit",'Brouillard ventes'!$J$164=""),"","REGL "&amp;LEFT('Brouillard ventes'!$D$164,25))</f>
        <v/>
      </c>
      <c r="F319" s="22">
        <f>IF(OR('Brouillard ventes'!$F$164="",'Brouillard ventes'!$J$164="À crédit",'Brouillard ventes'!$J$164=""),"",IF('Brouillard ventes'!$J$164="Espèces","04001","02001"))</f>
        <v/>
      </c>
      <c r="G319" s="22">
        <f>IF(OR('Brouillard ventes'!$F$164="",'Brouillard ventes'!$J$164="À crédit",'Brouillard ventes'!$J$164=""),"",Paramètres!$B$7)</f>
        <v/>
      </c>
      <c r="H319" s="22">
        <f>IF(OR('Brouillard ventes'!$F$164="",'Brouillard ventes'!$J$164="À crédit",'Brouillard ventes'!$J$164=""),"",IF('Brouillard ventes'!$C$164="","CD001",'Brouillard ventes'!$C$164))</f>
        <v/>
      </c>
      <c r="I319" s="22" t="inlineStr"/>
      <c r="J319" s="22" t="inlineStr"/>
      <c r="K319" s="22">
        <f>IF(OR('Brouillard ventes'!$F$164="",'Brouillard ventes'!$J$164="À crédit",'Brouillard ventes'!$J$164=""),"",Paramètres!$B$11)</f>
        <v/>
      </c>
      <c r="L319" s="23" t="n">
        <v>0</v>
      </c>
      <c r="M319" s="23">
        <f>IF(OR('Brouillard ventes'!$F$164="",'Brouillard ventes'!$J$164="À crédit",'Brouillard ventes'!$J$164=""),0,'Brouillard ventes'!$I$164)</f>
        <v/>
      </c>
    </row>
    <row r="320">
      <c r="A320" s="22" t="inlineStr">
        <is>
          <t>1</t>
        </is>
      </c>
      <c r="B320" s="22">
        <f>IF(OR('Brouillard ventes'!$F$165="",'Brouillard ventes'!$J$165="À crédit",'Brouillard ventes'!$J$165=""),"","EC"&amp;TEXT(ROW('Brouillard ventes'!$F$165)-5,"00000"))</f>
        <v/>
      </c>
      <c r="C320" s="22">
        <f>IF(OR('Brouillard ventes'!$F$165="",'Brouillard ventes'!$J$165="À crédit",'Brouillard ventes'!$J$165=""),"",YEAR('Brouillard ventes'!$A$165)*10000+MONTH('Brouillard ventes'!$A$165)*100+DAY('Brouillard ventes'!$A$165))</f>
        <v/>
      </c>
      <c r="D320" s="22">
        <f>IF(OR('Brouillard ventes'!$F$165="",'Brouillard ventes'!$J$165="À crédit",'Brouillard ventes'!$J$165=""),"",'Brouillard ventes'!$B$165)</f>
        <v/>
      </c>
      <c r="E320" s="22">
        <f>IF(OR('Brouillard ventes'!$F$165="",'Brouillard ventes'!$J$165="À crédit",'Brouillard ventes'!$J$165=""),"","REGL "&amp;LEFT('Brouillard ventes'!$D$165,25))</f>
        <v/>
      </c>
      <c r="F320" s="22">
        <f>IF(OR('Brouillard ventes'!$F$165="",'Brouillard ventes'!$J$165="À crédit",'Brouillard ventes'!$J$165=""),"",IF('Brouillard ventes'!$J$165="Espèces","04001","02001"))</f>
        <v/>
      </c>
      <c r="G320" s="22">
        <f>IF(OR('Brouillard ventes'!$F$165="",'Brouillard ventes'!$J$165="À crédit",'Brouillard ventes'!$J$165=""),"",IF('Brouillard ventes'!$J$165="Espèces","53000","51220"))</f>
        <v/>
      </c>
      <c r="H320" s="22" t="inlineStr"/>
      <c r="I320" s="22" t="inlineStr"/>
      <c r="J320" s="22" t="inlineStr"/>
      <c r="K320" s="22">
        <f>IF(OR('Brouillard ventes'!$F$165="",'Brouillard ventes'!$J$165="À crédit",'Brouillard ventes'!$J$165=""),"",Paramètres!$B$11)</f>
        <v/>
      </c>
      <c r="L320" s="23">
        <f>IF(OR('Brouillard ventes'!$F$165="",'Brouillard ventes'!$J$165="À crédit",'Brouillard ventes'!$J$165=""),0,'Brouillard ventes'!$I$165)</f>
        <v/>
      </c>
      <c r="M320" s="23" t="n">
        <v>0</v>
      </c>
    </row>
    <row r="321">
      <c r="A321" s="22" t="inlineStr">
        <is>
          <t>1</t>
        </is>
      </c>
      <c r="B321" s="22">
        <f>IF(OR('Brouillard ventes'!$F$165="",'Brouillard ventes'!$J$165="À crédit",'Brouillard ventes'!$J$165=""),"","EC"&amp;TEXT(ROW('Brouillard ventes'!$F$165)-5,"00000"))</f>
        <v/>
      </c>
      <c r="C321" s="22">
        <f>IF(OR('Brouillard ventes'!$F$165="",'Brouillard ventes'!$J$165="À crédit",'Brouillard ventes'!$J$165=""),"",YEAR('Brouillard ventes'!$A$165)*10000+MONTH('Brouillard ventes'!$A$165)*100+DAY('Brouillard ventes'!$A$165))</f>
        <v/>
      </c>
      <c r="D321" s="22">
        <f>IF(OR('Brouillard ventes'!$F$165="",'Brouillard ventes'!$J$165="À crédit",'Brouillard ventes'!$J$165=""),"",'Brouillard ventes'!$B$165)</f>
        <v/>
      </c>
      <c r="E321" s="22">
        <f>IF(OR('Brouillard ventes'!$F$165="",'Brouillard ventes'!$J$165="À crédit",'Brouillard ventes'!$J$165=""),"","REGL "&amp;LEFT('Brouillard ventes'!$D$165,25))</f>
        <v/>
      </c>
      <c r="F321" s="22">
        <f>IF(OR('Brouillard ventes'!$F$165="",'Brouillard ventes'!$J$165="À crédit",'Brouillard ventes'!$J$165=""),"",IF('Brouillard ventes'!$J$165="Espèces","04001","02001"))</f>
        <v/>
      </c>
      <c r="G321" s="22">
        <f>IF(OR('Brouillard ventes'!$F$165="",'Brouillard ventes'!$J$165="À crédit",'Brouillard ventes'!$J$165=""),"",Paramètres!$B$7)</f>
        <v/>
      </c>
      <c r="H321" s="22">
        <f>IF(OR('Brouillard ventes'!$F$165="",'Brouillard ventes'!$J$165="À crédit",'Brouillard ventes'!$J$165=""),"",IF('Brouillard ventes'!$C$165="","CD001",'Brouillard ventes'!$C$165))</f>
        <v/>
      </c>
      <c r="I321" s="22" t="inlineStr"/>
      <c r="J321" s="22" t="inlineStr"/>
      <c r="K321" s="22">
        <f>IF(OR('Brouillard ventes'!$F$165="",'Brouillard ventes'!$J$165="À crédit",'Brouillard ventes'!$J$165=""),"",Paramètres!$B$11)</f>
        <v/>
      </c>
      <c r="L321" s="23" t="n">
        <v>0</v>
      </c>
      <c r="M321" s="23">
        <f>IF(OR('Brouillard ventes'!$F$165="",'Brouillard ventes'!$J$165="À crédit",'Brouillard ventes'!$J$165=""),0,'Brouillard ventes'!$I$165)</f>
        <v/>
      </c>
    </row>
    <row r="322">
      <c r="A322" s="22" t="inlineStr">
        <is>
          <t>1</t>
        </is>
      </c>
      <c r="B322" s="22">
        <f>IF(OR('Brouillard ventes'!$F$166="",'Brouillard ventes'!$J$166="À crédit",'Brouillard ventes'!$J$166=""),"","EC"&amp;TEXT(ROW('Brouillard ventes'!$F$166)-5,"00000"))</f>
        <v/>
      </c>
      <c r="C322" s="22">
        <f>IF(OR('Brouillard ventes'!$F$166="",'Brouillard ventes'!$J$166="À crédit",'Brouillard ventes'!$J$166=""),"",YEAR('Brouillard ventes'!$A$166)*10000+MONTH('Brouillard ventes'!$A$166)*100+DAY('Brouillard ventes'!$A$166))</f>
        <v/>
      </c>
      <c r="D322" s="22">
        <f>IF(OR('Brouillard ventes'!$F$166="",'Brouillard ventes'!$J$166="À crédit",'Brouillard ventes'!$J$166=""),"",'Brouillard ventes'!$B$166)</f>
        <v/>
      </c>
      <c r="E322" s="22">
        <f>IF(OR('Brouillard ventes'!$F$166="",'Brouillard ventes'!$J$166="À crédit",'Brouillard ventes'!$J$166=""),"","REGL "&amp;LEFT('Brouillard ventes'!$D$166,25))</f>
        <v/>
      </c>
      <c r="F322" s="22">
        <f>IF(OR('Brouillard ventes'!$F$166="",'Brouillard ventes'!$J$166="À crédit",'Brouillard ventes'!$J$166=""),"",IF('Brouillard ventes'!$J$166="Espèces","04001","02001"))</f>
        <v/>
      </c>
      <c r="G322" s="22">
        <f>IF(OR('Brouillard ventes'!$F$166="",'Brouillard ventes'!$J$166="À crédit",'Brouillard ventes'!$J$166=""),"",IF('Brouillard ventes'!$J$166="Espèces","53000","51220"))</f>
        <v/>
      </c>
      <c r="H322" s="22" t="inlineStr"/>
      <c r="I322" s="22" t="inlineStr"/>
      <c r="J322" s="22" t="inlineStr"/>
      <c r="K322" s="22">
        <f>IF(OR('Brouillard ventes'!$F$166="",'Brouillard ventes'!$J$166="À crédit",'Brouillard ventes'!$J$166=""),"",Paramètres!$B$11)</f>
        <v/>
      </c>
      <c r="L322" s="23">
        <f>IF(OR('Brouillard ventes'!$F$166="",'Brouillard ventes'!$J$166="À crédit",'Brouillard ventes'!$J$166=""),0,'Brouillard ventes'!$I$166)</f>
        <v/>
      </c>
      <c r="M322" s="23" t="n">
        <v>0</v>
      </c>
    </row>
    <row r="323">
      <c r="A323" s="22" t="inlineStr">
        <is>
          <t>1</t>
        </is>
      </c>
      <c r="B323" s="22">
        <f>IF(OR('Brouillard ventes'!$F$166="",'Brouillard ventes'!$J$166="À crédit",'Brouillard ventes'!$J$166=""),"","EC"&amp;TEXT(ROW('Brouillard ventes'!$F$166)-5,"00000"))</f>
        <v/>
      </c>
      <c r="C323" s="22">
        <f>IF(OR('Brouillard ventes'!$F$166="",'Brouillard ventes'!$J$166="À crédit",'Brouillard ventes'!$J$166=""),"",YEAR('Brouillard ventes'!$A$166)*10000+MONTH('Brouillard ventes'!$A$166)*100+DAY('Brouillard ventes'!$A$166))</f>
        <v/>
      </c>
      <c r="D323" s="22">
        <f>IF(OR('Brouillard ventes'!$F$166="",'Brouillard ventes'!$J$166="À crédit",'Brouillard ventes'!$J$166=""),"",'Brouillard ventes'!$B$166)</f>
        <v/>
      </c>
      <c r="E323" s="22">
        <f>IF(OR('Brouillard ventes'!$F$166="",'Brouillard ventes'!$J$166="À crédit",'Brouillard ventes'!$J$166=""),"","REGL "&amp;LEFT('Brouillard ventes'!$D$166,25))</f>
        <v/>
      </c>
      <c r="F323" s="22">
        <f>IF(OR('Brouillard ventes'!$F$166="",'Brouillard ventes'!$J$166="À crédit",'Brouillard ventes'!$J$166=""),"",IF('Brouillard ventes'!$J$166="Espèces","04001","02001"))</f>
        <v/>
      </c>
      <c r="G323" s="22">
        <f>IF(OR('Brouillard ventes'!$F$166="",'Brouillard ventes'!$J$166="À crédit",'Brouillard ventes'!$J$166=""),"",Paramètres!$B$7)</f>
        <v/>
      </c>
      <c r="H323" s="22">
        <f>IF(OR('Brouillard ventes'!$F$166="",'Brouillard ventes'!$J$166="À crédit",'Brouillard ventes'!$J$166=""),"",IF('Brouillard ventes'!$C$166="","CD001",'Brouillard ventes'!$C$166))</f>
        <v/>
      </c>
      <c r="I323" s="22" t="inlineStr"/>
      <c r="J323" s="22" t="inlineStr"/>
      <c r="K323" s="22">
        <f>IF(OR('Brouillard ventes'!$F$166="",'Brouillard ventes'!$J$166="À crédit",'Brouillard ventes'!$J$166=""),"",Paramètres!$B$11)</f>
        <v/>
      </c>
      <c r="L323" s="23" t="n">
        <v>0</v>
      </c>
      <c r="M323" s="23">
        <f>IF(OR('Brouillard ventes'!$F$166="",'Brouillard ventes'!$J$166="À crédit",'Brouillard ventes'!$J$166=""),0,'Brouillard ventes'!$I$166)</f>
        <v/>
      </c>
    </row>
    <row r="324">
      <c r="A324" s="22" t="inlineStr">
        <is>
          <t>1</t>
        </is>
      </c>
      <c r="B324" s="22">
        <f>IF(OR('Brouillard ventes'!$F$167="",'Brouillard ventes'!$J$167="À crédit",'Brouillard ventes'!$J$167=""),"","EC"&amp;TEXT(ROW('Brouillard ventes'!$F$167)-5,"00000"))</f>
        <v/>
      </c>
      <c r="C324" s="22">
        <f>IF(OR('Brouillard ventes'!$F$167="",'Brouillard ventes'!$J$167="À crédit",'Brouillard ventes'!$J$167=""),"",YEAR('Brouillard ventes'!$A$167)*10000+MONTH('Brouillard ventes'!$A$167)*100+DAY('Brouillard ventes'!$A$167))</f>
        <v/>
      </c>
      <c r="D324" s="22">
        <f>IF(OR('Brouillard ventes'!$F$167="",'Brouillard ventes'!$J$167="À crédit",'Brouillard ventes'!$J$167=""),"",'Brouillard ventes'!$B$167)</f>
        <v/>
      </c>
      <c r="E324" s="22">
        <f>IF(OR('Brouillard ventes'!$F$167="",'Brouillard ventes'!$J$167="À crédit",'Brouillard ventes'!$J$167=""),"","REGL "&amp;LEFT('Brouillard ventes'!$D$167,25))</f>
        <v/>
      </c>
      <c r="F324" s="22">
        <f>IF(OR('Brouillard ventes'!$F$167="",'Brouillard ventes'!$J$167="À crédit",'Brouillard ventes'!$J$167=""),"",IF('Brouillard ventes'!$J$167="Espèces","04001","02001"))</f>
        <v/>
      </c>
      <c r="G324" s="22">
        <f>IF(OR('Brouillard ventes'!$F$167="",'Brouillard ventes'!$J$167="À crédit",'Brouillard ventes'!$J$167=""),"",IF('Brouillard ventes'!$J$167="Espèces","53000","51220"))</f>
        <v/>
      </c>
      <c r="H324" s="22" t="inlineStr"/>
      <c r="I324" s="22" t="inlineStr"/>
      <c r="J324" s="22" t="inlineStr"/>
      <c r="K324" s="22">
        <f>IF(OR('Brouillard ventes'!$F$167="",'Brouillard ventes'!$J$167="À crédit",'Brouillard ventes'!$J$167=""),"",Paramètres!$B$11)</f>
        <v/>
      </c>
      <c r="L324" s="23">
        <f>IF(OR('Brouillard ventes'!$F$167="",'Brouillard ventes'!$J$167="À crédit",'Brouillard ventes'!$J$167=""),0,'Brouillard ventes'!$I$167)</f>
        <v/>
      </c>
      <c r="M324" s="23" t="n">
        <v>0</v>
      </c>
    </row>
    <row r="325">
      <c r="A325" s="22" t="inlineStr">
        <is>
          <t>1</t>
        </is>
      </c>
      <c r="B325" s="22">
        <f>IF(OR('Brouillard ventes'!$F$167="",'Brouillard ventes'!$J$167="À crédit",'Brouillard ventes'!$J$167=""),"","EC"&amp;TEXT(ROW('Brouillard ventes'!$F$167)-5,"00000"))</f>
        <v/>
      </c>
      <c r="C325" s="22">
        <f>IF(OR('Brouillard ventes'!$F$167="",'Brouillard ventes'!$J$167="À crédit",'Brouillard ventes'!$J$167=""),"",YEAR('Brouillard ventes'!$A$167)*10000+MONTH('Brouillard ventes'!$A$167)*100+DAY('Brouillard ventes'!$A$167))</f>
        <v/>
      </c>
      <c r="D325" s="22">
        <f>IF(OR('Brouillard ventes'!$F$167="",'Brouillard ventes'!$J$167="À crédit",'Brouillard ventes'!$J$167=""),"",'Brouillard ventes'!$B$167)</f>
        <v/>
      </c>
      <c r="E325" s="22">
        <f>IF(OR('Brouillard ventes'!$F$167="",'Brouillard ventes'!$J$167="À crédit",'Brouillard ventes'!$J$167=""),"","REGL "&amp;LEFT('Brouillard ventes'!$D$167,25))</f>
        <v/>
      </c>
      <c r="F325" s="22">
        <f>IF(OR('Brouillard ventes'!$F$167="",'Brouillard ventes'!$J$167="À crédit",'Brouillard ventes'!$J$167=""),"",IF('Brouillard ventes'!$J$167="Espèces","04001","02001"))</f>
        <v/>
      </c>
      <c r="G325" s="22">
        <f>IF(OR('Brouillard ventes'!$F$167="",'Brouillard ventes'!$J$167="À crédit",'Brouillard ventes'!$J$167=""),"",Paramètres!$B$7)</f>
        <v/>
      </c>
      <c r="H325" s="22">
        <f>IF(OR('Brouillard ventes'!$F$167="",'Brouillard ventes'!$J$167="À crédit",'Brouillard ventes'!$J$167=""),"",IF('Brouillard ventes'!$C$167="","CD001",'Brouillard ventes'!$C$167))</f>
        <v/>
      </c>
      <c r="I325" s="22" t="inlineStr"/>
      <c r="J325" s="22" t="inlineStr"/>
      <c r="K325" s="22">
        <f>IF(OR('Brouillard ventes'!$F$167="",'Brouillard ventes'!$J$167="À crédit",'Brouillard ventes'!$J$167=""),"",Paramètres!$B$11)</f>
        <v/>
      </c>
      <c r="L325" s="23" t="n">
        <v>0</v>
      </c>
      <c r="M325" s="23">
        <f>IF(OR('Brouillard ventes'!$F$167="",'Brouillard ventes'!$J$167="À crédit",'Brouillard ventes'!$J$167=""),0,'Brouillard ventes'!$I$167)</f>
        <v/>
      </c>
    </row>
    <row r="326">
      <c r="A326" s="22" t="inlineStr">
        <is>
          <t>1</t>
        </is>
      </c>
      <c r="B326" s="22">
        <f>IF(OR('Brouillard ventes'!$F$168="",'Brouillard ventes'!$J$168="À crédit",'Brouillard ventes'!$J$168=""),"","EC"&amp;TEXT(ROW('Brouillard ventes'!$F$168)-5,"00000"))</f>
        <v/>
      </c>
      <c r="C326" s="22">
        <f>IF(OR('Brouillard ventes'!$F$168="",'Brouillard ventes'!$J$168="À crédit",'Brouillard ventes'!$J$168=""),"",YEAR('Brouillard ventes'!$A$168)*10000+MONTH('Brouillard ventes'!$A$168)*100+DAY('Brouillard ventes'!$A$168))</f>
        <v/>
      </c>
      <c r="D326" s="22">
        <f>IF(OR('Brouillard ventes'!$F$168="",'Brouillard ventes'!$J$168="À crédit",'Brouillard ventes'!$J$168=""),"",'Brouillard ventes'!$B$168)</f>
        <v/>
      </c>
      <c r="E326" s="22">
        <f>IF(OR('Brouillard ventes'!$F$168="",'Brouillard ventes'!$J$168="À crédit",'Brouillard ventes'!$J$168=""),"","REGL "&amp;LEFT('Brouillard ventes'!$D$168,25))</f>
        <v/>
      </c>
      <c r="F326" s="22">
        <f>IF(OR('Brouillard ventes'!$F$168="",'Brouillard ventes'!$J$168="À crédit",'Brouillard ventes'!$J$168=""),"",IF('Brouillard ventes'!$J$168="Espèces","04001","02001"))</f>
        <v/>
      </c>
      <c r="G326" s="22">
        <f>IF(OR('Brouillard ventes'!$F$168="",'Brouillard ventes'!$J$168="À crédit",'Brouillard ventes'!$J$168=""),"",IF('Brouillard ventes'!$J$168="Espèces","53000","51220"))</f>
        <v/>
      </c>
      <c r="H326" s="22" t="inlineStr"/>
      <c r="I326" s="22" t="inlineStr"/>
      <c r="J326" s="22" t="inlineStr"/>
      <c r="K326" s="22">
        <f>IF(OR('Brouillard ventes'!$F$168="",'Brouillard ventes'!$J$168="À crédit",'Brouillard ventes'!$J$168=""),"",Paramètres!$B$11)</f>
        <v/>
      </c>
      <c r="L326" s="23">
        <f>IF(OR('Brouillard ventes'!$F$168="",'Brouillard ventes'!$J$168="À crédit",'Brouillard ventes'!$J$168=""),0,'Brouillard ventes'!$I$168)</f>
        <v/>
      </c>
      <c r="M326" s="23" t="n">
        <v>0</v>
      </c>
    </row>
    <row r="327">
      <c r="A327" s="22" t="inlineStr">
        <is>
          <t>1</t>
        </is>
      </c>
      <c r="B327" s="22">
        <f>IF(OR('Brouillard ventes'!$F$168="",'Brouillard ventes'!$J$168="À crédit",'Brouillard ventes'!$J$168=""),"","EC"&amp;TEXT(ROW('Brouillard ventes'!$F$168)-5,"00000"))</f>
        <v/>
      </c>
      <c r="C327" s="22">
        <f>IF(OR('Brouillard ventes'!$F$168="",'Brouillard ventes'!$J$168="À crédit",'Brouillard ventes'!$J$168=""),"",YEAR('Brouillard ventes'!$A$168)*10000+MONTH('Brouillard ventes'!$A$168)*100+DAY('Brouillard ventes'!$A$168))</f>
        <v/>
      </c>
      <c r="D327" s="22">
        <f>IF(OR('Brouillard ventes'!$F$168="",'Brouillard ventes'!$J$168="À crédit",'Brouillard ventes'!$J$168=""),"",'Brouillard ventes'!$B$168)</f>
        <v/>
      </c>
      <c r="E327" s="22">
        <f>IF(OR('Brouillard ventes'!$F$168="",'Brouillard ventes'!$J$168="À crédit",'Brouillard ventes'!$J$168=""),"","REGL "&amp;LEFT('Brouillard ventes'!$D$168,25))</f>
        <v/>
      </c>
      <c r="F327" s="22">
        <f>IF(OR('Brouillard ventes'!$F$168="",'Brouillard ventes'!$J$168="À crédit",'Brouillard ventes'!$J$168=""),"",IF('Brouillard ventes'!$J$168="Espèces","04001","02001"))</f>
        <v/>
      </c>
      <c r="G327" s="22">
        <f>IF(OR('Brouillard ventes'!$F$168="",'Brouillard ventes'!$J$168="À crédit",'Brouillard ventes'!$J$168=""),"",Paramètres!$B$7)</f>
        <v/>
      </c>
      <c r="H327" s="22">
        <f>IF(OR('Brouillard ventes'!$F$168="",'Brouillard ventes'!$J$168="À crédit",'Brouillard ventes'!$J$168=""),"",IF('Brouillard ventes'!$C$168="","CD001",'Brouillard ventes'!$C$168))</f>
        <v/>
      </c>
      <c r="I327" s="22" t="inlineStr"/>
      <c r="J327" s="22" t="inlineStr"/>
      <c r="K327" s="22">
        <f>IF(OR('Brouillard ventes'!$F$168="",'Brouillard ventes'!$J$168="À crédit",'Brouillard ventes'!$J$168=""),"",Paramètres!$B$11)</f>
        <v/>
      </c>
      <c r="L327" s="23" t="n">
        <v>0</v>
      </c>
      <c r="M327" s="23">
        <f>IF(OR('Brouillard ventes'!$F$168="",'Brouillard ventes'!$J$168="À crédit",'Brouillard ventes'!$J$168=""),0,'Brouillard ventes'!$I$168)</f>
        <v/>
      </c>
    </row>
    <row r="328">
      <c r="A328" s="22" t="inlineStr">
        <is>
          <t>1</t>
        </is>
      </c>
      <c r="B328" s="22">
        <f>IF(OR('Brouillard ventes'!$F$169="",'Brouillard ventes'!$J$169="À crédit",'Brouillard ventes'!$J$169=""),"","EC"&amp;TEXT(ROW('Brouillard ventes'!$F$169)-5,"00000"))</f>
        <v/>
      </c>
      <c r="C328" s="22">
        <f>IF(OR('Brouillard ventes'!$F$169="",'Brouillard ventes'!$J$169="À crédit",'Brouillard ventes'!$J$169=""),"",YEAR('Brouillard ventes'!$A$169)*10000+MONTH('Brouillard ventes'!$A$169)*100+DAY('Brouillard ventes'!$A$169))</f>
        <v/>
      </c>
      <c r="D328" s="22">
        <f>IF(OR('Brouillard ventes'!$F$169="",'Brouillard ventes'!$J$169="À crédit",'Brouillard ventes'!$J$169=""),"",'Brouillard ventes'!$B$169)</f>
        <v/>
      </c>
      <c r="E328" s="22">
        <f>IF(OR('Brouillard ventes'!$F$169="",'Brouillard ventes'!$J$169="À crédit",'Brouillard ventes'!$J$169=""),"","REGL "&amp;LEFT('Brouillard ventes'!$D$169,25))</f>
        <v/>
      </c>
      <c r="F328" s="22">
        <f>IF(OR('Brouillard ventes'!$F$169="",'Brouillard ventes'!$J$169="À crédit",'Brouillard ventes'!$J$169=""),"",IF('Brouillard ventes'!$J$169="Espèces","04001","02001"))</f>
        <v/>
      </c>
      <c r="G328" s="22">
        <f>IF(OR('Brouillard ventes'!$F$169="",'Brouillard ventes'!$J$169="À crédit",'Brouillard ventes'!$J$169=""),"",IF('Brouillard ventes'!$J$169="Espèces","53000","51220"))</f>
        <v/>
      </c>
      <c r="H328" s="22" t="inlineStr"/>
      <c r="I328" s="22" t="inlineStr"/>
      <c r="J328" s="22" t="inlineStr"/>
      <c r="K328" s="22">
        <f>IF(OR('Brouillard ventes'!$F$169="",'Brouillard ventes'!$J$169="À crédit",'Brouillard ventes'!$J$169=""),"",Paramètres!$B$11)</f>
        <v/>
      </c>
      <c r="L328" s="23">
        <f>IF(OR('Brouillard ventes'!$F$169="",'Brouillard ventes'!$J$169="À crédit",'Brouillard ventes'!$J$169=""),0,'Brouillard ventes'!$I$169)</f>
        <v/>
      </c>
      <c r="M328" s="23" t="n">
        <v>0</v>
      </c>
    </row>
    <row r="329">
      <c r="A329" s="22" t="inlineStr">
        <is>
          <t>1</t>
        </is>
      </c>
      <c r="B329" s="22">
        <f>IF(OR('Brouillard ventes'!$F$169="",'Brouillard ventes'!$J$169="À crédit",'Brouillard ventes'!$J$169=""),"","EC"&amp;TEXT(ROW('Brouillard ventes'!$F$169)-5,"00000"))</f>
        <v/>
      </c>
      <c r="C329" s="22">
        <f>IF(OR('Brouillard ventes'!$F$169="",'Brouillard ventes'!$J$169="À crédit",'Brouillard ventes'!$J$169=""),"",YEAR('Brouillard ventes'!$A$169)*10000+MONTH('Brouillard ventes'!$A$169)*100+DAY('Brouillard ventes'!$A$169))</f>
        <v/>
      </c>
      <c r="D329" s="22">
        <f>IF(OR('Brouillard ventes'!$F$169="",'Brouillard ventes'!$J$169="À crédit",'Brouillard ventes'!$J$169=""),"",'Brouillard ventes'!$B$169)</f>
        <v/>
      </c>
      <c r="E329" s="22">
        <f>IF(OR('Brouillard ventes'!$F$169="",'Brouillard ventes'!$J$169="À crédit",'Brouillard ventes'!$J$169=""),"","REGL "&amp;LEFT('Brouillard ventes'!$D$169,25))</f>
        <v/>
      </c>
      <c r="F329" s="22">
        <f>IF(OR('Brouillard ventes'!$F$169="",'Brouillard ventes'!$J$169="À crédit",'Brouillard ventes'!$J$169=""),"",IF('Brouillard ventes'!$J$169="Espèces","04001","02001"))</f>
        <v/>
      </c>
      <c r="G329" s="22">
        <f>IF(OR('Brouillard ventes'!$F$169="",'Brouillard ventes'!$J$169="À crédit",'Brouillard ventes'!$J$169=""),"",Paramètres!$B$7)</f>
        <v/>
      </c>
      <c r="H329" s="22">
        <f>IF(OR('Brouillard ventes'!$F$169="",'Brouillard ventes'!$J$169="À crédit",'Brouillard ventes'!$J$169=""),"",IF('Brouillard ventes'!$C$169="","CD001",'Brouillard ventes'!$C$169))</f>
        <v/>
      </c>
      <c r="I329" s="22" t="inlineStr"/>
      <c r="J329" s="22" t="inlineStr"/>
      <c r="K329" s="22">
        <f>IF(OR('Brouillard ventes'!$F$169="",'Brouillard ventes'!$J$169="À crédit",'Brouillard ventes'!$J$169=""),"",Paramètres!$B$11)</f>
        <v/>
      </c>
      <c r="L329" s="23" t="n">
        <v>0</v>
      </c>
      <c r="M329" s="23">
        <f>IF(OR('Brouillard ventes'!$F$169="",'Brouillard ventes'!$J$169="À crédit",'Brouillard ventes'!$J$169=""),0,'Brouillard ventes'!$I$169)</f>
        <v/>
      </c>
    </row>
    <row r="330">
      <c r="A330" s="22" t="inlineStr">
        <is>
          <t>1</t>
        </is>
      </c>
      <c r="B330" s="22">
        <f>IF(OR('Brouillard ventes'!$F$170="",'Brouillard ventes'!$J$170="À crédit",'Brouillard ventes'!$J$170=""),"","EC"&amp;TEXT(ROW('Brouillard ventes'!$F$170)-5,"00000"))</f>
        <v/>
      </c>
      <c r="C330" s="22">
        <f>IF(OR('Brouillard ventes'!$F$170="",'Brouillard ventes'!$J$170="À crédit",'Brouillard ventes'!$J$170=""),"",YEAR('Brouillard ventes'!$A$170)*10000+MONTH('Brouillard ventes'!$A$170)*100+DAY('Brouillard ventes'!$A$170))</f>
        <v/>
      </c>
      <c r="D330" s="22">
        <f>IF(OR('Brouillard ventes'!$F$170="",'Brouillard ventes'!$J$170="À crédit",'Brouillard ventes'!$J$170=""),"",'Brouillard ventes'!$B$170)</f>
        <v/>
      </c>
      <c r="E330" s="22">
        <f>IF(OR('Brouillard ventes'!$F$170="",'Brouillard ventes'!$J$170="À crédit",'Brouillard ventes'!$J$170=""),"","REGL "&amp;LEFT('Brouillard ventes'!$D$170,25))</f>
        <v/>
      </c>
      <c r="F330" s="22">
        <f>IF(OR('Brouillard ventes'!$F$170="",'Brouillard ventes'!$J$170="À crédit",'Brouillard ventes'!$J$170=""),"",IF('Brouillard ventes'!$J$170="Espèces","04001","02001"))</f>
        <v/>
      </c>
      <c r="G330" s="22">
        <f>IF(OR('Brouillard ventes'!$F$170="",'Brouillard ventes'!$J$170="À crédit",'Brouillard ventes'!$J$170=""),"",IF('Brouillard ventes'!$J$170="Espèces","53000","51220"))</f>
        <v/>
      </c>
      <c r="H330" s="22" t="inlineStr"/>
      <c r="I330" s="22" t="inlineStr"/>
      <c r="J330" s="22" t="inlineStr"/>
      <c r="K330" s="22">
        <f>IF(OR('Brouillard ventes'!$F$170="",'Brouillard ventes'!$J$170="À crédit",'Brouillard ventes'!$J$170=""),"",Paramètres!$B$11)</f>
        <v/>
      </c>
      <c r="L330" s="23">
        <f>IF(OR('Brouillard ventes'!$F$170="",'Brouillard ventes'!$J$170="À crédit",'Brouillard ventes'!$J$170=""),0,'Brouillard ventes'!$I$170)</f>
        <v/>
      </c>
      <c r="M330" s="23" t="n">
        <v>0</v>
      </c>
    </row>
    <row r="331">
      <c r="A331" s="22" t="inlineStr">
        <is>
          <t>1</t>
        </is>
      </c>
      <c r="B331" s="22">
        <f>IF(OR('Brouillard ventes'!$F$170="",'Brouillard ventes'!$J$170="À crédit",'Brouillard ventes'!$J$170=""),"","EC"&amp;TEXT(ROW('Brouillard ventes'!$F$170)-5,"00000"))</f>
        <v/>
      </c>
      <c r="C331" s="22">
        <f>IF(OR('Brouillard ventes'!$F$170="",'Brouillard ventes'!$J$170="À crédit",'Brouillard ventes'!$J$170=""),"",YEAR('Brouillard ventes'!$A$170)*10000+MONTH('Brouillard ventes'!$A$170)*100+DAY('Brouillard ventes'!$A$170))</f>
        <v/>
      </c>
      <c r="D331" s="22">
        <f>IF(OR('Brouillard ventes'!$F$170="",'Brouillard ventes'!$J$170="À crédit",'Brouillard ventes'!$J$170=""),"",'Brouillard ventes'!$B$170)</f>
        <v/>
      </c>
      <c r="E331" s="22">
        <f>IF(OR('Brouillard ventes'!$F$170="",'Brouillard ventes'!$J$170="À crédit",'Brouillard ventes'!$J$170=""),"","REGL "&amp;LEFT('Brouillard ventes'!$D$170,25))</f>
        <v/>
      </c>
      <c r="F331" s="22">
        <f>IF(OR('Brouillard ventes'!$F$170="",'Brouillard ventes'!$J$170="À crédit",'Brouillard ventes'!$J$170=""),"",IF('Brouillard ventes'!$J$170="Espèces","04001","02001"))</f>
        <v/>
      </c>
      <c r="G331" s="22">
        <f>IF(OR('Brouillard ventes'!$F$170="",'Brouillard ventes'!$J$170="À crédit",'Brouillard ventes'!$J$170=""),"",Paramètres!$B$7)</f>
        <v/>
      </c>
      <c r="H331" s="22">
        <f>IF(OR('Brouillard ventes'!$F$170="",'Brouillard ventes'!$J$170="À crédit",'Brouillard ventes'!$J$170=""),"",IF('Brouillard ventes'!$C$170="","CD001",'Brouillard ventes'!$C$170))</f>
        <v/>
      </c>
      <c r="I331" s="22" t="inlineStr"/>
      <c r="J331" s="22" t="inlineStr"/>
      <c r="K331" s="22">
        <f>IF(OR('Brouillard ventes'!$F$170="",'Brouillard ventes'!$J$170="À crédit",'Brouillard ventes'!$J$170=""),"",Paramètres!$B$11)</f>
        <v/>
      </c>
      <c r="L331" s="23" t="n">
        <v>0</v>
      </c>
      <c r="M331" s="23">
        <f>IF(OR('Brouillard ventes'!$F$170="",'Brouillard ventes'!$J$170="À crédit",'Brouillard ventes'!$J$170=""),0,'Brouillard ventes'!$I$170)</f>
        <v/>
      </c>
    </row>
    <row r="332">
      <c r="A332" s="22" t="inlineStr">
        <is>
          <t>1</t>
        </is>
      </c>
      <c r="B332" s="22">
        <f>IF(OR('Brouillard ventes'!$F$171="",'Brouillard ventes'!$J$171="À crédit",'Brouillard ventes'!$J$171=""),"","EC"&amp;TEXT(ROW('Brouillard ventes'!$F$171)-5,"00000"))</f>
        <v/>
      </c>
      <c r="C332" s="22">
        <f>IF(OR('Brouillard ventes'!$F$171="",'Brouillard ventes'!$J$171="À crédit",'Brouillard ventes'!$J$171=""),"",YEAR('Brouillard ventes'!$A$171)*10000+MONTH('Brouillard ventes'!$A$171)*100+DAY('Brouillard ventes'!$A$171))</f>
        <v/>
      </c>
      <c r="D332" s="22">
        <f>IF(OR('Brouillard ventes'!$F$171="",'Brouillard ventes'!$J$171="À crédit",'Brouillard ventes'!$J$171=""),"",'Brouillard ventes'!$B$171)</f>
        <v/>
      </c>
      <c r="E332" s="22">
        <f>IF(OR('Brouillard ventes'!$F$171="",'Brouillard ventes'!$J$171="À crédit",'Brouillard ventes'!$J$171=""),"","REGL "&amp;LEFT('Brouillard ventes'!$D$171,25))</f>
        <v/>
      </c>
      <c r="F332" s="22">
        <f>IF(OR('Brouillard ventes'!$F$171="",'Brouillard ventes'!$J$171="À crédit",'Brouillard ventes'!$J$171=""),"",IF('Brouillard ventes'!$J$171="Espèces","04001","02001"))</f>
        <v/>
      </c>
      <c r="G332" s="22">
        <f>IF(OR('Brouillard ventes'!$F$171="",'Brouillard ventes'!$J$171="À crédit",'Brouillard ventes'!$J$171=""),"",IF('Brouillard ventes'!$J$171="Espèces","53000","51220"))</f>
        <v/>
      </c>
      <c r="H332" s="22" t="inlineStr"/>
      <c r="I332" s="22" t="inlineStr"/>
      <c r="J332" s="22" t="inlineStr"/>
      <c r="K332" s="22">
        <f>IF(OR('Brouillard ventes'!$F$171="",'Brouillard ventes'!$J$171="À crédit",'Brouillard ventes'!$J$171=""),"",Paramètres!$B$11)</f>
        <v/>
      </c>
      <c r="L332" s="23">
        <f>IF(OR('Brouillard ventes'!$F$171="",'Brouillard ventes'!$J$171="À crédit",'Brouillard ventes'!$J$171=""),0,'Brouillard ventes'!$I$171)</f>
        <v/>
      </c>
      <c r="M332" s="23" t="n">
        <v>0</v>
      </c>
    </row>
    <row r="333">
      <c r="A333" s="22" t="inlineStr">
        <is>
          <t>1</t>
        </is>
      </c>
      <c r="B333" s="22">
        <f>IF(OR('Brouillard ventes'!$F$171="",'Brouillard ventes'!$J$171="À crédit",'Brouillard ventes'!$J$171=""),"","EC"&amp;TEXT(ROW('Brouillard ventes'!$F$171)-5,"00000"))</f>
        <v/>
      </c>
      <c r="C333" s="22">
        <f>IF(OR('Brouillard ventes'!$F$171="",'Brouillard ventes'!$J$171="À crédit",'Brouillard ventes'!$J$171=""),"",YEAR('Brouillard ventes'!$A$171)*10000+MONTH('Brouillard ventes'!$A$171)*100+DAY('Brouillard ventes'!$A$171))</f>
        <v/>
      </c>
      <c r="D333" s="22">
        <f>IF(OR('Brouillard ventes'!$F$171="",'Brouillard ventes'!$J$171="À crédit",'Brouillard ventes'!$J$171=""),"",'Brouillard ventes'!$B$171)</f>
        <v/>
      </c>
      <c r="E333" s="22">
        <f>IF(OR('Brouillard ventes'!$F$171="",'Brouillard ventes'!$J$171="À crédit",'Brouillard ventes'!$J$171=""),"","REGL "&amp;LEFT('Brouillard ventes'!$D$171,25))</f>
        <v/>
      </c>
      <c r="F333" s="22">
        <f>IF(OR('Brouillard ventes'!$F$171="",'Brouillard ventes'!$J$171="À crédit",'Brouillard ventes'!$J$171=""),"",IF('Brouillard ventes'!$J$171="Espèces","04001","02001"))</f>
        <v/>
      </c>
      <c r="G333" s="22">
        <f>IF(OR('Brouillard ventes'!$F$171="",'Brouillard ventes'!$J$171="À crédit",'Brouillard ventes'!$J$171=""),"",Paramètres!$B$7)</f>
        <v/>
      </c>
      <c r="H333" s="22">
        <f>IF(OR('Brouillard ventes'!$F$171="",'Brouillard ventes'!$J$171="À crédit",'Brouillard ventes'!$J$171=""),"",IF('Brouillard ventes'!$C$171="","CD001",'Brouillard ventes'!$C$171))</f>
        <v/>
      </c>
      <c r="I333" s="22" t="inlineStr"/>
      <c r="J333" s="22" t="inlineStr"/>
      <c r="K333" s="22">
        <f>IF(OR('Brouillard ventes'!$F$171="",'Brouillard ventes'!$J$171="À crédit",'Brouillard ventes'!$J$171=""),"",Paramètres!$B$11)</f>
        <v/>
      </c>
      <c r="L333" s="23" t="n">
        <v>0</v>
      </c>
      <c r="M333" s="23">
        <f>IF(OR('Brouillard ventes'!$F$171="",'Brouillard ventes'!$J$171="À crédit",'Brouillard ventes'!$J$171=""),0,'Brouillard ventes'!$I$171)</f>
        <v/>
      </c>
    </row>
    <row r="334">
      <c r="A334" s="22" t="inlineStr">
        <is>
          <t>1</t>
        </is>
      </c>
      <c r="B334" s="22">
        <f>IF(OR('Brouillard ventes'!$F$172="",'Brouillard ventes'!$J$172="À crédit",'Brouillard ventes'!$J$172=""),"","EC"&amp;TEXT(ROW('Brouillard ventes'!$F$172)-5,"00000"))</f>
        <v/>
      </c>
      <c r="C334" s="22">
        <f>IF(OR('Brouillard ventes'!$F$172="",'Brouillard ventes'!$J$172="À crédit",'Brouillard ventes'!$J$172=""),"",YEAR('Brouillard ventes'!$A$172)*10000+MONTH('Brouillard ventes'!$A$172)*100+DAY('Brouillard ventes'!$A$172))</f>
        <v/>
      </c>
      <c r="D334" s="22">
        <f>IF(OR('Brouillard ventes'!$F$172="",'Brouillard ventes'!$J$172="À crédit",'Brouillard ventes'!$J$172=""),"",'Brouillard ventes'!$B$172)</f>
        <v/>
      </c>
      <c r="E334" s="22">
        <f>IF(OR('Brouillard ventes'!$F$172="",'Brouillard ventes'!$J$172="À crédit",'Brouillard ventes'!$J$172=""),"","REGL "&amp;LEFT('Brouillard ventes'!$D$172,25))</f>
        <v/>
      </c>
      <c r="F334" s="22">
        <f>IF(OR('Brouillard ventes'!$F$172="",'Brouillard ventes'!$J$172="À crédit",'Brouillard ventes'!$J$172=""),"",IF('Brouillard ventes'!$J$172="Espèces","04001","02001"))</f>
        <v/>
      </c>
      <c r="G334" s="22">
        <f>IF(OR('Brouillard ventes'!$F$172="",'Brouillard ventes'!$J$172="À crédit",'Brouillard ventes'!$J$172=""),"",IF('Brouillard ventes'!$J$172="Espèces","53000","51220"))</f>
        <v/>
      </c>
      <c r="H334" s="22" t="inlineStr"/>
      <c r="I334" s="22" t="inlineStr"/>
      <c r="J334" s="22" t="inlineStr"/>
      <c r="K334" s="22">
        <f>IF(OR('Brouillard ventes'!$F$172="",'Brouillard ventes'!$J$172="À crédit",'Brouillard ventes'!$J$172=""),"",Paramètres!$B$11)</f>
        <v/>
      </c>
      <c r="L334" s="23">
        <f>IF(OR('Brouillard ventes'!$F$172="",'Brouillard ventes'!$J$172="À crédit",'Brouillard ventes'!$J$172=""),0,'Brouillard ventes'!$I$172)</f>
        <v/>
      </c>
      <c r="M334" s="23" t="n">
        <v>0</v>
      </c>
    </row>
    <row r="335">
      <c r="A335" s="22" t="inlineStr">
        <is>
          <t>1</t>
        </is>
      </c>
      <c r="B335" s="22">
        <f>IF(OR('Brouillard ventes'!$F$172="",'Brouillard ventes'!$J$172="À crédit",'Brouillard ventes'!$J$172=""),"","EC"&amp;TEXT(ROW('Brouillard ventes'!$F$172)-5,"00000"))</f>
        <v/>
      </c>
      <c r="C335" s="22">
        <f>IF(OR('Brouillard ventes'!$F$172="",'Brouillard ventes'!$J$172="À crédit",'Brouillard ventes'!$J$172=""),"",YEAR('Brouillard ventes'!$A$172)*10000+MONTH('Brouillard ventes'!$A$172)*100+DAY('Brouillard ventes'!$A$172))</f>
        <v/>
      </c>
      <c r="D335" s="22">
        <f>IF(OR('Brouillard ventes'!$F$172="",'Brouillard ventes'!$J$172="À crédit",'Brouillard ventes'!$J$172=""),"",'Brouillard ventes'!$B$172)</f>
        <v/>
      </c>
      <c r="E335" s="22">
        <f>IF(OR('Brouillard ventes'!$F$172="",'Brouillard ventes'!$J$172="À crédit",'Brouillard ventes'!$J$172=""),"","REGL "&amp;LEFT('Brouillard ventes'!$D$172,25))</f>
        <v/>
      </c>
      <c r="F335" s="22">
        <f>IF(OR('Brouillard ventes'!$F$172="",'Brouillard ventes'!$J$172="À crédit",'Brouillard ventes'!$J$172=""),"",IF('Brouillard ventes'!$J$172="Espèces","04001","02001"))</f>
        <v/>
      </c>
      <c r="G335" s="22">
        <f>IF(OR('Brouillard ventes'!$F$172="",'Brouillard ventes'!$J$172="À crédit",'Brouillard ventes'!$J$172=""),"",Paramètres!$B$7)</f>
        <v/>
      </c>
      <c r="H335" s="22">
        <f>IF(OR('Brouillard ventes'!$F$172="",'Brouillard ventes'!$J$172="À crédit",'Brouillard ventes'!$J$172=""),"",IF('Brouillard ventes'!$C$172="","CD001",'Brouillard ventes'!$C$172))</f>
        <v/>
      </c>
      <c r="I335" s="22" t="inlineStr"/>
      <c r="J335" s="22" t="inlineStr"/>
      <c r="K335" s="22">
        <f>IF(OR('Brouillard ventes'!$F$172="",'Brouillard ventes'!$J$172="À crédit",'Brouillard ventes'!$J$172=""),"",Paramètres!$B$11)</f>
        <v/>
      </c>
      <c r="L335" s="23" t="n">
        <v>0</v>
      </c>
      <c r="M335" s="23">
        <f>IF(OR('Brouillard ventes'!$F$172="",'Brouillard ventes'!$J$172="À crédit",'Brouillard ventes'!$J$172=""),0,'Brouillard ventes'!$I$172)</f>
        <v/>
      </c>
    </row>
    <row r="336">
      <c r="A336" s="22" t="inlineStr">
        <is>
          <t>1</t>
        </is>
      </c>
      <c r="B336" s="22">
        <f>IF(OR('Brouillard ventes'!$F$173="",'Brouillard ventes'!$J$173="À crédit",'Brouillard ventes'!$J$173=""),"","EC"&amp;TEXT(ROW('Brouillard ventes'!$F$173)-5,"00000"))</f>
        <v/>
      </c>
      <c r="C336" s="22">
        <f>IF(OR('Brouillard ventes'!$F$173="",'Brouillard ventes'!$J$173="À crédit",'Brouillard ventes'!$J$173=""),"",YEAR('Brouillard ventes'!$A$173)*10000+MONTH('Brouillard ventes'!$A$173)*100+DAY('Brouillard ventes'!$A$173))</f>
        <v/>
      </c>
      <c r="D336" s="22">
        <f>IF(OR('Brouillard ventes'!$F$173="",'Brouillard ventes'!$J$173="À crédit",'Brouillard ventes'!$J$173=""),"",'Brouillard ventes'!$B$173)</f>
        <v/>
      </c>
      <c r="E336" s="22">
        <f>IF(OR('Brouillard ventes'!$F$173="",'Brouillard ventes'!$J$173="À crédit",'Brouillard ventes'!$J$173=""),"","REGL "&amp;LEFT('Brouillard ventes'!$D$173,25))</f>
        <v/>
      </c>
      <c r="F336" s="22">
        <f>IF(OR('Brouillard ventes'!$F$173="",'Brouillard ventes'!$J$173="À crédit",'Brouillard ventes'!$J$173=""),"",IF('Brouillard ventes'!$J$173="Espèces","04001","02001"))</f>
        <v/>
      </c>
      <c r="G336" s="22">
        <f>IF(OR('Brouillard ventes'!$F$173="",'Brouillard ventes'!$J$173="À crédit",'Brouillard ventes'!$J$173=""),"",IF('Brouillard ventes'!$J$173="Espèces","53000","51220"))</f>
        <v/>
      </c>
      <c r="H336" s="22" t="inlineStr"/>
      <c r="I336" s="22" t="inlineStr"/>
      <c r="J336" s="22" t="inlineStr"/>
      <c r="K336" s="22">
        <f>IF(OR('Brouillard ventes'!$F$173="",'Brouillard ventes'!$J$173="À crédit",'Brouillard ventes'!$J$173=""),"",Paramètres!$B$11)</f>
        <v/>
      </c>
      <c r="L336" s="23">
        <f>IF(OR('Brouillard ventes'!$F$173="",'Brouillard ventes'!$J$173="À crédit",'Brouillard ventes'!$J$173=""),0,'Brouillard ventes'!$I$173)</f>
        <v/>
      </c>
      <c r="M336" s="23" t="n">
        <v>0</v>
      </c>
    </row>
    <row r="337">
      <c r="A337" s="22" t="inlineStr">
        <is>
          <t>1</t>
        </is>
      </c>
      <c r="B337" s="22">
        <f>IF(OR('Brouillard ventes'!$F$173="",'Brouillard ventes'!$J$173="À crédit",'Brouillard ventes'!$J$173=""),"","EC"&amp;TEXT(ROW('Brouillard ventes'!$F$173)-5,"00000"))</f>
        <v/>
      </c>
      <c r="C337" s="22">
        <f>IF(OR('Brouillard ventes'!$F$173="",'Brouillard ventes'!$J$173="À crédit",'Brouillard ventes'!$J$173=""),"",YEAR('Brouillard ventes'!$A$173)*10000+MONTH('Brouillard ventes'!$A$173)*100+DAY('Brouillard ventes'!$A$173))</f>
        <v/>
      </c>
      <c r="D337" s="22">
        <f>IF(OR('Brouillard ventes'!$F$173="",'Brouillard ventes'!$J$173="À crédit",'Brouillard ventes'!$J$173=""),"",'Brouillard ventes'!$B$173)</f>
        <v/>
      </c>
      <c r="E337" s="22">
        <f>IF(OR('Brouillard ventes'!$F$173="",'Brouillard ventes'!$J$173="À crédit",'Brouillard ventes'!$J$173=""),"","REGL "&amp;LEFT('Brouillard ventes'!$D$173,25))</f>
        <v/>
      </c>
      <c r="F337" s="22">
        <f>IF(OR('Brouillard ventes'!$F$173="",'Brouillard ventes'!$J$173="À crédit",'Brouillard ventes'!$J$173=""),"",IF('Brouillard ventes'!$J$173="Espèces","04001","02001"))</f>
        <v/>
      </c>
      <c r="G337" s="22">
        <f>IF(OR('Brouillard ventes'!$F$173="",'Brouillard ventes'!$J$173="À crédit",'Brouillard ventes'!$J$173=""),"",Paramètres!$B$7)</f>
        <v/>
      </c>
      <c r="H337" s="22">
        <f>IF(OR('Brouillard ventes'!$F$173="",'Brouillard ventes'!$J$173="À crédit",'Brouillard ventes'!$J$173=""),"",IF('Brouillard ventes'!$C$173="","CD001",'Brouillard ventes'!$C$173))</f>
        <v/>
      </c>
      <c r="I337" s="22" t="inlineStr"/>
      <c r="J337" s="22" t="inlineStr"/>
      <c r="K337" s="22">
        <f>IF(OR('Brouillard ventes'!$F$173="",'Brouillard ventes'!$J$173="À crédit",'Brouillard ventes'!$J$173=""),"",Paramètres!$B$11)</f>
        <v/>
      </c>
      <c r="L337" s="23" t="n">
        <v>0</v>
      </c>
      <c r="M337" s="23">
        <f>IF(OR('Brouillard ventes'!$F$173="",'Brouillard ventes'!$J$173="À crédit",'Brouillard ventes'!$J$173=""),0,'Brouillard ventes'!$I$173)</f>
        <v/>
      </c>
    </row>
    <row r="338">
      <c r="A338" s="22" t="inlineStr">
        <is>
          <t>1</t>
        </is>
      </c>
      <c r="B338" s="22">
        <f>IF(OR('Brouillard ventes'!$F$174="",'Brouillard ventes'!$J$174="À crédit",'Brouillard ventes'!$J$174=""),"","EC"&amp;TEXT(ROW('Brouillard ventes'!$F$174)-5,"00000"))</f>
        <v/>
      </c>
      <c r="C338" s="22">
        <f>IF(OR('Brouillard ventes'!$F$174="",'Brouillard ventes'!$J$174="À crédit",'Brouillard ventes'!$J$174=""),"",YEAR('Brouillard ventes'!$A$174)*10000+MONTH('Brouillard ventes'!$A$174)*100+DAY('Brouillard ventes'!$A$174))</f>
        <v/>
      </c>
      <c r="D338" s="22">
        <f>IF(OR('Brouillard ventes'!$F$174="",'Brouillard ventes'!$J$174="À crédit",'Brouillard ventes'!$J$174=""),"",'Brouillard ventes'!$B$174)</f>
        <v/>
      </c>
      <c r="E338" s="22">
        <f>IF(OR('Brouillard ventes'!$F$174="",'Brouillard ventes'!$J$174="À crédit",'Brouillard ventes'!$J$174=""),"","REGL "&amp;LEFT('Brouillard ventes'!$D$174,25))</f>
        <v/>
      </c>
      <c r="F338" s="22">
        <f>IF(OR('Brouillard ventes'!$F$174="",'Brouillard ventes'!$J$174="À crédit",'Brouillard ventes'!$J$174=""),"",IF('Brouillard ventes'!$J$174="Espèces","04001","02001"))</f>
        <v/>
      </c>
      <c r="G338" s="22">
        <f>IF(OR('Brouillard ventes'!$F$174="",'Brouillard ventes'!$J$174="À crédit",'Brouillard ventes'!$J$174=""),"",IF('Brouillard ventes'!$J$174="Espèces","53000","51220"))</f>
        <v/>
      </c>
      <c r="H338" s="22" t="inlineStr"/>
      <c r="I338" s="22" t="inlineStr"/>
      <c r="J338" s="22" t="inlineStr"/>
      <c r="K338" s="22">
        <f>IF(OR('Brouillard ventes'!$F$174="",'Brouillard ventes'!$J$174="À crédit",'Brouillard ventes'!$J$174=""),"",Paramètres!$B$11)</f>
        <v/>
      </c>
      <c r="L338" s="23">
        <f>IF(OR('Brouillard ventes'!$F$174="",'Brouillard ventes'!$J$174="À crédit",'Brouillard ventes'!$J$174=""),0,'Brouillard ventes'!$I$174)</f>
        <v/>
      </c>
      <c r="M338" s="23" t="n">
        <v>0</v>
      </c>
    </row>
    <row r="339">
      <c r="A339" s="22" t="inlineStr">
        <is>
          <t>1</t>
        </is>
      </c>
      <c r="B339" s="22">
        <f>IF(OR('Brouillard ventes'!$F$174="",'Brouillard ventes'!$J$174="À crédit",'Brouillard ventes'!$J$174=""),"","EC"&amp;TEXT(ROW('Brouillard ventes'!$F$174)-5,"00000"))</f>
        <v/>
      </c>
      <c r="C339" s="22">
        <f>IF(OR('Brouillard ventes'!$F$174="",'Brouillard ventes'!$J$174="À crédit",'Brouillard ventes'!$J$174=""),"",YEAR('Brouillard ventes'!$A$174)*10000+MONTH('Brouillard ventes'!$A$174)*100+DAY('Brouillard ventes'!$A$174))</f>
        <v/>
      </c>
      <c r="D339" s="22">
        <f>IF(OR('Brouillard ventes'!$F$174="",'Brouillard ventes'!$J$174="À crédit",'Brouillard ventes'!$J$174=""),"",'Brouillard ventes'!$B$174)</f>
        <v/>
      </c>
      <c r="E339" s="22">
        <f>IF(OR('Brouillard ventes'!$F$174="",'Brouillard ventes'!$J$174="À crédit",'Brouillard ventes'!$J$174=""),"","REGL "&amp;LEFT('Brouillard ventes'!$D$174,25))</f>
        <v/>
      </c>
      <c r="F339" s="22">
        <f>IF(OR('Brouillard ventes'!$F$174="",'Brouillard ventes'!$J$174="À crédit",'Brouillard ventes'!$J$174=""),"",IF('Brouillard ventes'!$J$174="Espèces","04001","02001"))</f>
        <v/>
      </c>
      <c r="G339" s="22">
        <f>IF(OR('Brouillard ventes'!$F$174="",'Brouillard ventes'!$J$174="À crédit",'Brouillard ventes'!$J$174=""),"",Paramètres!$B$7)</f>
        <v/>
      </c>
      <c r="H339" s="22">
        <f>IF(OR('Brouillard ventes'!$F$174="",'Brouillard ventes'!$J$174="À crédit",'Brouillard ventes'!$J$174=""),"",IF('Brouillard ventes'!$C$174="","CD001",'Brouillard ventes'!$C$174))</f>
        <v/>
      </c>
      <c r="I339" s="22" t="inlineStr"/>
      <c r="J339" s="22" t="inlineStr"/>
      <c r="K339" s="22">
        <f>IF(OR('Brouillard ventes'!$F$174="",'Brouillard ventes'!$J$174="À crédit",'Brouillard ventes'!$J$174=""),"",Paramètres!$B$11)</f>
        <v/>
      </c>
      <c r="L339" s="23" t="n">
        <v>0</v>
      </c>
      <c r="M339" s="23">
        <f>IF(OR('Brouillard ventes'!$F$174="",'Brouillard ventes'!$J$174="À crédit",'Brouillard ventes'!$J$174=""),0,'Brouillard ventes'!$I$174)</f>
        <v/>
      </c>
    </row>
    <row r="340">
      <c r="A340" s="22" t="inlineStr">
        <is>
          <t>1</t>
        </is>
      </c>
      <c r="B340" s="22">
        <f>IF(OR('Brouillard ventes'!$F$175="",'Brouillard ventes'!$J$175="À crédit",'Brouillard ventes'!$J$175=""),"","EC"&amp;TEXT(ROW('Brouillard ventes'!$F$175)-5,"00000"))</f>
        <v/>
      </c>
      <c r="C340" s="22">
        <f>IF(OR('Brouillard ventes'!$F$175="",'Brouillard ventes'!$J$175="À crédit",'Brouillard ventes'!$J$175=""),"",YEAR('Brouillard ventes'!$A$175)*10000+MONTH('Brouillard ventes'!$A$175)*100+DAY('Brouillard ventes'!$A$175))</f>
        <v/>
      </c>
      <c r="D340" s="22">
        <f>IF(OR('Brouillard ventes'!$F$175="",'Brouillard ventes'!$J$175="À crédit",'Brouillard ventes'!$J$175=""),"",'Brouillard ventes'!$B$175)</f>
        <v/>
      </c>
      <c r="E340" s="22">
        <f>IF(OR('Brouillard ventes'!$F$175="",'Brouillard ventes'!$J$175="À crédit",'Brouillard ventes'!$J$175=""),"","REGL "&amp;LEFT('Brouillard ventes'!$D$175,25))</f>
        <v/>
      </c>
      <c r="F340" s="22">
        <f>IF(OR('Brouillard ventes'!$F$175="",'Brouillard ventes'!$J$175="À crédit",'Brouillard ventes'!$J$175=""),"",IF('Brouillard ventes'!$J$175="Espèces","04001","02001"))</f>
        <v/>
      </c>
      <c r="G340" s="22">
        <f>IF(OR('Brouillard ventes'!$F$175="",'Brouillard ventes'!$J$175="À crédit",'Brouillard ventes'!$J$175=""),"",IF('Brouillard ventes'!$J$175="Espèces","53000","51220"))</f>
        <v/>
      </c>
      <c r="H340" s="22" t="inlineStr"/>
      <c r="I340" s="22" t="inlineStr"/>
      <c r="J340" s="22" t="inlineStr"/>
      <c r="K340" s="22">
        <f>IF(OR('Brouillard ventes'!$F$175="",'Brouillard ventes'!$J$175="À crédit",'Brouillard ventes'!$J$175=""),"",Paramètres!$B$11)</f>
        <v/>
      </c>
      <c r="L340" s="23">
        <f>IF(OR('Brouillard ventes'!$F$175="",'Brouillard ventes'!$J$175="À crédit",'Brouillard ventes'!$J$175=""),0,'Brouillard ventes'!$I$175)</f>
        <v/>
      </c>
      <c r="M340" s="23" t="n">
        <v>0</v>
      </c>
    </row>
    <row r="341">
      <c r="A341" s="22" t="inlineStr">
        <is>
          <t>1</t>
        </is>
      </c>
      <c r="B341" s="22">
        <f>IF(OR('Brouillard ventes'!$F$175="",'Brouillard ventes'!$J$175="À crédit",'Brouillard ventes'!$J$175=""),"","EC"&amp;TEXT(ROW('Brouillard ventes'!$F$175)-5,"00000"))</f>
        <v/>
      </c>
      <c r="C341" s="22">
        <f>IF(OR('Brouillard ventes'!$F$175="",'Brouillard ventes'!$J$175="À crédit",'Brouillard ventes'!$J$175=""),"",YEAR('Brouillard ventes'!$A$175)*10000+MONTH('Brouillard ventes'!$A$175)*100+DAY('Brouillard ventes'!$A$175))</f>
        <v/>
      </c>
      <c r="D341" s="22">
        <f>IF(OR('Brouillard ventes'!$F$175="",'Brouillard ventes'!$J$175="À crédit",'Brouillard ventes'!$J$175=""),"",'Brouillard ventes'!$B$175)</f>
        <v/>
      </c>
      <c r="E341" s="22">
        <f>IF(OR('Brouillard ventes'!$F$175="",'Brouillard ventes'!$J$175="À crédit",'Brouillard ventes'!$J$175=""),"","REGL "&amp;LEFT('Brouillard ventes'!$D$175,25))</f>
        <v/>
      </c>
      <c r="F341" s="22">
        <f>IF(OR('Brouillard ventes'!$F$175="",'Brouillard ventes'!$J$175="À crédit",'Brouillard ventes'!$J$175=""),"",IF('Brouillard ventes'!$J$175="Espèces","04001","02001"))</f>
        <v/>
      </c>
      <c r="G341" s="22">
        <f>IF(OR('Brouillard ventes'!$F$175="",'Brouillard ventes'!$J$175="À crédit",'Brouillard ventes'!$J$175=""),"",Paramètres!$B$7)</f>
        <v/>
      </c>
      <c r="H341" s="22">
        <f>IF(OR('Brouillard ventes'!$F$175="",'Brouillard ventes'!$J$175="À crédit",'Brouillard ventes'!$J$175=""),"",IF('Brouillard ventes'!$C$175="","CD001",'Brouillard ventes'!$C$175))</f>
        <v/>
      </c>
      <c r="I341" s="22" t="inlineStr"/>
      <c r="J341" s="22" t="inlineStr"/>
      <c r="K341" s="22">
        <f>IF(OR('Brouillard ventes'!$F$175="",'Brouillard ventes'!$J$175="À crédit",'Brouillard ventes'!$J$175=""),"",Paramètres!$B$11)</f>
        <v/>
      </c>
      <c r="L341" s="23" t="n">
        <v>0</v>
      </c>
      <c r="M341" s="23">
        <f>IF(OR('Brouillard ventes'!$F$175="",'Brouillard ventes'!$J$175="À crédit",'Brouillard ventes'!$J$175=""),0,'Brouillard ventes'!$I$175)</f>
        <v/>
      </c>
    </row>
    <row r="342">
      <c r="A342" s="22" t="inlineStr">
        <is>
          <t>1</t>
        </is>
      </c>
      <c r="B342" s="22">
        <f>IF(OR('Brouillard ventes'!$F$176="",'Brouillard ventes'!$J$176="À crédit",'Brouillard ventes'!$J$176=""),"","EC"&amp;TEXT(ROW('Brouillard ventes'!$F$176)-5,"00000"))</f>
        <v/>
      </c>
      <c r="C342" s="22">
        <f>IF(OR('Brouillard ventes'!$F$176="",'Brouillard ventes'!$J$176="À crédit",'Brouillard ventes'!$J$176=""),"",YEAR('Brouillard ventes'!$A$176)*10000+MONTH('Brouillard ventes'!$A$176)*100+DAY('Brouillard ventes'!$A$176))</f>
        <v/>
      </c>
      <c r="D342" s="22">
        <f>IF(OR('Brouillard ventes'!$F$176="",'Brouillard ventes'!$J$176="À crédit",'Brouillard ventes'!$J$176=""),"",'Brouillard ventes'!$B$176)</f>
        <v/>
      </c>
      <c r="E342" s="22">
        <f>IF(OR('Brouillard ventes'!$F$176="",'Brouillard ventes'!$J$176="À crédit",'Brouillard ventes'!$J$176=""),"","REGL "&amp;LEFT('Brouillard ventes'!$D$176,25))</f>
        <v/>
      </c>
      <c r="F342" s="22">
        <f>IF(OR('Brouillard ventes'!$F$176="",'Brouillard ventes'!$J$176="À crédit",'Brouillard ventes'!$J$176=""),"",IF('Brouillard ventes'!$J$176="Espèces","04001","02001"))</f>
        <v/>
      </c>
      <c r="G342" s="22">
        <f>IF(OR('Brouillard ventes'!$F$176="",'Brouillard ventes'!$J$176="À crédit",'Brouillard ventes'!$J$176=""),"",IF('Brouillard ventes'!$J$176="Espèces","53000","51220"))</f>
        <v/>
      </c>
      <c r="H342" s="22" t="inlineStr"/>
      <c r="I342" s="22" t="inlineStr"/>
      <c r="J342" s="22" t="inlineStr"/>
      <c r="K342" s="22">
        <f>IF(OR('Brouillard ventes'!$F$176="",'Brouillard ventes'!$J$176="À crédit",'Brouillard ventes'!$J$176=""),"",Paramètres!$B$11)</f>
        <v/>
      </c>
      <c r="L342" s="23">
        <f>IF(OR('Brouillard ventes'!$F$176="",'Brouillard ventes'!$J$176="À crédit",'Brouillard ventes'!$J$176=""),0,'Brouillard ventes'!$I$176)</f>
        <v/>
      </c>
      <c r="M342" s="23" t="n">
        <v>0</v>
      </c>
    </row>
    <row r="343">
      <c r="A343" s="22" t="inlineStr">
        <is>
          <t>1</t>
        </is>
      </c>
      <c r="B343" s="22">
        <f>IF(OR('Brouillard ventes'!$F$176="",'Brouillard ventes'!$J$176="À crédit",'Brouillard ventes'!$J$176=""),"","EC"&amp;TEXT(ROW('Brouillard ventes'!$F$176)-5,"00000"))</f>
        <v/>
      </c>
      <c r="C343" s="22">
        <f>IF(OR('Brouillard ventes'!$F$176="",'Brouillard ventes'!$J$176="À crédit",'Brouillard ventes'!$J$176=""),"",YEAR('Brouillard ventes'!$A$176)*10000+MONTH('Brouillard ventes'!$A$176)*100+DAY('Brouillard ventes'!$A$176))</f>
        <v/>
      </c>
      <c r="D343" s="22">
        <f>IF(OR('Brouillard ventes'!$F$176="",'Brouillard ventes'!$J$176="À crédit",'Brouillard ventes'!$J$176=""),"",'Brouillard ventes'!$B$176)</f>
        <v/>
      </c>
      <c r="E343" s="22">
        <f>IF(OR('Brouillard ventes'!$F$176="",'Brouillard ventes'!$J$176="À crédit",'Brouillard ventes'!$J$176=""),"","REGL "&amp;LEFT('Brouillard ventes'!$D$176,25))</f>
        <v/>
      </c>
      <c r="F343" s="22">
        <f>IF(OR('Brouillard ventes'!$F$176="",'Brouillard ventes'!$J$176="À crédit",'Brouillard ventes'!$J$176=""),"",IF('Brouillard ventes'!$J$176="Espèces","04001","02001"))</f>
        <v/>
      </c>
      <c r="G343" s="22">
        <f>IF(OR('Brouillard ventes'!$F$176="",'Brouillard ventes'!$J$176="À crédit",'Brouillard ventes'!$J$176=""),"",Paramètres!$B$7)</f>
        <v/>
      </c>
      <c r="H343" s="22">
        <f>IF(OR('Brouillard ventes'!$F$176="",'Brouillard ventes'!$J$176="À crédit",'Brouillard ventes'!$J$176=""),"",IF('Brouillard ventes'!$C$176="","CD001",'Brouillard ventes'!$C$176))</f>
        <v/>
      </c>
      <c r="I343" s="22" t="inlineStr"/>
      <c r="J343" s="22" t="inlineStr"/>
      <c r="K343" s="22">
        <f>IF(OR('Brouillard ventes'!$F$176="",'Brouillard ventes'!$J$176="À crédit",'Brouillard ventes'!$J$176=""),"",Paramètres!$B$11)</f>
        <v/>
      </c>
      <c r="L343" s="23" t="n">
        <v>0</v>
      </c>
      <c r="M343" s="23">
        <f>IF(OR('Brouillard ventes'!$F$176="",'Brouillard ventes'!$J$176="À crédit",'Brouillard ventes'!$J$176=""),0,'Brouillard ventes'!$I$176)</f>
        <v/>
      </c>
    </row>
    <row r="344">
      <c r="A344" s="22" t="inlineStr">
        <is>
          <t>1</t>
        </is>
      </c>
      <c r="B344" s="22">
        <f>IF(OR('Brouillard ventes'!$F$177="",'Brouillard ventes'!$J$177="À crédit",'Brouillard ventes'!$J$177=""),"","EC"&amp;TEXT(ROW('Brouillard ventes'!$F$177)-5,"00000"))</f>
        <v/>
      </c>
      <c r="C344" s="22">
        <f>IF(OR('Brouillard ventes'!$F$177="",'Brouillard ventes'!$J$177="À crédit",'Brouillard ventes'!$J$177=""),"",YEAR('Brouillard ventes'!$A$177)*10000+MONTH('Brouillard ventes'!$A$177)*100+DAY('Brouillard ventes'!$A$177))</f>
        <v/>
      </c>
      <c r="D344" s="22">
        <f>IF(OR('Brouillard ventes'!$F$177="",'Brouillard ventes'!$J$177="À crédit",'Brouillard ventes'!$J$177=""),"",'Brouillard ventes'!$B$177)</f>
        <v/>
      </c>
      <c r="E344" s="22">
        <f>IF(OR('Brouillard ventes'!$F$177="",'Brouillard ventes'!$J$177="À crédit",'Brouillard ventes'!$J$177=""),"","REGL "&amp;LEFT('Brouillard ventes'!$D$177,25))</f>
        <v/>
      </c>
      <c r="F344" s="22">
        <f>IF(OR('Brouillard ventes'!$F$177="",'Brouillard ventes'!$J$177="À crédit",'Brouillard ventes'!$J$177=""),"",IF('Brouillard ventes'!$J$177="Espèces","04001","02001"))</f>
        <v/>
      </c>
      <c r="G344" s="22">
        <f>IF(OR('Brouillard ventes'!$F$177="",'Brouillard ventes'!$J$177="À crédit",'Brouillard ventes'!$J$177=""),"",IF('Brouillard ventes'!$J$177="Espèces","53000","51220"))</f>
        <v/>
      </c>
      <c r="H344" s="22" t="inlineStr"/>
      <c r="I344" s="22" t="inlineStr"/>
      <c r="J344" s="22" t="inlineStr"/>
      <c r="K344" s="22">
        <f>IF(OR('Brouillard ventes'!$F$177="",'Brouillard ventes'!$J$177="À crédit",'Brouillard ventes'!$J$177=""),"",Paramètres!$B$11)</f>
        <v/>
      </c>
      <c r="L344" s="23">
        <f>IF(OR('Brouillard ventes'!$F$177="",'Brouillard ventes'!$J$177="À crédit",'Brouillard ventes'!$J$177=""),0,'Brouillard ventes'!$I$177)</f>
        <v/>
      </c>
      <c r="M344" s="23" t="n">
        <v>0</v>
      </c>
    </row>
    <row r="345">
      <c r="A345" s="22" t="inlineStr">
        <is>
          <t>1</t>
        </is>
      </c>
      <c r="B345" s="22">
        <f>IF(OR('Brouillard ventes'!$F$177="",'Brouillard ventes'!$J$177="À crédit",'Brouillard ventes'!$J$177=""),"","EC"&amp;TEXT(ROW('Brouillard ventes'!$F$177)-5,"00000"))</f>
        <v/>
      </c>
      <c r="C345" s="22">
        <f>IF(OR('Brouillard ventes'!$F$177="",'Brouillard ventes'!$J$177="À crédit",'Brouillard ventes'!$J$177=""),"",YEAR('Brouillard ventes'!$A$177)*10000+MONTH('Brouillard ventes'!$A$177)*100+DAY('Brouillard ventes'!$A$177))</f>
        <v/>
      </c>
      <c r="D345" s="22">
        <f>IF(OR('Brouillard ventes'!$F$177="",'Brouillard ventes'!$J$177="À crédit",'Brouillard ventes'!$J$177=""),"",'Brouillard ventes'!$B$177)</f>
        <v/>
      </c>
      <c r="E345" s="22">
        <f>IF(OR('Brouillard ventes'!$F$177="",'Brouillard ventes'!$J$177="À crédit",'Brouillard ventes'!$J$177=""),"","REGL "&amp;LEFT('Brouillard ventes'!$D$177,25))</f>
        <v/>
      </c>
      <c r="F345" s="22">
        <f>IF(OR('Brouillard ventes'!$F$177="",'Brouillard ventes'!$J$177="À crédit",'Brouillard ventes'!$J$177=""),"",IF('Brouillard ventes'!$J$177="Espèces","04001","02001"))</f>
        <v/>
      </c>
      <c r="G345" s="22">
        <f>IF(OR('Brouillard ventes'!$F$177="",'Brouillard ventes'!$J$177="À crédit",'Brouillard ventes'!$J$177=""),"",Paramètres!$B$7)</f>
        <v/>
      </c>
      <c r="H345" s="22">
        <f>IF(OR('Brouillard ventes'!$F$177="",'Brouillard ventes'!$J$177="À crédit",'Brouillard ventes'!$J$177=""),"",IF('Brouillard ventes'!$C$177="","CD001",'Brouillard ventes'!$C$177))</f>
        <v/>
      </c>
      <c r="I345" s="22" t="inlineStr"/>
      <c r="J345" s="22" t="inlineStr"/>
      <c r="K345" s="22">
        <f>IF(OR('Brouillard ventes'!$F$177="",'Brouillard ventes'!$J$177="À crédit",'Brouillard ventes'!$J$177=""),"",Paramètres!$B$11)</f>
        <v/>
      </c>
      <c r="L345" s="23" t="n">
        <v>0</v>
      </c>
      <c r="M345" s="23">
        <f>IF(OR('Brouillard ventes'!$F$177="",'Brouillard ventes'!$J$177="À crédit",'Brouillard ventes'!$J$177=""),0,'Brouillard ventes'!$I$177)</f>
        <v/>
      </c>
    </row>
    <row r="346">
      <c r="A346" s="22" t="inlineStr">
        <is>
          <t>1</t>
        </is>
      </c>
      <c r="B346" s="22">
        <f>IF(OR('Brouillard ventes'!$F$178="",'Brouillard ventes'!$J$178="À crédit",'Brouillard ventes'!$J$178=""),"","EC"&amp;TEXT(ROW('Brouillard ventes'!$F$178)-5,"00000"))</f>
        <v/>
      </c>
      <c r="C346" s="22">
        <f>IF(OR('Brouillard ventes'!$F$178="",'Brouillard ventes'!$J$178="À crédit",'Brouillard ventes'!$J$178=""),"",YEAR('Brouillard ventes'!$A$178)*10000+MONTH('Brouillard ventes'!$A$178)*100+DAY('Brouillard ventes'!$A$178))</f>
        <v/>
      </c>
      <c r="D346" s="22">
        <f>IF(OR('Brouillard ventes'!$F$178="",'Brouillard ventes'!$J$178="À crédit",'Brouillard ventes'!$J$178=""),"",'Brouillard ventes'!$B$178)</f>
        <v/>
      </c>
      <c r="E346" s="22">
        <f>IF(OR('Brouillard ventes'!$F$178="",'Brouillard ventes'!$J$178="À crédit",'Brouillard ventes'!$J$178=""),"","REGL "&amp;LEFT('Brouillard ventes'!$D$178,25))</f>
        <v/>
      </c>
      <c r="F346" s="22">
        <f>IF(OR('Brouillard ventes'!$F$178="",'Brouillard ventes'!$J$178="À crédit",'Brouillard ventes'!$J$178=""),"",IF('Brouillard ventes'!$J$178="Espèces","04001","02001"))</f>
        <v/>
      </c>
      <c r="G346" s="22">
        <f>IF(OR('Brouillard ventes'!$F$178="",'Brouillard ventes'!$J$178="À crédit",'Brouillard ventes'!$J$178=""),"",IF('Brouillard ventes'!$J$178="Espèces","53000","51220"))</f>
        <v/>
      </c>
      <c r="H346" s="22" t="inlineStr"/>
      <c r="I346" s="22" t="inlineStr"/>
      <c r="J346" s="22" t="inlineStr"/>
      <c r="K346" s="22">
        <f>IF(OR('Brouillard ventes'!$F$178="",'Brouillard ventes'!$J$178="À crédit",'Brouillard ventes'!$J$178=""),"",Paramètres!$B$11)</f>
        <v/>
      </c>
      <c r="L346" s="23">
        <f>IF(OR('Brouillard ventes'!$F$178="",'Brouillard ventes'!$J$178="À crédit",'Brouillard ventes'!$J$178=""),0,'Brouillard ventes'!$I$178)</f>
        <v/>
      </c>
      <c r="M346" s="23" t="n">
        <v>0</v>
      </c>
    </row>
    <row r="347">
      <c r="A347" s="22" t="inlineStr">
        <is>
          <t>1</t>
        </is>
      </c>
      <c r="B347" s="22">
        <f>IF(OR('Brouillard ventes'!$F$178="",'Brouillard ventes'!$J$178="À crédit",'Brouillard ventes'!$J$178=""),"","EC"&amp;TEXT(ROW('Brouillard ventes'!$F$178)-5,"00000"))</f>
        <v/>
      </c>
      <c r="C347" s="22">
        <f>IF(OR('Brouillard ventes'!$F$178="",'Brouillard ventes'!$J$178="À crédit",'Brouillard ventes'!$J$178=""),"",YEAR('Brouillard ventes'!$A$178)*10000+MONTH('Brouillard ventes'!$A$178)*100+DAY('Brouillard ventes'!$A$178))</f>
        <v/>
      </c>
      <c r="D347" s="22">
        <f>IF(OR('Brouillard ventes'!$F$178="",'Brouillard ventes'!$J$178="À crédit",'Brouillard ventes'!$J$178=""),"",'Brouillard ventes'!$B$178)</f>
        <v/>
      </c>
      <c r="E347" s="22">
        <f>IF(OR('Brouillard ventes'!$F$178="",'Brouillard ventes'!$J$178="À crédit",'Brouillard ventes'!$J$178=""),"","REGL "&amp;LEFT('Brouillard ventes'!$D$178,25))</f>
        <v/>
      </c>
      <c r="F347" s="22">
        <f>IF(OR('Brouillard ventes'!$F$178="",'Brouillard ventes'!$J$178="À crédit",'Brouillard ventes'!$J$178=""),"",IF('Brouillard ventes'!$J$178="Espèces","04001","02001"))</f>
        <v/>
      </c>
      <c r="G347" s="22">
        <f>IF(OR('Brouillard ventes'!$F$178="",'Brouillard ventes'!$J$178="À crédit",'Brouillard ventes'!$J$178=""),"",Paramètres!$B$7)</f>
        <v/>
      </c>
      <c r="H347" s="22">
        <f>IF(OR('Brouillard ventes'!$F$178="",'Brouillard ventes'!$J$178="À crédit",'Brouillard ventes'!$J$178=""),"",IF('Brouillard ventes'!$C$178="","CD001",'Brouillard ventes'!$C$178))</f>
        <v/>
      </c>
      <c r="I347" s="22" t="inlineStr"/>
      <c r="J347" s="22" t="inlineStr"/>
      <c r="K347" s="22">
        <f>IF(OR('Brouillard ventes'!$F$178="",'Brouillard ventes'!$J$178="À crédit",'Brouillard ventes'!$J$178=""),"",Paramètres!$B$11)</f>
        <v/>
      </c>
      <c r="L347" s="23" t="n">
        <v>0</v>
      </c>
      <c r="M347" s="23">
        <f>IF(OR('Brouillard ventes'!$F$178="",'Brouillard ventes'!$J$178="À crédit",'Brouillard ventes'!$J$178=""),0,'Brouillard ventes'!$I$178)</f>
        <v/>
      </c>
    </row>
    <row r="348">
      <c r="A348" s="22" t="inlineStr">
        <is>
          <t>1</t>
        </is>
      </c>
      <c r="B348" s="22">
        <f>IF(OR('Brouillard ventes'!$F$179="",'Brouillard ventes'!$J$179="À crédit",'Brouillard ventes'!$J$179=""),"","EC"&amp;TEXT(ROW('Brouillard ventes'!$F$179)-5,"00000"))</f>
        <v/>
      </c>
      <c r="C348" s="22">
        <f>IF(OR('Brouillard ventes'!$F$179="",'Brouillard ventes'!$J$179="À crédit",'Brouillard ventes'!$J$179=""),"",YEAR('Brouillard ventes'!$A$179)*10000+MONTH('Brouillard ventes'!$A$179)*100+DAY('Brouillard ventes'!$A$179))</f>
        <v/>
      </c>
      <c r="D348" s="22">
        <f>IF(OR('Brouillard ventes'!$F$179="",'Brouillard ventes'!$J$179="À crédit",'Brouillard ventes'!$J$179=""),"",'Brouillard ventes'!$B$179)</f>
        <v/>
      </c>
      <c r="E348" s="22">
        <f>IF(OR('Brouillard ventes'!$F$179="",'Brouillard ventes'!$J$179="À crédit",'Brouillard ventes'!$J$179=""),"","REGL "&amp;LEFT('Brouillard ventes'!$D$179,25))</f>
        <v/>
      </c>
      <c r="F348" s="22">
        <f>IF(OR('Brouillard ventes'!$F$179="",'Brouillard ventes'!$J$179="À crédit",'Brouillard ventes'!$J$179=""),"",IF('Brouillard ventes'!$J$179="Espèces","04001","02001"))</f>
        <v/>
      </c>
      <c r="G348" s="22">
        <f>IF(OR('Brouillard ventes'!$F$179="",'Brouillard ventes'!$J$179="À crédit",'Brouillard ventes'!$J$179=""),"",IF('Brouillard ventes'!$J$179="Espèces","53000","51220"))</f>
        <v/>
      </c>
      <c r="H348" s="22" t="inlineStr"/>
      <c r="I348" s="22" t="inlineStr"/>
      <c r="J348" s="22" t="inlineStr"/>
      <c r="K348" s="22">
        <f>IF(OR('Brouillard ventes'!$F$179="",'Brouillard ventes'!$J$179="À crédit",'Brouillard ventes'!$J$179=""),"",Paramètres!$B$11)</f>
        <v/>
      </c>
      <c r="L348" s="23">
        <f>IF(OR('Brouillard ventes'!$F$179="",'Brouillard ventes'!$J$179="À crédit",'Brouillard ventes'!$J$179=""),0,'Brouillard ventes'!$I$179)</f>
        <v/>
      </c>
      <c r="M348" s="23" t="n">
        <v>0</v>
      </c>
    </row>
    <row r="349">
      <c r="A349" s="22" t="inlineStr">
        <is>
          <t>1</t>
        </is>
      </c>
      <c r="B349" s="22">
        <f>IF(OR('Brouillard ventes'!$F$179="",'Brouillard ventes'!$J$179="À crédit",'Brouillard ventes'!$J$179=""),"","EC"&amp;TEXT(ROW('Brouillard ventes'!$F$179)-5,"00000"))</f>
        <v/>
      </c>
      <c r="C349" s="22">
        <f>IF(OR('Brouillard ventes'!$F$179="",'Brouillard ventes'!$J$179="À crédit",'Brouillard ventes'!$J$179=""),"",YEAR('Brouillard ventes'!$A$179)*10000+MONTH('Brouillard ventes'!$A$179)*100+DAY('Brouillard ventes'!$A$179))</f>
        <v/>
      </c>
      <c r="D349" s="22">
        <f>IF(OR('Brouillard ventes'!$F$179="",'Brouillard ventes'!$J$179="À crédit",'Brouillard ventes'!$J$179=""),"",'Brouillard ventes'!$B$179)</f>
        <v/>
      </c>
      <c r="E349" s="22">
        <f>IF(OR('Brouillard ventes'!$F$179="",'Brouillard ventes'!$J$179="À crédit",'Brouillard ventes'!$J$179=""),"","REGL "&amp;LEFT('Brouillard ventes'!$D$179,25))</f>
        <v/>
      </c>
      <c r="F349" s="22">
        <f>IF(OR('Brouillard ventes'!$F$179="",'Brouillard ventes'!$J$179="À crédit",'Brouillard ventes'!$J$179=""),"",IF('Brouillard ventes'!$J$179="Espèces","04001","02001"))</f>
        <v/>
      </c>
      <c r="G349" s="22">
        <f>IF(OR('Brouillard ventes'!$F$179="",'Brouillard ventes'!$J$179="À crédit",'Brouillard ventes'!$J$179=""),"",Paramètres!$B$7)</f>
        <v/>
      </c>
      <c r="H349" s="22">
        <f>IF(OR('Brouillard ventes'!$F$179="",'Brouillard ventes'!$J$179="À crédit",'Brouillard ventes'!$J$179=""),"",IF('Brouillard ventes'!$C$179="","CD001",'Brouillard ventes'!$C$179))</f>
        <v/>
      </c>
      <c r="I349" s="22" t="inlineStr"/>
      <c r="J349" s="22" t="inlineStr"/>
      <c r="K349" s="22">
        <f>IF(OR('Brouillard ventes'!$F$179="",'Brouillard ventes'!$J$179="À crédit",'Brouillard ventes'!$J$179=""),"",Paramètres!$B$11)</f>
        <v/>
      </c>
      <c r="L349" s="23" t="n">
        <v>0</v>
      </c>
      <c r="M349" s="23">
        <f>IF(OR('Brouillard ventes'!$F$179="",'Brouillard ventes'!$J$179="À crédit",'Brouillard ventes'!$J$179=""),0,'Brouillard ventes'!$I$179)</f>
        <v/>
      </c>
    </row>
    <row r="350">
      <c r="A350" s="22" t="inlineStr">
        <is>
          <t>1</t>
        </is>
      </c>
      <c r="B350" s="22">
        <f>IF(OR('Brouillard ventes'!$F$180="",'Brouillard ventes'!$J$180="À crédit",'Brouillard ventes'!$J$180=""),"","EC"&amp;TEXT(ROW('Brouillard ventes'!$F$180)-5,"00000"))</f>
        <v/>
      </c>
      <c r="C350" s="22">
        <f>IF(OR('Brouillard ventes'!$F$180="",'Brouillard ventes'!$J$180="À crédit",'Brouillard ventes'!$J$180=""),"",YEAR('Brouillard ventes'!$A$180)*10000+MONTH('Brouillard ventes'!$A$180)*100+DAY('Brouillard ventes'!$A$180))</f>
        <v/>
      </c>
      <c r="D350" s="22">
        <f>IF(OR('Brouillard ventes'!$F$180="",'Brouillard ventes'!$J$180="À crédit",'Brouillard ventes'!$J$180=""),"",'Brouillard ventes'!$B$180)</f>
        <v/>
      </c>
      <c r="E350" s="22">
        <f>IF(OR('Brouillard ventes'!$F$180="",'Brouillard ventes'!$J$180="À crédit",'Brouillard ventes'!$J$180=""),"","REGL "&amp;LEFT('Brouillard ventes'!$D$180,25))</f>
        <v/>
      </c>
      <c r="F350" s="22">
        <f>IF(OR('Brouillard ventes'!$F$180="",'Brouillard ventes'!$J$180="À crédit",'Brouillard ventes'!$J$180=""),"",IF('Brouillard ventes'!$J$180="Espèces","04001","02001"))</f>
        <v/>
      </c>
      <c r="G350" s="22">
        <f>IF(OR('Brouillard ventes'!$F$180="",'Brouillard ventes'!$J$180="À crédit",'Brouillard ventes'!$J$180=""),"",IF('Brouillard ventes'!$J$180="Espèces","53000","51220"))</f>
        <v/>
      </c>
      <c r="H350" s="22" t="inlineStr"/>
      <c r="I350" s="22" t="inlineStr"/>
      <c r="J350" s="22" t="inlineStr"/>
      <c r="K350" s="22">
        <f>IF(OR('Brouillard ventes'!$F$180="",'Brouillard ventes'!$J$180="À crédit",'Brouillard ventes'!$J$180=""),"",Paramètres!$B$11)</f>
        <v/>
      </c>
      <c r="L350" s="23">
        <f>IF(OR('Brouillard ventes'!$F$180="",'Brouillard ventes'!$J$180="À crédit",'Brouillard ventes'!$J$180=""),0,'Brouillard ventes'!$I$180)</f>
        <v/>
      </c>
      <c r="M350" s="23" t="n">
        <v>0</v>
      </c>
    </row>
    <row r="351">
      <c r="A351" s="22" t="inlineStr">
        <is>
          <t>1</t>
        </is>
      </c>
      <c r="B351" s="22">
        <f>IF(OR('Brouillard ventes'!$F$180="",'Brouillard ventes'!$J$180="À crédit",'Brouillard ventes'!$J$180=""),"","EC"&amp;TEXT(ROW('Brouillard ventes'!$F$180)-5,"00000"))</f>
        <v/>
      </c>
      <c r="C351" s="22">
        <f>IF(OR('Brouillard ventes'!$F$180="",'Brouillard ventes'!$J$180="À crédit",'Brouillard ventes'!$J$180=""),"",YEAR('Brouillard ventes'!$A$180)*10000+MONTH('Brouillard ventes'!$A$180)*100+DAY('Brouillard ventes'!$A$180))</f>
        <v/>
      </c>
      <c r="D351" s="22">
        <f>IF(OR('Brouillard ventes'!$F$180="",'Brouillard ventes'!$J$180="À crédit",'Brouillard ventes'!$J$180=""),"",'Brouillard ventes'!$B$180)</f>
        <v/>
      </c>
      <c r="E351" s="22">
        <f>IF(OR('Brouillard ventes'!$F$180="",'Brouillard ventes'!$J$180="À crédit",'Brouillard ventes'!$J$180=""),"","REGL "&amp;LEFT('Brouillard ventes'!$D$180,25))</f>
        <v/>
      </c>
      <c r="F351" s="22">
        <f>IF(OR('Brouillard ventes'!$F$180="",'Brouillard ventes'!$J$180="À crédit",'Brouillard ventes'!$J$180=""),"",IF('Brouillard ventes'!$J$180="Espèces","04001","02001"))</f>
        <v/>
      </c>
      <c r="G351" s="22">
        <f>IF(OR('Brouillard ventes'!$F$180="",'Brouillard ventes'!$J$180="À crédit",'Brouillard ventes'!$J$180=""),"",Paramètres!$B$7)</f>
        <v/>
      </c>
      <c r="H351" s="22">
        <f>IF(OR('Brouillard ventes'!$F$180="",'Brouillard ventes'!$J$180="À crédit",'Brouillard ventes'!$J$180=""),"",IF('Brouillard ventes'!$C$180="","CD001",'Brouillard ventes'!$C$180))</f>
        <v/>
      </c>
      <c r="I351" s="22" t="inlineStr"/>
      <c r="J351" s="22" t="inlineStr"/>
      <c r="K351" s="22">
        <f>IF(OR('Brouillard ventes'!$F$180="",'Brouillard ventes'!$J$180="À crédit",'Brouillard ventes'!$J$180=""),"",Paramètres!$B$11)</f>
        <v/>
      </c>
      <c r="L351" s="23" t="n">
        <v>0</v>
      </c>
      <c r="M351" s="23">
        <f>IF(OR('Brouillard ventes'!$F$180="",'Brouillard ventes'!$J$180="À crédit",'Brouillard ventes'!$J$180=""),0,'Brouillard ventes'!$I$180)</f>
        <v/>
      </c>
    </row>
    <row r="352">
      <c r="A352" s="22" t="inlineStr">
        <is>
          <t>1</t>
        </is>
      </c>
      <c r="B352" s="22">
        <f>IF(OR('Brouillard ventes'!$F$181="",'Brouillard ventes'!$J$181="À crédit",'Brouillard ventes'!$J$181=""),"","EC"&amp;TEXT(ROW('Brouillard ventes'!$F$181)-5,"00000"))</f>
        <v/>
      </c>
      <c r="C352" s="22">
        <f>IF(OR('Brouillard ventes'!$F$181="",'Brouillard ventes'!$J$181="À crédit",'Brouillard ventes'!$J$181=""),"",YEAR('Brouillard ventes'!$A$181)*10000+MONTH('Brouillard ventes'!$A$181)*100+DAY('Brouillard ventes'!$A$181))</f>
        <v/>
      </c>
      <c r="D352" s="22">
        <f>IF(OR('Brouillard ventes'!$F$181="",'Brouillard ventes'!$J$181="À crédit",'Brouillard ventes'!$J$181=""),"",'Brouillard ventes'!$B$181)</f>
        <v/>
      </c>
      <c r="E352" s="22">
        <f>IF(OR('Brouillard ventes'!$F$181="",'Brouillard ventes'!$J$181="À crédit",'Brouillard ventes'!$J$181=""),"","REGL "&amp;LEFT('Brouillard ventes'!$D$181,25))</f>
        <v/>
      </c>
      <c r="F352" s="22">
        <f>IF(OR('Brouillard ventes'!$F$181="",'Brouillard ventes'!$J$181="À crédit",'Brouillard ventes'!$J$181=""),"",IF('Brouillard ventes'!$J$181="Espèces","04001","02001"))</f>
        <v/>
      </c>
      <c r="G352" s="22">
        <f>IF(OR('Brouillard ventes'!$F$181="",'Brouillard ventes'!$J$181="À crédit",'Brouillard ventes'!$J$181=""),"",IF('Brouillard ventes'!$J$181="Espèces","53000","51220"))</f>
        <v/>
      </c>
      <c r="H352" s="22" t="inlineStr"/>
      <c r="I352" s="22" t="inlineStr"/>
      <c r="J352" s="22" t="inlineStr"/>
      <c r="K352" s="22">
        <f>IF(OR('Brouillard ventes'!$F$181="",'Brouillard ventes'!$J$181="À crédit",'Brouillard ventes'!$J$181=""),"",Paramètres!$B$11)</f>
        <v/>
      </c>
      <c r="L352" s="23">
        <f>IF(OR('Brouillard ventes'!$F$181="",'Brouillard ventes'!$J$181="À crédit",'Brouillard ventes'!$J$181=""),0,'Brouillard ventes'!$I$181)</f>
        <v/>
      </c>
      <c r="M352" s="23" t="n">
        <v>0</v>
      </c>
    </row>
    <row r="353">
      <c r="A353" s="22" t="inlineStr">
        <is>
          <t>1</t>
        </is>
      </c>
      <c r="B353" s="22">
        <f>IF(OR('Brouillard ventes'!$F$181="",'Brouillard ventes'!$J$181="À crédit",'Brouillard ventes'!$J$181=""),"","EC"&amp;TEXT(ROW('Brouillard ventes'!$F$181)-5,"00000"))</f>
        <v/>
      </c>
      <c r="C353" s="22">
        <f>IF(OR('Brouillard ventes'!$F$181="",'Brouillard ventes'!$J$181="À crédit",'Brouillard ventes'!$J$181=""),"",YEAR('Brouillard ventes'!$A$181)*10000+MONTH('Brouillard ventes'!$A$181)*100+DAY('Brouillard ventes'!$A$181))</f>
        <v/>
      </c>
      <c r="D353" s="22">
        <f>IF(OR('Brouillard ventes'!$F$181="",'Brouillard ventes'!$J$181="À crédit",'Brouillard ventes'!$J$181=""),"",'Brouillard ventes'!$B$181)</f>
        <v/>
      </c>
      <c r="E353" s="22">
        <f>IF(OR('Brouillard ventes'!$F$181="",'Brouillard ventes'!$J$181="À crédit",'Brouillard ventes'!$J$181=""),"","REGL "&amp;LEFT('Brouillard ventes'!$D$181,25))</f>
        <v/>
      </c>
      <c r="F353" s="22">
        <f>IF(OR('Brouillard ventes'!$F$181="",'Brouillard ventes'!$J$181="À crédit",'Brouillard ventes'!$J$181=""),"",IF('Brouillard ventes'!$J$181="Espèces","04001","02001"))</f>
        <v/>
      </c>
      <c r="G353" s="22">
        <f>IF(OR('Brouillard ventes'!$F$181="",'Brouillard ventes'!$J$181="À crédit",'Brouillard ventes'!$J$181=""),"",Paramètres!$B$7)</f>
        <v/>
      </c>
      <c r="H353" s="22">
        <f>IF(OR('Brouillard ventes'!$F$181="",'Brouillard ventes'!$J$181="À crédit",'Brouillard ventes'!$J$181=""),"",IF('Brouillard ventes'!$C$181="","CD001",'Brouillard ventes'!$C$181))</f>
        <v/>
      </c>
      <c r="I353" s="22" t="inlineStr"/>
      <c r="J353" s="22" t="inlineStr"/>
      <c r="K353" s="22">
        <f>IF(OR('Brouillard ventes'!$F$181="",'Brouillard ventes'!$J$181="À crédit",'Brouillard ventes'!$J$181=""),"",Paramètres!$B$11)</f>
        <v/>
      </c>
      <c r="L353" s="23" t="n">
        <v>0</v>
      </c>
      <c r="M353" s="23">
        <f>IF(OR('Brouillard ventes'!$F$181="",'Brouillard ventes'!$J$181="À crédit",'Brouillard ventes'!$J$181=""),0,'Brouillard ventes'!$I$181)</f>
        <v/>
      </c>
    </row>
    <row r="354">
      <c r="A354" s="22" t="inlineStr">
        <is>
          <t>1</t>
        </is>
      </c>
      <c r="B354" s="22">
        <f>IF(OR('Brouillard ventes'!$F$182="",'Brouillard ventes'!$J$182="À crédit",'Brouillard ventes'!$J$182=""),"","EC"&amp;TEXT(ROW('Brouillard ventes'!$F$182)-5,"00000"))</f>
        <v/>
      </c>
      <c r="C354" s="22">
        <f>IF(OR('Brouillard ventes'!$F$182="",'Brouillard ventes'!$J$182="À crédit",'Brouillard ventes'!$J$182=""),"",YEAR('Brouillard ventes'!$A$182)*10000+MONTH('Brouillard ventes'!$A$182)*100+DAY('Brouillard ventes'!$A$182))</f>
        <v/>
      </c>
      <c r="D354" s="22">
        <f>IF(OR('Brouillard ventes'!$F$182="",'Brouillard ventes'!$J$182="À crédit",'Brouillard ventes'!$J$182=""),"",'Brouillard ventes'!$B$182)</f>
        <v/>
      </c>
      <c r="E354" s="22">
        <f>IF(OR('Brouillard ventes'!$F$182="",'Brouillard ventes'!$J$182="À crédit",'Brouillard ventes'!$J$182=""),"","REGL "&amp;LEFT('Brouillard ventes'!$D$182,25))</f>
        <v/>
      </c>
      <c r="F354" s="22">
        <f>IF(OR('Brouillard ventes'!$F$182="",'Brouillard ventes'!$J$182="À crédit",'Brouillard ventes'!$J$182=""),"",IF('Brouillard ventes'!$J$182="Espèces","04001","02001"))</f>
        <v/>
      </c>
      <c r="G354" s="22">
        <f>IF(OR('Brouillard ventes'!$F$182="",'Brouillard ventes'!$J$182="À crédit",'Brouillard ventes'!$J$182=""),"",IF('Brouillard ventes'!$J$182="Espèces","53000","51220"))</f>
        <v/>
      </c>
      <c r="H354" s="22" t="inlineStr"/>
      <c r="I354" s="22" t="inlineStr"/>
      <c r="J354" s="22" t="inlineStr"/>
      <c r="K354" s="22">
        <f>IF(OR('Brouillard ventes'!$F$182="",'Brouillard ventes'!$J$182="À crédit",'Brouillard ventes'!$J$182=""),"",Paramètres!$B$11)</f>
        <v/>
      </c>
      <c r="L354" s="23">
        <f>IF(OR('Brouillard ventes'!$F$182="",'Brouillard ventes'!$J$182="À crédit",'Brouillard ventes'!$J$182=""),0,'Brouillard ventes'!$I$182)</f>
        <v/>
      </c>
      <c r="M354" s="23" t="n">
        <v>0</v>
      </c>
    </row>
    <row r="355">
      <c r="A355" s="22" t="inlineStr">
        <is>
          <t>1</t>
        </is>
      </c>
      <c r="B355" s="22">
        <f>IF(OR('Brouillard ventes'!$F$182="",'Brouillard ventes'!$J$182="À crédit",'Brouillard ventes'!$J$182=""),"","EC"&amp;TEXT(ROW('Brouillard ventes'!$F$182)-5,"00000"))</f>
        <v/>
      </c>
      <c r="C355" s="22">
        <f>IF(OR('Brouillard ventes'!$F$182="",'Brouillard ventes'!$J$182="À crédit",'Brouillard ventes'!$J$182=""),"",YEAR('Brouillard ventes'!$A$182)*10000+MONTH('Brouillard ventes'!$A$182)*100+DAY('Brouillard ventes'!$A$182))</f>
        <v/>
      </c>
      <c r="D355" s="22">
        <f>IF(OR('Brouillard ventes'!$F$182="",'Brouillard ventes'!$J$182="À crédit",'Brouillard ventes'!$J$182=""),"",'Brouillard ventes'!$B$182)</f>
        <v/>
      </c>
      <c r="E355" s="22">
        <f>IF(OR('Brouillard ventes'!$F$182="",'Brouillard ventes'!$J$182="À crédit",'Brouillard ventes'!$J$182=""),"","REGL "&amp;LEFT('Brouillard ventes'!$D$182,25))</f>
        <v/>
      </c>
      <c r="F355" s="22">
        <f>IF(OR('Brouillard ventes'!$F$182="",'Brouillard ventes'!$J$182="À crédit",'Brouillard ventes'!$J$182=""),"",IF('Brouillard ventes'!$J$182="Espèces","04001","02001"))</f>
        <v/>
      </c>
      <c r="G355" s="22">
        <f>IF(OR('Brouillard ventes'!$F$182="",'Brouillard ventes'!$J$182="À crédit",'Brouillard ventes'!$J$182=""),"",Paramètres!$B$7)</f>
        <v/>
      </c>
      <c r="H355" s="22">
        <f>IF(OR('Brouillard ventes'!$F$182="",'Brouillard ventes'!$J$182="À crédit",'Brouillard ventes'!$J$182=""),"",IF('Brouillard ventes'!$C$182="","CD001",'Brouillard ventes'!$C$182))</f>
        <v/>
      </c>
      <c r="I355" s="22" t="inlineStr"/>
      <c r="J355" s="22" t="inlineStr"/>
      <c r="K355" s="22">
        <f>IF(OR('Brouillard ventes'!$F$182="",'Brouillard ventes'!$J$182="À crédit",'Brouillard ventes'!$J$182=""),"",Paramètres!$B$11)</f>
        <v/>
      </c>
      <c r="L355" s="23" t="n">
        <v>0</v>
      </c>
      <c r="M355" s="23">
        <f>IF(OR('Brouillard ventes'!$F$182="",'Brouillard ventes'!$J$182="À crédit",'Brouillard ventes'!$J$182=""),0,'Brouillard ventes'!$I$182)</f>
        <v/>
      </c>
    </row>
    <row r="356">
      <c r="A356" s="22" t="inlineStr">
        <is>
          <t>1</t>
        </is>
      </c>
      <c r="B356" s="22">
        <f>IF(OR('Brouillard ventes'!$F$183="",'Brouillard ventes'!$J$183="À crédit",'Brouillard ventes'!$J$183=""),"","EC"&amp;TEXT(ROW('Brouillard ventes'!$F$183)-5,"00000"))</f>
        <v/>
      </c>
      <c r="C356" s="22">
        <f>IF(OR('Brouillard ventes'!$F$183="",'Brouillard ventes'!$J$183="À crédit",'Brouillard ventes'!$J$183=""),"",YEAR('Brouillard ventes'!$A$183)*10000+MONTH('Brouillard ventes'!$A$183)*100+DAY('Brouillard ventes'!$A$183))</f>
        <v/>
      </c>
      <c r="D356" s="22">
        <f>IF(OR('Brouillard ventes'!$F$183="",'Brouillard ventes'!$J$183="À crédit",'Brouillard ventes'!$J$183=""),"",'Brouillard ventes'!$B$183)</f>
        <v/>
      </c>
      <c r="E356" s="22">
        <f>IF(OR('Brouillard ventes'!$F$183="",'Brouillard ventes'!$J$183="À crédit",'Brouillard ventes'!$J$183=""),"","REGL "&amp;LEFT('Brouillard ventes'!$D$183,25))</f>
        <v/>
      </c>
      <c r="F356" s="22">
        <f>IF(OR('Brouillard ventes'!$F$183="",'Brouillard ventes'!$J$183="À crédit",'Brouillard ventes'!$J$183=""),"",IF('Brouillard ventes'!$J$183="Espèces","04001","02001"))</f>
        <v/>
      </c>
      <c r="G356" s="22">
        <f>IF(OR('Brouillard ventes'!$F$183="",'Brouillard ventes'!$J$183="À crédit",'Brouillard ventes'!$J$183=""),"",IF('Brouillard ventes'!$J$183="Espèces","53000","51220"))</f>
        <v/>
      </c>
      <c r="H356" s="22" t="inlineStr"/>
      <c r="I356" s="22" t="inlineStr"/>
      <c r="J356" s="22" t="inlineStr"/>
      <c r="K356" s="22">
        <f>IF(OR('Brouillard ventes'!$F$183="",'Brouillard ventes'!$J$183="À crédit",'Brouillard ventes'!$J$183=""),"",Paramètres!$B$11)</f>
        <v/>
      </c>
      <c r="L356" s="23">
        <f>IF(OR('Brouillard ventes'!$F$183="",'Brouillard ventes'!$J$183="À crédit",'Brouillard ventes'!$J$183=""),0,'Brouillard ventes'!$I$183)</f>
        <v/>
      </c>
      <c r="M356" s="23" t="n">
        <v>0</v>
      </c>
    </row>
    <row r="357">
      <c r="A357" s="22" t="inlineStr">
        <is>
          <t>1</t>
        </is>
      </c>
      <c r="B357" s="22">
        <f>IF(OR('Brouillard ventes'!$F$183="",'Brouillard ventes'!$J$183="À crédit",'Brouillard ventes'!$J$183=""),"","EC"&amp;TEXT(ROW('Brouillard ventes'!$F$183)-5,"00000"))</f>
        <v/>
      </c>
      <c r="C357" s="22">
        <f>IF(OR('Brouillard ventes'!$F$183="",'Brouillard ventes'!$J$183="À crédit",'Brouillard ventes'!$J$183=""),"",YEAR('Brouillard ventes'!$A$183)*10000+MONTH('Brouillard ventes'!$A$183)*100+DAY('Brouillard ventes'!$A$183))</f>
        <v/>
      </c>
      <c r="D357" s="22">
        <f>IF(OR('Brouillard ventes'!$F$183="",'Brouillard ventes'!$J$183="À crédit",'Brouillard ventes'!$J$183=""),"",'Brouillard ventes'!$B$183)</f>
        <v/>
      </c>
      <c r="E357" s="22">
        <f>IF(OR('Brouillard ventes'!$F$183="",'Brouillard ventes'!$J$183="À crédit",'Brouillard ventes'!$J$183=""),"","REGL "&amp;LEFT('Brouillard ventes'!$D$183,25))</f>
        <v/>
      </c>
      <c r="F357" s="22">
        <f>IF(OR('Brouillard ventes'!$F$183="",'Brouillard ventes'!$J$183="À crédit",'Brouillard ventes'!$J$183=""),"",IF('Brouillard ventes'!$J$183="Espèces","04001","02001"))</f>
        <v/>
      </c>
      <c r="G357" s="22">
        <f>IF(OR('Brouillard ventes'!$F$183="",'Brouillard ventes'!$J$183="À crédit",'Brouillard ventes'!$J$183=""),"",Paramètres!$B$7)</f>
        <v/>
      </c>
      <c r="H357" s="22">
        <f>IF(OR('Brouillard ventes'!$F$183="",'Brouillard ventes'!$J$183="À crédit",'Brouillard ventes'!$J$183=""),"",IF('Brouillard ventes'!$C$183="","CD001",'Brouillard ventes'!$C$183))</f>
        <v/>
      </c>
      <c r="I357" s="22" t="inlineStr"/>
      <c r="J357" s="22" t="inlineStr"/>
      <c r="K357" s="22">
        <f>IF(OR('Brouillard ventes'!$F$183="",'Brouillard ventes'!$J$183="À crédit",'Brouillard ventes'!$J$183=""),"",Paramètres!$B$11)</f>
        <v/>
      </c>
      <c r="L357" s="23" t="n">
        <v>0</v>
      </c>
      <c r="M357" s="23">
        <f>IF(OR('Brouillard ventes'!$F$183="",'Brouillard ventes'!$J$183="À crédit",'Brouillard ventes'!$J$183=""),0,'Brouillard ventes'!$I$183)</f>
        <v/>
      </c>
    </row>
    <row r="358">
      <c r="A358" s="22" t="inlineStr">
        <is>
          <t>1</t>
        </is>
      </c>
      <c r="B358" s="22">
        <f>IF(OR('Brouillard ventes'!$F$184="",'Brouillard ventes'!$J$184="À crédit",'Brouillard ventes'!$J$184=""),"","EC"&amp;TEXT(ROW('Brouillard ventes'!$F$184)-5,"00000"))</f>
        <v/>
      </c>
      <c r="C358" s="22">
        <f>IF(OR('Brouillard ventes'!$F$184="",'Brouillard ventes'!$J$184="À crédit",'Brouillard ventes'!$J$184=""),"",YEAR('Brouillard ventes'!$A$184)*10000+MONTH('Brouillard ventes'!$A$184)*100+DAY('Brouillard ventes'!$A$184))</f>
        <v/>
      </c>
      <c r="D358" s="22">
        <f>IF(OR('Brouillard ventes'!$F$184="",'Brouillard ventes'!$J$184="À crédit",'Brouillard ventes'!$J$184=""),"",'Brouillard ventes'!$B$184)</f>
        <v/>
      </c>
      <c r="E358" s="22">
        <f>IF(OR('Brouillard ventes'!$F$184="",'Brouillard ventes'!$J$184="À crédit",'Brouillard ventes'!$J$184=""),"","REGL "&amp;LEFT('Brouillard ventes'!$D$184,25))</f>
        <v/>
      </c>
      <c r="F358" s="22">
        <f>IF(OR('Brouillard ventes'!$F$184="",'Brouillard ventes'!$J$184="À crédit",'Brouillard ventes'!$J$184=""),"",IF('Brouillard ventes'!$J$184="Espèces","04001","02001"))</f>
        <v/>
      </c>
      <c r="G358" s="22">
        <f>IF(OR('Brouillard ventes'!$F$184="",'Brouillard ventes'!$J$184="À crédit",'Brouillard ventes'!$J$184=""),"",IF('Brouillard ventes'!$J$184="Espèces","53000","51220"))</f>
        <v/>
      </c>
      <c r="H358" s="22" t="inlineStr"/>
      <c r="I358" s="22" t="inlineStr"/>
      <c r="J358" s="22" t="inlineStr"/>
      <c r="K358" s="22">
        <f>IF(OR('Brouillard ventes'!$F$184="",'Brouillard ventes'!$J$184="À crédit",'Brouillard ventes'!$J$184=""),"",Paramètres!$B$11)</f>
        <v/>
      </c>
      <c r="L358" s="23">
        <f>IF(OR('Brouillard ventes'!$F$184="",'Brouillard ventes'!$J$184="À crédit",'Brouillard ventes'!$J$184=""),0,'Brouillard ventes'!$I$184)</f>
        <v/>
      </c>
      <c r="M358" s="23" t="n">
        <v>0</v>
      </c>
    </row>
    <row r="359">
      <c r="A359" s="22" t="inlineStr">
        <is>
          <t>1</t>
        </is>
      </c>
      <c r="B359" s="22">
        <f>IF(OR('Brouillard ventes'!$F$184="",'Brouillard ventes'!$J$184="À crédit",'Brouillard ventes'!$J$184=""),"","EC"&amp;TEXT(ROW('Brouillard ventes'!$F$184)-5,"00000"))</f>
        <v/>
      </c>
      <c r="C359" s="22">
        <f>IF(OR('Brouillard ventes'!$F$184="",'Brouillard ventes'!$J$184="À crédit",'Brouillard ventes'!$J$184=""),"",YEAR('Brouillard ventes'!$A$184)*10000+MONTH('Brouillard ventes'!$A$184)*100+DAY('Brouillard ventes'!$A$184))</f>
        <v/>
      </c>
      <c r="D359" s="22">
        <f>IF(OR('Brouillard ventes'!$F$184="",'Brouillard ventes'!$J$184="À crédit",'Brouillard ventes'!$J$184=""),"",'Brouillard ventes'!$B$184)</f>
        <v/>
      </c>
      <c r="E359" s="22">
        <f>IF(OR('Brouillard ventes'!$F$184="",'Brouillard ventes'!$J$184="À crédit",'Brouillard ventes'!$J$184=""),"","REGL "&amp;LEFT('Brouillard ventes'!$D$184,25))</f>
        <v/>
      </c>
      <c r="F359" s="22">
        <f>IF(OR('Brouillard ventes'!$F$184="",'Brouillard ventes'!$J$184="À crédit",'Brouillard ventes'!$J$184=""),"",IF('Brouillard ventes'!$J$184="Espèces","04001","02001"))</f>
        <v/>
      </c>
      <c r="G359" s="22">
        <f>IF(OR('Brouillard ventes'!$F$184="",'Brouillard ventes'!$J$184="À crédit",'Brouillard ventes'!$J$184=""),"",Paramètres!$B$7)</f>
        <v/>
      </c>
      <c r="H359" s="22">
        <f>IF(OR('Brouillard ventes'!$F$184="",'Brouillard ventes'!$J$184="À crédit",'Brouillard ventes'!$J$184=""),"",IF('Brouillard ventes'!$C$184="","CD001",'Brouillard ventes'!$C$184))</f>
        <v/>
      </c>
      <c r="I359" s="22" t="inlineStr"/>
      <c r="J359" s="22" t="inlineStr"/>
      <c r="K359" s="22">
        <f>IF(OR('Brouillard ventes'!$F$184="",'Brouillard ventes'!$J$184="À crédit",'Brouillard ventes'!$J$184=""),"",Paramètres!$B$11)</f>
        <v/>
      </c>
      <c r="L359" s="23" t="n">
        <v>0</v>
      </c>
      <c r="M359" s="23">
        <f>IF(OR('Brouillard ventes'!$F$184="",'Brouillard ventes'!$J$184="À crédit",'Brouillard ventes'!$J$184=""),0,'Brouillard ventes'!$I$184)</f>
        <v/>
      </c>
    </row>
    <row r="360">
      <c r="A360" s="22" t="inlineStr">
        <is>
          <t>1</t>
        </is>
      </c>
      <c r="B360" s="22">
        <f>IF(OR('Brouillard ventes'!$F$185="",'Brouillard ventes'!$J$185="À crédit",'Brouillard ventes'!$J$185=""),"","EC"&amp;TEXT(ROW('Brouillard ventes'!$F$185)-5,"00000"))</f>
        <v/>
      </c>
      <c r="C360" s="22">
        <f>IF(OR('Brouillard ventes'!$F$185="",'Brouillard ventes'!$J$185="À crédit",'Brouillard ventes'!$J$185=""),"",YEAR('Brouillard ventes'!$A$185)*10000+MONTH('Brouillard ventes'!$A$185)*100+DAY('Brouillard ventes'!$A$185))</f>
        <v/>
      </c>
      <c r="D360" s="22">
        <f>IF(OR('Brouillard ventes'!$F$185="",'Brouillard ventes'!$J$185="À crédit",'Brouillard ventes'!$J$185=""),"",'Brouillard ventes'!$B$185)</f>
        <v/>
      </c>
      <c r="E360" s="22">
        <f>IF(OR('Brouillard ventes'!$F$185="",'Brouillard ventes'!$J$185="À crédit",'Brouillard ventes'!$J$185=""),"","REGL "&amp;LEFT('Brouillard ventes'!$D$185,25))</f>
        <v/>
      </c>
      <c r="F360" s="22">
        <f>IF(OR('Brouillard ventes'!$F$185="",'Brouillard ventes'!$J$185="À crédit",'Brouillard ventes'!$J$185=""),"",IF('Brouillard ventes'!$J$185="Espèces","04001","02001"))</f>
        <v/>
      </c>
      <c r="G360" s="22">
        <f>IF(OR('Brouillard ventes'!$F$185="",'Brouillard ventes'!$J$185="À crédit",'Brouillard ventes'!$J$185=""),"",IF('Brouillard ventes'!$J$185="Espèces","53000","51220"))</f>
        <v/>
      </c>
      <c r="H360" s="22" t="inlineStr"/>
      <c r="I360" s="22" t="inlineStr"/>
      <c r="J360" s="22" t="inlineStr"/>
      <c r="K360" s="22">
        <f>IF(OR('Brouillard ventes'!$F$185="",'Brouillard ventes'!$J$185="À crédit",'Brouillard ventes'!$J$185=""),"",Paramètres!$B$11)</f>
        <v/>
      </c>
      <c r="L360" s="23">
        <f>IF(OR('Brouillard ventes'!$F$185="",'Brouillard ventes'!$J$185="À crédit",'Brouillard ventes'!$J$185=""),0,'Brouillard ventes'!$I$185)</f>
        <v/>
      </c>
      <c r="M360" s="23" t="n">
        <v>0</v>
      </c>
    </row>
    <row r="361">
      <c r="A361" s="22" t="inlineStr">
        <is>
          <t>1</t>
        </is>
      </c>
      <c r="B361" s="22">
        <f>IF(OR('Brouillard ventes'!$F$185="",'Brouillard ventes'!$J$185="À crédit",'Brouillard ventes'!$J$185=""),"","EC"&amp;TEXT(ROW('Brouillard ventes'!$F$185)-5,"00000"))</f>
        <v/>
      </c>
      <c r="C361" s="22">
        <f>IF(OR('Brouillard ventes'!$F$185="",'Brouillard ventes'!$J$185="À crédit",'Brouillard ventes'!$J$185=""),"",YEAR('Brouillard ventes'!$A$185)*10000+MONTH('Brouillard ventes'!$A$185)*100+DAY('Brouillard ventes'!$A$185))</f>
        <v/>
      </c>
      <c r="D361" s="22">
        <f>IF(OR('Brouillard ventes'!$F$185="",'Brouillard ventes'!$J$185="À crédit",'Brouillard ventes'!$J$185=""),"",'Brouillard ventes'!$B$185)</f>
        <v/>
      </c>
      <c r="E361" s="22">
        <f>IF(OR('Brouillard ventes'!$F$185="",'Brouillard ventes'!$J$185="À crédit",'Brouillard ventes'!$J$185=""),"","REGL "&amp;LEFT('Brouillard ventes'!$D$185,25))</f>
        <v/>
      </c>
      <c r="F361" s="22">
        <f>IF(OR('Brouillard ventes'!$F$185="",'Brouillard ventes'!$J$185="À crédit",'Brouillard ventes'!$J$185=""),"",IF('Brouillard ventes'!$J$185="Espèces","04001","02001"))</f>
        <v/>
      </c>
      <c r="G361" s="22">
        <f>IF(OR('Brouillard ventes'!$F$185="",'Brouillard ventes'!$J$185="À crédit",'Brouillard ventes'!$J$185=""),"",Paramètres!$B$7)</f>
        <v/>
      </c>
      <c r="H361" s="22">
        <f>IF(OR('Brouillard ventes'!$F$185="",'Brouillard ventes'!$J$185="À crédit",'Brouillard ventes'!$J$185=""),"",IF('Brouillard ventes'!$C$185="","CD001",'Brouillard ventes'!$C$185))</f>
        <v/>
      </c>
      <c r="I361" s="22" t="inlineStr"/>
      <c r="J361" s="22" t="inlineStr"/>
      <c r="K361" s="22">
        <f>IF(OR('Brouillard ventes'!$F$185="",'Brouillard ventes'!$J$185="À crédit",'Brouillard ventes'!$J$185=""),"",Paramètres!$B$11)</f>
        <v/>
      </c>
      <c r="L361" s="23" t="n">
        <v>0</v>
      </c>
      <c r="M361" s="23">
        <f>IF(OR('Brouillard ventes'!$F$185="",'Brouillard ventes'!$J$185="À crédit",'Brouillard ventes'!$J$185=""),0,'Brouillard ventes'!$I$185)</f>
        <v/>
      </c>
    </row>
    <row r="362">
      <c r="A362" s="22" t="inlineStr">
        <is>
          <t>1</t>
        </is>
      </c>
      <c r="B362" s="22">
        <f>IF(OR('Brouillard ventes'!$F$186="",'Brouillard ventes'!$J$186="À crédit",'Brouillard ventes'!$J$186=""),"","EC"&amp;TEXT(ROW('Brouillard ventes'!$F$186)-5,"00000"))</f>
        <v/>
      </c>
      <c r="C362" s="22">
        <f>IF(OR('Brouillard ventes'!$F$186="",'Brouillard ventes'!$J$186="À crédit",'Brouillard ventes'!$J$186=""),"",YEAR('Brouillard ventes'!$A$186)*10000+MONTH('Brouillard ventes'!$A$186)*100+DAY('Brouillard ventes'!$A$186))</f>
        <v/>
      </c>
      <c r="D362" s="22">
        <f>IF(OR('Brouillard ventes'!$F$186="",'Brouillard ventes'!$J$186="À crédit",'Brouillard ventes'!$J$186=""),"",'Brouillard ventes'!$B$186)</f>
        <v/>
      </c>
      <c r="E362" s="22">
        <f>IF(OR('Brouillard ventes'!$F$186="",'Brouillard ventes'!$J$186="À crédit",'Brouillard ventes'!$J$186=""),"","REGL "&amp;LEFT('Brouillard ventes'!$D$186,25))</f>
        <v/>
      </c>
      <c r="F362" s="22">
        <f>IF(OR('Brouillard ventes'!$F$186="",'Brouillard ventes'!$J$186="À crédit",'Brouillard ventes'!$J$186=""),"",IF('Brouillard ventes'!$J$186="Espèces","04001","02001"))</f>
        <v/>
      </c>
      <c r="G362" s="22">
        <f>IF(OR('Brouillard ventes'!$F$186="",'Brouillard ventes'!$J$186="À crédit",'Brouillard ventes'!$J$186=""),"",IF('Brouillard ventes'!$J$186="Espèces","53000","51220"))</f>
        <v/>
      </c>
      <c r="H362" s="22" t="inlineStr"/>
      <c r="I362" s="22" t="inlineStr"/>
      <c r="J362" s="22" t="inlineStr"/>
      <c r="K362" s="22">
        <f>IF(OR('Brouillard ventes'!$F$186="",'Brouillard ventes'!$J$186="À crédit",'Brouillard ventes'!$J$186=""),"",Paramètres!$B$11)</f>
        <v/>
      </c>
      <c r="L362" s="23">
        <f>IF(OR('Brouillard ventes'!$F$186="",'Brouillard ventes'!$J$186="À crédit",'Brouillard ventes'!$J$186=""),0,'Brouillard ventes'!$I$186)</f>
        <v/>
      </c>
      <c r="M362" s="23" t="n">
        <v>0</v>
      </c>
    </row>
    <row r="363">
      <c r="A363" s="22" t="inlineStr">
        <is>
          <t>1</t>
        </is>
      </c>
      <c r="B363" s="22">
        <f>IF(OR('Brouillard ventes'!$F$186="",'Brouillard ventes'!$J$186="À crédit",'Brouillard ventes'!$J$186=""),"","EC"&amp;TEXT(ROW('Brouillard ventes'!$F$186)-5,"00000"))</f>
        <v/>
      </c>
      <c r="C363" s="22">
        <f>IF(OR('Brouillard ventes'!$F$186="",'Brouillard ventes'!$J$186="À crédit",'Brouillard ventes'!$J$186=""),"",YEAR('Brouillard ventes'!$A$186)*10000+MONTH('Brouillard ventes'!$A$186)*100+DAY('Brouillard ventes'!$A$186))</f>
        <v/>
      </c>
      <c r="D363" s="22">
        <f>IF(OR('Brouillard ventes'!$F$186="",'Brouillard ventes'!$J$186="À crédit",'Brouillard ventes'!$J$186=""),"",'Brouillard ventes'!$B$186)</f>
        <v/>
      </c>
      <c r="E363" s="22">
        <f>IF(OR('Brouillard ventes'!$F$186="",'Brouillard ventes'!$J$186="À crédit",'Brouillard ventes'!$J$186=""),"","REGL "&amp;LEFT('Brouillard ventes'!$D$186,25))</f>
        <v/>
      </c>
      <c r="F363" s="22">
        <f>IF(OR('Brouillard ventes'!$F$186="",'Brouillard ventes'!$J$186="À crédit",'Brouillard ventes'!$J$186=""),"",IF('Brouillard ventes'!$J$186="Espèces","04001","02001"))</f>
        <v/>
      </c>
      <c r="G363" s="22">
        <f>IF(OR('Brouillard ventes'!$F$186="",'Brouillard ventes'!$J$186="À crédit",'Brouillard ventes'!$J$186=""),"",Paramètres!$B$7)</f>
        <v/>
      </c>
      <c r="H363" s="22">
        <f>IF(OR('Brouillard ventes'!$F$186="",'Brouillard ventes'!$J$186="À crédit",'Brouillard ventes'!$J$186=""),"",IF('Brouillard ventes'!$C$186="","CD001",'Brouillard ventes'!$C$186))</f>
        <v/>
      </c>
      <c r="I363" s="22" t="inlineStr"/>
      <c r="J363" s="22" t="inlineStr"/>
      <c r="K363" s="22">
        <f>IF(OR('Brouillard ventes'!$F$186="",'Brouillard ventes'!$J$186="À crédit",'Brouillard ventes'!$J$186=""),"",Paramètres!$B$11)</f>
        <v/>
      </c>
      <c r="L363" s="23" t="n">
        <v>0</v>
      </c>
      <c r="M363" s="23">
        <f>IF(OR('Brouillard ventes'!$F$186="",'Brouillard ventes'!$J$186="À crédit",'Brouillard ventes'!$J$186=""),0,'Brouillard ventes'!$I$186)</f>
        <v/>
      </c>
    </row>
    <row r="364">
      <c r="A364" s="22" t="inlineStr">
        <is>
          <t>1</t>
        </is>
      </c>
      <c r="B364" s="22">
        <f>IF(OR('Brouillard ventes'!$F$187="",'Brouillard ventes'!$J$187="À crédit",'Brouillard ventes'!$J$187=""),"","EC"&amp;TEXT(ROW('Brouillard ventes'!$F$187)-5,"00000"))</f>
        <v/>
      </c>
      <c r="C364" s="22">
        <f>IF(OR('Brouillard ventes'!$F$187="",'Brouillard ventes'!$J$187="À crédit",'Brouillard ventes'!$J$187=""),"",YEAR('Brouillard ventes'!$A$187)*10000+MONTH('Brouillard ventes'!$A$187)*100+DAY('Brouillard ventes'!$A$187))</f>
        <v/>
      </c>
      <c r="D364" s="22">
        <f>IF(OR('Brouillard ventes'!$F$187="",'Brouillard ventes'!$J$187="À crédit",'Brouillard ventes'!$J$187=""),"",'Brouillard ventes'!$B$187)</f>
        <v/>
      </c>
      <c r="E364" s="22">
        <f>IF(OR('Brouillard ventes'!$F$187="",'Brouillard ventes'!$J$187="À crédit",'Brouillard ventes'!$J$187=""),"","REGL "&amp;LEFT('Brouillard ventes'!$D$187,25))</f>
        <v/>
      </c>
      <c r="F364" s="22">
        <f>IF(OR('Brouillard ventes'!$F$187="",'Brouillard ventes'!$J$187="À crédit",'Brouillard ventes'!$J$187=""),"",IF('Brouillard ventes'!$J$187="Espèces","04001","02001"))</f>
        <v/>
      </c>
      <c r="G364" s="22">
        <f>IF(OR('Brouillard ventes'!$F$187="",'Brouillard ventes'!$J$187="À crédit",'Brouillard ventes'!$J$187=""),"",IF('Brouillard ventes'!$J$187="Espèces","53000","51220"))</f>
        <v/>
      </c>
      <c r="H364" s="22" t="inlineStr"/>
      <c r="I364" s="22" t="inlineStr"/>
      <c r="J364" s="22" t="inlineStr"/>
      <c r="K364" s="22">
        <f>IF(OR('Brouillard ventes'!$F$187="",'Brouillard ventes'!$J$187="À crédit",'Brouillard ventes'!$J$187=""),"",Paramètres!$B$11)</f>
        <v/>
      </c>
      <c r="L364" s="23">
        <f>IF(OR('Brouillard ventes'!$F$187="",'Brouillard ventes'!$J$187="À crédit",'Brouillard ventes'!$J$187=""),0,'Brouillard ventes'!$I$187)</f>
        <v/>
      </c>
      <c r="M364" s="23" t="n">
        <v>0</v>
      </c>
    </row>
    <row r="365">
      <c r="A365" s="22" t="inlineStr">
        <is>
          <t>1</t>
        </is>
      </c>
      <c r="B365" s="22">
        <f>IF(OR('Brouillard ventes'!$F$187="",'Brouillard ventes'!$J$187="À crédit",'Brouillard ventes'!$J$187=""),"","EC"&amp;TEXT(ROW('Brouillard ventes'!$F$187)-5,"00000"))</f>
        <v/>
      </c>
      <c r="C365" s="22">
        <f>IF(OR('Brouillard ventes'!$F$187="",'Brouillard ventes'!$J$187="À crédit",'Brouillard ventes'!$J$187=""),"",YEAR('Brouillard ventes'!$A$187)*10000+MONTH('Brouillard ventes'!$A$187)*100+DAY('Brouillard ventes'!$A$187))</f>
        <v/>
      </c>
      <c r="D365" s="22">
        <f>IF(OR('Brouillard ventes'!$F$187="",'Brouillard ventes'!$J$187="À crédit",'Brouillard ventes'!$J$187=""),"",'Brouillard ventes'!$B$187)</f>
        <v/>
      </c>
      <c r="E365" s="22">
        <f>IF(OR('Brouillard ventes'!$F$187="",'Brouillard ventes'!$J$187="À crédit",'Brouillard ventes'!$J$187=""),"","REGL "&amp;LEFT('Brouillard ventes'!$D$187,25))</f>
        <v/>
      </c>
      <c r="F365" s="22">
        <f>IF(OR('Brouillard ventes'!$F$187="",'Brouillard ventes'!$J$187="À crédit",'Brouillard ventes'!$J$187=""),"",IF('Brouillard ventes'!$J$187="Espèces","04001","02001"))</f>
        <v/>
      </c>
      <c r="G365" s="22">
        <f>IF(OR('Brouillard ventes'!$F$187="",'Brouillard ventes'!$J$187="À crédit",'Brouillard ventes'!$J$187=""),"",Paramètres!$B$7)</f>
        <v/>
      </c>
      <c r="H365" s="22">
        <f>IF(OR('Brouillard ventes'!$F$187="",'Brouillard ventes'!$J$187="À crédit",'Brouillard ventes'!$J$187=""),"",IF('Brouillard ventes'!$C$187="","CD001",'Brouillard ventes'!$C$187))</f>
        <v/>
      </c>
      <c r="I365" s="22" t="inlineStr"/>
      <c r="J365" s="22" t="inlineStr"/>
      <c r="K365" s="22">
        <f>IF(OR('Brouillard ventes'!$F$187="",'Brouillard ventes'!$J$187="À crédit",'Brouillard ventes'!$J$187=""),"",Paramètres!$B$11)</f>
        <v/>
      </c>
      <c r="L365" s="23" t="n">
        <v>0</v>
      </c>
      <c r="M365" s="23">
        <f>IF(OR('Brouillard ventes'!$F$187="",'Brouillard ventes'!$J$187="À crédit",'Brouillard ventes'!$J$187=""),0,'Brouillard ventes'!$I$187)</f>
        <v/>
      </c>
    </row>
    <row r="366">
      <c r="A366" s="22" t="inlineStr">
        <is>
          <t>1</t>
        </is>
      </c>
      <c r="B366" s="22">
        <f>IF(OR('Brouillard ventes'!$F$188="",'Brouillard ventes'!$J$188="À crédit",'Brouillard ventes'!$J$188=""),"","EC"&amp;TEXT(ROW('Brouillard ventes'!$F$188)-5,"00000"))</f>
        <v/>
      </c>
      <c r="C366" s="22">
        <f>IF(OR('Brouillard ventes'!$F$188="",'Brouillard ventes'!$J$188="À crédit",'Brouillard ventes'!$J$188=""),"",YEAR('Brouillard ventes'!$A$188)*10000+MONTH('Brouillard ventes'!$A$188)*100+DAY('Brouillard ventes'!$A$188))</f>
        <v/>
      </c>
      <c r="D366" s="22">
        <f>IF(OR('Brouillard ventes'!$F$188="",'Brouillard ventes'!$J$188="À crédit",'Brouillard ventes'!$J$188=""),"",'Brouillard ventes'!$B$188)</f>
        <v/>
      </c>
      <c r="E366" s="22">
        <f>IF(OR('Brouillard ventes'!$F$188="",'Brouillard ventes'!$J$188="À crédit",'Brouillard ventes'!$J$188=""),"","REGL "&amp;LEFT('Brouillard ventes'!$D$188,25))</f>
        <v/>
      </c>
      <c r="F366" s="22">
        <f>IF(OR('Brouillard ventes'!$F$188="",'Brouillard ventes'!$J$188="À crédit",'Brouillard ventes'!$J$188=""),"",IF('Brouillard ventes'!$J$188="Espèces","04001","02001"))</f>
        <v/>
      </c>
      <c r="G366" s="22">
        <f>IF(OR('Brouillard ventes'!$F$188="",'Brouillard ventes'!$J$188="À crédit",'Brouillard ventes'!$J$188=""),"",IF('Brouillard ventes'!$J$188="Espèces","53000","51220"))</f>
        <v/>
      </c>
      <c r="H366" s="22" t="inlineStr"/>
      <c r="I366" s="22" t="inlineStr"/>
      <c r="J366" s="22" t="inlineStr"/>
      <c r="K366" s="22">
        <f>IF(OR('Brouillard ventes'!$F$188="",'Brouillard ventes'!$J$188="À crédit",'Brouillard ventes'!$J$188=""),"",Paramètres!$B$11)</f>
        <v/>
      </c>
      <c r="L366" s="23">
        <f>IF(OR('Brouillard ventes'!$F$188="",'Brouillard ventes'!$J$188="À crédit",'Brouillard ventes'!$J$188=""),0,'Brouillard ventes'!$I$188)</f>
        <v/>
      </c>
      <c r="M366" s="23" t="n">
        <v>0</v>
      </c>
    </row>
    <row r="367">
      <c r="A367" s="22" t="inlineStr">
        <is>
          <t>1</t>
        </is>
      </c>
      <c r="B367" s="22">
        <f>IF(OR('Brouillard ventes'!$F$188="",'Brouillard ventes'!$J$188="À crédit",'Brouillard ventes'!$J$188=""),"","EC"&amp;TEXT(ROW('Brouillard ventes'!$F$188)-5,"00000"))</f>
        <v/>
      </c>
      <c r="C367" s="22">
        <f>IF(OR('Brouillard ventes'!$F$188="",'Brouillard ventes'!$J$188="À crédit",'Brouillard ventes'!$J$188=""),"",YEAR('Brouillard ventes'!$A$188)*10000+MONTH('Brouillard ventes'!$A$188)*100+DAY('Brouillard ventes'!$A$188))</f>
        <v/>
      </c>
      <c r="D367" s="22">
        <f>IF(OR('Brouillard ventes'!$F$188="",'Brouillard ventes'!$J$188="À crédit",'Brouillard ventes'!$J$188=""),"",'Brouillard ventes'!$B$188)</f>
        <v/>
      </c>
      <c r="E367" s="22">
        <f>IF(OR('Brouillard ventes'!$F$188="",'Brouillard ventes'!$J$188="À crédit",'Brouillard ventes'!$J$188=""),"","REGL "&amp;LEFT('Brouillard ventes'!$D$188,25))</f>
        <v/>
      </c>
      <c r="F367" s="22">
        <f>IF(OR('Brouillard ventes'!$F$188="",'Brouillard ventes'!$J$188="À crédit",'Brouillard ventes'!$J$188=""),"",IF('Brouillard ventes'!$J$188="Espèces","04001","02001"))</f>
        <v/>
      </c>
      <c r="G367" s="22">
        <f>IF(OR('Brouillard ventes'!$F$188="",'Brouillard ventes'!$J$188="À crédit",'Brouillard ventes'!$J$188=""),"",Paramètres!$B$7)</f>
        <v/>
      </c>
      <c r="H367" s="22">
        <f>IF(OR('Brouillard ventes'!$F$188="",'Brouillard ventes'!$J$188="À crédit",'Brouillard ventes'!$J$188=""),"",IF('Brouillard ventes'!$C$188="","CD001",'Brouillard ventes'!$C$188))</f>
        <v/>
      </c>
      <c r="I367" s="22" t="inlineStr"/>
      <c r="J367" s="22" t="inlineStr"/>
      <c r="K367" s="22">
        <f>IF(OR('Brouillard ventes'!$F$188="",'Brouillard ventes'!$J$188="À crédit",'Brouillard ventes'!$J$188=""),"",Paramètres!$B$11)</f>
        <v/>
      </c>
      <c r="L367" s="23" t="n">
        <v>0</v>
      </c>
      <c r="M367" s="23">
        <f>IF(OR('Brouillard ventes'!$F$188="",'Brouillard ventes'!$J$188="À crédit",'Brouillard ventes'!$J$188=""),0,'Brouillard ventes'!$I$188)</f>
        <v/>
      </c>
    </row>
    <row r="368">
      <c r="A368" s="22" t="inlineStr">
        <is>
          <t>1</t>
        </is>
      </c>
      <c r="B368" s="22">
        <f>IF(OR('Brouillard ventes'!$F$189="",'Brouillard ventes'!$J$189="À crédit",'Brouillard ventes'!$J$189=""),"","EC"&amp;TEXT(ROW('Brouillard ventes'!$F$189)-5,"00000"))</f>
        <v/>
      </c>
      <c r="C368" s="22">
        <f>IF(OR('Brouillard ventes'!$F$189="",'Brouillard ventes'!$J$189="À crédit",'Brouillard ventes'!$J$189=""),"",YEAR('Brouillard ventes'!$A$189)*10000+MONTH('Brouillard ventes'!$A$189)*100+DAY('Brouillard ventes'!$A$189))</f>
        <v/>
      </c>
      <c r="D368" s="22">
        <f>IF(OR('Brouillard ventes'!$F$189="",'Brouillard ventes'!$J$189="À crédit",'Brouillard ventes'!$J$189=""),"",'Brouillard ventes'!$B$189)</f>
        <v/>
      </c>
      <c r="E368" s="22">
        <f>IF(OR('Brouillard ventes'!$F$189="",'Brouillard ventes'!$J$189="À crédit",'Brouillard ventes'!$J$189=""),"","REGL "&amp;LEFT('Brouillard ventes'!$D$189,25))</f>
        <v/>
      </c>
      <c r="F368" s="22">
        <f>IF(OR('Brouillard ventes'!$F$189="",'Brouillard ventes'!$J$189="À crédit",'Brouillard ventes'!$J$189=""),"",IF('Brouillard ventes'!$J$189="Espèces","04001","02001"))</f>
        <v/>
      </c>
      <c r="G368" s="22">
        <f>IF(OR('Brouillard ventes'!$F$189="",'Brouillard ventes'!$J$189="À crédit",'Brouillard ventes'!$J$189=""),"",IF('Brouillard ventes'!$J$189="Espèces","53000","51220"))</f>
        <v/>
      </c>
      <c r="H368" s="22" t="inlineStr"/>
      <c r="I368" s="22" t="inlineStr"/>
      <c r="J368" s="22" t="inlineStr"/>
      <c r="K368" s="22">
        <f>IF(OR('Brouillard ventes'!$F$189="",'Brouillard ventes'!$J$189="À crédit",'Brouillard ventes'!$J$189=""),"",Paramètres!$B$11)</f>
        <v/>
      </c>
      <c r="L368" s="23">
        <f>IF(OR('Brouillard ventes'!$F$189="",'Brouillard ventes'!$J$189="À crédit",'Brouillard ventes'!$J$189=""),0,'Brouillard ventes'!$I$189)</f>
        <v/>
      </c>
      <c r="M368" s="23" t="n">
        <v>0</v>
      </c>
    </row>
    <row r="369">
      <c r="A369" s="22" t="inlineStr">
        <is>
          <t>1</t>
        </is>
      </c>
      <c r="B369" s="22">
        <f>IF(OR('Brouillard ventes'!$F$189="",'Brouillard ventes'!$J$189="À crédit",'Brouillard ventes'!$J$189=""),"","EC"&amp;TEXT(ROW('Brouillard ventes'!$F$189)-5,"00000"))</f>
        <v/>
      </c>
      <c r="C369" s="22">
        <f>IF(OR('Brouillard ventes'!$F$189="",'Brouillard ventes'!$J$189="À crédit",'Brouillard ventes'!$J$189=""),"",YEAR('Brouillard ventes'!$A$189)*10000+MONTH('Brouillard ventes'!$A$189)*100+DAY('Brouillard ventes'!$A$189))</f>
        <v/>
      </c>
      <c r="D369" s="22">
        <f>IF(OR('Brouillard ventes'!$F$189="",'Brouillard ventes'!$J$189="À crédit",'Brouillard ventes'!$J$189=""),"",'Brouillard ventes'!$B$189)</f>
        <v/>
      </c>
      <c r="E369" s="22">
        <f>IF(OR('Brouillard ventes'!$F$189="",'Brouillard ventes'!$J$189="À crédit",'Brouillard ventes'!$J$189=""),"","REGL "&amp;LEFT('Brouillard ventes'!$D$189,25))</f>
        <v/>
      </c>
      <c r="F369" s="22">
        <f>IF(OR('Brouillard ventes'!$F$189="",'Brouillard ventes'!$J$189="À crédit",'Brouillard ventes'!$J$189=""),"",IF('Brouillard ventes'!$J$189="Espèces","04001","02001"))</f>
        <v/>
      </c>
      <c r="G369" s="22">
        <f>IF(OR('Brouillard ventes'!$F$189="",'Brouillard ventes'!$J$189="À crédit",'Brouillard ventes'!$J$189=""),"",Paramètres!$B$7)</f>
        <v/>
      </c>
      <c r="H369" s="22">
        <f>IF(OR('Brouillard ventes'!$F$189="",'Brouillard ventes'!$J$189="À crédit",'Brouillard ventes'!$J$189=""),"",IF('Brouillard ventes'!$C$189="","CD001",'Brouillard ventes'!$C$189))</f>
        <v/>
      </c>
      <c r="I369" s="22" t="inlineStr"/>
      <c r="J369" s="22" t="inlineStr"/>
      <c r="K369" s="22">
        <f>IF(OR('Brouillard ventes'!$F$189="",'Brouillard ventes'!$J$189="À crédit",'Brouillard ventes'!$J$189=""),"",Paramètres!$B$11)</f>
        <v/>
      </c>
      <c r="L369" s="23" t="n">
        <v>0</v>
      </c>
      <c r="M369" s="23">
        <f>IF(OR('Brouillard ventes'!$F$189="",'Brouillard ventes'!$J$189="À crédit",'Brouillard ventes'!$J$189=""),0,'Brouillard ventes'!$I$189)</f>
        <v/>
      </c>
    </row>
    <row r="370">
      <c r="A370" s="22" t="inlineStr">
        <is>
          <t>1</t>
        </is>
      </c>
      <c r="B370" s="22">
        <f>IF(OR('Brouillard ventes'!$F$190="",'Brouillard ventes'!$J$190="À crédit",'Brouillard ventes'!$J$190=""),"","EC"&amp;TEXT(ROW('Brouillard ventes'!$F$190)-5,"00000"))</f>
        <v/>
      </c>
      <c r="C370" s="22">
        <f>IF(OR('Brouillard ventes'!$F$190="",'Brouillard ventes'!$J$190="À crédit",'Brouillard ventes'!$J$190=""),"",YEAR('Brouillard ventes'!$A$190)*10000+MONTH('Brouillard ventes'!$A$190)*100+DAY('Brouillard ventes'!$A$190))</f>
        <v/>
      </c>
      <c r="D370" s="22">
        <f>IF(OR('Brouillard ventes'!$F$190="",'Brouillard ventes'!$J$190="À crédit",'Brouillard ventes'!$J$190=""),"",'Brouillard ventes'!$B$190)</f>
        <v/>
      </c>
      <c r="E370" s="22">
        <f>IF(OR('Brouillard ventes'!$F$190="",'Brouillard ventes'!$J$190="À crédit",'Brouillard ventes'!$J$190=""),"","REGL "&amp;LEFT('Brouillard ventes'!$D$190,25))</f>
        <v/>
      </c>
      <c r="F370" s="22">
        <f>IF(OR('Brouillard ventes'!$F$190="",'Brouillard ventes'!$J$190="À crédit",'Brouillard ventes'!$J$190=""),"",IF('Brouillard ventes'!$J$190="Espèces","04001","02001"))</f>
        <v/>
      </c>
      <c r="G370" s="22">
        <f>IF(OR('Brouillard ventes'!$F$190="",'Brouillard ventes'!$J$190="À crédit",'Brouillard ventes'!$J$190=""),"",IF('Brouillard ventes'!$J$190="Espèces","53000","51220"))</f>
        <v/>
      </c>
      <c r="H370" s="22" t="inlineStr"/>
      <c r="I370" s="22" t="inlineStr"/>
      <c r="J370" s="22" t="inlineStr"/>
      <c r="K370" s="22">
        <f>IF(OR('Brouillard ventes'!$F$190="",'Brouillard ventes'!$J$190="À crédit",'Brouillard ventes'!$J$190=""),"",Paramètres!$B$11)</f>
        <v/>
      </c>
      <c r="L370" s="23">
        <f>IF(OR('Brouillard ventes'!$F$190="",'Brouillard ventes'!$J$190="À crédit",'Brouillard ventes'!$J$190=""),0,'Brouillard ventes'!$I$190)</f>
        <v/>
      </c>
      <c r="M370" s="23" t="n">
        <v>0</v>
      </c>
    </row>
    <row r="371">
      <c r="A371" s="22" t="inlineStr">
        <is>
          <t>1</t>
        </is>
      </c>
      <c r="B371" s="22">
        <f>IF(OR('Brouillard ventes'!$F$190="",'Brouillard ventes'!$J$190="À crédit",'Brouillard ventes'!$J$190=""),"","EC"&amp;TEXT(ROW('Brouillard ventes'!$F$190)-5,"00000"))</f>
        <v/>
      </c>
      <c r="C371" s="22">
        <f>IF(OR('Brouillard ventes'!$F$190="",'Brouillard ventes'!$J$190="À crédit",'Brouillard ventes'!$J$190=""),"",YEAR('Brouillard ventes'!$A$190)*10000+MONTH('Brouillard ventes'!$A$190)*100+DAY('Brouillard ventes'!$A$190))</f>
        <v/>
      </c>
      <c r="D371" s="22">
        <f>IF(OR('Brouillard ventes'!$F$190="",'Brouillard ventes'!$J$190="À crédit",'Brouillard ventes'!$J$190=""),"",'Brouillard ventes'!$B$190)</f>
        <v/>
      </c>
      <c r="E371" s="22">
        <f>IF(OR('Brouillard ventes'!$F$190="",'Brouillard ventes'!$J$190="À crédit",'Brouillard ventes'!$J$190=""),"","REGL "&amp;LEFT('Brouillard ventes'!$D$190,25))</f>
        <v/>
      </c>
      <c r="F371" s="22">
        <f>IF(OR('Brouillard ventes'!$F$190="",'Brouillard ventes'!$J$190="À crédit",'Brouillard ventes'!$J$190=""),"",IF('Brouillard ventes'!$J$190="Espèces","04001","02001"))</f>
        <v/>
      </c>
      <c r="G371" s="22">
        <f>IF(OR('Brouillard ventes'!$F$190="",'Brouillard ventes'!$J$190="À crédit",'Brouillard ventes'!$J$190=""),"",Paramètres!$B$7)</f>
        <v/>
      </c>
      <c r="H371" s="22">
        <f>IF(OR('Brouillard ventes'!$F$190="",'Brouillard ventes'!$J$190="À crédit",'Brouillard ventes'!$J$190=""),"",IF('Brouillard ventes'!$C$190="","CD001",'Brouillard ventes'!$C$190))</f>
        <v/>
      </c>
      <c r="I371" s="22" t="inlineStr"/>
      <c r="J371" s="22" t="inlineStr"/>
      <c r="K371" s="22">
        <f>IF(OR('Brouillard ventes'!$F$190="",'Brouillard ventes'!$J$190="À crédit",'Brouillard ventes'!$J$190=""),"",Paramètres!$B$11)</f>
        <v/>
      </c>
      <c r="L371" s="23" t="n">
        <v>0</v>
      </c>
      <c r="M371" s="23">
        <f>IF(OR('Brouillard ventes'!$F$190="",'Brouillard ventes'!$J$190="À crédit",'Brouillard ventes'!$J$190=""),0,'Brouillard ventes'!$I$190)</f>
        <v/>
      </c>
    </row>
    <row r="372">
      <c r="A372" s="22" t="inlineStr">
        <is>
          <t>1</t>
        </is>
      </c>
      <c r="B372" s="22">
        <f>IF(OR('Brouillard ventes'!$F$191="",'Brouillard ventes'!$J$191="À crédit",'Brouillard ventes'!$J$191=""),"","EC"&amp;TEXT(ROW('Brouillard ventes'!$F$191)-5,"00000"))</f>
        <v/>
      </c>
      <c r="C372" s="22">
        <f>IF(OR('Brouillard ventes'!$F$191="",'Brouillard ventes'!$J$191="À crédit",'Brouillard ventes'!$J$191=""),"",YEAR('Brouillard ventes'!$A$191)*10000+MONTH('Brouillard ventes'!$A$191)*100+DAY('Brouillard ventes'!$A$191))</f>
        <v/>
      </c>
      <c r="D372" s="22">
        <f>IF(OR('Brouillard ventes'!$F$191="",'Brouillard ventes'!$J$191="À crédit",'Brouillard ventes'!$J$191=""),"",'Brouillard ventes'!$B$191)</f>
        <v/>
      </c>
      <c r="E372" s="22">
        <f>IF(OR('Brouillard ventes'!$F$191="",'Brouillard ventes'!$J$191="À crédit",'Brouillard ventes'!$J$191=""),"","REGL "&amp;LEFT('Brouillard ventes'!$D$191,25))</f>
        <v/>
      </c>
      <c r="F372" s="22">
        <f>IF(OR('Brouillard ventes'!$F$191="",'Brouillard ventes'!$J$191="À crédit",'Brouillard ventes'!$J$191=""),"",IF('Brouillard ventes'!$J$191="Espèces","04001","02001"))</f>
        <v/>
      </c>
      <c r="G372" s="22">
        <f>IF(OR('Brouillard ventes'!$F$191="",'Brouillard ventes'!$J$191="À crédit",'Brouillard ventes'!$J$191=""),"",IF('Brouillard ventes'!$J$191="Espèces","53000","51220"))</f>
        <v/>
      </c>
      <c r="H372" s="22" t="inlineStr"/>
      <c r="I372" s="22" t="inlineStr"/>
      <c r="J372" s="22" t="inlineStr"/>
      <c r="K372" s="22">
        <f>IF(OR('Brouillard ventes'!$F$191="",'Brouillard ventes'!$J$191="À crédit",'Brouillard ventes'!$J$191=""),"",Paramètres!$B$11)</f>
        <v/>
      </c>
      <c r="L372" s="23">
        <f>IF(OR('Brouillard ventes'!$F$191="",'Brouillard ventes'!$J$191="À crédit",'Brouillard ventes'!$J$191=""),0,'Brouillard ventes'!$I$191)</f>
        <v/>
      </c>
      <c r="M372" s="23" t="n">
        <v>0</v>
      </c>
    </row>
    <row r="373">
      <c r="A373" s="22" t="inlineStr">
        <is>
          <t>1</t>
        </is>
      </c>
      <c r="B373" s="22">
        <f>IF(OR('Brouillard ventes'!$F$191="",'Brouillard ventes'!$J$191="À crédit",'Brouillard ventes'!$J$191=""),"","EC"&amp;TEXT(ROW('Brouillard ventes'!$F$191)-5,"00000"))</f>
        <v/>
      </c>
      <c r="C373" s="22">
        <f>IF(OR('Brouillard ventes'!$F$191="",'Brouillard ventes'!$J$191="À crédit",'Brouillard ventes'!$J$191=""),"",YEAR('Brouillard ventes'!$A$191)*10000+MONTH('Brouillard ventes'!$A$191)*100+DAY('Brouillard ventes'!$A$191))</f>
        <v/>
      </c>
      <c r="D373" s="22">
        <f>IF(OR('Brouillard ventes'!$F$191="",'Brouillard ventes'!$J$191="À crédit",'Brouillard ventes'!$J$191=""),"",'Brouillard ventes'!$B$191)</f>
        <v/>
      </c>
      <c r="E373" s="22">
        <f>IF(OR('Brouillard ventes'!$F$191="",'Brouillard ventes'!$J$191="À crédit",'Brouillard ventes'!$J$191=""),"","REGL "&amp;LEFT('Brouillard ventes'!$D$191,25))</f>
        <v/>
      </c>
      <c r="F373" s="22">
        <f>IF(OR('Brouillard ventes'!$F$191="",'Brouillard ventes'!$J$191="À crédit",'Brouillard ventes'!$J$191=""),"",IF('Brouillard ventes'!$J$191="Espèces","04001","02001"))</f>
        <v/>
      </c>
      <c r="G373" s="22">
        <f>IF(OR('Brouillard ventes'!$F$191="",'Brouillard ventes'!$J$191="À crédit",'Brouillard ventes'!$J$191=""),"",Paramètres!$B$7)</f>
        <v/>
      </c>
      <c r="H373" s="22">
        <f>IF(OR('Brouillard ventes'!$F$191="",'Brouillard ventes'!$J$191="À crédit",'Brouillard ventes'!$J$191=""),"",IF('Brouillard ventes'!$C$191="","CD001",'Brouillard ventes'!$C$191))</f>
        <v/>
      </c>
      <c r="I373" s="22" t="inlineStr"/>
      <c r="J373" s="22" t="inlineStr"/>
      <c r="K373" s="22">
        <f>IF(OR('Brouillard ventes'!$F$191="",'Brouillard ventes'!$J$191="À crédit",'Brouillard ventes'!$J$191=""),"",Paramètres!$B$11)</f>
        <v/>
      </c>
      <c r="L373" s="23" t="n">
        <v>0</v>
      </c>
      <c r="M373" s="23">
        <f>IF(OR('Brouillard ventes'!$F$191="",'Brouillard ventes'!$J$191="À crédit",'Brouillard ventes'!$J$191=""),0,'Brouillard ventes'!$I$191)</f>
        <v/>
      </c>
    </row>
    <row r="374">
      <c r="A374" s="22" t="inlineStr">
        <is>
          <t>1</t>
        </is>
      </c>
      <c r="B374" s="22">
        <f>IF(OR('Brouillard ventes'!$F$192="",'Brouillard ventes'!$J$192="À crédit",'Brouillard ventes'!$J$192=""),"","EC"&amp;TEXT(ROW('Brouillard ventes'!$F$192)-5,"00000"))</f>
        <v/>
      </c>
      <c r="C374" s="22">
        <f>IF(OR('Brouillard ventes'!$F$192="",'Brouillard ventes'!$J$192="À crédit",'Brouillard ventes'!$J$192=""),"",YEAR('Brouillard ventes'!$A$192)*10000+MONTH('Brouillard ventes'!$A$192)*100+DAY('Brouillard ventes'!$A$192))</f>
        <v/>
      </c>
      <c r="D374" s="22">
        <f>IF(OR('Brouillard ventes'!$F$192="",'Brouillard ventes'!$J$192="À crédit",'Brouillard ventes'!$J$192=""),"",'Brouillard ventes'!$B$192)</f>
        <v/>
      </c>
      <c r="E374" s="22">
        <f>IF(OR('Brouillard ventes'!$F$192="",'Brouillard ventes'!$J$192="À crédit",'Brouillard ventes'!$J$192=""),"","REGL "&amp;LEFT('Brouillard ventes'!$D$192,25))</f>
        <v/>
      </c>
      <c r="F374" s="22">
        <f>IF(OR('Brouillard ventes'!$F$192="",'Brouillard ventes'!$J$192="À crédit",'Brouillard ventes'!$J$192=""),"",IF('Brouillard ventes'!$J$192="Espèces","04001","02001"))</f>
        <v/>
      </c>
      <c r="G374" s="22">
        <f>IF(OR('Brouillard ventes'!$F$192="",'Brouillard ventes'!$J$192="À crédit",'Brouillard ventes'!$J$192=""),"",IF('Brouillard ventes'!$J$192="Espèces","53000","51220"))</f>
        <v/>
      </c>
      <c r="H374" s="22" t="inlineStr"/>
      <c r="I374" s="22" t="inlineStr"/>
      <c r="J374" s="22" t="inlineStr"/>
      <c r="K374" s="22">
        <f>IF(OR('Brouillard ventes'!$F$192="",'Brouillard ventes'!$J$192="À crédit",'Brouillard ventes'!$J$192=""),"",Paramètres!$B$11)</f>
        <v/>
      </c>
      <c r="L374" s="23">
        <f>IF(OR('Brouillard ventes'!$F$192="",'Brouillard ventes'!$J$192="À crédit",'Brouillard ventes'!$J$192=""),0,'Brouillard ventes'!$I$192)</f>
        <v/>
      </c>
      <c r="M374" s="23" t="n">
        <v>0</v>
      </c>
    </row>
    <row r="375">
      <c r="A375" s="22" t="inlineStr">
        <is>
          <t>1</t>
        </is>
      </c>
      <c r="B375" s="22">
        <f>IF(OR('Brouillard ventes'!$F$192="",'Brouillard ventes'!$J$192="À crédit",'Brouillard ventes'!$J$192=""),"","EC"&amp;TEXT(ROW('Brouillard ventes'!$F$192)-5,"00000"))</f>
        <v/>
      </c>
      <c r="C375" s="22">
        <f>IF(OR('Brouillard ventes'!$F$192="",'Brouillard ventes'!$J$192="À crédit",'Brouillard ventes'!$J$192=""),"",YEAR('Brouillard ventes'!$A$192)*10000+MONTH('Brouillard ventes'!$A$192)*100+DAY('Brouillard ventes'!$A$192))</f>
        <v/>
      </c>
      <c r="D375" s="22">
        <f>IF(OR('Brouillard ventes'!$F$192="",'Brouillard ventes'!$J$192="À crédit",'Brouillard ventes'!$J$192=""),"",'Brouillard ventes'!$B$192)</f>
        <v/>
      </c>
      <c r="E375" s="22">
        <f>IF(OR('Brouillard ventes'!$F$192="",'Brouillard ventes'!$J$192="À crédit",'Brouillard ventes'!$J$192=""),"","REGL "&amp;LEFT('Brouillard ventes'!$D$192,25))</f>
        <v/>
      </c>
      <c r="F375" s="22">
        <f>IF(OR('Brouillard ventes'!$F$192="",'Brouillard ventes'!$J$192="À crédit",'Brouillard ventes'!$J$192=""),"",IF('Brouillard ventes'!$J$192="Espèces","04001","02001"))</f>
        <v/>
      </c>
      <c r="G375" s="22">
        <f>IF(OR('Brouillard ventes'!$F$192="",'Brouillard ventes'!$J$192="À crédit",'Brouillard ventes'!$J$192=""),"",Paramètres!$B$7)</f>
        <v/>
      </c>
      <c r="H375" s="22">
        <f>IF(OR('Brouillard ventes'!$F$192="",'Brouillard ventes'!$J$192="À crédit",'Brouillard ventes'!$J$192=""),"",IF('Brouillard ventes'!$C$192="","CD001",'Brouillard ventes'!$C$192))</f>
        <v/>
      </c>
      <c r="I375" s="22" t="inlineStr"/>
      <c r="J375" s="22" t="inlineStr"/>
      <c r="K375" s="22">
        <f>IF(OR('Brouillard ventes'!$F$192="",'Brouillard ventes'!$J$192="À crédit",'Brouillard ventes'!$J$192=""),"",Paramètres!$B$11)</f>
        <v/>
      </c>
      <c r="L375" s="23" t="n">
        <v>0</v>
      </c>
      <c r="M375" s="23">
        <f>IF(OR('Brouillard ventes'!$F$192="",'Brouillard ventes'!$J$192="À crédit",'Brouillard ventes'!$J$192=""),0,'Brouillard ventes'!$I$192)</f>
        <v/>
      </c>
    </row>
    <row r="376">
      <c r="A376" s="22" t="inlineStr">
        <is>
          <t>1</t>
        </is>
      </c>
      <c r="B376" s="22">
        <f>IF(OR('Brouillard ventes'!$F$193="",'Brouillard ventes'!$J$193="À crédit",'Brouillard ventes'!$J$193=""),"","EC"&amp;TEXT(ROW('Brouillard ventes'!$F$193)-5,"00000"))</f>
        <v/>
      </c>
      <c r="C376" s="22">
        <f>IF(OR('Brouillard ventes'!$F$193="",'Brouillard ventes'!$J$193="À crédit",'Brouillard ventes'!$J$193=""),"",YEAR('Brouillard ventes'!$A$193)*10000+MONTH('Brouillard ventes'!$A$193)*100+DAY('Brouillard ventes'!$A$193))</f>
        <v/>
      </c>
      <c r="D376" s="22">
        <f>IF(OR('Brouillard ventes'!$F$193="",'Brouillard ventes'!$J$193="À crédit",'Brouillard ventes'!$J$193=""),"",'Brouillard ventes'!$B$193)</f>
        <v/>
      </c>
      <c r="E376" s="22">
        <f>IF(OR('Brouillard ventes'!$F$193="",'Brouillard ventes'!$J$193="À crédit",'Brouillard ventes'!$J$193=""),"","REGL "&amp;LEFT('Brouillard ventes'!$D$193,25))</f>
        <v/>
      </c>
      <c r="F376" s="22">
        <f>IF(OR('Brouillard ventes'!$F$193="",'Brouillard ventes'!$J$193="À crédit",'Brouillard ventes'!$J$193=""),"",IF('Brouillard ventes'!$J$193="Espèces","04001","02001"))</f>
        <v/>
      </c>
      <c r="G376" s="22">
        <f>IF(OR('Brouillard ventes'!$F$193="",'Brouillard ventes'!$J$193="À crédit",'Brouillard ventes'!$J$193=""),"",IF('Brouillard ventes'!$J$193="Espèces","53000","51220"))</f>
        <v/>
      </c>
      <c r="H376" s="22" t="inlineStr"/>
      <c r="I376" s="22" t="inlineStr"/>
      <c r="J376" s="22" t="inlineStr"/>
      <c r="K376" s="22">
        <f>IF(OR('Brouillard ventes'!$F$193="",'Brouillard ventes'!$J$193="À crédit",'Brouillard ventes'!$J$193=""),"",Paramètres!$B$11)</f>
        <v/>
      </c>
      <c r="L376" s="23">
        <f>IF(OR('Brouillard ventes'!$F$193="",'Brouillard ventes'!$J$193="À crédit",'Brouillard ventes'!$J$193=""),0,'Brouillard ventes'!$I$193)</f>
        <v/>
      </c>
      <c r="M376" s="23" t="n">
        <v>0</v>
      </c>
    </row>
    <row r="377">
      <c r="A377" s="22" t="inlineStr">
        <is>
          <t>1</t>
        </is>
      </c>
      <c r="B377" s="22">
        <f>IF(OR('Brouillard ventes'!$F$193="",'Brouillard ventes'!$J$193="À crédit",'Brouillard ventes'!$J$193=""),"","EC"&amp;TEXT(ROW('Brouillard ventes'!$F$193)-5,"00000"))</f>
        <v/>
      </c>
      <c r="C377" s="22">
        <f>IF(OR('Brouillard ventes'!$F$193="",'Brouillard ventes'!$J$193="À crédit",'Brouillard ventes'!$J$193=""),"",YEAR('Brouillard ventes'!$A$193)*10000+MONTH('Brouillard ventes'!$A$193)*100+DAY('Brouillard ventes'!$A$193))</f>
        <v/>
      </c>
      <c r="D377" s="22">
        <f>IF(OR('Brouillard ventes'!$F$193="",'Brouillard ventes'!$J$193="À crédit",'Brouillard ventes'!$J$193=""),"",'Brouillard ventes'!$B$193)</f>
        <v/>
      </c>
      <c r="E377" s="22">
        <f>IF(OR('Brouillard ventes'!$F$193="",'Brouillard ventes'!$J$193="À crédit",'Brouillard ventes'!$J$193=""),"","REGL "&amp;LEFT('Brouillard ventes'!$D$193,25))</f>
        <v/>
      </c>
      <c r="F377" s="22">
        <f>IF(OR('Brouillard ventes'!$F$193="",'Brouillard ventes'!$J$193="À crédit",'Brouillard ventes'!$J$193=""),"",IF('Brouillard ventes'!$J$193="Espèces","04001","02001"))</f>
        <v/>
      </c>
      <c r="G377" s="22">
        <f>IF(OR('Brouillard ventes'!$F$193="",'Brouillard ventes'!$J$193="À crédit",'Brouillard ventes'!$J$193=""),"",Paramètres!$B$7)</f>
        <v/>
      </c>
      <c r="H377" s="22">
        <f>IF(OR('Brouillard ventes'!$F$193="",'Brouillard ventes'!$J$193="À crédit",'Brouillard ventes'!$J$193=""),"",IF('Brouillard ventes'!$C$193="","CD001",'Brouillard ventes'!$C$193))</f>
        <v/>
      </c>
      <c r="I377" s="22" t="inlineStr"/>
      <c r="J377" s="22" t="inlineStr"/>
      <c r="K377" s="22">
        <f>IF(OR('Brouillard ventes'!$F$193="",'Brouillard ventes'!$J$193="À crédit",'Brouillard ventes'!$J$193=""),"",Paramètres!$B$11)</f>
        <v/>
      </c>
      <c r="L377" s="23" t="n">
        <v>0</v>
      </c>
      <c r="M377" s="23">
        <f>IF(OR('Brouillard ventes'!$F$193="",'Brouillard ventes'!$J$193="À crédit",'Brouillard ventes'!$J$193=""),0,'Brouillard ventes'!$I$193)</f>
        <v/>
      </c>
    </row>
    <row r="378">
      <c r="A378" s="22" t="inlineStr">
        <is>
          <t>1</t>
        </is>
      </c>
      <c r="B378" s="22">
        <f>IF(OR('Brouillard ventes'!$F$194="",'Brouillard ventes'!$J$194="À crédit",'Brouillard ventes'!$J$194=""),"","EC"&amp;TEXT(ROW('Brouillard ventes'!$F$194)-5,"00000"))</f>
        <v/>
      </c>
      <c r="C378" s="22">
        <f>IF(OR('Brouillard ventes'!$F$194="",'Brouillard ventes'!$J$194="À crédit",'Brouillard ventes'!$J$194=""),"",YEAR('Brouillard ventes'!$A$194)*10000+MONTH('Brouillard ventes'!$A$194)*100+DAY('Brouillard ventes'!$A$194))</f>
        <v/>
      </c>
      <c r="D378" s="22">
        <f>IF(OR('Brouillard ventes'!$F$194="",'Brouillard ventes'!$J$194="À crédit",'Brouillard ventes'!$J$194=""),"",'Brouillard ventes'!$B$194)</f>
        <v/>
      </c>
      <c r="E378" s="22">
        <f>IF(OR('Brouillard ventes'!$F$194="",'Brouillard ventes'!$J$194="À crédit",'Brouillard ventes'!$J$194=""),"","REGL "&amp;LEFT('Brouillard ventes'!$D$194,25))</f>
        <v/>
      </c>
      <c r="F378" s="22">
        <f>IF(OR('Brouillard ventes'!$F$194="",'Brouillard ventes'!$J$194="À crédit",'Brouillard ventes'!$J$194=""),"",IF('Brouillard ventes'!$J$194="Espèces","04001","02001"))</f>
        <v/>
      </c>
      <c r="G378" s="22">
        <f>IF(OR('Brouillard ventes'!$F$194="",'Brouillard ventes'!$J$194="À crédit",'Brouillard ventes'!$J$194=""),"",IF('Brouillard ventes'!$J$194="Espèces","53000","51220"))</f>
        <v/>
      </c>
      <c r="H378" s="22" t="inlineStr"/>
      <c r="I378" s="22" t="inlineStr"/>
      <c r="J378" s="22" t="inlineStr"/>
      <c r="K378" s="22">
        <f>IF(OR('Brouillard ventes'!$F$194="",'Brouillard ventes'!$J$194="À crédit",'Brouillard ventes'!$J$194=""),"",Paramètres!$B$11)</f>
        <v/>
      </c>
      <c r="L378" s="23">
        <f>IF(OR('Brouillard ventes'!$F$194="",'Brouillard ventes'!$J$194="À crédit",'Brouillard ventes'!$J$194=""),0,'Brouillard ventes'!$I$194)</f>
        <v/>
      </c>
      <c r="M378" s="23" t="n">
        <v>0</v>
      </c>
    </row>
    <row r="379">
      <c r="A379" s="22" t="inlineStr">
        <is>
          <t>1</t>
        </is>
      </c>
      <c r="B379" s="22">
        <f>IF(OR('Brouillard ventes'!$F$194="",'Brouillard ventes'!$J$194="À crédit",'Brouillard ventes'!$J$194=""),"","EC"&amp;TEXT(ROW('Brouillard ventes'!$F$194)-5,"00000"))</f>
        <v/>
      </c>
      <c r="C379" s="22">
        <f>IF(OR('Brouillard ventes'!$F$194="",'Brouillard ventes'!$J$194="À crédit",'Brouillard ventes'!$J$194=""),"",YEAR('Brouillard ventes'!$A$194)*10000+MONTH('Brouillard ventes'!$A$194)*100+DAY('Brouillard ventes'!$A$194))</f>
        <v/>
      </c>
      <c r="D379" s="22">
        <f>IF(OR('Brouillard ventes'!$F$194="",'Brouillard ventes'!$J$194="À crédit",'Brouillard ventes'!$J$194=""),"",'Brouillard ventes'!$B$194)</f>
        <v/>
      </c>
      <c r="E379" s="22">
        <f>IF(OR('Brouillard ventes'!$F$194="",'Brouillard ventes'!$J$194="À crédit",'Brouillard ventes'!$J$194=""),"","REGL "&amp;LEFT('Brouillard ventes'!$D$194,25))</f>
        <v/>
      </c>
      <c r="F379" s="22">
        <f>IF(OR('Brouillard ventes'!$F$194="",'Brouillard ventes'!$J$194="À crédit",'Brouillard ventes'!$J$194=""),"",IF('Brouillard ventes'!$J$194="Espèces","04001","02001"))</f>
        <v/>
      </c>
      <c r="G379" s="22">
        <f>IF(OR('Brouillard ventes'!$F$194="",'Brouillard ventes'!$J$194="À crédit",'Brouillard ventes'!$J$194=""),"",Paramètres!$B$7)</f>
        <v/>
      </c>
      <c r="H379" s="22">
        <f>IF(OR('Brouillard ventes'!$F$194="",'Brouillard ventes'!$J$194="À crédit",'Brouillard ventes'!$J$194=""),"",IF('Brouillard ventes'!$C$194="","CD001",'Brouillard ventes'!$C$194))</f>
        <v/>
      </c>
      <c r="I379" s="22" t="inlineStr"/>
      <c r="J379" s="22" t="inlineStr"/>
      <c r="K379" s="22">
        <f>IF(OR('Brouillard ventes'!$F$194="",'Brouillard ventes'!$J$194="À crédit",'Brouillard ventes'!$J$194=""),"",Paramètres!$B$11)</f>
        <v/>
      </c>
      <c r="L379" s="23" t="n">
        <v>0</v>
      </c>
      <c r="M379" s="23">
        <f>IF(OR('Brouillard ventes'!$F$194="",'Brouillard ventes'!$J$194="À crédit",'Brouillard ventes'!$J$194=""),0,'Brouillard ventes'!$I$194)</f>
        <v/>
      </c>
    </row>
    <row r="380">
      <c r="A380" s="22" t="inlineStr">
        <is>
          <t>1</t>
        </is>
      </c>
      <c r="B380" s="22">
        <f>IF(OR('Brouillard ventes'!$F$195="",'Brouillard ventes'!$J$195="À crédit",'Brouillard ventes'!$J$195=""),"","EC"&amp;TEXT(ROW('Brouillard ventes'!$F$195)-5,"00000"))</f>
        <v/>
      </c>
      <c r="C380" s="22">
        <f>IF(OR('Brouillard ventes'!$F$195="",'Brouillard ventes'!$J$195="À crédit",'Brouillard ventes'!$J$195=""),"",YEAR('Brouillard ventes'!$A$195)*10000+MONTH('Brouillard ventes'!$A$195)*100+DAY('Brouillard ventes'!$A$195))</f>
        <v/>
      </c>
      <c r="D380" s="22">
        <f>IF(OR('Brouillard ventes'!$F$195="",'Brouillard ventes'!$J$195="À crédit",'Brouillard ventes'!$J$195=""),"",'Brouillard ventes'!$B$195)</f>
        <v/>
      </c>
      <c r="E380" s="22">
        <f>IF(OR('Brouillard ventes'!$F$195="",'Brouillard ventes'!$J$195="À crédit",'Brouillard ventes'!$J$195=""),"","REGL "&amp;LEFT('Brouillard ventes'!$D$195,25))</f>
        <v/>
      </c>
      <c r="F380" s="22">
        <f>IF(OR('Brouillard ventes'!$F$195="",'Brouillard ventes'!$J$195="À crédit",'Brouillard ventes'!$J$195=""),"",IF('Brouillard ventes'!$J$195="Espèces","04001","02001"))</f>
        <v/>
      </c>
      <c r="G380" s="22">
        <f>IF(OR('Brouillard ventes'!$F$195="",'Brouillard ventes'!$J$195="À crédit",'Brouillard ventes'!$J$195=""),"",IF('Brouillard ventes'!$J$195="Espèces","53000","51220"))</f>
        <v/>
      </c>
      <c r="H380" s="22" t="inlineStr"/>
      <c r="I380" s="22" t="inlineStr"/>
      <c r="J380" s="22" t="inlineStr"/>
      <c r="K380" s="22">
        <f>IF(OR('Brouillard ventes'!$F$195="",'Brouillard ventes'!$J$195="À crédit",'Brouillard ventes'!$J$195=""),"",Paramètres!$B$11)</f>
        <v/>
      </c>
      <c r="L380" s="23">
        <f>IF(OR('Brouillard ventes'!$F$195="",'Brouillard ventes'!$J$195="À crédit",'Brouillard ventes'!$J$195=""),0,'Brouillard ventes'!$I$195)</f>
        <v/>
      </c>
      <c r="M380" s="23" t="n">
        <v>0</v>
      </c>
    </row>
    <row r="381">
      <c r="A381" s="22" t="inlineStr">
        <is>
          <t>1</t>
        </is>
      </c>
      <c r="B381" s="22">
        <f>IF(OR('Brouillard ventes'!$F$195="",'Brouillard ventes'!$J$195="À crédit",'Brouillard ventes'!$J$195=""),"","EC"&amp;TEXT(ROW('Brouillard ventes'!$F$195)-5,"00000"))</f>
        <v/>
      </c>
      <c r="C381" s="22">
        <f>IF(OR('Brouillard ventes'!$F$195="",'Brouillard ventes'!$J$195="À crédit",'Brouillard ventes'!$J$195=""),"",YEAR('Brouillard ventes'!$A$195)*10000+MONTH('Brouillard ventes'!$A$195)*100+DAY('Brouillard ventes'!$A$195))</f>
        <v/>
      </c>
      <c r="D381" s="22">
        <f>IF(OR('Brouillard ventes'!$F$195="",'Brouillard ventes'!$J$195="À crédit",'Brouillard ventes'!$J$195=""),"",'Brouillard ventes'!$B$195)</f>
        <v/>
      </c>
      <c r="E381" s="22">
        <f>IF(OR('Brouillard ventes'!$F$195="",'Brouillard ventes'!$J$195="À crédit",'Brouillard ventes'!$J$195=""),"","REGL "&amp;LEFT('Brouillard ventes'!$D$195,25))</f>
        <v/>
      </c>
      <c r="F381" s="22">
        <f>IF(OR('Brouillard ventes'!$F$195="",'Brouillard ventes'!$J$195="À crédit",'Brouillard ventes'!$J$195=""),"",IF('Brouillard ventes'!$J$195="Espèces","04001","02001"))</f>
        <v/>
      </c>
      <c r="G381" s="22">
        <f>IF(OR('Brouillard ventes'!$F$195="",'Brouillard ventes'!$J$195="À crédit",'Brouillard ventes'!$J$195=""),"",Paramètres!$B$7)</f>
        <v/>
      </c>
      <c r="H381" s="22">
        <f>IF(OR('Brouillard ventes'!$F$195="",'Brouillard ventes'!$J$195="À crédit",'Brouillard ventes'!$J$195=""),"",IF('Brouillard ventes'!$C$195="","CD001",'Brouillard ventes'!$C$195))</f>
        <v/>
      </c>
      <c r="I381" s="22" t="inlineStr"/>
      <c r="J381" s="22" t="inlineStr"/>
      <c r="K381" s="22">
        <f>IF(OR('Brouillard ventes'!$F$195="",'Brouillard ventes'!$J$195="À crédit",'Brouillard ventes'!$J$195=""),"",Paramètres!$B$11)</f>
        <v/>
      </c>
      <c r="L381" s="23" t="n">
        <v>0</v>
      </c>
      <c r="M381" s="23">
        <f>IF(OR('Brouillard ventes'!$F$195="",'Brouillard ventes'!$J$195="À crédit",'Brouillard ventes'!$J$195=""),0,'Brouillard ventes'!$I$195)</f>
        <v/>
      </c>
    </row>
    <row r="382">
      <c r="A382" s="22" t="inlineStr">
        <is>
          <t>1</t>
        </is>
      </c>
      <c r="B382" s="22">
        <f>IF(OR('Brouillard ventes'!$F$196="",'Brouillard ventes'!$J$196="À crédit",'Brouillard ventes'!$J$196=""),"","EC"&amp;TEXT(ROW('Brouillard ventes'!$F$196)-5,"00000"))</f>
        <v/>
      </c>
      <c r="C382" s="22">
        <f>IF(OR('Brouillard ventes'!$F$196="",'Brouillard ventes'!$J$196="À crédit",'Brouillard ventes'!$J$196=""),"",YEAR('Brouillard ventes'!$A$196)*10000+MONTH('Brouillard ventes'!$A$196)*100+DAY('Brouillard ventes'!$A$196))</f>
        <v/>
      </c>
      <c r="D382" s="22">
        <f>IF(OR('Brouillard ventes'!$F$196="",'Brouillard ventes'!$J$196="À crédit",'Brouillard ventes'!$J$196=""),"",'Brouillard ventes'!$B$196)</f>
        <v/>
      </c>
      <c r="E382" s="22">
        <f>IF(OR('Brouillard ventes'!$F$196="",'Brouillard ventes'!$J$196="À crédit",'Brouillard ventes'!$J$196=""),"","REGL "&amp;LEFT('Brouillard ventes'!$D$196,25))</f>
        <v/>
      </c>
      <c r="F382" s="22">
        <f>IF(OR('Brouillard ventes'!$F$196="",'Brouillard ventes'!$J$196="À crédit",'Brouillard ventes'!$J$196=""),"",IF('Brouillard ventes'!$J$196="Espèces","04001","02001"))</f>
        <v/>
      </c>
      <c r="G382" s="22">
        <f>IF(OR('Brouillard ventes'!$F$196="",'Brouillard ventes'!$J$196="À crédit",'Brouillard ventes'!$J$196=""),"",IF('Brouillard ventes'!$J$196="Espèces","53000","51220"))</f>
        <v/>
      </c>
      <c r="H382" s="22" t="inlineStr"/>
      <c r="I382" s="22" t="inlineStr"/>
      <c r="J382" s="22" t="inlineStr"/>
      <c r="K382" s="22">
        <f>IF(OR('Brouillard ventes'!$F$196="",'Brouillard ventes'!$J$196="À crédit",'Brouillard ventes'!$J$196=""),"",Paramètres!$B$11)</f>
        <v/>
      </c>
      <c r="L382" s="23">
        <f>IF(OR('Brouillard ventes'!$F$196="",'Brouillard ventes'!$J$196="À crédit",'Brouillard ventes'!$J$196=""),0,'Brouillard ventes'!$I$196)</f>
        <v/>
      </c>
      <c r="M382" s="23" t="n">
        <v>0</v>
      </c>
    </row>
    <row r="383">
      <c r="A383" s="22" t="inlineStr">
        <is>
          <t>1</t>
        </is>
      </c>
      <c r="B383" s="22">
        <f>IF(OR('Brouillard ventes'!$F$196="",'Brouillard ventes'!$J$196="À crédit",'Brouillard ventes'!$J$196=""),"","EC"&amp;TEXT(ROW('Brouillard ventes'!$F$196)-5,"00000"))</f>
        <v/>
      </c>
      <c r="C383" s="22">
        <f>IF(OR('Brouillard ventes'!$F$196="",'Brouillard ventes'!$J$196="À crédit",'Brouillard ventes'!$J$196=""),"",YEAR('Brouillard ventes'!$A$196)*10000+MONTH('Brouillard ventes'!$A$196)*100+DAY('Brouillard ventes'!$A$196))</f>
        <v/>
      </c>
      <c r="D383" s="22">
        <f>IF(OR('Brouillard ventes'!$F$196="",'Brouillard ventes'!$J$196="À crédit",'Brouillard ventes'!$J$196=""),"",'Brouillard ventes'!$B$196)</f>
        <v/>
      </c>
      <c r="E383" s="22">
        <f>IF(OR('Brouillard ventes'!$F$196="",'Brouillard ventes'!$J$196="À crédit",'Brouillard ventes'!$J$196=""),"","REGL "&amp;LEFT('Brouillard ventes'!$D$196,25))</f>
        <v/>
      </c>
      <c r="F383" s="22">
        <f>IF(OR('Brouillard ventes'!$F$196="",'Brouillard ventes'!$J$196="À crédit",'Brouillard ventes'!$J$196=""),"",IF('Brouillard ventes'!$J$196="Espèces","04001","02001"))</f>
        <v/>
      </c>
      <c r="G383" s="22">
        <f>IF(OR('Brouillard ventes'!$F$196="",'Brouillard ventes'!$J$196="À crédit",'Brouillard ventes'!$J$196=""),"",Paramètres!$B$7)</f>
        <v/>
      </c>
      <c r="H383" s="22">
        <f>IF(OR('Brouillard ventes'!$F$196="",'Brouillard ventes'!$J$196="À crédit",'Brouillard ventes'!$J$196=""),"",IF('Brouillard ventes'!$C$196="","CD001",'Brouillard ventes'!$C$196))</f>
        <v/>
      </c>
      <c r="I383" s="22" t="inlineStr"/>
      <c r="J383" s="22" t="inlineStr"/>
      <c r="K383" s="22">
        <f>IF(OR('Brouillard ventes'!$F$196="",'Brouillard ventes'!$J$196="À crédit",'Brouillard ventes'!$J$196=""),"",Paramètres!$B$11)</f>
        <v/>
      </c>
      <c r="L383" s="23" t="n">
        <v>0</v>
      </c>
      <c r="M383" s="23">
        <f>IF(OR('Brouillard ventes'!$F$196="",'Brouillard ventes'!$J$196="À crédit",'Brouillard ventes'!$J$196=""),0,'Brouillard ventes'!$I$196)</f>
        <v/>
      </c>
    </row>
    <row r="384">
      <c r="A384" s="22" t="inlineStr">
        <is>
          <t>1</t>
        </is>
      </c>
      <c r="B384" s="22">
        <f>IF(OR('Brouillard ventes'!$F$197="",'Brouillard ventes'!$J$197="À crédit",'Brouillard ventes'!$J$197=""),"","EC"&amp;TEXT(ROW('Brouillard ventes'!$F$197)-5,"00000"))</f>
        <v/>
      </c>
      <c r="C384" s="22">
        <f>IF(OR('Brouillard ventes'!$F$197="",'Brouillard ventes'!$J$197="À crédit",'Brouillard ventes'!$J$197=""),"",YEAR('Brouillard ventes'!$A$197)*10000+MONTH('Brouillard ventes'!$A$197)*100+DAY('Brouillard ventes'!$A$197))</f>
        <v/>
      </c>
      <c r="D384" s="22">
        <f>IF(OR('Brouillard ventes'!$F$197="",'Brouillard ventes'!$J$197="À crédit",'Brouillard ventes'!$J$197=""),"",'Brouillard ventes'!$B$197)</f>
        <v/>
      </c>
      <c r="E384" s="22">
        <f>IF(OR('Brouillard ventes'!$F$197="",'Brouillard ventes'!$J$197="À crédit",'Brouillard ventes'!$J$197=""),"","REGL "&amp;LEFT('Brouillard ventes'!$D$197,25))</f>
        <v/>
      </c>
      <c r="F384" s="22">
        <f>IF(OR('Brouillard ventes'!$F$197="",'Brouillard ventes'!$J$197="À crédit",'Brouillard ventes'!$J$197=""),"",IF('Brouillard ventes'!$J$197="Espèces","04001","02001"))</f>
        <v/>
      </c>
      <c r="G384" s="22">
        <f>IF(OR('Brouillard ventes'!$F$197="",'Brouillard ventes'!$J$197="À crédit",'Brouillard ventes'!$J$197=""),"",IF('Brouillard ventes'!$J$197="Espèces","53000","51220"))</f>
        <v/>
      </c>
      <c r="H384" s="22" t="inlineStr"/>
      <c r="I384" s="22" t="inlineStr"/>
      <c r="J384" s="22" t="inlineStr"/>
      <c r="K384" s="22">
        <f>IF(OR('Brouillard ventes'!$F$197="",'Brouillard ventes'!$J$197="À crédit",'Brouillard ventes'!$J$197=""),"",Paramètres!$B$11)</f>
        <v/>
      </c>
      <c r="L384" s="23">
        <f>IF(OR('Brouillard ventes'!$F$197="",'Brouillard ventes'!$J$197="À crédit",'Brouillard ventes'!$J$197=""),0,'Brouillard ventes'!$I$197)</f>
        <v/>
      </c>
      <c r="M384" s="23" t="n">
        <v>0</v>
      </c>
    </row>
    <row r="385">
      <c r="A385" s="22" t="inlineStr">
        <is>
          <t>1</t>
        </is>
      </c>
      <c r="B385" s="22">
        <f>IF(OR('Brouillard ventes'!$F$197="",'Brouillard ventes'!$J$197="À crédit",'Brouillard ventes'!$J$197=""),"","EC"&amp;TEXT(ROW('Brouillard ventes'!$F$197)-5,"00000"))</f>
        <v/>
      </c>
      <c r="C385" s="22">
        <f>IF(OR('Brouillard ventes'!$F$197="",'Brouillard ventes'!$J$197="À crédit",'Brouillard ventes'!$J$197=""),"",YEAR('Brouillard ventes'!$A$197)*10000+MONTH('Brouillard ventes'!$A$197)*100+DAY('Brouillard ventes'!$A$197))</f>
        <v/>
      </c>
      <c r="D385" s="22">
        <f>IF(OR('Brouillard ventes'!$F$197="",'Brouillard ventes'!$J$197="À crédit",'Brouillard ventes'!$J$197=""),"",'Brouillard ventes'!$B$197)</f>
        <v/>
      </c>
      <c r="E385" s="22">
        <f>IF(OR('Brouillard ventes'!$F$197="",'Brouillard ventes'!$J$197="À crédit",'Brouillard ventes'!$J$197=""),"","REGL "&amp;LEFT('Brouillard ventes'!$D$197,25))</f>
        <v/>
      </c>
      <c r="F385" s="22">
        <f>IF(OR('Brouillard ventes'!$F$197="",'Brouillard ventes'!$J$197="À crédit",'Brouillard ventes'!$J$197=""),"",IF('Brouillard ventes'!$J$197="Espèces","04001","02001"))</f>
        <v/>
      </c>
      <c r="G385" s="22">
        <f>IF(OR('Brouillard ventes'!$F$197="",'Brouillard ventes'!$J$197="À crédit",'Brouillard ventes'!$J$197=""),"",Paramètres!$B$7)</f>
        <v/>
      </c>
      <c r="H385" s="22">
        <f>IF(OR('Brouillard ventes'!$F$197="",'Brouillard ventes'!$J$197="À crédit",'Brouillard ventes'!$J$197=""),"",IF('Brouillard ventes'!$C$197="","CD001",'Brouillard ventes'!$C$197))</f>
        <v/>
      </c>
      <c r="I385" s="22" t="inlineStr"/>
      <c r="J385" s="22" t="inlineStr"/>
      <c r="K385" s="22">
        <f>IF(OR('Brouillard ventes'!$F$197="",'Brouillard ventes'!$J$197="À crédit",'Brouillard ventes'!$J$197=""),"",Paramètres!$B$11)</f>
        <v/>
      </c>
      <c r="L385" s="23" t="n">
        <v>0</v>
      </c>
      <c r="M385" s="23">
        <f>IF(OR('Brouillard ventes'!$F$197="",'Brouillard ventes'!$J$197="À crédit",'Brouillard ventes'!$J$197=""),0,'Brouillard ventes'!$I$197)</f>
        <v/>
      </c>
    </row>
    <row r="386">
      <c r="A386" s="22" t="inlineStr">
        <is>
          <t>1</t>
        </is>
      </c>
      <c r="B386" s="22">
        <f>IF(OR('Brouillard ventes'!$F$198="",'Brouillard ventes'!$J$198="À crédit",'Brouillard ventes'!$J$198=""),"","EC"&amp;TEXT(ROW('Brouillard ventes'!$F$198)-5,"00000"))</f>
        <v/>
      </c>
      <c r="C386" s="22">
        <f>IF(OR('Brouillard ventes'!$F$198="",'Brouillard ventes'!$J$198="À crédit",'Brouillard ventes'!$J$198=""),"",YEAR('Brouillard ventes'!$A$198)*10000+MONTH('Brouillard ventes'!$A$198)*100+DAY('Brouillard ventes'!$A$198))</f>
        <v/>
      </c>
      <c r="D386" s="22">
        <f>IF(OR('Brouillard ventes'!$F$198="",'Brouillard ventes'!$J$198="À crédit",'Brouillard ventes'!$J$198=""),"",'Brouillard ventes'!$B$198)</f>
        <v/>
      </c>
      <c r="E386" s="22">
        <f>IF(OR('Brouillard ventes'!$F$198="",'Brouillard ventes'!$J$198="À crédit",'Brouillard ventes'!$J$198=""),"","REGL "&amp;LEFT('Brouillard ventes'!$D$198,25))</f>
        <v/>
      </c>
      <c r="F386" s="22">
        <f>IF(OR('Brouillard ventes'!$F$198="",'Brouillard ventes'!$J$198="À crédit",'Brouillard ventes'!$J$198=""),"",IF('Brouillard ventes'!$J$198="Espèces","04001","02001"))</f>
        <v/>
      </c>
      <c r="G386" s="22">
        <f>IF(OR('Brouillard ventes'!$F$198="",'Brouillard ventes'!$J$198="À crédit",'Brouillard ventes'!$J$198=""),"",IF('Brouillard ventes'!$J$198="Espèces","53000","51220"))</f>
        <v/>
      </c>
      <c r="H386" s="22" t="inlineStr"/>
      <c r="I386" s="22" t="inlineStr"/>
      <c r="J386" s="22" t="inlineStr"/>
      <c r="K386" s="22">
        <f>IF(OR('Brouillard ventes'!$F$198="",'Brouillard ventes'!$J$198="À crédit",'Brouillard ventes'!$J$198=""),"",Paramètres!$B$11)</f>
        <v/>
      </c>
      <c r="L386" s="23">
        <f>IF(OR('Brouillard ventes'!$F$198="",'Brouillard ventes'!$J$198="À crédit",'Brouillard ventes'!$J$198=""),0,'Brouillard ventes'!$I$198)</f>
        <v/>
      </c>
      <c r="M386" s="23" t="n">
        <v>0</v>
      </c>
    </row>
    <row r="387">
      <c r="A387" s="22" t="inlineStr">
        <is>
          <t>1</t>
        </is>
      </c>
      <c r="B387" s="22">
        <f>IF(OR('Brouillard ventes'!$F$198="",'Brouillard ventes'!$J$198="À crédit",'Brouillard ventes'!$J$198=""),"","EC"&amp;TEXT(ROW('Brouillard ventes'!$F$198)-5,"00000"))</f>
        <v/>
      </c>
      <c r="C387" s="22">
        <f>IF(OR('Brouillard ventes'!$F$198="",'Brouillard ventes'!$J$198="À crédit",'Brouillard ventes'!$J$198=""),"",YEAR('Brouillard ventes'!$A$198)*10000+MONTH('Brouillard ventes'!$A$198)*100+DAY('Brouillard ventes'!$A$198))</f>
        <v/>
      </c>
      <c r="D387" s="22">
        <f>IF(OR('Brouillard ventes'!$F$198="",'Brouillard ventes'!$J$198="À crédit",'Brouillard ventes'!$J$198=""),"",'Brouillard ventes'!$B$198)</f>
        <v/>
      </c>
      <c r="E387" s="22">
        <f>IF(OR('Brouillard ventes'!$F$198="",'Brouillard ventes'!$J$198="À crédit",'Brouillard ventes'!$J$198=""),"","REGL "&amp;LEFT('Brouillard ventes'!$D$198,25))</f>
        <v/>
      </c>
      <c r="F387" s="22">
        <f>IF(OR('Brouillard ventes'!$F$198="",'Brouillard ventes'!$J$198="À crédit",'Brouillard ventes'!$J$198=""),"",IF('Brouillard ventes'!$J$198="Espèces","04001","02001"))</f>
        <v/>
      </c>
      <c r="G387" s="22">
        <f>IF(OR('Brouillard ventes'!$F$198="",'Brouillard ventes'!$J$198="À crédit",'Brouillard ventes'!$J$198=""),"",Paramètres!$B$7)</f>
        <v/>
      </c>
      <c r="H387" s="22">
        <f>IF(OR('Brouillard ventes'!$F$198="",'Brouillard ventes'!$J$198="À crédit",'Brouillard ventes'!$J$198=""),"",IF('Brouillard ventes'!$C$198="","CD001",'Brouillard ventes'!$C$198))</f>
        <v/>
      </c>
      <c r="I387" s="22" t="inlineStr"/>
      <c r="J387" s="22" t="inlineStr"/>
      <c r="K387" s="22">
        <f>IF(OR('Brouillard ventes'!$F$198="",'Brouillard ventes'!$J$198="À crédit",'Brouillard ventes'!$J$198=""),"",Paramètres!$B$11)</f>
        <v/>
      </c>
      <c r="L387" s="23" t="n">
        <v>0</v>
      </c>
      <c r="M387" s="23">
        <f>IF(OR('Brouillard ventes'!$F$198="",'Brouillard ventes'!$J$198="À crédit",'Brouillard ventes'!$J$198=""),0,'Brouillard ventes'!$I$198)</f>
        <v/>
      </c>
    </row>
    <row r="388">
      <c r="A388" s="22" t="inlineStr">
        <is>
          <t>1</t>
        </is>
      </c>
      <c r="B388" s="22">
        <f>IF(OR('Brouillard ventes'!$F$199="",'Brouillard ventes'!$J$199="À crédit",'Brouillard ventes'!$J$199=""),"","EC"&amp;TEXT(ROW('Brouillard ventes'!$F$199)-5,"00000"))</f>
        <v/>
      </c>
      <c r="C388" s="22">
        <f>IF(OR('Brouillard ventes'!$F$199="",'Brouillard ventes'!$J$199="À crédit",'Brouillard ventes'!$J$199=""),"",YEAR('Brouillard ventes'!$A$199)*10000+MONTH('Brouillard ventes'!$A$199)*100+DAY('Brouillard ventes'!$A$199))</f>
        <v/>
      </c>
      <c r="D388" s="22">
        <f>IF(OR('Brouillard ventes'!$F$199="",'Brouillard ventes'!$J$199="À crédit",'Brouillard ventes'!$J$199=""),"",'Brouillard ventes'!$B$199)</f>
        <v/>
      </c>
      <c r="E388" s="22">
        <f>IF(OR('Brouillard ventes'!$F$199="",'Brouillard ventes'!$J$199="À crédit",'Brouillard ventes'!$J$199=""),"","REGL "&amp;LEFT('Brouillard ventes'!$D$199,25))</f>
        <v/>
      </c>
      <c r="F388" s="22">
        <f>IF(OR('Brouillard ventes'!$F$199="",'Brouillard ventes'!$J$199="À crédit",'Brouillard ventes'!$J$199=""),"",IF('Brouillard ventes'!$J$199="Espèces","04001","02001"))</f>
        <v/>
      </c>
      <c r="G388" s="22">
        <f>IF(OR('Brouillard ventes'!$F$199="",'Brouillard ventes'!$J$199="À crédit",'Brouillard ventes'!$J$199=""),"",IF('Brouillard ventes'!$J$199="Espèces","53000","51220"))</f>
        <v/>
      </c>
      <c r="H388" s="22" t="inlineStr"/>
      <c r="I388" s="22" t="inlineStr"/>
      <c r="J388" s="22" t="inlineStr"/>
      <c r="K388" s="22">
        <f>IF(OR('Brouillard ventes'!$F$199="",'Brouillard ventes'!$J$199="À crédit",'Brouillard ventes'!$J$199=""),"",Paramètres!$B$11)</f>
        <v/>
      </c>
      <c r="L388" s="23">
        <f>IF(OR('Brouillard ventes'!$F$199="",'Brouillard ventes'!$J$199="À crédit",'Brouillard ventes'!$J$199=""),0,'Brouillard ventes'!$I$199)</f>
        <v/>
      </c>
      <c r="M388" s="23" t="n">
        <v>0</v>
      </c>
    </row>
    <row r="389">
      <c r="A389" s="22" t="inlineStr">
        <is>
          <t>1</t>
        </is>
      </c>
      <c r="B389" s="22">
        <f>IF(OR('Brouillard ventes'!$F$199="",'Brouillard ventes'!$J$199="À crédit",'Brouillard ventes'!$J$199=""),"","EC"&amp;TEXT(ROW('Brouillard ventes'!$F$199)-5,"00000"))</f>
        <v/>
      </c>
      <c r="C389" s="22">
        <f>IF(OR('Brouillard ventes'!$F$199="",'Brouillard ventes'!$J$199="À crédit",'Brouillard ventes'!$J$199=""),"",YEAR('Brouillard ventes'!$A$199)*10000+MONTH('Brouillard ventes'!$A$199)*100+DAY('Brouillard ventes'!$A$199))</f>
        <v/>
      </c>
      <c r="D389" s="22">
        <f>IF(OR('Brouillard ventes'!$F$199="",'Brouillard ventes'!$J$199="À crédit",'Brouillard ventes'!$J$199=""),"",'Brouillard ventes'!$B$199)</f>
        <v/>
      </c>
      <c r="E389" s="22">
        <f>IF(OR('Brouillard ventes'!$F$199="",'Brouillard ventes'!$J$199="À crédit",'Brouillard ventes'!$J$199=""),"","REGL "&amp;LEFT('Brouillard ventes'!$D$199,25))</f>
        <v/>
      </c>
      <c r="F389" s="22">
        <f>IF(OR('Brouillard ventes'!$F$199="",'Brouillard ventes'!$J$199="À crédit",'Brouillard ventes'!$J$199=""),"",IF('Brouillard ventes'!$J$199="Espèces","04001","02001"))</f>
        <v/>
      </c>
      <c r="G389" s="22">
        <f>IF(OR('Brouillard ventes'!$F$199="",'Brouillard ventes'!$J$199="À crédit",'Brouillard ventes'!$J$199=""),"",Paramètres!$B$7)</f>
        <v/>
      </c>
      <c r="H389" s="22">
        <f>IF(OR('Brouillard ventes'!$F$199="",'Brouillard ventes'!$J$199="À crédit",'Brouillard ventes'!$J$199=""),"",IF('Brouillard ventes'!$C$199="","CD001",'Brouillard ventes'!$C$199))</f>
        <v/>
      </c>
      <c r="I389" s="22" t="inlineStr"/>
      <c r="J389" s="22" t="inlineStr"/>
      <c r="K389" s="22">
        <f>IF(OR('Brouillard ventes'!$F$199="",'Brouillard ventes'!$J$199="À crédit",'Brouillard ventes'!$J$199=""),"",Paramètres!$B$11)</f>
        <v/>
      </c>
      <c r="L389" s="23" t="n">
        <v>0</v>
      </c>
      <c r="M389" s="23">
        <f>IF(OR('Brouillard ventes'!$F$199="",'Brouillard ventes'!$J$199="À crédit",'Brouillard ventes'!$J$199=""),0,'Brouillard ventes'!$I$199)</f>
        <v/>
      </c>
    </row>
    <row r="390">
      <c r="A390" s="22" t="inlineStr">
        <is>
          <t>1</t>
        </is>
      </c>
      <c r="B390" s="22">
        <f>IF(OR('Brouillard ventes'!$F$200="",'Brouillard ventes'!$J$200="À crédit",'Brouillard ventes'!$J$200=""),"","EC"&amp;TEXT(ROW('Brouillard ventes'!$F$200)-5,"00000"))</f>
        <v/>
      </c>
      <c r="C390" s="22">
        <f>IF(OR('Brouillard ventes'!$F$200="",'Brouillard ventes'!$J$200="À crédit",'Brouillard ventes'!$J$200=""),"",YEAR('Brouillard ventes'!$A$200)*10000+MONTH('Brouillard ventes'!$A$200)*100+DAY('Brouillard ventes'!$A$200))</f>
        <v/>
      </c>
      <c r="D390" s="22">
        <f>IF(OR('Brouillard ventes'!$F$200="",'Brouillard ventes'!$J$200="À crédit",'Brouillard ventes'!$J$200=""),"",'Brouillard ventes'!$B$200)</f>
        <v/>
      </c>
      <c r="E390" s="22">
        <f>IF(OR('Brouillard ventes'!$F$200="",'Brouillard ventes'!$J$200="À crédit",'Brouillard ventes'!$J$200=""),"","REGL "&amp;LEFT('Brouillard ventes'!$D$200,25))</f>
        <v/>
      </c>
      <c r="F390" s="22">
        <f>IF(OR('Brouillard ventes'!$F$200="",'Brouillard ventes'!$J$200="À crédit",'Brouillard ventes'!$J$200=""),"",IF('Brouillard ventes'!$J$200="Espèces","04001","02001"))</f>
        <v/>
      </c>
      <c r="G390" s="22">
        <f>IF(OR('Brouillard ventes'!$F$200="",'Brouillard ventes'!$J$200="À crédit",'Brouillard ventes'!$J$200=""),"",IF('Brouillard ventes'!$J$200="Espèces","53000","51220"))</f>
        <v/>
      </c>
      <c r="H390" s="22" t="inlineStr"/>
      <c r="I390" s="22" t="inlineStr"/>
      <c r="J390" s="22" t="inlineStr"/>
      <c r="K390" s="22">
        <f>IF(OR('Brouillard ventes'!$F$200="",'Brouillard ventes'!$J$200="À crédit",'Brouillard ventes'!$J$200=""),"",Paramètres!$B$11)</f>
        <v/>
      </c>
      <c r="L390" s="23">
        <f>IF(OR('Brouillard ventes'!$F$200="",'Brouillard ventes'!$J$200="À crédit",'Brouillard ventes'!$J$200=""),0,'Brouillard ventes'!$I$200)</f>
        <v/>
      </c>
      <c r="M390" s="23" t="n">
        <v>0</v>
      </c>
    </row>
    <row r="391">
      <c r="A391" s="22" t="inlineStr">
        <is>
          <t>1</t>
        </is>
      </c>
      <c r="B391" s="22">
        <f>IF(OR('Brouillard ventes'!$F$200="",'Brouillard ventes'!$J$200="À crédit",'Brouillard ventes'!$J$200=""),"","EC"&amp;TEXT(ROW('Brouillard ventes'!$F$200)-5,"00000"))</f>
        <v/>
      </c>
      <c r="C391" s="22">
        <f>IF(OR('Brouillard ventes'!$F$200="",'Brouillard ventes'!$J$200="À crédit",'Brouillard ventes'!$J$200=""),"",YEAR('Brouillard ventes'!$A$200)*10000+MONTH('Brouillard ventes'!$A$200)*100+DAY('Brouillard ventes'!$A$200))</f>
        <v/>
      </c>
      <c r="D391" s="22">
        <f>IF(OR('Brouillard ventes'!$F$200="",'Brouillard ventes'!$J$200="À crédit",'Brouillard ventes'!$J$200=""),"",'Brouillard ventes'!$B$200)</f>
        <v/>
      </c>
      <c r="E391" s="22">
        <f>IF(OR('Brouillard ventes'!$F$200="",'Brouillard ventes'!$J$200="À crédit",'Brouillard ventes'!$J$200=""),"","REGL "&amp;LEFT('Brouillard ventes'!$D$200,25))</f>
        <v/>
      </c>
      <c r="F391" s="22">
        <f>IF(OR('Brouillard ventes'!$F$200="",'Brouillard ventes'!$J$200="À crédit",'Brouillard ventes'!$J$200=""),"",IF('Brouillard ventes'!$J$200="Espèces","04001","02001"))</f>
        <v/>
      </c>
      <c r="G391" s="22">
        <f>IF(OR('Brouillard ventes'!$F$200="",'Brouillard ventes'!$J$200="À crédit",'Brouillard ventes'!$J$200=""),"",Paramètres!$B$7)</f>
        <v/>
      </c>
      <c r="H391" s="22">
        <f>IF(OR('Brouillard ventes'!$F$200="",'Brouillard ventes'!$J$200="À crédit",'Brouillard ventes'!$J$200=""),"",IF('Brouillard ventes'!$C$200="","CD001",'Brouillard ventes'!$C$200))</f>
        <v/>
      </c>
      <c r="I391" s="22" t="inlineStr"/>
      <c r="J391" s="22" t="inlineStr"/>
      <c r="K391" s="22">
        <f>IF(OR('Brouillard ventes'!$F$200="",'Brouillard ventes'!$J$200="À crédit",'Brouillard ventes'!$J$200=""),"",Paramètres!$B$11)</f>
        <v/>
      </c>
      <c r="L391" s="23" t="n">
        <v>0</v>
      </c>
      <c r="M391" s="23">
        <f>IF(OR('Brouillard ventes'!$F$200="",'Brouillard ventes'!$J$200="À crédit",'Brouillard ventes'!$J$200=""),0,'Brouillard ventes'!$I$200)</f>
        <v/>
      </c>
    </row>
    <row r="392">
      <c r="A392" s="22" t="inlineStr">
        <is>
          <t>1</t>
        </is>
      </c>
      <c r="B392" s="22">
        <f>IF(OR('Brouillard ventes'!$F$201="",'Brouillard ventes'!$J$201="À crédit",'Brouillard ventes'!$J$201=""),"","EC"&amp;TEXT(ROW('Brouillard ventes'!$F$201)-5,"00000"))</f>
        <v/>
      </c>
      <c r="C392" s="22">
        <f>IF(OR('Brouillard ventes'!$F$201="",'Brouillard ventes'!$J$201="À crédit",'Brouillard ventes'!$J$201=""),"",YEAR('Brouillard ventes'!$A$201)*10000+MONTH('Brouillard ventes'!$A$201)*100+DAY('Brouillard ventes'!$A$201))</f>
        <v/>
      </c>
      <c r="D392" s="22">
        <f>IF(OR('Brouillard ventes'!$F$201="",'Brouillard ventes'!$J$201="À crédit",'Brouillard ventes'!$J$201=""),"",'Brouillard ventes'!$B$201)</f>
        <v/>
      </c>
      <c r="E392" s="22">
        <f>IF(OR('Brouillard ventes'!$F$201="",'Brouillard ventes'!$J$201="À crédit",'Brouillard ventes'!$J$201=""),"","REGL "&amp;LEFT('Brouillard ventes'!$D$201,25))</f>
        <v/>
      </c>
      <c r="F392" s="22">
        <f>IF(OR('Brouillard ventes'!$F$201="",'Brouillard ventes'!$J$201="À crédit",'Brouillard ventes'!$J$201=""),"",IF('Brouillard ventes'!$J$201="Espèces","04001","02001"))</f>
        <v/>
      </c>
      <c r="G392" s="22">
        <f>IF(OR('Brouillard ventes'!$F$201="",'Brouillard ventes'!$J$201="À crédit",'Brouillard ventes'!$J$201=""),"",IF('Brouillard ventes'!$J$201="Espèces","53000","51220"))</f>
        <v/>
      </c>
      <c r="H392" s="22" t="inlineStr"/>
      <c r="I392" s="22" t="inlineStr"/>
      <c r="J392" s="22" t="inlineStr"/>
      <c r="K392" s="22">
        <f>IF(OR('Brouillard ventes'!$F$201="",'Brouillard ventes'!$J$201="À crédit",'Brouillard ventes'!$J$201=""),"",Paramètres!$B$11)</f>
        <v/>
      </c>
      <c r="L392" s="23">
        <f>IF(OR('Brouillard ventes'!$F$201="",'Brouillard ventes'!$J$201="À crédit",'Brouillard ventes'!$J$201=""),0,'Brouillard ventes'!$I$201)</f>
        <v/>
      </c>
      <c r="M392" s="23" t="n">
        <v>0</v>
      </c>
    </row>
    <row r="393">
      <c r="A393" s="22" t="inlineStr">
        <is>
          <t>1</t>
        </is>
      </c>
      <c r="B393" s="22">
        <f>IF(OR('Brouillard ventes'!$F$201="",'Brouillard ventes'!$J$201="À crédit",'Brouillard ventes'!$J$201=""),"","EC"&amp;TEXT(ROW('Brouillard ventes'!$F$201)-5,"00000"))</f>
        <v/>
      </c>
      <c r="C393" s="22">
        <f>IF(OR('Brouillard ventes'!$F$201="",'Brouillard ventes'!$J$201="À crédit",'Brouillard ventes'!$J$201=""),"",YEAR('Brouillard ventes'!$A$201)*10000+MONTH('Brouillard ventes'!$A$201)*100+DAY('Brouillard ventes'!$A$201))</f>
        <v/>
      </c>
      <c r="D393" s="22">
        <f>IF(OR('Brouillard ventes'!$F$201="",'Brouillard ventes'!$J$201="À crédit",'Brouillard ventes'!$J$201=""),"",'Brouillard ventes'!$B$201)</f>
        <v/>
      </c>
      <c r="E393" s="22">
        <f>IF(OR('Brouillard ventes'!$F$201="",'Brouillard ventes'!$J$201="À crédit",'Brouillard ventes'!$J$201=""),"","REGL "&amp;LEFT('Brouillard ventes'!$D$201,25))</f>
        <v/>
      </c>
      <c r="F393" s="22">
        <f>IF(OR('Brouillard ventes'!$F$201="",'Brouillard ventes'!$J$201="À crédit",'Brouillard ventes'!$J$201=""),"",IF('Brouillard ventes'!$J$201="Espèces","04001","02001"))</f>
        <v/>
      </c>
      <c r="G393" s="22">
        <f>IF(OR('Brouillard ventes'!$F$201="",'Brouillard ventes'!$J$201="À crédit",'Brouillard ventes'!$J$201=""),"",Paramètres!$B$7)</f>
        <v/>
      </c>
      <c r="H393" s="22">
        <f>IF(OR('Brouillard ventes'!$F$201="",'Brouillard ventes'!$J$201="À crédit",'Brouillard ventes'!$J$201=""),"",IF('Brouillard ventes'!$C$201="","CD001",'Brouillard ventes'!$C$201))</f>
        <v/>
      </c>
      <c r="I393" s="22" t="inlineStr"/>
      <c r="J393" s="22" t="inlineStr"/>
      <c r="K393" s="22">
        <f>IF(OR('Brouillard ventes'!$F$201="",'Brouillard ventes'!$J$201="À crédit",'Brouillard ventes'!$J$201=""),"",Paramètres!$B$11)</f>
        <v/>
      </c>
      <c r="L393" s="23" t="n">
        <v>0</v>
      </c>
      <c r="M393" s="23">
        <f>IF(OR('Brouillard ventes'!$F$201="",'Brouillard ventes'!$J$201="À crédit",'Brouillard ventes'!$J$201=""),0,'Brouillard ventes'!$I$201)</f>
        <v/>
      </c>
    </row>
    <row r="394">
      <c r="A394" s="22" t="inlineStr">
        <is>
          <t>1</t>
        </is>
      </c>
      <c r="B394" s="22">
        <f>IF(OR('Brouillard ventes'!$F$202="",'Brouillard ventes'!$J$202="À crédit",'Brouillard ventes'!$J$202=""),"","EC"&amp;TEXT(ROW('Brouillard ventes'!$F$202)-5,"00000"))</f>
        <v/>
      </c>
      <c r="C394" s="22">
        <f>IF(OR('Brouillard ventes'!$F$202="",'Brouillard ventes'!$J$202="À crédit",'Brouillard ventes'!$J$202=""),"",YEAR('Brouillard ventes'!$A$202)*10000+MONTH('Brouillard ventes'!$A$202)*100+DAY('Brouillard ventes'!$A$202))</f>
        <v/>
      </c>
      <c r="D394" s="22">
        <f>IF(OR('Brouillard ventes'!$F$202="",'Brouillard ventes'!$J$202="À crédit",'Brouillard ventes'!$J$202=""),"",'Brouillard ventes'!$B$202)</f>
        <v/>
      </c>
      <c r="E394" s="22">
        <f>IF(OR('Brouillard ventes'!$F$202="",'Brouillard ventes'!$J$202="À crédit",'Brouillard ventes'!$J$202=""),"","REGL "&amp;LEFT('Brouillard ventes'!$D$202,25))</f>
        <v/>
      </c>
      <c r="F394" s="22">
        <f>IF(OR('Brouillard ventes'!$F$202="",'Brouillard ventes'!$J$202="À crédit",'Brouillard ventes'!$J$202=""),"",IF('Brouillard ventes'!$J$202="Espèces","04001","02001"))</f>
        <v/>
      </c>
      <c r="G394" s="22">
        <f>IF(OR('Brouillard ventes'!$F$202="",'Brouillard ventes'!$J$202="À crédit",'Brouillard ventes'!$J$202=""),"",IF('Brouillard ventes'!$J$202="Espèces","53000","51220"))</f>
        <v/>
      </c>
      <c r="H394" s="22" t="inlineStr"/>
      <c r="I394" s="22" t="inlineStr"/>
      <c r="J394" s="22" t="inlineStr"/>
      <c r="K394" s="22">
        <f>IF(OR('Brouillard ventes'!$F$202="",'Brouillard ventes'!$J$202="À crédit",'Brouillard ventes'!$J$202=""),"",Paramètres!$B$11)</f>
        <v/>
      </c>
      <c r="L394" s="23">
        <f>IF(OR('Brouillard ventes'!$F$202="",'Brouillard ventes'!$J$202="À crédit",'Brouillard ventes'!$J$202=""),0,'Brouillard ventes'!$I$202)</f>
        <v/>
      </c>
      <c r="M394" s="23" t="n">
        <v>0</v>
      </c>
    </row>
    <row r="395">
      <c r="A395" s="22" t="inlineStr">
        <is>
          <t>1</t>
        </is>
      </c>
      <c r="B395" s="22">
        <f>IF(OR('Brouillard ventes'!$F$202="",'Brouillard ventes'!$J$202="À crédit",'Brouillard ventes'!$J$202=""),"","EC"&amp;TEXT(ROW('Brouillard ventes'!$F$202)-5,"00000"))</f>
        <v/>
      </c>
      <c r="C395" s="22">
        <f>IF(OR('Brouillard ventes'!$F$202="",'Brouillard ventes'!$J$202="À crédit",'Brouillard ventes'!$J$202=""),"",YEAR('Brouillard ventes'!$A$202)*10000+MONTH('Brouillard ventes'!$A$202)*100+DAY('Brouillard ventes'!$A$202))</f>
        <v/>
      </c>
      <c r="D395" s="22">
        <f>IF(OR('Brouillard ventes'!$F$202="",'Brouillard ventes'!$J$202="À crédit",'Brouillard ventes'!$J$202=""),"",'Brouillard ventes'!$B$202)</f>
        <v/>
      </c>
      <c r="E395" s="22">
        <f>IF(OR('Brouillard ventes'!$F$202="",'Brouillard ventes'!$J$202="À crédit",'Brouillard ventes'!$J$202=""),"","REGL "&amp;LEFT('Brouillard ventes'!$D$202,25))</f>
        <v/>
      </c>
      <c r="F395" s="22">
        <f>IF(OR('Brouillard ventes'!$F$202="",'Brouillard ventes'!$J$202="À crédit",'Brouillard ventes'!$J$202=""),"",IF('Brouillard ventes'!$J$202="Espèces","04001","02001"))</f>
        <v/>
      </c>
      <c r="G395" s="22">
        <f>IF(OR('Brouillard ventes'!$F$202="",'Brouillard ventes'!$J$202="À crédit",'Brouillard ventes'!$J$202=""),"",Paramètres!$B$7)</f>
        <v/>
      </c>
      <c r="H395" s="22">
        <f>IF(OR('Brouillard ventes'!$F$202="",'Brouillard ventes'!$J$202="À crédit",'Brouillard ventes'!$J$202=""),"",IF('Brouillard ventes'!$C$202="","CD001",'Brouillard ventes'!$C$202))</f>
        <v/>
      </c>
      <c r="I395" s="22" t="inlineStr"/>
      <c r="J395" s="22" t="inlineStr"/>
      <c r="K395" s="22">
        <f>IF(OR('Brouillard ventes'!$F$202="",'Brouillard ventes'!$J$202="À crédit",'Brouillard ventes'!$J$202=""),"",Paramètres!$B$11)</f>
        <v/>
      </c>
      <c r="L395" s="23" t="n">
        <v>0</v>
      </c>
      <c r="M395" s="23">
        <f>IF(OR('Brouillard ventes'!$F$202="",'Brouillard ventes'!$J$202="À crédit",'Brouillard ventes'!$J$202=""),0,'Brouillard ventes'!$I$202)</f>
        <v/>
      </c>
    </row>
    <row r="396">
      <c r="A396" s="22" t="inlineStr">
        <is>
          <t>1</t>
        </is>
      </c>
      <c r="B396" s="22">
        <f>IF(OR('Brouillard ventes'!$F$203="",'Brouillard ventes'!$J$203="À crédit",'Brouillard ventes'!$J$203=""),"","EC"&amp;TEXT(ROW('Brouillard ventes'!$F$203)-5,"00000"))</f>
        <v/>
      </c>
      <c r="C396" s="22">
        <f>IF(OR('Brouillard ventes'!$F$203="",'Brouillard ventes'!$J$203="À crédit",'Brouillard ventes'!$J$203=""),"",YEAR('Brouillard ventes'!$A$203)*10000+MONTH('Brouillard ventes'!$A$203)*100+DAY('Brouillard ventes'!$A$203))</f>
        <v/>
      </c>
      <c r="D396" s="22">
        <f>IF(OR('Brouillard ventes'!$F$203="",'Brouillard ventes'!$J$203="À crédit",'Brouillard ventes'!$J$203=""),"",'Brouillard ventes'!$B$203)</f>
        <v/>
      </c>
      <c r="E396" s="22">
        <f>IF(OR('Brouillard ventes'!$F$203="",'Brouillard ventes'!$J$203="À crédit",'Brouillard ventes'!$J$203=""),"","REGL "&amp;LEFT('Brouillard ventes'!$D$203,25))</f>
        <v/>
      </c>
      <c r="F396" s="22">
        <f>IF(OR('Brouillard ventes'!$F$203="",'Brouillard ventes'!$J$203="À crédit",'Brouillard ventes'!$J$203=""),"",IF('Brouillard ventes'!$J$203="Espèces","04001","02001"))</f>
        <v/>
      </c>
      <c r="G396" s="22">
        <f>IF(OR('Brouillard ventes'!$F$203="",'Brouillard ventes'!$J$203="À crédit",'Brouillard ventes'!$J$203=""),"",IF('Brouillard ventes'!$J$203="Espèces","53000","51220"))</f>
        <v/>
      </c>
      <c r="H396" s="22" t="inlineStr"/>
      <c r="I396" s="22" t="inlineStr"/>
      <c r="J396" s="22" t="inlineStr"/>
      <c r="K396" s="22">
        <f>IF(OR('Brouillard ventes'!$F$203="",'Brouillard ventes'!$J$203="À crédit",'Brouillard ventes'!$J$203=""),"",Paramètres!$B$11)</f>
        <v/>
      </c>
      <c r="L396" s="23">
        <f>IF(OR('Brouillard ventes'!$F$203="",'Brouillard ventes'!$J$203="À crédit",'Brouillard ventes'!$J$203=""),0,'Brouillard ventes'!$I$203)</f>
        <v/>
      </c>
      <c r="M396" s="23" t="n">
        <v>0</v>
      </c>
    </row>
    <row r="397">
      <c r="A397" s="22" t="inlineStr">
        <is>
          <t>1</t>
        </is>
      </c>
      <c r="B397" s="22">
        <f>IF(OR('Brouillard ventes'!$F$203="",'Brouillard ventes'!$J$203="À crédit",'Brouillard ventes'!$J$203=""),"","EC"&amp;TEXT(ROW('Brouillard ventes'!$F$203)-5,"00000"))</f>
        <v/>
      </c>
      <c r="C397" s="22">
        <f>IF(OR('Brouillard ventes'!$F$203="",'Brouillard ventes'!$J$203="À crédit",'Brouillard ventes'!$J$203=""),"",YEAR('Brouillard ventes'!$A$203)*10000+MONTH('Brouillard ventes'!$A$203)*100+DAY('Brouillard ventes'!$A$203))</f>
        <v/>
      </c>
      <c r="D397" s="22">
        <f>IF(OR('Brouillard ventes'!$F$203="",'Brouillard ventes'!$J$203="À crédit",'Brouillard ventes'!$J$203=""),"",'Brouillard ventes'!$B$203)</f>
        <v/>
      </c>
      <c r="E397" s="22">
        <f>IF(OR('Brouillard ventes'!$F$203="",'Brouillard ventes'!$J$203="À crédit",'Brouillard ventes'!$J$203=""),"","REGL "&amp;LEFT('Brouillard ventes'!$D$203,25))</f>
        <v/>
      </c>
      <c r="F397" s="22">
        <f>IF(OR('Brouillard ventes'!$F$203="",'Brouillard ventes'!$J$203="À crédit",'Brouillard ventes'!$J$203=""),"",IF('Brouillard ventes'!$J$203="Espèces","04001","02001"))</f>
        <v/>
      </c>
      <c r="G397" s="22">
        <f>IF(OR('Brouillard ventes'!$F$203="",'Brouillard ventes'!$J$203="À crédit",'Brouillard ventes'!$J$203=""),"",Paramètres!$B$7)</f>
        <v/>
      </c>
      <c r="H397" s="22">
        <f>IF(OR('Brouillard ventes'!$F$203="",'Brouillard ventes'!$J$203="À crédit",'Brouillard ventes'!$J$203=""),"",IF('Brouillard ventes'!$C$203="","CD001",'Brouillard ventes'!$C$203))</f>
        <v/>
      </c>
      <c r="I397" s="22" t="inlineStr"/>
      <c r="J397" s="22" t="inlineStr"/>
      <c r="K397" s="22">
        <f>IF(OR('Brouillard ventes'!$F$203="",'Brouillard ventes'!$J$203="À crédit",'Brouillard ventes'!$J$203=""),"",Paramètres!$B$11)</f>
        <v/>
      </c>
      <c r="L397" s="23" t="n">
        <v>0</v>
      </c>
      <c r="M397" s="23">
        <f>IF(OR('Brouillard ventes'!$F$203="",'Brouillard ventes'!$J$203="À crédit",'Brouillard ventes'!$J$203=""),0,'Brouillard ventes'!$I$203)</f>
        <v/>
      </c>
    </row>
    <row r="398">
      <c r="A398" s="22" t="inlineStr">
        <is>
          <t>1</t>
        </is>
      </c>
      <c r="B398" s="22">
        <f>IF(OR('Brouillard ventes'!$F$204="",'Brouillard ventes'!$J$204="À crédit",'Brouillard ventes'!$J$204=""),"","EC"&amp;TEXT(ROW('Brouillard ventes'!$F$204)-5,"00000"))</f>
        <v/>
      </c>
      <c r="C398" s="22">
        <f>IF(OR('Brouillard ventes'!$F$204="",'Brouillard ventes'!$J$204="À crédit",'Brouillard ventes'!$J$204=""),"",YEAR('Brouillard ventes'!$A$204)*10000+MONTH('Brouillard ventes'!$A$204)*100+DAY('Brouillard ventes'!$A$204))</f>
        <v/>
      </c>
      <c r="D398" s="22">
        <f>IF(OR('Brouillard ventes'!$F$204="",'Brouillard ventes'!$J$204="À crédit",'Brouillard ventes'!$J$204=""),"",'Brouillard ventes'!$B$204)</f>
        <v/>
      </c>
      <c r="E398" s="22">
        <f>IF(OR('Brouillard ventes'!$F$204="",'Brouillard ventes'!$J$204="À crédit",'Brouillard ventes'!$J$204=""),"","REGL "&amp;LEFT('Brouillard ventes'!$D$204,25))</f>
        <v/>
      </c>
      <c r="F398" s="22">
        <f>IF(OR('Brouillard ventes'!$F$204="",'Brouillard ventes'!$J$204="À crédit",'Brouillard ventes'!$J$204=""),"",IF('Brouillard ventes'!$J$204="Espèces","04001","02001"))</f>
        <v/>
      </c>
      <c r="G398" s="22">
        <f>IF(OR('Brouillard ventes'!$F$204="",'Brouillard ventes'!$J$204="À crédit",'Brouillard ventes'!$J$204=""),"",IF('Brouillard ventes'!$J$204="Espèces","53000","51220"))</f>
        <v/>
      </c>
      <c r="H398" s="22" t="inlineStr"/>
      <c r="I398" s="22" t="inlineStr"/>
      <c r="J398" s="22" t="inlineStr"/>
      <c r="K398" s="22">
        <f>IF(OR('Brouillard ventes'!$F$204="",'Brouillard ventes'!$J$204="À crédit",'Brouillard ventes'!$J$204=""),"",Paramètres!$B$11)</f>
        <v/>
      </c>
      <c r="L398" s="23">
        <f>IF(OR('Brouillard ventes'!$F$204="",'Brouillard ventes'!$J$204="À crédit",'Brouillard ventes'!$J$204=""),0,'Brouillard ventes'!$I$204)</f>
        <v/>
      </c>
      <c r="M398" s="23" t="n">
        <v>0</v>
      </c>
    </row>
    <row r="399">
      <c r="A399" s="22" t="inlineStr">
        <is>
          <t>1</t>
        </is>
      </c>
      <c r="B399" s="22">
        <f>IF(OR('Brouillard ventes'!$F$204="",'Brouillard ventes'!$J$204="À crédit",'Brouillard ventes'!$J$204=""),"","EC"&amp;TEXT(ROW('Brouillard ventes'!$F$204)-5,"00000"))</f>
        <v/>
      </c>
      <c r="C399" s="22">
        <f>IF(OR('Brouillard ventes'!$F$204="",'Brouillard ventes'!$J$204="À crédit",'Brouillard ventes'!$J$204=""),"",YEAR('Brouillard ventes'!$A$204)*10000+MONTH('Brouillard ventes'!$A$204)*100+DAY('Brouillard ventes'!$A$204))</f>
        <v/>
      </c>
      <c r="D399" s="22">
        <f>IF(OR('Brouillard ventes'!$F$204="",'Brouillard ventes'!$J$204="À crédit",'Brouillard ventes'!$J$204=""),"",'Brouillard ventes'!$B$204)</f>
        <v/>
      </c>
      <c r="E399" s="22">
        <f>IF(OR('Brouillard ventes'!$F$204="",'Brouillard ventes'!$J$204="À crédit",'Brouillard ventes'!$J$204=""),"","REGL "&amp;LEFT('Brouillard ventes'!$D$204,25))</f>
        <v/>
      </c>
      <c r="F399" s="22">
        <f>IF(OR('Brouillard ventes'!$F$204="",'Brouillard ventes'!$J$204="À crédit",'Brouillard ventes'!$J$204=""),"",IF('Brouillard ventes'!$J$204="Espèces","04001","02001"))</f>
        <v/>
      </c>
      <c r="G399" s="22">
        <f>IF(OR('Brouillard ventes'!$F$204="",'Brouillard ventes'!$J$204="À crédit",'Brouillard ventes'!$J$204=""),"",Paramètres!$B$7)</f>
        <v/>
      </c>
      <c r="H399" s="22">
        <f>IF(OR('Brouillard ventes'!$F$204="",'Brouillard ventes'!$J$204="À crédit",'Brouillard ventes'!$J$204=""),"",IF('Brouillard ventes'!$C$204="","CD001",'Brouillard ventes'!$C$204))</f>
        <v/>
      </c>
      <c r="I399" s="22" t="inlineStr"/>
      <c r="J399" s="22" t="inlineStr"/>
      <c r="K399" s="22">
        <f>IF(OR('Brouillard ventes'!$F$204="",'Brouillard ventes'!$J$204="À crédit",'Brouillard ventes'!$J$204=""),"",Paramètres!$B$11)</f>
        <v/>
      </c>
      <c r="L399" s="23" t="n">
        <v>0</v>
      </c>
      <c r="M399" s="23">
        <f>IF(OR('Brouillard ventes'!$F$204="",'Brouillard ventes'!$J$204="À crédit",'Brouillard ventes'!$J$204=""),0,'Brouillard ventes'!$I$204)</f>
        <v/>
      </c>
    </row>
    <row r="400">
      <c r="A400" s="22" t="inlineStr">
        <is>
          <t>1</t>
        </is>
      </c>
      <c r="B400" s="22">
        <f>IF(OR('Brouillard ventes'!$F$205="",'Brouillard ventes'!$J$205="À crédit",'Brouillard ventes'!$J$205=""),"","EC"&amp;TEXT(ROW('Brouillard ventes'!$F$205)-5,"00000"))</f>
        <v/>
      </c>
      <c r="C400" s="22">
        <f>IF(OR('Brouillard ventes'!$F$205="",'Brouillard ventes'!$J$205="À crédit",'Brouillard ventes'!$J$205=""),"",YEAR('Brouillard ventes'!$A$205)*10000+MONTH('Brouillard ventes'!$A$205)*100+DAY('Brouillard ventes'!$A$205))</f>
        <v/>
      </c>
      <c r="D400" s="22">
        <f>IF(OR('Brouillard ventes'!$F$205="",'Brouillard ventes'!$J$205="À crédit",'Brouillard ventes'!$J$205=""),"",'Brouillard ventes'!$B$205)</f>
        <v/>
      </c>
      <c r="E400" s="22">
        <f>IF(OR('Brouillard ventes'!$F$205="",'Brouillard ventes'!$J$205="À crédit",'Brouillard ventes'!$J$205=""),"","REGL "&amp;LEFT('Brouillard ventes'!$D$205,25))</f>
        <v/>
      </c>
      <c r="F400" s="22">
        <f>IF(OR('Brouillard ventes'!$F$205="",'Brouillard ventes'!$J$205="À crédit",'Brouillard ventes'!$J$205=""),"",IF('Brouillard ventes'!$J$205="Espèces","04001","02001"))</f>
        <v/>
      </c>
      <c r="G400" s="22">
        <f>IF(OR('Brouillard ventes'!$F$205="",'Brouillard ventes'!$J$205="À crédit",'Brouillard ventes'!$J$205=""),"",IF('Brouillard ventes'!$J$205="Espèces","53000","51220"))</f>
        <v/>
      </c>
      <c r="H400" s="22" t="inlineStr"/>
      <c r="I400" s="22" t="inlineStr"/>
      <c r="J400" s="22" t="inlineStr"/>
      <c r="K400" s="22">
        <f>IF(OR('Brouillard ventes'!$F$205="",'Brouillard ventes'!$J$205="À crédit",'Brouillard ventes'!$J$205=""),"",Paramètres!$B$11)</f>
        <v/>
      </c>
      <c r="L400" s="23">
        <f>IF(OR('Brouillard ventes'!$F$205="",'Brouillard ventes'!$J$205="À crédit",'Brouillard ventes'!$J$205=""),0,'Brouillard ventes'!$I$205)</f>
        <v/>
      </c>
      <c r="M400" s="23" t="n">
        <v>0</v>
      </c>
    </row>
    <row r="401">
      <c r="A401" s="22" t="inlineStr">
        <is>
          <t>1</t>
        </is>
      </c>
      <c r="B401" s="22">
        <f>IF(OR('Brouillard ventes'!$F$205="",'Brouillard ventes'!$J$205="À crédit",'Brouillard ventes'!$J$205=""),"","EC"&amp;TEXT(ROW('Brouillard ventes'!$F$205)-5,"00000"))</f>
        <v/>
      </c>
      <c r="C401" s="22">
        <f>IF(OR('Brouillard ventes'!$F$205="",'Brouillard ventes'!$J$205="À crédit",'Brouillard ventes'!$J$205=""),"",YEAR('Brouillard ventes'!$A$205)*10000+MONTH('Brouillard ventes'!$A$205)*100+DAY('Brouillard ventes'!$A$205))</f>
        <v/>
      </c>
      <c r="D401" s="22">
        <f>IF(OR('Brouillard ventes'!$F$205="",'Brouillard ventes'!$J$205="À crédit",'Brouillard ventes'!$J$205=""),"",'Brouillard ventes'!$B$205)</f>
        <v/>
      </c>
      <c r="E401" s="22">
        <f>IF(OR('Brouillard ventes'!$F$205="",'Brouillard ventes'!$J$205="À crédit",'Brouillard ventes'!$J$205=""),"","REGL "&amp;LEFT('Brouillard ventes'!$D$205,25))</f>
        <v/>
      </c>
      <c r="F401" s="22">
        <f>IF(OR('Brouillard ventes'!$F$205="",'Brouillard ventes'!$J$205="À crédit",'Brouillard ventes'!$J$205=""),"",IF('Brouillard ventes'!$J$205="Espèces","04001","02001"))</f>
        <v/>
      </c>
      <c r="G401" s="22">
        <f>IF(OR('Brouillard ventes'!$F$205="",'Brouillard ventes'!$J$205="À crédit",'Brouillard ventes'!$J$205=""),"",Paramètres!$B$7)</f>
        <v/>
      </c>
      <c r="H401" s="22">
        <f>IF(OR('Brouillard ventes'!$F$205="",'Brouillard ventes'!$J$205="À crédit",'Brouillard ventes'!$J$205=""),"",IF('Brouillard ventes'!$C$205="","CD001",'Brouillard ventes'!$C$205))</f>
        <v/>
      </c>
      <c r="I401" s="22" t="inlineStr"/>
      <c r="J401" s="22" t="inlineStr"/>
      <c r="K401" s="22">
        <f>IF(OR('Brouillard ventes'!$F$205="",'Brouillard ventes'!$J$205="À crédit",'Brouillard ventes'!$J$205=""),"",Paramètres!$B$11)</f>
        <v/>
      </c>
      <c r="L401" s="23" t="n">
        <v>0</v>
      </c>
      <c r="M401" s="23">
        <f>IF(OR('Brouillard ventes'!$F$205="",'Brouillard ventes'!$J$205="À crédit",'Brouillard ventes'!$J$205=""),0,'Brouillard ventes'!$I$205)</f>
        <v/>
      </c>
    </row>
    <row r="402">
      <c r="A402" s="22" t="inlineStr">
        <is>
          <t>1</t>
        </is>
      </c>
      <c r="B402" s="22">
        <f>IF(OR('Brouillard ventes'!$F$206="",'Brouillard ventes'!$J$206="À crédit",'Brouillard ventes'!$J$206=""),"","EC"&amp;TEXT(ROW('Brouillard ventes'!$F$206)-5,"00000"))</f>
        <v/>
      </c>
      <c r="C402" s="22">
        <f>IF(OR('Brouillard ventes'!$F$206="",'Brouillard ventes'!$J$206="À crédit",'Brouillard ventes'!$J$206=""),"",YEAR('Brouillard ventes'!$A$206)*10000+MONTH('Brouillard ventes'!$A$206)*100+DAY('Brouillard ventes'!$A$206))</f>
        <v/>
      </c>
      <c r="D402" s="22">
        <f>IF(OR('Brouillard ventes'!$F$206="",'Brouillard ventes'!$J$206="À crédit",'Brouillard ventes'!$J$206=""),"",'Brouillard ventes'!$B$206)</f>
        <v/>
      </c>
      <c r="E402" s="22">
        <f>IF(OR('Brouillard ventes'!$F$206="",'Brouillard ventes'!$J$206="À crédit",'Brouillard ventes'!$J$206=""),"","REGL "&amp;LEFT('Brouillard ventes'!$D$206,25))</f>
        <v/>
      </c>
      <c r="F402" s="22">
        <f>IF(OR('Brouillard ventes'!$F$206="",'Brouillard ventes'!$J$206="À crédit",'Brouillard ventes'!$J$206=""),"",IF('Brouillard ventes'!$J$206="Espèces","04001","02001"))</f>
        <v/>
      </c>
      <c r="G402" s="22">
        <f>IF(OR('Brouillard ventes'!$F$206="",'Brouillard ventes'!$J$206="À crédit",'Brouillard ventes'!$J$206=""),"",IF('Brouillard ventes'!$J$206="Espèces","53000","51220"))</f>
        <v/>
      </c>
      <c r="H402" s="22" t="inlineStr"/>
      <c r="I402" s="22" t="inlineStr"/>
      <c r="J402" s="22" t="inlineStr"/>
      <c r="K402" s="22">
        <f>IF(OR('Brouillard ventes'!$F$206="",'Brouillard ventes'!$J$206="À crédit",'Brouillard ventes'!$J$206=""),"",Paramètres!$B$11)</f>
        <v/>
      </c>
      <c r="L402" s="23">
        <f>IF(OR('Brouillard ventes'!$F$206="",'Brouillard ventes'!$J$206="À crédit",'Brouillard ventes'!$J$206=""),0,'Brouillard ventes'!$I$206)</f>
        <v/>
      </c>
      <c r="M402" s="23" t="n">
        <v>0</v>
      </c>
    </row>
    <row r="403">
      <c r="A403" s="22" t="inlineStr">
        <is>
          <t>1</t>
        </is>
      </c>
      <c r="B403" s="22">
        <f>IF(OR('Brouillard ventes'!$F$206="",'Brouillard ventes'!$J$206="À crédit",'Brouillard ventes'!$J$206=""),"","EC"&amp;TEXT(ROW('Brouillard ventes'!$F$206)-5,"00000"))</f>
        <v/>
      </c>
      <c r="C403" s="22">
        <f>IF(OR('Brouillard ventes'!$F$206="",'Brouillard ventes'!$J$206="À crédit",'Brouillard ventes'!$J$206=""),"",YEAR('Brouillard ventes'!$A$206)*10000+MONTH('Brouillard ventes'!$A$206)*100+DAY('Brouillard ventes'!$A$206))</f>
        <v/>
      </c>
      <c r="D403" s="22">
        <f>IF(OR('Brouillard ventes'!$F$206="",'Brouillard ventes'!$J$206="À crédit",'Brouillard ventes'!$J$206=""),"",'Brouillard ventes'!$B$206)</f>
        <v/>
      </c>
      <c r="E403" s="22">
        <f>IF(OR('Brouillard ventes'!$F$206="",'Brouillard ventes'!$J$206="À crédit",'Brouillard ventes'!$J$206=""),"","REGL "&amp;LEFT('Brouillard ventes'!$D$206,25))</f>
        <v/>
      </c>
      <c r="F403" s="22">
        <f>IF(OR('Brouillard ventes'!$F$206="",'Brouillard ventes'!$J$206="À crédit",'Brouillard ventes'!$J$206=""),"",IF('Brouillard ventes'!$J$206="Espèces","04001","02001"))</f>
        <v/>
      </c>
      <c r="G403" s="22">
        <f>IF(OR('Brouillard ventes'!$F$206="",'Brouillard ventes'!$J$206="À crédit",'Brouillard ventes'!$J$206=""),"",Paramètres!$B$7)</f>
        <v/>
      </c>
      <c r="H403" s="22">
        <f>IF(OR('Brouillard ventes'!$F$206="",'Brouillard ventes'!$J$206="À crédit",'Brouillard ventes'!$J$206=""),"",IF('Brouillard ventes'!$C$206="","CD001",'Brouillard ventes'!$C$206))</f>
        <v/>
      </c>
      <c r="I403" s="22" t="inlineStr"/>
      <c r="J403" s="22" t="inlineStr"/>
      <c r="K403" s="22">
        <f>IF(OR('Brouillard ventes'!$F$206="",'Brouillard ventes'!$J$206="À crédit",'Brouillard ventes'!$J$206=""),"",Paramètres!$B$11)</f>
        <v/>
      </c>
      <c r="L403" s="23" t="n">
        <v>0</v>
      </c>
      <c r="M403" s="23">
        <f>IF(OR('Brouillard ventes'!$F$206="",'Brouillard ventes'!$J$206="À crédit",'Brouillard ventes'!$J$206=""),0,'Brouillard ventes'!$I$206)</f>
        <v/>
      </c>
    </row>
    <row r="404">
      <c r="A404" s="22" t="inlineStr">
        <is>
          <t>1</t>
        </is>
      </c>
      <c r="B404" s="22">
        <f>IF(OR('Brouillard ventes'!$F$207="",'Brouillard ventes'!$J$207="À crédit",'Brouillard ventes'!$J$207=""),"","EC"&amp;TEXT(ROW('Brouillard ventes'!$F$207)-5,"00000"))</f>
        <v/>
      </c>
      <c r="C404" s="22">
        <f>IF(OR('Brouillard ventes'!$F$207="",'Brouillard ventes'!$J$207="À crédit",'Brouillard ventes'!$J$207=""),"",YEAR('Brouillard ventes'!$A$207)*10000+MONTH('Brouillard ventes'!$A$207)*100+DAY('Brouillard ventes'!$A$207))</f>
        <v/>
      </c>
      <c r="D404" s="22">
        <f>IF(OR('Brouillard ventes'!$F$207="",'Brouillard ventes'!$J$207="À crédit",'Brouillard ventes'!$J$207=""),"",'Brouillard ventes'!$B$207)</f>
        <v/>
      </c>
      <c r="E404" s="22">
        <f>IF(OR('Brouillard ventes'!$F$207="",'Brouillard ventes'!$J$207="À crédit",'Brouillard ventes'!$J$207=""),"","REGL "&amp;LEFT('Brouillard ventes'!$D$207,25))</f>
        <v/>
      </c>
      <c r="F404" s="22">
        <f>IF(OR('Brouillard ventes'!$F$207="",'Brouillard ventes'!$J$207="À crédit",'Brouillard ventes'!$J$207=""),"",IF('Brouillard ventes'!$J$207="Espèces","04001","02001"))</f>
        <v/>
      </c>
      <c r="G404" s="22">
        <f>IF(OR('Brouillard ventes'!$F$207="",'Brouillard ventes'!$J$207="À crédit",'Brouillard ventes'!$J$207=""),"",IF('Brouillard ventes'!$J$207="Espèces","53000","51220"))</f>
        <v/>
      </c>
      <c r="H404" s="22" t="inlineStr"/>
      <c r="I404" s="22" t="inlineStr"/>
      <c r="J404" s="22" t="inlineStr"/>
      <c r="K404" s="22">
        <f>IF(OR('Brouillard ventes'!$F$207="",'Brouillard ventes'!$J$207="À crédit",'Brouillard ventes'!$J$207=""),"",Paramètres!$B$11)</f>
        <v/>
      </c>
      <c r="L404" s="23">
        <f>IF(OR('Brouillard ventes'!$F$207="",'Brouillard ventes'!$J$207="À crédit",'Brouillard ventes'!$J$207=""),0,'Brouillard ventes'!$I$207)</f>
        <v/>
      </c>
      <c r="M404" s="23" t="n">
        <v>0</v>
      </c>
    </row>
    <row r="405">
      <c r="A405" s="22" t="inlineStr">
        <is>
          <t>1</t>
        </is>
      </c>
      <c r="B405" s="22">
        <f>IF(OR('Brouillard ventes'!$F$207="",'Brouillard ventes'!$J$207="À crédit",'Brouillard ventes'!$J$207=""),"","EC"&amp;TEXT(ROW('Brouillard ventes'!$F$207)-5,"00000"))</f>
        <v/>
      </c>
      <c r="C405" s="22">
        <f>IF(OR('Brouillard ventes'!$F$207="",'Brouillard ventes'!$J$207="À crédit",'Brouillard ventes'!$J$207=""),"",YEAR('Brouillard ventes'!$A$207)*10000+MONTH('Brouillard ventes'!$A$207)*100+DAY('Brouillard ventes'!$A$207))</f>
        <v/>
      </c>
      <c r="D405" s="22">
        <f>IF(OR('Brouillard ventes'!$F$207="",'Brouillard ventes'!$J$207="À crédit",'Brouillard ventes'!$J$207=""),"",'Brouillard ventes'!$B$207)</f>
        <v/>
      </c>
      <c r="E405" s="22">
        <f>IF(OR('Brouillard ventes'!$F$207="",'Brouillard ventes'!$J$207="À crédit",'Brouillard ventes'!$J$207=""),"","REGL "&amp;LEFT('Brouillard ventes'!$D$207,25))</f>
        <v/>
      </c>
      <c r="F405" s="22">
        <f>IF(OR('Brouillard ventes'!$F$207="",'Brouillard ventes'!$J$207="À crédit",'Brouillard ventes'!$J$207=""),"",IF('Brouillard ventes'!$J$207="Espèces","04001","02001"))</f>
        <v/>
      </c>
      <c r="G405" s="22">
        <f>IF(OR('Brouillard ventes'!$F$207="",'Brouillard ventes'!$J$207="À crédit",'Brouillard ventes'!$J$207=""),"",Paramètres!$B$7)</f>
        <v/>
      </c>
      <c r="H405" s="22">
        <f>IF(OR('Brouillard ventes'!$F$207="",'Brouillard ventes'!$J$207="À crédit",'Brouillard ventes'!$J$207=""),"",IF('Brouillard ventes'!$C$207="","CD001",'Brouillard ventes'!$C$207))</f>
        <v/>
      </c>
      <c r="I405" s="22" t="inlineStr"/>
      <c r="J405" s="22" t="inlineStr"/>
      <c r="K405" s="22">
        <f>IF(OR('Brouillard ventes'!$F$207="",'Brouillard ventes'!$J$207="À crédit",'Brouillard ventes'!$J$207=""),"",Paramètres!$B$11)</f>
        <v/>
      </c>
      <c r="L405" s="23" t="n">
        <v>0</v>
      </c>
      <c r="M405" s="23">
        <f>IF(OR('Brouillard ventes'!$F$207="",'Brouillard ventes'!$J$207="À crédit",'Brouillard ventes'!$J$207=""),0,'Brouillard ventes'!$I$207)</f>
        <v/>
      </c>
    </row>
    <row r="406">
      <c r="A406" s="22" t="inlineStr">
        <is>
          <t>1</t>
        </is>
      </c>
      <c r="B406" s="22">
        <f>IF(OR('Brouillard ventes'!$F$208="",'Brouillard ventes'!$J$208="À crédit",'Brouillard ventes'!$J$208=""),"","EC"&amp;TEXT(ROW('Brouillard ventes'!$F$208)-5,"00000"))</f>
        <v/>
      </c>
      <c r="C406" s="22">
        <f>IF(OR('Brouillard ventes'!$F$208="",'Brouillard ventes'!$J$208="À crédit",'Brouillard ventes'!$J$208=""),"",YEAR('Brouillard ventes'!$A$208)*10000+MONTH('Brouillard ventes'!$A$208)*100+DAY('Brouillard ventes'!$A$208))</f>
        <v/>
      </c>
      <c r="D406" s="22">
        <f>IF(OR('Brouillard ventes'!$F$208="",'Brouillard ventes'!$J$208="À crédit",'Brouillard ventes'!$J$208=""),"",'Brouillard ventes'!$B$208)</f>
        <v/>
      </c>
      <c r="E406" s="22">
        <f>IF(OR('Brouillard ventes'!$F$208="",'Brouillard ventes'!$J$208="À crédit",'Brouillard ventes'!$J$208=""),"","REGL "&amp;LEFT('Brouillard ventes'!$D$208,25))</f>
        <v/>
      </c>
      <c r="F406" s="22">
        <f>IF(OR('Brouillard ventes'!$F$208="",'Brouillard ventes'!$J$208="À crédit",'Brouillard ventes'!$J$208=""),"",IF('Brouillard ventes'!$J$208="Espèces","04001","02001"))</f>
        <v/>
      </c>
      <c r="G406" s="22">
        <f>IF(OR('Brouillard ventes'!$F$208="",'Brouillard ventes'!$J$208="À crédit",'Brouillard ventes'!$J$208=""),"",IF('Brouillard ventes'!$J$208="Espèces","53000","51220"))</f>
        <v/>
      </c>
      <c r="H406" s="22" t="inlineStr"/>
      <c r="I406" s="22" t="inlineStr"/>
      <c r="J406" s="22" t="inlineStr"/>
      <c r="K406" s="22">
        <f>IF(OR('Brouillard ventes'!$F$208="",'Brouillard ventes'!$J$208="À crédit",'Brouillard ventes'!$J$208=""),"",Paramètres!$B$11)</f>
        <v/>
      </c>
      <c r="L406" s="23">
        <f>IF(OR('Brouillard ventes'!$F$208="",'Brouillard ventes'!$J$208="À crédit",'Brouillard ventes'!$J$208=""),0,'Brouillard ventes'!$I$208)</f>
        <v/>
      </c>
      <c r="M406" s="23" t="n">
        <v>0</v>
      </c>
    </row>
    <row r="407">
      <c r="A407" s="22" t="inlineStr">
        <is>
          <t>1</t>
        </is>
      </c>
      <c r="B407" s="22">
        <f>IF(OR('Brouillard ventes'!$F$208="",'Brouillard ventes'!$J$208="À crédit",'Brouillard ventes'!$J$208=""),"","EC"&amp;TEXT(ROW('Brouillard ventes'!$F$208)-5,"00000"))</f>
        <v/>
      </c>
      <c r="C407" s="22">
        <f>IF(OR('Brouillard ventes'!$F$208="",'Brouillard ventes'!$J$208="À crédit",'Brouillard ventes'!$J$208=""),"",YEAR('Brouillard ventes'!$A$208)*10000+MONTH('Brouillard ventes'!$A$208)*100+DAY('Brouillard ventes'!$A$208))</f>
        <v/>
      </c>
      <c r="D407" s="22">
        <f>IF(OR('Brouillard ventes'!$F$208="",'Brouillard ventes'!$J$208="À crédit",'Brouillard ventes'!$J$208=""),"",'Brouillard ventes'!$B$208)</f>
        <v/>
      </c>
      <c r="E407" s="22">
        <f>IF(OR('Brouillard ventes'!$F$208="",'Brouillard ventes'!$J$208="À crédit",'Brouillard ventes'!$J$208=""),"","REGL "&amp;LEFT('Brouillard ventes'!$D$208,25))</f>
        <v/>
      </c>
      <c r="F407" s="22">
        <f>IF(OR('Brouillard ventes'!$F$208="",'Brouillard ventes'!$J$208="À crédit",'Brouillard ventes'!$J$208=""),"",IF('Brouillard ventes'!$J$208="Espèces","04001","02001"))</f>
        <v/>
      </c>
      <c r="G407" s="22">
        <f>IF(OR('Brouillard ventes'!$F$208="",'Brouillard ventes'!$J$208="À crédit",'Brouillard ventes'!$J$208=""),"",Paramètres!$B$7)</f>
        <v/>
      </c>
      <c r="H407" s="22">
        <f>IF(OR('Brouillard ventes'!$F$208="",'Brouillard ventes'!$J$208="À crédit",'Brouillard ventes'!$J$208=""),"",IF('Brouillard ventes'!$C$208="","CD001",'Brouillard ventes'!$C$208))</f>
        <v/>
      </c>
      <c r="I407" s="22" t="inlineStr"/>
      <c r="J407" s="22" t="inlineStr"/>
      <c r="K407" s="22">
        <f>IF(OR('Brouillard ventes'!$F$208="",'Brouillard ventes'!$J$208="À crédit",'Brouillard ventes'!$J$208=""),"",Paramètres!$B$11)</f>
        <v/>
      </c>
      <c r="L407" s="23" t="n">
        <v>0</v>
      </c>
      <c r="M407" s="23">
        <f>IF(OR('Brouillard ventes'!$F$208="",'Brouillard ventes'!$J$208="À crédit",'Brouillard ventes'!$J$208=""),0,'Brouillard ventes'!$I$208)</f>
        <v/>
      </c>
    </row>
    <row r="408">
      <c r="A408" s="22" t="inlineStr">
        <is>
          <t>1</t>
        </is>
      </c>
      <c r="B408" s="22">
        <f>IF(OR('Brouillard ventes'!$F$209="",'Brouillard ventes'!$J$209="À crédit",'Brouillard ventes'!$J$209=""),"","EC"&amp;TEXT(ROW('Brouillard ventes'!$F$209)-5,"00000"))</f>
        <v/>
      </c>
      <c r="C408" s="22">
        <f>IF(OR('Brouillard ventes'!$F$209="",'Brouillard ventes'!$J$209="À crédit",'Brouillard ventes'!$J$209=""),"",YEAR('Brouillard ventes'!$A$209)*10000+MONTH('Brouillard ventes'!$A$209)*100+DAY('Brouillard ventes'!$A$209))</f>
        <v/>
      </c>
      <c r="D408" s="22">
        <f>IF(OR('Brouillard ventes'!$F$209="",'Brouillard ventes'!$J$209="À crédit",'Brouillard ventes'!$J$209=""),"",'Brouillard ventes'!$B$209)</f>
        <v/>
      </c>
      <c r="E408" s="22">
        <f>IF(OR('Brouillard ventes'!$F$209="",'Brouillard ventes'!$J$209="À crédit",'Brouillard ventes'!$J$209=""),"","REGL "&amp;LEFT('Brouillard ventes'!$D$209,25))</f>
        <v/>
      </c>
      <c r="F408" s="22">
        <f>IF(OR('Brouillard ventes'!$F$209="",'Brouillard ventes'!$J$209="À crédit",'Brouillard ventes'!$J$209=""),"",IF('Brouillard ventes'!$J$209="Espèces","04001","02001"))</f>
        <v/>
      </c>
      <c r="G408" s="22">
        <f>IF(OR('Brouillard ventes'!$F$209="",'Brouillard ventes'!$J$209="À crédit",'Brouillard ventes'!$J$209=""),"",IF('Brouillard ventes'!$J$209="Espèces","53000","51220"))</f>
        <v/>
      </c>
      <c r="H408" s="22" t="inlineStr"/>
      <c r="I408" s="22" t="inlineStr"/>
      <c r="J408" s="22" t="inlineStr"/>
      <c r="K408" s="22">
        <f>IF(OR('Brouillard ventes'!$F$209="",'Brouillard ventes'!$J$209="À crédit",'Brouillard ventes'!$J$209=""),"",Paramètres!$B$11)</f>
        <v/>
      </c>
      <c r="L408" s="23">
        <f>IF(OR('Brouillard ventes'!$F$209="",'Brouillard ventes'!$J$209="À crédit",'Brouillard ventes'!$J$209=""),0,'Brouillard ventes'!$I$209)</f>
        <v/>
      </c>
      <c r="M408" s="23" t="n">
        <v>0</v>
      </c>
    </row>
    <row r="409">
      <c r="A409" s="22" t="inlineStr">
        <is>
          <t>1</t>
        </is>
      </c>
      <c r="B409" s="22">
        <f>IF(OR('Brouillard ventes'!$F$209="",'Brouillard ventes'!$J$209="À crédit",'Brouillard ventes'!$J$209=""),"","EC"&amp;TEXT(ROW('Brouillard ventes'!$F$209)-5,"00000"))</f>
        <v/>
      </c>
      <c r="C409" s="22">
        <f>IF(OR('Brouillard ventes'!$F$209="",'Brouillard ventes'!$J$209="À crédit",'Brouillard ventes'!$J$209=""),"",YEAR('Brouillard ventes'!$A$209)*10000+MONTH('Brouillard ventes'!$A$209)*100+DAY('Brouillard ventes'!$A$209))</f>
        <v/>
      </c>
      <c r="D409" s="22">
        <f>IF(OR('Brouillard ventes'!$F$209="",'Brouillard ventes'!$J$209="À crédit",'Brouillard ventes'!$J$209=""),"",'Brouillard ventes'!$B$209)</f>
        <v/>
      </c>
      <c r="E409" s="22">
        <f>IF(OR('Brouillard ventes'!$F$209="",'Brouillard ventes'!$J$209="À crédit",'Brouillard ventes'!$J$209=""),"","REGL "&amp;LEFT('Brouillard ventes'!$D$209,25))</f>
        <v/>
      </c>
      <c r="F409" s="22">
        <f>IF(OR('Brouillard ventes'!$F$209="",'Brouillard ventes'!$J$209="À crédit",'Brouillard ventes'!$J$209=""),"",IF('Brouillard ventes'!$J$209="Espèces","04001","02001"))</f>
        <v/>
      </c>
      <c r="G409" s="22">
        <f>IF(OR('Brouillard ventes'!$F$209="",'Brouillard ventes'!$J$209="À crédit",'Brouillard ventes'!$J$209=""),"",Paramètres!$B$7)</f>
        <v/>
      </c>
      <c r="H409" s="22">
        <f>IF(OR('Brouillard ventes'!$F$209="",'Brouillard ventes'!$J$209="À crédit",'Brouillard ventes'!$J$209=""),"",IF('Brouillard ventes'!$C$209="","CD001",'Brouillard ventes'!$C$209))</f>
        <v/>
      </c>
      <c r="I409" s="22" t="inlineStr"/>
      <c r="J409" s="22" t="inlineStr"/>
      <c r="K409" s="22">
        <f>IF(OR('Brouillard ventes'!$F$209="",'Brouillard ventes'!$J$209="À crédit",'Brouillard ventes'!$J$209=""),"",Paramètres!$B$11)</f>
        <v/>
      </c>
      <c r="L409" s="23" t="n">
        <v>0</v>
      </c>
      <c r="M409" s="23">
        <f>IF(OR('Brouillard ventes'!$F$209="",'Brouillard ventes'!$J$209="À crédit",'Brouillard ventes'!$J$209=""),0,'Brouillard ventes'!$I$209)</f>
        <v/>
      </c>
    </row>
    <row r="410">
      <c r="A410" s="22" t="inlineStr">
        <is>
          <t>1</t>
        </is>
      </c>
      <c r="B410" s="22">
        <f>IF(OR('Brouillard ventes'!$F$210="",'Brouillard ventes'!$J$210="À crédit",'Brouillard ventes'!$J$210=""),"","EC"&amp;TEXT(ROW('Brouillard ventes'!$F$210)-5,"00000"))</f>
        <v/>
      </c>
      <c r="C410" s="22">
        <f>IF(OR('Brouillard ventes'!$F$210="",'Brouillard ventes'!$J$210="À crédit",'Brouillard ventes'!$J$210=""),"",YEAR('Brouillard ventes'!$A$210)*10000+MONTH('Brouillard ventes'!$A$210)*100+DAY('Brouillard ventes'!$A$210))</f>
        <v/>
      </c>
      <c r="D410" s="22">
        <f>IF(OR('Brouillard ventes'!$F$210="",'Brouillard ventes'!$J$210="À crédit",'Brouillard ventes'!$J$210=""),"",'Brouillard ventes'!$B$210)</f>
        <v/>
      </c>
      <c r="E410" s="22">
        <f>IF(OR('Brouillard ventes'!$F$210="",'Brouillard ventes'!$J$210="À crédit",'Brouillard ventes'!$J$210=""),"","REGL "&amp;LEFT('Brouillard ventes'!$D$210,25))</f>
        <v/>
      </c>
      <c r="F410" s="22">
        <f>IF(OR('Brouillard ventes'!$F$210="",'Brouillard ventes'!$J$210="À crédit",'Brouillard ventes'!$J$210=""),"",IF('Brouillard ventes'!$J$210="Espèces","04001","02001"))</f>
        <v/>
      </c>
      <c r="G410" s="22">
        <f>IF(OR('Brouillard ventes'!$F$210="",'Brouillard ventes'!$J$210="À crédit",'Brouillard ventes'!$J$210=""),"",IF('Brouillard ventes'!$J$210="Espèces","53000","51220"))</f>
        <v/>
      </c>
      <c r="H410" s="22" t="inlineStr"/>
      <c r="I410" s="22" t="inlineStr"/>
      <c r="J410" s="22" t="inlineStr"/>
      <c r="K410" s="22">
        <f>IF(OR('Brouillard ventes'!$F$210="",'Brouillard ventes'!$J$210="À crédit",'Brouillard ventes'!$J$210=""),"",Paramètres!$B$11)</f>
        <v/>
      </c>
      <c r="L410" s="23">
        <f>IF(OR('Brouillard ventes'!$F$210="",'Brouillard ventes'!$J$210="À crédit",'Brouillard ventes'!$J$210=""),0,'Brouillard ventes'!$I$210)</f>
        <v/>
      </c>
      <c r="M410" s="23" t="n">
        <v>0</v>
      </c>
    </row>
    <row r="411">
      <c r="A411" s="22" t="inlineStr">
        <is>
          <t>1</t>
        </is>
      </c>
      <c r="B411" s="22">
        <f>IF(OR('Brouillard ventes'!$F$210="",'Brouillard ventes'!$J$210="À crédit",'Brouillard ventes'!$J$210=""),"","EC"&amp;TEXT(ROW('Brouillard ventes'!$F$210)-5,"00000"))</f>
        <v/>
      </c>
      <c r="C411" s="22">
        <f>IF(OR('Brouillard ventes'!$F$210="",'Brouillard ventes'!$J$210="À crédit",'Brouillard ventes'!$J$210=""),"",YEAR('Brouillard ventes'!$A$210)*10000+MONTH('Brouillard ventes'!$A$210)*100+DAY('Brouillard ventes'!$A$210))</f>
        <v/>
      </c>
      <c r="D411" s="22">
        <f>IF(OR('Brouillard ventes'!$F$210="",'Brouillard ventes'!$J$210="À crédit",'Brouillard ventes'!$J$210=""),"",'Brouillard ventes'!$B$210)</f>
        <v/>
      </c>
      <c r="E411" s="22">
        <f>IF(OR('Brouillard ventes'!$F$210="",'Brouillard ventes'!$J$210="À crédit",'Brouillard ventes'!$J$210=""),"","REGL "&amp;LEFT('Brouillard ventes'!$D$210,25))</f>
        <v/>
      </c>
      <c r="F411" s="22">
        <f>IF(OR('Brouillard ventes'!$F$210="",'Brouillard ventes'!$J$210="À crédit",'Brouillard ventes'!$J$210=""),"",IF('Brouillard ventes'!$J$210="Espèces","04001","02001"))</f>
        <v/>
      </c>
      <c r="G411" s="22">
        <f>IF(OR('Brouillard ventes'!$F$210="",'Brouillard ventes'!$J$210="À crédit",'Brouillard ventes'!$J$210=""),"",Paramètres!$B$7)</f>
        <v/>
      </c>
      <c r="H411" s="22">
        <f>IF(OR('Brouillard ventes'!$F$210="",'Brouillard ventes'!$J$210="À crédit",'Brouillard ventes'!$J$210=""),"",IF('Brouillard ventes'!$C$210="","CD001",'Brouillard ventes'!$C$210))</f>
        <v/>
      </c>
      <c r="I411" s="22" t="inlineStr"/>
      <c r="J411" s="22" t="inlineStr"/>
      <c r="K411" s="22">
        <f>IF(OR('Brouillard ventes'!$F$210="",'Brouillard ventes'!$J$210="À crédit",'Brouillard ventes'!$J$210=""),"",Paramètres!$B$11)</f>
        <v/>
      </c>
      <c r="L411" s="23" t="n">
        <v>0</v>
      </c>
      <c r="M411" s="23">
        <f>IF(OR('Brouillard ventes'!$F$210="",'Brouillard ventes'!$J$210="À crédit",'Brouillard ventes'!$J$210=""),0,'Brouillard ventes'!$I$210)</f>
        <v/>
      </c>
    </row>
    <row r="412">
      <c r="A412" s="22" t="inlineStr">
        <is>
          <t>1</t>
        </is>
      </c>
      <c r="B412" s="22">
        <f>IF(OR('Brouillard ventes'!$F$211="",'Brouillard ventes'!$J$211="À crédit",'Brouillard ventes'!$J$211=""),"","EC"&amp;TEXT(ROW('Brouillard ventes'!$F$211)-5,"00000"))</f>
        <v/>
      </c>
      <c r="C412" s="22">
        <f>IF(OR('Brouillard ventes'!$F$211="",'Brouillard ventes'!$J$211="À crédit",'Brouillard ventes'!$J$211=""),"",YEAR('Brouillard ventes'!$A$211)*10000+MONTH('Brouillard ventes'!$A$211)*100+DAY('Brouillard ventes'!$A$211))</f>
        <v/>
      </c>
      <c r="D412" s="22">
        <f>IF(OR('Brouillard ventes'!$F$211="",'Brouillard ventes'!$J$211="À crédit",'Brouillard ventes'!$J$211=""),"",'Brouillard ventes'!$B$211)</f>
        <v/>
      </c>
      <c r="E412" s="22">
        <f>IF(OR('Brouillard ventes'!$F$211="",'Brouillard ventes'!$J$211="À crédit",'Brouillard ventes'!$J$211=""),"","REGL "&amp;LEFT('Brouillard ventes'!$D$211,25))</f>
        <v/>
      </c>
      <c r="F412" s="22">
        <f>IF(OR('Brouillard ventes'!$F$211="",'Brouillard ventes'!$J$211="À crédit",'Brouillard ventes'!$J$211=""),"",IF('Brouillard ventes'!$J$211="Espèces","04001","02001"))</f>
        <v/>
      </c>
      <c r="G412" s="22">
        <f>IF(OR('Brouillard ventes'!$F$211="",'Brouillard ventes'!$J$211="À crédit",'Brouillard ventes'!$J$211=""),"",IF('Brouillard ventes'!$J$211="Espèces","53000","51220"))</f>
        <v/>
      </c>
      <c r="H412" s="22" t="inlineStr"/>
      <c r="I412" s="22" t="inlineStr"/>
      <c r="J412" s="22" t="inlineStr"/>
      <c r="K412" s="22">
        <f>IF(OR('Brouillard ventes'!$F$211="",'Brouillard ventes'!$J$211="À crédit",'Brouillard ventes'!$J$211=""),"",Paramètres!$B$11)</f>
        <v/>
      </c>
      <c r="L412" s="23">
        <f>IF(OR('Brouillard ventes'!$F$211="",'Brouillard ventes'!$J$211="À crédit",'Brouillard ventes'!$J$211=""),0,'Brouillard ventes'!$I$211)</f>
        <v/>
      </c>
      <c r="M412" s="23" t="n">
        <v>0</v>
      </c>
    </row>
    <row r="413">
      <c r="A413" s="22" t="inlineStr">
        <is>
          <t>1</t>
        </is>
      </c>
      <c r="B413" s="22">
        <f>IF(OR('Brouillard ventes'!$F$211="",'Brouillard ventes'!$J$211="À crédit",'Brouillard ventes'!$J$211=""),"","EC"&amp;TEXT(ROW('Brouillard ventes'!$F$211)-5,"00000"))</f>
        <v/>
      </c>
      <c r="C413" s="22">
        <f>IF(OR('Brouillard ventes'!$F$211="",'Brouillard ventes'!$J$211="À crédit",'Brouillard ventes'!$J$211=""),"",YEAR('Brouillard ventes'!$A$211)*10000+MONTH('Brouillard ventes'!$A$211)*100+DAY('Brouillard ventes'!$A$211))</f>
        <v/>
      </c>
      <c r="D413" s="22">
        <f>IF(OR('Brouillard ventes'!$F$211="",'Brouillard ventes'!$J$211="À crédit",'Brouillard ventes'!$J$211=""),"",'Brouillard ventes'!$B$211)</f>
        <v/>
      </c>
      <c r="E413" s="22">
        <f>IF(OR('Brouillard ventes'!$F$211="",'Brouillard ventes'!$J$211="À crédit",'Brouillard ventes'!$J$211=""),"","REGL "&amp;LEFT('Brouillard ventes'!$D$211,25))</f>
        <v/>
      </c>
      <c r="F413" s="22">
        <f>IF(OR('Brouillard ventes'!$F$211="",'Brouillard ventes'!$J$211="À crédit",'Brouillard ventes'!$J$211=""),"",IF('Brouillard ventes'!$J$211="Espèces","04001","02001"))</f>
        <v/>
      </c>
      <c r="G413" s="22">
        <f>IF(OR('Brouillard ventes'!$F$211="",'Brouillard ventes'!$J$211="À crédit",'Brouillard ventes'!$J$211=""),"",Paramètres!$B$7)</f>
        <v/>
      </c>
      <c r="H413" s="22">
        <f>IF(OR('Brouillard ventes'!$F$211="",'Brouillard ventes'!$J$211="À crédit",'Brouillard ventes'!$J$211=""),"",IF('Brouillard ventes'!$C$211="","CD001",'Brouillard ventes'!$C$211))</f>
        <v/>
      </c>
      <c r="I413" s="22" t="inlineStr"/>
      <c r="J413" s="22" t="inlineStr"/>
      <c r="K413" s="22">
        <f>IF(OR('Brouillard ventes'!$F$211="",'Brouillard ventes'!$J$211="À crédit",'Brouillard ventes'!$J$211=""),"",Paramètres!$B$11)</f>
        <v/>
      </c>
      <c r="L413" s="23" t="n">
        <v>0</v>
      </c>
      <c r="M413" s="23">
        <f>IF(OR('Brouillard ventes'!$F$211="",'Brouillard ventes'!$J$211="À crédit",'Brouillard ventes'!$J$211=""),0,'Brouillard ventes'!$I$211)</f>
        <v/>
      </c>
    </row>
    <row r="414">
      <c r="A414" s="22" t="inlineStr">
        <is>
          <t>1</t>
        </is>
      </c>
      <c r="B414" s="22">
        <f>IF(OR('Brouillard ventes'!$F$212="",'Brouillard ventes'!$J$212="À crédit",'Brouillard ventes'!$J$212=""),"","EC"&amp;TEXT(ROW('Brouillard ventes'!$F$212)-5,"00000"))</f>
        <v/>
      </c>
      <c r="C414" s="22">
        <f>IF(OR('Brouillard ventes'!$F$212="",'Brouillard ventes'!$J$212="À crédit",'Brouillard ventes'!$J$212=""),"",YEAR('Brouillard ventes'!$A$212)*10000+MONTH('Brouillard ventes'!$A$212)*100+DAY('Brouillard ventes'!$A$212))</f>
        <v/>
      </c>
      <c r="D414" s="22">
        <f>IF(OR('Brouillard ventes'!$F$212="",'Brouillard ventes'!$J$212="À crédit",'Brouillard ventes'!$J$212=""),"",'Brouillard ventes'!$B$212)</f>
        <v/>
      </c>
      <c r="E414" s="22">
        <f>IF(OR('Brouillard ventes'!$F$212="",'Brouillard ventes'!$J$212="À crédit",'Brouillard ventes'!$J$212=""),"","REGL "&amp;LEFT('Brouillard ventes'!$D$212,25))</f>
        <v/>
      </c>
      <c r="F414" s="22">
        <f>IF(OR('Brouillard ventes'!$F$212="",'Brouillard ventes'!$J$212="À crédit",'Brouillard ventes'!$J$212=""),"",IF('Brouillard ventes'!$J$212="Espèces","04001","02001"))</f>
        <v/>
      </c>
      <c r="G414" s="22">
        <f>IF(OR('Brouillard ventes'!$F$212="",'Brouillard ventes'!$J$212="À crédit",'Brouillard ventes'!$J$212=""),"",IF('Brouillard ventes'!$J$212="Espèces","53000","51220"))</f>
        <v/>
      </c>
      <c r="H414" s="22" t="inlineStr"/>
      <c r="I414" s="22" t="inlineStr"/>
      <c r="J414" s="22" t="inlineStr"/>
      <c r="K414" s="22">
        <f>IF(OR('Brouillard ventes'!$F$212="",'Brouillard ventes'!$J$212="À crédit",'Brouillard ventes'!$J$212=""),"",Paramètres!$B$11)</f>
        <v/>
      </c>
      <c r="L414" s="23">
        <f>IF(OR('Brouillard ventes'!$F$212="",'Brouillard ventes'!$J$212="À crédit",'Brouillard ventes'!$J$212=""),0,'Brouillard ventes'!$I$212)</f>
        <v/>
      </c>
      <c r="M414" s="23" t="n">
        <v>0</v>
      </c>
    </row>
    <row r="415">
      <c r="A415" s="22" t="inlineStr">
        <is>
          <t>1</t>
        </is>
      </c>
      <c r="B415" s="22">
        <f>IF(OR('Brouillard ventes'!$F$212="",'Brouillard ventes'!$J$212="À crédit",'Brouillard ventes'!$J$212=""),"","EC"&amp;TEXT(ROW('Brouillard ventes'!$F$212)-5,"00000"))</f>
        <v/>
      </c>
      <c r="C415" s="22">
        <f>IF(OR('Brouillard ventes'!$F$212="",'Brouillard ventes'!$J$212="À crédit",'Brouillard ventes'!$J$212=""),"",YEAR('Brouillard ventes'!$A$212)*10000+MONTH('Brouillard ventes'!$A$212)*100+DAY('Brouillard ventes'!$A$212))</f>
        <v/>
      </c>
      <c r="D415" s="22">
        <f>IF(OR('Brouillard ventes'!$F$212="",'Brouillard ventes'!$J$212="À crédit",'Brouillard ventes'!$J$212=""),"",'Brouillard ventes'!$B$212)</f>
        <v/>
      </c>
      <c r="E415" s="22">
        <f>IF(OR('Brouillard ventes'!$F$212="",'Brouillard ventes'!$J$212="À crédit",'Brouillard ventes'!$J$212=""),"","REGL "&amp;LEFT('Brouillard ventes'!$D$212,25))</f>
        <v/>
      </c>
      <c r="F415" s="22">
        <f>IF(OR('Brouillard ventes'!$F$212="",'Brouillard ventes'!$J$212="À crédit",'Brouillard ventes'!$J$212=""),"",IF('Brouillard ventes'!$J$212="Espèces","04001","02001"))</f>
        <v/>
      </c>
      <c r="G415" s="22">
        <f>IF(OR('Brouillard ventes'!$F$212="",'Brouillard ventes'!$J$212="À crédit",'Brouillard ventes'!$J$212=""),"",Paramètres!$B$7)</f>
        <v/>
      </c>
      <c r="H415" s="22">
        <f>IF(OR('Brouillard ventes'!$F$212="",'Brouillard ventes'!$J$212="À crédit",'Brouillard ventes'!$J$212=""),"",IF('Brouillard ventes'!$C$212="","CD001",'Brouillard ventes'!$C$212))</f>
        <v/>
      </c>
      <c r="I415" s="22" t="inlineStr"/>
      <c r="J415" s="22" t="inlineStr"/>
      <c r="K415" s="22">
        <f>IF(OR('Brouillard ventes'!$F$212="",'Brouillard ventes'!$J$212="À crédit",'Brouillard ventes'!$J$212=""),"",Paramètres!$B$11)</f>
        <v/>
      </c>
      <c r="L415" s="23" t="n">
        <v>0</v>
      </c>
      <c r="M415" s="23">
        <f>IF(OR('Brouillard ventes'!$F$212="",'Brouillard ventes'!$J$212="À crédit",'Brouillard ventes'!$J$212=""),0,'Brouillard ventes'!$I$212)</f>
        <v/>
      </c>
    </row>
    <row r="416">
      <c r="A416" s="22" t="inlineStr">
        <is>
          <t>1</t>
        </is>
      </c>
      <c r="B416" s="22">
        <f>IF(OR('Brouillard ventes'!$F$213="",'Brouillard ventes'!$J$213="À crédit",'Brouillard ventes'!$J$213=""),"","EC"&amp;TEXT(ROW('Brouillard ventes'!$F$213)-5,"00000"))</f>
        <v/>
      </c>
      <c r="C416" s="22">
        <f>IF(OR('Brouillard ventes'!$F$213="",'Brouillard ventes'!$J$213="À crédit",'Brouillard ventes'!$J$213=""),"",YEAR('Brouillard ventes'!$A$213)*10000+MONTH('Brouillard ventes'!$A$213)*100+DAY('Brouillard ventes'!$A$213))</f>
        <v/>
      </c>
      <c r="D416" s="22">
        <f>IF(OR('Brouillard ventes'!$F$213="",'Brouillard ventes'!$J$213="À crédit",'Brouillard ventes'!$J$213=""),"",'Brouillard ventes'!$B$213)</f>
        <v/>
      </c>
      <c r="E416" s="22">
        <f>IF(OR('Brouillard ventes'!$F$213="",'Brouillard ventes'!$J$213="À crédit",'Brouillard ventes'!$J$213=""),"","REGL "&amp;LEFT('Brouillard ventes'!$D$213,25))</f>
        <v/>
      </c>
      <c r="F416" s="22">
        <f>IF(OR('Brouillard ventes'!$F$213="",'Brouillard ventes'!$J$213="À crédit",'Brouillard ventes'!$J$213=""),"",IF('Brouillard ventes'!$J$213="Espèces","04001","02001"))</f>
        <v/>
      </c>
      <c r="G416" s="22">
        <f>IF(OR('Brouillard ventes'!$F$213="",'Brouillard ventes'!$J$213="À crédit",'Brouillard ventes'!$J$213=""),"",IF('Brouillard ventes'!$J$213="Espèces","53000","51220"))</f>
        <v/>
      </c>
      <c r="H416" s="22" t="inlineStr"/>
      <c r="I416" s="22" t="inlineStr"/>
      <c r="J416" s="22" t="inlineStr"/>
      <c r="K416" s="22">
        <f>IF(OR('Brouillard ventes'!$F$213="",'Brouillard ventes'!$J$213="À crédit",'Brouillard ventes'!$J$213=""),"",Paramètres!$B$11)</f>
        <v/>
      </c>
      <c r="L416" s="23">
        <f>IF(OR('Brouillard ventes'!$F$213="",'Brouillard ventes'!$J$213="À crédit",'Brouillard ventes'!$J$213=""),0,'Brouillard ventes'!$I$213)</f>
        <v/>
      </c>
      <c r="M416" s="23" t="n">
        <v>0</v>
      </c>
    </row>
    <row r="417">
      <c r="A417" s="22" t="inlineStr">
        <is>
          <t>1</t>
        </is>
      </c>
      <c r="B417" s="22">
        <f>IF(OR('Brouillard ventes'!$F$213="",'Brouillard ventes'!$J$213="À crédit",'Brouillard ventes'!$J$213=""),"","EC"&amp;TEXT(ROW('Brouillard ventes'!$F$213)-5,"00000"))</f>
        <v/>
      </c>
      <c r="C417" s="22">
        <f>IF(OR('Brouillard ventes'!$F$213="",'Brouillard ventes'!$J$213="À crédit",'Brouillard ventes'!$J$213=""),"",YEAR('Brouillard ventes'!$A$213)*10000+MONTH('Brouillard ventes'!$A$213)*100+DAY('Brouillard ventes'!$A$213))</f>
        <v/>
      </c>
      <c r="D417" s="22">
        <f>IF(OR('Brouillard ventes'!$F$213="",'Brouillard ventes'!$J$213="À crédit",'Brouillard ventes'!$J$213=""),"",'Brouillard ventes'!$B$213)</f>
        <v/>
      </c>
      <c r="E417" s="22">
        <f>IF(OR('Brouillard ventes'!$F$213="",'Brouillard ventes'!$J$213="À crédit",'Brouillard ventes'!$J$213=""),"","REGL "&amp;LEFT('Brouillard ventes'!$D$213,25))</f>
        <v/>
      </c>
      <c r="F417" s="22">
        <f>IF(OR('Brouillard ventes'!$F$213="",'Brouillard ventes'!$J$213="À crédit",'Brouillard ventes'!$J$213=""),"",IF('Brouillard ventes'!$J$213="Espèces","04001","02001"))</f>
        <v/>
      </c>
      <c r="G417" s="22">
        <f>IF(OR('Brouillard ventes'!$F$213="",'Brouillard ventes'!$J$213="À crédit",'Brouillard ventes'!$J$213=""),"",Paramètres!$B$7)</f>
        <v/>
      </c>
      <c r="H417" s="22">
        <f>IF(OR('Brouillard ventes'!$F$213="",'Brouillard ventes'!$J$213="À crédit",'Brouillard ventes'!$J$213=""),"",IF('Brouillard ventes'!$C$213="","CD001",'Brouillard ventes'!$C$213))</f>
        <v/>
      </c>
      <c r="I417" s="22" t="inlineStr"/>
      <c r="J417" s="22" t="inlineStr"/>
      <c r="K417" s="22">
        <f>IF(OR('Brouillard ventes'!$F$213="",'Brouillard ventes'!$J$213="À crédit",'Brouillard ventes'!$J$213=""),"",Paramètres!$B$11)</f>
        <v/>
      </c>
      <c r="L417" s="23" t="n">
        <v>0</v>
      </c>
      <c r="M417" s="23">
        <f>IF(OR('Brouillard ventes'!$F$213="",'Brouillard ventes'!$J$213="À crédit",'Brouillard ventes'!$J$213=""),0,'Brouillard ventes'!$I$213)</f>
        <v/>
      </c>
    </row>
    <row r="418">
      <c r="A418" s="22" t="inlineStr">
        <is>
          <t>1</t>
        </is>
      </c>
      <c r="B418" s="22">
        <f>IF(OR('Brouillard ventes'!$F$214="",'Brouillard ventes'!$J$214="À crédit",'Brouillard ventes'!$J$214=""),"","EC"&amp;TEXT(ROW('Brouillard ventes'!$F$214)-5,"00000"))</f>
        <v/>
      </c>
      <c r="C418" s="22">
        <f>IF(OR('Brouillard ventes'!$F$214="",'Brouillard ventes'!$J$214="À crédit",'Brouillard ventes'!$J$214=""),"",YEAR('Brouillard ventes'!$A$214)*10000+MONTH('Brouillard ventes'!$A$214)*100+DAY('Brouillard ventes'!$A$214))</f>
        <v/>
      </c>
      <c r="D418" s="22">
        <f>IF(OR('Brouillard ventes'!$F$214="",'Brouillard ventes'!$J$214="À crédit",'Brouillard ventes'!$J$214=""),"",'Brouillard ventes'!$B$214)</f>
        <v/>
      </c>
      <c r="E418" s="22">
        <f>IF(OR('Brouillard ventes'!$F$214="",'Brouillard ventes'!$J$214="À crédit",'Brouillard ventes'!$J$214=""),"","REGL "&amp;LEFT('Brouillard ventes'!$D$214,25))</f>
        <v/>
      </c>
      <c r="F418" s="22">
        <f>IF(OR('Brouillard ventes'!$F$214="",'Brouillard ventes'!$J$214="À crédit",'Brouillard ventes'!$J$214=""),"",IF('Brouillard ventes'!$J$214="Espèces","04001","02001"))</f>
        <v/>
      </c>
      <c r="G418" s="22">
        <f>IF(OR('Brouillard ventes'!$F$214="",'Brouillard ventes'!$J$214="À crédit",'Brouillard ventes'!$J$214=""),"",IF('Brouillard ventes'!$J$214="Espèces","53000","51220"))</f>
        <v/>
      </c>
      <c r="H418" s="22" t="inlineStr"/>
      <c r="I418" s="22" t="inlineStr"/>
      <c r="J418" s="22" t="inlineStr"/>
      <c r="K418" s="22">
        <f>IF(OR('Brouillard ventes'!$F$214="",'Brouillard ventes'!$J$214="À crédit",'Brouillard ventes'!$J$214=""),"",Paramètres!$B$11)</f>
        <v/>
      </c>
      <c r="L418" s="23">
        <f>IF(OR('Brouillard ventes'!$F$214="",'Brouillard ventes'!$J$214="À crédit",'Brouillard ventes'!$J$214=""),0,'Brouillard ventes'!$I$214)</f>
        <v/>
      </c>
      <c r="M418" s="23" t="n">
        <v>0</v>
      </c>
    </row>
    <row r="419">
      <c r="A419" s="22" t="inlineStr">
        <is>
          <t>1</t>
        </is>
      </c>
      <c r="B419" s="22">
        <f>IF(OR('Brouillard ventes'!$F$214="",'Brouillard ventes'!$J$214="À crédit",'Brouillard ventes'!$J$214=""),"","EC"&amp;TEXT(ROW('Brouillard ventes'!$F$214)-5,"00000"))</f>
        <v/>
      </c>
      <c r="C419" s="22">
        <f>IF(OR('Brouillard ventes'!$F$214="",'Brouillard ventes'!$J$214="À crédit",'Brouillard ventes'!$J$214=""),"",YEAR('Brouillard ventes'!$A$214)*10000+MONTH('Brouillard ventes'!$A$214)*100+DAY('Brouillard ventes'!$A$214))</f>
        <v/>
      </c>
      <c r="D419" s="22">
        <f>IF(OR('Brouillard ventes'!$F$214="",'Brouillard ventes'!$J$214="À crédit",'Brouillard ventes'!$J$214=""),"",'Brouillard ventes'!$B$214)</f>
        <v/>
      </c>
      <c r="E419" s="22">
        <f>IF(OR('Brouillard ventes'!$F$214="",'Brouillard ventes'!$J$214="À crédit",'Brouillard ventes'!$J$214=""),"","REGL "&amp;LEFT('Brouillard ventes'!$D$214,25))</f>
        <v/>
      </c>
      <c r="F419" s="22">
        <f>IF(OR('Brouillard ventes'!$F$214="",'Brouillard ventes'!$J$214="À crédit",'Brouillard ventes'!$J$214=""),"",IF('Brouillard ventes'!$J$214="Espèces","04001","02001"))</f>
        <v/>
      </c>
      <c r="G419" s="22">
        <f>IF(OR('Brouillard ventes'!$F$214="",'Brouillard ventes'!$J$214="À crédit",'Brouillard ventes'!$J$214=""),"",Paramètres!$B$7)</f>
        <v/>
      </c>
      <c r="H419" s="22">
        <f>IF(OR('Brouillard ventes'!$F$214="",'Brouillard ventes'!$J$214="À crédit",'Brouillard ventes'!$J$214=""),"",IF('Brouillard ventes'!$C$214="","CD001",'Brouillard ventes'!$C$214))</f>
        <v/>
      </c>
      <c r="I419" s="22" t="inlineStr"/>
      <c r="J419" s="22" t="inlineStr"/>
      <c r="K419" s="22">
        <f>IF(OR('Brouillard ventes'!$F$214="",'Brouillard ventes'!$J$214="À crédit",'Brouillard ventes'!$J$214=""),"",Paramètres!$B$11)</f>
        <v/>
      </c>
      <c r="L419" s="23" t="n">
        <v>0</v>
      </c>
      <c r="M419" s="23">
        <f>IF(OR('Brouillard ventes'!$F$214="",'Brouillard ventes'!$J$214="À crédit",'Brouillard ventes'!$J$214=""),0,'Brouillard ventes'!$I$214)</f>
        <v/>
      </c>
    </row>
    <row r="420">
      <c r="A420" s="22" t="inlineStr">
        <is>
          <t>1</t>
        </is>
      </c>
      <c r="B420" s="22">
        <f>IF(OR('Brouillard ventes'!$F$215="",'Brouillard ventes'!$J$215="À crédit",'Brouillard ventes'!$J$215=""),"","EC"&amp;TEXT(ROW('Brouillard ventes'!$F$215)-5,"00000"))</f>
        <v/>
      </c>
      <c r="C420" s="22">
        <f>IF(OR('Brouillard ventes'!$F$215="",'Brouillard ventes'!$J$215="À crédit",'Brouillard ventes'!$J$215=""),"",YEAR('Brouillard ventes'!$A$215)*10000+MONTH('Brouillard ventes'!$A$215)*100+DAY('Brouillard ventes'!$A$215))</f>
        <v/>
      </c>
      <c r="D420" s="22">
        <f>IF(OR('Brouillard ventes'!$F$215="",'Brouillard ventes'!$J$215="À crédit",'Brouillard ventes'!$J$215=""),"",'Brouillard ventes'!$B$215)</f>
        <v/>
      </c>
      <c r="E420" s="22">
        <f>IF(OR('Brouillard ventes'!$F$215="",'Brouillard ventes'!$J$215="À crédit",'Brouillard ventes'!$J$215=""),"","REGL "&amp;LEFT('Brouillard ventes'!$D$215,25))</f>
        <v/>
      </c>
      <c r="F420" s="22">
        <f>IF(OR('Brouillard ventes'!$F$215="",'Brouillard ventes'!$J$215="À crédit",'Brouillard ventes'!$J$215=""),"",IF('Brouillard ventes'!$J$215="Espèces","04001","02001"))</f>
        <v/>
      </c>
      <c r="G420" s="22">
        <f>IF(OR('Brouillard ventes'!$F$215="",'Brouillard ventes'!$J$215="À crédit",'Brouillard ventes'!$J$215=""),"",IF('Brouillard ventes'!$J$215="Espèces","53000","51220"))</f>
        <v/>
      </c>
      <c r="H420" s="22" t="inlineStr"/>
      <c r="I420" s="22" t="inlineStr"/>
      <c r="J420" s="22" t="inlineStr"/>
      <c r="K420" s="22">
        <f>IF(OR('Brouillard ventes'!$F$215="",'Brouillard ventes'!$J$215="À crédit",'Brouillard ventes'!$J$215=""),"",Paramètres!$B$11)</f>
        <v/>
      </c>
      <c r="L420" s="23">
        <f>IF(OR('Brouillard ventes'!$F$215="",'Brouillard ventes'!$J$215="À crédit",'Brouillard ventes'!$J$215=""),0,'Brouillard ventes'!$I$215)</f>
        <v/>
      </c>
      <c r="M420" s="23" t="n">
        <v>0</v>
      </c>
    </row>
    <row r="421">
      <c r="A421" s="22" t="inlineStr">
        <is>
          <t>1</t>
        </is>
      </c>
      <c r="B421" s="22">
        <f>IF(OR('Brouillard ventes'!$F$215="",'Brouillard ventes'!$J$215="À crédit",'Brouillard ventes'!$J$215=""),"","EC"&amp;TEXT(ROW('Brouillard ventes'!$F$215)-5,"00000"))</f>
        <v/>
      </c>
      <c r="C421" s="22">
        <f>IF(OR('Brouillard ventes'!$F$215="",'Brouillard ventes'!$J$215="À crédit",'Brouillard ventes'!$J$215=""),"",YEAR('Brouillard ventes'!$A$215)*10000+MONTH('Brouillard ventes'!$A$215)*100+DAY('Brouillard ventes'!$A$215))</f>
        <v/>
      </c>
      <c r="D421" s="22">
        <f>IF(OR('Brouillard ventes'!$F$215="",'Brouillard ventes'!$J$215="À crédit",'Brouillard ventes'!$J$215=""),"",'Brouillard ventes'!$B$215)</f>
        <v/>
      </c>
      <c r="E421" s="22">
        <f>IF(OR('Brouillard ventes'!$F$215="",'Brouillard ventes'!$J$215="À crédit",'Brouillard ventes'!$J$215=""),"","REGL "&amp;LEFT('Brouillard ventes'!$D$215,25))</f>
        <v/>
      </c>
      <c r="F421" s="22">
        <f>IF(OR('Brouillard ventes'!$F$215="",'Brouillard ventes'!$J$215="À crédit",'Brouillard ventes'!$J$215=""),"",IF('Brouillard ventes'!$J$215="Espèces","04001","02001"))</f>
        <v/>
      </c>
      <c r="G421" s="22">
        <f>IF(OR('Brouillard ventes'!$F$215="",'Brouillard ventes'!$J$215="À crédit",'Brouillard ventes'!$J$215=""),"",Paramètres!$B$7)</f>
        <v/>
      </c>
      <c r="H421" s="22">
        <f>IF(OR('Brouillard ventes'!$F$215="",'Brouillard ventes'!$J$215="À crédit",'Brouillard ventes'!$J$215=""),"",IF('Brouillard ventes'!$C$215="","CD001",'Brouillard ventes'!$C$215))</f>
        <v/>
      </c>
      <c r="I421" s="22" t="inlineStr"/>
      <c r="J421" s="22" t="inlineStr"/>
      <c r="K421" s="22">
        <f>IF(OR('Brouillard ventes'!$F$215="",'Brouillard ventes'!$J$215="À crédit",'Brouillard ventes'!$J$215=""),"",Paramètres!$B$11)</f>
        <v/>
      </c>
      <c r="L421" s="23" t="n">
        <v>0</v>
      </c>
      <c r="M421" s="23">
        <f>IF(OR('Brouillard ventes'!$F$215="",'Brouillard ventes'!$J$215="À crédit",'Brouillard ventes'!$J$215=""),0,'Brouillard ventes'!$I$215)</f>
        <v/>
      </c>
    </row>
    <row r="422">
      <c r="A422" s="22" t="inlineStr">
        <is>
          <t>1</t>
        </is>
      </c>
      <c r="B422" s="22">
        <f>IF(OR('Brouillard ventes'!$F$216="",'Brouillard ventes'!$J$216="À crédit",'Brouillard ventes'!$J$216=""),"","EC"&amp;TEXT(ROW('Brouillard ventes'!$F$216)-5,"00000"))</f>
        <v/>
      </c>
      <c r="C422" s="22">
        <f>IF(OR('Brouillard ventes'!$F$216="",'Brouillard ventes'!$J$216="À crédit",'Brouillard ventes'!$J$216=""),"",YEAR('Brouillard ventes'!$A$216)*10000+MONTH('Brouillard ventes'!$A$216)*100+DAY('Brouillard ventes'!$A$216))</f>
        <v/>
      </c>
      <c r="D422" s="22">
        <f>IF(OR('Brouillard ventes'!$F$216="",'Brouillard ventes'!$J$216="À crédit",'Brouillard ventes'!$J$216=""),"",'Brouillard ventes'!$B$216)</f>
        <v/>
      </c>
      <c r="E422" s="22">
        <f>IF(OR('Brouillard ventes'!$F$216="",'Brouillard ventes'!$J$216="À crédit",'Brouillard ventes'!$J$216=""),"","REGL "&amp;LEFT('Brouillard ventes'!$D$216,25))</f>
        <v/>
      </c>
      <c r="F422" s="22">
        <f>IF(OR('Brouillard ventes'!$F$216="",'Brouillard ventes'!$J$216="À crédit",'Brouillard ventes'!$J$216=""),"",IF('Brouillard ventes'!$J$216="Espèces","04001","02001"))</f>
        <v/>
      </c>
      <c r="G422" s="22">
        <f>IF(OR('Brouillard ventes'!$F$216="",'Brouillard ventes'!$J$216="À crédit",'Brouillard ventes'!$J$216=""),"",IF('Brouillard ventes'!$J$216="Espèces","53000","51220"))</f>
        <v/>
      </c>
      <c r="H422" s="22" t="inlineStr"/>
      <c r="I422" s="22" t="inlineStr"/>
      <c r="J422" s="22" t="inlineStr"/>
      <c r="K422" s="22">
        <f>IF(OR('Brouillard ventes'!$F$216="",'Brouillard ventes'!$J$216="À crédit",'Brouillard ventes'!$J$216=""),"",Paramètres!$B$11)</f>
        <v/>
      </c>
      <c r="L422" s="23">
        <f>IF(OR('Brouillard ventes'!$F$216="",'Brouillard ventes'!$J$216="À crédit",'Brouillard ventes'!$J$216=""),0,'Brouillard ventes'!$I$216)</f>
        <v/>
      </c>
      <c r="M422" s="23" t="n">
        <v>0</v>
      </c>
    </row>
    <row r="423">
      <c r="A423" s="22" t="inlineStr">
        <is>
          <t>1</t>
        </is>
      </c>
      <c r="B423" s="22">
        <f>IF(OR('Brouillard ventes'!$F$216="",'Brouillard ventes'!$J$216="À crédit",'Brouillard ventes'!$J$216=""),"","EC"&amp;TEXT(ROW('Brouillard ventes'!$F$216)-5,"00000"))</f>
        <v/>
      </c>
      <c r="C423" s="22">
        <f>IF(OR('Brouillard ventes'!$F$216="",'Brouillard ventes'!$J$216="À crédit",'Brouillard ventes'!$J$216=""),"",YEAR('Brouillard ventes'!$A$216)*10000+MONTH('Brouillard ventes'!$A$216)*100+DAY('Brouillard ventes'!$A$216))</f>
        <v/>
      </c>
      <c r="D423" s="22">
        <f>IF(OR('Brouillard ventes'!$F$216="",'Brouillard ventes'!$J$216="À crédit",'Brouillard ventes'!$J$216=""),"",'Brouillard ventes'!$B$216)</f>
        <v/>
      </c>
      <c r="E423" s="22">
        <f>IF(OR('Brouillard ventes'!$F$216="",'Brouillard ventes'!$J$216="À crédit",'Brouillard ventes'!$J$216=""),"","REGL "&amp;LEFT('Brouillard ventes'!$D$216,25))</f>
        <v/>
      </c>
      <c r="F423" s="22">
        <f>IF(OR('Brouillard ventes'!$F$216="",'Brouillard ventes'!$J$216="À crédit",'Brouillard ventes'!$J$216=""),"",IF('Brouillard ventes'!$J$216="Espèces","04001","02001"))</f>
        <v/>
      </c>
      <c r="G423" s="22">
        <f>IF(OR('Brouillard ventes'!$F$216="",'Brouillard ventes'!$J$216="À crédit",'Brouillard ventes'!$J$216=""),"",Paramètres!$B$7)</f>
        <v/>
      </c>
      <c r="H423" s="22">
        <f>IF(OR('Brouillard ventes'!$F$216="",'Brouillard ventes'!$J$216="À crédit",'Brouillard ventes'!$J$216=""),"",IF('Brouillard ventes'!$C$216="","CD001",'Brouillard ventes'!$C$216))</f>
        <v/>
      </c>
      <c r="I423" s="22" t="inlineStr"/>
      <c r="J423" s="22" t="inlineStr"/>
      <c r="K423" s="22">
        <f>IF(OR('Brouillard ventes'!$F$216="",'Brouillard ventes'!$J$216="À crédit",'Brouillard ventes'!$J$216=""),"",Paramètres!$B$11)</f>
        <v/>
      </c>
      <c r="L423" s="23" t="n">
        <v>0</v>
      </c>
      <c r="M423" s="23">
        <f>IF(OR('Brouillard ventes'!$F$216="",'Brouillard ventes'!$J$216="À crédit",'Brouillard ventes'!$J$216=""),0,'Brouillard ventes'!$I$216)</f>
        <v/>
      </c>
    </row>
    <row r="424">
      <c r="A424" s="22" t="inlineStr">
        <is>
          <t>1</t>
        </is>
      </c>
      <c r="B424" s="22">
        <f>IF(OR('Brouillard ventes'!$F$217="",'Brouillard ventes'!$J$217="À crédit",'Brouillard ventes'!$J$217=""),"","EC"&amp;TEXT(ROW('Brouillard ventes'!$F$217)-5,"00000"))</f>
        <v/>
      </c>
      <c r="C424" s="22">
        <f>IF(OR('Brouillard ventes'!$F$217="",'Brouillard ventes'!$J$217="À crédit",'Brouillard ventes'!$J$217=""),"",YEAR('Brouillard ventes'!$A$217)*10000+MONTH('Brouillard ventes'!$A$217)*100+DAY('Brouillard ventes'!$A$217))</f>
        <v/>
      </c>
      <c r="D424" s="22">
        <f>IF(OR('Brouillard ventes'!$F$217="",'Brouillard ventes'!$J$217="À crédit",'Brouillard ventes'!$J$217=""),"",'Brouillard ventes'!$B$217)</f>
        <v/>
      </c>
      <c r="E424" s="22">
        <f>IF(OR('Brouillard ventes'!$F$217="",'Brouillard ventes'!$J$217="À crédit",'Brouillard ventes'!$J$217=""),"","REGL "&amp;LEFT('Brouillard ventes'!$D$217,25))</f>
        <v/>
      </c>
      <c r="F424" s="22">
        <f>IF(OR('Brouillard ventes'!$F$217="",'Brouillard ventes'!$J$217="À crédit",'Brouillard ventes'!$J$217=""),"",IF('Brouillard ventes'!$J$217="Espèces","04001","02001"))</f>
        <v/>
      </c>
      <c r="G424" s="22">
        <f>IF(OR('Brouillard ventes'!$F$217="",'Brouillard ventes'!$J$217="À crédit",'Brouillard ventes'!$J$217=""),"",IF('Brouillard ventes'!$J$217="Espèces","53000","51220"))</f>
        <v/>
      </c>
      <c r="H424" s="22" t="inlineStr"/>
      <c r="I424" s="22" t="inlineStr"/>
      <c r="J424" s="22" t="inlineStr"/>
      <c r="K424" s="22">
        <f>IF(OR('Brouillard ventes'!$F$217="",'Brouillard ventes'!$J$217="À crédit",'Brouillard ventes'!$J$217=""),"",Paramètres!$B$11)</f>
        <v/>
      </c>
      <c r="L424" s="23">
        <f>IF(OR('Brouillard ventes'!$F$217="",'Brouillard ventes'!$J$217="À crédit",'Brouillard ventes'!$J$217=""),0,'Brouillard ventes'!$I$217)</f>
        <v/>
      </c>
      <c r="M424" s="23" t="n">
        <v>0</v>
      </c>
    </row>
    <row r="425">
      <c r="A425" s="22" t="inlineStr">
        <is>
          <t>1</t>
        </is>
      </c>
      <c r="B425" s="22">
        <f>IF(OR('Brouillard ventes'!$F$217="",'Brouillard ventes'!$J$217="À crédit",'Brouillard ventes'!$J$217=""),"","EC"&amp;TEXT(ROW('Brouillard ventes'!$F$217)-5,"00000"))</f>
        <v/>
      </c>
      <c r="C425" s="22">
        <f>IF(OR('Brouillard ventes'!$F$217="",'Brouillard ventes'!$J$217="À crédit",'Brouillard ventes'!$J$217=""),"",YEAR('Brouillard ventes'!$A$217)*10000+MONTH('Brouillard ventes'!$A$217)*100+DAY('Brouillard ventes'!$A$217))</f>
        <v/>
      </c>
      <c r="D425" s="22">
        <f>IF(OR('Brouillard ventes'!$F$217="",'Brouillard ventes'!$J$217="À crédit",'Brouillard ventes'!$J$217=""),"",'Brouillard ventes'!$B$217)</f>
        <v/>
      </c>
      <c r="E425" s="22">
        <f>IF(OR('Brouillard ventes'!$F$217="",'Brouillard ventes'!$J$217="À crédit",'Brouillard ventes'!$J$217=""),"","REGL "&amp;LEFT('Brouillard ventes'!$D$217,25))</f>
        <v/>
      </c>
      <c r="F425" s="22">
        <f>IF(OR('Brouillard ventes'!$F$217="",'Brouillard ventes'!$J$217="À crédit",'Brouillard ventes'!$J$217=""),"",IF('Brouillard ventes'!$J$217="Espèces","04001","02001"))</f>
        <v/>
      </c>
      <c r="G425" s="22">
        <f>IF(OR('Brouillard ventes'!$F$217="",'Brouillard ventes'!$J$217="À crédit",'Brouillard ventes'!$J$217=""),"",Paramètres!$B$7)</f>
        <v/>
      </c>
      <c r="H425" s="22">
        <f>IF(OR('Brouillard ventes'!$F$217="",'Brouillard ventes'!$J$217="À crédit",'Brouillard ventes'!$J$217=""),"",IF('Brouillard ventes'!$C$217="","CD001",'Brouillard ventes'!$C$217))</f>
        <v/>
      </c>
      <c r="I425" s="22" t="inlineStr"/>
      <c r="J425" s="22" t="inlineStr"/>
      <c r="K425" s="22">
        <f>IF(OR('Brouillard ventes'!$F$217="",'Brouillard ventes'!$J$217="À crédit",'Brouillard ventes'!$J$217=""),"",Paramètres!$B$11)</f>
        <v/>
      </c>
      <c r="L425" s="23" t="n">
        <v>0</v>
      </c>
      <c r="M425" s="23">
        <f>IF(OR('Brouillard ventes'!$F$217="",'Brouillard ventes'!$J$217="À crédit",'Brouillard ventes'!$J$217=""),0,'Brouillard ventes'!$I$217)</f>
        <v/>
      </c>
    </row>
    <row r="426">
      <c r="A426" s="22" t="inlineStr">
        <is>
          <t>1</t>
        </is>
      </c>
      <c r="B426" s="22">
        <f>IF(OR('Brouillard ventes'!$F$218="",'Brouillard ventes'!$J$218="À crédit",'Brouillard ventes'!$J$218=""),"","EC"&amp;TEXT(ROW('Brouillard ventes'!$F$218)-5,"00000"))</f>
        <v/>
      </c>
      <c r="C426" s="22">
        <f>IF(OR('Brouillard ventes'!$F$218="",'Brouillard ventes'!$J$218="À crédit",'Brouillard ventes'!$J$218=""),"",YEAR('Brouillard ventes'!$A$218)*10000+MONTH('Brouillard ventes'!$A$218)*100+DAY('Brouillard ventes'!$A$218))</f>
        <v/>
      </c>
      <c r="D426" s="22">
        <f>IF(OR('Brouillard ventes'!$F$218="",'Brouillard ventes'!$J$218="À crédit",'Brouillard ventes'!$J$218=""),"",'Brouillard ventes'!$B$218)</f>
        <v/>
      </c>
      <c r="E426" s="22">
        <f>IF(OR('Brouillard ventes'!$F$218="",'Brouillard ventes'!$J$218="À crédit",'Brouillard ventes'!$J$218=""),"","REGL "&amp;LEFT('Brouillard ventes'!$D$218,25))</f>
        <v/>
      </c>
      <c r="F426" s="22">
        <f>IF(OR('Brouillard ventes'!$F$218="",'Brouillard ventes'!$J$218="À crédit",'Brouillard ventes'!$J$218=""),"",IF('Brouillard ventes'!$J$218="Espèces","04001","02001"))</f>
        <v/>
      </c>
      <c r="G426" s="22">
        <f>IF(OR('Brouillard ventes'!$F$218="",'Brouillard ventes'!$J$218="À crédit",'Brouillard ventes'!$J$218=""),"",IF('Brouillard ventes'!$J$218="Espèces","53000","51220"))</f>
        <v/>
      </c>
      <c r="H426" s="22" t="inlineStr"/>
      <c r="I426" s="22" t="inlineStr"/>
      <c r="J426" s="22" t="inlineStr"/>
      <c r="K426" s="22">
        <f>IF(OR('Brouillard ventes'!$F$218="",'Brouillard ventes'!$J$218="À crédit",'Brouillard ventes'!$J$218=""),"",Paramètres!$B$11)</f>
        <v/>
      </c>
      <c r="L426" s="23">
        <f>IF(OR('Brouillard ventes'!$F$218="",'Brouillard ventes'!$J$218="À crédit",'Brouillard ventes'!$J$218=""),0,'Brouillard ventes'!$I$218)</f>
        <v/>
      </c>
      <c r="M426" s="23" t="n">
        <v>0</v>
      </c>
    </row>
    <row r="427">
      <c r="A427" s="22" t="inlineStr">
        <is>
          <t>1</t>
        </is>
      </c>
      <c r="B427" s="22">
        <f>IF(OR('Brouillard ventes'!$F$218="",'Brouillard ventes'!$J$218="À crédit",'Brouillard ventes'!$J$218=""),"","EC"&amp;TEXT(ROW('Brouillard ventes'!$F$218)-5,"00000"))</f>
        <v/>
      </c>
      <c r="C427" s="22">
        <f>IF(OR('Brouillard ventes'!$F$218="",'Brouillard ventes'!$J$218="À crédit",'Brouillard ventes'!$J$218=""),"",YEAR('Brouillard ventes'!$A$218)*10000+MONTH('Brouillard ventes'!$A$218)*100+DAY('Brouillard ventes'!$A$218))</f>
        <v/>
      </c>
      <c r="D427" s="22">
        <f>IF(OR('Brouillard ventes'!$F$218="",'Brouillard ventes'!$J$218="À crédit",'Brouillard ventes'!$J$218=""),"",'Brouillard ventes'!$B$218)</f>
        <v/>
      </c>
      <c r="E427" s="22">
        <f>IF(OR('Brouillard ventes'!$F$218="",'Brouillard ventes'!$J$218="À crédit",'Brouillard ventes'!$J$218=""),"","REGL "&amp;LEFT('Brouillard ventes'!$D$218,25))</f>
        <v/>
      </c>
      <c r="F427" s="22">
        <f>IF(OR('Brouillard ventes'!$F$218="",'Brouillard ventes'!$J$218="À crédit",'Brouillard ventes'!$J$218=""),"",IF('Brouillard ventes'!$J$218="Espèces","04001","02001"))</f>
        <v/>
      </c>
      <c r="G427" s="22">
        <f>IF(OR('Brouillard ventes'!$F$218="",'Brouillard ventes'!$J$218="À crédit",'Brouillard ventes'!$J$218=""),"",Paramètres!$B$7)</f>
        <v/>
      </c>
      <c r="H427" s="22">
        <f>IF(OR('Brouillard ventes'!$F$218="",'Brouillard ventes'!$J$218="À crédit",'Brouillard ventes'!$J$218=""),"",IF('Brouillard ventes'!$C$218="","CD001",'Brouillard ventes'!$C$218))</f>
        <v/>
      </c>
      <c r="I427" s="22" t="inlineStr"/>
      <c r="J427" s="22" t="inlineStr"/>
      <c r="K427" s="22">
        <f>IF(OR('Brouillard ventes'!$F$218="",'Brouillard ventes'!$J$218="À crédit",'Brouillard ventes'!$J$218=""),"",Paramètres!$B$11)</f>
        <v/>
      </c>
      <c r="L427" s="23" t="n">
        <v>0</v>
      </c>
      <c r="M427" s="23">
        <f>IF(OR('Brouillard ventes'!$F$218="",'Brouillard ventes'!$J$218="À crédit",'Brouillard ventes'!$J$218=""),0,'Brouillard ventes'!$I$218)</f>
        <v/>
      </c>
    </row>
    <row r="428">
      <c r="A428" s="22" t="inlineStr">
        <is>
          <t>1</t>
        </is>
      </c>
      <c r="B428" s="22">
        <f>IF(OR('Brouillard ventes'!$F$219="",'Brouillard ventes'!$J$219="À crédit",'Brouillard ventes'!$J$219=""),"","EC"&amp;TEXT(ROW('Brouillard ventes'!$F$219)-5,"00000"))</f>
        <v/>
      </c>
      <c r="C428" s="22">
        <f>IF(OR('Brouillard ventes'!$F$219="",'Brouillard ventes'!$J$219="À crédit",'Brouillard ventes'!$J$219=""),"",YEAR('Brouillard ventes'!$A$219)*10000+MONTH('Brouillard ventes'!$A$219)*100+DAY('Brouillard ventes'!$A$219))</f>
        <v/>
      </c>
      <c r="D428" s="22">
        <f>IF(OR('Brouillard ventes'!$F$219="",'Brouillard ventes'!$J$219="À crédit",'Brouillard ventes'!$J$219=""),"",'Brouillard ventes'!$B$219)</f>
        <v/>
      </c>
      <c r="E428" s="22">
        <f>IF(OR('Brouillard ventes'!$F$219="",'Brouillard ventes'!$J$219="À crédit",'Brouillard ventes'!$J$219=""),"","REGL "&amp;LEFT('Brouillard ventes'!$D$219,25))</f>
        <v/>
      </c>
      <c r="F428" s="22">
        <f>IF(OR('Brouillard ventes'!$F$219="",'Brouillard ventes'!$J$219="À crédit",'Brouillard ventes'!$J$219=""),"",IF('Brouillard ventes'!$J$219="Espèces","04001","02001"))</f>
        <v/>
      </c>
      <c r="G428" s="22">
        <f>IF(OR('Brouillard ventes'!$F$219="",'Brouillard ventes'!$J$219="À crédit",'Brouillard ventes'!$J$219=""),"",IF('Brouillard ventes'!$J$219="Espèces","53000","51220"))</f>
        <v/>
      </c>
      <c r="H428" s="22" t="inlineStr"/>
      <c r="I428" s="22" t="inlineStr"/>
      <c r="J428" s="22" t="inlineStr"/>
      <c r="K428" s="22">
        <f>IF(OR('Brouillard ventes'!$F$219="",'Brouillard ventes'!$J$219="À crédit",'Brouillard ventes'!$J$219=""),"",Paramètres!$B$11)</f>
        <v/>
      </c>
      <c r="L428" s="23">
        <f>IF(OR('Brouillard ventes'!$F$219="",'Brouillard ventes'!$J$219="À crédit",'Brouillard ventes'!$J$219=""),0,'Brouillard ventes'!$I$219)</f>
        <v/>
      </c>
      <c r="M428" s="23" t="n">
        <v>0</v>
      </c>
    </row>
    <row r="429">
      <c r="A429" s="22" t="inlineStr">
        <is>
          <t>1</t>
        </is>
      </c>
      <c r="B429" s="22">
        <f>IF(OR('Brouillard ventes'!$F$219="",'Brouillard ventes'!$J$219="À crédit",'Brouillard ventes'!$J$219=""),"","EC"&amp;TEXT(ROW('Brouillard ventes'!$F$219)-5,"00000"))</f>
        <v/>
      </c>
      <c r="C429" s="22">
        <f>IF(OR('Brouillard ventes'!$F$219="",'Brouillard ventes'!$J$219="À crédit",'Brouillard ventes'!$J$219=""),"",YEAR('Brouillard ventes'!$A$219)*10000+MONTH('Brouillard ventes'!$A$219)*100+DAY('Brouillard ventes'!$A$219))</f>
        <v/>
      </c>
      <c r="D429" s="22">
        <f>IF(OR('Brouillard ventes'!$F$219="",'Brouillard ventes'!$J$219="À crédit",'Brouillard ventes'!$J$219=""),"",'Brouillard ventes'!$B$219)</f>
        <v/>
      </c>
      <c r="E429" s="22">
        <f>IF(OR('Brouillard ventes'!$F$219="",'Brouillard ventes'!$J$219="À crédit",'Brouillard ventes'!$J$219=""),"","REGL "&amp;LEFT('Brouillard ventes'!$D$219,25))</f>
        <v/>
      </c>
      <c r="F429" s="22">
        <f>IF(OR('Brouillard ventes'!$F$219="",'Brouillard ventes'!$J$219="À crédit",'Brouillard ventes'!$J$219=""),"",IF('Brouillard ventes'!$J$219="Espèces","04001","02001"))</f>
        <v/>
      </c>
      <c r="G429" s="22">
        <f>IF(OR('Brouillard ventes'!$F$219="",'Brouillard ventes'!$J$219="À crédit",'Brouillard ventes'!$J$219=""),"",Paramètres!$B$7)</f>
        <v/>
      </c>
      <c r="H429" s="22">
        <f>IF(OR('Brouillard ventes'!$F$219="",'Brouillard ventes'!$J$219="À crédit",'Brouillard ventes'!$J$219=""),"",IF('Brouillard ventes'!$C$219="","CD001",'Brouillard ventes'!$C$219))</f>
        <v/>
      </c>
      <c r="I429" s="22" t="inlineStr"/>
      <c r="J429" s="22" t="inlineStr"/>
      <c r="K429" s="22">
        <f>IF(OR('Brouillard ventes'!$F$219="",'Brouillard ventes'!$J$219="À crédit",'Brouillard ventes'!$J$219=""),"",Paramètres!$B$11)</f>
        <v/>
      </c>
      <c r="L429" s="23" t="n">
        <v>0</v>
      </c>
      <c r="M429" s="23">
        <f>IF(OR('Brouillard ventes'!$F$219="",'Brouillard ventes'!$J$219="À crédit",'Brouillard ventes'!$J$219=""),0,'Brouillard ventes'!$I$219)</f>
        <v/>
      </c>
    </row>
    <row r="430">
      <c r="A430" s="22" t="inlineStr">
        <is>
          <t>1</t>
        </is>
      </c>
      <c r="B430" s="22">
        <f>IF(OR('Brouillard ventes'!$F$220="",'Brouillard ventes'!$J$220="À crédit",'Brouillard ventes'!$J$220=""),"","EC"&amp;TEXT(ROW('Brouillard ventes'!$F$220)-5,"00000"))</f>
        <v/>
      </c>
      <c r="C430" s="22">
        <f>IF(OR('Brouillard ventes'!$F$220="",'Brouillard ventes'!$J$220="À crédit",'Brouillard ventes'!$J$220=""),"",YEAR('Brouillard ventes'!$A$220)*10000+MONTH('Brouillard ventes'!$A$220)*100+DAY('Brouillard ventes'!$A$220))</f>
        <v/>
      </c>
      <c r="D430" s="22">
        <f>IF(OR('Brouillard ventes'!$F$220="",'Brouillard ventes'!$J$220="À crédit",'Brouillard ventes'!$J$220=""),"",'Brouillard ventes'!$B$220)</f>
        <v/>
      </c>
      <c r="E430" s="22">
        <f>IF(OR('Brouillard ventes'!$F$220="",'Brouillard ventes'!$J$220="À crédit",'Brouillard ventes'!$J$220=""),"","REGL "&amp;LEFT('Brouillard ventes'!$D$220,25))</f>
        <v/>
      </c>
      <c r="F430" s="22">
        <f>IF(OR('Brouillard ventes'!$F$220="",'Brouillard ventes'!$J$220="À crédit",'Brouillard ventes'!$J$220=""),"",IF('Brouillard ventes'!$J$220="Espèces","04001","02001"))</f>
        <v/>
      </c>
      <c r="G430" s="22">
        <f>IF(OR('Brouillard ventes'!$F$220="",'Brouillard ventes'!$J$220="À crédit",'Brouillard ventes'!$J$220=""),"",IF('Brouillard ventes'!$J$220="Espèces","53000","51220"))</f>
        <v/>
      </c>
      <c r="H430" s="22" t="inlineStr"/>
      <c r="I430" s="22" t="inlineStr"/>
      <c r="J430" s="22" t="inlineStr"/>
      <c r="K430" s="22">
        <f>IF(OR('Brouillard ventes'!$F$220="",'Brouillard ventes'!$J$220="À crédit",'Brouillard ventes'!$J$220=""),"",Paramètres!$B$11)</f>
        <v/>
      </c>
      <c r="L430" s="23">
        <f>IF(OR('Brouillard ventes'!$F$220="",'Brouillard ventes'!$J$220="À crédit",'Brouillard ventes'!$J$220=""),0,'Brouillard ventes'!$I$220)</f>
        <v/>
      </c>
      <c r="M430" s="23" t="n">
        <v>0</v>
      </c>
    </row>
    <row r="431">
      <c r="A431" s="22" t="inlineStr">
        <is>
          <t>1</t>
        </is>
      </c>
      <c r="B431" s="22">
        <f>IF(OR('Brouillard ventes'!$F$220="",'Brouillard ventes'!$J$220="À crédit",'Brouillard ventes'!$J$220=""),"","EC"&amp;TEXT(ROW('Brouillard ventes'!$F$220)-5,"00000"))</f>
        <v/>
      </c>
      <c r="C431" s="22">
        <f>IF(OR('Brouillard ventes'!$F$220="",'Brouillard ventes'!$J$220="À crédit",'Brouillard ventes'!$J$220=""),"",YEAR('Brouillard ventes'!$A$220)*10000+MONTH('Brouillard ventes'!$A$220)*100+DAY('Brouillard ventes'!$A$220))</f>
        <v/>
      </c>
      <c r="D431" s="22">
        <f>IF(OR('Brouillard ventes'!$F$220="",'Brouillard ventes'!$J$220="À crédit",'Brouillard ventes'!$J$220=""),"",'Brouillard ventes'!$B$220)</f>
        <v/>
      </c>
      <c r="E431" s="22">
        <f>IF(OR('Brouillard ventes'!$F$220="",'Brouillard ventes'!$J$220="À crédit",'Brouillard ventes'!$J$220=""),"","REGL "&amp;LEFT('Brouillard ventes'!$D$220,25))</f>
        <v/>
      </c>
      <c r="F431" s="22">
        <f>IF(OR('Brouillard ventes'!$F$220="",'Brouillard ventes'!$J$220="À crédit",'Brouillard ventes'!$J$220=""),"",IF('Brouillard ventes'!$J$220="Espèces","04001","02001"))</f>
        <v/>
      </c>
      <c r="G431" s="22">
        <f>IF(OR('Brouillard ventes'!$F$220="",'Brouillard ventes'!$J$220="À crédit",'Brouillard ventes'!$J$220=""),"",Paramètres!$B$7)</f>
        <v/>
      </c>
      <c r="H431" s="22">
        <f>IF(OR('Brouillard ventes'!$F$220="",'Brouillard ventes'!$J$220="À crédit",'Brouillard ventes'!$J$220=""),"",IF('Brouillard ventes'!$C$220="","CD001",'Brouillard ventes'!$C$220))</f>
        <v/>
      </c>
      <c r="I431" s="22" t="inlineStr"/>
      <c r="J431" s="22" t="inlineStr"/>
      <c r="K431" s="22">
        <f>IF(OR('Brouillard ventes'!$F$220="",'Brouillard ventes'!$J$220="À crédit",'Brouillard ventes'!$J$220=""),"",Paramètres!$B$11)</f>
        <v/>
      </c>
      <c r="L431" s="23" t="n">
        <v>0</v>
      </c>
      <c r="M431" s="23">
        <f>IF(OR('Brouillard ventes'!$F$220="",'Brouillard ventes'!$J$220="À crédit",'Brouillard ventes'!$J$220=""),0,'Brouillard ventes'!$I$220)</f>
        <v/>
      </c>
    </row>
    <row r="432">
      <c r="A432" s="22" t="inlineStr">
        <is>
          <t>1</t>
        </is>
      </c>
      <c r="B432" s="22">
        <f>IF(OR('Brouillard ventes'!$F$221="",'Brouillard ventes'!$J$221="À crédit",'Brouillard ventes'!$J$221=""),"","EC"&amp;TEXT(ROW('Brouillard ventes'!$F$221)-5,"00000"))</f>
        <v/>
      </c>
      <c r="C432" s="22">
        <f>IF(OR('Brouillard ventes'!$F$221="",'Brouillard ventes'!$J$221="À crédit",'Brouillard ventes'!$J$221=""),"",YEAR('Brouillard ventes'!$A$221)*10000+MONTH('Brouillard ventes'!$A$221)*100+DAY('Brouillard ventes'!$A$221))</f>
        <v/>
      </c>
      <c r="D432" s="22">
        <f>IF(OR('Brouillard ventes'!$F$221="",'Brouillard ventes'!$J$221="À crédit",'Brouillard ventes'!$J$221=""),"",'Brouillard ventes'!$B$221)</f>
        <v/>
      </c>
      <c r="E432" s="22">
        <f>IF(OR('Brouillard ventes'!$F$221="",'Brouillard ventes'!$J$221="À crédit",'Brouillard ventes'!$J$221=""),"","REGL "&amp;LEFT('Brouillard ventes'!$D$221,25))</f>
        <v/>
      </c>
      <c r="F432" s="22">
        <f>IF(OR('Brouillard ventes'!$F$221="",'Brouillard ventes'!$J$221="À crédit",'Brouillard ventes'!$J$221=""),"",IF('Brouillard ventes'!$J$221="Espèces","04001","02001"))</f>
        <v/>
      </c>
      <c r="G432" s="22">
        <f>IF(OR('Brouillard ventes'!$F$221="",'Brouillard ventes'!$J$221="À crédit",'Brouillard ventes'!$J$221=""),"",IF('Brouillard ventes'!$J$221="Espèces","53000","51220"))</f>
        <v/>
      </c>
      <c r="H432" s="22" t="inlineStr"/>
      <c r="I432" s="22" t="inlineStr"/>
      <c r="J432" s="22" t="inlineStr"/>
      <c r="K432" s="22">
        <f>IF(OR('Brouillard ventes'!$F$221="",'Brouillard ventes'!$J$221="À crédit",'Brouillard ventes'!$J$221=""),"",Paramètres!$B$11)</f>
        <v/>
      </c>
      <c r="L432" s="23">
        <f>IF(OR('Brouillard ventes'!$F$221="",'Brouillard ventes'!$J$221="À crédit",'Brouillard ventes'!$J$221=""),0,'Brouillard ventes'!$I$221)</f>
        <v/>
      </c>
      <c r="M432" s="23" t="n">
        <v>0</v>
      </c>
    </row>
    <row r="433">
      <c r="A433" s="22" t="inlineStr">
        <is>
          <t>1</t>
        </is>
      </c>
      <c r="B433" s="22">
        <f>IF(OR('Brouillard ventes'!$F$221="",'Brouillard ventes'!$J$221="À crédit",'Brouillard ventes'!$J$221=""),"","EC"&amp;TEXT(ROW('Brouillard ventes'!$F$221)-5,"00000"))</f>
        <v/>
      </c>
      <c r="C433" s="22">
        <f>IF(OR('Brouillard ventes'!$F$221="",'Brouillard ventes'!$J$221="À crédit",'Brouillard ventes'!$J$221=""),"",YEAR('Brouillard ventes'!$A$221)*10000+MONTH('Brouillard ventes'!$A$221)*100+DAY('Brouillard ventes'!$A$221))</f>
        <v/>
      </c>
      <c r="D433" s="22">
        <f>IF(OR('Brouillard ventes'!$F$221="",'Brouillard ventes'!$J$221="À crédit",'Brouillard ventes'!$J$221=""),"",'Brouillard ventes'!$B$221)</f>
        <v/>
      </c>
      <c r="E433" s="22">
        <f>IF(OR('Brouillard ventes'!$F$221="",'Brouillard ventes'!$J$221="À crédit",'Brouillard ventes'!$J$221=""),"","REGL "&amp;LEFT('Brouillard ventes'!$D$221,25))</f>
        <v/>
      </c>
      <c r="F433" s="22">
        <f>IF(OR('Brouillard ventes'!$F$221="",'Brouillard ventes'!$J$221="À crédit",'Brouillard ventes'!$J$221=""),"",IF('Brouillard ventes'!$J$221="Espèces","04001","02001"))</f>
        <v/>
      </c>
      <c r="G433" s="22">
        <f>IF(OR('Brouillard ventes'!$F$221="",'Brouillard ventes'!$J$221="À crédit",'Brouillard ventes'!$J$221=""),"",Paramètres!$B$7)</f>
        <v/>
      </c>
      <c r="H433" s="22">
        <f>IF(OR('Brouillard ventes'!$F$221="",'Brouillard ventes'!$J$221="À crédit",'Brouillard ventes'!$J$221=""),"",IF('Brouillard ventes'!$C$221="","CD001",'Brouillard ventes'!$C$221))</f>
        <v/>
      </c>
      <c r="I433" s="22" t="inlineStr"/>
      <c r="J433" s="22" t="inlineStr"/>
      <c r="K433" s="22">
        <f>IF(OR('Brouillard ventes'!$F$221="",'Brouillard ventes'!$J$221="À crédit",'Brouillard ventes'!$J$221=""),"",Paramètres!$B$11)</f>
        <v/>
      </c>
      <c r="L433" s="23" t="n">
        <v>0</v>
      </c>
      <c r="M433" s="23">
        <f>IF(OR('Brouillard ventes'!$F$221="",'Brouillard ventes'!$J$221="À crédit",'Brouillard ventes'!$J$221=""),0,'Brouillard ventes'!$I$221)</f>
        <v/>
      </c>
    </row>
    <row r="434">
      <c r="A434" s="22" t="inlineStr">
        <is>
          <t>1</t>
        </is>
      </c>
      <c r="B434" s="22">
        <f>IF(OR('Brouillard ventes'!$F$222="",'Brouillard ventes'!$J$222="À crédit",'Brouillard ventes'!$J$222=""),"","EC"&amp;TEXT(ROW('Brouillard ventes'!$F$222)-5,"00000"))</f>
        <v/>
      </c>
      <c r="C434" s="22">
        <f>IF(OR('Brouillard ventes'!$F$222="",'Brouillard ventes'!$J$222="À crédit",'Brouillard ventes'!$J$222=""),"",YEAR('Brouillard ventes'!$A$222)*10000+MONTH('Brouillard ventes'!$A$222)*100+DAY('Brouillard ventes'!$A$222))</f>
        <v/>
      </c>
      <c r="D434" s="22">
        <f>IF(OR('Brouillard ventes'!$F$222="",'Brouillard ventes'!$J$222="À crédit",'Brouillard ventes'!$J$222=""),"",'Brouillard ventes'!$B$222)</f>
        <v/>
      </c>
      <c r="E434" s="22">
        <f>IF(OR('Brouillard ventes'!$F$222="",'Brouillard ventes'!$J$222="À crédit",'Brouillard ventes'!$J$222=""),"","REGL "&amp;LEFT('Brouillard ventes'!$D$222,25))</f>
        <v/>
      </c>
      <c r="F434" s="22">
        <f>IF(OR('Brouillard ventes'!$F$222="",'Brouillard ventes'!$J$222="À crédit",'Brouillard ventes'!$J$222=""),"",IF('Brouillard ventes'!$J$222="Espèces","04001","02001"))</f>
        <v/>
      </c>
      <c r="G434" s="22">
        <f>IF(OR('Brouillard ventes'!$F$222="",'Brouillard ventes'!$J$222="À crédit",'Brouillard ventes'!$J$222=""),"",IF('Brouillard ventes'!$J$222="Espèces","53000","51220"))</f>
        <v/>
      </c>
      <c r="H434" s="22" t="inlineStr"/>
      <c r="I434" s="22" t="inlineStr"/>
      <c r="J434" s="22" t="inlineStr"/>
      <c r="K434" s="22">
        <f>IF(OR('Brouillard ventes'!$F$222="",'Brouillard ventes'!$J$222="À crédit",'Brouillard ventes'!$J$222=""),"",Paramètres!$B$11)</f>
        <v/>
      </c>
      <c r="L434" s="23">
        <f>IF(OR('Brouillard ventes'!$F$222="",'Brouillard ventes'!$J$222="À crédit",'Brouillard ventes'!$J$222=""),0,'Brouillard ventes'!$I$222)</f>
        <v/>
      </c>
      <c r="M434" s="23" t="n">
        <v>0</v>
      </c>
    </row>
    <row r="435">
      <c r="A435" s="22" t="inlineStr">
        <is>
          <t>1</t>
        </is>
      </c>
      <c r="B435" s="22">
        <f>IF(OR('Brouillard ventes'!$F$222="",'Brouillard ventes'!$J$222="À crédit",'Brouillard ventes'!$J$222=""),"","EC"&amp;TEXT(ROW('Brouillard ventes'!$F$222)-5,"00000"))</f>
        <v/>
      </c>
      <c r="C435" s="22">
        <f>IF(OR('Brouillard ventes'!$F$222="",'Brouillard ventes'!$J$222="À crédit",'Brouillard ventes'!$J$222=""),"",YEAR('Brouillard ventes'!$A$222)*10000+MONTH('Brouillard ventes'!$A$222)*100+DAY('Brouillard ventes'!$A$222))</f>
        <v/>
      </c>
      <c r="D435" s="22">
        <f>IF(OR('Brouillard ventes'!$F$222="",'Brouillard ventes'!$J$222="À crédit",'Brouillard ventes'!$J$222=""),"",'Brouillard ventes'!$B$222)</f>
        <v/>
      </c>
      <c r="E435" s="22">
        <f>IF(OR('Brouillard ventes'!$F$222="",'Brouillard ventes'!$J$222="À crédit",'Brouillard ventes'!$J$222=""),"","REGL "&amp;LEFT('Brouillard ventes'!$D$222,25))</f>
        <v/>
      </c>
      <c r="F435" s="22">
        <f>IF(OR('Brouillard ventes'!$F$222="",'Brouillard ventes'!$J$222="À crédit",'Brouillard ventes'!$J$222=""),"",IF('Brouillard ventes'!$J$222="Espèces","04001","02001"))</f>
        <v/>
      </c>
      <c r="G435" s="22">
        <f>IF(OR('Brouillard ventes'!$F$222="",'Brouillard ventes'!$J$222="À crédit",'Brouillard ventes'!$J$222=""),"",Paramètres!$B$7)</f>
        <v/>
      </c>
      <c r="H435" s="22">
        <f>IF(OR('Brouillard ventes'!$F$222="",'Brouillard ventes'!$J$222="À crédit",'Brouillard ventes'!$J$222=""),"",IF('Brouillard ventes'!$C$222="","CD001",'Brouillard ventes'!$C$222))</f>
        <v/>
      </c>
      <c r="I435" s="22" t="inlineStr"/>
      <c r="J435" s="22" t="inlineStr"/>
      <c r="K435" s="22">
        <f>IF(OR('Brouillard ventes'!$F$222="",'Brouillard ventes'!$J$222="À crédit",'Brouillard ventes'!$J$222=""),"",Paramètres!$B$11)</f>
        <v/>
      </c>
      <c r="L435" s="23" t="n">
        <v>0</v>
      </c>
      <c r="M435" s="23">
        <f>IF(OR('Brouillard ventes'!$F$222="",'Brouillard ventes'!$J$222="À crédit",'Brouillard ventes'!$J$222=""),0,'Brouillard ventes'!$I$222)</f>
        <v/>
      </c>
    </row>
    <row r="436">
      <c r="A436" s="22" t="inlineStr">
        <is>
          <t>1</t>
        </is>
      </c>
      <c r="B436" s="22">
        <f>IF(OR('Brouillard ventes'!$F$223="",'Brouillard ventes'!$J$223="À crédit",'Brouillard ventes'!$J$223=""),"","EC"&amp;TEXT(ROW('Brouillard ventes'!$F$223)-5,"00000"))</f>
        <v/>
      </c>
      <c r="C436" s="22">
        <f>IF(OR('Brouillard ventes'!$F$223="",'Brouillard ventes'!$J$223="À crédit",'Brouillard ventes'!$J$223=""),"",YEAR('Brouillard ventes'!$A$223)*10000+MONTH('Brouillard ventes'!$A$223)*100+DAY('Brouillard ventes'!$A$223))</f>
        <v/>
      </c>
      <c r="D436" s="22">
        <f>IF(OR('Brouillard ventes'!$F$223="",'Brouillard ventes'!$J$223="À crédit",'Brouillard ventes'!$J$223=""),"",'Brouillard ventes'!$B$223)</f>
        <v/>
      </c>
      <c r="E436" s="22">
        <f>IF(OR('Brouillard ventes'!$F$223="",'Brouillard ventes'!$J$223="À crédit",'Brouillard ventes'!$J$223=""),"","REGL "&amp;LEFT('Brouillard ventes'!$D$223,25))</f>
        <v/>
      </c>
      <c r="F436" s="22">
        <f>IF(OR('Brouillard ventes'!$F$223="",'Brouillard ventes'!$J$223="À crédit",'Brouillard ventes'!$J$223=""),"",IF('Brouillard ventes'!$J$223="Espèces","04001","02001"))</f>
        <v/>
      </c>
      <c r="G436" s="22">
        <f>IF(OR('Brouillard ventes'!$F$223="",'Brouillard ventes'!$J$223="À crédit",'Brouillard ventes'!$J$223=""),"",IF('Brouillard ventes'!$J$223="Espèces","53000","51220"))</f>
        <v/>
      </c>
      <c r="H436" s="22" t="inlineStr"/>
      <c r="I436" s="22" t="inlineStr"/>
      <c r="J436" s="22" t="inlineStr"/>
      <c r="K436" s="22">
        <f>IF(OR('Brouillard ventes'!$F$223="",'Brouillard ventes'!$J$223="À crédit",'Brouillard ventes'!$J$223=""),"",Paramètres!$B$11)</f>
        <v/>
      </c>
      <c r="L436" s="23">
        <f>IF(OR('Brouillard ventes'!$F$223="",'Brouillard ventes'!$J$223="À crédit",'Brouillard ventes'!$J$223=""),0,'Brouillard ventes'!$I$223)</f>
        <v/>
      </c>
      <c r="M436" s="23" t="n">
        <v>0</v>
      </c>
    </row>
    <row r="437">
      <c r="A437" s="22" t="inlineStr">
        <is>
          <t>1</t>
        </is>
      </c>
      <c r="B437" s="22">
        <f>IF(OR('Brouillard ventes'!$F$223="",'Brouillard ventes'!$J$223="À crédit",'Brouillard ventes'!$J$223=""),"","EC"&amp;TEXT(ROW('Brouillard ventes'!$F$223)-5,"00000"))</f>
        <v/>
      </c>
      <c r="C437" s="22">
        <f>IF(OR('Brouillard ventes'!$F$223="",'Brouillard ventes'!$J$223="À crédit",'Brouillard ventes'!$J$223=""),"",YEAR('Brouillard ventes'!$A$223)*10000+MONTH('Brouillard ventes'!$A$223)*100+DAY('Brouillard ventes'!$A$223))</f>
        <v/>
      </c>
      <c r="D437" s="22">
        <f>IF(OR('Brouillard ventes'!$F$223="",'Brouillard ventes'!$J$223="À crédit",'Brouillard ventes'!$J$223=""),"",'Brouillard ventes'!$B$223)</f>
        <v/>
      </c>
      <c r="E437" s="22">
        <f>IF(OR('Brouillard ventes'!$F$223="",'Brouillard ventes'!$J$223="À crédit",'Brouillard ventes'!$J$223=""),"","REGL "&amp;LEFT('Brouillard ventes'!$D$223,25))</f>
        <v/>
      </c>
      <c r="F437" s="22">
        <f>IF(OR('Brouillard ventes'!$F$223="",'Brouillard ventes'!$J$223="À crédit",'Brouillard ventes'!$J$223=""),"",IF('Brouillard ventes'!$J$223="Espèces","04001","02001"))</f>
        <v/>
      </c>
      <c r="G437" s="22">
        <f>IF(OR('Brouillard ventes'!$F$223="",'Brouillard ventes'!$J$223="À crédit",'Brouillard ventes'!$J$223=""),"",Paramètres!$B$7)</f>
        <v/>
      </c>
      <c r="H437" s="22">
        <f>IF(OR('Brouillard ventes'!$F$223="",'Brouillard ventes'!$J$223="À crédit",'Brouillard ventes'!$J$223=""),"",IF('Brouillard ventes'!$C$223="","CD001",'Brouillard ventes'!$C$223))</f>
        <v/>
      </c>
      <c r="I437" s="22" t="inlineStr"/>
      <c r="J437" s="22" t="inlineStr"/>
      <c r="K437" s="22">
        <f>IF(OR('Brouillard ventes'!$F$223="",'Brouillard ventes'!$J$223="À crédit",'Brouillard ventes'!$J$223=""),"",Paramètres!$B$11)</f>
        <v/>
      </c>
      <c r="L437" s="23" t="n">
        <v>0</v>
      </c>
      <c r="M437" s="23">
        <f>IF(OR('Brouillard ventes'!$F$223="",'Brouillard ventes'!$J$223="À crédit",'Brouillard ventes'!$J$223=""),0,'Brouillard ventes'!$I$223)</f>
        <v/>
      </c>
    </row>
    <row r="438">
      <c r="A438" s="22" t="inlineStr">
        <is>
          <t>1</t>
        </is>
      </c>
      <c r="B438" s="22">
        <f>IF(OR('Brouillard ventes'!$F$224="",'Brouillard ventes'!$J$224="À crédit",'Brouillard ventes'!$J$224=""),"","EC"&amp;TEXT(ROW('Brouillard ventes'!$F$224)-5,"00000"))</f>
        <v/>
      </c>
      <c r="C438" s="22">
        <f>IF(OR('Brouillard ventes'!$F$224="",'Brouillard ventes'!$J$224="À crédit",'Brouillard ventes'!$J$224=""),"",YEAR('Brouillard ventes'!$A$224)*10000+MONTH('Brouillard ventes'!$A$224)*100+DAY('Brouillard ventes'!$A$224))</f>
        <v/>
      </c>
      <c r="D438" s="22">
        <f>IF(OR('Brouillard ventes'!$F$224="",'Brouillard ventes'!$J$224="À crédit",'Brouillard ventes'!$J$224=""),"",'Brouillard ventes'!$B$224)</f>
        <v/>
      </c>
      <c r="E438" s="22">
        <f>IF(OR('Brouillard ventes'!$F$224="",'Brouillard ventes'!$J$224="À crédit",'Brouillard ventes'!$J$224=""),"","REGL "&amp;LEFT('Brouillard ventes'!$D$224,25))</f>
        <v/>
      </c>
      <c r="F438" s="22">
        <f>IF(OR('Brouillard ventes'!$F$224="",'Brouillard ventes'!$J$224="À crédit",'Brouillard ventes'!$J$224=""),"",IF('Brouillard ventes'!$J$224="Espèces","04001","02001"))</f>
        <v/>
      </c>
      <c r="G438" s="22">
        <f>IF(OR('Brouillard ventes'!$F$224="",'Brouillard ventes'!$J$224="À crédit",'Brouillard ventes'!$J$224=""),"",IF('Brouillard ventes'!$J$224="Espèces","53000","51220"))</f>
        <v/>
      </c>
      <c r="H438" s="22" t="inlineStr"/>
      <c r="I438" s="22" t="inlineStr"/>
      <c r="J438" s="22" t="inlineStr"/>
      <c r="K438" s="22">
        <f>IF(OR('Brouillard ventes'!$F$224="",'Brouillard ventes'!$J$224="À crédit",'Brouillard ventes'!$J$224=""),"",Paramètres!$B$11)</f>
        <v/>
      </c>
      <c r="L438" s="23">
        <f>IF(OR('Brouillard ventes'!$F$224="",'Brouillard ventes'!$J$224="À crédit",'Brouillard ventes'!$J$224=""),0,'Brouillard ventes'!$I$224)</f>
        <v/>
      </c>
      <c r="M438" s="23" t="n">
        <v>0</v>
      </c>
    </row>
    <row r="439">
      <c r="A439" s="22" t="inlineStr">
        <is>
          <t>1</t>
        </is>
      </c>
      <c r="B439" s="22">
        <f>IF(OR('Brouillard ventes'!$F$224="",'Brouillard ventes'!$J$224="À crédit",'Brouillard ventes'!$J$224=""),"","EC"&amp;TEXT(ROW('Brouillard ventes'!$F$224)-5,"00000"))</f>
        <v/>
      </c>
      <c r="C439" s="22">
        <f>IF(OR('Brouillard ventes'!$F$224="",'Brouillard ventes'!$J$224="À crédit",'Brouillard ventes'!$J$224=""),"",YEAR('Brouillard ventes'!$A$224)*10000+MONTH('Brouillard ventes'!$A$224)*100+DAY('Brouillard ventes'!$A$224))</f>
        <v/>
      </c>
      <c r="D439" s="22">
        <f>IF(OR('Brouillard ventes'!$F$224="",'Brouillard ventes'!$J$224="À crédit",'Brouillard ventes'!$J$224=""),"",'Brouillard ventes'!$B$224)</f>
        <v/>
      </c>
      <c r="E439" s="22">
        <f>IF(OR('Brouillard ventes'!$F$224="",'Brouillard ventes'!$J$224="À crédit",'Brouillard ventes'!$J$224=""),"","REGL "&amp;LEFT('Brouillard ventes'!$D$224,25))</f>
        <v/>
      </c>
      <c r="F439" s="22">
        <f>IF(OR('Brouillard ventes'!$F$224="",'Brouillard ventes'!$J$224="À crédit",'Brouillard ventes'!$J$224=""),"",IF('Brouillard ventes'!$J$224="Espèces","04001","02001"))</f>
        <v/>
      </c>
      <c r="G439" s="22">
        <f>IF(OR('Brouillard ventes'!$F$224="",'Brouillard ventes'!$J$224="À crédit",'Brouillard ventes'!$J$224=""),"",Paramètres!$B$7)</f>
        <v/>
      </c>
      <c r="H439" s="22">
        <f>IF(OR('Brouillard ventes'!$F$224="",'Brouillard ventes'!$J$224="À crédit",'Brouillard ventes'!$J$224=""),"",IF('Brouillard ventes'!$C$224="","CD001",'Brouillard ventes'!$C$224))</f>
        <v/>
      </c>
      <c r="I439" s="22" t="inlineStr"/>
      <c r="J439" s="22" t="inlineStr"/>
      <c r="K439" s="22">
        <f>IF(OR('Brouillard ventes'!$F$224="",'Brouillard ventes'!$J$224="À crédit",'Brouillard ventes'!$J$224=""),"",Paramètres!$B$11)</f>
        <v/>
      </c>
      <c r="L439" s="23" t="n">
        <v>0</v>
      </c>
      <c r="M439" s="23">
        <f>IF(OR('Brouillard ventes'!$F$224="",'Brouillard ventes'!$J$224="À crédit",'Brouillard ventes'!$J$224=""),0,'Brouillard ventes'!$I$224)</f>
        <v/>
      </c>
    </row>
    <row r="440">
      <c r="A440" s="22" t="inlineStr">
        <is>
          <t>1</t>
        </is>
      </c>
      <c r="B440" s="22">
        <f>IF(OR('Brouillard ventes'!$F$225="",'Brouillard ventes'!$J$225="À crédit",'Brouillard ventes'!$J$225=""),"","EC"&amp;TEXT(ROW('Brouillard ventes'!$F$225)-5,"00000"))</f>
        <v/>
      </c>
      <c r="C440" s="22">
        <f>IF(OR('Brouillard ventes'!$F$225="",'Brouillard ventes'!$J$225="À crédit",'Brouillard ventes'!$J$225=""),"",YEAR('Brouillard ventes'!$A$225)*10000+MONTH('Brouillard ventes'!$A$225)*100+DAY('Brouillard ventes'!$A$225))</f>
        <v/>
      </c>
      <c r="D440" s="22">
        <f>IF(OR('Brouillard ventes'!$F$225="",'Brouillard ventes'!$J$225="À crédit",'Brouillard ventes'!$J$225=""),"",'Brouillard ventes'!$B$225)</f>
        <v/>
      </c>
      <c r="E440" s="22">
        <f>IF(OR('Brouillard ventes'!$F$225="",'Brouillard ventes'!$J$225="À crédit",'Brouillard ventes'!$J$225=""),"","REGL "&amp;LEFT('Brouillard ventes'!$D$225,25))</f>
        <v/>
      </c>
      <c r="F440" s="22">
        <f>IF(OR('Brouillard ventes'!$F$225="",'Brouillard ventes'!$J$225="À crédit",'Brouillard ventes'!$J$225=""),"",IF('Brouillard ventes'!$J$225="Espèces","04001","02001"))</f>
        <v/>
      </c>
      <c r="G440" s="22">
        <f>IF(OR('Brouillard ventes'!$F$225="",'Brouillard ventes'!$J$225="À crédit",'Brouillard ventes'!$J$225=""),"",IF('Brouillard ventes'!$J$225="Espèces","53000","51220"))</f>
        <v/>
      </c>
      <c r="H440" s="22" t="inlineStr"/>
      <c r="I440" s="22" t="inlineStr"/>
      <c r="J440" s="22" t="inlineStr"/>
      <c r="K440" s="22">
        <f>IF(OR('Brouillard ventes'!$F$225="",'Brouillard ventes'!$J$225="À crédit",'Brouillard ventes'!$J$225=""),"",Paramètres!$B$11)</f>
        <v/>
      </c>
      <c r="L440" s="23">
        <f>IF(OR('Brouillard ventes'!$F$225="",'Brouillard ventes'!$J$225="À crédit",'Brouillard ventes'!$J$225=""),0,'Brouillard ventes'!$I$225)</f>
        <v/>
      </c>
      <c r="M440" s="23" t="n">
        <v>0</v>
      </c>
    </row>
    <row r="441">
      <c r="A441" s="22" t="inlineStr">
        <is>
          <t>1</t>
        </is>
      </c>
      <c r="B441" s="22">
        <f>IF(OR('Brouillard ventes'!$F$225="",'Brouillard ventes'!$J$225="À crédit",'Brouillard ventes'!$J$225=""),"","EC"&amp;TEXT(ROW('Brouillard ventes'!$F$225)-5,"00000"))</f>
        <v/>
      </c>
      <c r="C441" s="22">
        <f>IF(OR('Brouillard ventes'!$F$225="",'Brouillard ventes'!$J$225="À crédit",'Brouillard ventes'!$J$225=""),"",YEAR('Brouillard ventes'!$A$225)*10000+MONTH('Brouillard ventes'!$A$225)*100+DAY('Brouillard ventes'!$A$225))</f>
        <v/>
      </c>
      <c r="D441" s="22">
        <f>IF(OR('Brouillard ventes'!$F$225="",'Brouillard ventes'!$J$225="À crédit",'Brouillard ventes'!$J$225=""),"",'Brouillard ventes'!$B$225)</f>
        <v/>
      </c>
      <c r="E441" s="22">
        <f>IF(OR('Brouillard ventes'!$F$225="",'Brouillard ventes'!$J$225="À crédit",'Brouillard ventes'!$J$225=""),"","REGL "&amp;LEFT('Brouillard ventes'!$D$225,25))</f>
        <v/>
      </c>
      <c r="F441" s="22">
        <f>IF(OR('Brouillard ventes'!$F$225="",'Brouillard ventes'!$J$225="À crédit",'Brouillard ventes'!$J$225=""),"",IF('Brouillard ventes'!$J$225="Espèces","04001","02001"))</f>
        <v/>
      </c>
      <c r="G441" s="22">
        <f>IF(OR('Brouillard ventes'!$F$225="",'Brouillard ventes'!$J$225="À crédit",'Brouillard ventes'!$J$225=""),"",Paramètres!$B$7)</f>
        <v/>
      </c>
      <c r="H441" s="22">
        <f>IF(OR('Brouillard ventes'!$F$225="",'Brouillard ventes'!$J$225="À crédit",'Brouillard ventes'!$J$225=""),"",IF('Brouillard ventes'!$C$225="","CD001",'Brouillard ventes'!$C$225))</f>
        <v/>
      </c>
      <c r="I441" s="22" t="inlineStr"/>
      <c r="J441" s="22" t="inlineStr"/>
      <c r="K441" s="22">
        <f>IF(OR('Brouillard ventes'!$F$225="",'Brouillard ventes'!$J$225="À crédit",'Brouillard ventes'!$J$225=""),"",Paramètres!$B$11)</f>
        <v/>
      </c>
      <c r="L441" s="23" t="n">
        <v>0</v>
      </c>
      <c r="M441" s="23">
        <f>IF(OR('Brouillard ventes'!$F$225="",'Brouillard ventes'!$J$225="À crédit",'Brouillard ventes'!$J$225=""),0,'Brouillard ventes'!$I$225)</f>
        <v/>
      </c>
    </row>
    <row r="442">
      <c r="A442" s="22" t="inlineStr">
        <is>
          <t>1</t>
        </is>
      </c>
      <c r="B442" s="22">
        <f>IF(OR('Brouillard ventes'!$F$226="",'Brouillard ventes'!$J$226="À crédit",'Brouillard ventes'!$J$226=""),"","EC"&amp;TEXT(ROW('Brouillard ventes'!$F$226)-5,"00000"))</f>
        <v/>
      </c>
      <c r="C442" s="22">
        <f>IF(OR('Brouillard ventes'!$F$226="",'Brouillard ventes'!$J$226="À crédit",'Brouillard ventes'!$J$226=""),"",YEAR('Brouillard ventes'!$A$226)*10000+MONTH('Brouillard ventes'!$A$226)*100+DAY('Brouillard ventes'!$A$226))</f>
        <v/>
      </c>
      <c r="D442" s="22">
        <f>IF(OR('Brouillard ventes'!$F$226="",'Brouillard ventes'!$J$226="À crédit",'Brouillard ventes'!$J$226=""),"",'Brouillard ventes'!$B$226)</f>
        <v/>
      </c>
      <c r="E442" s="22">
        <f>IF(OR('Brouillard ventes'!$F$226="",'Brouillard ventes'!$J$226="À crédit",'Brouillard ventes'!$J$226=""),"","REGL "&amp;LEFT('Brouillard ventes'!$D$226,25))</f>
        <v/>
      </c>
      <c r="F442" s="22">
        <f>IF(OR('Brouillard ventes'!$F$226="",'Brouillard ventes'!$J$226="À crédit",'Brouillard ventes'!$J$226=""),"",IF('Brouillard ventes'!$J$226="Espèces","04001","02001"))</f>
        <v/>
      </c>
      <c r="G442" s="22">
        <f>IF(OR('Brouillard ventes'!$F$226="",'Brouillard ventes'!$J$226="À crédit",'Brouillard ventes'!$J$226=""),"",IF('Brouillard ventes'!$J$226="Espèces","53000","51220"))</f>
        <v/>
      </c>
      <c r="H442" s="22" t="inlineStr"/>
      <c r="I442" s="22" t="inlineStr"/>
      <c r="J442" s="22" t="inlineStr"/>
      <c r="K442" s="22">
        <f>IF(OR('Brouillard ventes'!$F$226="",'Brouillard ventes'!$J$226="À crédit",'Brouillard ventes'!$J$226=""),"",Paramètres!$B$11)</f>
        <v/>
      </c>
      <c r="L442" s="23">
        <f>IF(OR('Brouillard ventes'!$F$226="",'Brouillard ventes'!$J$226="À crédit",'Brouillard ventes'!$J$226=""),0,'Brouillard ventes'!$I$226)</f>
        <v/>
      </c>
      <c r="M442" s="23" t="n">
        <v>0</v>
      </c>
    </row>
    <row r="443">
      <c r="A443" s="22" t="inlineStr">
        <is>
          <t>1</t>
        </is>
      </c>
      <c r="B443" s="22">
        <f>IF(OR('Brouillard ventes'!$F$226="",'Brouillard ventes'!$J$226="À crédit",'Brouillard ventes'!$J$226=""),"","EC"&amp;TEXT(ROW('Brouillard ventes'!$F$226)-5,"00000"))</f>
        <v/>
      </c>
      <c r="C443" s="22">
        <f>IF(OR('Brouillard ventes'!$F$226="",'Brouillard ventes'!$J$226="À crédit",'Brouillard ventes'!$J$226=""),"",YEAR('Brouillard ventes'!$A$226)*10000+MONTH('Brouillard ventes'!$A$226)*100+DAY('Brouillard ventes'!$A$226))</f>
        <v/>
      </c>
      <c r="D443" s="22">
        <f>IF(OR('Brouillard ventes'!$F$226="",'Brouillard ventes'!$J$226="À crédit",'Brouillard ventes'!$J$226=""),"",'Brouillard ventes'!$B$226)</f>
        <v/>
      </c>
      <c r="E443" s="22">
        <f>IF(OR('Brouillard ventes'!$F$226="",'Brouillard ventes'!$J$226="À crédit",'Brouillard ventes'!$J$226=""),"","REGL "&amp;LEFT('Brouillard ventes'!$D$226,25))</f>
        <v/>
      </c>
      <c r="F443" s="22">
        <f>IF(OR('Brouillard ventes'!$F$226="",'Brouillard ventes'!$J$226="À crédit",'Brouillard ventes'!$J$226=""),"",IF('Brouillard ventes'!$J$226="Espèces","04001","02001"))</f>
        <v/>
      </c>
      <c r="G443" s="22">
        <f>IF(OR('Brouillard ventes'!$F$226="",'Brouillard ventes'!$J$226="À crédit",'Brouillard ventes'!$J$226=""),"",Paramètres!$B$7)</f>
        <v/>
      </c>
      <c r="H443" s="22">
        <f>IF(OR('Brouillard ventes'!$F$226="",'Brouillard ventes'!$J$226="À crédit",'Brouillard ventes'!$J$226=""),"",IF('Brouillard ventes'!$C$226="","CD001",'Brouillard ventes'!$C$226))</f>
        <v/>
      </c>
      <c r="I443" s="22" t="inlineStr"/>
      <c r="J443" s="22" t="inlineStr"/>
      <c r="K443" s="22">
        <f>IF(OR('Brouillard ventes'!$F$226="",'Brouillard ventes'!$J$226="À crédit",'Brouillard ventes'!$J$226=""),"",Paramètres!$B$11)</f>
        <v/>
      </c>
      <c r="L443" s="23" t="n">
        <v>0</v>
      </c>
      <c r="M443" s="23">
        <f>IF(OR('Brouillard ventes'!$F$226="",'Brouillard ventes'!$J$226="À crédit",'Brouillard ventes'!$J$226=""),0,'Brouillard ventes'!$I$226)</f>
        <v/>
      </c>
    </row>
    <row r="444">
      <c r="A444" s="22" t="inlineStr">
        <is>
          <t>1</t>
        </is>
      </c>
      <c r="B444" s="22">
        <f>IF(OR('Brouillard ventes'!$F$227="",'Brouillard ventes'!$J$227="À crédit",'Brouillard ventes'!$J$227=""),"","EC"&amp;TEXT(ROW('Brouillard ventes'!$F$227)-5,"00000"))</f>
        <v/>
      </c>
      <c r="C444" s="22">
        <f>IF(OR('Brouillard ventes'!$F$227="",'Brouillard ventes'!$J$227="À crédit",'Brouillard ventes'!$J$227=""),"",YEAR('Brouillard ventes'!$A$227)*10000+MONTH('Brouillard ventes'!$A$227)*100+DAY('Brouillard ventes'!$A$227))</f>
        <v/>
      </c>
      <c r="D444" s="22">
        <f>IF(OR('Brouillard ventes'!$F$227="",'Brouillard ventes'!$J$227="À crédit",'Brouillard ventes'!$J$227=""),"",'Brouillard ventes'!$B$227)</f>
        <v/>
      </c>
      <c r="E444" s="22">
        <f>IF(OR('Brouillard ventes'!$F$227="",'Brouillard ventes'!$J$227="À crédit",'Brouillard ventes'!$J$227=""),"","REGL "&amp;LEFT('Brouillard ventes'!$D$227,25))</f>
        <v/>
      </c>
      <c r="F444" s="22">
        <f>IF(OR('Brouillard ventes'!$F$227="",'Brouillard ventes'!$J$227="À crédit",'Brouillard ventes'!$J$227=""),"",IF('Brouillard ventes'!$J$227="Espèces","04001","02001"))</f>
        <v/>
      </c>
      <c r="G444" s="22">
        <f>IF(OR('Brouillard ventes'!$F$227="",'Brouillard ventes'!$J$227="À crédit",'Brouillard ventes'!$J$227=""),"",IF('Brouillard ventes'!$J$227="Espèces","53000","51220"))</f>
        <v/>
      </c>
      <c r="H444" s="22" t="inlineStr"/>
      <c r="I444" s="22" t="inlineStr"/>
      <c r="J444" s="22" t="inlineStr"/>
      <c r="K444" s="22">
        <f>IF(OR('Brouillard ventes'!$F$227="",'Brouillard ventes'!$J$227="À crédit",'Brouillard ventes'!$J$227=""),"",Paramètres!$B$11)</f>
        <v/>
      </c>
      <c r="L444" s="23">
        <f>IF(OR('Brouillard ventes'!$F$227="",'Brouillard ventes'!$J$227="À crédit",'Brouillard ventes'!$J$227=""),0,'Brouillard ventes'!$I$227)</f>
        <v/>
      </c>
      <c r="M444" s="23" t="n">
        <v>0</v>
      </c>
    </row>
    <row r="445">
      <c r="A445" s="22" t="inlineStr">
        <is>
          <t>1</t>
        </is>
      </c>
      <c r="B445" s="22">
        <f>IF(OR('Brouillard ventes'!$F$227="",'Brouillard ventes'!$J$227="À crédit",'Brouillard ventes'!$J$227=""),"","EC"&amp;TEXT(ROW('Brouillard ventes'!$F$227)-5,"00000"))</f>
        <v/>
      </c>
      <c r="C445" s="22">
        <f>IF(OR('Brouillard ventes'!$F$227="",'Brouillard ventes'!$J$227="À crédit",'Brouillard ventes'!$J$227=""),"",YEAR('Brouillard ventes'!$A$227)*10000+MONTH('Brouillard ventes'!$A$227)*100+DAY('Brouillard ventes'!$A$227))</f>
        <v/>
      </c>
      <c r="D445" s="22">
        <f>IF(OR('Brouillard ventes'!$F$227="",'Brouillard ventes'!$J$227="À crédit",'Brouillard ventes'!$J$227=""),"",'Brouillard ventes'!$B$227)</f>
        <v/>
      </c>
      <c r="E445" s="22">
        <f>IF(OR('Brouillard ventes'!$F$227="",'Brouillard ventes'!$J$227="À crédit",'Brouillard ventes'!$J$227=""),"","REGL "&amp;LEFT('Brouillard ventes'!$D$227,25))</f>
        <v/>
      </c>
      <c r="F445" s="22">
        <f>IF(OR('Brouillard ventes'!$F$227="",'Brouillard ventes'!$J$227="À crédit",'Brouillard ventes'!$J$227=""),"",IF('Brouillard ventes'!$J$227="Espèces","04001","02001"))</f>
        <v/>
      </c>
      <c r="G445" s="22">
        <f>IF(OR('Brouillard ventes'!$F$227="",'Brouillard ventes'!$J$227="À crédit",'Brouillard ventes'!$J$227=""),"",Paramètres!$B$7)</f>
        <v/>
      </c>
      <c r="H445" s="22">
        <f>IF(OR('Brouillard ventes'!$F$227="",'Brouillard ventes'!$J$227="À crédit",'Brouillard ventes'!$J$227=""),"",IF('Brouillard ventes'!$C$227="","CD001",'Brouillard ventes'!$C$227))</f>
        <v/>
      </c>
      <c r="I445" s="22" t="inlineStr"/>
      <c r="J445" s="22" t="inlineStr"/>
      <c r="K445" s="22">
        <f>IF(OR('Brouillard ventes'!$F$227="",'Brouillard ventes'!$J$227="À crédit",'Brouillard ventes'!$J$227=""),"",Paramètres!$B$11)</f>
        <v/>
      </c>
      <c r="L445" s="23" t="n">
        <v>0</v>
      </c>
      <c r="M445" s="23">
        <f>IF(OR('Brouillard ventes'!$F$227="",'Brouillard ventes'!$J$227="À crédit",'Brouillard ventes'!$J$227=""),0,'Brouillard ventes'!$I$227)</f>
        <v/>
      </c>
    </row>
    <row r="446">
      <c r="A446" s="22" t="inlineStr">
        <is>
          <t>1</t>
        </is>
      </c>
      <c r="B446" s="22">
        <f>IF(OR('Brouillard ventes'!$F$228="",'Brouillard ventes'!$J$228="À crédit",'Brouillard ventes'!$J$228=""),"","EC"&amp;TEXT(ROW('Brouillard ventes'!$F$228)-5,"00000"))</f>
        <v/>
      </c>
      <c r="C446" s="22">
        <f>IF(OR('Brouillard ventes'!$F$228="",'Brouillard ventes'!$J$228="À crédit",'Brouillard ventes'!$J$228=""),"",YEAR('Brouillard ventes'!$A$228)*10000+MONTH('Brouillard ventes'!$A$228)*100+DAY('Brouillard ventes'!$A$228))</f>
        <v/>
      </c>
      <c r="D446" s="22">
        <f>IF(OR('Brouillard ventes'!$F$228="",'Brouillard ventes'!$J$228="À crédit",'Brouillard ventes'!$J$228=""),"",'Brouillard ventes'!$B$228)</f>
        <v/>
      </c>
      <c r="E446" s="22">
        <f>IF(OR('Brouillard ventes'!$F$228="",'Brouillard ventes'!$J$228="À crédit",'Brouillard ventes'!$J$228=""),"","REGL "&amp;LEFT('Brouillard ventes'!$D$228,25))</f>
        <v/>
      </c>
      <c r="F446" s="22">
        <f>IF(OR('Brouillard ventes'!$F$228="",'Brouillard ventes'!$J$228="À crédit",'Brouillard ventes'!$J$228=""),"",IF('Brouillard ventes'!$J$228="Espèces","04001","02001"))</f>
        <v/>
      </c>
      <c r="G446" s="22">
        <f>IF(OR('Brouillard ventes'!$F$228="",'Brouillard ventes'!$J$228="À crédit",'Brouillard ventes'!$J$228=""),"",IF('Brouillard ventes'!$J$228="Espèces","53000","51220"))</f>
        <v/>
      </c>
      <c r="H446" s="22" t="inlineStr"/>
      <c r="I446" s="22" t="inlineStr"/>
      <c r="J446" s="22" t="inlineStr"/>
      <c r="K446" s="22">
        <f>IF(OR('Brouillard ventes'!$F$228="",'Brouillard ventes'!$J$228="À crédit",'Brouillard ventes'!$J$228=""),"",Paramètres!$B$11)</f>
        <v/>
      </c>
      <c r="L446" s="23">
        <f>IF(OR('Brouillard ventes'!$F$228="",'Brouillard ventes'!$J$228="À crédit",'Brouillard ventes'!$J$228=""),0,'Brouillard ventes'!$I$228)</f>
        <v/>
      </c>
      <c r="M446" s="23" t="n">
        <v>0</v>
      </c>
    </row>
    <row r="447">
      <c r="A447" s="22" t="inlineStr">
        <is>
          <t>1</t>
        </is>
      </c>
      <c r="B447" s="22">
        <f>IF(OR('Brouillard ventes'!$F$228="",'Brouillard ventes'!$J$228="À crédit",'Brouillard ventes'!$J$228=""),"","EC"&amp;TEXT(ROW('Brouillard ventes'!$F$228)-5,"00000"))</f>
        <v/>
      </c>
      <c r="C447" s="22">
        <f>IF(OR('Brouillard ventes'!$F$228="",'Brouillard ventes'!$J$228="À crédit",'Brouillard ventes'!$J$228=""),"",YEAR('Brouillard ventes'!$A$228)*10000+MONTH('Brouillard ventes'!$A$228)*100+DAY('Brouillard ventes'!$A$228))</f>
        <v/>
      </c>
      <c r="D447" s="22">
        <f>IF(OR('Brouillard ventes'!$F$228="",'Brouillard ventes'!$J$228="À crédit",'Brouillard ventes'!$J$228=""),"",'Brouillard ventes'!$B$228)</f>
        <v/>
      </c>
      <c r="E447" s="22">
        <f>IF(OR('Brouillard ventes'!$F$228="",'Brouillard ventes'!$J$228="À crédit",'Brouillard ventes'!$J$228=""),"","REGL "&amp;LEFT('Brouillard ventes'!$D$228,25))</f>
        <v/>
      </c>
      <c r="F447" s="22">
        <f>IF(OR('Brouillard ventes'!$F$228="",'Brouillard ventes'!$J$228="À crédit",'Brouillard ventes'!$J$228=""),"",IF('Brouillard ventes'!$J$228="Espèces","04001","02001"))</f>
        <v/>
      </c>
      <c r="G447" s="22">
        <f>IF(OR('Brouillard ventes'!$F$228="",'Brouillard ventes'!$J$228="À crédit",'Brouillard ventes'!$J$228=""),"",Paramètres!$B$7)</f>
        <v/>
      </c>
      <c r="H447" s="22">
        <f>IF(OR('Brouillard ventes'!$F$228="",'Brouillard ventes'!$J$228="À crédit",'Brouillard ventes'!$J$228=""),"",IF('Brouillard ventes'!$C$228="","CD001",'Brouillard ventes'!$C$228))</f>
        <v/>
      </c>
      <c r="I447" s="22" t="inlineStr"/>
      <c r="J447" s="22" t="inlineStr"/>
      <c r="K447" s="22">
        <f>IF(OR('Brouillard ventes'!$F$228="",'Brouillard ventes'!$J$228="À crédit",'Brouillard ventes'!$J$228=""),"",Paramètres!$B$11)</f>
        <v/>
      </c>
      <c r="L447" s="23" t="n">
        <v>0</v>
      </c>
      <c r="M447" s="23">
        <f>IF(OR('Brouillard ventes'!$F$228="",'Brouillard ventes'!$J$228="À crédit",'Brouillard ventes'!$J$228=""),0,'Brouillard ventes'!$I$228)</f>
        <v/>
      </c>
    </row>
    <row r="448">
      <c r="A448" s="22" t="inlineStr">
        <is>
          <t>1</t>
        </is>
      </c>
      <c r="B448" s="22">
        <f>IF(OR('Brouillard ventes'!$F$229="",'Brouillard ventes'!$J$229="À crédit",'Brouillard ventes'!$J$229=""),"","EC"&amp;TEXT(ROW('Brouillard ventes'!$F$229)-5,"00000"))</f>
        <v/>
      </c>
      <c r="C448" s="22">
        <f>IF(OR('Brouillard ventes'!$F$229="",'Brouillard ventes'!$J$229="À crédit",'Brouillard ventes'!$J$229=""),"",YEAR('Brouillard ventes'!$A$229)*10000+MONTH('Brouillard ventes'!$A$229)*100+DAY('Brouillard ventes'!$A$229))</f>
        <v/>
      </c>
      <c r="D448" s="22">
        <f>IF(OR('Brouillard ventes'!$F$229="",'Brouillard ventes'!$J$229="À crédit",'Brouillard ventes'!$J$229=""),"",'Brouillard ventes'!$B$229)</f>
        <v/>
      </c>
      <c r="E448" s="22">
        <f>IF(OR('Brouillard ventes'!$F$229="",'Brouillard ventes'!$J$229="À crédit",'Brouillard ventes'!$J$229=""),"","REGL "&amp;LEFT('Brouillard ventes'!$D$229,25))</f>
        <v/>
      </c>
      <c r="F448" s="22">
        <f>IF(OR('Brouillard ventes'!$F$229="",'Brouillard ventes'!$J$229="À crédit",'Brouillard ventes'!$J$229=""),"",IF('Brouillard ventes'!$J$229="Espèces","04001","02001"))</f>
        <v/>
      </c>
      <c r="G448" s="22">
        <f>IF(OR('Brouillard ventes'!$F$229="",'Brouillard ventes'!$J$229="À crédit",'Brouillard ventes'!$J$229=""),"",IF('Brouillard ventes'!$J$229="Espèces","53000","51220"))</f>
        <v/>
      </c>
      <c r="H448" s="22" t="inlineStr"/>
      <c r="I448" s="22" t="inlineStr"/>
      <c r="J448" s="22" t="inlineStr"/>
      <c r="K448" s="22">
        <f>IF(OR('Brouillard ventes'!$F$229="",'Brouillard ventes'!$J$229="À crédit",'Brouillard ventes'!$J$229=""),"",Paramètres!$B$11)</f>
        <v/>
      </c>
      <c r="L448" s="23">
        <f>IF(OR('Brouillard ventes'!$F$229="",'Brouillard ventes'!$J$229="À crédit",'Brouillard ventes'!$J$229=""),0,'Brouillard ventes'!$I$229)</f>
        <v/>
      </c>
      <c r="M448" s="23" t="n">
        <v>0</v>
      </c>
    </row>
    <row r="449">
      <c r="A449" s="22" t="inlineStr">
        <is>
          <t>1</t>
        </is>
      </c>
      <c r="B449" s="22">
        <f>IF(OR('Brouillard ventes'!$F$229="",'Brouillard ventes'!$J$229="À crédit",'Brouillard ventes'!$J$229=""),"","EC"&amp;TEXT(ROW('Brouillard ventes'!$F$229)-5,"00000"))</f>
        <v/>
      </c>
      <c r="C449" s="22">
        <f>IF(OR('Brouillard ventes'!$F$229="",'Brouillard ventes'!$J$229="À crédit",'Brouillard ventes'!$J$229=""),"",YEAR('Brouillard ventes'!$A$229)*10000+MONTH('Brouillard ventes'!$A$229)*100+DAY('Brouillard ventes'!$A$229))</f>
        <v/>
      </c>
      <c r="D449" s="22">
        <f>IF(OR('Brouillard ventes'!$F$229="",'Brouillard ventes'!$J$229="À crédit",'Brouillard ventes'!$J$229=""),"",'Brouillard ventes'!$B$229)</f>
        <v/>
      </c>
      <c r="E449" s="22">
        <f>IF(OR('Brouillard ventes'!$F$229="",'Brouillard ventes'!$J$229="À crédit",'Brouillard ventes'!$J$229=""),"","REGL "&amp;LEFT('Brouillard ventes'!$D$229,25))</f>
        <v/>
      </c>
      <c r="F449" s="22">
        <f>IF(OR('Brouillard ventes'!$F$229="",'Brouillard ventes'!$J$229="À crédit",'Brouillard ventes'!$J$229=""),"",IF('Brouillard ventes'!$J$229="Espèces","04001","02001"))</f>
        <v/>
      </c>
      <c r="G449" s="22">
        <f>IF(OR('Brouillard ventes'!$F$229="",'Brouillard ventes'!$J$229="À crédit",'Brouillard ventes'!$J$229=""),"",Paramètres!$B$7)</f>
        <v/>
      </c>
      <c r="H449" s="22">
        <f>IF(OR('Brouillard ventes'!$F$229="",'Brouillard ventes'!$J$229="À crédit",'Brouillard ventes'!$J$229=""),"",IF('Brouillard ventes'!$C$229="","CD001",'Brouillard ventes'!$C$229))</f>
        <v/>
      </c>
      <c r="I449" s="22" t="inlineStr"/>
      <c r="J449" s="22" t="inlineStr"/>
      <c r="K449" s="22">
        <f>IF(OR('Brouillard ventes'!$F$229="",'Brouillard ventes'!$J$229="À crédit",'Brouillard ventes'!$J$229=""),"",Paramètres!$B$11)</f>
        <v/>
      </c>
      <c r="L449" s="23" t="n">
        <v>0</v>
      </c>
      <c r="M449" s="23">
        <f>IF(OR('Brouillard ventes'!$F$229="",'Brouillard ventes'!$J$229="À crédit",'Brouillard ventes'!$J$229=""),0,'Brouillard ventes'!$I$229)</f>
        <v/>
      </c>
    </row>
    <row r="450">
      <c r="A450" s="22" t="inlineStr">
        <is>
          <t>1</t>
        </is>
      </c>
      <c r="B450" s="22">
        <f>IF(OR('Brouillard ventes'!$F$230="",'Brouillard ventes'!$J$230="À crédit",'Brouillard ventes'!$J$230=""),"","EC"&amp;TEXT(ROW('Brouillard ventes'!$F$230)-5,"00000"))</f>
        <v/>
      </c>
      <c r="C450" s="22">
        <f>IF(OR('Brouillard ventes'!$F$230="",'Brouillard ventes'!$J$230="À crédit",'Brouillard ventes'!$J$230=""),"",YEAR('Brouillard ventes'!$A$230)*10000+MONTH('Brouillard ventes'!$A$230)*100+DAY('Brouillard ventes'!$A$230))</f>
        <v/>
      </c>
      <c r="D450" s="22">
        <f>IF(OR('Brouillard ventes'!$F$230="",'Brouillard ventes'!$J$230="À crédit",'Brouillard ventes'!$J$230=""),"",'Brouillard ventes'!$B$230)</f>
        <v/>
      </c>
      <c r="E450" s="22">
        <f>IF(OR('Brouillard ventes'!$F$230="",'Brouillard ventes'!$J$230="À crédit",'Brouillard ventes'!$J$230=""),"","REGL "&amp;LEFT('Brouillard ventes'!$D$230,25))</f>
        <v/>
      </c>
      <c r="F450" s="22">
        <f>IF(OR('Brouillard ventes'!$F$230="",'Brouillard ventes'!$J$230="À crédit",'Brouillard ventes'!$J$230=""),"",IF('Brouillard ventes'!$J$230="Espèces","04001","02001"))</f>
        <v/>
      </c>
      <c r="G450" s="22">
        <f>IF(OR('Brouillard ventes'!$F$230="",'Brouillard ventes'!$J$230="À crédit",'Brouillard ventes'!$J$230=""),"",IF('Brouillard ventes'!$J$230="Espèces","53000","51220"))</f>
        <v/>
      </c>
      <c r="H450" s="22" t="inlineStr"/>
      <c r="I450" s="22" t="inlineStr"/>
      <c r="J450" s="22" t="inlineStr"/>
      <c r="K450" s="22">
        <f>IF(OR('Brouillard ventes'!$F$230="",'Brouillard ventes'!$J$230="À crédit",'Brouillard ventes'!$J$230=""),"",Paramètres!$B$11)</f>
        <v/>
      </c>
      <c r="L450" s="23">
        <f>IF(OR('Brouillard ventes'!$F$230="",'Brouillard ventes'!$J$230="À crédit",'Brouillard ventes'!$J$230=""),0,'Brouillard ventes'!$I$230)</f>
        <v/>
      </c>
      <c r="M450" s="23" t="n">
        <v>0</v>
      </c>
    </row>
    <row r="451">
      <c r="A451" s="22" t="inlineStr">
        <is>
          <t>1</t>
        </is>
      </c>
      <c r="B451" s="22">
        <f>IF(OR('Brouillard ventes'!$F$230="",'Brouillard ventes'!$J$230="À crédit",'Brouillard ventes'!$J$230=""),"","EC"&amp;TEXT(ROW('Brouillard ventes'!$F$230)-5,"00000"))</f>
        <v/>
      </c>
      <c r="C451" s="22">
        <f>IF(OR('Brouillard ventes'!$F$230="",'Brouillard ventes'!$J$230="À crédit",'Brouillard ventes'!$J$230=""),"",YEAR('Brouillard ventes'!$A$230)*10000+MONTH('Brouillard ventes'!$A$230)*100+DAY('Brouillard ventes'!$A$230))</f>
        <v/>
      </c>
      <c r="D451" s="22">
        <f>IF(OR('Brouillard ventes'!$F$230="",'Brouillard ventes'!$J$230="À crédit",'Brouillard ventes'!$J$230=""),"",'Brouillard ventes'!$B$230)</f>
        <v/>
      </c>
      <c r="E451" s="22">
        <f>IF(OR('Brouillard ventes'!$F$230="",'Brouillard ventes'!$J$230="À crédit",'Brouillard ventes'!$J$230=""),"","REGL "&amp;LEFT('Brouillard ventes'!$D$230,25))</f>
        <v/>
      </c>
      <c r="F451" s="22">
        <f>IF(OR('Brouillard ventes'!$F$230="",'Brouillard ventes'!$J$230="À crédit",'Brouillard ventes'!$J$230=""),"",IF('Brouillard ventes'!$J$230="Espèces","04001","02001"))</f>
        <v/>
      </c>
      <c r="G451" s="22">
        <f>IF(OR('Brouillard ventes'!$F$230="",'Brouillard ventes'!$J$230="À crédit",'Brouillard ventes'!$J$230=""),"",Paramètres!$B$7)</f>
        <v/>
      </c>
      <c r="H451" s="22">
        <f>IF(OR('Brouillard ventes'!$F$230="",'Brouillard ventes'!$J$230="À crédit",'Brouillard ventes'!$J$230=""),"",IF('Brouillard ventes'!$C$230="","CD001",'Brouillard ventes'!$C$230))</f>
        <v/>
      </c>
      <c r="I451" s="22" t="inlineStr"/>
      <c r="J451" s="22" t="inlineStr"/>
      <c r="K451" s="22">
        <f>IF(OR('Brouillard ventes'!$F$230="",'Brouillard ventes'!$J$230="À crédit",'Brouillard ventes'!$J$230=""),"",Paramètres!$B$11)</f>
        <v/>
      </c>
      <c r="L451" s="23" t="n">
        <v>0</v>
      </c>
      <c r="M451" s="23">
        <f>IF(OR('Brouillard ventes'!$F$230="",'Brouillard ventes'!$J$230="À crédit",'Brouillard ventes'!$J$230=""),0,'Brouillard ventes'!$I$230)</f>
        <v/>
      </c>
    </row>
    <row r="452">
      <c r="A452" s="22" t="inlineStr">
        <is>
          <t>1</t>
        </is>
      </c>
      <c r="B452" s="22">
        <f>IF(OR('Brouillard ventes'!$F$231="",'Brouillard ventes'!$J$231="À crédit",'Brouillard ventes'!$J$231=""),"","EC"&amp;TEXT(ROW('Brouillard ventes'!$F$231)-5,"00000"))</f>
        <v/>
      </c>
      <c r="C452" s="22">
        <f>IF(OR('Brouillard ventes'!$F$231="",'Brouillard ventes'!$J$231="À crédit",'Brouillard ventes'!$J$231=""),"",YEAR('Brouillard ventes'!$A$231)*10000+MONTH('Brouillard ventes'!$A$231)*100+DAY('Brouillard ventes'!$A$231))</f>
        <v/>
      </c>
      <c r="D452" s="22">
        <f>IF(OR('Brouillard ventes'!$F$231="",'Brouillard ventes'!$J$231="À crédit",'Brouillard ventes'!$J$231=""),"",'Brouillard ventes'!$B$231)</f>
        <v/>
      </c>
      <c r="E452" s="22">
        <f>IF(OR('Brouillard ventes'!$F$231="",'Brouillard ventes'!$J$231="À crédit",'Brouillard ventes'!$J$231=""),"","REGL "&amp;LEFT('Brouillard ventes'!$D$231,25))</f>
        <v/>
      </c>
      <c r="F452" s="22">
        <f>IF(OR('Brouillard ventes'!$F$231="",'Brouillard ventes'!$J$231="À crédit",'Brouillard ventes'!$J$231=""),"",IF('Brouillard ventes'!$J$231="Espèces","04001","02001"))</f>
        <v/>
      </c>
      <c r="G452" s="22">
        <f>IF(OR('Brouillard ventes'!$F$231="",'Brouillard ventes'!$J$231="À crédit",'Brouillard ventes'!$J$231=""),"",IF('Brouillard ventes'!$J$231="Espèces","53000","51220"))</f>
        <v/>
      </c>
      <c r="H452" s="22" t="inlineStr"/>
      <c r="I452" s="22" t="inlineStr"/>
      <c r="J452" s="22" t="inlineStr"/>
      <c r="K452" s="22">
        <f>IF(OR('Brouillard ventes'!$F$231="",'Brouillard ventes'!$J$231="À crédit",'Brouillard ventes'!$J$231=""),"",Paramètres!$B$11)</f>
        <v/>
      </c>
      <c r="L452" s="23">
        <f>IF(OR('Brouillard ventes'!$F$231="",'Brouillard ventes'!$J$231="À crédit",'Brouillard ventes'!$J$231=""),0,'Brouillard ventes'!$I$231)</f>
        <v/>
      </c>
      <c r="M452" s="23" t="n">
        <v>0</v>
      </c>
    </row>
    <row r="453">
      <c r="A453" s="22" t="inlineStr">
        <is>
          <t>1</t>
        </is>
      </c>
      <c r="B453" s="22">
        <f>IF(OR('Brouillard ventes'!$F$231="",'Brouillard ventes'!$J$231="À crédit",'Brouillard ventes'!$J$231=""),"","EC"&amp;TEXT(ROW('Brouillard ventes'!$F$231)-5,"00000"))</f>
        <v/>
      </c>
      <c r="C453" s="22">
        <f>IF(OR('Brouillard ventes'!$F$231="",'Brouillard ventes'!$J$231="À crédit",'Brouillard ventes'!$J$231=""),"",YEAR('Brouillard ventes'!$A$231)*10000+MONTH('Brouillard ventes'!$A$231)*100+DAY('Brouillard ventes'!$A$231))</f>
        <v/>
      </c>
      <c r="D453" s="22">
        <f>IF(OR('Brouillard ventes'!$F$231="",'Brouillard ventes'!$J$231="À crédit",'Brouillard ventes'!$J$231=""),"",'Brouillard ventes'!$B$231)</f>
        <v/>
      </c>
      <c r="E453" s="22">
        <f>IF(OR('Brouillard ventes'!$F$231="",'Brouillard ventes'!$J$231="À crédit",'Brouillard ventes'!$J$231=""),"","REGL "&amp;LEFT('Brouillard ventes'!$D$231,25))</f>
        <v/>
      </c>
      <c r="F453" s="22">
        <f>IF(OR('Brouillard ventes'!$F$231="",'Brouillard ventes'!$J$231="À crédit",'Brouillard ventes'!$J$231=""),"",IF('Brouillard ventes'!$J$231="Espèces","04001","02001"))</f>
        <v/>
      </c>
      <c r="G453" s="22">
        <f>IF(OR('Brouillard ventes'!$F$231="",'Brouillard ventes'!$J$231="À crédit",'Brouillard ventes'!$J$231=""),"",Paramètres!$B$7)</f>
        <v/>
      </c>
      <c r="H453" s="22">
        <f>IF(OR('Brouillard ventes'!$F$231="",'Brouillard ventes'!$J$231="À crédit",'Brouillard ventes'!$J$231=""),"",IF('Brouillard ventes'!$C$231="","CD001",'Brouillard ventes'!$C$231))</f>
        <v/>
      </c>
      <c r="I453" s="22" t="inlineStr"/>
      <c r="J453" s="22" t="inlineStr"/>
      <c r="K453" s="22">
        <f>IF(OR('Brouillard ventes'!$F$231="",'Brouillard ventes'!$J$231="À crédit",'Brouillard ventes'!$J$231=""),"",Paramètres!$B$11)</f>
        <v/>
      </c>
      <c r="L453" s="23" t="n">
        <v>0</v>
      </c>
      <c r="M453" s="23">
        <f>IF(OR('Brouillard ventes'!$F$231="",'Brouillard ventes'!$J$231="À crédit",'Brouillard ventes'!$J$231=""),0,'Brouillard ventes'!$I$231)</f>
        <v/>
      </c>
    </row>
    <row r="454">
      <c r="A454" s="22" t="inlineStr">
        <is>
          <t>1</t>
        </is>
      </c>
      <c r="B454" s="22">
        <f>IF(OR('Brouillard ventes'!$F$232="",'Brouillard ventes'!$J$232="À crédit",'Brouillard ventes'!$J$232=""),"","EC"&amp;TEXT(ROW('Brouillard ventes'!$F$232)-5,"00000"))</f>
        <v/>
      </c>
      <c r="C454" s="22">
        <f>IF(OR('Brouillard ventes'!$F$232="",'Brouillard ventes'!$J$232="À crédit",'Brouillard ventes'!$J$232=""),"",YEAR('Brouillard ventes'!$A$232)*10000+MONTH('Brouillard ventes'!$A$232)*100+DAY('Brouillard ventes'!$A$232))</f>
        <v/>
      </c>
      <c r="D454" s="22">
        <f>IF(OR('Brouillard ventes'!$F$232="",'Brouillard ventes'!$J$232="À crédit",'Brouillard ventes'!$J$232=""),"",'Brouillard ventes'!$B$232)</f>
        <v/>
      </c>
      <c r="E454" s="22">
        <f>IF(OR('Brouillard ventes'!$F$232="",'Brouillard ventes'!$J$232="À crédit",'Brouillard ventes'!$J$232=""),"","REGL "&amp;LEFT('Brouillard ventes'!$D$232,25))</f>
        <v/>
      </c>
      <c r="F454" s="22">
        <f>IF(OR('Brouillard ventes'!$F$232="",'Brouillard ventes'!$J$232="À crédit",'Brouillard ventes'!$J$232=""),"",IF('Brouillard ventes'!$J$232="Espèces","04001","02001"))</f>
        <v/>
      </c>
      <c r="G454" s="22">
        <f>IF(OR('Brouillard ventes'!$F$232="",'Brouillard ventes'!$J$232="À crédit",'Brouillard ventes'!$J$232=""),"",IF('Brouillard ventes'!$J$232="Espèces","53000","51220"))</f>
        <v/>
      </c>
      <c r="H454" s="22" t="inlineStr"/>
      <c r="I454" s="22" t="inlineStr"/>
      <c r="J454" s="22" t="inlineStr"/>
      <c r="K454" s="22">
        <f>IF(OR('Brouillard ventes'!$F$232="",'Brouillard ventes'!$J$232="À crédit",'Brouillard ventes'!$J$232=""),"",Paramètres!$B$11)</f>
        <v/>
      </c>
      <c r="L454" s="23">
        <f>IF(OR('Brouillard ventes'!$F$232="",'Brouillard ventes'!$J$232="À crédit",'Brouillard ventes'!$J$232=""),0,'Brouillard ventes'!$I$232)</f>
        <v/>
      </c>
      <c r="M454" s="23" t="n">
        <v>0</v>
      </c>
    </row>
    <row r="455">
      <c r="A455" s="22" t="inlineStr">
        <is>
          <t>1</t>
        </is>
      </c>
      <c r="B455" s="22">
        <f>IF(OR('Brouillard ventes'!$F$232="",'Brouillard ventes'!$J$232="À crédit",'Brouillard ventes'!$J$232=""),"","EC"&amp;TEXT(ROW('Brouillard ventes'!$F$232)-5,"00000"))</f>
        <v/>
      </c>
      <c r="C455" s="22">
        <f>IF(OR('Brouillard ventes'!$F$232="",'Brouillard ventes'!$J$232="À crédit",'Brouillard ventes'!$J$232=""),"",YEAR('Brouillard ventes'!$A$232)*10000+MONTH('Brouillard ventes'!$A$232)*100+DAY('Brouillard ventes'!$A$232))</f>
        <v/>
      </c>
      <c r="D455" s="22">
        <f>IF(OR('Brouillard ventes'!$F$232="",'Brouillard ventes'!$J$232="À crédit",'Brouillard ventes'!$J$232=""),"",'Brouillard ventes'!$B$232)</f>
        <v/>
      </c>
      <c r="E455" s="22">
        <f>IF(OR('Brouillard ventes'!$F$232="",'Brouillard ventes'!$J$232="À crédit",'Brouillard ventes'!$J$232=""),"","REGL "&amp;LEFT('Brouillard ventes'!$D$232,25))</f>
        <v/>
      </c>
      <c r="F455" s="22">
        <f>IF(OR('Brouillard ventes'!$F$232="",'Brouillard ventes'!$J$232="À crédit",'Brouillard ventes'!$J$232=""),"",IF('Brouillard ventes'!$J$232="Espèces","04001","02001"))</f>
        <v/>
      </c>
      <c r="G455" s="22">
        <f>IF(OR('Brouillard ventes'!$F$232="",'Brouillard ventes'!$J$232="À crédit",'Brouillard ventes'!$J$232=""),"",Paramètres!$B$7)</f>
        <v/>
      </c>
      <c r="H455" s="22">
        <f>IF(OR('Brouillard ventes'!$F$232="",'Brouillard ventes'!$J$232="À crédit",'Brouillard ventes'!$J$232=""),"",IF('Brouillard ventes'!$C$232="","CD001",'Brouillard ventes'!$C$232))</f>
        <v/>
      </c>
      <c r="I455" s="22" t="inlineStr"/>
      <c r="J455" s="22" t="inlineStr"/>
      <c r="K455" s="22">
        <f>IF(OR('Brouillard ventes'!$F$232="",'Brouillard ventes'!$J$232="À crédit",'Brouillard ventes'!$J$232=""),"",Paramètres!$B$11)</f>
        <v/>
      </c>
      <c r="L455" s="23" t="n">
        <v>0</v>
      </c>
      <c r="M455" s="23">
        <f>IF(OR('Brouillard ventes'!$F$232="",'Brouillard ventes'!$J$232="À crédit",'Brouillard ventes'!$J$232=""),0,'Brouillard ventes'!$I$232)</f>
        <v/>
      </c>
    </row>
    <row r="456">
      <c r="A456" s="22" t="inlineStr">
        <is>
          <t>1</t>
        </is>
      </c>
      <c r="B456" s="22">
        <f>IF(OR('Brouillard ventes'!$F$233="",'Brouillard ventes'!$J$233="À crédit",'Brouillard ventes'!$J$233=""),"","EC"&amp;TEXT(ROW('Brouillard ventes'!$F$233)-5,"00000"))</f>
        <v/>
      </c>
      <c r="C456" s="22">
        <f>IF(OR('Brouillard ventes'!$F$233="",'Brouillard ventes'!$J$233="À crédit",'Brouillard ventes'!$J$233=""),"",YEAR('Brouillard ventes'!$A$233)*10000+MONTH('Brouillard ventes'!$A$233)*100+DAY('Brouillard ventes'!$A$233))</f>
        <v/>
      </c>
      <c r="D456" s="22">
        <f>IF(OR('Brouillard ventes'!$F$233="",'Brouillard ventes'!$J$233="À crédit",'Brouillard ventes'!$J$233=""),"",'Brouillard ventes'!$B$233)</f>
        <v/>
      </c>
      <c r="E456" s="22">
        <f>IF(OR('Brouillard ventes'!$F$233="",'Brouillard ventes'!$J$233="À crédit",'Brouillard ventes'!$J$233=""),"","REGL "&amp;LEFT('Brouillard ventes'!$D$233,25))</f>
        <v/>
      </c>
      <c r="F456" s="22">
        <f>IF(OR('Brouillard ventes'!$F$233="",'Brouillard ventes'!$J$233="À crédit",'Brouillard ventes'!$J$233=""),"",IF('Brouillard ventes'!$J$233="Espèces","04001","02001"))</f>
        <v/>
      </c>
      <c r="G456" s="22">
        <f>IF(OR('Brouillard ventes'!$F$233="",'Brouillard ventes'!$J$233="À crédit",'Brouillard ventes'!$J$233=""),"",IF('Brouillard ventes'!$J$233="Espèces","53000","51220"))</f>
        <v/>
      </c>
      <c r="H456" s="22" t="inlineStr"/>
      <c r="I456" s="22" t="inlineStr"/>
      <c r="J456" s="22" t="inlineStr"/>
      <c r="K456" s="22">
        <f>IF(OR('Brouillard ventes'!$F$233="",'Brouillard ventes'!$J$233="À crédit",'Brouillard ventes'!$J$233=""),"",Paramètres!$B$11)</f>
        <v/>
      </c>
      <c r="L456" s="23">
        <f>IF(OR('Brouillard ventes'!$F$233="",'Brouillard ventes'!$J$233="À crédit",'Brouillard ventes'!$J$233=""),0,'Brouillard ventes'!$I$233)</f>
        <v/>
      </c>
      <c r="M456" s="23" t="n">
        <v>0</v>
      </c>
    </row>
    <row r="457">
      <c r="A457" s="22" t="inlineStr">
        <is>
          <t>1</t>
        </is>
      </c>
      <c r="B457" s="22">
        <f>IF(OR('Brouillard ventes'!$F$233="",'Brouillard ventes'!$J$233="À crédit",'Brouillard ventes'!$J$233=""),"","EC"&amp;TEXT(ROW('Brouillard ventes'!$F$233)-5,"00000"))</f>
        <v/>
      </c>
      <c r="C457" s="22">
        <f>IF(OR('Brouillard ventes'!$F$233="",'Brouillard ventes'!$J$233="À crédit",'Brouillard ventes'!$J$233=""),"",YEAR('Brouillard ventes'!$A$233)*10000+MONTH('Brouillard ventes'!$A$233)*100+DAY('Brouillard ventes'!$A$233))</f>
        <v/>
      </c>
      <c r="D457" s="22">
        <f>IF(OR('Brouillard ventes'!$F$233="",'Brouillard ventes'!$J$233="À crédit",'Brouillard ventes'!$J$233=""),"",'Brouillard ventes'!$B$233)</f>
        <v/>
      </c>
      <c r="E457" s="22">
        <f>IF(OR('Brouillard ventes'!$F$233="",'Brouillard ventes'!$J$233="À crédit",'Brouillard ventes'!$J$233=""),"","REGL "&amp;LEFT('Brouillard ventes'!$D$233,25))</f>
        <v/>
      </c>
      <c r="F457" s="22">
        <f>IF(OR('Brouillard ventes'!$F$233="",'Brouillard ventes'!$J$233="À crédit",'Brouillard ventes'!$J$233=""),"",IF('Brouillard ventes'!$J$233="Espèces","04001","02001"))</f>
        <v/>
      </c>
      <c r="G457" s="22">
        <f>IF(OR('Brouillard ventes'!$F$233="",'Brouillard ventes'!$J$233="À crédit",'Brouillard ventes'!$J$233=""),"",Paramètres!$B$7)</f>
        <v/>
      </c>
      <c r="H457" s="22">
        <f>IF(OR('Brouillard ventes'!$F$233="",'Brouillard ventes'!$J$233="À crédit",'Brouillard ventes'!$J$233=""),"",IF('Brouillard ventes'!$C$233="","CD001",'Brouillard ventes'!$C$233))</f>
        <v/>
      </c>
      <c r="I457" s="22" t="inlineStr"/>
      <c r="J457" s="22" t="inlineStr"/>
      <c r="K457" s="22">
        <f>IF(OR('Brouillard ventes'!$F$233="",'Brouillard ventes'!$J$233="À crédit",'Brouillard ventes'!$J$233=""),"",Paramètres!$B$11)</f>
        <v/>
      </c>
      <c r="L457" s="23" t="n">
        <v>0</v>
      </c>
      <c r="M457" s="23">
        <f>IF(OR('Brouillard ventes'!$F$233="",'Brouillard ventes'!$J$233="À crédit",'Brouillard ventes'!$J$233=""),0,'Brouillard ventes'!$I$233)</f>
        <v/>
      </c>
    </row>
    <row r="458">
      <c r="A458" s="22" t="inlineStr">
        <is>
          <t>1</t>
        </is>
      </c>
      <c r="B458" s="22">
        <f>IF(OR('Brouillard ventes'!$F$234="",'Brouillard ventes'!$J$234="À crédit",'Brouillard ventes'!$J$234=""),"","EC"&amp;TEXT(ROW('Brouillard ventes'!$F$234)-5,"00000"))</f>
        <v/>
      </c>
      <c r="C458" s="22">
        <f>IF(OR('Brouillard ventes'!$F$234="",'Brouillard ventes'!$J$234="À crédit",'Brouillard ventes'!$J$234=""),"",YEAR('Brouillard ventes'!$A$234)*10000+MONTH('Brouillard ventes'!$A$234)*100+DAY('Brouillard ventes'!$A$234))</f>
        <v/>
      </c>
      <c r="D458" s="22">
        <f>IF(OR('Brouillard ventes'!$F$234="",'Brouillard ventes'!$J$234="À crédit",'Brouillard ventes'!$J$234=""),"",'Brouillard ventes'!$B$234)</f>
        <v/>
      </c>
      <c r="E458" s="22">
        <f>IF(OR('Brouillard ventes'!$F$234="",'Brouillard ventes'!$J$234="À crédit",'Brouillard ventes'!$J$234=""),"","REGL "&amp;LEFT('Brouillard ventes'!$D$234,25))</f>
        <v/>
      </c>
      <c r="F458" s="22">
        <f>IF(OR('Brouillard ventes'!$F$234="",'Brouillard ventes'!$J$234="À crédit",'Brouillard ventes'!$J$234=""),"",IF('Brouillard ventes'!$J$234="Espèces","04001","02001"))</f>
        <v/>
      </c>
      <c r="G458" s="22">
        <f>IF(OR('Brouillard ventes'!$F$234="",'Brouillard ventes'!$J$234="À crédit",'Brouillard ventes'!$J$234=""),"",IF('Brouillard ventes'!$J$234="Espèces","53000","51220"))</f>
        <v/>
      </c>
      <c r="H458" s="22" t="inlineStr"/>
      <c r="I458" s="22" t="inlineStr"/>
      <c r="J458" s="22" t="inlineStr"/>
      <c r="K458" s="22">
        <f>IF(OR('Brouillard ventes'!$F$234="",'Brouillard ventes'!$J$234="À crédit",'Brouillard ventes'!$J$234=""),"",Paramètres!$B$11)</f>
        <v/>
      </c>
      <c r="L458" s="23">
        <f>IF(OR('Brouillard ventes'!$F$234="",'Brouillard ventes'!$J$234="À crédit",'Brouillard ventes'!$J$234=""),0,'Brouillard ventes'!$I$234)</f>
        <v/>
      </c>
      <c r="M458" s="23" t="n">
        <v>0</v>
      </c>
    </row>
    <row r="459">
      <c r="A459" s="22" t="inlineStr">
        <is>
          <t>1</t>
        </is>
      </c>
      <c r="B459" s="22">
        <f>IF(OR('Brouillard ventes'!$F$234="",'Brouillard ventes'!$J$234="À crédit",'Brouillard ventes'!$J$234=""),"","EC"&amp;TEXT(ROW('Brouillard ventes'!$F$234)-5,"00000"))</f>
        <v/>
      </c>
      <c r="C459" s="22">
        <f>IF(OR('Brouillard ventes'!$F$234="",'Brouillard ventes'!$J$234="À crédit",'Brouillard ventes'!$J$234=""),"",YEAR('Brouillard ventes'!$A$234)*10000+MONTH('Brouillard ventes'!$A$234)*100+DAY('Brouillard ventes'!$A$234))</f>
        <v/>
      </c>
      <c r="D459" s="22">
        <f>IF(OR('Brouillard ventes'!$F$234="",'Brouillard ventes'!$J$234="À crédit",'Brouillard ventes'!$J$234=""),"",'Brouillard ventes'!$B$234)</f>
        <v/>
      </c>
      <c r="E459" s="22">
        <f>IF(OR('Brouillard ventes'!$F$234="",'Brouillard ventes'!$J$234="À crédit",'Brouillard ventes'!$J$234=""),"","REGL "&amp;LEFT('Brouillard ventes'!$D$234,25))</f>
        <v/>
      </c>
      <c r="F459" s="22">
        <f>IF(OR('Brouillard ventes'!$F$234="",'Brouillard ventes'!$J$234="À crédit",'Brouillard ventes'!$J$234=""),"",IF('Brouillard ventes'!$J$234="Espèces","04001","02001"))</f>
        <v/>
      </c>
      <c r="G459" s="22">
        <f>IF(OR('Brouillard ventes'!$F$234="",'Brouillard ventes'!$J$234="À crédit",'Brouillard ventes'!$J$234=""),"",Paramètres!$B$7)</f>
        <v/>
      </c>
      <c r="H459" s="22">
        <f>IF(OR('Brouillard ventes'!$F$234="",'Brouillard ventes'!$J$234="À crédit",'Brouillard ventes'!$J$234=""),"",IF('Brouillard ventes'!$C$234="","CD001",'Brouillard ventes'!$C$234))</f>
        <v/>
      </c>
      <c r="I459" s="22" t="inlineStr"/>
      <c r="J459" s="22" t="inlineStr"/>
      <c r="K459" s="22">
        <f>IF(OR('Brouillard ventes'!$F$234="",'Brouillard ventes'!$J$234="À crédit",'Brouillard ventes'!$J$234=""),"",Paramètres!$B$11)</f>
        <v/>
      </c>
      <c r="L459" s="23" t="n">
        <v>0</v>
      </c>
      <c r="M459" s="23">
        <f>IF(OR('Brouillard ventes'!$F$234="",'Brouillard ventes'!$J$234="À crédit",'Brouillard ventes'!$J$234=""),0,'Brouillard ventes'!$I$234)</f>
        <v/>
      </c>
    </row>
    <row r="460">
      <c r="A460" s="22" t="inlineStr">
        <is>
          <t>1</t>
        </is>
      </c>
      <c r="B460" s="22">
        <f>IF(OR('Brouillard ventes'!$F$235="",'Brouillard ventes'!$J$235="À crédit",'Brouillard ventes'!$J$235=""),"","EC"&amp;TEXT(ROW('Brouillard ventes'!$F$235)-5,"00000"))</f>
        <v/>
      </c>
      <c r="C460" s="22">
        <f>IF(OR('Brouillard ventes'!$F$235="",'Brouillard ventes'!$J$235="À crédit",'Brouillard ventes'!$J$235=""),"",YEAR('Brouillard ventes'!$A$235)*10000+MONTH('Brouillard ventes'!$A$235)*100+DAY('Brouillard ventes'!$A$235))</f>
        <v/>
      </c>
      <c r="D460" s="22">
        <f>IF(OR('Brouillard ventes'!$F$235="",'Brouillard ventes'!$J$235="À crédit",'Brouillard ventes'!$J$235=""),"",'Brouillard ventes'!$B$235)</f>
        <v/>
      </c>
      <c r="E460" s="22">
        <f>IF(OR('Brouillard ventes'!$F$235="",'Brouillard ventes'!$J$235="À crédit",'Brouillard ventes'!$J$235=""),"","REGL "&amp;LEFT('Brouillard ventes'!$D$235,25))</f>
        <v/>
      </c>
      <c r="F460" s="22">
        <f>IF(OR('Brouillard ventes'!$F$235="",'Brouillard ventes'!$J$235="À crédit",'Brouillard ventes'!$J$235=""),"",IF('Brouillard ventes'!$J$235="Espèces","04001","02001"))</f>
        <v/>
      </c>
      <c r="G460" s="22">
        <f>IF(OR('Brouillard ventes'!$F$235="",'Brouillard ventes'!$J$235="À crédit",'Brouillard ventes'!$J$235=""),"",IF('Brouillard ventes'!$J$235="Espèces","53000","51220"))</f>
        <v/>
      </c>
      <c r="H460" s="22" t="inlineStr"/>
      <c r="I460" s="22" t="inlineStr"/>
      <c r="J460" s="22" t="inlineStr"/>
      <c r="K460" s="22">
        <f>IF(OR('Brouillard ventes'!$F$235="",'Brouillard ventes'!$J$235="À crédit",'Brouillard ventes'!$J$235=""),"",Paramètres!$B$11)</f>
        <v/>
      </c>
      <c r="L460" s="23">
        <f>IF(OR('Brouillard ventes'!$F$235="",'Brouillard ventes'!$J$235="À crédit",'Brouillard ventes'!$J$235=""),0,'Brouillard ventes'!$I$235)</f>
        <v/>
      </c>
      <c r="M460" s="23" t="n">
        <v>0</v>
      </c>
    </row>
    <row r="461">
      <c r="A461" s="22" t="inlineStr">
        <is>
          <t>1</t>
        </is>
      </c>
      <c r="B461" s="22">
        <f>IF(OR('Brouillard ventes'!$F$235="",'Brouillard ventes'!$J$235="À crédit",'Brouillard ventes'!$J$235=""),"","EC"&amp;TEXT(ROW('Brouillard ventes'!$F$235)-5,"00000"))</f>
        <v/>
      </c>
      <c r="C461" s="22">
        <f>IF(OR('Brouillard ventes'!$F$235="",'Brouillard ventes'!$J$235="À crédit",'Brouillard ventes'!$J$235=""),"",YEAR('Brouillard ventes'!$A$235)*10000+MONTH('Brouillard ventes'!$A$235)*100+DAY('Brouillard ventes'!$A$235))</f>
        <v/>
      </c>
      <c r="D461" s="22">
        <f>IF(OR('Brouillard ventes'!$F$235="",'Brouillard ventes'!$J$235="À crédit",'Brouillard ventes'!$J$235=""),"",'Brouillard ventes'!$B$235)</f>
        <v/>
      </c>
      <c r="E461" s="22">
        <f>IF(OR('Brouillard ventes'!$F$235="",'Brouillard ventes'!$J$235="À crédit",'Brouillard ventes'!$J$235=""),"","REGL "&amp;LEFT('Brouillard ventes'!$D$235,25))</f>
        <v/>
      </c>
      <c r="F461" s="22">
        <f>IF(OR('Brouillard ventes'!$F$235="",'Brouillard ventes'!$J$235="À crédit",'Brouillard ventes'!$J$235=""),"",IF('Brouillard ventes'!$J$235="Espèces","04001","02001"))</f>
        <v/>
      </c>
      <c r="G461" s="22">
        <f>IF(OR('Brouillard ventes'!$F$235="",'Brouillard ventes'!$J$235="À crédit",'Brouillard ventes'!$J$235=""),"",Paramètres!$B$7)</f>
        <v/>
      </c>
      <c r="H461" s="22">
        <f>IF(OR('Brouillard ventes'!$F$235="",'Brouillard ventes'!$J$235="À crédit",'Brouillard ventes'!$J$235=""),"",IF('Brouillard ventes'!$C$235="","CD001",'Brouillard ventes'!$C$235))</f>
        <v/>
      </c>
      <c r="I461" s="22" t="inlineStr"/>
      <c r="J461" s="22" t="inlineStr"/>
      <c r="K461" s="22">
        <f>IF(OR('Brouillard ventes'!$F$235="",'Brouillard ventes'!$J$235="À crédit",'Brouillard ventes'!$J$235=""),"",Paramètres!$B$11)</f>
        <v/>
      </c>
      <c r="L461" s="23" t="n">
        <v>0</v>
      </c>
      <c r="M461" s="23">
        <f>IF(OR('Brouillard ventes'!$F$235="",'Brouillard ventes'!$J$235="À crédit",'Brouillard ventes'!$J$235=""),0,'Brouillard ventes'!$I$235)</f>
        <v/>
      </c>
    </row>
    <row r="462">
      <c r="A462" s="22" t="inlineStr">
        <is>
          <t>1</t>
        </is>
      </c>
      <c r="B462" s="22">
        <f>IF(OR('Brouillard ventes'!$F$236="",'Brouillard ventes'!$J$236="À crédit",'Brouillard ventes'!$J$236=""),"","EC"&amp;TEXT(ROW('Brouillard ventes'!$F$236)-5,"00000"))</f>
        <v/>
      </c>
      <c r="C462" s="22">
        <f>IF(OR('Brouillard ventes'!$F$236="",'Brouillard ventes'!$J$236="À crédit",'Brouillard ventes'!$J$236=""),"",YEAR('Brouillard ventes'!$A$236)*10000+MONTH('Brouillard ventes'!$A$236)*100+DAY('Brouillard ventes'!$A$236))</f>
        <v/>
      </c>
      <c r="D462" s="22">
        <f>IF(OR('Brouillard ventes'!$F$236="",'Brouillard ventes'!$J$236="À crédit",'Brouillard ventes'!$J$236=""),"",'Brouillard ventes'!$B$236)</f>
        <v/>
      </c>
      <c r="E462" s="22">
        <f>IF(OR('Brouillard ventes'!$F$236="",'Brouillard ventes'!$J$236="À crédit",'Brouillard ventes'!$J$236=""),"","REGL "&amp;LEFT('Brouillard ventes'!$D$236,25))</f>
        <v/>
      </c>
      <c r="F462" s="22">
        <f>IF(OR('Brouillard ventes'!$F$236="",'Brouillard ventes'!$J$236="À crédit",'Brouillard ventes'!$J$236=""),"",IF('Brouillard ventes'!$J$236="Espèces","04001","02001"))</f>
        <v/>
      </c>
      <c r="G462" s="22">
        <f>IF(OR('Brouillard ventes'!$F$236="",'Brouillard ventes'!$J$236="À crédit",'Brouillard ventes'!$J$236=""),"",IF('Brouillard ventes'!$J$236="Espèces","53000","51220"))</f>
        <v/>
      </c>
      <c r="H462" s="22" t="inlineStr"/>
      <c r="I462" s="22" t="inlineStr"/>
      <c r="J462" s="22" t="inlineStr"/>
      <c r="K462" s="22">
        <f>IF(OR('Brouillard ventes'!$F$236="",'Brouillard ventes'!$J$236="À crédit",'Brouillard ventes'!$J$236=""),"",Paramètres!$B$11)</f>
        <v/>
      </c>
      <c r="L462" s="23">
        <f>IF(OR('Brouillard ventes'!$F$236="",'Brouillard ventes'!$J$236="À crédit",'Brouillard ventes'!$J$236=""),0,'Brouillard ventes'!$I$236)</f>
        <v/>
      </c>
      <c r="M462" s="23" t="n">
        <v>0</v>
      </c>
    </row>
    <row r="463">
      <c r="A463" s="22" t="inlineStr">
        <is>
          <t>1</t>
        </is>
      </c>
      <c r="B463" s="22">
        <f>IF(OR('Brouillard ventes'!$F$236="",'Brouillard ventes'!$J$236="À crédit",'Brouillard ventes'!$J$236=""),"","EC"&amp;TEXT(ROW('Brouillard ventes'!$F$236)-5,"00000"))</f>
        <v/>
      </c>
      <c r="C463" s="22">
        <f>IF(OR('Brouillard ventes'!$F$236="",'Brouillard ventes'!$J$236="À crédit",'Brouillard ventes'!$J$236=""),"",YEAR('Brouillard ventes'!$A$236)*10000+MONTH('Brouillard ventes'!$A$236)*100+DAY('Brouillard ventes'!$A$236))</f>
        <v/>
      </c>
      <c r="D463" s="22">
        <f>IF(OR('Brouillard ventes'!$F$236="",'Brouillard ventes'!$J$236="À crédit",'Brouillard ventes'!$J$236=""),"",'Brouillard ventes'!$B$236)</f>
        <v/>
      </c>
      <c r="E463" s="22">
        <f>IF(OR('Brouillard ventes'!$F$236="",'Brouillard ventes'!$J$236="À crédit",'Brouillard ventes'!$J$236=""),"","REGL "&amp;LEFT('Brouillard ventes'!$D$236,25))</f>
        <v/>
      </c>
      <c r="F463" s="22">
        <f>IF(OR('Brouillard ventes'!$F$236="",'Brouillard ventes'!$J$236="À crédit",'Brouillard ventes'!$J$236=""),"",IF('Brouillard ventes'!$J$236="Espèces","04001","02001"))</f>
        <v/>
      </c>
      <c r="G463" s="22">
        <f>IF(OR('Brouillard ventes'!$F$236="",'Brouillard ventes'!$J$236="À crédit",'Brouillard ventes'!$J$236=""),"",Paramètres!$B$7)</f>
        <v/>
      </c>
      <c r="H463" s="22">
        <f>IF(OR('Brouillard ventes'!$F$236="",'Brouillard ventes'!$J$236="À crédit",'Brouillard ventes'!$J$236=""),"",IF('Brouillard ventes'!$C$236="","CD001",'Brouillard ventes'!$C$236))</f>
        <v/>
      </c>
      <c r="I463" s="22" t="inlineStr"/>
      <c r="J463" s="22" t="inlineStr"/>
      <c r="K463" s="22">
        <f>IF(OR('Brouillard ventes'!$F$236="",'Brouillard ventes'!$J$236="À crédit",'Brouillard ventes'!$J$236=""),"",Paramètres!$B$11)</f>
        <v/>
      </c>
      <c r="L463" s="23" t="n">
        <v>0</v>
      </c>
      <c r="M463" s="23">
        <f>IF(OR('Brouillard ventes'!$F$236="",'Brouillard ventes'!$J$236="À crédit",'Brouillard ventes'!$J$236=""),0,'Brouillard ventes'!$I$236)</f>
        <v/>
      </c>
    </row>
    <row r="464">
      <c r="A464" s="22" t="inlineStr">
        <is>
          <t>1</t>
        </is>
      </c>
      <c r="B464" s="22">
        <f>IF(OR('Brouillard ventes'!$F$237="",'Brouillard ventes'!$J$237="À crédit",'Brouillard ventes'!$J$237=""),"","EC"&amp;TEXT(ROW('Brouillard ventes'!$F$237)-5,"00000"))</f>
        <v/>
      </c>
      <c r="C464" s="22">
        <f>IF(OR('Brouillard ventes'!$F$237="",'Brouillard ventes'!$J$237="À crédit",'Brouillard ventes'!$J$237=""),"",YEAR('Brouillard ventes'!$A$237)*10000+MONTH('Brouillard ventes'!$A$237)*100+DAY('Brouillard ventes'!$A$237))</f>
        <v/>
      </c>
      <c r="D464" s="22">
        <f>IF(OR('Brouillard ventes'!$F$237="",'Brouillard ventes'!$J$237="À crédit",'Brouillard ventes'!$J$237=""),"",'Brouillard ventes'!$B$237)</f>
        <v/>
      </c>
      <c r="E464" s="22">
        <f>IF(OR('Brouillard ventes'!$F$237="",'Brouillard ventes'!$J$237="À crédit",'Brouillard ventes'!$J$237=""),"","REGL "&amp;LEFT('Brouillard ventes'!$D$237,25))</f>
        <v/>
      </c>
      <c r="F464" s="22">
        <f>IF(OR('Brouillard ventes'!$F$237="",'Brouillard ventes'!$J$237="À crédit",'Brouillard ventes'!$J$237=""),"",IF('Brouillard ventes'!$J$237="Espèces","04001","02001"))</f>
        <v/>
      </c>
      <c r="G464" s="22">
        <f>IF(OR('Brouillard ventes'!$F$237="",'Brouillard ventes'!$J$237="À crédit",'Brouillard ventes'!$J$237=""),"",IF('Brouillard ventes'!$J$237="Espèces","53000","51220"))</f>
        <v/>
      </c>
      <c r="H464" s="22" t="inlineStr"/>
      <c r="I464" s="22" t="inlineStr"/>
      <c r="J464" s="22" t="inlineStr"/>
      <c r="K464" s="22">
        <f>IF(OR('Brouillard ventes'!$F$237="",'Brouillard ventes'!$J$237="À crédit",'Brouillard ventes'!$J$237=""),"",Paramètres!$B$11)</f>
        <v/>
      </c>
      <c r="L464" s="23">
        <f>IF(OR('Brouillard ventes'!$F$237="",'Brouillard ventes'!$J$237="À crédit",'Brouillard ventes'!$J$237=""),0,'Brouillard ventes'!$I$237)</f>
        <v/>
      </c>
      <c r="M464" s="23" t="n">
        <v>0</v>
      </c>
    </row>
    <row r="465">
      <c r="A465" s="22" t="inlineStr">
        <is>
          <t>1</t>
        </is>
      </c>
      <c r="B465" s="22">
        <f>IF(OR('Brouillard ventes'!$F$237="",'Brouillard ventes'!$J$237="À crédit",'Brouillard ventes'!$J$237=""),"","EC"&amp;TEXT(ROW('Brouillard ventes'!$F$237)-5,"00000"))</f>
        <v/>
      </c>
      <c r="C465" s="22">
        <f>IF(OR('Brouillard ventes'!$F$237="",'Brouillard ventes'!$J$237="À crédit",'Brouillard ventes'!$J$237=""),"",YEAR('Brouillard ventes'!$A$237)*10000+MONTH('Brouillard ventes'!$A$237)*100+DAY('Brouillard ventes'!$A$237))</f>
        <v/>
      </c>
      <c r="D465" s="22">
        <f>IF(OR('Brouillard ventes'!$F$237="",'Brouillard ventes'!$J$237="À crédit",'Brouillard ventes'!$J$237=""),"",'Brouillard ventes'!$B$237)</f>
        <v/>
      </c>
      <c r="E465" s="22">
        <f>IF(OR('Brouillard ventes'!$F$237="",'Brouillard ventes'!$J$237="À crédit",'Brouillard ventes'!$J$237=""),"","REGL "&amp;LEFT('Brouillard ventes'!$D$237,25))</f>
        <v/>
      </c>
      <c r="F465" s="22">
        <f>IF(OR('Brouillard ventes'!$F$237="",'Brouillard ventes'!$J$237="À crédit",'Brouillard ventes'!$J$237=""),"",IF('Brouillard ventes'!$J$237="Espèces","04001","02001"))</f>
        <v/>
      </c>
      <c r="G465" s="22">
        <f>IF(OR('Brouillard ventes'!$F$237="",'Brouillard ventes'!$J$237="À crédit",'Brouillard ventes'!$J$237=""),"",Paramètres!$B$7)</f>
        <v/>
      </c>
      <c r="H465" s="22">
        <f>IF(OR('Brouillard ventes'!$F$237="",'Brouillard ventes'!$J$237="À crédit",'Brouillard ventes'!$J$237=""),"",IF('Brouillard ventes'!$C$237="","CD001",'Brouillard ventes'!$C$237))</f>
        <v/>
      </c>
      <c r="I465" s="22" t="inlineStr"/>
      <c r="J465" s="22" t="inlineStr"/>
      <c r="K465" s="22">
        <f>IF(OR('Brouillard ventes'!$F$237="",'Brouillard ventes'!$J$237="À crédit",'Brouillard ventes'!$J$237=""),"",Paramètres!$B$11)</f>
        <v/>
      </c>
      <c r="L465" s="23" t="n">
        <v>0</v>
      </c>
      <c r="M465" s="23">
        <f>IF(OR('Brouillard ventes'!$F$237="",'Brouillard ventes'!$J$237="À crédit",'Brouillard ventes'!$J$237=""),0,'Brouillard ventes'!$I$237)</f>
        <v/>
      </c>
    </row>
    <row r="466">
      <c r="A466" s="22" t="inlineStr">
        <is>
          <t>1</t>
        </is>
      </c>
      <c r="B466" s="22">
        <f>IF(OR('Brouillard ventes'!$F$238="",'Brouillard ventes'!$J$238="À crédit",'Brouillard ventes'!$J$238=""),"","EC"&amp;TEXT(ROW('Brouillard ventes'!$F$238)-5,"00000"))</f>
        <v/>
      </c>
      <c r="C466" s="22">
        <f>IF(OR('Brouillard ventes'!$F$238="",'Brouillard ventes'!$J$238="À crédit",'Brouillard ventes'!$J$238=""),"",YEAR('Brouillard ventes'!$A$238)*10000+MONTH('Brouillard ventes'!$A$238)*100+DAY('Brouillard ventes'!$A$238))</f>
        <v/>
      </c>
      <c r="D466" s="22">
        <f>IF(OR('Brouillard ventes'!$F$238="",'Brouillard ventes'!$J$238="À crédit",'Brouillard ventes'!$J$238=""),"",'Brouillard ventes'!$B$238)</f>
        <v/>
      </c>
      <c r="E466" s="22">
        <f>IF(OR('Brouillard ventes'!$F$238="",'Brouillard ventes'!$J$238="À crédit",'Brouillard ventes'!$J$238=""),"","REGL "&amp;LEFT('Brouillard ventes'!$D$238,25))</f>
        <v/>
      </c>
      <c r="F466" s="22">
        <f>IF(OR('Brouillard ventes'!$F$238="",'Brouillard ventes'!$J$238="À crédit",'Brouillard ventes'!$J$238=""),"",IF('Brouillard ventes'!$J$238="Espèces","04001","02001"))</f>
        <v/>
      </c>
      <c r="G466" s="22">
        <f>IF(OR('Brouillard ventes'!$F$238="",'Brouillard ventes'!$J$238="À crédit",'Brouillard ventes'!$J$238=""),"",IF('Brouillard ventes'!$J$238="Espèces","53000","51220"))</f>
        <v/>
      </c>
      <c r="H466" s="22" t="inlineStr"/>
      <c r="I466" s="22" t="inlineStr"/>
      <c r="J466" s="22" t="inlineStr"/>
      <c r="K466" s="22">
        <f>IF(OR('Brouillard ventes'!$F$238="",'Brouillard ventes'!$J$238="À crédit",'Brouillard ventes'!$J$238=""),"",Paramètres!$B$11)</f>
        <v/>
      </c>
      <c r="L466" s="23">
        <f>IF(OR('Brouillard ventes'!$F$238="",'Brouillard ventes'!$J$238="À crédit",'Brouillard ventes'!$J$238=""),0,'Brouillard ventes'!$I$238)</f>
        <v/>
      </c>
      <c r="M466" s="23" t="n">
        <v>0</v>
      </c>
    </row>
    <row r="467">
      <c r="A467" s="22" t="inlineStr">
        <is>
          <t>1</t>
        </is>
      </c>
      <c r="B467" s="22">
        <f>IF(OR('Brouillard ventes'!$F$238="",'Brouillard ventes'!$J$238="À crédit",'Brouillard ventes'!$J$238=""),"","EC"&amp;TEXT(ROW('Brouillard ventes'!$F$238)-5,"00000"))</f>
        <v/>
      </c>
      <c r="C467" s="22">
        <f>IF(OR('Brouillard ventes'!$F$238="",'Brouillard ventes'!$J$238="À crédit",'Brouillard ventes'!$J$238=""),"",YEAR('Brouillard ventes'!$A$238)*10000+MONTH('Brouillard ventes'!$A$238)*100+DAY('Brouillard ventes'!$A$238))</f>
        <v/>
      </c>
      <c r="D467" s="22">
        <f>IF(OR('Brouillard ventes'!$F$238="",'Brouillard ventes'!$J$238="À crédit",'Brouillard ventes'!$J$238=""),"",'Brouillard ventes'!$B$238)</f>
        <v/>
      </c>
      <c r="E467" s="22">
        <f>IF(OR('Brouillard ventes'!$F$238="",'Brouillard ventes'!$J$238="À crédit",'Brouillard ventes'!$J$238=""),"","REGL "&amp;LEFT('Brouillard ventes'!$D$238,25))</f>
        <v/>
      </c>
      <c r="F467" s="22">
        <f>IF(OR('Brouillard ventes'!$F$238="",'Brouillard ventes'!$J$238="À crédit",'Brouillard ventes'!$J$238=""),"",IF('Brouillard ventes'!$J$238="Espèces","04001","02001"))</f>
        <v/>
      </c>
      <c r="G467" s="22">
        <f>IF(OR('Brouillard ventes'!$F$238="",'Brouillard ventes'!$J$238="À crédit",'Brouillard ventes'!$J$238=""),"",Paramètres!$B$7)</f>
        <v/>
      </c>
      <c r="H467" s="22">
        <f>IF(OR('Brouillard ventes'!$F$238="",'Brouillard ventes'!$J$238="À crédit",'Brouillard ventes'!$J$238=""),"",IF('Brouillard ventes'!$C$238="","CD001",'Brouillard ventes'!$C$238))</f>
        <v/>
      </c>
      <c r="I467" s="22" t="inlineStr"/>
      <c r="J467" s="22" t="inlineStr"/>
      <c r="K467" s="22">
        <f>IF(OR('Brouillard ventes'!$F$238="",'Brouillard ventes'!$J$238="À crédit",'Brouillard ventes'!$J$238=""),"",Paramètres!$B$11)</f>
        <v/>
      </c>
      <c r="L467" s="23" t="n">
        <v>0</v>
      </c>
      <c r="M467" s="23">
        <f>IF(OR('Brouillard ventes'!$F$238="",'Brouillard ventes'!$J$238="À crédit",'Brouillard ventes'!$J$238=""),0,'Brouillard ventes'!$I$238)</f>
        <v/>
      </c>
    </row>
    <row r="468">
      <c r="A468" s="22" t="inlineStr">
        <is>
          <t>1</t>
        </is>
      </c>
      <c r="B468" s="22">
        <f>IF(OR('Brouillard ventes'!$F$239="",'Brouillard ventes'!$J$239="À crédit",'Brouillard ventes'!$J$239=""),"","EC"&amp;TEXT(ROW('Brouillard ventes'!$F$239)-5,"00000"))</f>
        <v/>
      </c>
      <c r="C468" s="22">
        <f>IF(OR('Brouillard ventes'!$F$239="",'Brouillard ventes'!$J$239="À crédit",'Brouillard ventes'!$J$239=""),"",YEAR('Brouillard ventes'!$A$239)*10000+MONTH('Brouillard ventes'!$A$239)*100+DAY('Brouillard ventes'!$A$239))</f>
        <v/>
      </c>
      <c r="D468" s="22">
        <f>IF(OR('Brouillard ventes'!$F$239="",'Brouillard ventes'!$J$239="À crédit",'Brouillard ventes'!$J$239=""),"",'Brouillard ventes'!$B$239)</f>
        <v/>
      </c>
      <c r="E468" s="22">
        <f>IF(OR('Brouillard ventes'!$F$239="",'Brouillard ventes'!$J$239="À crédit",'Brouillard ventes'!$J$239=""),"","REGL "&amp;LEFT('Brouillard ventes'!$D$239,25))</f>
        <v/>
      </c>
      <c r="F468" s="22">
        <f>IF(OR('Brouillard ventes'!$F$239="",'Brouillard ventes'!$J$239="À crédit",'Brouillard ventes'!$J$239=""),"",IF('Brouillard ventes'!$J$239="Espèces","04001","02001"))</f>
        <v/>
      </c>
      <c r="G468" s="22">
        <f>IF(OR('Brouillard ventes'!$F$239="",'Brouillard ventes'!$J$239="À crédit",'Brouillard ventes'!$J$239=""),"",IF('Brouillard ventes'!$J$239="Espèces","53000","51220"))</f>
        <v/>
      </c>
      <c r="H468" s="22" t="inlineStr"/>
      <c r="I468" s="22" t="inlineStr"/>
      <c r="J468" s="22" t="inlineStr"/>
      <c r="K468" s="22">
        <f>IF(OR('Brouillard ventes'!$F$239="",'Brouillard ventes'!$J$239="À crédit",'Brouillard ventes'!$J$239=""),"",Paramètres!$B$11)</f>
        <v/>
      </c>
      <c r="L468" s="23">
        <f>IF(OR('Brouillard ventes'!$F$239="",'Brouillard ventes'!$J$239="À crédit",'Brouillard ventes'!$J$239=""),0,'Brouillard ventes'!$I$239)</f>
        <v/>
      </c>
      <c r="M468" s="23" t="n">
        <v>0</v>
      </c>
    </row>
    <row r="469">
      <c r="A469" s="22" t="inlineStr">
        <is>
          <t>1</t>
        </is>
      </c>
      <c r="B469" s="22">
        <f>IF(OR('Brouillard ventes'!$F$239="",'Brouillard ventes'!$J$239="À crédit",'Brouillard ventes'!$J$239=""),"","EC"&amp;TEXT(ROW('Brouillard ventes'!$F$239)-5,"00000"))</f>
        <v/>
      </c>
      <c r="C469" s="22">
        <f>IF(OR('Brouillard ventes'!$F$239="",'Brouillard ventes'!$J$239="À crédit",'Brouillard ventes'!$J$239=""),"",YEAR('Brouillard ventes'!$A$239)*10000+MONTH('Brouillard ventes'!$A$239)*100+DAY('Brouillard ventes'!$A$239))</f>
        <v/>
      </c>
      <c r="D469" s="22">
        <f>IF(OR('Brouillard ventes'!$F$239="",'Brouillard ventes'!$J$239="À crédit",'Brouillard ventes'!$J$239=""),"",'Brouillard ventes'!$B$239)</f>
        <v/>
      </c>
      <c r="E469" s="22">
        <f>IF(OR('Brouillard ventes'!$F$239="",'Brouillard ventes'!$J$239="À crédit",'Brouillard ventes'!$J$239=""),"","REGL "&amp;LEFT('Brouillard ventes'!$D$239,25))</f>
        <v/>
      </c>
      <c r="F469" s="22">
        <f>IF(OR('Brouillard ventes'!$F$239="",'Brouillard ventes'!$J$239="À crédit",'Brouillard ventes'!$J$239=""),"",IF('Brouillard ventes'!$J$239="Espèces","04001","02001"))</f>
        <v/>
      </c>
      <c r="G469" s="22">
        <f>IF(OR('Brouillard ventes'!$F$239="",'Brouillard ventes'!$J$239="À crédit",'Brouillard ventes'!$J$239=""),"",Paramètres!$B$7)</f>
        <v/>
      </c>
      <c r="H469" s="22">
        <f>IF(OR('Brouillard ventes'!$F$239="",'Brouillard ventes'!$J$239="À crédit",'Brouillard ventes'!$J$239=""),"",IF('Brouillard ventes'!$C$239="","CD001",'Brouillard ventes'!$C$239))</f>
        <v/>
      </c>
      <c r="I469" s="22" t="inlineStr"/>
      <c r="J469" s="22" t="inlineStr"/>
      <c r="K469" s="22">
        <f>IF(OR('Brouillard ventes'!$F$239="",'Brouillard ventes'!$J$239="À crédit",'Brouillard ventes'!$J$239=""),"",Paramètres!$B$11)</f>
        <v/>
      </c>
      <c r="L469" s="23" t="n">
        <v>0</v>
      </c>
      <c r="M469" s="23">
        <f>IF(OR('Brouillard ventes'!$F$239="",'Brouillard ventes'!$J$239="À crédit",'Brouillard ventes'!$J$239=""),0,'Brouillard ventes'!$I$239)</f>
        <v/>
      </c>
    </row>
    <row r="470">
      <c r="A470" s="22" t="inlineStr">
        <is>
          <t>1</t>
        </is>
      </c>
      <c r="B470" s="22">
        <f>IF(OR('Brouillard ventes'!$F$240="",'Brouillard ventes'!$J$240="À crédit",'Brouillard ventes'!$J$240=""),"","EC"&amp;TEXT(ROW('Brouillard ventes'!$F$240)-5,"00000"))</f>
        <v/>
      </c>
      <c r="C470" s="22">
        <f>IF(OR('Brouillard ventes'!$F$240="",'Brouillard ventes'!$J$240="À crédit",'Brouillard ventes'!$J$240=""),"",YEAR('Brouillard ventes'!$A$240)*10000+MONTH('Brouillard ventes'!$A$240)*100+DAY('Brouillard ventes'!$A$240))</f>
        <v/>
      </c>
      <c r="D470" s="22">
        <f>IF(OR('Brouillard ventes'!$F$240="",'Brouillard ventes'!$J$240="À crédit",'Brouillard ventes'!$J$240=""),"",'Brouillard ventes'!$B$240)</f>
        <v/>
      </c>
      <c r="E470" s="22">
        <f>IF(OR('Brouillard ventes'!$F$240="",'Brouillard ventes'!$J$240="À crédit",'Brouillard ventes'!$J$240=""),"","REGL "&amp;LEFT('Brouillard ventes'!$D$240,25))</f>
        <v/>
      </c>
      <c r="F470" s="22">
        <f>IF(OR('Brouillard ventes'!$F$240="",'Brouillard ventes'!$J$240="À crédit",'Brouillard ventes'!$J$240=""),"",IF('Brouillard ventes'!$J$240="Espèces","04001","02001"))</f>
        <v/>
      </c>
      <c r="G470" s="22">
        <f>IF(OR('Brouillard ventes'!$F$240="",'Brouillard ventes'!$J$240="À crédit",'Brouillard ventes'!$J$240=""),"",IF('Brouillard ventes'!$J$240="Espèces","53000","51220"))</f>
        <v/>
      </c>
      <c r="H470" s="22" t="inlineStr"/>
      <c r="I470" s="22" t="inlineStr"/>
      <c r="J470" s="22" t="inlineStr"/>
      <c r="K470" s="22">
        <f>IF(OR('Brouillard ventes'!$F$240="",'Brouillard ventes'!$J$240="À crédit",'Brouillard ventes'!$J$240=""),"",Paramètres!$B$11)</f>
        <v/>
      </c>
      <c r="L470" s="23">
        <f>IF(OR('Brouillard ventes'!$F$240="",'Brouillard ventes'!$J$240="À crédit",'Brouillard ventes'!$J$240=""),0,'Brouillard ventes'!$I$240)</f>
        <v/>
      </c>
      <c r="M470" s="23" t="n">
        <v>0</v>
      </c>
    </row>
    <row r="471">
      <c r="A471" s="22" t="inlineStr">
        <is>
          <t>1</t>
        </is>
      </c>
      <c r="B471" s="22">
        <f>IF(OR('Brouillard ventes'!$F$240="",'Brouillard ventes'!$J$240="À crédit",'Brouillard ventes'!$J$240=""),"","EC"&amp;TEXT(ROW('Brouillard ventes'!$F$240)-5,"00000"))</f>
        <v/>
      </c>
      <c r="C471" s="22">
        <f>IF(OR('Brouillard ventes'!$F$240="",'Brouillard ventes'!$J$240="À crédit",'Brouillard ventes'!$J$240=""),"",YEAR('Brouillard ventes'!$A$240)*10000+MONTH('Brouillard ventes'!$A$240)*100+DAY('Brouillard ventes'!$A$240))</f>
        <v/>
      </c>
      <c r="D471" s="22">
        <f>IF(OR('Brouillard ventes'!$F$240="",'Brouillard ventes'!$J$240="À crédit",'Brouillard ventes'!$J$240=""),"",'Brouillard ventes'!$B$240)</f>
        <v/>
      </c>
      <c r="E471" s="22">
        <f>IF(OR('Brouillard ventes'!$F$240="",'Brouillard ventes'!$J$240="À crédit",'Brouillard ventes'!$J$240=""),"","REGL "&amp;LEFT('Brouillard ventes'!$D$240,25))</f>
        <v/>
      </c>
      <c r="F471" s="22">
        <f>IF(OR('Brouillard ventes'!$F$240="",'Brouillard ventes'!$J$240="À crédit",'Brouillard ventes'!$J$240=""),"",IF('Brouillard ventes'!$J$240="Espèces","04001","02001"))</f>
        <v/>
      </c>
      <c r="G471" s="22">
        <f>IF(OR('Brouillard ventes'!$F$240="",'Brouillard ventes'!$J$240="À crédit",'Brouillard ventes'!$J$240=""),"",Paramètres!$B$7)</f>
        <v/>
      </c>
      <c r="H471" s="22">
        <f>IF(OR('Brouillard ventes'!$F$240="",'Brouillard ventes'!$J$240="À crédit",'Brouillard ventes'!$J$240=""),"",IF('Brouillard ventes'!$C$240="","CD001",'Brouillard ventes'!$C$240))</f>
        <v/>
      </c>
      <c r="I471" s="22" t="inlineStr"/>
      <c r="J471" s="22" t="inlineStr"/>
      <c r="K471" s="22">
        <f>IF(OR('Brouillard ventes'!$F$240="",'Brouillard ventes'!$J$240="À crédit",'Brouillard ventes'!$J$240=""),"",Paramètres!$B$11)</f>
        <v/>
      </c>
      <c r="L471" s="23" t="n">
        <v>0</v>
      </c>
      <c r="M471" s="23">
        <f>IF(OR('Brouillard ventes'!$F$240="",'Brouillard ventes'!$J$240="À crédit",'Brouillard ventes'!$J$240=""),0,'Brouillard ventes'!$I$240)</f>
        <v/>
      </c>
    </row>
    <row r="472">
      <c r="A472" s="22" t="inlineStr">
        <is>
          <t>1</t>
        </is>
      </c>
      <c r="B472" s="22">
        <f>IF(OR('Brouillard ventes'!$F$241="",'Brouillard ventes'!$J$241="À crédit",'Brouillard ventes'!$J$241=""),"","EC"&amp;TEXT(ROW('Brouillard ventes'!$F$241)-5,"00000"))</f>
        <v/>
      </c>
      <c r="C472" s="22">
        <f>IF(OR('Brouillard ventes'!$F$241="",'Brouillard ventes'!$J$241="À crédit",'Brouillard ventes'!$J$241=""),"",YEAR('Brouillard ventes'!$A$241)*10000+MONTH('Brouillard ventes'!$A$241)*100+DAY('Brouillard ventes'!$A$241))</f>
        <v/>
      </c>
      <c r="D472" s="22">
        <f>IF(OR('Brouillard ventes'!$F$241="",'Brouillard ventes'!$J$241="À crédit",'Brouillard ventes'!$J$241=""),"",'Brouillard ventes'!$B$241)</f>
        <v/>
      </c>
      <c r="E472" s="22">
        <f>IF(OR('Brouillard ventes'!$F$241="",'Brouillard ventes'!$J$241="À crédit",'Brouillard ventes'!$J$241=""),"","REGL "&amp;LEFT('Brouillard ventes'!$D$241,25))</f>
        <v/>
      </c>
      <c r="F472" s="22">
        <f>IF(OR('Brouillard ventes'!$F$241="",'Brouillard ventes'!$J$241="À crédit",'Brouillard ventes'!$J$241=""),"",IF('Brouillard ventes'!$J$241="Espèces","04001","02001"))</f>
        <v/>
      </c>
      <c r="G472" s="22">
        <f>IF(OR('Brouillard ventes'!$F$241="",'Brouillard ventes'!$J$241="À crédit",'Brouillard ventes'!$J$241=""),"",IF('Brouillard ventes'!$J$241="Espèces","53000","51220"))</f>
        <v/>
      </c>
      <c r="H472" s="22" t="inlineStr"/>
      <c r="I472" s="22" t="inlineStr"/>
      <c r="J472" s="22" t="inlineStr"/>
      <c r="K472" s="22">
        <f>IF(OR('Brouillard ventes'!$F$241="",'Brouillard ventes'!$J$241="À crédit",'Brouillard ventes'!$J$241=""),"",Paramètres!$B$11)</f>
        <v/>
      </c>
      <c r="L472" s="23">
        <f>IF(OR('Brouillard ventes'!$F$241="",'Brouillard ventes'!$J$241="À crédit",'Brouillard ventes'!$J$241=""),0,'Brouillard ventes'!$I$241)</f>
        <v/>
      </c>
      <c r="M472" s="23" t="n">
        <v>0</v>
      </c>
    </row>
    <row r="473">
      <c r="A473" s="22" t="inlineStr">
        <is>
          <t>1</t>
        </is>
      </c>
      <c r="B473" s="22">
        <f>IF(OR('Brouillard ventes'!$F$241="",'Brouillard ventes'!$J$241="À crédit",'Brouillard ventes'!$J$241=""),"","EC"&amp;TEXT(ROW('Brouillard ventes'!$F$241)-5,"00000"))</f>
        <v/>
      </c>
      <c r="C473" s="22">
        <f>IF(OR('Brouillard ventes'!$F$241="",'Brouillard ventes'!$J$241="À crédit",'Brouillard ventes'!$J$241=""),"",YEAR('Brouillard ventes'!$A$241)*10000+MONTH('Brouillard ventes'!$A$241)*100+DAY('Brouillard ventes'!$A$241))</f>
        <v/>
      </c>
      <c r="D473" s="22">
        <f>IF(OR('Brouillard ventes'!$F$241="",'Brouillard ventes'!$J$241="À crédit",'Brouillard ventes'!$J$241=""),"",'Brouillard ventes'!$B$241)</f>
        <v/>
      </c>
      <c r="E473" s="22">
        <f>IF(OR('Brouillard ventes'!$F$241="",'Brouillard ventes'!$J$241="À crédit",'Brouillard ventes'!$J$241=""),"","REGL "&amp;LEFT('Brouillard ventes'!$D$241,25))</f>
        <v/>
      </c>
      <c r="F473" s="22">
        <f>IF(OR('Brouillard ventes'!$F$241="",'Brouillard ventes'!$J$241="À crédit",'Brouillard ventes'!$J$241=""),"",IF('Brouillard ventes'!$J$241="Espèces","04001","02001"))</f>
        <v/>
      </c>
      <c r="G473" s="22">
        <f>IF(OR('Brouillard ventes'!$F$241="",'Brouillard ventes'!$J$241="À crédit",'Brouillard ventes'!$J$241=""),"",Paramètres!$B$7)</f>
        <v/>
      </c>
      <c r="H473" s="22">
        <f>IF(OR('Brouillard ventes'!$F$241="",'Brouillard ventes'!$J$241="À crédit",'Brouillard ventes'!$J$241=""),"",IF('Brouillard ventes'!$C$241="","CD001",'Brouillard ventes'!$C$241))</f>
        <v/>
      </c>
      <c r="I473" s="22" t="inlineStr"/>
      <c r="J473" s="22" t="inlineStr"/>
      <c r="K473" s="22">
        <f>IF(OR('Brouillard ventes'!$F$241="",'Brouillard ventes'!$J$241="À crédit",'Brouillard ventes'!$J$241=""),"",Paramètres!$B$11)</f>
        <v/>
      </c>
      <c r="L473" s="23" t="n">
        <v>0</v>
      </c>
      <c r="M473" s="23">
        <f>IF(OR('Brouillard ventes'!$F$241="",'Brouillard ventes'!$J$241="À crédit",'Brouillard ventes'!$J$241=""),0,'Brouillard ventes'!$I$241)</f>
        <v/>
      </c>
    </row>
    <row r="474">
      <c r="A474" s="22" t="inlineStr">
        <is>
          <t>1</t>
        </is>
      </c>
      <c r="B474" s="22">
        <f>IF(OR('Brouillard ventes'!$F$242="",'Brouillard ventes'!$J$242="À crédit",'Brouillard ventes'!$J$242=""),"","EC"&amp;TEXT(ROW('Brouillard ventes'!$F$242)-5,"00000"))</f>
        <v/>
      </c>
      <c r="C474" s="22">
        <f>IF(OR('Brouillard ventes'!$F$242="",'Brouillard ventes'!$J$242="À crédit",'Brouillard ventes'!$J$242=""),"",YEAR('Brouillard ventes'!$A$242)*10000+MONTH('Brouillard ventes'!$A$242)*100+DAY('Brouillard ventes'!$A$242))</f>
        <v/>
      </c>
      <c r="D474" s="22">
        <f>IF(OR('Brouillard ventes'!$F$242="",'Brouillard ventes'!$J$242="À crédit",'Brouillard ventes'!$J$242=""),"",'Brouillard ventes'!$B$242)</f>
        <v/>
      </c>
      <c r="E474" s="22">
        <f>IF(OR('Brouillard ventes'!$F$242="",'Brouillard ventes'!$J$242="À crédit",'Brouillard ventes'!$J$242=""),"","REGL "&amp;LEFT('Brouillard ventes'!$D$242,25))</f>
        <v/>
      </c>
      <c r="F474" s="22">
        <f>IF(OR('Brouillard ventes'!$F$242="",'Brouillard ventes'!$J$242="À crédit",'Brouillard ventes'!$J$242=""),"",IF('Brouillard ventes'!$J$242="Espèces","04001","02001"))</f>
        <v/>
      </c>
      <c r="G474" s="22">
        <f>IF(OR('Brouillard ventes'!$F$242="",'Brouillard ventes'!$J$242="À crédit",'Brouillard ventes'!$J$242=""),"",IF('Brouillard ventes'!$J$242="Espèces","53000","51220"))</f>
        <v/>
      </c>
      <c r="H474" s="22" t="inlineStr"/>
      <c r="I474" s="22" t="inlineStr"/>
      <c r="J474" s="22" t="inlineStr"/>
      <c r="K474" s="22">
        <f>IF(OR('Brouillard ventes'!$F$242="",'Brouillard ventes'!$J$242="À crédit",'Brouillard ventes'!$J$242=""),"",Paramètres!$B$11)</f>
        <v/>
      </c>
      <c r="L474" s="23">
        <f>IF(OR('Brouillard ventes'!$F$242="",'Brouillard ventes'!$J$242="À crédit",'Brouillard ventes'!$J$242=""),0,'Brouillard ventes'!$I$242)</f>
        <v/>
      </c>
      <c r="M474" s="23" t="n">
        <v>0</v>
      </c>
    </row>
    <row r="475">
      <c r="A475" s="22" t="inlineStr">
        <is>
          <t>1</t>
        </is>
      </c>
      <c r="B475" s="22">
        <f>IF(OR('Brouillard ventes'!$F$242="",'Brouillard ventes'!$J$242="À crédit",'Brouillard ventes'!$J$242=""),"","EC"&amp;TEXT(ROW('Brouillard ventes'!$F$242)-5,"00000"))</f>
        <v/>
      </c>
      <c r="C475" s="22">
        <f>IF(OR('Brouillard ventes'!$F$242="",'Brouillard ventes'!$J$242="À crédit",'Brouillard ventes'!$J$242=""),"",YEAR('Brouillard ventes'!$A$242)*10000+MONTH('Brouillard ventes'!$A$242)*100+DAY('Brouillard ventes'!$A$242))</f>
        <v/>
      </c>
      <c r="D475" s="22">
        <f>IF(OR('Brouillard ventes'!$F$242="",'Brouillard ventes'!$J$242="À crédit",'Brouillard ventes'!$J$242=""),"",'Brouillard ventes'!$B$242)</f>
        <v/>
      </c>
      <c r="E475" s="22">
        <f>IF(OR('Brouillard ventes'!$F$242="",'Brouillard ventes'!$J$242="À crédit",'Brouillard ventes'!$J$242=""),"","REGL "&amp;LEFT('Brouillard ventes'!$D$242,25))</f>
        <v/>
      </c>
      <c r="F475" s="22">
        <f>IF(OR('Brouillard ventes'!$F$242="",'Brouillard ventes'!$J$242="À crédit",'Brouillard ventes'!$J$242=""),"",IF('Brouillard ventes'!$J$242="Espèces","04001","02001"))</f>
        <v/>
      </c>
      <c r="G475" s="22">
        <f>IF(OR('Brouillard ventes'!$F$242="",'Brouillard ventes'!$J$242="À crédit",'Brouillard ventes'!$J$242=""),"",Paramètres!$B$7)</f>
        <v/>
      </c>
      <c r="H475" s="22">
        <f>IF(OR('Brouillard ventes'!$F$242="",'Brouillard ventes'!$J$242="À crédit",'Brouillard ventes'!$J$242=""),"",IF('Brouillard ventes'!$C$242="","CD001",'Brouillard ventes'!$C$242))</f>
        <v/>
      </c>
      <c r="I475" s="22" t="inlineStr"/>
      <c r="J475" s="22" t="inlineStr"/>
      <c r="K475" s="22">
        <f>IF(OR('Brouillard ventes'!$F$242="",'Brouillard ventes'!$J$242="À crédit",'Brouillard ventes'!$J$242=""),"",Paramètres!$B$11)</f>
        <v/>
      </c>
      <c r="L475" s="23" t="n">
        <v>0</v>
      </c>
      <c r="M475" s="23">
        <f>IF(OR('Brouillard ventes'!$F$242="",'Brouillard ventes'!$J$242="À crédit",'Brouillard ventes'!$J$242=""),0,'Brouillard ventes'!$I$242)</f>
        <v/>
      </c>
    </row>
    <row r="476">
      <c r="A476" s="22" t="inlineStr">
        <is>
          <t>1</t>
        </is>
      </c>
      <c r="B476" s="22">
        <f>IF(OR('Brouillard ventes'!$F$243="",'Brouillard ventes'!$J$243="À crédit",'Brouillard ventes'!$J$243=""),"","EC"&amp;TEXT(ROW('Brouillard ventes'!$F$243)-5,"00000"))</f>
        <v/>
      </c>
      <c r="C476" s="22">
        <f>IF(OR('Brouillard ventes'!$F$243="",'Brouillard ventes'!$J$243="À crédit",'Brouillard ventes'!$J$243=""),"",YEAR('Brouillard ventes'!$A$243)*10000+MONTH('Brouillard ventes'!$A$243)*100+DAY('Brouillard ventes'!$A$243))</f>
        <v/>
      </c>
      <c r="D476" s="22">
        <f>IF(OR('Brouillard ventes'!$F$243="",'Brouillard ventes'!$J$243="À crédit",'Brouillard ventes'!$J$243=""),"",'Brouillard ventes'!$B$243)</f>
        <v/>
      </c>
      <c r="E476" s="22">
        <f>IF(OR('Brouillard ventes'!$F$243="",'Brouillard ventes'!$J$243="À crédit",'Brouillard ventes'!$J$243=""),"","REGL "&amp;LEFT('Brouillard ventes'!$D$243,25))</f>
        <v/>
      </c>
      <c r="F476" s="22">
        <f>IF(OR('Brouillard ventes'!$F$243="",'Brouillard ventes'!$J$243="À crédit",'Brouillard ventes'!$J$243=""),"",IF('Brouillard ventes'!$J$243="Espèces","04001","02001"))</f>
        <v/>
      </c>
      <c r="G476" s="22">
        <f>IF(OR('Brouillard ventes'!$F$243="",'Brouillard ventes'!$J$243="À crédit",'Brouillard ventes'!$J$243=""),"",IF('Brouillard ventes'!$J$243="Espèces","53000","51220"))</f>
        <v/>
      </c>
      <c r="H476" s="22" t="inlineStr"/>
      <c r="I476" s="22" t="inlineStr"/>
      <c r="J476" s="22" t="inlineStr"/>
      <c r="K476" s="22">
        <f>IF(OR('Brouillard ventes'!$F$243="",'Brouillard ventes'!$J$243="À crédit",'Brouillard ventes'!$J$243=""),"",Paramètres!$B$11)</f>
        <v/>
      </c>
      <c r="L476" s="23">
        <f>IF(OR('Brouillard ventes'!$F$243="",'Brouillard ventes'!$J$243="À crédit",'Brouillard ventes'!$J$243=""),0,'Brouillard ventes'!$I$243)</f>
        <v/>
      </c>
      <c r="M476" s="23" t="n">
        <v>0</v>
      </c>
    </row>
    <row r="477">
      <c r="A477" s="22" t="inlineStr">
        <is>
          <t>1</t>
        </is>
      </c>
      <c r="B477" s="22">
        <f>IF(OR('Brouillard ventes'!$F$243="",'Brouillard ventes'!$J$243="À crédit",'Brouillard ventes'!$J$243=""),"","EC"&amp;TEXT(ROW('Brouillard ventes'!$F$243)-5,"00000"))</f>
        <v/>
      </c>
      <c r="C477" s="22">
        <f>IF(OR('Brouillard ventes'!$F$243="",'Brouillard ventes'!$J$243="À crédit",'Brouillard ventes'!$J$243=""),"",YEAR('Brouillard ventes'!$A$243)*10000+MONTH('Brouillard ventes'!$A$243)*100+DAY('Brouillard ventes'!$A$243))</f>
        <v/>
      </c>
      <c r="D477" s="22">
        <f>IF(OR('Brouillard ventes'!$F$243="",'Brouillard ventes'!$J$243="À crédit",'Brouillard ventes'!$J$243=""),"",'Brouillard ventes'!$B$243)</f>
        <v/>
      </c>
      <c r="E477" s="22">
        <f>IF(OR('Brouillard ventes'!$F$243="",'Brouillard ventes'!$J$243="À crédit",'Brouillard ventes'!$J$243=""),"","REGL "&amp;LEFT('Brouillard ventes'!$D$243,25))</f>
        <v/>
      </c>
      <c r="F477" s="22">
        <f>IF(OR('Brouillard ventes'!$F$243="",'Brouillard ventes'!$J$243="À crédit",'Brouillard ventes'!$J$243=""),"",IF('Brouillard ventes'!$J$243="Espèces","04001","02001"))</f>
        <v/>
      </c>
      <c r="G477" s="22">
        <f>IF(OR('Brouillard ventes'!$F$243="",'Brouillard ventes'!$J$243="À crédit",'Brouillard ventes'!$J$243=""),"",Paramètres!$B$7)</f>
        <v/>
      </c>
      <c r="H477" s="22">
        <f>IF(OR('Brouillard ventes'!$F$243="",'Brouillard ventes'!$J$243="À crédit",'Brouillard ventes'!$J$243=""),"",IF('Brouillard ventes'!$C$243="","CD001",'Brouillard ventes'!$C$243))</f>
        <v/>
      </c>
      <c r="I477" s="22" t="inlineStr"/>
      <c r="J477" s="22" t="inlineStr"/>
      <c r="K477" s="22">
        <f>IF(OR('Brouillard ventes'!$F$243="",'Brouillard ventes'!$J$243="À crédit",'Brouillard ventes'!$J$243=""),"",Paramètres!$B$11)</f>
        <v/>
      </c>
      <c r="L477" s="23" t="n">
        <v>0</v>
      </c>
      <c r="M477" s="23">
        <f>IF(OR('Brouillard ventes'!$F$243="",'Brouillard ventes'!$J$243="À crédit",'Brouillard ventes'!$J$243=""),0,'Brouillard ventes'!$I$243)</f>
        <v/>
      </c>
    </row>
    <row r="478">
      <c r="A478" s="22" t="inlineStr">
        <is>
          <t>1</t>
        </is>
      </c>
      <c r="B478" s="22">
        <f>IF(OR('Brouillard ventes'!$F$244="",'Brouillard ventes'!$J$244="À crédit",'Brouillard ventes'!$J$244=""),"","EC"&amp;TEXT(ROW('Brouillard ventes'!$F$244)-5,"00000"))</f>
        <v/>
      </c>
      <c r="C478" s="22">
        <f>IF(OR('Brouillard ventes'!$F$244="",'Brouillard ventes'!$J$244="À crédit",'Brouillard ventes'!$J$244=""),"",YEAR('Brouillard ventes'!$A$244)*10000+MONTH('Brouillard ventes'!$A$244)*100+DAY('Brouillard ventes'!$A$244))</f>
        <v/>
      </c>
      <c r="D478" s="22">
        <f>IF(OR('Brouillard ventes'!$F$244="",'Brouillard ventes'!$J$244="À crédit",'Brouillard ventes'!$J$244=""),"",'Brouillard ventes'!$B$244)</f>
        <v/>
      </c>
      <c r="E478" s="22">
        <f>IF(OR('Brouillard ventes'!$F$244="",'Brouillard ventes'!$J$244="À crédit",'Brouillard ventes'!$J$244=""),"","REGL "&amp;LEFT('Brouillard ventes'!$D$244,25))</f>
        <v/>
      </c>
      <c r="F478" s="22">
        <f>IF(OR('Brouillard ventes'!$F$244="",'Brouillard ventes'!$J$244="À crédit",'Brouillard ventes'!$J$244=""),"",IF('Brouillard ventes'!$J$244="Espèces","04001","02001"))</f>
        <v/>
      </c>
      <c r="G478" s="22">
        <f>IF(OR('Brouillard ventes'!$F$244="",'Brouillard ventes'!$J$244="À crédit",'Brouillard ventes'!$J$244=""),"",IF('Brouillard ventes'!$J$244="Espèces","53000","51220"))</f>
        <v/>
      </c>
      <c r="H478" s="22" t="inlineStr"/>
      <c r="I478" s="22" t="inlineStr"/>
      <c r="J478" s="22" t="inlineStr"/>
      <c r="K478" s="22">
        <f>IF(OR('Brouillard ventes'!$F$244="",'Brouillard ventes'!$J$244="À crédit",'Brouillard ventes'!$J$244=""),"",Paramètres!$B$11)</f>
        <v/>
      </c>
      <c r="L478" s="23">
        <f>IF(OR('Brouillard ventes'!$F$244="",'Brouillard ventes'!$J$244="À crédit",'Brouillard ventes'!$J$244=""),0,'Brouillard ventes'!$I$244)</f>
        <v/>
      </c>
      <c r="M478" s="23" t="n">
        <v>0</v>
      </c>
    </row>
    <row r="479">
      <c r="A479" s="22" t="inlineStr">
        <is>
          <t>1</t>
        </is>
      </c>
      <c r="B479" s="22">
        <f>IF(OR('Brouillard ventes'!$F$244="",'Brouillard ventes'!$J$244="À crédit",'Brouillard ventes'!$J$244=""),"","EC"&amp;TEXT(ROW('Brouillard ventes'!$F$244)-5,"00000"))</f>
        <v/>
      </c>
      <c r="C479" s="22">
        <f>IF(OR('Brouillard ventes'!$F$244="",'Brouillard ventes'!$J$244="À crédit",'Brouillard ventes'!$J$244=""),"",YEAR('Brouillard ventes'!$A$244)*10000+MONTH('Brouillard ventes'!$A$244)*100+DAY('Brouillard ventes'!$A$244))</f>
        <v/>
      </c>
      <c r="D479" s="22">
        <f>IF(OR('Brouillard ventes'!$F$244="",'Brouillard ventes'!$J$244="À crédit",'Brouillard ventes'!$J$244=""),"",'Brouillard ventes'!$B$244)</f>
        <v/>
      </c>
      <c r="E479" s="22">
        <f>IF(OR('Brouillard ventes'!$F$244="",'Brouillard ventes'!$J$244="À crédit",'Brouillard ventes'!$J$244=""),"","REGL "&amp;LEFT('Brouillard ventes'!$D$244,25))</f>
        <v/>
      </c>
      <c r="F479" s="22">
        <f>IF(OR('Brouillard ventes'!$F$244="",'Brouillard ventes'!$J$244="À crédit",'Brouillard ventes'!$J$244=""),"",IF('Brouillard ventes'!$J$244="Espèces","04001","02001"))</f>
        <v/>
      </c>
      <c r="G479" s="22">
        <f>IF(OR('Brouillard ventes'!$F$244="",'Brouillard ventes'!$J$244="À crédit",'Brouillard ventes'!$J$244=""),"",Paramètres!$B$7)</f>
        <v/>
      </c>
      <c r="H479" s="22">
        <f>IF(OR('Brouillard ventes'!$F$244="",'Brouillard ventes'!$J$244="À crédit",'Brouillard ventes'!$J$244=""),"",IF('Brouillard ventes'!$C$244="","CD001",'Brouillard ventes'!$C$244))</f>
        <v/>
      </c>
      <c r="I479" s="22" t="inlineStr"/>
      <c r="J479" s="22" t="inlineStr"/>
      <c r="K479" s="22">
        <f>IF(OR('Brouillard ventes'!$F$244="",'Brouillard ventes'!$J$244="À crédit",'Brouillard ventes'!$J$244=""),"",Paramètres!$B$11)</f>
        <v/>
      </c>
      <c r="L479" s="23" t="n">
        <v>0</v>
      </c>
      <c r="M479" s="23">
        <f>IF(OR('Brouillard ventes'!$F$244="",'Brouillard ventes'!$J$244="À crédit",'Brouillard ventes'!$J$244=""),0,'Brouillard ventes'!$I$244)</f>
        <v/>
      </c>
    </row>
    <row r="480">
      <c r="A480" s="22" t="inlineStr">
        <is>
          <t>1</t>
        </is>
      </c>
      <c r="B480" s="22">
        <f>IF(OR('Brouillard ventes'!$F$245="",'Brouillard ventes'!$J$245="À crédit",'Brouillard ventes'!$J$245=""),"","EC"&amp;TEXT(ROW('Brouillard ventes'!$F$245)-5,"00000"))</f>
        <v/>
      </c>
      <c r="C480" s="22">
        <f>IF(OR('Brouillard ventes'!$F$245="",'Brouillard ventes'!$J$245="À crédit",'Brouillard ventes'!$J$245=""),"",YEAR('Brouillard ventes'!$A$245)*10000+MONTH('Brouillard ventes'!$A$245)*100+DAY('Brouillard ventes'!$A$245))</f>
        <v/>
      </c>
      <c r="D480" s="22">
        <f>IF(OR('Brouillard ventes'!$F$245="",'Brouillard ventes'!$J$245="À crédit",'Brouillard ventes'!$J$245=""),"",'Brouillard ventes'!$B$245)</f>
        <v/>
      </c>
      <c r="E480" s="22">
        <f>IF(OR('Brouillard ventes'!$F$245="",'Brouillard ventes'!$J$245="À crédit",'Brouillard ventes'!$J$245=""),"","REGL "&amp;LEFT('Brouillard ventes'!$D$245,25))</f>
        <v/>
      </c>
      <c r="F480" s="22">
        <f>IF(OR('Brouillard ventes'!$F$245="",'Brouillard ventes'!$J$245="À crédit",'Brouillard ventes'!$J$245=""),"",IF('Brouillard ventes'!$J$245="Espèces","04001","02001"))</f>
        <v/>
      </c>
      <c r="G480" s="22">
        <f>IF(OR('Brouillard ventes'!$F$245="",'Brouillard ventes'!$J$245="À crédit",'Brouillard ventes'!$J$245=""),"",IF('Brouillard ventes'!$J$245="Espèces","53000","51220"))</f>
        <v/>
      </c>
      <c r="H480" s="22" t="inlineStr"/>
      <c r="I480" s="22" t="inlineStr"/>
      <c r="J480" s="22" t="inlineStr"/>
      <c r="K480" s="22">
        <f>IF(OR('Brouillard ventes'!$F$245="",'Brouillard ventes'!$J$245="À crédit",'Brouillard ventes'!$J$245=""),"",Paramètres!$B$11)</f>
        <v/>
      </c>
      <c r="L480" s="23">
        <f>IF(OR('Brouillard ventes'!$F$245="",'Brouillard ventes'!$J$245="À crédit",'Brouillard ventes'!$J$245=""),0,'Brouillard ventes'!$I$245)</f>
        <v/>
      </c>
      <c r="M480" s="23" t="n">
        <v>0</v>
      </c>
    </row>
    <row r="481">
      <c r="A481" s="22" t="inlineStr">
        <is>
          <t>1</t>
        </is>
      </c>
      <c r="B481" s="22">
        <f>IF(OR('Brouillard ventes'!$F$245="",'Brouillard ventes'!$J$245="À crédit",'Brouillard ventes'!$J$245=""),"","EC"&amp;TEXT(ROW('Brouillard ventes'!$F$245)-5,"00000"))</f>
        <v/>
      </c>
      <c r="C481" s="22">
        <f>IF(OR('Brouillard ventes'!$F$245="",'Brouillard ventes'!$J$245="À crédit",'Brouillard ventes'!$J$245=""),"",YEAR('Brouillard ventes'!$A$245)*10000+MONTH('Brouillard ventes'!$A$245)*100+DAY('Brouillard ventes'!$A$245))</f>
        <v/>
      </c>
      <c r="D481" s="22">
        <f>IF(OR('Brouillard ventes'!$F$245="",'Brouillard ventes'!$J$245="À crédit",'Brouillard ventes'!$J$245=""),"",'Brouillard ventes'!$B$245)</f>
        <v/>
      </c>
      <c r="E481" s="22">
        <f>IF(OR('Brouillard ventes'!$F$245="",'Brouillard ventes'!$J$245="À crédit",'Brouillard ventes'!$J$245=""),"","REGL "&amp;LEFT('Brouillard ventes'!$D$245,25))</f>
        <v/>
      </c>
      <c r="F481" s="22">
        <f>IF(OR('Brouillard ventes'!$F$245="",'Brouillard ventes'!$J$245="À crédit",'Brouillard ventes'!$J$245=""),"",IF('Brouillard ventes'!$J$245="Espèces","04001","02001"))</f>
        <v/>
      </c>
      <c r="G481" s="22">
        <f>IF(OR('Brouillard ventes'!$F$245="",'Brouillard ventes'!$J$245="À crédit",'Brouillard ventes'!$J$245=""),"",Paramètres!$B$7)</f>
        <v/>
      </c>
      <c r="H481" s="22">
        <f>IF(OR('Brouillard ventes'!$F$245="",'Brouillard ventes'!$J$245="À crédit",'Brouillard ventes'!$J$245=""),"",IF('Brouillard ventes'!$C$245="","CD001",'Brouillard ventes'!$C$245))</f>
        <v/>
      </c>
      <c r="I481" s="22" t="inlineStr"/>
      <c r="J481" s="22" t="inlineStr"/>
      <c r="K481" s="22">
        <f>IF(OR('Brouillard ventes'!$F$245="",'Brouillard ventes'!$J$245="À crédit",'Brouillard ventes'!$J$245=""),"",Paramètres!$B$11)</f>
        <v/>
      </c>
      <c r="L481" s="23" t="n">
        <v>0</v>
      </c>
      <c r="M481" s="23">
        <f>IF(OR('Brouillard ventes'!$F$245="",'Brouillard ventes'!$J$245="À crédit",'Brouillard ventes'!$J$245=""),0,'Brouillard ventes'!$I$245)</f>
        <v/>
      </c>
    </row>
    <row r="482">
      <c r="A482" s="22" t="inlineStr">
        <is>
          <t>1</t>
        </is>
      </c>
      <c r="B482" s="22">
        <f>IF(OR('Brouillard ventes'!$F$246="",'Brouillard ventes'!$J$246="À crédit",'Brouillard ventes'!$J$246=""),"","EC"&amp;TEXT(ROW('Brouillard ventes'!$F$246)-5,"00000"))</f>
        <v/>
      </c>
      <c r="C482" s="22">
        <f>IF(OR('Brouillard ventes'!$F$246="",'Brouillard ventes'!$J$246="À crédit",'Brouillard ventes'!$J$246=""),"",YEAR('Brouillard ventes'!$A$246)*10000+MONTH('Brouillard ventes'!$A$246)*100+DAY('Brouillard ventes'!$A$246))</f>
        <v/>
      </c>
      <c r="D482" s="22">
        <f>IF(OR('Brouillard ventes'!$F$246="",'Brouillard ventes'!$J$246="À crédit",'Brouillard ventes'!$J$246=""),"",'Brouillard ventes'!$B$246)</f>
        <v/>
      </c>
      <c r="E482" s="22">
        <f>IF(OR('Brouillard ventes'!$F$246="",'Brouillard ventes'!$J$246="À crédit",'Brouillard ventes'!$J$246=""),"","REGL "&amp;LEFT('Brouillard ventes'!$D$246,25))</f>
        <v/>
      </c>
      <c r="F482" s="22">
        <f>IF(OR('Brouillard ventes'!$F$246="",'Brouillard ventes'!$J$246="À crédit",'Brouillard ventes'!$J$246=""),"",IF('Brouillard ventes'!$J$246="Espèces","04001","02001"))</f>
        <v/>
      </c>
      <c r="G482" s="22">
        <f>IF(OR('Brouillard ventes'!$F$246="",'Brouillard ventes'!$J$246="À crédit",'Brouillard ventes'!$J$246=""),"",IF('Brouillard ventes'!$J$246="Espèces","53000","51220"))</f>
        <v/>
      </c>
      <c r="H482" s="22" t="inlineStr"/>
      <c r="I482" s="22" t="inlineStr"/>
      <c r="J482" s="22" t="inlineStr"/>
      <c r="K482" s="22">
        <f>IF(OR('Brouillard ventes'!$F$246="",'Brouillard ventes'!$J$246="À crédit",'Brouillard ventes'!$J$246=""),"",Paramètres!$B$11)</f>
        <v/>
      </c>
      <c r="L482" s="23">
        <f>IF(OR('Brouillard ventes'!$F$246="",'Brouillard ventes'!$J$246="À crédit",'Brouillard ventes'!$J$246=""),0,'Brouillard ventes'!$I$246)</f>
        <v/>
      </c>
      <c r="M482" s="23" t="n">
        <v>0</v>
      </c>
    </row>
    <row r="483">
      <c r="A483" s="22" t="inlineStr">
        <is>
          <t>1</t>
        </is>
      </c>
      <c r="B483" s="22">
        <f>IF(OR('Brouillard ventes'!$F$246="",'Brouillard ventes'!$J$246="À crédit",'Brouillard ventes'!$J$246=""),"","EC"&amp;TEXT(ROW('Brouillard ventes'!$F$246)-5,"00000"))</f>
        <v/>
      </c>
      <c r="C483" s="22">
        <f>IF(OR('Brouillard ventes'!$F$246="",'Brouillard ventes'!$J$246="À crédit",'Brouillard ventes'!$J$246=""),"",YEAR('Brouillard ventes'!$A$246)*10000+MONTH('Brouillard ventes'!$A$246)*100+DAY('Brouillard ventes'!$A$246))</f>
        <v/>
      </c>
      <c r="D483" s="22">
        <f>IF(OR('Brouillard ventes'!$F$246="",'Brouillard ventes'!$J$246="À crédit",'Brouillard ventes'!$J$246=""),"",'Brouillard ventes'!$B$246)</f>
        <v/>
      </c>
      <c r="E483" s="22">
        <f>IF(OR('Brouillard ventes'!$F$246="",'Brouillard ventes'!$J$246="À crédit",'Brouillard ventes'!$J$246=""),"","REGL "&amp;LEFT('Brouillard ventes'!$D$246,25))</f>
        <v/>
      </c>
      <c r="F483" s="22">
        <f>IF(OR('Brouillard ventes'!$F$246="",'Brouillard ventes'!$J$246="À crédit",'Brouillard ventes'!$J$246=""),"",IF('Brouillard ventes'!$J$246="Espèces","04001","02001"))</f>
        <v/>
      </c>
      <c r="G483" s="22">
        <f>IF(OR('Brouillard ventes'!$F$246="",'Brouillard ventes'!$J$246="À crédit",'Brouillard ventes'!$J$246=""),"",Paramètres!$B$7)</f>
        <v/>
      </c>
      <c r="H483" s="22">
        <f>IF(OR('Brouillard ventes'!$F$246="",'Brouillard ventes'!$J$246="À crédit",'Brouillard ventes'!$J$246=""),"",IF('Brouillard ventes'!$C$246="","CD001",'Brouillard ventes'!$C$246))</f>
        <v/>
      </c>
      <c r="I483" s="22" t="inlineStr"/>
      <c r="J483" s="22" t="inlineStr"/>
      <c r="K483" s="22">
        <f>IF(OR('Brouillard ventes'!$F$246="",'Brouillard ventes'!$J$246="À crédit",'Brouillard ventes'!$J$246=""),"",Paramètres!$B$11)</f>
        <v/>
      </c>
      <c r="L483" s="23" t="n">
        <v>0</v>
      </c>
      <c r="M483" s="23">
        <f>IF(OR('Brouillard ventes'!$F$246="",'Brouillard ventes'!$J$246="À crédit",'Brouillard ventes'!$J$246=""),0,'Brouillard ventes'!$I$246)</f>
        <v/>
      </c>
    </row>
    <row r="484">
      <c r="A484" s="22" t="inlineStr">
        <is>
          <t>1</t>
        </is>
      </c>
      <c r="B484" s="22">
        <f>IF(OR('Brouillard ventes'!$F$247="",'Brouillard ventes'!$J$247="À crédit",'Brouillard ventes'!$J$247=""),"","EC"&amp;TEXT(ROW('Brouillard ventes'!$F$247)-5,"00000"))</f>
        <v/>
      </c>
      <c r="C484" s="22">
        <f>IF(OR('Brouillard ventes'!$F$247="",'Brouillard ventes'!$J$247="À crédit",'Brouillard ventes'!$J$247=""),"",YEAR('Brouillard ventes'!$A$247)*10000+MONTH('Brouillard ventes'!$A$247)*100+DAY('Brouillard ventes'!$A$247))</f>
        <v/>
      </c>
      <c r="D484" s="22">
        <f>IF(OR('Brouillard ventes'!$F$247="",'Brouillard ventes'!$J$247="À crédit",'Brouillard ventes'!$J$247=""),"",'Brouillard ventes'!$B$247)</f>
        <v/>
      </c>
      <c r="E484" s="22">
        <f>IF(OR('Brouillard ventes'!$F$247="",'Brouillard ventes'!$J$247="À crédit",'Brouillard ventes'!$J$247=""),"","REGL "&amp;LEFT('Brouillard ventes'!$D$247,25))</f>
        <v/>
      </c>
      <c r="F484" s="22">
        <f>IF(OR('Brouillard ventes'!$F$247="",'Brouillard ventes'!$J$247="À crédit",'Brouillard ventes'!$J$247=""),"",IF('Brouillard ventes'!$J$247="Espèces","04001","02001"))</f>
        <v/>
      </c>
      <c r="G484" s="22">
        <f>IF(OR('Brouillard ventes'!$F$247="",'Brouillard ventes'!$J$247="À crédit",'Brouillard ventes'!$J$247=""),"",IF('Brouillard ventes'!$J$247="Espèces","53000","51220"))</f>
        <v/>
      </c>
      <c r="H484" s="22" t="inlineStr"/>
      <c r="I484" s="22" t="inlineStr"/>
      <c r="J484" s="22" t="inlineStr"/>
      <c r="K484" s="22">
        <f>IF(OR('Brouillard ventes'!$F$247="",'Brouillard ventes'!$J$247="À crédit",'Brouillard ventes'!$J$247=""),"",Paramètres!$B$11)</f>
        <v/>
      </c>
      <c r="L484" s="23">
        <f>IF(OR('Brouillard ventes'!$F$247="",'Brouillard ventes'!$J$247="À crédit",'Brouillard ventes'!$J$247=""),0,'Brouillard ventes'!$I$247)</f>
        <v/>
      </c>
      <c r="M484" s="23" t="n">
        <v>0</v>
      </c>
    </row>
    <row r="485">
      <c r="A485" s="22" t="inlineStr">
        <is>
          <t>1</t>
        </is>
      </c>
      <c r="B485" s="22">
        <f>IF(OR('Brouillard ventes'!$F$247="",'Brouillard ventes'!$J$247="À crédit",'Brouillard ventes'!$J$247=""),"","EC"&amp;TEXT(ROW('Brouillard ventes'!$F$247)-5,"00000"))</f>
        <v/>
      </c>
      <c r="C485" s="22">
        <f>IF(OR('Brouillard ventes'!$F$247="",'Brouillard ventes'!$J$247="À crédit",'Brouillard ventes'!$J$247=""),"",YEAR('Brouillard ventes'!$A$247)*10000+MONTH('Brouillard ventes'!$A$247)*100+DAY('Brouillard ventes'!$A$247))</f>
        <v/>
      </c>
      <c r="D485" s="22">
        <f>IF(OR('Brouillard ventes'!$F$247="",'Brouillard ventes'!$J$247="À crédit",'Brouillard ventes'!$J$247=""),"",'Brouillard ventes'!$B$247)</f>
        <v/>
      </c>
      <c r="E485" s="22">
        <f>IF(OR('Brouillard ventes'!$F$247="",'Brouillard ventes'!$J$247="À crédit",'Brouillard ventes'!$J$247=""),"","REGL "&amp;LEFT('Brouillard ventes'!$D$247,25))</f>
        <v/>
      </c>
      <c r="F485" s="22">
        <f>IF(OR('Brouillard ventes'!$F$247="",'Brouillard ventes'!$J$247="À crédit",'Brouillard ventes'!$J$247=""),"",IF('Brouillard ventes'!$J$247="Espèces","04001","02001"))</f>
        <v/>
      </c>
      <c r="G485" s="22">
        <f>IF(OR('Brouillard ventes'!$F$247="",'Brouillard ventes'!$J$247="À crédit",'Brouillard ventes'!$J$247=""),"",Paramètres!$B$7)</f>
        <v/>
      </c>
      <c r="H485" s="22">
        <f>IF(OR('Brouillard ventes'!$F$247="",'Brouillard ventes'!$J$247="À crédit",'Brouillard ventes'!$J$247=""),"",IF('Brouillard ventes'!$C$247="","CD001",'Brouillard ventes'!$C$247))</f>
        <v/>
      </c>
      <c r="I485" s="22" t="inlineStr"/>
      <c r="J485" s="22" t="inlineStr"/>
      <c r="K485" s="22">
        <f>IF(OR('Brouillard ventes'!$F$247="",'Brouillard ventes'!$J$247="À crédit",'Brouillard ventes'!$J$247=""),"",Paramètres!$B$11)</f>
        <v/>
      </c>
      <c r="L485" s="23" t="n">
        <v>0</v>
      </c>
      <c r="M485" s="23">
        <f>IF(OR('Brouillard ventes'!$F$247="",'Brouillard ventes'!$J$247="À crédit",'Brouillard ventes'!$J$247=""),0,'Brouillard ventes'!$I$247)</f>
        <v/>
      </c>
    </row>
    <row r="486">
      <c r="A486" s="22" t="inlineStr">
        <is>
          <t>1</t>
        </is>
      </c>
      <c r="B486" s="22">
        <f>IF(OR('Brouillard ventes'!$F$248="",'Brouillard ventes'!$J$248="À crédit",'Brouillard ventes'!$J$248=""),"","EC"&amp;TEXT(ROW('Brouillard ventes'!$F$248)-5,"00000"))</f>
        <v/>
      </c>
      <c r="C486" s="22">
        <f>IF(OR('Brouillard ventes'!$F$248="",'Brouillard ventes'!$J$248="À crédit",'Brouillard ventes'!$J$248=""),"",YEAR('Brouillard ventes'!$A$248)*10000+MONTH('Brouillard ventes'!$A$248)*100+DAY('Brouillard ventes'!$A$248))</f>
        <v/>
      </c>
      <c r="D486" s="22">
        <f>IF(OR('Brouillard ventes'!$F$248="",'Brouillard ventes'!$J$248="À crédit",'Brouillard ventes'!$J$248=""),"",'Brouillard ventes'!$B$248)</f>
        <v/>
      </c>
      <c r="E486" s="22">
        <f>IF(OR('Brouillard ventes'!$F$248="",'Brouillard ventes'!$J$248="À crédit",'Brouillard ventes'!$J$248=""),"","REGL "&amp;LEFT('Brouillard ventes'!$D$248,25))</f>
        <v/>
      </c>
      <c r="F486" s="22">
        <f>IF(OR('Brouillard ventes'!$F$248="",'Brouillard ventes'!$J$248="À crédit",'Brouillard ventes'!$J$248=""),"",IF('Brouillard ventes'!$J$248="Espèces","04001","02001"))</f>
        <v/>
      </c>
      <c r="G486" s="22">
        <f>IF(OR('Brouillard ventes'!$F$248="",'Brouillard ventes'!$J$248="À crédit",'Brouillard ventes'!$J$248=""),"",IF('Brouillard ventes'!$J$248="Espèces","53000","51220"))</f>
        <v/>
      </c>
      <c r="H486" s="22" t="inlineStr"/>
      <c r="I486" s="22" t="inlineStr"/>
      <c r="J486" s="22" t="inlineStr"/>
      <c r="K486" s="22">
        <f>IF(OR('Brouillard ventes'!$F$248="",'Brouillard ventes'!$J$248="À crédit",'Brouillard ventes'!$J$248=""),"",Paramètres!$B$11)</f>
        <v/>
      </c>
      <c r="L486" s="23">
        <f>IF(OR('Brouillard ventes'!$F$248="",'Brouillard ventes'!$J$248="À crédit",'Brouillard ventes'!$J$248=""),0,'Brouillard ventes'!$I$248)</f>
        <v/>
      </c>
      <c r="M486" s="23" t="n">
        <v>0</v>
      </c>
    </row>
    <row r="487">
      <c r="A487" s="22" t="inlineStr">
        <is>
          <t>1</t>
        </is>
      </c>
      <c r="B487" s="22">
        <f>IF(OR('Brouillard ventes'!$F$248="",'Brouillard ventes'!$J$248="À crédit",'Brouillard ventes'!$J$248=""),"","EC"&amp;TEXT(ROW('Brouillard ventes'!$F$248)-5,"00000"))</f>
        <v/>
      </c>
      <c r="C487" s="22">
        <f>IF(OR('Brouillard ventes'!$F$248="",'Brouillard ventes'!$J$248="À crédit",'Brouillard ventes'!$J$248=""),"",YEAR('Brouillard ventes'!$A$248)*10000+MONTH('Brouillard ventes'!$A$248)*100+DAY('Brouillard ventes'!$A$248))</f>
        <v/>
      </c>
      <c r="D487" s="22">
        <f>IF(OR('Brouillard ventes'!$F$248="",'Brouillard ventes'!$J$248="À crédit",'Brouillard ventes'!$J$248=""),"",'Brouillard ventes'!$B$248)</f>
        <v/>
      </c>
      <c r="E487" s="22">
        <f>IF(OR('Brouillard ventes'!$F$248="",'Brouillard ventes'!$J$248="À crédit",'Brouillard ventes'!$J$248=""),"","REGL "&amp;LEFT('Brouillard ventes'!$D$248,25))</f>
        <v/>
      </c>
      <c r="F487" s="22">
        <f>IF(OR('Brouillard ventes'!$F$248="",'Brouillard ventes'!$J$248="À crédit",'Brouillard ventes'!$J$248=""),"",IF('Brouillard ventes'!$J$248="Espèces","04001","02001"))</f>
        <v/>
      </c>
      <c r="G487" s="22">
        <f>IF(OR('Brouillard ventes'!$F$248="",'Brouillard ventes'!$J$248="À crédit",'Brouillard ventes'!$J$248=""),"",Paramètres!$B$7)</f>
        <v/>
      </c>
      <c r="H487" s="22">
        <f>IF(OR('Brouillard ventes'!$F$248="",'Brouillard ventes'!$J$248="À crédit",'Brouillard ventes'!$J$248=""),"",IF('Brouillard ventes'!$C$248="","CD001",'Brouillard ventes'!$C$248))</f>
        <v/>
      </c>
      <c r="I487" s="22" t="inlineStr"/>
      <c r="J487" s="22" t="inlineStr"/>
      <c r="K487" s="22">
        <f>IF(OR('Brouillard ventes'!$F$248="",'Brouillard ventes'!$J$248="À crédit",'Brouillard ventes'!$J$248=""),"",Paramètres!$B$11)</f>
        <v/>
      </c>
      <c r="L487" s="23" t="n">
        <v>0</v>
      </c>
      <c r="M487" s="23">
        <f>IF(OR('Brouillard ventes'!$F$248="",'Brouillard ventes'!$J$248="À crédit",'Brouillard ventes'!$J$248=""),0,'Brouillard ventes'!$I$248)</f>
        <v/>
      </c>
    </row>
    <row r="488">
      <c r="A488" s="22" t="inlineStr">
        <is>
          <t>1</t>
        </is>
      </c>
      <c r="B488" s="22">
        <f>IF(OR('Brouillard ventes'!$F$249="",'Brouillard ventes'!$J$249="À crédit",'Brouillard ventes'!$J$249=""),"","EC"&amp;TEXT(ROW('Brouillard ventes'!$F$249)-5,"00000"))</f>
        <v/>
      </c>
      <c r="C488" s="22">
        <f>IF(OR('Brouillard ventes'!$F$249="",'Brouillard ventes'!$J$249="À crédit",'Brouillard ventes'!$J$249=""),"",YEAR('Brouillard ventes'!$A$249)*10000+MONTH('Brouillard ventes'!$A$249)*100+DAY('Brouillard ventes'!$A$249))</f>
        <v/>
      </c>
      <c r="D488" s="22">
        <f>IF(OR('Brouillard ventes'!$F$249="",'Brouillard ventes'!$J$249="À crédit",'Brouillard ventes'!$J$249=""),"",'Brouillard ventes'!$B$249)</f>
        <v/>
      </c>
      <c r="E488" s="22">
        <f>IF(OR('Brouillard ventes'!$F$249="",'Brouillard ventes'!$J$249="À crédit",'Brouillard ventes'!$J$249=""),"","REGL "&amp;LEFT('Brouillard ventes'!$D$249,25))</f>
        <v/>
      </c>
      <c r="F488" s="22">
        <f>IF(OR('Brouillard ventes'!$F$249="",'Brouillard ventes'!$J$249="À crédit",'Brouillard ventes'!$J$249=""),"",IF('Brouillard ventes'!$J$249="Espèces","04001","02001"))</f>
        <v/>
      </c>
      <c r="G488" s="22">
        <f>IF(OR('Brouillard ventes'!$F$249="",'Brouillard ventes'!$J$249="À crédit",'Brouillard ventes'!$J$249=""),"",IF('Brouillard ventes'!$J$249="Espèces","53000","51220"))</f>
        <v/>
      </c>
      <c r="H488" s="22" t="inlineStr"/>
      <c r="I488" s="22" t="inlineStr"/>
      <c r="J488" s="22" t="inlineStr"/>
      <c r="K488" s="22">
        <f>IF(OR('Brouillard ventes'!$F$249="",'Brouillard ventes'!$J$249="À crédit",'Brouillard ventes'!$J$249=""),"",Paramètres!$B$11)</f>
        <v/>
      </c>
      <c r="L488" s="23">
        <f>IF(OR('Brouillard ventes'!$F$249="",'Brouillard ventes'!$J$249="À crédit",'Brouillard ventes'!$J$249=""),0,'Brouillard ventes'!$I$249)</f>
        <v/>
      </c>
      <c r="M488" s="23" t="n">
        <v>0</v>
      </c>
    </row>
    <row r="489">
      <c r="A489" s="22" t="inlineStr">
        <is>
          <t>1</t>
        </is>
      </c>
      <c r="B489" s="22">
        <f>IF(OR('Brouillard ventes'!$F$249="",'Brouillard ventes'!$J$249="À crédit",'Brouillard ventes'!$J$249=""),"","EC"&amp;TEXT(ROW('Brouillard ventes'!$F$249)-5,"00000"))</f>
        <v/>
      </c>
      <c r="C489" s="22">
        <f>IF(OR('Brouillard ventes'!$F$249="",'Brouillard ventes'!$J$249="À crédit",'Brouillard ventes'!$J$249=""),"",YEAR('Brouillard ventes'!$A$249)*10000+MONTH('Brouillard ventes'!$A$249)*100+DAY('Brouillard ventes'!$A$249))</f>
        <v/>
      </c>
      <c r="D489" s="22">
        <f>IF(OR('Brouillard ventes'!$F$249="",'Brouillard ventes'!$J$249="À crédit",'Brouillard ventes'!$J$249=""),"",'Brouillard ventes'!$B$249)</f>
        <v/>
      </c>
      <c r="E489" s="22">
        <f>IF(OR('Brouillard ventes'!$F$249="",'Brouillard ventes'!$J$249="À crédit",'Brouillard ventes'!$J$249=""),"","REGL "&amp;LEFT('Brouillard ventes'!$D$249,25))</f>
        <v/>
      </c>
      <c r="F489" s="22">
        <f>IF(OR('Brouillard ventes'!$F$249="",'Brouillard ventes'!$J$249="À crédit",'Brouillard ventes'!$J$249=""),"",IF('Brouillard ventes'!$J$249="Espèces","04001","02001"))</f>
        <v/>
      </c>
      <c r="G489" s="22">
        <f>IF(OR('Brouillard ventes'!$F$249="",'Brouillard ventes'!$J$249="À crédit",'Brouillard ventes'!$J$249=""),"",Paramètres!$B$7)</f>
        <v/>
      </c>
      <c r="H489" s="22">
        <f>IF(OR('Brouillard ventes'!$F$249="",'Brouillard ventes'!$J$249="À crédit",'Brouillard ventes'!$J$249=""),"",IF('Brouillard ventes'!$C$249="","CD001",'Brouillard ventes'!$C$249))</f>
        <v/>
      </c>
      <c r="I489" s="22" t="inlineStr"/>
      <c r="J489" s="22" t="inlineStr"/>
      <c r="K489" s="22">
        <f>IF(OR('Brouillard ventes'!$F$249="",'Brouillard ventes'!$J$249="À crédit",'Brouillard ventes'!$J$249=""),"",Paramètres!$B$11)</f>
        <v/>
      </c>
      <c r="L489" s="23" t="n">
        <v>0</v>
      </c>
      <c r="M489" s="23">
        <f>IF(OR('Brouillard ventes'!$F$249="",'Brouillard ventes'!$J$249="À crédit",'Brouillard ventes'!$J$249=""),0,'Brouillard ventes'!$I$249)</f>
        <v/>
      </c>
    </row>
    <row r="490">
      <c r="A490" s="22" t="inlineStr">
        <is>
          <t>1</t>
        </is>
      </c>
      <c r="B490" s="22">
        <f>IF(OR('Brouillard ventes'!$F$250="",'Brouillard ventes'!$J$250="À crédit",'Brouillard ventes'!$J$250=""),"","EC"&amp;TEXT(ROW('Brouillard ventes'!$F$250)-5,"00000"))</f>
        <v/>
      </c>
      <c r="C490" s="22">
        <f>IF(OR('Brouillard ventes'!$F$250="",'Brouillard ventes'!$J$250="À crédit",'Brouillard ventes'!$J$250=""),"",YEAR('Brouillard ventes'!$A$250)*10000+MONTH('Brouillard ventes'!$A$250)*100+DAY('Brouillard ventes'!$A$250))</f>
        <v/>
      </c>
      <c r="D490" s="22">
        <f>IF(OR('Brouillard ventes'!$F$250="",'Brouillard ventes'!$J$250="À crédit",'Brouillard ventes'!$J$250=""),"",'Brouillard ventes'!$B$250)</f>
        <v/>
      </c>
      <c r="E490" s="22">
        <f>IF(OR('Brouillard ventes'!$F$250="",'Brouillard ventes'!$J$250="À crédit",'Brouillard ventes'!$J$250=""),"","REGL "&amp;LEFT('Brouillard ventes'!$D$250,25))</f>
        <v/>
      </c>
      <c r="F490" s="22">
        <f>IF(OR('Brouillard ventes'!$F$250="",'Brouillard ventes'!$J$250="À crédit",'Brouillard ventes'!$J$250=""),"",IF('Brouillard ventes'!$J$250="Espèces","04001","02001"))</f>
        <v/>
      </c>
      <c r="G490" s="22">
        <f>IF(OR('Brouillard ventes'!$F$250="",'Brouillard ventes'!$J$250="À crédit",'Brouillard ventes'!$J$250=""),"",IF('Brouillard ventes'!$J$250="Espèces","53000","51220"))</f>
        <v/>
      </c>
      <c r="H490" s="22" t="inlineStr"/>
      <c r="I490" s="22" t="inlineStr"/>
      <c r="J490" s="22" t="inlineStr"/>
      <c r="K490" s="22">
        <f>IF(OR('Brouillard ventes'!$F$250="",'Brouillard ventes'!$J$250="À crédit",'Brouillard ventes'!$J$250=""),"",Paramètres!$B$11)</f>
        <v/>
      </c>
      <c r="L490" s="23">
        <f>IF(OR('Brouillard ventes'!$F$250="",'Brouillard ventes'!$J$250="À crédit",'Brouillard ventes'!$J$250=""),0,'Brouillard ventes'!$I$250)</f>
        <v/>
      </c>
      <c r="M490" s="23" t="n">
        <v>0</v>
      </c>
    </row>
    <row r="491">
      <c r="A491" s="22" t="inlineStr">
        <is>
          <t>1</t>
        </is>
      </c>
      <c r="B491" s="22">
        <f>IF(OR('Brouillard ventes'!$F$250="",'Brouillard ventes'!$J$250="À crédit",'Brouillard ventes'!$J$250=""),"","EC"&amp;TEXT(ROW('Brouillard ventes'!$F$250)-5,"00000"))</f>
        <v/>
      </c>
      <c r="C491" s="22">
        <f>IF(OR('Brouillard ventes'!$F$250="",'Brouillard ventes'!$J$250="À crédit",'Brouillard ventes'!$J$250=""),"",YEAR('Brouillard ventes'!$A$250)*10000+MONTH('Brouillard ventes'!$A$250)*100+DAY('Brouillard ventes'!$A$250))</f>
        <v/>
      </c>
      <c r="D491" s="22">
        <f>IF(OR('Brouillard ventes'!$F$250="",'Brouillard ventes'!$J$250="À crédit",'Brouillard ventes'!$J$250=""),"",'Brouillard ventes'!$B$250)</f>
        <v/>
      </c>
      <c r="E491" s="22">
        <f>IF(OR('Brouillard ventes'!$F$250="",'Brouillard ventes'!$J$250="À crédit",'Brouillard ventes'!$J$250=""),"","REGL "&amp;LEFT('Brouillard ventes'!$D$250,25))</f>
        <v/>
      </c>
      <c r="F491" s="22">
        <f>IF(OR('Brouillard ventes'!$F$250="",'Brouillard ventes'!$J$250="À crédit",'Brouillard ventes'!$J$250=""),"",IF('Brouillard ventes'!$J$250="Espèces","04001","02001"))</f>
        <v/>
      </c>
      <c r="G491" s="22">
        <f>IF(OR('Brouillard ventes'!$F$250="",'Brouillard ventes'!$J$250="À crédit",'Brouillard ventes'!$J$250=""),"",Paramètres!$B$7)</f>
        <v/>
      </c>
      <c r="H491" s="22">
        <f>IF(OR('Brouillard ventes'!$F$250="",'Brouillard ventes'!$J$250="À crédit",'Brouillard ventes'!$J$250=""),"",IF('Brouillard ventes'!$C$250="","CD001",'Brouillard ventes'!$C$250))</f>
        <v/>
      </c>
      <c r="I491" s="22" t="inlineStr"/>
      <c r="J491" s="22" t="inlineStr"/>
      <c r="K491" s="22">
        <f>IF(OR('Brouillard ventes'!$F$250="",'Brouillard ventes'!$J$250="À crédit",'Brouillard ventes'!$J$250=""),"",Paramètres!$B$11)</f>
        <v/>
      </c>
      <c r="L491" s="23" t="n">
        <v>0</v>
      </c>
      <c r="M491" s="23">
        <f>IF(OR('Brouillard ventes'!$F$250="",'Brouillard ventes'!$J$250="À crédit",'Brouillard ventes'!$J$250=""),0,'Brouillard ventes'!$I$250)</f>
        <v/>
      </c>
    </row>
    <row r="492">
      <c r="A492" s="22" t="inlineStr">
        <is>
          <t>1</t>
        </is>
      </c>
      <c r="B492" s="22">
        <f>IF(OR('Brouillard ventes'!$F$251="",'Brouillard ventes'!$J$251="À crédit",'Brouillard ventes'!$J$251=""),"","EC"&amp;TEXT(ROW('Brouillard ventes'!$F$251)-5,"00000"))</f>
        <v/>
      </c>
      <c r="C492" s="22">
        <f>IF(OR('Brouillard ventes'!$F$251="",'Brouillard ventes'!$J$251="À crédit",'Brouillard ventes'!$J$251=""),"",YEAR('Brouillard ventes'!$A$251)*10000+MONTH('Brouillard ventes'!$A$251)*100+DAY('Brouillard ventes'!$A$251))</f>
        <v/>
      </c>
      <c r="D492" s="22">
        <f>IF(OR('Brouillard ventes'!$F$251="",'Brouillard ventes'!$J$251="À crédit",'Brouillard ventes'!$J$251=""),"",'Brouillard ventes'!$B$251)</f>
        <v/>
      </c>
      <c r="E492" s="22">
        <f>IF(OR('Brouillard ventes'!$F$251="",'Brouillard ventes'!$J$251="À crédit",'Brouillard ventes'!$J$251=""),"","REGL "&amp;LEFT('Brouillard ventes'!$D$251,25))</f>
        <v/>
      </c>
      <c r="F492" s="22">
        <f>IF(OR('Brouillard ventes'!$F$251="",'Brouillard ventes'!$J$251="À crédit",'Brouillard ventes'!$J$251=""),"",IF('Brouillard ventes'!$J$251="Espèces","04001","02001"))</f>
        <v/>
      </c>
      <c r="G492" s="22">
        <f>IF(OR('Brouillard ventes'!$F$251="",'Brouillard ventes'!$J$251="À crédit",'Brouillard ventes'!$J$251=""),"",IF('Brouillard ventes'!$J$251="Espèces","53000","51220"))</f>
        <v/>
      </c>
      <c r="H492" s="22" t="inlineStr"/>
      <c r="I492" s="22" t="inlineStr"/>
      <c r="J492" s="22" t="inlineStr"/>
      <c r="K492" s="22">
        <f>IF(OR('Brouillard ventes'!$F$251="",'Brouillard ventes'!$J$251="À crédit",'Brouillard ventes'!$J$251=""),"",Paramètres!$B$11)</f>
        <v/>
      </c>
      <c r="L492" s="23">
        <f>IF(OR('Brouillard ventes'!$F$251="",'Brouillard ventes'!$J$251="À crédit",'Brouillard ventes'!$J$251=""),0,'Brouillard ventes'!$I$251)</f>
        <v/>
      </c>
      <c r="M492" s="23" t="n">
        <v>0</v>
      </c>
    </row>
    <row r="493">
      <c r="A493" s="22" t="inlineStr">
        <is>
          <t>1</t>
        </is>
      </c>
      <c r="B493" s="22">
        <f>IF(OR('Brouillard ventes'!$F$251="",'Brouillard ventes'!$J$251="À crédit",'Brouillard ventes'!$J$251=""),"","EC"&amp;TEXT(ROW('Brouillard ventes'!$F$251)-5,"00000"))</f>
        <v/>
      </c>
      <c r="C493" s="22">
        <f>IF(OR('Brouillard ventes'!$F$251="",'Brouillard ventes'!$J$251="À crédit",'Brouillard ventes'!$J$251=""),"",YEAR('Brouillard ventes'!$A$251)*10000+MONTH('Brouillard ventes'!$A$251)*100+DAY('Brouillard ventes'!$A$251))</f>
        <v/>
      </c>
      <c r="D493" s="22">
        <f>IF(OR('Brouillard ventes'!$F$251="",'Brouillard ventes'!$J$251="À crédit",'Brouillard ventes'!$J$251=""),"",'Brouillard ventes'!$B$251)</f>
        <v/>
      </c>
      <c r="E493" s="22">
        <f>IF(OR('Brouillard ventes'!$F$251="",'Brouillard ventes'!$J$251="À crédit",'Brouillard ventes'!$J$251=""),"","REGL "&amp;LEFT('Brouillard ventes'!$D$251,25))</f>
        <v/>
      </c>
      <c r="F493" s="22">
        <f>IF(OR('Brouillard ventes'!$F$251="",'Brouillard ventes'!$J$251="À crédit",'Brouillard ventes'!$J$251=""),"",IF('Brouillard ventes'!$J$251="Espèces","04001","02001"))</f>
        <v/>
      </c>
      <c r="G493" s="22">
        <f>IF(OR('Brouillard ventes'!$F$251="",'Brouillard ventes'!$J$251="À crédit",'Brouillard ventes'!$J$251=""),"",Paramètres!$B$7)</f>
        <v/>
      </c>
      <c r="H493" s="22">
        <f>IF(OR('Brouillard ventes'!$F$251="",'Brouillard ventes'!$J$251="À crédit",'Brouillard ventes'!$J$251=""),"",IF('Brouillard ventes'!$C$251="","CD001",'Brouillard ventes'!$C$251))</f>
        <v/>
      </c>
      <c r="I493" s="22" t="inlineStr"/>
      <c r="J493" s="22" t="inlineStr"/>
      <c r="K493" s="22">
        <f>IF(OR('Brouillard ventes'!$F$251="",'Brouillard ventes'!$J$251="À crédit",'Brouillard ventes'!$J$251=""),"",Paramètres!$B$11)</f>
        <v/>
      </c>
      <c r="L493" s="23" t="n">
        <v>0</v>
      </c>
      <c r="M493" s="23">
        <f>IF(OR('Brouillard ventes'!$F$251="",'Brouillard ventes'!$J$251="À crédit",'Brouillard ventes'!$J$251=""),0,'Brouillard ventes'!$I$251)</f>
        <v/>
      </c>
    </row>
    <row r="494">
      <c r="A494" s="22" t="inlineStr">
        <is>
          <t>1</t>
        </is>
      </c>
      <c r="B494" s="22">
        <f>IF(OR('Brouillard ventes'!$F$252="",'Brouillard ventes'!$J$252="À crédit",'Brouillard ventes'!$J$252=""),"","EC"&amp;TEXT(ROW('Brouillard ventes'!$F$252)-5,"00000"))</f>
        <v/>
      </c>
      <c r="C494" s="22">
        <f>IF(OR('Brouillard ventes'!$F$252="",'Brouillard ventes'!$J$252="À crédit",'Brouillard ventes'!$J$252=""),"",YEAR('Brouillard ventes'!$A$252)*10000+MONTH('Brouillard ventes'!$A$252)*100+DAY('Brouillard ventes'!$A$252))</f>
        <v/>
      </c>
      <c r="D494" s="22">
        <f>IF(OR('Brouillard ventes'!$F$252="",'Brouillard ventes'!$J$252="À crédit",'Brouillard ventes'!$J$252=""),"",'Brouillard ventes'!$B$252)</f>
        <v/>
      </c>
      <c r="E494" s="22">
        <f>IF(OR('Brouillard ventes'!$F$252="",'Brouillard ventes'!$J$252="À crédit",'Brouillard ventes'!$J$252=""),"","REGL "&amp;LEFT('Brouillard ventes'!$D$252,25))</f>
        <v/>
      </c>
      <c r="F494" s="22">
        <f>IF(OR('Brouillard ventes'!$F$252="",'Brouillard ventes'!$J$252="À crédit",'Brouillard ventes'!$J$252=""),"",IF('Brouillard ventes'!$J$252="Espèces","04001","02001"))</f>
        <v/>
      </c>
      <c r="G494" s="22">
        <f>IF(OR('Brouillard ventes'!$F$252="",'Brouillard ventes'!$J$252="À crédit",'Brouillard ventes'!$J$252=""),"",IF('Brouillard ventes'!$J$252="Espèces","53000","51220"))</f>
        <v/>
      </c>
      <c r="H494" s="22" t="inlineStr"/>
      <c r="I494" s="22" t="inlineStr"/>
      <c r="J494" s="22" t="inlineStr"/>
      <c r="K494" s="22">
        <f>IF(OR('Brouillard ventes'!$F$252="",'Brouillard ventes'!$J$252="À crédit",'Brouillard ventes'!$J$252=""),"",Paramètres!$B$11)</f>
        <v/>
      </c>
      <c r="L494" s="23">
        <f>IF(OR('Brouillard ventes'!$F$252="",'Brouillard ventes'!$J$252="À crédit",'Brouillard ventes'!$J$252=""),0,'Brouillard ventes'!$I$252)</f>
        <v/>
      </c>
      <c r="M494" s="23" t="n">
        <v>0</v>
      </c>
    </row>
    <row r="495">
      <c r="A495" s="22" t="inlineStr">
        <is>
          <t>1</t>
        </is>
      </c>
      <c r="B495" s="22">
        <f>IF(OR('Brouillard ventes'!$F$252="",'Brouillard ventes'!$J$252="À crédit",'Brouillard ventes'!$J$252=""),"","EC"&amp;TEXT(ROW('Brouillard ventes'!$F$252)-5,"00000"))</f>
        <v/>
      </c>
      <c r="C495" s="22">
        <f>IF(OR('Brouillard ventes'!$F$252="",'Brouillard ventes'!$J$252="À crédit",'Brouillard ventes'!$J$252=""),"",YEAR('Brouillard ventes'!$A$252)*10000+MONTH('Brouillard ventes'!$A$252)*100+DAY('Brouillard ventes'!$A$252))</f>
        <v/>
      </c>
      <c r="D495" s="22">
        <f>IF(OR('Brouillard ventes'!$F$252="",'Brouillard ventes'!$J$252="À crédit",'Brouillard ventes'!$J$252=""),"",'Brouillard ventes'!$B$252)</f>
        <v/>
      </c>
      <c r="E495" s="22">
        <f>IF(OR('Brouillard ventes'!$F$252="",'Brouillard ventes'!$J$252="À crédit",'Brouillard ventes'!$J$252=""),"","REGL "&amp;LEFT('Brouillard ventes'!$D$252,25))</f>
        <v/>
      </c>
      <c r="F495" s="22">
        <f>IF(OR('Brouillard ventes'!$F$252="",'Brouillard ventes'!$J$252="À crédit",'Brouillard ventes'!$J$252=""),"",IF('Brouillard ventes'!$J$252="Espèces","04001","02001"))</f>
        <v/>
      </c>
      <c r="G495" s="22">
        <f>IF(OR('Brouillard ventes'!$F$252="",'Brouillard ventes'!$J$252="À crédit",'Brouillard ventes'!$J$252=""),"",Paramètres!$B$7)</f>
        <v/>
      </c>
      <c r="H495" s="22">
        <f>IF(OR('Brouillard ventes'!$F$252="",'Brouillard ventes'!$J$252="À crédit",'Brouillard ventes'!$J$252=""),"",IF('Brouillard ventes'!$C$252="","CD001",'Brouillard ventes'!$C$252))</f>
        <v/>
      </c>
      <c r="I495" s="22" t="inlineStr"/>
      <c r="J495" s="22" t="inlineStr"/>
      <c r="K495" s="22">
        <f>IF(OR('Brouillard ventes'!$F$252="",'Brouillard ventes'!$J$252="À crédit",'Brouillard ventes'!$J$252=""),"",Paramètres!$B$11)</f>
        <v/>
      </c>
      <c r="L495" s="23" t="n">
        <v>0</v>
      </c>
      <c r="M495" s="23">
        <f>IF(OR('Brouillard ventes'!$F$252="",'Brouillard ventes'!$J$252="À crédit",'Brouillard ventes'!$J$252=""),0,'Brouillard ventes'!$I$252)</f>
        <v/>
      </c>
    </row>
    <row r="496">
      <c r="A496" s="22" t="inlineStr">
        <is>
          <t>1</t>
        </is>
      </c>
      <c r="B496" s="22">
        <f>IF(OR('Brouillard ventes'!$F$253="",'Brouillard ventes'!$J$253="À crédit",'Brouillard ventes'!$J$253=""),"","EC"&amp;TEXT(ROW('Brouillard ventes'!$F$253)-5,"00000"))</f>
        <v/>
      </c>
      <c r="C496" s="22">
        <f>IF(OR('Brouillard ventes'!$F$253="",'Brouillard ventes'!$J$253="À crédit",'Brouillard ventes'!$J$253=""),"",YEAR('Brouillard ventes'!$A$253)*10000+MONTH('Brouillard ventes'!$A$253)*100+DAY('Brouillard ventes'!$A$253))</f>
        <v/>
      </c>
      <c r="D496" s="22">
        <f>IF(OR('Brouillard ventes'!$F$253="",'Brouillard ventes'!$J$253="À crédit",'Brouillard ventes'!$J$253=""),"",'Brouillard ventes'!$B$253)</f>
        <v/>
      </c>
      <c r="E496" s="22">
        <f>IF(OR('Brouillard ventes'!$F$253="",'Brouillard ventes'!$J$253="À crédit",'Brouillard ventes'!$J$253=""),"","REGL "&amp;LEFT('Brouillard ventes'!$D$253,25))</f>
        <v/>
      </c>
      <c r="F496" s="22">
        <f>IF(OR('Brouillard ventes'!$F$253="",'Brouillard ventes'!$J$253="À crédit",'Brouillard ventes'!$J$253=""),"",IF('Brouillard ventes'!$J$253="Espèces","04001","02001"))</f>
        <v/>
      </c>
      <c r="G496" s="22">
        <f>IF(OR('Brouillard ventes'!$F$253="",'Brouillard ventes'!$J$253="À crédit",'Brouillard ventes'!$J$253=""),"",IF('Brouillard ventes'!$J$253="Espèces","53000","51220"))</f>
        <v/>
      </c>
      <c r="H496" s="22" t="inlineStr"/>
      <c r="I496" s="22" t="inlineStr"/>
      <c r="J496" s="22" t="inlineStr"/>
      <c r="K496" s="22">
        <f>IF(OR('Brouillard ventes'!$F$253="",'Brouillard ventes'!$J$253="À crédit",'Brouillard ventes'!$J$253=""),"",Paramètres!$B$11)</f>
        <v/>
      </c>
      <c r="L496" s="23">
        <f>IF(OR('Brouillard ventes'!$F$253="",'Brouillard ventes'!$J$253="À crédit",'Brouillard ventes'!$J$253=""),0,'Brouillard ventes'!$I$253)</f>
        <v/>
      </c>
      <c r="M496" s="23" t="n">
        <v>0</v>
      </c>
    </row>
    <row r="497">
      <c r="A497" s="22" t="inlineStr">
        <is>
          <t>1</t>
        </is>
      </c>
      <c r="B497" s="22">
        <f>IF(OR('Brouillard ventes'!$F$253="",'Brouillard ventes'!$J$253="À crédit",'Brouillard ventes'!$J$253=""),"","EC"&amp;TEXT(ROW('Brouillard ventes'!$F$253)-5,"00000"))</f>
        <v/>
      </c>
      <c r="C497" s="22">
        <f>IF(OR('Brouillard ventes'!$F$253="",'Brouillard ventes'!$J$253="À crédit",'Brouillard ventes'!$J$253=""),"",YEAR('Brouillard ventes'!$A$253)*10000+MONTH('Brouillard ventes'!$A$253)*100+DAY('Brouillard ventes'!$A$253))</f>
        <v/>
      </c>
      <c r="D497" s="22">
        <f>IF(OR('Brouillard ventes'!$F$253="",'Brouillard ventes'!$J$253="À crédit",'Brouillard ventes'!$J$253=""),"",'Brouillard ventes'!$B$253)</f>
        <v/>
      </c>
      <c r="E497" s="22">
        <f>IF(OR('Brouillard ventes'!$F$253="",'Brouillard ventes'!$J$253="À crédit",'Brouillard ventes'!$J$253=""),"","REGL "&amp;LEFT('Brouillard ventes'!$D$253,25))</f>
        <v/>
      </c>
      <c r="F497" s="22">
        <f>IF(OR('Brouillard ventes'!$F$253="",'Brouillard ventes'!$J$253="À crédit",'Brouillard ventes'!$J$253=""),"",IF('Brouillard ventes'!$J$253="Espèces","04001","02001"))</f>
        <v/>
      </c>
      <c r="G497" s="22">
        <f>IF(OR('Brouillard ventes'!$F$253="",'Brouillard ventes'!$J$253="À crédit",'Brouillard ventes'!$J$253=""),"",Paramètres!$B$7)</f>
        <v/>
      </c>
      <c r="H497" s="22">
        <f>IF(OR('Brouillard ventes'!$F$253="",'Brouillard ventes'!$J$253="À crédit",'Brouillard ventes'!$J$253=""),"",IF('Brouillard ventes'!$C$253="","CD001",'Brouillard ventes'!$C$253))</f>
        <v/>
      </c>
      <c r="I497" s="22" t="inlineStr"/>
      <c r="J497" s="22" t="inlineStr"/>
      <c r="K497" s="22">
        <f>IF(OR('Brouillard ventes'!$F$253="",'Brouillard ventes'!$J$253="À crédit",'Brouillard ventes'!$J$253=""),"",Paramètres!$B$11)</f>
        <v/>
      </c>
      <c r="L497" s="23" t="n">
        <v>0</v>
      </c>
      <c r="M497" s="23">
        <f>IF(OR('Brouillard ventes'!$F$253="",'Brouillard ventes'!$J$253="À crédit",'Brouillard ventes'!$J$253=""),0,'Brouillard ventes'!$I$253)</f>
        <v/>
      </c>
    </row>
    <row r="498">
      <c r="A498" s="22" t="inlineStr">
        <is>
          <t>1</t>
        </is>
      </c>
      <c r="B498" s="22">
        <f>IF(OR('Brouillard ventes'!$F$254="",'Brouillard ventes'!$J$254="À crédit",'Brouillard ventes'!$J$254=""),"","EC"&amp;TEXT(ROW('Brouillard ventes'!$F$254)-5,"00000"))</f>
        <v/>
      </c>
      <c r="C498" s="22">
        <f>IF(OR('Brouillard ventes'!$F$254="",'Brouillard ventes'!$J$254="À crédit",'Brouillard ventes'!$J$254=""),"",YEAR('Brouillard ventes'!$A$254)*10000+MONTH('Brouillard ventes'!$A$254)*100+DAY('Brouillard ventes'!$A$254))</f>
        <v/>
      </c>
      <c r="D498" s="22">
        <f>IF(OR('Brouillard ventes'!$F$254="",'Brouillard ventes'!$J$254="À crédit",'Brouillard ventes'!$J$254=""),"",'Brouillard ventes'!$B$254)</f>
        <v/>
      </c>
      <c r="E498" s="22">
        <f>IF(OR('Brouillard ventes'!$F$254="",'Brouillard ventes'!$J$254="À crédit",'Brouillard ventes'!$J$254=""),"","REGL "&amp;LEFT('Brouillard ventes'!$D$254,25))</f>
        <v/>
      </c>
      <c r="F498" s="22">
        <f>IF(OR('Brouillard ventes'!$F$254="",'Brouillard ventes'!$J$254="À crédit",'Brouillard ventes'!$J$254=""),"",IF('Brouillard ventes'!$J$254="Espèces","04001","02001"))</f>
        <v/>
      </c>
      <c r="G498" s="22">
        <f>IF(OR('Brouillard ventes'!$F$254="",'Brouillard ventes'!$J$254="À crédit",'Brouillard ventes'!$J$254=""),"",IF('Brouillard ventes'!$J$254="Espèces","53000","51220"))</f>
        <v/>
      </c>
      <c r="H498" s="22" t="inlineStr"/>
      <c r="I498" s="22" t="inlineStr"/>
      <c r="J498" s="22" t="inlineStr"/>
      <c r="K498" s="22">
        <f>IF(OR('Brouillard ventes'!$F$254="",'Brouillard ventes'!$J$254="À crédit",'Brouillard ventes'!$J$254=""),"",Paramètres!$B$11)</f>
        <v/>
      </c>
      <c r="L498" s="23">
        <f>IF(OR('Brouillard ventes'!$F$254="",'Brouillard ventes'!$J$254="À crédit",'Brouillard ventes'!$J$254=""),0,'Brouillard ventes'!$I$254)</f>
        <v/>
      </c>
      <c r="M498" s="23" t="n">
        <v>0</v>
      </c>
    </row>
    <row r="499">
      <c r="A499" s="22" t="inlineStr">
        <is>
          <t>1</t>
        </is>
      </c>
      <c r="B499" s="22">
        <f>IF(OR('Brouillard ventes'!$F$254="",'Brouillard ventes'!$J$254="À crédit",'Brouillard ventes'!$J$254=""),"","EC"&amp;TEXT(ROW('Brouillard ventes'!$F$254)-5,"00000"))</f>
        <v/>
      </c>
      <c r="C499" s="22">
        <f>IF(OR('Brouillard ventes'!$F$254="",'Brouillard ventes'!$J$254="À crédit",'Brouillard ventes'!$J$254=""),"",YEAR('Brouillard ventes'!$A$254)*10000+MONTH('Brouillard ventes'!$A$254)*100+DAY('Brouillard ventes'!$A$254))</f>
        <v/>
      </c>
      <c r="D499" s="22">
        <f>IF(OR('Brouillard ventes'!$F$254="",'Brouillard ventes'!$J$254="À crédit",'Brouillard ventes'!$J$254=""),"",'Brouillard ventes'!$B$254)</f>
        <v/>
      </c>
      <c r="E499" s="22">
        <f>IF(OR('Brouillard ventes'!$F$254="",'Brouillard ventes'!$J$254="À crédit",'Brouillard ventes'!$J$254=""),"","REGL "&amp;LEFT('Brouillard ventes'!$D$254,25))</f>
        <v/>
      </c>
      <c r="F499" s="22">
        <f>IF(OR('Brouillard ventes'!$F$254="",'Brouillard ventes'!$J$254="À crédit",'Brouillard ventes'!$J$254=""),"",IF('Brouillard ventes'!$J$254="Espèces","04001","02001"))</f>
        <v/>
      </c>
      <c r="G499" s="22">
        <f>IF(OR('Brouillard ventes'!$F$254="",'Brouillard ventes'!$J$254="À crédit",'Brouillard ventes'!$J$254=""),"",Paramètres!$B$7)</f>
        <v/>
      </c>
      <c r="H499" s="22">
        <f>IF(OR('Brouillard ventes'!$F$254="",'Brouillard ventes'!$J$254="À crédit",'Brouillard ventes'!$J$254=""),"",IF('Brouillard ventes'!$C$254="","CD001",'Brouillard ventes'!$C$254))</f>
        <v/>
      </c>
      <c r="I499" s="22" t="inlineStr"/>
      <c r="J499" s="22" t="inlineStr"/>
      <c r="K499" s="22">
        <f>IF(OR('Brouillard ventes'!$F$254="",'Brouillard ventes'!$J$254="À crédit",'Brouillard ventes'!$J$254=""),"",Paramètres!$B$11)</f>
        <v/>
      </c>
      <c r="L499" s="23" t="n">
        <v>0</v>
      </c>
      <c r="M499" s="23">
        <f>IF(OR('Brouillard ventes'!$F$254="",'Brouillard ventes'!$J$254="À crédit",'Brouillard ventes'!$J$254=""),0,'Brouillard ventes'!$I$254)</f>
        <v/>
      </c>
    </row>
    <row r="500">
      <c r="A500" s="22" t="inlineStr">
        <is>
          <t>1</t>
        </is>
      </c>
      <c r="B500" s="22">
        <f>IF(OR('Brouillard ventes'!$F$255="",'Brouillard ventes'!$J$255="À crédit",'Brouillard ventes'!$J$255=""),"","EC"&amp;TEXT(ROW('Brouillard ventes'!$F$255)-5,"00000"))</f>
        <v/>
      </c>
      <c r="C500" s="22">
        <f>IF(OR('Brouillard ventes'!$F$255="",'Brouillard ventes'!$J$255="À crédit",'Brouillard ventes'!$J$255=""),"",YEAR('Brouillard ventes'!$A$255)*10000+MONTH('Brouillard ventes'!$A$255)*100+DAY('Brouillard ventes'!$A$255))</f>
        <v/>
      </c>
      <c r="D500" s="22">
        <f>IF(OR('Brouillard ventes'!$F$255="",'Brouillard ventes'!$J$255="À crédit",'Brouillard ventes'!$J$255=""),"",'Brouillard ventes'!$B$255)</f>
        <v/>
      </c>
      <c r="E500" s="22">
        <f>IF(OR('Brouillard ventes'!$F$255="",'Brouillard ventes'!$J$255="À crédit",'Brouillard ventes'!$J$255=""),"","REGL "&amp;LEFT('Brouillard ventes'!$D$255,25))</f>
        <v/>
      </c>
      <c r="F500" s="22">
        <f>IF(OR('Brouillard ventes'!$F$255="",'Brouillard ventes'!$J$255="À crédit",'Brouillard ventes'!$J$255=""),"",IF('Brouillard ventes'!$J$255="Espèces","04001","02001"))</f>
        <v/>
      </c>
      <c r="G500" s="22">
        <f>IF(OR('Brouillard ventes'!$F$255="",'Brouillard ventes'!$J$255="À crédit",'Brouillard ventes'!$J$255=""),"",IF('Brouillard ventes'!$J$255="Espèces","53000","51220"))</f>
        <v/>
      </c>
      <c r="H500" s="22" t="inlineStr"/>
      <c r="I500" s="22" t="inlineStr"/>
      <c r="J500" s="22" t="inlineStr"/>
      <c r="K500" s="22">
        <f>IF(OR('Brouillard ventes'!$F$255="",'Brouillard ventes'!$J$255="À crédit",'Brouillard ventes'!$J$255=""),"",Paramètres!$B$11)</f>
        <v/>
      </c>
      <c r="L500" s="23">
        <f>IF(OR('Brouillard ventes'!$F$255="",'Brouillard ventes'!$J$255="À crédit",'Brouillard ventes'!$J$255=""),0,'Brouillard ventes'!$I$255)</f>
        <v/>
      </c>
      <c r="M500" s="23" t="n">
        <v>0</v>
      </c>
    </row>
    <row r="501">
      <c r="A501" s="22" t="inlineStr">
        <is>
          <t>1</t>
        </is>
      </c>
      <c r="B501" s="22">
        <f>IF(OR('Brouillard ventes'!$F$255="",'Brouillard ventes'!$J$255="À crédit",'Brouillard ventes'!$J$255=""),"","EC"&amp;TEXT(ROW('Brouillard ventes'!$F$255)-5,"00000"))</f>
        <v/>
      </c>
      <c r="C501" s="22">
        <f>IF(OR('Brouillard ventes'!$F$255="",'Brouillard ventes'!$J$255="À crédit",'Brouillard ventes'!$J$255=""),"",YEAR('Brouillard ventes'!$A$255)*10000+MONTH('Brouillard ventes'!$A$255)*100+DAY('Brouillard ventes'!$A$255))</f>
        <v/>
      </c>
      <c r="D501" s="22">
        <f>IF(OR('Brouillard ventes'!$F$255="",'Brouillard ventes'!$J$255="À crédit",'Brouillard ventes'!$J$255=""),"",'Brouillard ventes'!$B$255)</f>
        <v/>
      </c>
      <c r="E501" s="22">
        <f>IF(OR('Brouillard ventes'!$F$255="",'Brouillard ventes'!$J$255="À crédit",'Brouillard ventes'!$J$255=""),"","REGL "&amp;LEFT('Brouillard ventes'!$D$255,25))</f>
        <v/>
      </c>
      <c r="F501" s="22">
        <f>IF(OR('Brouillard ventes'!$F$255="",'Brouillard ventes'!$J$255="À crédit",'Brouillard ventes'!$J$255=""),"",IF('Brouillard ventes'!$J$255="Espèces","04001","02001"))</f>
        <v/>
      </c>
      <c r="G501" s="22">
        <f>IF(OR('Brouillard ventes'!$F$255="",'Brouillard ventes'!$J$255="À crédit",'Brouillard ventes'!$J$255=""),"",Paramètres!$B$7)</f>
        <v/>
      </c>
      <c r="H501" s="22">
        <f>IF(OR('Brouillard ventes'!$F$255="",'Brouillard ventes'!$J$255="À crédit",'Brouillard ventes'!$J$255=""),"",IF('Brouillard ventes'!$C$255="","CD001",'Brouillard ventes'!$C$255))</f>
        <v/>
      </c>
      <c r="I501" s="22" t="inlineStr"/>
      <c r="J501" s="22" t="inlineStr"/>
      <c r="K501" s="22">
        <f>IF(OR('Brouillard ventes'!$F$255="",'Brouillard ventes'!$J$255="À crédit",'Brouillard ventes'!$J$255=""),"",Paramètres!$B$11)</f>
        <v/>
      </c>
      <c r="L501" s="23" t="n">
        <v>0</v>
      </c>
      <c r="M501" s="23">
        <f>IF(OR('Brouillard ventes'!$F$255="",'Brouillard ventes'!$J$255="À crédit",'Brouillard ventes'!$J$255=""),0,'Brouillard ventes'!$I$255)</f>
        <v/>
      </c>
    </row>
    <row r="502">
      <c r="A502" s="22" t="inlineStr">
        <is>
          <t>1</t>
        </is>
      </c>
      <c r="B502" s="22">
        <f>IF(OR('Brouillard ventes'!$F$256="",'Brouillard ventes'!$J$256="À crédit",'Brouillard ventes'!$J$256=""),"","EC"&amp;TEXT(ROW('Brouillard ventes'!$F$256)-5,"00000"))</f>
        <v/>
      </c>
      <c r="C502" s="22">
        <f>IF(OR('Brouillard ventes'!$F$256="",'Brouillard ventes'!$J$256="À crédit",'Brouillard ventes'!$J$256=""),"",YEAR('Brouillard ventes'!$A$256)*10000+MONTH('Brouillard ventes'!$A$256)*100+DAY('Brouillard ventes'!$A$256))</f>
        <v/>
      </c>
      <c r="D502" s="22">
        <f>IF(OR('Brouillard ventes'!$F$256="",'Brouillard ventes'!$J$256="À crédit",'Brouillard ventes'!$J$256=""),"",'Brouillard ventes'!$B$256)</f>
        <v/>
      </c>
      <c r="E502" s="22">
        <f>IF(OR('Brouillard ventes'!$F$256="",'Brouillard ventes'!$J$256="À crédit",'Brouillard ventes'!$J$256=""),"","REGL "&amp;LEFT('Brouillard ventes'!$D$256,25))</f>
        <v/>
      </c>
      <c r="F502" s="22">
        <f>IF(OR('Brouillard ventes'!$F$256="",'Brouillard ventes'!$J$256="À crédit",'Brouillard ventes'!$J$256=""),"",IF('Brouillard ventes'!$J$256="Espèces","04001","02001"))</f>
        <v/>
      </c>
      <c r="G502" s="22">
        <f>IF(OR('Brouillard ventes'!$F$256="",'Brouillard ventes'!$J$256="À crédit",'Brouillard ventes'!$J$256=""),"",IF('Brouillard ventes'!$J$256="Espèces","53000","51220"))</f>
        <v/>
      </c>
      <c r="H502" s="22" t="inlineStr"/>
      <c r="I502" s="22" t="inlineStr"/>
      <c r="J502" s="22" t="inlineStr"/>
      <c r="K502" s="22">
        <f>IF(OR('Brouillard ventes'!$F$256="",'Brouillard ventes'!$J$256="À crédit",'Brouillard ventes'!$J$256=""),"",Paramètres!$B$11)</f>
        <v/>
      </c>
      <c r="L502" s="23">
        <f>IF(OR('Brouillard ventes'!$F$256="",'Brouillard ventes'!$J$256="À crédit",'Brouillard ventes'!$J$256=""),0,'Brouillard ventes'!$I$256)</f>
        <v/>
      </c>
      <c r="M502" s="23" t="n">
        <v>0</v>
      </c>
    </row>
    <row r="503">
      <c r="A503" s="22" t="inlineStr">
        <is>
          <t>1</t>
        </is>
      </c>
      <c r="B503" s="22">
        <f>IF(OR('Brouillard ventes'!$F$256="",'Brouillard ventes'!$J$256="À crédit",'Brouillard ventes'!$J$256=""),"","EC"&amp;TEXT(ROW('Brouillard ventes'!$F$256)-5,"00000"))</f>
        <v/>
      </c>
      <c r="C503" s="22">
        <f>IF(OR('Brouillard ventes'!$F$256="",'Brouillard ventes'!$J$256="À crédit",'Brouillard ventes'!$J$256=""),"",YEAR('Brouillard ventes'!$A$256)*10000+MONTH('Brouillard ventes'!$A$256)*100+DAY('Brouillard ventes'!$A$256))</f>
        <v/>
      </c>
      <c r="D503" s="22">
        <f>IF(OR('Brouillard ventes'!$F$256="",'Brouillard ventes'!$J$256="À crédit",'Brouillard ventes'!$J$256=""),"",'Brouillard ventes'!$B$256)</f>
        <v/>
      </c>
      <c r="E503" s="22">
        <f>IF(OR('Brouillard ventes'!$F$256="",'Brouillard ventes'!$J$256="À crédit",'Brouillard ventes'!$J$256=""),"","REGL "&amp;LEFT('Brouillard ventes'!$D$256,25))</f>
        <v/>
      </c>
      <c r="F503" s="22">
        <f>IF(OR('Brouillard ventes'!$F$256="",'Brouillard ventes'!$J$256="À crédit",'Brouillard ventes'!$J$256=""),"",IF('Brouillard ventes'!$J$256="Espèces","04001","02001"))</f>
        <v/>
      </c>
      <c r="G503" s="22">
        <f>IF(OR('Brouillard ventes'!$F$256="",'Brouillard ventes'!$J$256="À crédit",'Brouillard ventes'!$J$256=""),"",Paramètres!$B$7)</f>
        <v/>
      </c>
      <c r="H503" s="22">
        <f>IF(OR('Brouillard ventes'!$F$256="",'Brouillard ventes'!$J$256="À crédit",'Brouillard ventes'!$J$256=""),"",IF('Brouillard ventes'!$C$256="","CD001",'Brouillard ventes'!$C$256))</f>
        <v/>
      </c>
      <c r="I503" s="22" t="inlineStr"/>
      <c r="J503" s="22" t="inlineStr"/>
      <c r="K503" s="22">
        <f>IF(OR('Brouillard ventes'!$F$256="",'Brouillard ventes'!$J$256="À crédit",'Brouillard ventes'!$J$256=""),"",Paramètres!$B$11)</f>
        <v/>
      </c>
      <c r="L503" s="23" t="n">
        <v>0</v>
      </c>
      <c r="M503" s="23">
        <f>IF(OR('Brouillard ventes'!$F$256="",'Brouillard ventes'!$J$256="À crédit",'Brouillard ventes'!$J$256=""),0,'Brouillard ventes'!$I$256)</f>
        <v/>
      </c>
    </row>
    <row r="504">
      <c r="A504" s="22" t="inlineStr">
        <is>
          <t>1</t>
        </is>
      </c>
      <c r="B504" s="22">
        <f>IF(OR('Brouillard ventes'!$F$257="",'Brouillard ventes'!$J$257="À crédit",'Brouillard ventes'!$J$257=""),"","EC"&amp;TEXT(ROW('Brouillard ventes'!$F$257)-5,"00000"))</f>
        <v/>
      </c>
      <c r="C504" s="22">
        <f>IF(OR('Brouillard ventes'!$F$257="",'Brouillard ventes'!$J$257="À crédit",'Brouillard ventes'!$J$257=""),"",YEAR('Brouillard ventes'!$A$257)*10000+MONTH('Brouillard ventes'!$A$257)*100+DAY('Brouillard ventes'!$A$257))</f>
        <v/>
      </c>
      <c r="D504" s="22">
        <f>IF(OR('Brouillard ventes'!$F$257="",'Brouillard ventes'!$J$257="À crédit",'Brouillard ventes'!$J$257=""),"",'Brouillard ventes'!$B$257)</f>
        <v/>
      </c>
      <c r="E504" s="22">
        <f>IF(OR('Brouillard ventes'!$F$257="",'Brouillard ventes'!$J$257="À crédit",'Brouillard ventes'!$J$257=""),"","REGL "&amp;LEFT('Brouillard ventes'!$D$257,25))</f>
        <v/>
      </c>
      <c r="F504" s="22">
        <f>IF(OR('Brouillard ventes'!$F$257="",'Brouillard ventes'!$J$257="À crédit",'Brouillard ventes'!$J$257=""),"",IF('Brouillard ventes'!$J$257="Espèces","04001","02001"))</f>
        <v/>
      </c>
      <c r="G504" s="22">
        <f>IF(OR('Brouillard ventes'!$F$257="",'Brouillard ventes'!$J$257="À crédit",'Brouillard ventes'!$J$257=""),"",IF('Brouillard ventes'!$J$257="Espèces","53000","51220"))</f>
        <v/>
      </c>
      <c r="H504" s="22" t="inlineStr"/>
      <c r="I504" s="22" t="inlineStr"/>
      <c r="J504" s="22" t="inlineStr"/>
      <c r="K504" s="22">
        <f>IF(OR('Brouillard ventes'!$F$257="",'Brouillard ventes'!$J$257="À crédit",'Brouillard ventes'!$J$257=""),"",Paramètres!$B$11)</f>
        <v/>
      </c>
      <c r="L504" s="23">
        <f>IF(OR('Brouillard ventes'!$F$257="",'Brouillard ventes'!$J$257="À crédit",'Brouillard ventes'!$J$257=""),0,'Brouillard ventes'!$I$257)</f>
        <v/>
      </c>
      <c r="M504" s="23" t="n">
        <v>0</v>
      </c>
    </row>
    <row r="505">
      <c r="A505" s="22" t="inlineStr">
        <is>
          <t>1</t>
        </is>
      </c>
      <c r="B505" s="22">
        <f>IF(OR('Brouillard ventes'!$F$257="",'Brouillard ventes'!$J$257="À crédit",'Brouillard ventes'!$J$257=""),"","EC"&amp;TEXT(ROW('Brouillard ventes'!$F$257)-5,"00000"))</f>
        <v/>
      </c>
      <c r="C505" s="22">
        <f>IF(OR('Brouillard ventes'!$F$257="",'Brouillard ventes'!$J$257="À crédit",'Brouillard ventes'!$J$257=""),"",YEAR('Brouillard ventes'!$A$257)*10000+MONTH('Brouillard ventes'!$A$257)*100+DAY('Brouillard ventes'!$A$257))</f>
        <v/>
      </c>
      <c r="D505" s="22">
        <f>IF(OR('Brouillard ventes'!$F$257="",'Brouillard ventes'!$J$257="À crédit",'Brouillard ventes'!$J$257=""),"",'Brouillard ventes'!$B$257)</f>
        <v/>
      </c>
      <c r="E505" s="22">
        <f>IF(OR('Brouillard ventes'!$F$257="",'Brouillard ventes'!$J$257="À crédit",'Brouillard ventes'!$J$257=""),"","REGL "&amp;LEFT('Brouillard ventes'!$D$257,25))</f>
        <v/>
      </c>
      <c r="F505" s="22">
        <f>IF(OR('Brouillard ventes'!$F$257="",'Brouillard ventes'!$J$257="À crédit",'Brouillard ventes'!$J$257=""),"",IF('Brouillard ventes'!$J$257="Espèces","04001","02001"))</f>
        <v/>
      </c>
      <c r="G505" s="22">
        <f>IF(OR('Brouillard ventes'!$F$257="",'Brouillard ventes'!$J$257="À crédit",'Brouillard ventes'!$J$257=""),"",Paramètres!$B$7)</f>
        <v/>
      </c>
      <c r="H505" s="22">
        <f>IF(OR('Brouillard ventes'!$F$257="",'Brouillard ventes'!$J$257="À crédit",'Brouillard ventes'!$J$257=""),"",IF('Brouillard ventes'!$C$257="","CD001",'Brouillard ventes'!$C$257))</f>
        <v/>
      </c>
      <c r="I505" s="22" t="inlineStr"/>
      <c r="J505" s="22" t="inlineStr"/>
      <c r="K505" s="22">
        <f>IF(OR('Brouillard ventes'!$F$257="",'Brouillard ventes'!$J$257="À crédit",'Brouillard ventes'!$J$257=""),"",Paramètres!$B$11)</f>
        <v/>
      </c>
      <c r="L505" s="23" t="n">
        <v>0</v>
      </c>
      <c r="M505" s="23">
        <f>IF(OR('Brouillard ventes'!$F$257="",'Brouillard ventes'!$J$257="À crédit",'Brouillard ventes'!$J$257=""),0,'Brouillard ventes'!$I$257)</f>
        <v/>
      </c>
    </row>
    <row r="506">
      <c r="A506" s="22" t="inlineStr">
        <is>
          <t>1</t>
        </is>
      </c>
      <c r="B506" s="22">
        <f>IF(OR('Brouillard ventes'!$F$258="",'Brouillard ventes'!$J$258="À crédit",'Brouillard ventes'!$J$258=""),"","EC"&amp;TEXT(ROW('Brouillard ventes'!$F$258)-5,"00000"))</f>
        <v/>
      </c>
      <c r="C506" s="22">
        <f>IF(OR('Brouillard ventes'!$F$258="",'Brouillard ventes'!$J$258="À crédit",'Brouillard ventes'!$J$258=""),"",YEAR('Brouillard ventes'!$A$258)*10000+MONTH('Brouillard ventes'!$A$258)*100+DAY('Brouillard ventes'!$A$258))</f>
        <v/>
      </c>
      <c r="D506" s="22">
        <f>IF(OR('Brouillard ventes'!$F$258="",'Brouillard ventes'!$J$258="À crédit",'Brouillard ventes'!$J$258=""),"",'Brouillard ventes'!$B$258)</f>
        <v/>
      </c>
      <c r="E506" s="22">
        <f>IF(OR('Brouillard ventes'!$F$258="",'Brouillard ventes'!$J$258="À crédit",'Brouillard ventes'!$J$258=""),"","REGL "&amp;LEFT('Brouillard ventes'!$D$258,25))</f>
        <v/>
      </c>
      <c r="F506" s="22">
        <f>IF(OR('Brouillard ventes'!$F$258="",'Brouillard ventes'!$J$258="À crédit",'Brouillard ventes'!$J$258=""),"",IF('Brouillard ventes'!$J$258="Espèces","04001","02001"))</f>
        <v/>
      </c>
      <c r="G506" s="22">
        <f>IF(OR('Brouillard ventes'!$F$258="",'Brouillard ventes'!$J$258="À crédit",'Brouillard ventes'!$J$258=""),"",IF('Brouillard ventes'!$J$258="Espèces","53000","51220"))</f>
        <v/>
      </c>
      <c r="H506" s="22" t="inlineStr"/>
      <c r="I506" s="22" t="inlineStr"/>
      <c r="J506" s="22" t="inlineStr"/>
      <c r="K506" s="22">
        <f>IF(OR('Brouillard ventes'!$F$258="",'Brouillard ventes'!$J$258="À crédit",'Brouillard ventes'!$J$258=""),"",Paramètres!$B$11)</f>
        <v/>
      </c>
      <c r="L506" s="23">
        <f>IF(OR('Brouillard ventes'!$F$258="",'Brouillard ventes'!$J$258="À crédit",'Brouillard ventes'!$J$258=""),0,'Brouillard ventes'!$I$258)</f>
        <v/>
      </c>
      <c r="M506" s="23" t="n">
        <v>0</v>
      </c>
    </row>
    <row r="507">
      <c r="A507" s="22" t="inlineStr">
        <is>
          <t>1</t>
        </is>
      </c>
      <c r="B507" s="22">
        <f>IF(OR('Brouillard ventes'!$F$258="",'Brouillard ventes'!$J$258="À crédit",'Brouillard ventes'!$J$258=""),"","EC"&amp;TEXT(ROW('Brouillard ventes'!$F$258)-5,"00000"))</f>
        <v/>
      </c>
      <c r="C507" s="22">
        <f>IF(OR('Brouillard ventes'!$F$258="",'Brouillard ventes'!$J$258="À crédit",'Brouillard ventes'!$J$258=""),"",YEAR('Brouillard ventes'!$A$258)*10000+MONTH('Brouillard ventes'!$A$258)*100+DAY('Brouillard ventes'!$A$258))</f>
        <v/>
      </c>
      <c r="D507" s="22">
        <f>IF(OR('Brouillard ventes'!$F$258="",'Brouillard ventes'!$J$258="À crédit",'Brouillard ventes'!$J$258=""),"",'Brouillard ventes'!$B$258)</f>
        <v/>
      </c>
      <c r="E507" s="22">
        <f>IF(OR('Brouillard ventes'!$F$258="",'Brouillard ventes'!$J$258="À crédit",'Brouillard ventes'!$J$258=""),"","REGL "&amp;LEFT('Brouillard ventes'!$D$258,25))</f>
        <v/>
      </c>
      <c r="F507" s="22">
        <f>IF(OR('Brouillard ventes'!$F$258="",'Brouillard ventes'!$J$258="À crédit",'Brouillard ventes'!$J$258=""),"",IF('Brouillard ventes'!$J$258="Espèces","04001","02001"))</f>
        <v/>
      </c>
      <c r="G507" s="22">
        <f>IF(OR('Brouillard ventes'!$F$258="",'Brouillard ventes'!$J$258="À crédit",'Brouillard ventes'!$J$258=""),"",Paramètres!$B$7)</f>
        <v/>
      </c>
      <c r="H507" s="22">
        <f>IF(OR('Brouillard ventes'!$F$258="",'Brouillard ventes'!$J$258="À crédit",'Brouillard ventes'!$J$258=""),"",IF('Brouillard ventes'!$C$258="","CD001",'Brouillard ventes'!$C$258))</f>
        <v/>
      </c>
      <c r="I507" s="22" t="inlineStr"/>
      <c r="J507" s="22" t="inlineStr"/>
      <c r="K507" s="22">
        <f>IF(OR('Brouillard ventes'!$F$258="",'Brouillard ventes'!$J$258="À crédit",'Brouillard ventes'!$J$258=""),"",Paramètres!$B$11)</f>
        <v/>
      </c>
      <c r="L507" s="23" t="n">
        <v>0</v>
      </c>
      <c r="M507" s="23">
        <f>IF(OR('Brouillard ventes'!$F$258="",'Brouillard ventes'!$J$258="À crédit",'Brouillard ventes'!$J$258=""),0,'Brouillard ventes'!$I$258)</f>
        <v/>
      </c>
    </row>
    <row r="508">
      <c r="A508" s="22" t="inlineStr">
        <is>
          <t>1</t>
        </is>
      </c>
      <c r="B508" s="22">
        <f>IF(OR('Brouillard ventes'!$F$259="",'Brouillard ventes'!$J$259="À crédit",'Brouillard ventes'!$J$259=""),"","EC"&amp;TEXT(ROW('Brouillard ventes'!$F$259)-5,"00000"))</f>
        <v/>
      </c>
      <c r="C508" s="22">
        <f>IF(OR('Brouillard ventes'!$F$259="",'Brouillard ventes'!$J$259="À crédit",'Brouillard ventes'!$J$259=""),"",YEAR('Brouillard ventes'!$A$259)*10000+MONTH('Brouillard ventes'!$A$259)*100+DAY('Brouillard ventes'!$A$259))</f>
        <v/>
      </c>
      <c r="D508" s="22">
        <f>IF(OR('Brouillard ventes'!$F$259="",'Brouillard ventes'!$J$259="À crédit",'Brouillard ventes'!$J$259=""),"",'Brouillard ventes'!$B$259)</f>
        <v/>
      </c>
      <c r="E508" s="22">
        <f>IF(OR('Brouillard ventes'!$F$259="",'Brouillard ventes'!$J$259="À crédit",'Brouillard ventes'!$J$259=""),"","REGL "&amp;LEFT('Brouillard ventes'!$D$259,25))</f>
        <v/>
      </c>
      <c r="F508" s="22">
        <f>IF(OR('Brouillard ventes'!$F$259="",'Brouillard ventes'!$J$259="À crédit",'Brouillard ventes'!$J$259=""),"",IF('Brouillard ventes'!$J$259="Espèces","04001","02001"))</f>
        <v/>
      </c>
      <c r="G508" s="22">
        <f>IF(OR('Brouillard ventes'!$F$259="",'Brouillard ventes'!$J$259="À crédit",'Brouillard ventes'!$J$259=""),"",IF('Brouillard ventes'!$J$259="Espèces","53000","51220"))</f>
        <v/>
      </c>
      <c r="H508" s="22" t="inlineStr"/>
      <c r="I508" s="22" t="inlineStr"/>
      <c r="J508" s="22" t="inlineStr"/>
      <c r="K508" s="22">
        <f>IF(OR('Brouillard ventes'!$F$259="",'Brouillard ventes'!$J$259="À crédit",'Brouillard ventes'!$J$259=""),"",Paramètres!$B$11)</f>
        <v/>
      </c>
      <c r="L508" s="23">
        <f>IF(OR('Brouillard ventes'!$F$259="",'Brouillard ventes'!$J$259="À crédit",'Brouillard ventes'!$J$259=""),0,'Brouillard ventes'!$I$259)</f>
        <v/>
      </c>
      <c r="M508" s="23" t="n">
        <v>0</v>
      </c>
    </row>
    <row r="509">
      <c r="A509" s="22" t="inlineStr">
        <is>
          <t>1</t>
        </is>
      </c>
      <c r="B509" s="22">
        <f>IF(OR('Brouillard ventes'!$F$259="",'Brouillard ventes'!$J$259="À crédit",'Brouillard ventes'!$J$259=""),"","EC"&amp;TEXT(ROW('Brouillard ventes'!$F$259)-5,"00000"))</f>
        <v/>
      </c>
      <c r="C509" s="22">
        <f>IF(OR('Brouillard ventes'!$F$259="",'Brouillard ventes'!$J$259="À crédit",'Brouillard ventes'!$J$259=""),"",YEAR('Brouillard ventes'!$A$259)*10000+MONTH('Brouillard ventes'!$A$259)*100+DAY('Brouillard ventes'!$A$259))</f>
        <v/>
      </c>
      <c r="D509" s="22">
        <f>IF(OR('Brouillard ventes'!$F$259="",'Brouillard ventes'!$J$259="À crédit",'Brouillard ventes'!$J$259=""),"",'Brouillard ventes'!$B$259)</f>
        <v/>
      </c>
      <c r="E509" s="22">
        <f>IF(OR('Brouillard ventes'!$F$259="",'Brouillard ventes'!$J$259="À crédit",'Brouillard ventes'!$J$259=""),"","REGL "&amp;LEFT('Brouillard ventes'!$D$259,25))</f>
        <v/>
      </c>
      <c r="F509" s="22">
        <f>IF(OR('Brouillard ventes'!$F$259="",'Brouillard ventes'!$J$259="À crédit",'Brouillard ventes'!$J$259=""),"",IF('Brouillard ventes'!$J$259="Espèces","04001","02001"))</f>
        <v/>
      </c>
      <c r="G509" s="22">
        <f>IF(OR('Brouillard ventes'!$F$259="",'Brouillard ventes'!$J$259="À crédit",'Brouillard ventes'!$J$259=""),"",Paramètres!$B$7)</f>
        <v/>
      </c>
      <c r="H509" s="22">
        <f>IF(OR('Brouillard ventes'!$F$259="",'Brouillard ventes'!$J$259="À crédit",'Brouillard ventes'!$J$259=""),"",IF('Brouillard ventes'!$C$259="","CD001",'Brouillard ventes'!$C$259))</f>
        <v/>
      </c>
      <c r="I509" s="22" t="inlineStr"/>
      <c r="J509" s="22" t="inlineStr"/>
      <c r="K509" s="22">
        <f>IF(OR('Brouillard ventes'!$F$259="",'Brouillard ventes'!$J$259="À crédit",'Brouillard ventes'!$J$259=""),"",Paramètres!$B$11)</f>
        <v/>
      </c>
      <c r="L509" s="23" t="n">
        <v>0</v>
      </c>
      <c r="M509" s="23">
        <f>IF(OR('Brouillard ventes'!$F$259="",'Brouillard ventes'!$J$259="À crédit",'Brouillard ventes'!$J$259=""),0,'Brouillard ventes'!$I$259)</f>
        <v/>
      </c>
    </row>
    <row r="510">
      <c r="A510" s="22" t="inlineStr">
        <is>
          <t>1</t>
        </is>
      </c>
      <c r="B510" s="22">
        <f>IF(OR('Brouillard ventes'!$F$260="",'Brouillard ventes'!$J$260="À crédit",'Brouillard ventes'!$J$260=""),"","EC"&amp;TEXT(ROW('Brouillard ventes'!$F$260)-5,"00000"))</f>
        <v/>
      </c>
      <c r="C510" s="22">
        <f>IF(OR('Brouillard ventes'!$F$260="",'Brouillard ventes'!$J$260="À crédit",'Brouillard ventes'!$J$260=""),"",YEAR('Brouillard ventes'!$A$260)*10000+MONTH('Brouillard ventes'!$A$260)*100+DAY('Brouillard ventes'!$A$260))</f>
        <v/>
      </c>
      <c r="D510" s="22">
        <f>IF(OR('Brouillard ventes'!$F$260="",'Brouillard ventes'!$J$260="À crédit",'Brouillard ventes'!$J$260=""),"",'Brouillard ventes'!$B$260)</f>
        <v/>
      </c>
      <c r="E510" s="22">
        <f>IF(OR('Brouillard ventes'!$F$260="",'Brouillard ventes'!$J$260="À crédit",'Brouillard ventes'!$J$260=""),"","REGL "&amp;LEFT('Brouillard ventes'!$D$260,25))</f>
        <v/>
      </c>
      <c r="F510" s="22">
        <f>IF(OR('Brouillard ventes'!$F$260="",'Brouillard ventes'!$J$260="À crédit",'Brouillard ventes'!$J$260=""),"",IF('Brouillard ventes'!$J$260="Espèces","04001","02001"))</f>
        <v/>
      </c>
      <c r="G510" s="22">
        <f>IF(OR('Brouillard ventes'!$F$260="",'Brouillard ventes'!$J$260="À crédit",'Brouillard ventes'!$J$260=""),"",IF('Brouillard ventes'!$J$260="Espèces","53000","51220"))</f>
        <v/>
      </c>
      <c r="H510" s="22" t="inlineStr"/>
      <c r="I510" s="22" t="inlineStr"/>
      <c r="J510" s="22" t="inlineStr"/>
      <c r="K510" s="22">
        <f>IF(OR('Brouillard ventes'!$F$260="",'Brouillard ventes'!$J$260="À crédit",'Brouillard ventes'!$J$260=""),"",Paramètres!$B$11)</f>
        <v/>
      </c>
      <c r="L510" s="23">
        <f>IF(OR('Brouillard ventes'!$F$260="",'Brouillard ventes'!$J$260="À crédit",'Brouillard ventes'!$J$260=""),0,'Brouillard ventes'!$I$260)</f>
        <v/>
      </c>
      <c r="M510" s="23" t="n">
        <v>0</v>
      </c>
    </row>
    <row r="511">
      <c r="A511" s="22" t="inlineStr">
        <is>
          <t>1</t>
        </is>
      </c>
      <c r="B511" s="22">
        <f>IF(OR('Brouillard ventes'!$F$260="",'Brouillard ventes'!$J$260="À crédit",'Brouillard ventes'!$J$260=""),"","EC"&amp;TEXT(ROW('Brouillard ventes'!$F$260)-5,"00000"))</f>
        <v/>
      </c>
      <c r="C511" s="22">
        <f>IF(OR('Brouillard ventes'!$F$260="",'Brouillard ventes'!$J$260="À crédit",'Brouillard ventes'!$J$260=""),"",YEAR('Brouillard ventes'!$A$260)*10000+MONTH('Brouillard ventes'!$A$260)*100+DAY('Brouillard ventes'!$A$260))</f>
        <v/>
      </c>
      <c r="D511" s="22">
        <f>IF(OR('Brouillard ventes'!$F$260="",'Brouillard ventes'!$J$260="À crédit",'Brouillard ventes'!$J$260=""),"",'Brouillard ventes'!$B$260)</f>
        <v/>
      </c>
      <c r="E511" s="22">
        <f>IF(OR('Brouillard ventes'!$F$260="",'Brouillard ventes'!$J$260="À crédit",'Brouillard ventes'!$J$260=""),"","REGL "&amp;LEFT('Brouillard ventes'!$D$260,25))</f>
        <v/>
      </c>
      <c r="F511" s="22">
        <f>IF(OR('Brouillard ventes'!$F$260="",'Brouillard ventes'!$J$260="À crédit",'Brouillard ventes'!$J$260=""),"",IF('Brouillard ventes'!$J$260="Espèces","04001","02001"))</f>
        <v/>
      </c>
      <c r="G511" s="22">
        <f>IF(OR('Brouillard ventes'!$F$260="",'Brouillard ventes'!$J$260="À crédit",'Brouillard ventes'!$J$260=""),"",Paramètres!$B$7)</f>
        <v/>
      </c>
      <c r="H511" s="22">
        <f>IF(OR('Brouillard ventes'!$F$260="",'Brouillard ventes'!$J$260="À crédit",'Brouillard ventes'!$J$260=""),"",IF('Brouillard ventes'!$C$260="","CD001",'Brouillard ventes'!$C$260))</f>
        <v/>
      </c>
      <c r="I511" s="22" t="inlineStr"/>
      <c r="J511" s="22" t="inlineStr"/>
      <c r="K511" s="22">
        <f>IF(OR('Brouillard ventes'!$F$260="",'Brouillard ventes'!$J$260="À crédit",'Brouillard ventes'!$J$260=""),"",Paramètres!$B$11)</f>
        <v/>
      </c>
      <c r="L511" s="23" t="n">
        <v>0</v>
      </c>
      <c r="M511" s="23">
        <f>IF(OR('Brouillard ventes'!$F$260="",'Brouillard ventes'!$J$260="À crédit",'Brouillard ventes'!$J$260=""),0,'Brouillard ventes'!$I$260)</f>
        <v/>
      </c>
    </row>
    <row r="512">
      <c r="A512" s="22" t="inlineStr">
        <is>
          <t>1</t>
        </is>
      </c>
      <c r="B512" s="22">
        <f>IF(OR('Brouillard ventes'!$F$261="",'Brouillard ventes'!$J$261="À crédit",'Brouillard ventes'!$J$261=""),"","EC"&amp;TEXT(ROW('Brouillard ventes'!$F$261)-5,"00000"))</f>
        <v/>
      </c>
      <c r="C512" s="22">
        <f>IF(OR('Brouillard ventes'!$F$261="",'Brouillard ventes'!$J$261="À crédit",'Brouillard ventes'!$J$261=""),"",YEAR('Brouillard ventes'!$A$261)*10000+MONTH('Brouillard ventes'!$A$261)*100+DAY('Brouillard ventes'!$A$261))</f>
        <v/>
      </c>
      <c r="D512" s="22">
        <f>IF(OR('Brouillard ventes'!$F$261="",'Brouillard ventes'!$J$261="À crédit",'Brouillard ventes'!$J$261=""),"",'Brouillard ventes'!$B$261)</f>
        <v/>
      </c>
      <c r="E512" s="22">
        <f>IF(OR('Brouillard ventes'!$F$261="",'Brouillard ventes'!$J$261="À crédit",'Brouillard ventes'!$J$261=""),"","REGL "&amp;LEFT('Brouillard ventes'!$D$261,25))</f>
        <v/>
      </c>
      <c r="F512" s="22">
        <f>IF(OR('Brouillard ventes'!$F$261="",'Brouillard ventes'!$J$261="À crédit",'Brouillard ventes'!$J$261=""),"",IF('Brouillard ventes'!$J$261="Espèces","04001","02001"))</f>
        <v/>
      </c>
      <c r="G512" s="22">
        <f>IF(OR('Brouillard ventes'!$F$261="",'Brouillard ventes'!$J$261="À crédit",'Brouillard ventes'!$J$261=""),"",IF('Brouillard ventes'!$J$261="Espèces","53000","51220"))</f>
        <v/>
      </c>
      <c r="H512" s="22" t="inlineStr"/>
      <c r="I512" s="22" t="inlineStr"/>
      <c r="J512" s="22" t="inlineStr"/>
      <c r="K512" s="22">
        <f>IF(OR('Brouillard ventes'!$F$261="",'Brouillard ventes'!$J$261="À crédit",'Brouillard ventes'!$J$261=""),"",Paramètres!$B$11)</f>
        <v/>
      </c>
      <c r="L512" s="23">
        <f>IF(OR('Brouillard ventes'!$F$261="",'Brouillard ventes'!$J$261="À crédit",'Brouillard ventes'!$J$261=""),0,'Brouillard ventes'!$I$261)</f>
        <v/>
      </c>
      <c r="M512" s="23" t="n">
        <v>0</v>
      </c>
    </row>
    <row r="513">
      <c r="A513" s="22" t="inlineStr">
        <is>
          <t>1</t>
        </is>
      </c>
      <c r="B513" s="22">
        <f>IF(OR('Brouillard ventes'!$F$261="",'Brouillard ventes'!$J$261="À crédit",'Brouillard ventes'!$J$261=""),"","EC"&amp;TEXT(ROW('Brouillard ventes'!$F$261)-5,"00000"))</f>
        <v/>
      </c>
      <c r="C513" s="22">
        <f>IF(OR('Brouillard ventes'!$F$261="",'Brouillard ventes'!$J$261="À crédit",'Brouillard ventes'!$J$261=""),"",YEAR('Brouillard ventes'!$A$261)*10000+MONTH('Brouillard ventes'!$A$261)*100+DAY('Brouillard ventes'!$A$261))</f>
        <v/>
      </c>
      <c r="D513" s="22">
        <f>IF(OR('Brouillard ventes'!$F$261="",'Brouillard ventes'!$J$261="À crédit",'Brouillard ventes'!$J$261=""),"",'Brouillard ventes'!$B$261)</f>
        <v/>
      </c>
      <c r="E513" s="22">
        <f>IF(OR('Brouillard ventes'!$F$261="",'Brouillard ventes'!$J$261="À crédit",'Brouillard ventes'!$J$261=""),"","REGL "&amp;LEFT('Brouillard ventes'!$D$261,25))</f>
        <v/>
      </c>
      <c r="F513" s="22">
        <f>IF(OR('Brouillard ventes'!$F$261="",'Brouillard ventes'!$J$261="À crédit",'Brouillard ventes'!$J$261=""),"",IF('Brouillard ventes'!$J$261="Espèces","04001","02001"))</f>
        <v/>
      </c>
      <c r="G513" s="22">
        <f>IF(OR('Brouillard ventes'!$F$261="",'Brouillard ventes'!$J$261="À crédit",'Brouillard ventes'!$J$261=""),"",Paramètres!$B$7)</f>
        <v/>
      </c>
      <c r="H513" s="22">
        <f>IF(OR('Brouillard ventes'!$F$261="",'Brouillard ventes'!$J$261="À crédit",'Brouillard ventes'!$J$261=""),"",IF('Brouillard ventes'!$C$261="","CD001",'Brouillard ventes'!$C$261))</f>
        <v/>
      </c>
      <c r="I513" s="22" t="inlineStr"/>
      <c r="J513" s="22" t="inlineStr"/>
      <c r="K513" s="22">
        <f>IF(OR('Brouillard ventes'!$F$261="",'Brouillard ventes'!$J$261="À crédit",'Brouillard ventes'!$J$261=""),"",Paramètres!$B$11)</f>
        <v/>
      </c>
      <c r="L513" s="23" t="n">
        <v>0</v>
      </c>
      <c r="M513" s="23">
        <f>IF(OR('Brouillard ventes'!$F$261="",'Brouillard ventes'!$J$261="À crédit",'Brouillard ventes'!$J$261=""),0,'Brouillard ventes'!$I$261)</f>
        <v/>
      </c>
    </row>
    <row r="514">
      <c r="A514" s="22" t="inlineStr">
        <is>
          <t>1</t>
        </is>
      </c>
      <c r="B514" s="22">
        <f>IF(OR('Brouillard ventes'!$F$262="",'Brouillard ventes'!$J$262="À crédit",'Brouillard ventes'!$J$262=""),"","EC"&amp;TEXT(ROW('Brouillard ventes'!$F$262)-5,"00000"))</f>
        <v/>
      </c>
      <c r="C514" s="22">
        <f>IF(OR('Brouillard ventes'!$F$262="",'Brouillard ventes'!$J$262="À crédit",'Brouillard ventes'!$J$262=""),"",YEAR('Brouillard ventes'!$A$262)*10000+MONTH('Brouillard ventes'!$A$262)*100+DAY('Brouillard ventes'!$A$262))</f>
        <v/>
      </c>
      <c r="D514" s="22">
        <f>IF(OR('Brouillard ventes'!$F$262="",'Brouillard ventes'!$J$262="À crédit",'Brouillard ventes'!$J$262=""),"",'Brouillard ventes'!$B$262)</f>
        <v/>
      </c>
      <c r="E514" s="22">
        <f>IF(OR('Brouillard ventes'!$F$262="",'Brouillard ventes'!$J$262="À crédit",'Brouillard ventes'!$J$262=""),"","REGL "&amp;LEFT('Brouillard ventes'!$D$262,25))</f>
        <v/>
      </c>
      <c r="F514" s="22">
        <f>IF(OR('Brouillard ventes'!$F$262="",'Brouillard ventes'!$J$262="À crédit",'Brouillard ventes'!$J$262=""),"",IF('Brouillard ventes'!$J$262="Espèces","04001","02001"))</f>
        <v/>
      </c>
      <c r="G514" s="22">
        <f>IF(OR('Brouillard ventes'!$F$262="",'Brouillard ventes'!$J$262="À crédit",'Brouillard ventes'!$J$262=""),"",IF('Brouillard ventes'!$J$262="Espèces","53000","51220"))</f>
        <v/>
      </c>
      <c r="H514" s="22" t="inlineStr"/>
      <c r="I514" s="22" t="inlineStr"/>
      <c r="J514" s="22" t="inlineStr"/>
      <c r="K514" s="22">
        <f>IF(OR('Brouillard ventes'!$F$262="",'Brouillard ventes'!$J$262="À crédit",'Brouillard ventes'!$J$262=""),"",Paramètres!$B$11)</f>
        <v/>
      </c>
      <c r="L514" s="23">
        <f>IF(OR('Brouillard ventes'!$F$262="",'Brouillard ventes'!$J$262="À crédit",'Brouillard ventes'!$J$262=""),0,'Brouillard ventes'!$I$262)</f>
        <v/>
      </c>
      <c r="M514" s="23" t="n">
        <v>0</v>
      </c>
    </row>
    <row r="515">
      <c r="A515" s="22" t="inlineStr">
        <is>
          <t>1</t>
        </is>
      </c>
      <c r="B515" s="22">
        <f>IF(OR('Brouillard ventes'!$F$262="",'Brouillard ventes'!$J$262="À crédit",'Brouillard ventes'!$J$262=""),"","EC"&amp;TEXT(ROW('Brouillard ventes'!$F$262)-5,"00000"))</f>
        <v/>
      </c>
      <c r="C515" s="22">
        <f>IF(OR('Brouillard ventes'!$F$262="",'Brouillard ventes'!$J$262="À crédit",'Brouillard ventes'!$J$262=""),"",YEAR('Brouillard ventes'!$A$262)*10000+MONTH('Brouillard ventes'!$A$262)*100+DAY('Brouillard ventes'!$A$262))</f>
        <v/>
      </c>
      <c r="D515" s="22">
        <f>IF(OR('Brouillard ventes'!$F$262="",'Brouillard ventes'!$J$262="À crédit",'Brouillard ventes'!$J$262=""),"",'Brouillard ventes'!$B$262)</f>
        <v/>
      </c>
      <c r="E515" s="22">
        <f>IF(OR('Brouillard ventes'!$F$262="",'Brouillard ventes'!$J$262="À crédit",'Brouillard ventes'!$J$262=""),"","REGL "&amp;LEFT('Brouillard ventes'!$D$262,25))</f>
        <v/>
      </c>
      <c r="F515" s="22">
        <f>IF(OR('Brouillard ventes'!$F$262="",'Brouillard ventes'!$J$262="À crédit",'Brouillard ventes'!$J$262=""),"",IF('Brouillard ventes'!$J$262="Espèces","04001","02001"))</f>
        <v/>
      </c>
      <c r="G515" s="22">
        <f>IF(OR('Brouillard ventes'!$F$262="",'Brouillard ventes'!$J$262="À crédit",'Brouillard ventes'!$J$262=""),"",Paramètres!$B$7)</f>
        <v/>
      </c>
      <c r="H515" s="22">
        <f>IF(OR('Brouillard ventes'!$F$262="",'Brouillard ventes'!$J$262="À crédit",'Brouillard ventes'!$J$262=""),"",IF('Brouillard ventes'!$C$262="","CD001",'Brouillard ventes'!$C$262))</f>
        <v/>
      </c>
      <c r="I515" s="22" t="inlineStr"/>
      <c r="J515" s="22" t="inlineStr"/>
      <c r="K515" s="22">
        <f>IF(OR('Brouillard ventes'!$F$262="",'Brouillard ventes'!$J$262="À crédit",'Brouillard ventes'!$J$262=""),"",Paramètres!$B$11)</f>
        <v/>
      </c>
      <c r="L515" s="23" t="n">
        <v>0</v>
      </c>
      <c r="M515" s="23">
        <f>IF(OR('Brouillard ventes'!$F$262="",'Brouillard ventes'!$J$262="À crédit",'Brouillard ventes'!$J$262=""),0,'Brouillard ventes'!$I$262)</f>
        <v/>
      </c>
    </row>
    <row r="516">
      <c r="A516" s="22" t="inlineStr">
        <is>
          <t>1</t>
        </is>
      </c>
      <c r="B516" s="22">
        <f>IF(OR('Brouillard ventes'!$F$263="",'Brouillard ventes'!$J$263="À crédit",'Brouillard ventes'!$J$263=""),"","EC"&amp;TEXT(ROW('Brouillard ventes'!$F$263)-5,"00000"))</f>
        <v/>
      </c>
      <c r="C516" s="22">
        <f>IF(OR('Brouillard ventes'!$F$263="",'Brouillard ventes'!$J$263="À crédit",'Brouillard ventes'!$J$263=""),"",YEAR('Brouillard ventes'!$A$263)*10000+MONTH('Brouillard ventes'!$A$263)*100+DAY('Brouillard ventes'!$A$263))</f>
        <v/>
      </c>
      <c r="D516" s="22">
        <f>IF(OR('Brouillard ventes'!$F$263="",'Brouillard ventes'!$J$263="À crédit",'Brouillard ventes'!$J$263=""),"",'Brouillard ventes'!$B$263)</f>
        <v/>
      </c>
      <c r="E516" s="22">
        <f>IF(OR('Brouillard ventes'!$F$263="",'Brouillard ventes'!$J$263="À crédit",'Brouillard ventes'!$J$263=""),"","REGL "&amp;LEFT('Brouillard ventes'!$D$263,25))</f>
        <v/>
      </c>
      <c r="F516" s="22">
        <f>IF(OR('Brouillard ventes'!$F$263="",'Brouillard ventes'!$J$263="À crédit",'Brouillard ventes'!$J$263=""),"",IF('Brouillard ventes'!$J$263="Espèces","04001","02001"))</f>
        <v/>
      </c>
      <c r="G516" s="22">
        <f>IF(OR('Brouillard ventes'!$F$263="",'Brouillard ventes'!$J$263="À crédit",'Brouillard ventes'!$J$263=""),"",IF('Brouillard ventes'!$J$263="Espèces","53000","51220"))</f>
        <v/>
      </c>
      <c r="H516" s="22" t="inlineStr"/>
      <c r="I516" s="22" t="inlineStr"/>
      <c r="J516" s="22" t="inlineStr"/>
      <c r="K516" s="22">
        <f>IF(OR('Brouillard ventes'!$F$263="",'Brouillard ventes'!$J$263="À crédit",'Brouillard ventes'!$J$263=""),"",Paramètres!$B$11)</f>
        <v/>
      </c>
      <c r="L516" s="23">
        <f>IF(OR('Brouillard ventes'!$F$263="",'Brouillard ventes'!$J$263="À crédit",'Brouillard ventes'!$J$263=""),0,'Brouillard ventes'!$I$263)</f>
        <v/>
      </c>
      <c r="M516" s="23" t="n">
        <v>0</v>
      </c>
    </row>
    <row r="517">
      <c r="A517" s="22" t="inlineStr">
        <is>
          <t>1</t>
        </is>
      </c>
      <c r="B517" s="22">
        <f>IF(OR('Brouillard ventes'!$F$263="",'Brouillard ventes'!$J$263="À crédit",'Brouillard ventes'!$J$263=""),"","EC"&amp;TEXT(ROW('Brouillard ventes'!$F$263)-5,"00000"))</f>
        <v/>
      </c>
      <c r="C517" s="22">
        <f>IF(OR('Brouillard ventes'!$F$263="",'Brouillard ventes'!$J$263="À crédit",'Brouillard ventes'!$J$263=""),"",YEAR('Brouillard ventes'!$A$263)*10000+MONTH('Brouillard ventes'!$A$263)*100+DAY('Brouillard ventes'!$A$263))</f>
        <v/>
      </c>
      <c r="D517" s="22">
        <f>IF(OR('Brouillard ventes'!$F$263="",'Brouillard ventes'!$J$263="À crédit",'Brouillard ventes'!$J$263=""),"",'Brouillard ventes'!$B$263)</f>
        <v/>
      </c>
      <c r="E517" s="22">
        <f>IF(OR('Brouillard ventes'!$F$263="",'Brouillard ventes'!$J$263="À crédit",'Brouillard ventes'!$J$263=""),"","REGL "&amp;LEFT('Brouillard ventes'!$D$263,25))</f>
        <v/>
      </c>
      <c r="F517" s="22">
        <f>IF(OR('Brouillard ventes'!$F$263="",'Brouillard ventes'!$J$263="À crédit",'Brouillard ventes'!$J$263=""),"",IF('Brouillard ventes'!$J$263="Espèces","04001","02001"))</f>
        <v/>
      </c>
      <c r="G517" s="22">
        <f>IF(OR('Brouillard ventes'!$F$263="",'Brouillard ventes'!$J$263="À crédit",'Brouillard ventes'!$J$263=""),"",Paramètres!$B$7)</f>
        <v/>
      </c>
      <c r="H517" s="22">
        <f>IF(OR('Brouillard ventes'!$F$263="",'Brouillard ventes'!$J$263="À crédit",'Brouillard ventes'!$J$263=""),"",IF('Brouillard ventes'!$C$263="","CD001",'Brouillard ventes'!$C$263))</f>
        <v/>
      </c>
      <c r="I517" s="22" t="inlineStr"/>
      <c r="J517" s="22" t="inlineStr"/>
      <c r="K517" s="22">
        <f>IF(OR('Brouillard ventes'!$F$263="",'Brouillard ventes'!$J$263="À crédit",'Brouillard ventes'!$J$263=""),"",Paramètres!$B$11)</f>
        <v/>
      </c>
      <c r="L517" s="23" t="n">
        <v>0</v>
      </c>
      <c r="M517" s="23">
        <f>IF(OR('Brouillard ventes'!$F$263="",'Brouillard ventes'!$J$263="À crédit",'Brouillard ventes'!$J$263=""),0,'Brouillard ventes'!$I$263)</f>
        <v/>
      </c>
    </row>
    <row r="518">
      <c r="A518" s="22" t="inlineStr">
        <is>
          <t>1</t>
        </is>
      </c>
      <c r="B518" s="22">
        <f>IF(OR('Brouillard ventes'!$F$264="",'Brouillard ventes'!$J$264="À crédit",'Brouillard ventes'!$J$264=""),"","EC"&amp;TEXT(ROW('Brouillard ventes'!$F$264)-5,"00000"))</f>
        <v/>
      </c>
      <c r="C518" s="22">
        <f>IF(OR('Brouillard ventes'!$F$264="",'Brouillard ventes'!$J$264="À crédit",'Brouillard ventes'!$J$264=""),"",YEAR('Brouillard ventes'!$A$264)*10000+MONTH('Brouillard ventes'!$A$264)*100+DAY('Brouillard ventes'!$A$264))</f>
        <v/>
      </c>
      <c r="D518" s="22">
        <f>IF(OR('Brouillard ventes'!$F$264="",'Brouillard ventes'!$J$264="À crédit",'Brouillard ventes'!$J$264=""),"",'Brouillard ventes'!$B$264)</f>
        <v/>
      </c>
      <c r="E518" s="22">
        <f>IF(OR('Brouillard ventes'!$F$264="",'Brouillard ventes'!$J$264="À crédit",'Brouillard ventes'!$J$264=""),"","REGL "&amp;LEFT('Brouillard ventes'!$D$264,25))</f>
        <v/>
      </c>
      <c r="F518" s="22">
        <f>IF(OR('Brouillard ventes'!$F$264="",'Brouillard ventes'!$J$264="À crédit",'Brouillard ventes'!$J$264=""),"",IF('Brouillard ventes'!$J$264="Espèces","04001","02001"))</f>
        <v/>
      </c>
      <c r="G518" s="22">
        <f>IF(OR('Brouillard ventes'!$F$264="",'Brouillard ventes'!$J$264="À crédit",'Brouillard ventes'!$J$264=""),"",IF('Brouillard ventes'!$J$264="Espèces","53000","51220"))</f>
        <v/>
      </c>
      <c r="H518" s="22" t="inlineStr"/>
      <c r="I518" s="22" t="inlineStr"/>
      <c r="J518" s="22" t="inlineStr"/>
      <c r="K518" s="22">
        <f>IF(OR('Brouillard ventes'!$F$264="",'Brouillard ventes'!$J$264="À crédit",'Brouillard ventes'!$J$264=""),"",Paramètres!$B$11)</f>
        <v/>
      </c>
      <c r="L518" s="23">
        <f>IF(OR('Brouillard ventes'!$F$264="",'Brouillard ventes'!$J$264="À crédit",'Brouillard ventes'!$J$264=""),0,'Brouillard ventes'!$I$264)</f>
        <v/>
      </c>
      <c r="M518" s="23" t="n">
        <v>0</v>
      </c>
    </row>
    <row r="519">
      <c r="A519" s="22" t="inlineStr">
        <is>
          <t>1</t>
        </is>
      </c>
      <c r="B519" s="22">
        <f>IF(OR('Brouillard ventes'!$F$264="",'Brouillard ventes'!$J$264="À crédit",'Brouillard ventes'!$J$264=""),"","EC"&amp;TEXT(ROW('Brouillard ventes'!$F$264)-5,"00000"))</f>
        <v/>
      </c>
      <c r="C519" s="22">
        <f>IF(OR('Brouillard ventes'!$F$264="",'Brouillard ventes'!$J$264="À crédit",'Brouillard ventes'!$J$264=""),"",YEAR('Brouillard ventes'!$A$264)*10000+MONTH('Brouillard ventes'!$A$264)*100+DAY('Brouillard ventes'!$A$264))</f>
        <v/>
      </c>
      <c r="D519" s="22">
        <f>IF(OR('Brouillard ventes'!$F$264="",'Brouillard ventes'!$J$264="À crédit",'Brouillard ventes'!$J$264=""),"",'Brouillard ventes'!$B$264)</f>
        <v/>
      </c>
      <c r="E519" s="22">
        <f>IF(OR('Brouillard ventes'!$F$264="",'Brouillard ventes'!$J$264="À crédit",'Brouillard ventes'!$J$264=""),"","REGL "&amp;LEFT('Brouillard ventes'!$D$264,25))</f>
        <v/>
      </c>
      <c r="F519" s="22">
        <f>IF(OR('Brouillard ventes'!$F$264="",'Brouillard ventes'!$J$264="À crédit",'Brouillard ventes'!$J$264=""),"",IF('Brouillard ventes'!$J$264="Espèces","04001","02001"))</f>
        <v/>
      </c>
      <c r="G519" s="22">
        <f>IF(OR('Brouillard ventes'!$F$264="",'Brouillard ventes'!$J$264="À crédit",'Brouillard ventes'!$J$264=""),"",Paramètres!$B$7)</f>
        <v/>
      </c>
      <c r="H519" s="22">
        <f>IF(OR('Brouillard ventes'!$F$264="",'Brouillard ventes'!$J$264="À crédit",'Brouillard ventes'!$J$264=""),"",IF('Brouillard ventes'!$C$264="","CD001",'Brouillard ventes'!$C$264))</f>
        <v/>
      </c>
      <c r="I519" s="22" t="inlineStr"/>
      <c r="J519" s="22" t="inlineStr"/>
      <c r="K519" s="22">
        <f>IF(OR('Brouillard ventes'!$F$264="",'Brouillard ventes'!$J$264="À crédit",'Brouillard ventes'!$J$264=""),"",Paramètres!$B$11)</f>
        <v/>
      </c>
      <c r="L519" s="23" t="n">
        <v>0</v>
      </c>
      <c r="M519" s="23">
        <f>IF(OR('Brouillard ventes'!$F$264="",'Brouillard ventes'!$J$264="À crédit",'Brouillard ventes'!$J$264=""),0,'Brouillard ventes'!$I$264)</f>
        <v/>
      </c>
    </row>
    <row r="520">
      <c r="A520" s="22" t="inlineStr">
        <is>
          <t>1</t>
        </is>
      </c>
      <c r="B520" s="22">
        <f>IF(OR('Brouillard ventes'!$F$265="",'Brouillard ventes'!$J$265="À crédit",'Brouillard ventes'!$J$265=""),"","EC"&amp;TEXT(ROW('Brouillard ventes'!$F$265)-5,"00000"))</f>
        <v/>
      </c>
      <c r="C520" s="22">
        <f>IF(OR('Brouillard ventes'!$F$265="",'Brouillard ventes'!$J$265="À crédit",'Brouillard ventes'!$J$265=""),"",YEAR('Brouillard ventes'!$A$265)*10000+MONTH('Brouillard ventes'!$A$265)*100+DAY('Brouillard ventes'!$A$265))</f>
        <v/>
      </c>
      <c r="D520" s="22">
        <f>IF(OR('Brouillard ventes'!$F$265="",'Brouillard ventes'!$J$265="À crédit",'Brouillard ventes'!$J$265=""),"",'Brouillard ventes'!$B$265)</f>
        <v/>
      </c>
      <c r="E520" s="22">
        <f>IF(OR('Brouillard ventes'!$F$265="",'Brouillard ventes'!$J$265="À crédit",'Brouillard ventes'!$J$265=""),"","REGL "&amp;LEFT('Brouillard ventes'!$D$265,25))</f>
        <v/>
      </c>
      <c r="F520" s="22">
        <f>IF(OR('Brouillard ventes'!$F$265="",'Brouillard ventes'!$J$265="À crédit",'Brouillard ventes'!$J$265=""),"",IF('Brouillard ventes'!$J$265="Espèces","04001","02001"))</f>
        <v/>
      </c>
      <c r="G520" s="22">
        <f>IF(OR('Brouillard ventes'!$F$265="",'Brouillard ventes'!$J$265="À crédit",'Brouillard ventes'!$J$265=""),"",IF('Brouillard ventes'!$J$265="Espèces","53000","51220"))</f>
        <v/>
      </c>
      <c r="H520" s="22" t="inlineStr"/>
      <c r="I520" s="22" t="inlineStr"/>
      <c r="J520" s="22" t="inlineStr"/>
      <c r="K520" s="22">
        <f>IF(OR('Brouillard ventes'!$F$265="",'Brouillard ventes'!$J$265="À crédit",'Brouillard ventes'!$J$265=""),"",Paramètres!$B$11)</f>
        <v/>
      </c>
      <c r="L520" s="23">
        <f>IF(OR('Brouillard ventes'!$F$265="",'Brouillard ventes'!$J$265="À crédit",'Brouillard ventes'!$J$265=""),0,'Brouillard ventes'!$I$265)</f>
        <v/>
      </c>
      <c r="M520" s="23" t="n">
        <v>0</v>
      </c>
    </row>
    <row r="521">
      <c r="A521" s="22" t="inlineStr">
        <is>
          <t>1</t>
        </is>
      </c>
      <c r="B521" s="22">
        <f>IF(OR('Brouillard ventes'!$F$265="",'Brouillard ventes'!$J$265="À crédit",'Brouillard ventes'!$J$265=""),"","EC"&amp;TEXT(ROW('Brouillard ventes'!$F$265)-5,"00000"))</f>
        <v/>
      </c>
      <c r="C521" s="22">
        <f>IF(OR('Brouillard ventes'!$F$265="",'Brouillard ventes'!$J$265="À crédit",'Brouillard ventes'!$J$265=""),"",YEAR('Brouillard ventes'!$A$265)*10000+MONTH('Brouillard ventes'!$A$265)*100+DAY('Brouillard ventes'!$A$265))</f>
        <v/>
      </c>
      <c r="D521" s="22">
        <f>IF(OR('Brouillard ventes'!$F$265="",'Brouillard ventes'!$J$265="À crédit",'Brouillard ventes'!$J$265=""),"",'Brouillard ventes'!$B$265)</f>
        <v/>
      </c>
      <c r="E521" s="22">
        <f>IF(OR('Brouillard ventes'!$F$265="",'Brouillard ventes'!$J$265="À crédit",'Brouillard ventes'!$J$265=""),"","REGL "&amp;LEFT('Brouillard ventes'!$D$265,25))</f>
        <v/>
      </c>
      <c r="F521" s="22">
        <f>IF(OR('Brouillard ventes'!$F$265="",'Brouillard ventes'!$J$265="À crédit",'Brouillard ventes'!$J$265=""),"",IF('Brouillard ventes'!$J$265="Espèces","04001","02001"))</f>
        <v/>
      </c>
      <c r="G521" s="22">
        <f>IF(OR('Brouillard ventes'!$F$265="",'Brouillard ventes'!$J$265="À crédit",'Brouillard ventes'!$J$265=""),"",Paramètres!$B$7)</f>
        <v/>
      </c>
      <c r="H521" s="22">
        <f>IF(OR('Brouillard ventes'!$F$265="",'Brouillard ventes'!$J$265="À crédit",'Brouillard ventes'!$J$265=""),"",IF('Brouillard ventes'!$C$265="","CD001",'Brouillard ventes'!$C$265))</f>
        <v/>
      </c>
      <c r="I521" s="22" t="inlineStr"/>
      <c r="J521" s="22" t="inlineStr"/>
      <c r="K521" s="22">
        <f>IF(OR('Brouillard ventes'!$F$265="",'Brouillard ventes'!$J$265="À crédit",'Brouillard ventes'!$J$265=""),"",Paramètres!$B$11)</f>
        <v/>
      </c>
      <c r="L521" s="23" t="n">
        <v>0</v>
      </c>
      <c r="M521" s="23">
        <f>IF(OR('Brouillard ventes'!$F$265="",'Brouillard ventes'!$J$265="À crédit",'Brouillard ventes'!$J$265=""),0,'Brouillard ventes'!$I$265)</f>
        <v/>
      </c>
    </row>
    <row r="522">
      <c r="A522" s="22" t="inlineStr">
        <is>
          <t>1</t>
        </is>
      </c>
      <c r="B522" s="22">
        <f>IF(OR('Brouillard ventes'!$F$266="",'Brouillard ventes'!$J$266="À crédit",'Brouillard ventes'!$J$266=""),"","EC"&amp;TEXT(ROW('Brouillard ventes'!$F$266)-5,"00000"))</f>
        <v/>
      </c>
      <c r="C522" s="22">
        <f>IF(OR('Brouillard ventes'!$F$266="",'Brouillard ventes'!$J$266="À crédit",'Brouillard ventes'!$J$266=""),"",YEAR('Brouillard ventes'!$A$266)*10000+MONTH('Brouillard ventes'!$A$266)*100+DAY('Brouillard ventes'!$A$266))</f>
        <v/>
      </c>
      <c r="D522" s="22">
        <f>IF(OR('Brouillard ventes'!$F$266="",'Brouillard ventes'!$J$266="À crédit",'Brouillard ventes'!$J$266=""),"",'Brouillard ventes'!$B$266)</f>
        <v/>
      </c>
      <c r="E522" s="22">
        <f>IF(OR('Brouillard ventes'!$F$266="",'Brouillard ventes'!$J$266="À crédit",'Brouillard ventes'!$J$266=""),"","REGL "&amp;LEFT('Brouillard ventes'!$D$266,25))</f>
        <v/>
      </c>
      <c r="F522" s="22">
        <f>IF(OR('Brouillard ventes'!$F$266="",'Brouillard ventes'!$J$266="À crédit",'Brouillard ventes'!$J$266=""),"",IF('Brouillard ventes'!$J$266="Espèces","04001","02001"))</f>
        <v/>
      </c>
      <c r="G522" s="22">
        <f>IF(OR('Brouillard ventes'!$F$266="",'Brouillard ventes'!$J$266="À crédit",'Brouillard ventes'!$J$266=""),"",IF('Brouillard ventes'!$J$266="Espèces","53000","51220"))</f>
        <v/>
      </c>
      <c r="H522" s="22" t="inlineStr"/>
      <c r="I522" s="22" t="inlineStr"/>
      <c r="J522" s="22" t="inlineStr"/>
      <c r="K522" s="22">
        <f>IF(OR('Brouillard ventes'!$F$266="",'Brouillard ventes'!$J$266="À crédit",'Brouillard ventes'!$J$266=""),"",Paramètres!$B$11)</f>
        <v/>
      </c>
      <c r="L522" s="23">
        <f>IF(OR('Brouillard ventes'!$F$266="",'Brouillard ventes'!$J$266="À crédit",'Brouillard ventes'!$J$266=""),0,'Brouillard ventes'!$I$266)</f>
        <v/>
      </c>
      <c r="M522" s="23" t="n">
        <v>0</v>
      </c>
    </row>
    <row r="523">
      <c r="A523" s="22" t="inlineStr">
        <is>
          <t>1</t>
        </is>
      </c>
      <c r="B523" s="22">
        <f>IF(OR('Brouillard ventes'!$F$266="",'Brouillard ventes'!$J$266="À crédit",'Brouillard ventes'!$J$266=""),"","EC"&amp;TEXT(ROW('Brouillard ventes'!$F$266)-5,"00000"))</f>
        <v/>
      </c>
      <c r="C523" s="22">
        <f>IF(OR('Brouillard ventes'!$F$266="",'Brouillard ventes'!$J$266="À crédit",'Brouillard ventes'!$J$266=""),"",YEAR('Brouillard ventes'!$A$266)*10000+MONTH('Brouillard ventes'!$A$266)*100+DAY('Brouillard ventes'!$A$266))</f>
        <v/>
      </c>
      <c r="D523" s="22">
        <f>IF(OR('Brouillard ventes'!$F$266="",'Brouillard ventes'!$J$266="À crédit",'Brouillard ventes'!$J$266=""),"",'Brouillard ventes'!$B$266)</f>
        <v/>
      </c>
      <c r="E523" s="22">
        <f>IF(OR('Brouillard ventes'!$F$266="",'Brouillard ventes'!$J$266="À crédit",'Brouillard ventes'!$J$266=""),"","REGL "&amp;LEFT('Brouillard ventes'!$D$266,25))</f>
        <v/>
      </c>
      <c r="F523" s="22">
        <f>IF(OR('Brouillard ventes'!$F$266="",'Brouillard ventes'!$J$266="À crédit",'Brouillard ventes'!$J$266=""),"",IF('Brouillard ventes'!$J$266="Espèces","04001","02001"))</f>
        <v/>
      </c>
      <c r="G523" s="22">
        <f>IF(OR('Brouillard ventes'!$F$266="",'Brouillard ventes'!$J$266="À crédit",'Brouillard ventes'!$J$266=""),"",Paramètres!$B$7)</f>
        <v/>
      </c>
      <c r="H523" s="22">
        <f>IF(OR('Brouillard ventes'!$F$266="",'Brouillard ventes'!$J$266="À crédit",'Brouillard ventes'!$J$266=""),"",IF('Brouillard ventes'!$C$266="","CD001",'Brouillard ventes'!$C$266))</f>
        <v/>
      </c>
      <c r="I523" s="22" t="inlineStr"/>
      <c r="J523" s="22" t="inlineStr"/>
      <c r="K523" s="22">
        <f>IF(OR('Brouillard ventes'!$F$266="",'Brouillard ventes'!$J$266="À crédit",'Brouillard ventes'!$J$266=""),"",Paramètres!$B$11)</f>
        <v/>
      </c>
      <c r="L523" s="23" t="n">
        <v>0</v>
      </c>
      <c r="M523" s="23">
        <f>IF(OR('Brouillard ventes'!$F$266="",'Brouillard ventes'!$J$266="À crédit",'Brouillard ventes'!$J$266=""),0,'Brouillard ventes'!$I$266)</f>
        <v/>
      </c>
    </row>
    <row r="524">
      <c r="A524" s="22" t="inlineStr">
        <is>
          <t>1</t>
        </is>
      </c>
      <c r="B524" s="22">
        <f>IF(OR('Brouillard ventes'!$F$267="",'Brouillard ventes'!$J$267="À crédit",'Brouillard ventes'!$J$267=""),"","EC"&amp;TEXT(ROW('Brouillard ventes'!$F$267)-5,"00000"))</f>
        <v/>
      </c>
      <c r="C524" s="22">
        <f>IF(OR('Brouillard ventes'!$F$267="",'Brouillard ventes'!$J$267="À crédit",'Brouillard ventes'!$J$267=""),"",YEAR('Brouillard ventes'!$A$267)*10000+MONTH('Brouillard ventes'!$A$267)*100+DAY('Brouillard ventes'!$A$267))</f>
        <v/>
      </c>
      <c r="D524" s="22">
        <f>IF(OR('Brouillard ventes'!$F$267="",'Brouillard ventes'!$J$267="À crédit",'Brouillard ventes'!$J$267=""),"",'Brouillard ventes'!$B$267)</f>
        <v/>
      </c>
      <c r="E524" s="22">
        <f>IF(OR('Brouillard ventes'!$F$267="",'Brouillard ventes'!$J$267="À crédit",'Brouillard ventes'!$J$267=""),"","REGL "&amp;LEFT('Brouillard ventes'!$D$267,25))</f>
        <v/>
      </c>
      <c r="F524" s="22">
        <f>IF(OR('Brouillard ventes'!$F$267="",'Brouillard ventes'!$J$267="À crédit",'Brouillard ventes'!$J$267=""),"",IF('Brouillard ventes'!$J$267="Espèces","04001","02001"))</f>
        <v/>
      </c>
      <c r="G524" s="22">
        <f>IF(OR('Brouillard ventes'!$F$267="",'Brouillard ventes'!$J$267="À crédit",'Brouillard ventes'!$J$267=""),"",IF('Brouillard ventes'!$J$267="Espèces","53000","51220"))</f>
        <v/>
      </c>
      <c r="H524" s="22" t="inlineStr"/>
      <c r="I524" s="22" t="inlineStr"/>
      <c r="J524" s="22" t="inlineStr"/>
      <c r="K524" s="22">
        <f>IF(OR('Brouillard ventes'!$F$267="",'Brouillard ventes'!$J$267="À crédit",'Brouillard ventes'!$J$267=""),"",Paramètres!$B$11)</f>
        <v/>
      </c>
      <c r="L524" s="23">
        <f>IF(OR('Brouillard ventes'!$F$267="",'Brouillard ventes'!$J$267="À crédit",'Brouillard ventes'!$J$267=""),0,'Brouillard ventes'!$I$267)</f>
        <v/>
      </c>
      <c r="M524" s="23" t="n">
        <v>0</v>
      </c>
    </row>
    <row r="525">
      <c r="A525" s="22" t="inlineStr">
        <is>
          <t>1</t>
        </is>
      </c>
      <c r="B525" s="22">
        <f>IF(OR('Brouillard ventes'!$F$267="",'Brouillard ventes'!$J$267="À crédit",'Brouillard ventes'!$J$267=""),"","EC"&amp;TEXT(ROW('Brouillard ventes'!$F$267)-5,"00000"))</f>
        <v/>
      </c>
      <c r="C525" s="22">
        <f>IF(OR('Brouillard ventes'!$F$267="",'Brouillard ventes'!$J$267="À crédit",'Brouillard ventes'!$J$267=""),"",YEAR('Brouillard ventes'!$A$267)*10000+MONTH('Brouillard ventes'!$A$267)*100+DAY('Brouillard ventes'!$A$267))</f>
        <v/>
      </c>
      <c r="D525" s="22">
        <f>IF(OR('Brouillard ventes'!$F$267="",'Brouillard ventes'!$J$267="À crédit",'Brouillard ventes'!$J$267=""),"",'Brouillard ventes'!$B$267)</f>
        <v/>
      </c>
      <c r="E525" s="22">
        <f>IF(OR('Brouillard ventes'!$F$267="",'Brouillard ventes'!$J$267="À crédit",'Brouillard ventes'!$J$267=""),"","REGL "&amp;LEFT('Brouillard ventes'!$D$267,25))</f>
        <v/>
      </c>
      <c r="F525" s="22">
        <f>IF(OR('Brouillard ventes'!$F$267="",'Brouillard ventes'!$J$267="À crédit",'Brouillard ventes'!$J$267=""),"",IF('Brouillard ventes'!$J$267="Espèces","04001","02001"))</f>
        <v/>
      </c>
      <c r="G525" s="22">
        <f>IF(OR('Brouillard ventes'!$F$267="",'Brouillard ventes'!$J$267="À crédit",'Brouillard ventes'!$J$267=""),"",Paramètres!$B$7)</f>
        <v/>
      </c>
      <c r="H525" s="22">
        <f>IF(OR('Brouillard ventes'!$F$267="",'Brouillard ventes'!$J$267="À crédit",'Brouillard ventes'!$J$267=""),"",IF('Brouillard ventes'!$C$267="","CD001",'Brouillard ventes'!$C$267))</f>
        <v/>
      </c>
      <c r="I525" s="22" t="inlineStr"/>
      <c r="J525" s="22" t="inlineStr"/>
      <c r="K525" s="22">
        <f>IF(OR('Brouillard ventes'!$F$267="",'Brouillard ventes'!$J$267="À crédit",'Brouillard ventes'!$J$267=""),"",Paramètres!$B$11)</f>
        <v/>
      </c>
      <c r="L525" s="23" t="n">
        <v>0</v>
      </c>
      <c r="M525" s="23">
        <f>IF(OR('Brouillard ventes'!$F$267="",'Brouillard ventes'!$J$267="À crédit",'Brouillard ventes'!$J$267=""),0,'Brouillard ventes'!$I$267)</f>
        <v/>
      </c>
    </row>
    <row r="526">
      <c r="A526" s="22" t="inlineStr">
        <is>
          <t>1</t>
        </is>
      </c>
      <c r="B526" s="22">
        <f>IF(OR('Brouillard ventes'!$F$268="",'Brouillard ventes'!$J$268="À crédit",'Brouillard ventes'!$J$268=""),"","EC"&amp;TEXT(ROW('Brouillard ventes'!$F$268)-5,"00000"))</f>
        <v/>
      </c>
      <c r="C526" s="22">
        <f>IF(OR('Brouillard ventes'!$F$268="",'Brouillard ventes'!$J$268="À crédit",'Brouillard ventes'!$J$268=""),"",YEAR('Brouillard ventes'!$A$268)*10000+MONTH('Brouillard ventes'!$A$268)*100+DAY('Brouillard ventes'!$A$268))</f>
        <v/>
      </c>
      <c r="D526" s="22">
        <f>IF(OR('Brouillard ventes'!$F$268="",'Brouillard ventes'!$J$268="À crédit",'Brouillard ventes'!$J$268=""),"",'Brouillard ventes'!$B$268)</f>
        <v/>
      </c>
      <c r="E526" s="22">
        <f>IF(OR('Brouillard ventes'!$F$268="",'Brouillard ventes'!$J$268="À crédit",'Brouillard ventes'!$J$268=""),"","REGL "&amp;LEFT('Brouillard ventes'!$D$268,25))</f>
        <v/>
      </c>
      <c r="F526" s="22">
        <f>IF(OR('Brouillard ventes'!$F$268="",'Brouillard ventes'!$J$268="À crédit",'Brouillard ventes'!$J$268=""),"",IF('Brouillard ventes'!$J$268="Espèces","04001","02001"))</f>
        <v/>
      </c>
      <c r="G526" s="22">
        <f>IF(OR('Brouillard ventes'!$F$268="",'Brouillard ventes'!$J$268="À crédit",'Brouillard ventes'!$J$268=""),"",IF('Brouillard ventes'!$J$268="Espèces","53000","51220"))</f>
        <v/>
      </c>
      <c r="H526" s="22" t="inlineStr"/>
      <c r="I526" s="22" t="inlineStr"/>
      <c r="J526" s="22" t="inlineStr"/>
      <c r="K526" s="22">
        <f>IF(OR('Brouillard ventes'!$F$268="",'Brouillard ventes'!$J$268="À crédit",'Brouillard ventes'!$J$268=""),"",Paramètres!$B$11)</f>
        <v/>
      </c>
      <c r="L526" s="23">
        <f>IF(OR('Brouillard ventes'!$F$268="",'Brouillard ventes'!$J$268="À crédit",'Brouillard ventes'!$J$268=""),0,'Brouillard ventes'!$I$268)</f>
        <v/>
      </c>
      <c r="M526" s="23" t="n">
        <v>0</v>
      </c>
    </row>
    <row r="527">
      <c r="A527" s="22" t="inlineStr">
        <is>
          <t>1</t>
        </is>
      </c>
      <c r="B527" s="22">
        <f>IF(OR('Brouillard ventes'!$F$268="",'Brouillard ventes'!$J$268="À crédit",'Brouillard ventes'!$J$268=""),"","EC"&amp;TEXT(ROW('Brouillard ventes'!$F$268)-5,"00000"))</f>
        <v/>
      </c>
      <c r="C527" s="22">
        <f>IF(OR('Brouillard ventes'!$F$268="",'Brouillard ventes'!$J$268="À crédit",'Brouillard ventes'!$J$268=""),"",YEAR('Brouillard ventes'!$A$268)*10000+MONTH('Brouillard ventes'!$A$268)*100+DAY('Brouillard ventes'!$A$268))</f>
        <v/>
      </c>
      <c r="D527" s="22">
        <f>IF(OR('Brouillard ventes'!$F$268="",'Brouillard ventes'!$J$268="À crédit",'Brouillard ventes'!$J$268=""),"",'Brouillard ventes'!$B$268)</f>
        <v/>
      </c>
      <c r="E527" s="22">
        <f>IF(OR('Brouillard ventes'!$F$268="",'Brouillard ventes'!$J$268="À crédit",'Brouillard ventes'!$J$268=""),"","REGL "&amp;LEFT('Brouillard ventes'!$D$268,25))</f>
        <v/>
      </c>
      <c r="F527" s="22">
        <f>IF(OR('Brouillard ventes'!$F$268="",'Brouillard ventes'!$J$268="À crédit",'Brouillard ventes'!$J$268=""),"",IF('Brouillard ventes'!$J$268="Espèces","04001","02001"))</f>
        <v/>
      </c>
      <c r="G527" s="22">
        <f>IF(OR('Brouillard ventes'!$F$268="",'Brouillard ventes'!$J$268="À crédit",'Brouillard ventes'!$J$268=""),"",Paramètres!$B$7)</f>
        <v/>
      </c>
      <c r="H527" s="22">
        <f>IF(OR('Brouillard ventes'!$F$268="",'Brouillard ventes'!$J$268="À crédit",'Brouillard ventes'!$J$268=""),"",IF('Brouillard ventes'!$C$268="","CD001",'Brouillard ventes'!$C$268))</f>
        <v/>
      </c>
      <c r="I527" s="22" t="inlineStr"/>
      <c r="J527" s="22" t="inlineStr"/>
      <c r="K527" s="22">
        <f>IF(OR('Brouillard ventes'!$F$268="",'Brouillard ventes'!$J$268="À crédit",'Brouillard ventes'!$J$268=""),"",Paramètres!$B$11)</f>
        <v/>
      </c>
      <c r="L527" s="23" t="n">
        <v>0</v>
      </c>
      <c r="M527" s="23">
        <f>IF(OR('Brouillard ventes'!$F$268="",'Brouillard ventes'!$J$268="À crédit",'Brouillard ventes'!$J$268=""),0,'Brouillard ventes'!$I$268)</f>
        <v/>
      </c>
    </row>
    <row r="528">
      <c r="A528" s="22" t="inlineStr">
        <is>
          <t>1</t>
        </is>
      </c>
      <c r="B528" s="22">
        <f>IF(OR('Brouillard ventes'!$F$269="",'Brouillard ventes'!$J$269="À crédit",'Brouillard ventes'!$J$269=""),"","EC"&amp;TEXT(ROW('Brouillard ventes'!$F$269)-5,"00000"))</f>
        <v/>
      </c>
      <c r="C528" s="22">
        <f>IF(OR('Brouillard ventes'!$F$269="",'Brouillard ventes'!$J$269="À crédit",'Brouillard ventes'!$J$269=""),"",YEAR('Brouillard ventes'!$A$269)*10000+MONTH('Brouillard ventes'!$A$269)*100+DAY('Brouillard ventes'!$A$269))</f>
        <v/>
      </c>
      <c r="D528" s="22">
        <f>IF(OR('Brouillard ventes'!$F$269="",'Brouillard ventes'!$J$269="À crédit",'Brouillard ventes'!$J$269=""),"",'Brouillard ventes'!$B$269)</f>
        <v/>
      </c>
      <c r="E528" s="22">
        <f>IF(OR('Brouillard ventes'!$F$269="",'Brouillard ventes'!$J$269="À crédit",'Brouillard ventes'!$J$269=""),"","REGL "&amp;LEFT('Brouillard ventes'!$D$269,25))</f>
        <v/>
      </c>
      <c r="F528" s="22">
        <f>IF(OR('Brouillard ventes'!$F$269="",'Brouillard ventes'!$J$269="À crédit",'Brouillard ventes'!$J$269=""),"",IF('Brouillard ventes'!$J$269="Espèces","04001","02001"))</f>
        <v/>
      </c>
      <c r="G528" s="22">
        <f>IF(OR('Brouillard ventes'!$F$269="",'Brouillard ventes'!$J$269="À crédit",'Brouillard ventes'!$J$269=""),"",IF('Brouillard ventes'!$J$269="Espèces","53000","51220"))</f>
        <v/>
      </c>
      <c r="H528" s="22" t="inlineStr"/>
      <c r="I528" s="22" t="inlineStr"/>
      <c r="J528" s="22" t="inlineStr"/>
      <c r="K528" s="22">
        <f>IF(OR('Brouillard ventes'!$F$269="",'Brouillard ventes'!$J$269="À crédit",'Brouillard ventes'!$J$269=""),"",Paramètres!$B$11)</f>
        <v/>
      </c>
      <c r="L528" s="23">
        <f>IF(OR('Brouillard ventes'!$F$269="",'Brouillard ventes'!$J$269="À crédit",'Brouillard ventes'!$J$269=""),0,'Brouillard ventes'!$I$269)</f>
        <v/>
      </c>
      <c r="M528" s="23" t="n">
        <v>0</v>
      </c>
    </row>
    <row r="529">
      <c r="A529" s="22" t="inlineStr">
        <is>
          <t>1</t>
        </is>
      </c>
      <c r="B529" s="22">
        <f>IF(OR('Brouillard ventes'!$F$269="",'Brouillard ventes'!$J$269="À crédit",'Brouillard ventes'!$J$269=""),"","EC"&amp;TEXT(ROW('Brouillard ventes'!$F$269)-5,"00000"))</f>
        <v/>
      </c>
      <c r="C529" s="22">
        <f>IF(OR('Brouillard ventes'!$F$269="",'Brouillard ventes'!$J$269="À crédit",'Brouillard ventes'!$J$269=""),"",YEAR('Brouillard ventes'!$A$269)*10000+MONTH('Brouillard ventes'!$A$269)*100+DAY('Brouillard ventes'!$A$269))</f>
        <v/>
      </c>
      <c r="D529" s="22">
        <f>IF(OR('Brouillard ventes'!$F$269="",'Brouillard ventes'!$J$269="À crédit",'Brouillard ventes'!$J$269=""),"",'Brouillard ventes'!$B$269)</f>
        <v/>
      </c>
      <c r="E529" s="22">
        <f>IF(OR('Brouillard ventes'!$F$269="",'Brouillard ventes'!$J$269="À crédit",'Brouillard ventes'!$J$269=""),"","REGL "&amp;LEFT('Brouillard ventes'!$D$269,25))</f>
        <v/>
      </c>
      <c r="F529" s="22">
        <f>IF(OR('Brouillard ventes'!$F$269="",'Brouillard ventes'!$J$269="À crédit",'Brouillard ventes'!$J$269=""),"",IF('Brouillard ventes'!$J$269="Espèces","04001","02001"))</f>
        <v/>
      </c>
      <c r="G529" s="22">
        <f>IF(OR('Brouillard ventes'!$F$269="",'Brouillard ventes'!$J$269="À crédit",'Brouillard ventes'!$J$269=""),"",Paramètres!$B$7)</f>
        <v/>
      </c>
      <c r="H529" s="22">
        <f>IF(OR('Brouillard ventes'!$F$269="",'Brouillard ventes'!$J$269="À crédit",'Brouillard ventes'!$J$269=""),"",IF('Brouillard ventes'!$C$269="","CD001",'Brouillard ventes'!$C$269))</f>
        <v/>
      </c>
      <c r="I529" s="22" t="inlineStr"/>
      <c r="J529" s="22" t="inlineStr"/>
      <c r="K529" s="22">
        <f>IF(OR('Brouillard ventes'!$F$269="",'Brouillard ventes'!$J$269="À crédit",'Brouillard ventes'!$J$269=""),"",Paramètres!$B$11)</f>
        <v/>
      </c>
      <c r="L529" s="23" t="n">
        <v>0</v>
      </c>
      <c r="M529" s="23">
        <f>IF(OR('Brouillard ventes'!$F$269="",'Brouillard ventes'!$J$269="À crédit",'Brouillard ventes'!$J$269=""),0,'Brouillard ventes'!$I$269)</f>
        <v/>
      </c>
    </row>
    <row r="530">
      <c r="A530" s="22" t="inlineStr">
        <is>
          <t>1</t>
        </is>
      </c>
      <c r="B530" s="22">
        <f>IF(OR('Brouillard ventes'!$F$270="",'Brouillard ventes'!$J$270="À crédit",'Brouillard ventes'!$J$270=""),"","EC"&amp;TEXT(ROW('Brouillard ventes'!$F$270)-5,"00000"))</f>
        <v/>
      </c>
      <c r="C530" s="22">
        <f>IF(OR('Brouillard ventes'!$F$270="",'Brouillard ventes'!$J$270="À crédit",'Brouillard ventes'!$J$270=""),"",YEAR('Brouillard ventes'!$A$270)*10000+MONTH('Brouillard ventes'!$A$270)*100+DAY('Brouillard ventes'!$A$270))</f>
        <v/>
      </c>
      <c r="D530" s="22">
        <f>IF(OR('Brouillard ventes'!$F$270="",'Brouillard ventes'!$J$270="À crédit",'Brouillard ventes'!$J$270=""),"",'Brouillard ventes'!$B$270)</f>
        <v/>
      </c>
      <c r="E530" s="22">
        <f>IF(OR('Brouillard ventes'!$F$270="",'Brouillard ventes'!$J$270="À crédit",'Brouillard ventes'!$J$270=""),"","REGL "&amp;LEFT('Brouillard ventes'!$D$270,25))</f>
        <v/>
      </c>
      <c r="F530" s="22">
        <f>IF(OR('Brouillard ventes'!$F$270="",'Brouillard ventes'!$J$270="À crédit",'Brouillard ventes'!$J$270=""),"",IF('Brouillard ventes'!$J$270="Espèces","04001","02001"))</f>
        <v/>
      </c>
      <c r="G530" s="22">
        <f>IF(OR('Brouillard ventes'!$F$270="",'Brouillard ventes'!$J$270="À crédit",'Brouillard ventes'!$J$270=""),"",IF('Brouillard ventes'!$J$270="Espèces","53000","51220"))</f>
        <v/>
      </c>
      <c r="H530" s="22" t="inlineStr"/>
      <c r="I530" s="22" t="inlineStr"/>
      <c r="J530" s="22" t="inlineStr"/>
      <c r="K530" s="22">
        <f>IF(OR('Brouillard ventes'!$F$270="",'Brouillard ventes'!$J$270="À crédit",'Brouillard ventes'!$J$270=""),"",Paramètres!$B$11)</f>
        <v/>
      </c>
      <c r="L530" s="23">
        <f>IF(OR('Brouillard ventes'!$F$270="",'Brouillard ventes'!$J$270="À crédit",'Brouillard ventes'!$J$270=""),0,'Brouillard ventes'!$I$270)</f>
        <v/>
      </c>
      <c r="M530" s="23" t="n">
        <v>0</v>
      </c>
    </row>
    <row r="531">
      <c r="A531" s="22" t="inlineStr">
        <is>
          <t>1</t>
        </is>
      </c>
      <c r="B531" s="22">
        <f>IF(OR('Brouillard ventes'!$F$270="",'Brouillard ventes'!$J$270="À crédit",'Brouillard ventes'!$J$270=""),"","EC"&amp;TEXT(ROW('Brouillard ventes'!$F$270)-5,"00000"))</f>
        <v/>
      </c>
      <c r="C531" s="22">
        <f>IF(OR('Brouillard ventes'!$F$270="",'Brouillard ventes'!$J$270="À crédit",'Brouillard ventes'!$J$270=""),"",YEAR('Brouillard ventes'!$A$270)*10000+MONTH('Brouillard ventes'!$A$270)*100+DAY('Brouillard ventes'!$A$270))</f>
        <v/>
      </c>
      <c r="D531" s="22">
        <f>IF(OR('Brouillard ventes'!$F$270="",'Brouillard ventes'!$J$270="À crédit",'Brouillard ventes'!$J$270=""),"",'Brouillard ventes'!$B$270)</f>
        <v/>
      </c>
      <c r="E531" s="22">
        <f>IF(OR('Brouillard ventes'!$F$270="",'Brouillard ventes'!$J$270="À crédit",'Brouillard ventes'!$J$270=""),"","REGL "&amp;LEFT('Brouillard ventes'!$D$270,25))</f>
        <v/>
      </c>
      <c r="F531" s="22">
        <f>IF(OR('Brouillard ventes'!$F$270="",'Brouillard ventes'!$J$270="À crédit",'Brouillard ventes'!$J$270=""),"",IF('Brouillard ventes'!$J$270="Espèces","04001","02001"))</f>
        <v/>
      </c>
      <c r="G531" s="22">
        <f>IF(OR('Brouillard ventes'!$F$270="",'Brouillard ventes'!$J$270="À crédit",'Brouillard ventes'!$J$270=""),"",Paramètres!$B$7)</f>
        <v/>
      </c>
      <c r="H531" s="22">
        <f>IF(OR('Brouillard ventes'!$F$270="",'Brouillard ventes'!$J$270="À crédit",'Brouillard ventes'!$J$270=""),"",IF('Brouillard ventes'!$C$270="","CD001",'Brouillard ventes'!$C$270))</f>
        <v/>
      </c>
      <c r="I531" s="22" t="inlineStr"/>
      <c r="J531" s="22" t="inlineStr"/>
      <c r="K531" s="22">
        <f>IF(OR('Brouillard ventes'!$F$270="",'Brouillard ventes'!$J$270="À crédit",'Brouillard ventes'!$J$270=""),"",Paramètres!$B$11)</f>
        <v/>
      </c>
      <c r="L531" s="23" t="n">
        <v>0</v>
      </c>
      <c r="M531" s="23">
        <f>IF(OR('Brouillard ventes'!$F$270="",'Brouillard ventes'!$J$270="À crédit",'Brouillard ventes'!$J$270=""),0,'Brouillard ventes'!$I$270)</f>
        <v/>
      </c>
    </row>
    <row r="532">
      <c r="A532" s="22" t="inlineStr">
        <is>
          <t>1</t>
        </is>
      </c>
      <c r="B532" s="22">
        <f>IF(OR('Brouillard ventes'!$F$271="",'Brouillard ventes'!$J$271="À crédit",'Brouillard ventes'!$J$271=""),"","EC"&amp;TEXT(ROW('Brouillard ventes'!$F$271)-5,"00000"))</f>
        <v/>
      </c>
      <c r="C532" s="22">
        <f>IF(OR('Brouillard ventes'!$F$271="",'Brouillard ventes'!$J$271="À crédit",'Brouillard ventes'!$J$271=""),"",YEAR('Brouillard ventes'!$A$271)*10000+MONTH('Brouillard ventes'!$A$271)*100+DAY('Brouillard ventes'!$A$271))</f>
        <v/>
      </c>
      <c r="D532" s="22">
        <f>IF(OR('Brouillard ventes'!$F$271="",'Brouillard ventes'!$J$271="À crédit",'Brouillard ventes'!$J$271=""),"",'Brouillard ventes'!$B$271)</f>
        <v/>
      </c>
      <c r="E532" s="22">
        <f>IF(OR('Brouillard ventes'!$F$271="",'Brouillard ventes'!$J$271="À crédit",'Brouillard ventes'!$J$271=""),"","REGL "&amp;LEFT('Brouillard ventes'!$D$271,25))</f>
        <v/>
      </c>
      <c r="F532" s="22">
        <f>IF(OR('Brouillard ventes'!$F$271="",'Brouillard ventes'!$J$271="À crédit",'Brouillard ventes'!$J$271=""),"",IF('Brouillard ventes'!$J$271="Espèces","04001","02001"))</f>
        <v/>
      </c>
      <c r="G532" s="22">
        <f>IF(OR('Brouillard ventes'!$F$271="",'Brouillard ventes'!$J$271="À crédit",'Brouillard ventes'!$J$271=""),"",IF('Brouillard ventes'!$J$271="Espèces","53000","51220"))</f>
        <v/>
      </c>
      <c r="H532" s="22" t="inlineStr"/>
      <c r="I532" s="22" t="inlineStr"/>
      <c r="J532" s="22" t="inlineStr"/>
      <c r="K532" s="22">
        <f>IF(OR('Brouillard ventes'!$F$271="",'Brouillard ventes'!$J$271="À crédit",'Brouillard ventes'!$J$271=""),"",Paramètres!$B$11)</f>
        <v/>
      </c>
      <c r="L532" s="23">
        <f>IF(OR('Brouillard ventes'!$F$271="",'Brouillard ventes'!$J$271="À crédit",'Brouillard ventes'!$J$271=""),0,'Brouillard ventes'!$I$271)</f>
        <v/>
      </c>
      <c r="M532" s="23" t="n">
        <v>0</v>
      </c>
    </row>
    <row r="533">
      <c r="A533" s="22" t="inlineStr">
        <is>
          <t>1</t>
        </is>
      </c>
      <c r="B533" s="22">
        <f>IF(OR('Brouillard ventes'!$F$271="",'Brouillard ventes'!$J$271="À crédit",'Brouillard ventes'!$J$271=""),"","EC"&amp;TEXT(ROW('Brouillard ventes'!$F$271)-5,"00000"))</f>
        <v/>
      </c>
      <c r="C533" s="22">
        <f>IF(OR('Brouillard ventes'!$F$271="",'Brouillard ventes'!$J$271="À crédit",'Brouillard ventes'!$J$271=""),"",YEAR('Brouillard ventes'!$A$271)*10000+MONTH('Brouillard ventes'!$A$271)*100+DAY('Brouillard ventes'!$A$271))</f>
        <v/>
      </c>
      <c r="D533" s="22">
        <f>IF(OR('Brouillard ventes'!$F$271="",'Brouillard ventes'!$J$271="À crédit",'Brouillard ventes'!$J$271=""),"",'Brouillard ventes'!$B$271)</f>
        <v/>
      </c>
      <c r="E533" s="22">
        <f>IF(OR('Brouillard ventes'!$F$271="",'Brouillard ventes'!$J$271="À crédit",'Brouillard ventes'!$J$271=""),"","REGL "&amp;LEFT('Brouillard ventes'!$D$271,25))</f>
        <v/>
      </c>
      <c r="F533" s="22">
        <f>IF(OR('Brouillard ventes'!$F$271="",'Brouillard ventes'!$J$271="À crédit",'Brouillard ventes'!$J$271=""),"",IF('Brouillard ventes'!$J$271="Espèces","04001","02001"))</f>
        <v/>
      </c>
      <c r="G533" s="22">
        <f>IF(OR('Brouillard ventes'!$F$271="",'Brouillard ventes'!$J$271="À crédit",'Brouillard ventes'!$J$271=""),"",Paramètres!$B$7)</f>
        <v/>
      </c>
      <c r="H533" s="22">
        <f>IF(OR('Brouillard ventes'!$F$271="",'Brouillard ventes'!$J$271="À crédit",'Brouillard ventes'!$J$271=""),"",IF('Brouillard ventes'!$C$271="","CD001",'Brouillard ventes'!$C$271))</f>
        <v/>
      </c>
      <c r="I533" s="22" t="inlineStr"/>
      <c r="J533" s="22" t="inlineStr"/>
      <c r="K533" s="22">
        <f>IF(OR('Brouillard ventes'!$F$271="",'Brouillard ventes'!$J$271="À crédit",'Brouillard ventes'!$J$271=""),"",Paramètres!$B$11)</f>
        <v/>
      </c>
      <c r="L533" s="23" t="n">
        <v>0</v>
      </c>
      <c r="M533" s="23">
        <f>IF(OR('Brouillard ventes'!$F$271="",'Brouillard ventes'!$J$271="À crédit",'Brouillard ventes'!$J$271=""),0,'Brouillard ventes'!$I$271)</f>
        <v/>
      </c>
    </row>
    <row r="534">
      <c r="A534" s="22" t="inlineStr">
        <is>
          <t>1</t>
        </is>
      </c>
      <c r="B534" s="22">
        <f>IF(OR('Brouillard ventes'!$F$272="",'Brouillard ventes'!$J$272="À crédit",'Brouillard ventes'!$J$272=""),"","EC"&amp;TEXT(ROW('Brouillard ventes'!$F$272)-5,"00000"))</f>
        <v/>
      </c>
      <c r="C534" s="22">
        <f>IF(OR('Brouillard ventes'!$F$272="",'Brouillard ventes'!$J$272="À crédit",'Brouillard ventes'!$J$272=""),"",YEAR('Brouillard ventes'!$A$272)*10000+MONTH('Brouillard ventes'!$A$272)*100+DAY('Brouillard ventes'!$A$272))</f>
        <v/>
      </c>
      <c r="D534" s="22">
        <f>IF(OR('Brouillard ventes'!$F$272="",'Brouillard ventes'!$J$272="À crédit",'Brouillard ventes'!$J$272=""),"",'Brouillard ventes'!$B$272)</f>
        <v/>
      </c>
      <c r="E534" s="22">
        <f>IF(OR('Brouillard ventes'!$F$272="",'Brouillard ventes'!$J$272="À crédit",'Brouillard ventes'!$J$272=""),"","REGL "&amp;LEFT('Brouillard ventes'!$D$272,25))</f>
        <v/>
      </c>
      <c r="F534" s="22">
        <f>IF(OR('Brouillard ventes'!$F$272="",'Brouillard ventes'!$J$272="À crédit",'Brouillard ventes'!$J$272=""),"",IF('Brouillard ventes'!$J$272="Espèces","04001","02001"))</f>
        <v/>
      </c>
      <c r="G534" s="22">
        <f>IF(OR('Brouillard ventes'!$F$272="",'Brouillard ventes'!$J$272="À crédit",'Brouillard ventes'!$J$272=""),"",IF('Brouillard ventes'!$J$272="Espèces","53000","51220"))</f>
        <v/>
      </c>
      <c r="H534" s="22" t="inlineStr"/>
      <c r="I534" s="22" t="inlineStr"/>
      <c r="J534" s="22" t="inlineStr"/>
      <c r="K534" s="22">
        <f>IF(OR('Brouillard ventes'!$F$272="",'Brouillard ventes'!$J$272="À crédit",'Brouillard ventes'!$J$272=""),"",Paramètres!$B$11)</f>
        <v/>
      </c>
      <c r="L534" s="23">
        <f>IF(OR('Brouillard ventes'!$F$272="",'Brouillard ventes'!$J$272="À crédit",'Brouillard ventes'!$J$272=""),0,'Brouillard ventes'!$I$272)</f>
        <v/>
      </c>
      <c r="M534" s="23" t="n">
        <v>0</v>
      </c>
    </row>
    <row r="535">
      <c r="A535" s="22" t="inlineStr">
        <is>
          <t>1</t>
        </is>
      </c>
      <c r="B535" s="22">
        <f>IF(OR('Brouillard ventes'!$F$272="",'Brouillard ventes'!$J$272="À crédit",'Brouillard ventes'!$J$272=""),"","EC"&amp;TEXT(ROW('Brouillard ventes'!$F$272)-5,"00000"))</f>
        <v/>
      </c>
      <c r="C535" s="22">
        <f>IF(OR('Brouillard ventes'!$F$272="",'Brouillard ventes'!$J$272="À crédit",'Brouillard ventes'!$J$272=""),"",YEAR('Brouillard ventes'!$A$272)*10000+MONTH('Brouillard ventes'!$A$272)*100+DAY('Brouillard ventes'!$A$272))</f>
        <v/>
      </c>
      <c r="D535" s="22">
        <f>IF(OR('Brouillard ventes'!$F$272="",'Brouillard ventes'!$J$272="À crédit",'Brouillard ventes'!$J$272=""),"",'Brouillard ventes'!$B$272)</f>
        <v/>
      </c>
      <c r="E535" s="22">
        <f>IF(OR('Brouillard ventes'!$F$272="",'Brouillard ventes'!$J$272="À crédit",'Brouillard ventes'!$J$272=""),"","REGL "&amp;LEFT('Brouillard ventes'!$D$272,25))</f>
        <v/>
      </c>
      <c r="F535" s="22">
        <f>IF(OR('Brouillard ventes'!$F$272="",'Brouillard ventes'!$J$272="À crédit",'Brouillard ventes'!$J$272=""),"",IF('Brouillard ventes'!$J$272="Espèces","04001","02001"))</f>
        <v/>
      </c>
      <c r="G535" s="22">
        <f>IF(OR('Brouillard ventes'!$F$272="",'Brouillard ventes'!$J$272="À crédit",'Brouillard ventes'!$J$272=""),"",Paramètres!$B$7)</f>
        <v/>
      </c>
      <c r="H535" s="22">
        <f>IF(OR('Brouillard ventes'!$F$272="",'Brouillard ventes'!$J$272="À crédit",'Brouillard ventes'!$J$272=""),"",IF('Brouillard ventes'!$C$272="","CD001",'Brouillard ventes'!$C$272))</f>
        <v/>
      </c>
      <c r="I535" s="22" t="inlineStr"/>
      <c r="J535" s="22" t="inlineStr"/>
      <c r="K535" s="22">
        <f>IF(OR('Brouillard ventes'!$F$272="",'Brouillard ventes'!$J$272="À crédit",'Brouillard ventes'!$J$272=""),"",Paramètres!$B$11)</f>
        <v/>
      </c>
      <c r="L535" s="23" t="n">
        <v>0</v>
      </c>
      <c r="M535" s="23">
        <f>IF(OR('Brouillard ventes'!$F$272="",'Brouillard ventes'!$J$272="À crédit",'Brouillard ventes'!$J$272=""),0,'Brouillard ventes'!$I$272)</f>
        <v/>
      </c>
    </row>
    <row r="536">
      <c r="A536" s="22" t="inlineStr">
        <is>
          <t>1</t>
        </is>
      </c>
      <c r="B536" s="22">
        <f>IF(OR('Brouillard ventes'!$F$273="",'Brouillard ventes'!$J$273="À crédit",'Brouillard ventes'!$J$273=""),"","EC"&amp;TEXT(ROW('Brouillard ventes'!$F$273)-5,"00000"))</f>
        <v/>
      </c>
      <c r="C536" s="22">
        <f>IF(OR('Brouillard ventes'!$F$273="",'Brouillard ventes'!$J$273="À crédit",'Brouillard ventes'!$J$273=""),"",YEAR('Brouillard ventes'!$A$273)*10000+MONTH('Brouillard ventes'!$A$273)*100+DAY('Brouillard ventes'!$A$273))</f>
        <v/>
      </c>
      <c r="D536" s="22">
        <f>IF(OR('Brouillard ventes'!$F$273="",'Brouillard ventes'!$J$273="À crédit",'Brouillard ventes'!$J$273=""),"",'Brouillard ventes'!$B$273)</f>
        <v/>
      </c>
      <c r="E536" s="22">
        <f>IF(OR('Brouillard ventes'!$F$273="",'Brouillard ventes'!$J$273="À crédit",'Brouillard ventes'!$J$273=""),"","REGL "&amp;LEFT('Brouillard ventes'!$D$273,25))</f>
        <v/>
      </c>
      <c r="F536" s="22">
        <f>IF(OR('Brouillard ventes'!$F$273="",'Brouillard ventes'!$J$273="À crédit",'Brouillard ventes'!$J$273=""),"",IF('Brouillard ventes'!$J$273="Espèces","04001","02001"))</f>
        <v/>
      </c>
      <c r="G536" s="22">
        <f>IF(OR('Brouillard ventes'!$F$273="",'Brouillard ventes'!$J$273="À crédit",'Brouillard ventes'!$J$273=""),"",IF('Brouillard ventes'!$J$273="Espèces","53000","51220"))</f>
        <v/>
      </c>
      <c r="H536" s="22" t="inlineStr"/>
      <c r="I536" s="22" t="inlineStr"/>
      <c r="J536" s="22" t="inlineStr"/>
      <c r="K536" s="22">
        <f>IF(OR('Brouillard ventes'!$F$273="",'Brouillard ventes'!$J$273="À crédit",'Brouillard ventes'!$J$273=""),"",Paramètres!$B$11)</f>
        <v/>
      </c>
      <c r="L536" s="23">
        <f>IF(OR('Brouillard ventes'!$F$273="",'Brouillard ventes'!$J$273="À crédit",'Brouillard ventes'!$J$273=""),0,'Brouillard ventes'!$I$273)</f>
        <v/>
      </c>
      <c r="M536" s="23" t="n">
        <v>0</v>
      </c>
    </row>
    <row r="537">
      <c r="A537" s="22" t="inlineStr">
        <is>
          <t>1</t>
        </is>
      </c>
      <c r="B537" s="22">
        <f>IF(OR('Brouillard ventes'!$F$273="",'Brouillard ventes'!$J$273="À crédit",'Brouillard ventes'!$J$273=""),"","EC"&amp;TEXT(ROW('Brouillard ventes'!$F$273)-5,"00000"))</f>
        <v/>
      </c>
      <c r="C537" s="22">
        <f>IF(OR('Brouillard ventes'!$F$273="",'Brouillard ventes'!$J$273="À crédit",'Brouillard ventes'!$J$273=""),"",YEAR('Brouillard ventes'!$A$273)*10000+MONTH('Brouillard ventes'!$A$273)*100+DAY('Brouillard ventes'!$A$273))</f>
        <v/>
      </c>
      <c r="D537" s="22">
        <f>IF(OR('Brouillard ventes'!$F$273="",'Brouillard ventes'!$J$273="À crédit",'Brouillard ventes'!$J$273=""),"",'Brouillard ventes'!$B$273)</f>
        <v/>
      </c>
      <c r="E537" s="22">
        <f>IF(OR('Brouillard ventes'!$F$273="",'Brouillard ventes'!$J$273="À crédit",'Brouillard ventes'!$J$273=""),"","REGL "&amp;LEFT('Brouillard ventes'!$D$273,25))</f>
        <v/>
      </c>
      <c r="F537" s="22">
        <f>IF(OR('Brouillard ventes'!$F$273="",'Brouillard ventes'!$J$273="À crédit",'Brouillard ventes'!$J$273=""),"",IF('Brouillard ventes'!$J$273="Espèces","04001","02001"))</f>
        <v/>
      </c>
      <c r="G537" s="22">
        <f>IF(OR('Brouillard ventes'!$F$273="",'Brouillard ventes'!$J$273="À crédit",'Brouillard ventes'!$J$273=""),"",Paramètres!$B$7)</f>
        <v/>
      </c>
      <c r="H537" s="22">
        <f>IF(OR('Brouillard ventes'!$F$273="",'Brouillard ventes'!$J$273="À crédit",'Brouillard ventes'!$J$273=""),"",IF('Brouillard ventes'!$C$273="","CD001",'Brouillard ventes'!$C$273))</f>
        <v/>
      </c>
      <c r="I537" s="22" t="inlineStr"/>
      <c r="J537" s="22" t="inlineStr"/>
      <c r="K537" s="22">
        <f>IF(OR('Brouillard ventes'!$F$273="",'Brouillard ventes'!$J$273="À crédit",'Brouillard ventes'!$J$273=""),"",Paramètres!$B$11)</f>
        <v/>
      </c>
      <c r="L537" s="23" t="n">
        <v>0</v>
      </c>
      <c r="M537" s="23">
        <f>IF(OR('Brouillard ventes'!$F$273="",'Brouillard ventes'!$J$273="À crédit",'Brouillard ventes'!$J$273=""),0,'Brouillard ventes'!$I$273)</f>
        <v/>
      </c>
    </row>
    <row r="538">
      <c r="A538" s="22" t="inlineStr">
        <is>
          <t>1</t>
        </is>
      </c>
      <c r="B538" s="22">
        <f>IF(OR('Brouillard ventes'!$F$274="",'Brouillard ventes'!$J$274="À crédit",'Brouillard ventes'!$J$274=""),"","EC"&amp;TEXT(ROW('Brouillard ventes'!$F$274)-5,"00000"))</f>
        <v/>
      </c>
      <c r="C538" s="22">
        <f>IF(OR('Brouillard ventes'!$F$274="",'Brouillard ventes'!$J$274="À crédit",'Brouillard ventes'!$J$274=""),"",YEAR('Brouillard ventes'!$A$274)*10000+MONTH('Brouillard ventes'!$A$274)*100+DAY('Brouillard ventes'!$A$274))</f>
        <v/>
      </c>
      <c r="D538" s="22">
        <f>IF(OR('Brouillard ventes'!$F$274="",'Brouillard ventes'!$J$274="À crédit",'Brouillard ventes'!$J$274=""),"",'Brouillard ventes'!$B$274)</f>
        <v/>
      </c>
      <c r="E538" s="22">
        <f>IF(OR('Brouillard ventes'!$F$274="",'Brouillard ventes'!$J$274="À crédit",'Brouillard ventes'!$J$274=""),"","REGL "&amp;LEFT('Brouillard ventes'!$D$274,25))</f>
        <v/>
      </c>
      <c r="F538" s="22">
        <f>IF(OR('Brouillard ventes'!$F$274="",'Brouillard ventes'!$J$274="À crédit",'Brouillard ventes'!$J$274=""),"",IF('Brouillard ventes'!$J$274="Espèces","04001","02001"))</f>
        <v/>
      </c>
      <c r="G538" s="22">
        <f>IF(OR('Brouillard ventes'!$F$274="",'Brouillard ventes'!$J$274="À crédit",'Brouillard ventes'!$J$274=""),"",IF('Brouillard ventes'!$J$274="Espèces","53000","51220"))</f>
        <v/>
      </c>
      <c r="H538" s="22" t="inlineStr"/>
      <c r="I538" s="22" t="inlineStr"/>
      <c r="J538" s="22" t="inlineStr"/>
      <c r="K538" s="22">
        <f>IF(OR('Brouillard ventes'!$F$274="",'Brouillard ventes'!$J$274="À crédit",'Brouillard ventes'!$J$274=""),"",Paramètres!$B$11)</f>
        <v/>
      </c>
      <c r="L538" s="23">
        <f>IF(OR('Brouillard ventes'!$F$274="",'Brouillard ventes'!$J$274="À crédit",'Brouillard ventes'!$J$274=""),0,'Brouillard ventes'!$I$274)</f>
        <v/>
      </c>
      <c r="M538" s="23" t="n">
        <v>0</v>
      </c>
    </row>
    <row r="539">
      <c r="A539" s="22" t="inlineStr">
        <is>
          <t>1</t>
        </is>
      </c>
      <c r="B539" s="22">
        <f>IF(OR('Brouillard ventes'!$F$274="",'Brouillard ventes'!$J$274="À crédit",'Brouillard ventes'!$J$274=""),"","EC"&amp;TEXT(ROW('Brouillard ventes'!$F$274)-5,"00000"))</f>
        <v/>
      </c>
      <c r="C539" s="22">
        <f>IF(OR('Brouillard ventes'!$F$274="",'Brouillard ventes'!$J$274="À crédit",'Brouillard ventes'!$J$274=""),"",YEAR('Brouillard ventes'!$A$274)*10000+MONTH('Brouillard ventes'!$A$274)*100+DAY('Brouillard ventes'!$A$274))</f>
        <v/>
      </c>
      <c r="D539" s="22">
        <f>IF(OR('Brouillard ventes'!$F$274="",'Brouillard ventes'!$J$274="À crédit",'Brouillard ventes'!$J$274=""),"",'Brouillard ventes'!$B$274)</f>
        <v/>
      </c>
      <c r="E539" s="22">
        <f>IF(OR('Brouillard ventes'!$F$274="",'Brouillard ventes'!$J$274="À crédit",'Brouillard ventes'!$J$274=""),"","REGL "&amp;LEFT('Brouillard ventes'!$D$274,25))</f>
        <v/>
      </c>
      <c r="F539" s="22">
        <f>IF(OR('Brouillard ventes'!$F$274="",'Brouillard ventes'!$J$274="À crédit",'Brouillard ventes'!$J$274=""),"",IF('Brouillard ventes'!$J$274="Espèces","04001","02001"))</f>
        <v/>
      </c>
      <c r="G539" s="22">
        <f>IF(OR('Brouillard ventes'!$F$274="",'Brouillard ventes'!$J$274="À crédit",'Brouillard ventes'!$J$274=""),"",Paramètres!$B$7)</f>
        <v/>
      </c>
      <c r="H539" s="22">
        <f>IF(OR('Brouillard ventes'!$F$274="",'Brouillard ventes'!$J$274="À crédit",'Brouillard ventes'!$J$274=""),"",IF('Brouillard ventes'!$C$274="","CD001",'Brouillard ventes'!$C$274))</f>
        <v/>
      </c>
      <c r="I539" s="22" t="inlineStr"/>
      <c r="J539" s="22" t="inlineStr"/>
      <c r="K539" s="22">
        <f>IF(OR('Brouillard ventes'!$F$274="",'Brouillard ventes'!$J$274="À crédit",'Brouillard ventes'!$J$274=""),"",Paramètres!$B$11)</f>
        <v/>
      </c>
      <c r="L539" s="23" t="n">
        <v>0</v>
      </c>
      <c r="M539" s="23">
        <f>IF(OR('Brouillard ventes'!$F$274="",'Brouillard ventes'!$J$274="À crédit",'Brouillard ventes'!$J$274=""),0,'Brouillard ventes'!$I$274)</f>
        <v/>
      </c>
    </row>
    <row r="540">
      <c r="A540" s="22" t="inlineStr">
        <is>
          <t>1</t>
        </is>
      </c>
      <c r="B540" s="22">
        <f>IF(OR('Brouillard ventes'!$F$275="",'Brouillard ventes'!$J$275="À crédit",'Brouillard ventes'!$J$275=""),"","EC"&amp;TEXT(ROW('Brouillard ventes'!$F$275)-5,"00000"))</f>
        <v/>
      </c>
      <c r="C540" s="22">
        <f>IF(OR('Brouillard ventes'!$F$275="",'Brouillard ventes'!$J$275="À crédit",'Brouillard ventes'!$J$275=""),"",YEAR('Brouillard ventes'!$A$275)*10000+MONTH('Brouillard ventes'!$A$275)*100+DAY('Brouillard ventes'!$A$275))</f>
        <v/>
      </c>
      <c r="D540" s="22">
        <f>IF(OR('Brouillard ventes'!$F$275="",'Brouillard ventes'!$J$275="À crédit",'Brouillard ventes'!$J$275=""),"",'Brouillard ventes'!$B$275)</f>
        <v/>
      </c>
      <c r="E540" s="22">
        <f>IF(OR('Brouillard ventes'!$F$275="",'Brouillard ventes'!$J$275="À crédit",'Brouillard ventes'!$J$275=""),"","REGL "&amp;LEFT('Brouillard ventes'!$D$275,25))</f>
        <v/>
      </c>
      <c r="F540" s="22">
        <f>IF(OR('Brouillard ventes'!$F$275="",'Brouillard ventes'!$J$275="À crédit",'Brouillard ventes'!$J$275=""),"",IF('Brouillard ventes'!$J$275="Espèces","04001","02001"))</f>
        <v/>
      </c>
      <c r="G540" s="22">
        <f>IF(OR('Brouillard ventes'!$F$275="",'Brouillard ventes'!$J$275="À crédit",'Brouillard ventes'!$J$275=""),"",IF('Brouillard ventes'!$J$275="Espèces","53000","51220"))</f>
        <v/>
      </c>
      <c r="H540" s="22" t="inlineStr"/>
      <c r="I540" s="22" t="inlineStr"/>
      <c r="J540" s="22" t="inlineStr"/>
      <c r="K540" s="22">
        <f>IF(OR('Brouillard ventes'!$F$275="",'Brouillard ventes'!$J$275="À crédit",'Brouillard ventes'!$J$275=""),"",Paramètres!$B$11)</f>
        <v/>
      </c>
      <c r="L540" s="23">
        <f>IF(OR('Brouillard ventes'!$F$275="",'Brouillard ventes'!$J$275="À crédit",'Brouillard ventes'!$J$275=""),0,'Brouillard ventes'!$I$275)</f>
        <v/>
      </c>
      <c r="M540" s="23" t="n">
        <v>0</v>
      </c>
    </row>
    <row r="541">
      <c r="A541" s="22" t="inlineStr">
        <is>
          <t>1</t>
        </is>
      </c>
      <c r="B541" s="22">
        <f>IF(OR('Brouillard ventes'!$F$275="",'Brouillard ventes'!$J$275="À crédit",'Brouillard ventes'!$J$275=""),"","EC"&amp;TEXT(ROW('Brouillard ventes'!$F$275)-5,"00000"))</f>
        <v/>
      </c>
      <c r="C541" s="22">
        <f>IF(OR('Brouillard ventes'!$F$275="",'Brouillard ventes'!$J$275="À crédit",'Brouillard ventes'!$J$275=""),"",YEAR('Brouillard ventes'!$A$275)*10000+MONTH('Brouillard ventes'!$A$275)*100+DAY('Brouillard ventes'!$A$275))</f>
        <v/>
      </c>
      <c r="D541" s="22">
        <f>IF(OR('Brouillard ventes'!$F$275="",'Brouillard ventes'!$J$275="À crédit",'Brouillard ventes'!$J$275=""),"",'Brouillard ventes'!$B$275)</f>
        <v/>
      </c>
      <c r="E541" s="22">
        <f>IF(OR('Brouillard ventes'!$F$275="",'Brouillard ventes'!$J$275="À crédit",'Brouillard ventes'!$J$275=""),"","REGL "&amp;LEFT('Brouillard ventes'!$D$275,25))</f>
        <v/>
      </c>
      <c r="F541" s="22">
        <f>IF(OR('Brouillard ventes'!$F$275="",'Brouillard ventes'!$J$275="À crédit",'Brouillard ventes'!$J$275=""),"",IF('Brouillard ventes'!$J$275="Espèces","04001","02001"))</f>
        <v/>
      </c>
      <c r="G541" s="22">
        <f>IF(OR('Brouillard ventes'!$F$275="",'Brouillard ventes'!$J$275="À crédit",'Brouillard ventes'!$J$275=""),"",Paramètres!$B$7)</f>
        <v/>
      </c>
      <c r="H541" s="22">
        <f>IF(OR('Brouillard ventes'!$F$275="",'Brouillard ventes'!$J$275="À crédit",'Brouillard ventes'!$J$275=""),"",IF('Brouillard ventes'!$C$275="","CD001",'Brouillard ventes'!$C$275))</f>
        <v/>
      </c>
      <c r="I541" s="22" t="inlineStr"/>
      <c r="J541" s="22" t="inlineStr"/>
      <c r="K541" s="22">
        <f>IF(OR('Brouillard ventes'!$F$275="",'Brouillard ventes'!$J$275="À crédit",'Brouillard ventes'!$J$275=""),"",Paramètres!$B$11)</f>
        <v/>
      </c>
      <c r="L541" s="23" t="n">
        <v>0</v>
      </c>
      <c r="M541" s="23">
        <f>IF(OR('Brouillard ventes'!$F$275="",'Brouillard ventes'!$J$275="À crédit",'Brouillard ventes'!$J$275=""),0,'Brouillard ventes'!$I$275)</f>
        <v/>
      </c>
    </row>
    <row r="542">
      <c r="A542" s="22" t="inlineStr">
        <is>
          <t>1</t>
        </is>
      </c>
      <c r="B542" s="22">
        <f>IF(OR('Brouillard ventes'!$F$276="",'Brouillard ventes'!$J$276="À crédit",'Brouillard ventes'!$J$276=""),"","EC"&amp;TEXT(ROW('Brouillard ventes'!$F$276)-5,"00000"))</f>
        <v/>
      </c>
      <c r="C542" s="22">
        <f>IF(OR('Brouillard ventes'!$F$276="",'Brouillard ventes'!$J$276="À crédit",'Brouillard ventes'!$J$276=""),"",YEAR('Brouillard ventes'!$A$276)*10000+MONTH('Brouillard ventes'!$A$276)*100+DAY('Brouillard ventes'!$A$276))</f>
        <v/>
      </c>
      <c r="D542" s="22">
        <f>IF(OR('Brouillard ventes'!$F$276="",'Brouillard ventes'!$J$276="À crédit",'Brouillard ventes'!$J$276=""),"",'Brouillard ventes'!$B$276)</f>
        <v/>
      </c>
      <c r="E542" s="22">
        <f>IF(OR('Brouillard ventes'!$F$276="",'Brouillard ventes'!$J$276="À crédit",'Brouillard ventes'!$J$276=""),"","REGL "&amp;LEFT('Brouillard ventes'!$D$276,25))</f>
        <v/>
      </c>
      <c r="F542" s="22">
        <f>IF(OR('Brouillard ventes'!$F$276="",'Brouillard ventes'!$J$276="À crédit",'Brouillard ventes'!$J$276=""),"",IF('Brouillard ventes'!$J$276="Espèces","04001","02001"))</f>
        <v/>
      </c>
      <c r="G542" s="22">
        <f>IF(OR('Brouillard ventes'!$F$276="",'Brouillard ventes'!$J$276="À crédit",'Brouillard ventes'!$J$276=""),"",IF('Brouillard ventes'!$J$276="Espèces","53000","51220"))</f>
        <v/>
      </c>
      <c r="H542" s="22" t="inlineStr"/>
      <c r="I542" s="22" t="inlineStr"/>
      <c r="J542" s="22" t="inlineStr"/>
      <c r="K542" s="22">
        <f>IF(OR('Brouillard ventes'!$F$276="",'Brouillard ventes'!$J$276="À crédit",'Brouillard ventes'!$J$276=""),"",Paramètres!$B$11)</f>
        <v/>
      </c>
      <c r="L542" s="23">
        <f>IF(OR('Brouillard ventes'!$F$276="",'Brouillard ventes'!$J$276="À crédit",'Brouillard ventes'!$J$276=""),0,'Brouillard ventes'!$I$276)</f>
        <v/>
      </c>
      <c r="M542" s="23" t="n">
        <v>0</v>
      </c>
    </row>
    <row r="543">
      <c r="A543" s="22" t="inlineStr">
        <is>
          <t>1</t>
        </is>
      </c>
      <c r="B543" s="22">
        <f>IF(OR('Brouillard ventes'!$F$276="",'Brouillard ventes'!$J$276="À crédit",'Brouillard ventes'!$J$276=""),"","EC"&amp;TEXT(ROW('Brouillard ventes'!$F$276)-5,"00000"))</f>
        <v/>
      </c>
      <c r="C543" s="22">
        <f>IF(OR('Brouillard ventes'!$F$276="",'Brouillard ventes'!$J$276="À crédit",'Brouillard ventes'!$J$276=""),"",YEAR('Brouillard ventes'!$A$276)*10000+MONTH('Brouillard ventes'!$A$276)*100+DAY('Brouillard ventes'!$A$276))</f>
        <v/>
      </c>
      <c r="D543" s="22">
        <f>IF(OR('Brouillard ventes'!$F$276="",'Brouillard ventes'!$J$276="À crédit",'Brouillard ventes'!$J$276=""),"",'Brouillard ventes'!$B$276)</f>
        <v/>
      </c>
      <c r="E543" s="22">
        <f>IF(OR('Brouillard ventes'!$F$276="",'Brouillard ventes'!$J$276="À crédit",'Brouillard ventes'!$J$276=""),"","REGL "&amp;LEFT('Brouillard ventes'!$D$276,25))</f>
        <v/>
      </c>
      <c r="F543" s="22">
        <f>IF(OR('Brouillard ventes'!$F$276="",'Brouillard ventes'!$J$276="À crédit",'Brouillard ventes'!$J$276=""),"",IF('Brouillard ventes'!$J$276="Espèces","04001","02001"))</f>
        <v/>
      </c>
      <c r="G543" s="22">
        <f>IF(OR('Brouillard ventes'!$F$276="",'Brouillard ventes'!$J$276="À crédit",'Brouillard ventes'!$J$276=""),"",Paramètres!$B$7)</f>
        <v/>
      </c>
      <c r="H543" s="22">
        <f>IF(OR('Brouillard ventes'!$F$276="",'Brouillard ventes'!$J$276="À crédit",'Brouillard ventes'!$J$276=""),"",IF('Brouillard ventes'!$C$276="","CD001",'Brouillard ventes'!$C$276))</f>
        <v/>
      </c>
      <c r="I543" s="22" t="inlineStr"/>
      <c r="J543" s="22" t="inlineStr"/>
      <c r="K543" s="22">
        <f>IF(OR('Brouillard ventes'!$F$276="",'Brouillard ventes'!$J$276="À crédit",'Brouillard ventes'!$J$276=""),"",Paramètres!$B$11)</f>
        <v/>
      </c>
      <c r="L543" s="23" t="n">
        <v>0</v>
      </c>
      <c r="M543" s="23">
        <f>IF(OR('Brouillard ventes'!$F$276="",'Brouillard ventes'!$J$276="À crédit",'Brouillard ventes'!$J$276=""),0,'Brouillard ventes'!$I$276)</f>
        <v/>
      </c>
    </row>
    <row r="544">
      <c r="A544" s="22" t="inlineStr">
        <is>
          <t>1</t>
        </is>
      </c>
      <c r="B544" s="22">
        <f>IF(OR('Brouillard ventes'!$F$277="",'Brouillard ventes'!$J$277="À crédit",'Brouillard ventes'!$J$277=""),"","EC"&amp;TEXT(ROW('Brouillard ventes'!$F$277)-5,"00000"))</f>
        <v/>
      </c>
      <c r="C544" s="22">
        <f>IF(OR('Brouillard ventes'!$F$277="",'Brouillard ventes'!$J$277="À crédit",'Brouillard ventes'!$J$277=""),"",YEAR('Brouillard ventes'!$A$277)*10000+MONTH('Brouillard ventes'!$A$277)*100+DAY('Brouillard ventes'!$A$277))</f>
        <v/>
      </c>
      <c r="D544" s="22">
        <f>IF(OR('Brouillard ventes'!$F$277="",'Brouillard ventes'!$J$277="À crédit",'Brouillard ventes'!$J$277=""),"",'Brouillard ventes'!$B$277)</f>
        <v/>
      </c>
      <c r="E544" s="22">
        <f>IF(OR('Brouillard ventes'!$F$277="",'Brouillard ventes'!$J$277="À crédit",'Brouillard ventes'!$J$277=""),"","REGL "&amp;LEFT('Brouillard ventes'!$D$277,25))</f>
        <v/>
      </c>
      <c r="F544" s="22">
        <f>IF(OR('Brouillard ventes'!$F$277="",'Brouillard ventes'!$J$277="À crédit",'Brouillard ventes'!$J$277=""),"",IF('Brouillard ventes'!$J$277="Espèces","04001","02001"))</f>
        <v/>
      </c>
      <c r="G544" s="22">
        <f>IF(OR('Brouillard ventes'!$F$277="",'Brouillard ventes'!$J$277="À crédit",'Brouillard ventes'!$J$277=""),"",IF('Brouillard ventes'!$J$277="Espèces","53000","51220"))</f>
        <v/>
      </c>
      <c r="H544" s="22" t="inlineStr"/>
      <c r="I544" s="22" t="inlineStr"/>
      <c r="J544" s="22" t="inlineStr"/>
      <c r="K544" s="22">
        <f>IF(OR('Brouillard ventes'!$F$277="",'Brouillard ventes'!$J$277="À crédit",'Brouillard ventes'!$J$277=""),"",Paramètres!$B$11)</f>
        <v/>
      </c>
      <c r="L544" s="23">
        <f>IF(OR('Brouillard ventes'!$F$277="",'Brouillard ventes'!$J$277="À crédit",'Brouillard ventes'!$J$277=""),0,'Brouillard ventes'!$I$277)</f>
        <v/>
      </c>
      <c r="M544" s="23" t="n">
        <v>0</v>
      </c>
    </row>
    <row r="545">
      <c r="A545" s="22" t="inlineStr">
        <is>
          <t>1</t>
        </is>
      </c>
      <c r="B545" s="22">
        <f>IF(OR('Brouillard ventes'!$F$277="",'Brouillard ventes'!$J$277="À crédit",'Brouillard ventes'!$J$277=""),"","EC"&amp;TEXT(ROW('Brouillard ventes'!$F$277)-5,"00000"))</f>
        <v/>
      </c>
      <c r="C545" s="22">
        <f>IF(OR('Brouillard ventes'!$F$277="",'Brouillard ventes'!$J$277="À crédit",'Brouillard ventes'!$J$277=""),"",YEAR('Brouillard ventes'!$A$277)*10000+MONTH('Brouillard ventes'!$A$277)*100+DAY('Brouillard ventes'!$A$277))</f>
        <v/>
      </c>
      <c r="D545" s="22">
        <f>IF(OR('Brouillard ventes'!$F$277="",'Brouillard ventes'!$J$277="À crédit",'Brouillard ventes'!$J$277=""),"",'Brouillard ventes'!$B$277)</f>
        <v/>
      </c>
      <c r="E545" s="22">
        <f>IF(OR('Brouillard ventes'!$F$277="",'Brouillard ventes'!$J$277="À crédit",'Brouillard ventes'!$J$277=""),"","REGL "&amp;LEFT('Brouillard ventes'!$D$277,25))</f>
        <v/>
      </c>
      <c r="F545" s="22">
        <f>IF(OR('Brouillard ventes'!$F$277="",'Brouillard ventes'!$J$277="À crédit",'Brouillard ventes'!$J$277=""),"",IF('Brouillard ventes'!$J$277="Espèces","04001","02001"))</f>
        <v/>
      </c>
      <c r="G545" s="22">
        <f>IF(OR('Brouillard ventes'!$F$277="",'Brouillard ventes'!$J$277="À crédit",'Brouillard ventes'!$J$277=""),"",Paramètres!$B$7)</f>
        <v/>
      </c>
      <c r="H545" s="22">
        <f>IF(OR('Brouillard ventes'!$F$277="",'Brouillard ventes'!$J$277="À crédit",'Brouillard ventes'!$J$277=""),"",IF('Brouillard ventes'!$C$277="","CD001",'Brouillard ventes'!$C$277))</f>
        <v/>
      </c>
      <c r="I545" s="22" t="inlineStr"/>
      <c r="J545" s="22" t="inlineStr"/>
      <c r="K545" s="22">
        <f>IF(OR('Brouillard ventes'!$F$277="",'Brouillard ventes'!$J$277="À crédit",'Brouillard ventes'!$J$277=""),"",Paramètres!$B$11)</f>
        <v/>
      </c>
      <c r="L545" s="23" t="n">
        <v>0</v>
      </c>
      <c r="M545" s="23">
        <f>IF(OR('Brouillard ventes'!$F$277="",'Brouillard ventes'!$J$277="À crédit",'Brouillard ventes'!$J$277=""),0,'Brouillard ventes'!$I$277)</f>
        <v/>
      </c>
    </row>
    <row r="546">
      <c r="A546" s="22" t="inlineStr">
        <is>
          <t>1</t>
        </is>
      </c>
      <c r="B546" s="22">
        <f>IF(OR('Brouillard ventes'!$F$278="",'Brouillard ventes'!$J$278="À crédit",'Brouillard ventes'!$J$278=""),"","EC"&amp;TEXT(ROW('Brouillard ventes'!$F$278)-5,"00000"))</f>
        <v/>
      </c>
      <c r="C546" s="22">
        <f>IF(OR('Brouillard ventes'!$F$278="",'Brouillard ventes'!$J$278="À crédit",'Brouillard ventes'!$J$278=""),"",YEAR('Brouillard ventes'!$A$278)*10000+MONTH('Brouillard ventes'!$A$278)*100+DAY('Brouillard ventes'!$A$278))</f>
        <v/>
      </c>
      <c r="D546" s="22">
        <f>IF(OR('Brouillard ventes'!$F$278="",'Brouillard ventes'!$J$278="À crédit",'Brouillard ventes'!$J$278=""),"",'Brouillard ventes'!$B$278)</f>
        <v/>
      </c>
      <c r="E546" s="22">
        <f>IF(OR('Brouillard ventes'!$F$278="",'Brouillard ventes'!$J$278="À crédit",'Brouillard ventes'!$J$278=""),"","REGL "&amp;LEFT('Brouillard ventes'!$D$278,25))</f>
        <v/>
      </c>
      <c r="F546" s="22">
        <f>IF(OR('Brouillard ventes'!$F$278="",'Brouillard ventes'!$J$278="À crédit",'Brouillard ventes'!$J$278=""),"",IF('Brouillard ventes'!$J$278="Espèces","04001","02001"))</f>
        <v/>
      </c>
      <c r="G546" s="22">
        <f>IF(OR('Brouillard ventes'!$F$278="",'Brouillard ventes'!$J$278="À crédit",'Brouillard ventes'!$J$278=""),"",IF('Brouillard ventes'!$J$278="Espèces","53000","51220"))</f>
        <v/>
      </c>
      <c r="H546" s="22" t="inlineStr"/>
      <c r="I546" s="22" t="inlineStr"/>
      <c r="J546" s="22" t="inlineStr"/>
      <c r="K546" s="22">
        <f>IF(OR('Brouillard ventes'!$F$278="",'Brouillard ventes'!$J$278="À crédit",'Brouillard ventes'!$J$278=""),"",Paramètres!$B$11)</f>
        <v/>
      </c>
      <c r="L546" s="23">
        <f>IF(OR('Brouillard ventes'!$F$278="",'Brouillard ventes'!$J$278="À crédit",'Brouillard ventes'!$J$278=""),0,'Brouillard ventes'!$I$278)</f>
        <v/>
      </c>
      <c r="M546" s="23" t="n">
        <v>0</v>
      </c>
    </row>
    <row r="547">
      <c r="A547" s="22" t="inlineStr">
        <is>
          <t>1</t>
        </is>
      </c>
      <c r="B547" s="22">
        <f>IF(OR('Brouillard ventes'!$F$278="",'Brouillard ventes'!$J$278="À crédit",'Brouillard ventes'!$J$278=""),"","EC"&amp;TEXT(ROW('Brouillard ventes'!$F$278)-5,"00000"))</f>
        <v/>
      </c>
      <c r="C547" s="22">
        <f>IF(OR('Brouillard ventes'!$F$278="",'Brouillard ventes'!$J$278="À crédit",'Brouillard ventes'!$J$278=""),"",YEAR('Brouillard ventes'!$A$278)*10000+MONTH('Brouillard ventes'!$A$278)*100+DAY('Brouillard ventes'!$A$278))</f>
        <v/>
      </c>
      <c r="D547" s="22">
        <f>IF(OR('Brouillard ventes'!$F$278="",'Brouillard ventes'!$J$278="À crédit",'Brouillard ventes'!$J$278=""),"",'Brouillard ventes'!$B$278)</f>
        <v/>
      </c>
      <c r="E547" s="22">
        <f>IF(OR('Brouillard ventes'!$F$278="",'Brouillard ventes'!$J$278="À crédit",'Brouillard ventes'!$J$278=""),"","REGL "&amp;LEFT('Brouillard ventes'!$D$278,25))</f>
        <v/>
      </c>
      <c r="F547" s="22">
        <f>IF(OR('Brouillard ventes'!$F$278="",'Brouillard ventes'!$J$278="À crédit",'Brouillard ventes'!$J$278=""),"",IF('Brouillard ventes'!$J$278="Espèces","04001","02001"))</f>
        <v/>
      </c>
      <c r="G547" s="22">
        <f>IF(OR('Brouillard ventes'!$F$278="",'Brouillard ventes'!$J$278="À crédit",'Brouillard ventes'!$J$278=""),"",Paramètres!$B$7)</f>
        <v/>
      </c>
      <c r="H547" s="22">
        <f>IF(OR('Brouillard ventes'!$F$278="",'Brouillard ventes'!$J$278="À crédit",'Brouillard ventes'!$J$278=""),"",IF('Brouillard ventes'!$C$278="","CD001",'Brouillard ventes'!$C$278))</f>
        <v/>
      </c>
      <c r="I547" s="22" t="inlineStr"/>
      <c r="J547" s="22" t="inlineStr"/>
      <c r="K547" s="22">
        <f>IF(OR('Brouillard ventes'!$F$278="",'Brouillard ventes'!$J$278="À crédit",'Brouillard ventes'!$J$278=""),"",Paramètres!$B$11)</f>
        <v/>
      </c>
      <c r="L547" s="23" t="n">
        <v>0</v>
      </c>
      <c r="M547" s="23">
        <f>IF(OR('Brouillard ventes'!$F$278="",'Brouillard ventes'!$J$278="À crédit",'Brouillard ventes'!$J$278=""),0,'Brouillard ventes'!$I$278)</f>
        <v/>
      </c>
    </row>
    <row r="548">
      <c r="A548" s="22" t="inlineStr">
        <is>
          <t>1</t>
        </is>
      </c>
      <c r="B548" s="22">
        <f>IF(OR('Brouillard ventes'!$F$279="",'Brouillard ventes'!$J$279="À crédit",'Brouillard ventes'!$J$279=""),"","EC"&amp;TEXT(ROW('Brouillard ventes'!$F$279)-5,"00000"))</f>
        <v/>
      </c>
      <c r="C548" s="22">
        <f>IF(OR('Brouillard ventes'!$F$279="",'Brouillard ventes'!$J$279="À crédit",'Brouillard ventes'!$J$279=""),"",YEAR('Brouillard ventes'!$A$279)*10000+MONTH('Brouillard ventes'!$A$279)*100+DAY('Brouillard ventes'!$A$279))</f>
        <v/>
      </c>
      <c r="D548" s="22">
        <f>IF(OR('Brouillard ventes'!$F$279="",'Brouillard ventes'!$J$279="À crédit",'Brouillard ventes'!$J$279=""),"",'Brouillard ventes'!$B$279)</f>
        <v/>
      </c>
      <c r="E548" s="22">
        <f>IF(OR('Brouillard ventes'!$F$279="",'Brouillard ventes'!$J$279="À crédit",'Brouillard ventes'!$J$279=""),"","REGL "&amp;LEFT('Brouillard ventes'!$D$279,25))</f>
        <v/>
      </c>
      <c r="F548" s="22">
        <f>IF(OR('Brouillard ventes'!$F$279="",'Brouillard ventes'!$J$279="À crédit",'Brouillard ventes'!$J$279=""),"",IF('Brouillard ventes'!$J$279="Espèces","04001","02001"))</f>
        <v/>
      </c>
      <c r="G548" s="22">
        <f>IF(OR('Brouillard ventes'!$F$279="",'Brouillard ventes'!$J$279="À crédit",'Brouillard ventes'!$J$279=""),"",IF('Brouillard ventes'!$J$279="Espèces","53000","51220"))</f>
        <v/>
      </c>
      <c r="H548" s="22" t="inlineStr"/>
      <c r="I548" s="22" t="inlineStr"/>
      <c r="J548" s="22" t="inlineStr"/>
      <c r="K548" s="22">
        <f>IF(OR('Brouillard ventes'!$F$279="",'Brouillard ventes'!$J$279="À crédit",'Brouillard ventes'!$J$279=""),"",Paramètres!$B$11)</f>
        <v/>
      </c>
      <c r="L548" s="23">
        <f>IF(OR('Brouillard ventes'!$F$279="",'Brouillard ventes'!$J$279="À crédit",'Brouillard ventes'!$J$279=""),0,'Brouillard ventes'!$I$279)</f>
        <v/>
      </c>
      <c r="M548" s="23" t="n">
        <v>0</v>
      </c>
    </row>
    <row r="549">
      <c r="A549" s="22" t="inlineStr">
        <is>
          <t>1</t>
        </is>
      </c>
      <c r="B549" s="22">
        <f>IF(OR('Brouillard ventes'!$F$279="",'Brouillard ventes'!$J$279="À crédit",'Brouillard ventes'!$J$279=""),"","EC"&amp;TEXT(ROW('Brouillard ventes'!$F$279)-5,"00000"))</f>
        <v/>
      </c>
      <c r="C549" s="22">
        <f>IF(OR('Brouillard ventes'!$F$279="",'Brouillard ventes'!$J$279="À crédit",'Brouillard ventes'!$J$279=""),"",YEAR('Brouillard ventes'!$A$279)*10000+MONTH('Brouillard ventes'!$A$279)*100+DAY('Brouillard ventes'!$A$279))</f>
        <v/>
      </c>
      <c r="D549" s="22">
        <f>IF(OR('Brouillard ventes'!$F$279="",'Brouillard ventes'!$J$279="À crédit",'Brouillard ventes'!$J$279=""),"",'Brouillard ventes'!$B$279)</f>
        <v/>
      </c>
      <c r="E549" s="22">
        <f>IF(OR('Brouillard ventes'!$F$279="",'Brouillard ventes'!$J$279="À crédit",'Brouillard ventes'!$J$279=""),"","REGL "&amp;LEFT('Brouillard ventes'!$D$279,25))</f>
        <v/>
      </c>
      <c r="F549" s="22">
        <f>IF(OR('Brouillard ventes'!$F$279="",'Brouillard ventes'!$J$279="À crédit",'Brouillard ventes'!$J$279=""),"",IF('Brouillard ventes'!$J$279="Espèces","04001","02001"))</f>
        <v/>
      </c>
      <c r="G549" s="22">
        <f>IF(OR('Brouillard ventes'!$F$279="",'Brouillard ventes'!$J$279="À crédit",'Brouillard ventes'!$J$279=""),"",Paramètres!$B$7)</f>
        <v/>
      </c>
      <c r="H549" s="22">
        <f>IF(OR('Brouillard ventes'!$F$279="",'Brouillard ventes'!$J$279="À crédit",'Brouillard ventes'!$J$279=""),"",IF('Brouillard ventes'!$C$279="","CD001",'Brouillard ventes'!$C$279))</f>
        <v/>
      </c>
      <c r="I549" s="22" t="inlineStr"/>
      <c r="J549" s="22" t="inlineStr"/>
      <c r="K549" s="22">
        <f>IF(OR('Brouillard ventes'!$F$279="",'Brouillard ventes'!$J$279="À crédit",'Brouillard ventes'!$J$279=""),"",Paramètres!$B$11)</f>
        <v/>
      </c>
      <c r="L549" s="23" t="n">
        <v>0</v>
      </c>
      <c r="M549" s="23">
        <f>IF(OR('Brouillard ventes'!$F$279="",'Brouillard ventes'!$J$279="À crédit",'Brouillard ventes'!$J$279=""),0,'Brouillard ventes'!$I$279)</f>
        <v/>
      </c>
    </row>
    <row r="550">
      <c r="A550" s="22" t="inlineStr">
        <is>
          <t>1</t>
        </is>
      </c>
      <c r="B550" s="22">
        <f>IF(OR('Brouillard ventes'!$F$280="",'Brouillard ventes'!$J$280="À crédit",'Brouillard ventes'!$J$280=""),"","EC"&amp;TEXT(ROW('Brouillard ventes'!$F$280)-5,"00000"))</f>
        <v/>
      </c>
      <c r="C550" s="22">
        <f>IF(OR('Brouillard ventes'!$F$280="",'Brouillard ventes'!$J$280="À crédit",'Brouillard ventes'!$J$280=""),"",YEAR('Brouillard ventes'!$A$280)*10000+MONTH('Brouillard ventes'!$A$280)*100+DAY('Brouillard ventes'!$A$280))</f>
        <v/>
      </c>
      <c r="D550" s="22">
        <f>IF(OR('Brouillard ventes'!$F$280="",'Brouillard ventes'!$J$280="À crédit",'Brouillard ventes'!$J$280=""),"",'Brouillard ventes'!$B$280)</f>
        <v/>
      </c>
      <c r="E550" s="22">
        <f>IF(OR('Brouillard ventes'!$F$280="",'Brouillard ventes'!$J$280="À crédit",'Brouillard ventes'!$J$280=""),"","REGL "&amp;LEFT('Brouillard ventes'!$D$280,25))</f>
        <v/>
      </c>
      <c r="F550" s="22">
        <f>IF(OR('Brouillard ventes'!$F$280="",'Brouillard ventes'!$J$280="À crédit",'Brouillard ventes'!$J$280=""),"",IF('Brouillard ventes'!$J$280="Espèces","04001","02001"))</f>
        <v/>
      </c>
      <c r="G550" s="22">
        <f>IF(OR('Brouillard ventes'!$F$280="",'Brouillard ventes'!$J$280="À crédit",'Brouillard ventes'!$J$280=""),"",IF('Brouillard ventes'!$J$280="Espèces","53000","51220"))</f>
        <v/>
      </c>
      <c r="H550" s="22" t="inlineStr"/>
      <c r="I550" s="22" t="inlineStr"/>
      <c r="J550" s="22" t="inlineStr"/>
      <c r="K550" s="22">
        <f>IF(OR('Brouillard ventes'!$F$280="",'Brouillard ventes'!$J$280="À crédit",'Brouillard ventes'!$J$280=""),"",Paramètres!$B$11)</f>
        <v/>
      </c>
      <c r="L550" s="23">
        <f>IF(OR('Brouillard ventes'!$F$280="",'Brouillard ventes'!$J$280="À crédit",'Brouillard ventes'!$J$280=""),0,'Brouillard ventes'!$I$280)</f>
        <v/>
      </c>
      <c r="M550" s="23" t="n">
        <v>0</v>
      </c>
    </row>
    <row r="551">
      <c r="A551" s="22" t="inlineStr">
        <is>
          <t>1</t>
        </is>
      </c>
      <c r="B551" s="22">
        <f>IF(OR('Brouillard ventes'!$F$280="",'Brouillard ventes'!$J$280="À crédit",'Brouillard ventes'!$J$280=""),"","EC"&amp;TEXT(ROW('Brouillard ventes'!$F$280)-5,"00000"))</f>
        <v/>
      </c>
      <c r="C551" s="22">
        <f>IF(OR('Brouillard ventes'!$F$280="",'Brouillard ventes'!$J$280="À crédit",'Brouillard ventes'!$J$280=""),"",YEAR('Brouillard ventes'!$A$280)*10000+MONTH('Brouillard ventes'!$A$280)*100+DAY('Brouillard ventes'!$A$280))</f>
        <v/>
      </c>
      <c r="D551" s="22">
        <f>IF(OR('Brouillard ventes'!$F$280="",'Brouillard ventes'!$J$280="À crédit",'Brouillard ventes'!$J$280=""),"",'Brouillard ventes'!$B$280)</f>
        <v/>
      </c>
      <c r="E551" s="22">
        <f>IF(OR('Brouillard ventes'!$F$280="",'Brouillard ventes'!$J$280="À crédit",'Brouillard ventes'!$J$280=""),"","REGL "&amp;LEFT('Brouillard ventes'!$D$280,25))</f>
        <v/>
      </c>
      <c r="F551" s="22">
        <f>IF(OR('Brouillard ventes'!$F$280="",'Brouillard ventes'!$J$280="À crédit",'Brouillard ventes'!$J$280=""),"",IF('Brouillard ventes'!$J$280="Espèces","04001","02001"))</f>
        <v/>
      </c>
      <c r="G551" s="22">
        <f>IF(OR('Brouillard ventes'!$F$280="",'Brouillard ventes'!$J$280="À crédit",'Brouillard ventes'!$J$280=""),"",Paramètres!$B$7)</f>
        <v/>
      </c>
      <c r="H551" s="22">
        <f>IF(OR('Brouillard ventes'!$F$280="",'Brouillard ventes'!$J$280="À crédit",'Brouillard ventes'!$J$280=""),"",IF('Brouillard ventes'!$C$280="","CD001",'Brouillard ventes'!$C$280))</f>
        <v/>
      </c>
      <c r="I551" s="22" t="inlineStr"/>
      <c r="J551" s="22" t="inlineStr"/>
      <c r="K551" s="22">
        <f>IF(OR('Brouillard ventes'!$F$280="",'Brouillard ventes'!$J$280="À crédit",'Brouillard ventes'!$J$280=""),"",Paramètres!$B$11)</f>
        <v/>
      </c>
      <c r="L551" s="23" t="n">
        <v>0</v>
      </c>
      <c r="M551" s="23">
        <f>IF(OR('Brouillard ventes'!$F$280="",'Brouillard ventes'!$J$280="À crédit",'Brouillard ventes'!$J$280=""),0,'Brouillard ventes'!$I$280)</f>
        <v/>
      </c>
    </row>
    <row r="552">
      <c r="A552" s="22" t="inlineStr">
        <is>
          <t>1</t>
        </is>
      </c>
      <c r="B552" s="22">
        <f>IF(OR('Brouillard ventes'!$F$281="",'Brouillard ventes'!$J$281="À crédit",'Brouillard ventes'!$J$281=""),"","EC"&amp;TEXT(ROW('Brouillard ventes'!$F$281)-5,"00000"))</f>
        <v/>
      </c>
      <c r="C552" s="22">
        <f>IF(OR('Brouillard ventes'!$F$281="",'Brouillard ventes'!$J$281="À crédit",'Brouillard ventes'!$J$281=""),"",YEAR('Brouillard ventes'!$A$281)*10000+MONTH('Brouillard ventes'!$A$281)*100+DAY('Brouillard ventes'!$A$281))</f>
        <v/>
      </c>
      <c r="D552" s="22">
        <f>IF(OR('Brouillard ventes'!$F$281="",'Brouillard ventes'!$J$281="À crédit",'Brouillard ventes'!$J$281=""),"",'Brouillard ventes'!$B$281)</f>
        <v/>
      </c>
      <c r="E552" s="22">
        <f>IF(OR('Brouillard ventes'!$F$281="",'Brouillard ventes'!$J$281="À crédit",'Brouillard ventes'!$J$281=""),"","REGL "&amp;LEFT('Brouillard ventes'!$D$281,25))</f>
        <v/>
      </c>
      <c r="F552" s="22">
        <f>IF(OR('Brouillard ventes'!$F$281="",'Brouillard ventes'!$J$281="À crédit",'Brouillard ventes'!$J$281=""),"",IF('Brouillard ventes'!$J$281="Espèces","04001","02001"))</f>
        <v/>
      </c>
      <c r="G552" s="22">
        <f>IF(OR('Brouillard ventes'!$F$281="",'Brouillard ventes'!$J$281="À crédit",'Brouillard ventes'!$J$281=""),"",IF('Brouillard ventes'!$J$281="Espèces","53000","51220"))</f>
        <v/>
      </c>
      <c r="H552" s="22" t="inlineStr"/>
      <c r="I552" s="22" t="inlineStr"/>
      <c r="J552" s="22" t="inlineStr"/>
      <c r="K552" s="22">
        <f>IF(OR('Brouillard ventes'!$F$281="",'Brouillard ventes'!$J$281="À crédit",'Brouillard ventes'!$J$281=""),"",Paramètres!$B$11)</f>
        <v/>
      </c>
      <c r="L552" s="23">
        <f>IF(OR('Brouillard ventes'!$F$281="",'Brouillard ventes'!$J$281="À crédit",'Brouillard ventes'!$J$281=""),0,'Brouillard ventes'!$I$281)</f>
        <v/>
      </c>
      <c r="M552" s="23" t="n">
        <v>0</v>
      </c>
    </row>
    <row r="553">
      <c r="A553" s="22" t="inlineStr">
        <is>
          <t>1</t>
        </is>
      </c>
      <c r="B553" s="22">
        <f>IF(OR('Brouillard ventes'!$F$281="",'Brouillard ventes'!$J$281="À crédit",'Brouillard ventes'!$J$281=""),"","EC"&amp;TEXT(ROW('Brouillard ventes'!$F$281)-5,"00000"))</f>
        <v/>
      </c>
      <c r="C553" s="22">
        <f>IF(OR('Brouillard ventes'!$F$281="",'Brouillard ventes'!$J$281="À crédit",'Brouillard ventes'!$J$281=""),"",YEAR('Brouillard ventes'!$A$281)*10000+MONTH('Brouillard ventes'!$A$281)*100+DAY('Brouillard ventes'!$A$281))</f>
        <v/>
      </c>
      <c r="D553" s="22">
        <f>IF(OR('Brouillard ventes'!$F$281="",'Brouillard ventes'!$J$281="À crédit",'Brouillard ventes'!$J$281=""),"",'Brouillard ventes'!$B$281)</f>
        <v/>
      </c>
      <c r="E553" s="22">
        <f>IF(OR('Brouillard ventes'!$F$281="",'Brouillard ventes'!$J$281="À crédit",'Brouillard ventes'!$J$281=""),"","REGL "&amp;LEFT('Brouillard ventes'!$D$281,25))</f>
        <v/>
      </c>
      <c r="F553" s="22">
        <f>IF(OR('Brouillard ventes'!$F$281="",'Brouillard ventes'!$J$281="À crédit",'Brouillard ventes'!$J$281=""),"",IF('Brouillard ventes'!$J$281="Espèces","04001","02001"))</f>
        <v/>
      </c>
      <c r="G553" s="22">
        <f>IF(OR('Brouillard ventes'!$F$281="",'Brouillard ventes'!$J$281="À crédit",'Brouillard ventes'!$J$281=""),"",Paramètres!$B$7)</f>
        <v/>
      </c>
      <c r="H553" s="22">
        <f>IF(OR('Brouillard ventes'!$F$281="",'Brouillard ventes'!$J$281="À crédit",'Brouillard ventes'!$J$281=""),"",IF('Brouillard ventes'!$C$281="","CD001",'Brouillard ventes'!$C$281))</f>
        <v/>
      </c>
      <c r="I553" s="22" t="inlineStr"/>
      <c r="J553" s="22" t="inlineStr"/>
      <c r="K553" s="22">
        <f>IF(OR('Brouillard ventes'!$F$281="",'Brouillard ventes'!$J$281="À crédit",'Brouillard ventes'!$J$281=""),"",Paramètres!$B$11)</f>
        <v/>
      </c>
      <c r="L553" s="23" t="n">
        <v>0</v>
      </c>
      <c r="M553" s="23">
        <f>IF(OR('Brouillard ventes'!$F$281="",'Brouillard ventes'!$J$281="À crédit",'Brouillard ventes'!$J$281=""),0,'Brouillard ventes'!$I$281)</f>
        <v/>
      </c>
    </row>
    <row r="554">
      <c r="A554" s="22" t="inlineStr">
        <is>
          <t>1</t>
        </is>
      </c>
      <c r="B554" s="22">
        <f>IF(OR('Brouillard ventes'!$F$282="",'Brouillard ventes'!$J$282="À crédit",'Brouillard ventes'!$J$282=""),"","EC"&amp;TEXT(ROW('Brouillard ventes'!$F$282)-5,"00000"))</f>
        <v/>
      </c>
      <c r="C554" s="22">
        <f>IF(OR('Brouillard ventes'!$F$282="",'Brouillard ventes'!$J$282="À crédit",'Brouillard ventes'!$J$282=""),"",YEAR('Brouillard ventes'!$A$282)*10000+MONTH('Brouillard ventes'!$A$282)*100+DAY('Brouillard ventes'!$A$282))</f>
        <v/>
      </c>
      <c r="D554" s="22">
        <f>IF(OR('Brouillard ventes'!$F$282="",'Brouillard ventes'!$J$282="À crédit",'Brouillard ventes'!$J$282=""),"",'Brouillard ventes'!$B$282)</f>
        <v/>
      </c>
      <c r="E554" s="22">
        <f>IF(OR('Brouillard ventes'!$F$282="",'Brouillard ventes'!$J$282="À crédit",'Brouillard ventes'!$J$282=""),"","REGL "&amp;LEFT('Brouillard ventes'!$D$282,25))</f>
        <v/>
      </c>
      <c r="F554" s="22">
        <f>IF(OR('Brouillard ventes'!$F$282="",'Brouillard ventes'!$J$282="À crédit",'Brouillard ventes'!$J$282=""),"",IF('Brouillard ventes'!$J$282="Espèces","04001","02001"))</f>
        <v/>
      </c>
      <c r="G554" s="22">
        <f>IF(OR('Brouillard ventes'!$F$282="",'Brouillard ventes'!$J$282="À crédit",'Brouillard ventes'!$J$282=""),"",IF('Brouillard ventes'!$J$282="Espèces","53000","51220"))</f>
        <v/>
      </c>
      <c r="H554" s="22" t="inlineStr"/>
      <c r="I554" s="22" t="inlineStr"/>
      <c r="J554" s="22" t="inlineStr"/>
      <c r="K554" s="22">
        <f>IF(OR('Brouillard ventes'!$F$282="",'Brouillard ventes'!$J$282="À crédit",'Brouillard ventes'!$J$282=""),"",Paramètres!$B$11)</f>
        <v/>
      </c>
      <c r="L554" s="23">
        <f>IF(OR('Brouillard ventes'!$F$282="",'Brouillard ventes'!$J$282="À crédit",'Brouillard ventes'!$J$282=""),0,'Brouillard ventes'!$I$282)</f>
        <v/>
      </c>
      <c r="M554" s="23" t="n">
        <v>0</v>
      </c>
    </row>
    <row r="555">
      <c r="A555" s="22" t="inlineStr">
        <is>
          <t>1</t>
        </is>
      </c>
      <c r="B555" s="22">
        <f>IF(OR('Brouillard ventes'!$F$282="",'Brouillard ventes'!$J$282="À crédit",'Brouillard ventes'!$J$282=""),"","EC"&amp;TEXT(ROW('Brouillard ventes'!$F$282)-5,"00000"))</f>
        <v/>
      </c>
      <c r="C555" s="22">
        <f>IF(OR('Brouillard ventes'!$F$282="",'Brouillard ventes'!$J$282="À crédit",'Brouillard ventes'!$J$282=""),"",YEAR('Brouillard ventes'!$A$282)*10000+MONTH('Brouillard ventes'!$A$282)*100+DAY('Brouillard ventes'!$A$282))</f>
        <v/>
      </c>
      <c r="D555" s="22">
        <f>IF(OR('Brouillard ventes'!$F$282="",'Brouillard ventes'!$J$282="À crédit",'Brouillard ventes'!$J$282=""),"",'Brouillard ventes'!$B$282)</f>
        <v/>
      </c>
      <c r="E555" s="22">
        <f>IF(OR('Brouillard ventes'!$F$282="",'Brouillard ventes'!$J$282="À crédit",'Brouillard ventes'!$J$282=""),"","REGL "&amp;LEFT('Brouillard ventes'!$D$282,25))</f>
        <v/>
      </c>
      <c r="F555" s="22">
        <f>IF(OR('Brouillard ventes'!$F$282="",'Brouillard ventes'!$J$282="À crédit",'Brouillard ventes'!$J$282=""),"",IF('Brouillard ventes'!$J$282="Espèces","04001","02001"))</f>
        <v/>
      </c>
      <c r="G555" s="22">
        <f>IF(OR('Brouillard ventes'!$F$282="",'Brouillard ventes'!$J$282="À crédit",'Brouillard ventes'!$J$282=""),"",Paramètres!$B$7)</f>
        <v/>
      </c>
      <c r="H555" s="22">
        <f>IF(OR('Brouillard ventes'!$F$282="",'Brouillard ventes'!$J$282="À crédit",'Brouillard ventes'!$J$282=""),"",IF('Brouillard ventes'!$C$282="","CD001",'Brouillard ventes'!$C$282))</f>
        <v/>
      </c>
      <c r="I555" s="22" t="inlineStr"/>
      <c r="J555" s="22" t="inlineStr"/>
      <c r="K555" s="22">
        <f>IF(OR('Brouillard ventes'!$F$282="",'Brouillard ventes'!$J$282="À crédit",'Brouillard ventes'!$J$282=""),"",Paramètres!$B$11)</f>
        <v/>
      </c>
      <c r="L555" s="23" t="n">
        <v>0</v>
      </c>
      <c r="M555" s="23">
        <f>IF(OR('Brouillard ventes'!$F$282="",'Brouillard ventes'!$J$282="À crédit",'Brouillard ventes'!$J$282=""),0,'Brouillard ventes'!$I$282)</f>
        <v/>
      </c>
    </row>
    <row r="556">
      <c r="A556" s="22" t="inlineStr">
        <is>
          <t>1</t>
        </is>
      </c>
      <c r="B556" s="22">
        <f>IF(OR('Brouillard ventes'!$F$283="",'Brouillard ventes'!$J$283="À crédit",'Brouillard ventes'!$J$283=""),"","EC"&amp;TEXT(ROW('Brouillard ventes'!$F$283)-5,"00000"))</f>
        <v/>
      </c>
      <c r="C556" s="22">
        <f>IF(OR('Brouillard ventes'!$F$283="",'Brouillard ventes'!$J$283="À crédit",'Brouillard ventes'!$J$283=""),"",YEAR('Brouillard ventes'!$A$283)*10000+MONTH('Brouillard ventes'!$A$283)*100+DAY('Brouillard ventes'!$A$283))</f>
        <v/>
      </c>
      <c r="D556" s="22">
        <f>IF(OR('Brouillard ventes'!$F$283="",'Brouillard ventes'!$J$283="À crédit",'Brouillard ventes'!$J$283=""),"",'Brouillard ventes'!$B$283)</f>
        <v/>
      </c>
      <c r="E556" s="22">
        <f>IF(OR('Brouillard ventes'!$F$283="",'Brouillard ventes'!$J$283="À crédit",'Brouillard ventes'!$J$283=""),"","REGL "&amp;LEFT('Brouillard ventes'!$D$283,25))</f>
        <v/>
      </c>
      <c r="F556" s="22">
        <f>IF(OR('Brouillard ventes'!$F$283="",'Brouillard ventes'!$J$283="À crédit",'Brouillard ventes'!$J$283=""),"",IF('Brouillard ventes'!$J$283="Espèces","04001","02001"))</f>
        <v/>
      </c>
      <c r="G556" s="22">
        <f>IF(OR('Brouillard ventes'!$F$283="",'Brouillard ventes'!$J$283="À crédit",'Brouillard ventes'!$J$283=""),"",IF('Brouillard ventes'!$J$283="Espèces","53000","51220"))</f>
        <v/>
      </c>
      <c r="H556" s="22" t="inlineStr"/>
      <c r="I556" s="22" t="inlineStr"/>
      <c r="J556" s="22" t="inlineStr"/>
      <c r="K556" s="22">
        <f>IF(OR('Brouillard ventes'!$F$283="",'Brouillard ventes'!$J$283="À crédit",'Brouillard ventes'!$J$283=""),"",Paramètres!$B$11)</f>
        <v/>
      </c>
      <c r="L556" s="23">
        <f>IF(OR('Brouillard ventes'!$F$283="",'Brouillard ventes'!$J$283="À crédit",'Brouillard ventes'!$J$283=""),0,'Brouillard ventes'!$I$283)</f>
        <v/>
      </c>
      <c r="M556" s="23" t="n">
        <v>0</v>
      </c>
    </row>
    <row r="557">
      <c r="A557" s="22" t="inlineStr">
        <is>
          <t>1</t>
        </is>
      </c>
      <c r="B557" s="22">
        <f>IF(OR('Brouillard ventes'!$F$283="",'Brouillard ventes'!$J$283="À crédit",'Brouillard ventes'!$J$283=""),"","EC"&amp;TEXT(ROW('Brouillard ventes'!$F$283)-5,"00000"))</f>
        <v/>
      </c>
      <c r="C557" s="22">
        <f>IF(OR('Brouillard ventes'!$F$283="",'Brouillard ventes'!$J$283="À crédit",'Brouillard ventes'!$J$283=""),"",YEAR('Brouillard ventes'!$A$283)*10000+MONTH('Brouillard ventes'!$A$283)*100+DAY('Brouillard ventes'!$A$283))</f>
        <v/>
      </c>
      <c r="D557" s="22">
        <f>IF(OR('Brouillard ventes'!$F$283="",'Brouillard ventes'!$J$283="À crédit",'Brouillard ventes'!$J$283=""),"",'Brouillard ventes'!$B$283)</f>
        <v/>
      </c>
      <c r="E557" s="22">
        <f>IF(OR('Brouillard ventes'!$F$283="",'Brouillard ventes'!$J$283="À crédit",'Brouillard ventes'!$J$283=""),"","REGL "&amp;LEFT('Brouillard ventes'!$D$283,25))</f>
        <v/>
      </c>
      <c r="F557" s="22">
        <f>IF(OR('Brouillard ventes'!$F$283="",'Brouillard ventes'!$J$283="À crédit",'Brouillard ventes'!$J$283=""),"",IF('Brouillard ventes'!$J$283="Espèces","04001","02001"))</f>
        <v/>
      </c>
      <c r="G557" s="22">
        <f>IF(OR('Brouillard ventes'!$F$283="",'Brouillard ventes'!$J$283="À crédit",'Brouillard ventes'!$J$283=""),"",Paramètres!$B$7)</f>
        <v/>
      </c>
      <c r="H557" s="22">
        <f>IF(OR('Brouillard ventes'!$F$283="",'Brouillard ventes'!$J$283="À crédit",'Brouillard ventes'!$J$283=""),"",IF('Brouillard ventes'!$C$283="","CD001",'Brouillard ventes'!$C$283))</f>
        <v/>
      </c>
      <c r="I557" s="22" t="inlineStr"/>
      <c r="J557" s="22" t="inlineStr"/>
      <c r="K557" s="22">
        <f>IF(OR('Brouillard ventes'!$F$283="",'Brouillard ventes'!$J$283="À crédit",'Brouillard ventes'!$J$283=""),"",Paramètres!$B$11)</f>
        <v/>
      </c>
      <c r="L557" s="23" t="n">
        <v>0</v>
      </c>
      <c r="M557" s="23">
        <f>IF(OR('Brouillard ventes'!$F$283="",'Brouillard ventes'!$J$283="À crédit",'Brouillard ventes'!$J$283=""),0,'Brouillard ventes'!$I$283)</f>
        <v/>
      </c>
    </row>
    <row r="558">
      <c r="A558" s="22" t="inlineStr">
        <is>
          <t>1</t>
        </is>
      </c>
      <c r="B558" s="22">
        <f>IF(OR('Brouillard ventes'!$F$284="",'Brouillard ventes'!$J$284="À crédit",'Brouillard ventes'!$J$284=""),"","EC"&amp;TEXT(ROW('Brouillard ventes'!$F$284)-5,"00000"))</f>
        <v/>
      </c>
      <c r="C558" s="22">
        <f>IF(OR('Brouillard ventes'!$F$284="",'Brouillard ventes'!$J$284="À crédit",'Brouillard ventes'!$J$284=""),"",YEAR('Brouillard ventes'!$A$284)*10000+MONTH('Brouillard ventes'!$A$284)*100+DAY('Brouillard ventes'!$A$284))</f>
        <v/>
      </c>
      <c r="D558" s="22">
        <f>IF(OR('Brouillard ventes'!$F$284="",'Brouillard ventes'!$J$284="À crédit",'Brouillard ventes'!$J$284=""),"",'Brouillard ventes'!$B$284)</f>
        <v/>
      </c>
      <c r="E558" s="22">
        <f>IF(OR('Brouillard ventes'!$F$284="",'Brouillard ventes'!$J$284="À crédit",'Brouillard ventes'!$J$284=""),"","REGL "&amp;LEFT('Brouillard ventes'!$D$284,25))</f>
        <v/>
      </c>
      <c r="F558" s="22">
        <f>IF(OR('Brouillard ventes'!$F$284="",'Brouillard ventes'!$J$284="À crédit",'Brouillard ventes'!$J$284=""),"",IF('Brouillard ventes'!$J$284="Espèces","04001","02001"))</f>
        <v/>
      </c>
      <c r="G558" s="22">
        <f>IF(OR('Brouillard ventes'!$F$284="",'Brouillard ventes'!$J$284="À crédit",'Brouillard ventes'!$J$284=""),"",IF('Brouillard ventes'!$J$284="Espèces","53000","51220"))</f>
        <v/>
      </c>
      <c r="H558" s="22" t="inlineStr"/>
      <c r="I558" s="22" t="inlineStr"/>
      <c r="J558" s="22" t="inlineStr"/>
      <c r="K558" s="22">
        <f>IF(OR('Brouillard ventes'!$F$284="",'Brouillard ventes'!$J$284="À crédit",'Brouillard ventes'!$J$284=""),"",Paramètres!$B$11)</f>
        <v/>
      </c>
      <c r="L558" s="23">
        <f>IF(OR('Brouillard ventes'!$F$284="",'Brouillard ventes'!$J$284="À crédit",'Brouillard ventes'!$J$284=""),0,'Brouillard ventes'!$I$284)</f>
        <v/>
      </c>
      <c r="M558" s="23" t="n">
        <v>0</v>
      </c>
    </row>
    <row r="559">
      <c r="A559" s="22" t="inlineStr">
        <is>
          <t>1</t>
        </is>
      </c>
      <c r="B559" s="22">
        <f>IF(OR('Brouillard ventes'!$F$284="",'Brouillard ventes'!$J$284="À crédit",'Brouillard ventes'!$J$284=""),"","EC"&amp;TEXT(ROW('Brouillard ventes'!$F$284)-5,"00000"))</f>
        <v/>
      </c>
      <c r="C559" s="22">
        <f>IF(OR('Brouillard ventes'!$F$284="",'Brouillard ventes'!$J$284="À crédit",'Brouillard ventes'!$J$284=""),"",YEAR('Brouillard ventes'!$A$284)*10000+MONTH('Brouillard ventes'!$A$284)*100+DAY('Brouillard ventes'!$A$284))</f>
        <v/>
      </c>
      <c r="D559" s="22">
        <f>IF(OR('Brouillard ventes'!$F$284="",'Brouillard ventes'!$J$284="À crédit",'Brouillard ventes'!$J$284=""),"",'Brouillard ventes'!$B$284)</f>
        <v/>
      </c>
      <c r="E559" s="22">
        <f>IF(OR('Brouillard ventes'!$F$284="",'Brouillard ventes'!$J$284="À crédit",'Brouillard ventes'!$J$284=""),"","REGL "&amp;LEFT('Brouillard ventes'!$D$284,25))</f>
        <v/>
      </c>
      <c r="F559" s="22">
        <f>IF(OR('Brouillard ventes'!$F$284="",'Brouillard ventes'!$J$284="À crédit",'Brouillard ventes'!$J$284=""),"",IF('Brouillard ventes'!$J$284="Espèces","04001","02001"))</f>
        <v/>
      </c>
      <c r="G559" s="22">
        <f>IF(OR('Brouillard ventes'!$F$284="",'Brouillard ventes'!$J$284="À crédit",'Brouillard ventes'!$J$284=""),"",Paramètres!$B$7)</f>
        <v/>
      </c>
      <c r="H559" s="22">
        <f>IF(OR('Brouillard ventes'!$F$284="",'Brouillard ventes'!$J$284="À crédit",'Brouillard ventes'!$J$284=""),"",IF('Brouillard ventes'!$C$284="","CD001",'Brouillard ventes'!$C$284))</f>
        <v/>
      </c>
      <c r="I559" s="22" t="inlineStr"/>
      <c r="J559" s="22" t="inlineStr"/>
      <c r="K559" s="22">
        <f>IF(OR('Brouillard ventes'!$F$284="",'Brouillard ventes'!$J$284="À crédit",'Brouillard ventes'!$J$284=""),"",Paramètres!$B$11)</f>
        <v/>
      </c>
      <c r="L559" s="23" t="n">
        <v>0</v>
      </c>
      <c r="M559" s="23">
        <f>IF(OR('Brouillard ventes'!$F$284="",'Brouillard ventes'!$J$284="À crédit",'Brouillard ventes'!$J$284=""),0,'Brouillard ventes'!$I$284)</f>
        <v/>
      </c>
    </row>
    <row r="560">
      <c r="A560" s="22" t="inlineStr">
        <is>
          <t>1</t>
        </is>
      </c>
      <c r="B560" s="22">
        <f>IF(OR('Brouillard ventes'!$F$285="",'Brouillard ventes'!$J$285="À crédit",'Brouillard ventes'!$J$285=""),"","EC"&amp;TEXT(ROW('Brouillard ventes'!$F$285)-5,"00000"))</f>
        <v/>
      </c>
      <c r="C560" s="22">
        <f>IF(OR('Brouillard ventes'!$F$285="",'Brouillard ventes'!$J$285="À crédit",'Brouillard ventes'!$J$285=""),"",YEAR('Brouillard ventes'!$A$285)*10000+MONTH('Brouillard ventes'!$A$285)*100+DAY('Brouillard ventes'!$A$285))</f>
        <v/>
      </c>
      <c r="D560" s="22">
        <f>IF(OR('Brouillard ventes'!$F$285="",'Brouillard ventes'!$J$285="À crédit",'Brouillard ventes'!$J$285=""),"",'Brouillard ventes'!$B$285)</f>
        <v/>
      </c>
      <c r="E560" s="22">
        <f>IF(OR('Brouillard ventes'!$F$285="",'Brouillard ventes'!$J$285="À crédit",'Brouillard ventes'!$J$285=""),"","REGL "&amp;LEFT('Brouillard ventes'!$D$285,25))</f>
        <v/>
      </c>
      <c r="F560" s="22">
        <f>IF(OR('Brouillard ventes'!$F$285="",'Brouillard ventes'!$J$285="À crédit",'Brouillard ventes'!$J$285=""),"",IF('Brouillard ventes'!$J$285="Espèces","04001","02001"))</f>
        <v/>
      </c>
      <c r="G560" s="22">
        <f>IF(OR('Brouillard ventes'!$F$285="",'Brouillard ventes'!$J$285="À crédit",'Brouillard ventes'!$J$285=""),"",IF('Brouillard ventes'!$J$285="Espèces","53000","51220"))</f>
        <v/>
      </c>
      <c r="H560" s="22" t="inlineStr"/>
      <c r="I560" s="22" t="inlineStr"/>
      <c r="J560" s="22" t="inlineStr"/>
      <c r="K560" s="22">
        <f>IF(OR('Brouillard ventes'!$F$285="",'Brouillard ventes'!$J$285="À crédit",'Brouillard ventes'!$J$285=""),"",Paramètres!$B$11)</f>
        <v/>
      </c>
      <c r="L560" s="23">
        <f>IF(OR('Brouillard ventes'!$F$285="",'Brouillard ventes'!$J$285="À crédit",'Brouillard ventes'!$J$285=""),0,'Brouillard ventes'!$I$285)</f>
        <v/>
      </c>
      <c r="M560" s="23" t="n">
        <v>0</v>
      </c>
    </row>
    <row r="561">
      <c r="A561" s="22" t="inlineStr">
        <is>
          <t>1</t>
        </is>
      </c>
      <c r="B561" s="22">
        <f>IF(OR('Brouillard ventes'!$F$285="",'Brouillard ventes'!$J$285="À crédit",'Brouillard ventes'!$J$285=""),"","EC"&amp;TEXT(ROW('Brouillard ventes'!$F$285)-5,"00000"))</f>
        <v/>
      </c>
      <c r="C561" s="22">
        <f>IF(OR('Brouillard ventes'!$F$285="",'Brouillard ventes'!$J$285="À crédit",'Brouillard ventes'!$J$285=""),"",YEAR('Brouillard ventes'!$A$285)*10000+MONTH('Brouillard ventes'!$A$285)*100+DAY('Brouillard ventes'!$A$285))</f>
        <v/>
      </c>
      <c r="D561" s="22">
        <f>IF(OR('Brouillard ventes'!$F$285="",'Brouillard ventes'!$J$285="À crédit",'Brouillard ventes'!$J$285=""),"",'Brouillard ventes'!$B$285)</f>
        <v/>
      </c>
      <c r="E561" s="22">
        <f>IF(OR('Brouillard ventes'!$F$285="",'Brouillard ventes'!$J$285="À crédit",'Brouillard ventes'!$J$285=""),"","REGL "&amp;LEFT('Brouillard ventes'!$D$285,25))</f>
        <v/>
      </c>
      <c r="F561" s="22">
        <f>IF(OR('Brouillard ventes'!$F$285="",'Brouillard ventes'!$J$285="À crédit",'Brouillard ventes'!$J$285=""),"",IF('Brouillard ventes'!$J$285="Espèces","04001","02001"))</f>
        <v/>
      </c>
      <c r="G561" s="22">
        <f>IF(OR('Brouillard ventes'!$F$285="",'Brouillard ventes'!$J$285="À crédit",'Brouillard ventes'!$J$285=""),"",Paramètres!$B$7)</f>
        <v/>
      </c>
      <c r="H561" s="22">
        <f>IF(OR('Brouillard ventes'!$F$285="",'Brouillard ventes'!$J$285="À crédit",'Brouillard ventes'!$J$285=""),"",IF('Brouillard ventes'!$C$285="","CD001",'Brouillard ventes'!$C$285))</f>
        <v/>
      </c>
      <c r="I561" s="22" t="inlineStr"/>
      <c r="J561" s="22" t="inlineStr"/>
      <c r="K561" s="22">
        <f>IF(OR('Brouillard ventes'!$F$285="",'Brouillard ventes'!$J$285="À crédit",'Brouillard ventes'!$J$285=""),"",Paramètres!$B$11)</f>
        <v/>
      </c>
      <c r="L561" s="23" t="n">
        <v>0</v>
      </c>
      <c r="M561" s="23">
        <f>IF(OR('Brouillard ventes'!$F$285="",'Brouillard ventes'!$J$285="À crédit",'Brouillard ventes'!$J$285=""),0,'Brouillard ventes'!$I$285)</f>
        <v/>
      </c>
    </row>
    <row r="562">
      <c r="A562" s="22" t="inlineStr">
        <is>
          <t>1</t>
        </is>
      </c>
      <c r="B562" s="22">
        <f>IF(OR('Brouillard ventes'!$F$286="",'Brouillard ventes'!$J$286="À crédit",'Brouillard ventes'!$J$286=""),"","EC"&amp;TEXT(ROW('Brouillard ventes'!$F$286)-5,"00000"))</f>
        <v/>
      </c>
      <c r="C562" s="22">
        <f>IF(OR('Brouillard ventes'!$F$286="",'Brouillard ventes'!$J$286="À crédit",'Brouillard ventes'!$J$286=""),"",YEAR('Brouillard ventes'!$A$286)*10000+MONTH('Brouillard ventes'!$A$286)*100+DAY('Brouillard ventes'!$A$286))</f>
        <v/>
      </c>
      <c r="D562" s="22">
        <f>IF(OR('Brouillard ventes'!$F$286="",'Brouillard ventes'!$J$286="À crédit",'Brouillard ventes'!$J$286=""),"",'Brouillard ventes'!$B$286)</f>
        <v/>
      </c>
      <c r="E562" s="22">
        <f>IF(OR('Brouillard ventes'!$F$286="",'Brouillard ventes'!$J$286="À crédit",'Brouillard ventes'!$J$286=""),"","REGL "&amp;LEFT('Brouillard ventes'!$D$286,25))</f>
        <v/>
      </c>
      <c r="F562" s="22">
        <f>IF(OR('Brouillard ventes'!$F$286="",'Brouillard ventes'!$J$286="À crédit",'Brouillard ventes'!$J$286=""),"",IF('Brouillard ventes'!$J$286="Espèces","04001","02001"))</f>
        <v/>
      </c>
      <c r="G562" s="22">
        <f>IF(OR('Brouillard ventes'!$F$286="",'Brouillard ventes'!$J$286="À crédit",'Brouillard ventes'!$J$286=""),"",IF('Brouillard ventes'!$J$286="Espèces","53000","51220"))</f>
        <v/>
      </c>
      <c r="H562" s="22" t="inlineStr"/>
      <c r="I562" s="22" t="inlineStr"/>
      <c r="J562" s="22" t="inlineStr"/>
      <c r="K562" s="22">
        <f>IF(OR('Brouillard ventes'!$F$286="",'Brouillard ventes'!$J$286="À crédit",'Brouillard ventes'!$J$286=""),"",Paramètres!$B$11)</f>
        <v/>
      </c>
      <c r="L562" s="23">
        <f>IF(OR('Brouillard ventes'!$F$286="",'Brouillard ventes'!$J$286="À crédit",'Brouillard ventes'!$J$286=""),0,'Brouillard ventes'!$I$286)</f>
        <v/>
      </c>
      <c r="M562" s="23" t="n">
        <v>0</v>
      </c>
    </row>
    <row r="563">
      <c r="A563" s="22" t="inlineStr">
        <is>
          <t>1</t>
        </is>
      </c>
      <c r="B563" s="22">
        <f>IF(OR('Brouillard ventes'!$F$286="",'Brouillard ventes'!$J$286="À crédit",'Brouillard ventes'!$J$286=""),"","EC"&amp;TEXT(ROW('Brouillard ventes'!$F$286)-5,"00000"))</f>
        <v/>
      </c>
      <c r="C563" s="22">
        <f>IF(OR('Brouillard ventes'!$F$286="",'Brouillard ventes'!$J$286="À crédit",'Brouillard ventes'!$J$286=""),"",YEAR('Brouillard ventes'!$A$286)*10000+MONTH('Brouillard ventes'!$A$286)*100+DAY('Brouillard ventes'!$A$286))</f>
        <v/>
      </c>
      <c r="D563" s="22">
        <f>IF(OR('Brouillard ventes'!$F$286="",'Brouillard ventes'!$J$286="À crédit",'Brouillard ventes'!$J$286=""),"",'Brouillard ventes'!$B$286)</f>
        <v/>
      </c>
      <c r="E563" s="22">
        <f>IF(OR('Brouillard ventes'!$F$286="",'Brouillard ventes'!$J$286="À crédit",'Brouillard ventes'!$J$286=""),"","REGL "&amp;LEFT('Brouillard ventes'!$D$286,25))</f>
        <v/>
      </c>
      <c r="F563" s="22">
        <f>IF(OR('Brouillard ventes'!$F$286="",'Brouillard ventes'!$J$286="À crédit",'Brouillard ventes'!$J$286=""),"",IF('Brouillard ventes'!$J$286="Espèces","04001","02001"))</f>
        <v/>
      </c>
      <c r="G563" s="22">
        <f>IF(OR('Brouillard ventes'!$F$286="",'Brouillard ventes'!$J$286="À crédit",'Brouillard ventes'!$J$286=""),"",Paramètres!$B$7)</f>
        <v/>
      </c>
      <c r="H563" s="22">
        <f>IF(OR('Brouillard ventes'!$F$286="",'Brouillard ventes'!$J$286="À crédit",'Brouillard ventes'!$J$286=""),"",IF('Brouillard ventes'!$C$286="","CD001",'Brouillard ventes'!$C$286))</f>
        <v/>
      </c>
      <c r="I563" s="22" t="inlineStr"/>
      <c r="J563" s="22" t="inlineStr"/>
      <c r="K563" s="22">
        <f>IF(OR('Brouillard ventes'!$F$286="",'Brouillard ventes'!$J$286="À crédit",'Brouillard ventes'!$J$286=""),"",Paramètres!$B$11)</f>
        <v/>
      </c>
      <c r="L563" s="23" t="n">
        <v>0</v>
      </c>
      <c r="M563" s="23">
        <f>IF(OR('Brouillard ventes'!$F$286="",'Brouillard ventes'!$J$286="À crédit",'Brouillard ventes'!$J$286=""),0,'Brouillard ventes'!$I$286)</f>
        <v/>
      </c>
    </row>
    <row r="564">
      <c r="A564" s="22" t="inlineStr">
        <is>
          <t>1</t>
        </is>
      </c>
      <c r="B564" s="22">
        <f>IF(OR('Brouillard ventes'!$F$287="",'Brouillard ventes'!$J$287="À crédit",'Brouillard ventes'!$J$287=""),"","EC"&amp;TEXT(ROW('Brouillard ventes'!$F$287)-5,"00000"))</f>
        <v/>
      </c>
      <c r="C564" s="22">
        <f>IF(OR('Brouillard ventes'!$F$287="",'Brouillard ventes'!$J$287="À crédit",'Brouillard ventes'!$J$287=""),"",YEAR('Brouillard ventes'!$A$287)*10000+MONTH('Brouillard ventes'!$A$287)*100+DAY('Brouillard ventes'!$A$287))</f>
        <v/>
      </c>
      <c r="D564" s="22">
        <f>IF(OR('Brouillard ventes'!$F$287="",'Brouillard ventes'!$J$287="À crédit",'Brouillard ventes'!$J$287=""),"",'Brouillard ventes'!$B$287)</f>
        <v/>
      </c>
      <c r="E564" s="22">
        <f>IF(OR('Brouillard ventes'!$F$287="",'Brouillard ventes'!$J$287="À crédit",'Brouillard ventes'!$J$287=""),"","REGL "&amp;LEFT('Brouillard ventes'!$D$287,25))</f>
        <v/>
      </c>
      <c r="F564" s="22">
        <f>IF(OR('Brouillard ventes'!$F$287="",'Brouillard ventes'!$J$287="À crédit",'Brouillard ventes'!$J$287=""),"",IF('Brouillard ventes'!$J$287="Espèces","04001","02001"))</f>
        <v/>
      </c>
      <c r="G564" s="22">
        <f>IF(OR('Brouillard ventes'!$F$287="",'Brouillard ventes'!$J$287="À crédit",'Brouillard ventes'!$J$287=""),"",IF('Brouillard ventes'!$J$287="Espèces","53000","51220"))</f>
        <v/>
      </c>
      <c r="H564" s="22" t="inlineStr"/>
      <c r="I564" s="22" t="inlineStr"/>
      <c r="J564" s="22" t="inlineStr"/>
      <c r="K564" s="22">
        <f>IF(OR('Brouillard ventes'!$F$287="",'Brouillard ventes'!$J$287="À crédit",'Brouillard ventes'!$J$287=""),"",Paramètres!$B$11)</f>
        <v/>
      </c>
      <c r="L564" s="23">
        <f>IF(OR('Brouillard ventes'!$F$287="",'Brouillard ventes'!$J$287="À crédit",'Brouillard ventes'!$J$287=""),0,'Brouillard ventes'!$I$287)</f>
        <v/>
      </c>
      <c r="M564" s="23" t="n">
        <v>0</v>
      </c>
    </row>
    <row r="565">
      <c r="A565" s="22" t="inlineStr">
        <is>
          <t>1</t>
        </is>
      </c>
      <c r="B565" s="22">
        <f>IF(OR('Brouillard ventes'!$F$287="",'Brouillard ventes'!$J$287="À crédit",'Brouillard ventes'!$J$287=""),"","EC"&amp;TEXT(ROW('Brouillard ventes'!$F$287)-5,"00000"))</f>
        <v/>
      </c>
      <c r="C565" s="22">
        <f>IF(OR('Brouillard ventes'!$F$287="",'Brouillard ventes'!$J$287="À crédit",'Brouillard ventes'!$J$287=""),"",YEAR('Brouillard ventes'!$A$287)*10000+MONTH('Brouillard ventes'!$A$287)*100+DAY('Brouillard ventes'!$A$287))</f>
        <v/>
      </c>
      <c r="D565" s="22">
        <f>IF(OR('Brouillard ventes'!$F$287="",'Brouillard ventes'!$J$287="À crédit",'Brouillard ventes'!$J$287=""),"",'Brouillard ventes'!$B$287)</f>
        <v/>
      </c>
      <c r="E565" s="22">
        <f>IF(OR('Brouillard ventes'!$F$287="",'Brouillard ventes'!$J$287="À crédit",'Brouillard ventes'!$J$287=""),"","REGL "&amp;LEFT('Brouillard ventes'!$D$287,25))</f>
        <v/>
      </c>
      <c r="F565" s="22">
        <f>IF(OR('Brouillard ventes'!$F$287="",'Brouillard ventes'!$J$287="À crédit",'Brouillard ventes'!$J$287=""),"",IF('Brouillard ventes'!$J$287="Espèces","04001","02001"))</f>
        <v/>
      </c>
      <c r="G565" s="22">
        <f>IF(OR('Brouillard ventes'!$F$287="",'Brouillard ventes'!$J$287="À crédit",'Brouillard ventes'!$J$287=""),"",Paramètres!$B$7)</f>
        <v/>
      </c>
      <c r="H565" s="22">
        <f>IF(OR('Brouillard ventes'!$F$287="",'Brouillard ventes'!$J$287="À crédit",'Brouillard ventes'!$J$287=""),"",IF('Brouillard ventes'!$C$287="","CD001",'Brouillard ventes'!$C$287))</f>
        <v/>
      </c>
      <c r="I565" s="22" t="inlineStr"/>
      <c r="J565" s="22" t="inlineStr"/>
      <c r="K565" s="22">
        <f>IF(OR('Brouillard ventes'!$F$287="",'Brouillard ventes'!$J$287="À crédit",'Brouillard ventes'!$J$287=""),"",Paramètres!$B$11)</f>
        <v/>
      </c>
      <c r="L565" s="23" t="n">
        <v>0</v>
      </c>
      <c r="M565" s="23">
        <f>IF(OR('Brouillard ventes'!$F$287="",'Brouillard ventes'!$J$287="À crédit",'Brouillard ventes'!$J$287=""),0,'Brouillard ventes'!$I$287)</f>
        <v/>
      </c>
    </row>
    <row r="566">
      <c r="A566" s="22" t="inlineStr">
        <is>
          <t>1</t>
        </is>
      </c>
      <c r="B566" s="22">
        <f>IF(OR('Brouillard ventes'!$F$288="",'Brouillard ventes'!$J$288="À crédit",'Brouillard ventes'!$J$288=""),"","EC"&amp;TEXT(ROW('Brouillard ventes'!$F$288)-5,"00000"))</f>
        <v/>
      </c>
      <c r="C566" s="22">
        <f>IF(OR('Brouillard ventes'!$F$288="",'Brouillard ventes'!$J$288="À crédit",'Brouillard ventes'!$J$288=""),"",YEAR('Brouillard ventes'!$A$288)*10000+MONTH('Brouillard ventes'!$A$288)*100+DAY('Brouillard ventes'!$A$288))</f>
        <v/>
      </c>
      <c r="D566" s="22">
        <f>IF(OR('Brouillard ventes'!$F$288="",'Brouillard ventes'!$J$288="À crédit",'Brouillard ventes'!$J$288=""),"",'Brouillard ventes'!$B$288)</f>
        <v/>
      </c>
      <c r="E566" s="22">
        <f>IF(OR('Brouillard ventes'!$F$288="",'Brouillard ventes'!$J$288="À crédit",'Brouillard ventes'!$J$288=""),"","REGL "&amp;LEFT('Brouillard ventes'!$D$288,25))</f>
        <v/>
      </c>
      <c r="F566" s="22">
        <f>IF(OR('Brouillard ventes'!$F$288="",'Brouillard ventes'!$J$288="À crédit",'Brouillard ventes'!$J$288=""),"",IF('Brouillard ventes'!$J$288="Espèces","04001","02001"))</f>
        <v/>
      </c>
      <c r="G566" s="22">
        <f>IF(OR('Brouillard ventes'!$F$288="",'Brouillard ventes'!$J$288="À crédit",'Brouillard ventes'!$J$288=""),"",IF('Brouillard ventes'!$J$288="Espèces","53000","51220"))</f>
        <v/>
      </c>
      <c r="H566" s="22" t="inlineStr"/>
      <c r="I566" s="22" t="inlineStr"/>
      <c r="J566" s="22" t="inlineStr"/>
      <c r="K566" s="22">
        <f>IF(OR('Brouillard ventes'!$F$288="",'Brouillard ventes'!$J$288="À crédit",'Brouillard ventes'!$J$288=""),"",Paramètres!$B$11)</f>
        <v/>
      </c>
      <c r="L566" s="23">
        <f>IF(OR('Brouillard ventes'!$F$288="",'Brouillard ventes'!$J$288="À crédit",'Brouillard ventes'!$J$288=""),0,'Brouillard ventes'!$I$288)</f>
        <v/>
      </c>
      <c r="M566" s="23" t="n">
        <v>0</v>
      </c>
    </row>
    <row r="567">
      <c r="A567" s="22" t="inlineStr">
        <is>
          <t>1</t>
        </is>
      </c>
      <c r="B567" s="22">
        <f>IF(OR('Brouillard ventes'!$F$288="",'Brouillard ventes'!$J$288="À crédit",'Brouillard ventes'!$J$288=""),"","EC"&amp;TEXT(ROW('Brouillard ventes'!$F$288)-5,"00000"))</f>
        <v/>
      </c>
      <c r="C567" s="22">
        <f>IF(OR('Brouillard ventes'!$F$288="",'Brouillard ventes'!$J$288="À crédit",'Brouillard ventes'!$J$288=""),"",YEAR('Brouillard ventes'!$A$288)*10000+MONTH('Brouillard ventes'!$A$288)*100+DAY('Brouillard ventes'!$A$288))</f>
        <v/>
      </c>
      <c r="D567" s="22">
        <f>IF(OR('Brouillard ventes'!$F$288="",'Brouillard ventes'!$J$288="À crédit",'Brouillard ventes'!$J$288=""),"",'Brouillard ventes'!$B$288)</f>
        <v/>
      </c>
      <c r="E567" s="22">
        <f>IF(OR('Brouillard ventes'!$F$288="",'Brouillard ventes'!$J$288="À crédit",'Brouillard ventes'!$J$288=""),"","REGL "&amp;LEFT('Brouillard ventes'!$D$288,25))</f>
        <v/>
      </c>
      <c r="F567" s="22">
        <f>IF(OR('Brouillard ventes'!$F$288="",'Brouillard ventes'!$J$288="À crédit",'Brouillard ventes'!$J$288=""),"",IF('Brouillard ventes'!$J$288="Espèces","04001","02001"))</f>
        <v/>
      </c>
      <c r="G567" s="22">
        <f>IF(OR('Brouillard ventes'!$F$288="",'Brouillard ventes'!$J$288="À crédit",'Brouillard ventes'!$J$288=""),"",Paramètres!$B$7)</f>
        <v/>
      </c>
      <c r="H567" s="22">
        <f>IF(OR('Brouillard ventes'!$F$288="",'Brouillard ventes'!$J$288="À crédit",'Brouillard ventes'!$J$288=""),"",IF('Brouillard ventes'!$C$288="","CD001",'Brouillard ventes'!$C$288))</f>
        <v/>
      </c>
      <c r="I567" s="22" t="inlineStr"/>
      <c r="J567" s="22" t="inlineStr"/>
      <c r="K567" s="22">
        <f>IF(OR('Brouillard ventes'!$F$288="",'Brouillard ventes'!$J$288="À crédit",'Brouillard ventes'!$J$288=""),"",Paramètres!$B$11)</f>
        <v/>
      </c>
      <c r="L567" s="23" t="n">
        <v>0</v>
      </c>
      <c r="M567" s="23">
        <f>IF(OR('Brouillard ventes'!$F$288="",'Brouillard ventes'!$J$288="À crédit",'Brouillard ventes'!$J$288=""),0,'Brouillard ventes'!$I$288)</f>
        <v/>
      </c>
    </row>
    <row r="568">
      <c r="A568" s="22" t="inlineStr">
        <is>
          <t>1</t>
        </is>
      </c>
      <c r="B568" s="22">
        <f>IF(OR('Brouillard ventes'!$F$289="",'Brouillard ventes'!$J$289="À crédit",'Brouillard ventes'!$J$289=""),"","EC"&amp;TEXT(ROW('Brouillard ventes'!$F$289)-5,"00000"))</f>
        <v/>
      </c>
      <c r="C568" s="22">
        <f>IF(OR('Brouillard ventes'!$F$289="",'Brouillard ventes'!$J$289="À crédit",'Brouillard ventes'!$J$289=""),"",YEAR('Brouillard ventes'!$A$289)*10000+MONTH('Brouillard ventes'!$A$289)*100+DAY('Brouillard ventes'!$A$289))</f>
        <v/>
      </c>
      <c r="D568" s="22">
        <f>IF(OR('Brouillard ventes'!$F$289="",'Brouillard ventes'!$J$289="À crédit",'Brouillard ventes'!$J$289=""),"",'Brouillard ventes'!$B$289)</f>
        <v/>
      </c>
      <c r="E568" s="22">
        <f>IF(OR('Brouillard ventes'!$F$289="",'Brouillard ventes'!$J$289="À crédit",'Brouillard ventes'!$J$289=""),"","REGL "&amp;LEFT('Brouillard ventes'!$D$289,25))</f>
        <v/>
      </c>
      <c r="F568" s="22">
        <f>IF(OR('Brouillard ventes'!$F$289="",'Brouillard ventes'!$J$289="À crédit",'Brouillard ventes'!$J$289=""),"",IF('Brouillard ventes'!$J$289="Espèces","04001","02001"))</f>
        <v/>
      </c>
      <c r="G568" s="22">
        <f>IF(OR('Brouillard ventes'!$F$289="",'Brouillard ventes'!$J$289="À crédit",'Brouillard ventes'!$J$289=""),"",IF('Brouillard ventes'!$J$289="Espèces","53000","51220"))</f>
        <v/>
      </c>
      <c r="H568" s="22" t="inlineStr"/>
      <c r="I568" s="22" t="inlineStr"/>
      <c r="J568" s="22" t="inlineStr"/>
      <c r="K568" s="22">
        <f>IF(OR('Brouillard ventes'!$F$289="",'Brouillard ventes'!$J$289="À crédit",'Brouillard ventes'!$J$289=""),"",Paramètres!$B$11)</f>
        <v/>
      </c>
      <c r="L568" s="23">
        <f>IF(OR('Brouillard ventes'!$F$289="",'Brouillard ventes'!$J$289="À crédit",'Brouillard ventes'!$J$289=""),0,'Brouillard ventes'!$I$289)</f>
        <v/>
      </c>
      <c r="M568" s="23" t="n">
        <v>0</v>
      </c>
    </row>
    <row r="569">
      <c r="A569" s="22" t="inlineStr">
        <is>
          <t>1</t>
        </is>
      </c>
      <c r="B569" s="22">
        <f>IF(OR('Brouillard ventes'!$F$289="",'Brouillard ventes'!$J$289="À crédit",'Brouillard ventes'!$J$289=""),"","EC"&amp;TEXT(ROW('Brouillard ventes'!$F$289)-5,"00000"))</f>
        <v/>
      </c>
      <c r="C569" s="22">
        <f>IF(OR('Brouillard ventes'!$F$289="",'Brouillard ventes'!$J$289="À crédit",'Brouillard ventes'!$J$289=""),"",YEAR('Brouillard ventes'!$A$289)*10000+MONTH('Brouillard ventes'!$A$289)*100+DAY('Brouillard ventes'!$A$289))</f>
        <v/>
      </c>
      <c r="D569" s="22">
        <f>IF(OR('Brouillard ventes'!$F$289="",'Brouillard ventes'!$J$289="À crédit",'Brouillard ventes'!$J$289=""),"",'Brouillard ventes'!$B$289)</f>
        <v/>
      </c>
      <c r="E569" s="22">
        <f>IF(OR('Brouillard ventes'!$F$289="",'Brouillard ventes'!$J$289="À crédit",'Brouillard ventes'!$J$289=""),"","REGL "&amp;LEFT('Brouillard ventes'!$D$289,25))</f>
        <v/>
      </c>
      <c r="F569" s="22">
        <f>IF(OR('Brouillard ventes'!$F$289="",'Brouillard ventes'!$J$289="À crédit",'Brouillard ventes'!$J$289=""),"",IF('Brouillard ventes'!$J$289="Espèces","04001","02001"))</f>
        <v/>
      </c>
      <c r="G569" s="22">
        <f>IF(OR('Brouillard ventes'!$F$289="",'Brouillard ventes'!$J$289="À crédit",'Brouillard ventes'!$J$289=""),"",Paramètres!$B$7)</f>
        <v/>
      </c>
      <c r="H569" s="22">
        <f>IF(OR('Brouillard ventes'!$F$289="",'Brouillard ventes'!$J$289="À crédit",'Brouillard ventes'!$J$289=""),"",IF('Brouillard ventes'!$C$289="","CD001",'Brouillard ventes'!$C$289))</f>
        <v/>
      </c>
      <c r="I569" s="22" t="inlineStr"/>
      <c r="J569" s="22" t="inlineStr"/>
      <c r="K569" s="22">
        <f>IF(OR('Brouillard ventes'!$F$289="",'Brouillard ventes'!$J$289="À crédit",'Brouillard ventes'!$J$289=""),"",Paramètres!$B$11)</f>
        <v/>
      </c>
      <c r="L569" s="23" t="n">
        <v>0</v>
      </c>
      <c r="M569" s="23">
        <f>IF(OR('Brouillard ventes'!$F$289="",'Brouillard ventes'!$J$289="À crédit",'Brouillard ventes'!$J$289=""),0,'Brouillard ventes'!$I$289)</f>
        <v/>
      </c>
    </row>
    <row r="570">
      <c r="A570" s="22" t="inlineStr">
        <is>
          <t>1</t>
        </is>
      </c>
      <c r="B570" s="22">
        <f>IF(OR('Brouillard ventes'!$F$290="",'Brouillard ventes'!$J$290="À crédit",'Brouillard ventes'!$J$290=""),"","EC"&amp;TEXT(ROW('Brouillard ventes'!$F$290)-5,"00000"))</f>
        <v/>
      </c>
      <c r="C570" s="22">
        <f>IF(OR('Brouillard ventes'!$F$290="",'Brouillard ventes'!$J$290="À crédit",'Brouillard ventes'!$J$290=""),"",YEAR('Brouillard ventes'!$A$290)*10000+MONTH('Brouillard ventes'!$A$290)*100+DAY('Brouillard ventes'!$A$290))</f>
        <v/>
      </c>
      <c r="D570" s="22">
        <f>IF(OR('Brouillard ventes'!$F$290="",'Brouillard ventes'!$J$290="À crédit",'Brouillard ventes'!$J$290=""),"",'Brouillard ventes'!$B$290)</f>
        <v/>
      </c>
      <c r="E570" s="22">
        <f>IF(OR('Brouillard ventes'!$F$290="",'Brouillard ventes'!$J$290="À crédit",'Brouillard ventes'!$J$290=""),"","REGL "&amp;LEFT('Brouillard ventes'!$D$290,25))</f>
        <v/>
      </c>
      <c r="F570" s="22">
        <f>IF(OR('Brouillard ventes'!$F$290="",'Brouillard ventes'!$J$290="À crédit",'Brouillard ventes'!$J$290=""),"",IF('Brouillard ventes'!$J$290="Espèces","04001","02001"))</f>
        <v/>
      </c>
      <c r="G570" s="22">
        <f>IF(OR('Brouillard ventes'!$F$290="",'Brouillard ventes'!$J$290="À crédit",'Brouillard ventes'!$J$290=""),"",IF('Brouillard ventes'!$J$290="Espèces","53000","51220"))</f>
        <v/>
      </c>
      <c r="H570" s="22" t="inlineStr"/>
      <c r="I570" s="22" t="inlineStr"/>
      <c r="J570" s="22" t="inlineStr"/>
      <c r="K570" s="22">
        <f>IF(OR('Brouillard ventes'!$F$290="",'Brouillard ventes'!$J$290="À crédit",'Brouillard ventes'!$J$290=""),"",Paramètres!$B$11)</f>
        <v/>
      </c>
      <c r="L570" s="23">
        <f>IF(OR('Brouillard ventes'!$F$290="",'Brouillard ventes'!$J$290="À crédit",'Brouillard ventes'!$J$290=""),0,'Brouillard ventes'!$I$290)</f>
        <v/>
      </c>
      <c r="M570" s="23" t="n">
        <v>0</v>
      </c>
    </row>
    <row r="571">
      <c r="A571" s="22" t="inlineStr">
        <is>
          <t>1</t>
        </is>
      </c>
      <c r="B571" s="22">
        <f>IF(OR('Brouillard ventes'!$F$290="",'Brouillard ventes'!$J$290="À crédit",'Brouillard ventes'!$J$290=""),"","EC"&amp;TEXT(ROW('Brouillard ventes'!$F$290)-5,"00000"))</f>
        <v/>
      </c>
      <c r="C571" s="22">
        <f>IF(OR('Brouillard ventes'!$F$290="",'Brouillard ventes'!$J$290="À crédit",'Brouillard ventes'!$J$290=""),"",YEAR('Brouillard ventes'!$A$290)*10000+MONTH('Brouillard ventes'!$A$290)*100+DAY('Brouillard ventes'!$A$290))</f>
        <v/>
      </c>
      <c r="D571" s="22">
        <f>IF(OR('Brouillard ventes'!$F$290="",'Brouillard ventes'!$J$290="À crédit",'Brouillard ventes'!$J$290=""),"",'Brouillard ventes'!$B$290)</f>
        <v/>
      </c>
      <c r="E571" s="22">
        <f>IF(OR('Brouillard ventes'!$F$290="",'Brouillard ventes'!$J$290="À crédit",'Brouillard ventes'!$J$290=""),"","REGL "&amp;LEFT('Brouillard ventes'!$D$290,25))</f>
        <v/>
      </c>
      <c r="F571" s="22">
        <f>IF(OR('Brouillard ventes'!$F$290="",'Brouillard ventes'!$J$290="À crédit",'Brouillard ventes'!$J$290=""),"",IF('Brouillard ventes'!$J$290="Espèces","04001","02001"))</f>
        <v/>
      </c>
      <c r="G571" s="22">
        <f>IF(OR('Brouillard ventes'!$F$290="",'Brouillard ventes'!$J$290="À crédit",'Brouillard ventes'!$J$290=""),"",Paramètres!$B$7)</f>
        <v/>
      </c>
      <c r="H571" s="22">
        <f>IF(OR('Brouillard ventes'!$F$290="",'Brouillard ventes'!$J$290="À crédit",'Brouillard ventes'!$J$290=""),"",IF('Brouillard ventes'!$C$290="","CD001",'Brouillard ventes'!$C$290))</f>
        <v/>
      </c>
      <c r="I571" s="22" t="inlineStr"/>
      <c r="J571" s="22" t="inlineStr"/>
      <c r="K571" s="22">
        <f>IF(OR('Brouillard ventes'!$F$290="",'Brouillard ventes'!$J$290="À crédit",'Brouillard ventes'!$J$290=""),"",Paramètres!$B$11)</f>
        <v/>
      </c>
      <c r="L571" s="23" t="n">
        <v>0</v>
      </c>
      <c r="M571" s="23">
        <f>IF(OR('Brouillard ventes'!$F$290="",'Brouillard ventes'!$J$290="À crédit",'Brouillard ventes'!$J$290=""),0,'Brouillard ventes'!$I$290)</f>
        <v/>
      </c>
    </row>
    <row r="572">
      <c r="A572" s="22" t="inlineStr">
        <is>
          <t>1</t>
        </is>
      </c>
      <c r="B572" s="22">
        <f>IF(OR('Brouillard ventes'!$F$291="",'Brouillard ventes'!$J$291="À crédit",'Brouillard ventes'!$J$291=""),"","EC"&amp;TEXT(ROW('Brouillard ventes'!$F$291)-5,"00000"))</f>
        <v/>
      </c>
      <c r="C572" s="22">
        <f>IF(OR('Brouillard ventes'!$F$291="",'Brouillard ventes'!$J$291="À crédit",'Brouillard ventes'!$J$291=""),"",YEAR('Brouillard ventes'!$A$291)*10000+MONTH('Brouillard ventes'!$A$291)*100+DAY('Brouillard ventes'!$A$291))</f>
        <v/>
      </c>
      <c r="D572" s="22">
        <f>IF(OR('Brouillard ventes'!$F$291="",'Brouillard ventes'!$J$291="À crédit",'Brouillard ventes'!$J$291=""),"",'Brouillard ventes'!$B$291)</f>
        <v/>
      </c>
      <c r="E572" s="22">
        <f>IF(OR('Brouillard ventes'!$F$291="",'Brouillard ventes'!$J$291="À crédit",'Brouillard ventes'!$J$291=""),"","REGL "&amp;LEFT('Brouillard ventes'!$D$291,25))</f>
        <v/>
      </c>
      <c r="F572" s="22">
        <f>IF(OR('Brouillard ventes'!$F$291="",'Brouillard ventes'!$J$291="À crédit",'Brouillard ventes'!$J$291=""),"",IF('Brouillard ventes'!$J$291="Espèces","04001","02001"))</f>
        <v/>
      </c>
      <c r="G572" s="22">
        <f>IF(OR('Brouillard ventes'!$F$291="",'Brouillard ventes'!$J$291="À crédit",'Brouillard ventes'!$J$291=""),"",IF('Brouillard ventes'!$J$291="Espèces","53000","51220"))</f>
        <v/>
      </c>
      <c r="H572" s="22" t="inlineStr"/>
      <c r="I572" s="22" t="inlineStr"/>
      <c r="J572" s="22" t="inlineStr"/>
      <c r="K572" s="22">
        <f>IF(OR('Brouillard ventes'!$F$291="",'Brouillard ventes'!$J$291="À crédit",'Brouillard ventes'!$J$291=""),"",Paramètres!$B$11)</f>
        <v/>
      </c>
      <c r="L572" s="23">
        <f>IF(OR('Brouillard ventes'!$F$291="",'Brouillard ventes'!$J$291="À crédit",'Brouillard ventes'!$J$291=""),0,'Brouillard ventes'!$I$291)</f>
        <v/>
      </c>
      <c r="M572" s="23" t="n">
        <v>0</v>
      </c>
    </row>
    <row r="573">
      <c r="A573" s="22" t="inlineStr">
        <is>
          <t>1</t>
        </is>
      </c>
      <c r="B573" s="22">
        <f>IF(OR('Brouillard ventes'!$F$291="",'Brouillard ventes'!$J$291="À crédit",'Brouillard ventes'!$J$291=""),"","EC"&amp;TEXT(ROW('Brouillard ventes'!$F$291)-5,"00000"))</f>
        <v/>
      </c>
      <c r="C573" s="22">
        <f>IF(OR('Brouillard ventes'!$F$291="",'Brouillard ventes'!$J$291="À crédit",'Brouillard ventes'!$J$291=""),"",YEAR('Brouillard ventes'!$A$291)*10000+MONTH('Brouillard ventes'!$A$291)*100+DAY('Brouillard ventes'!$A$291))</f>
        <v/>
      </c>
      <c r="D573" s="22">
        <f>IF(OR('Brouillard ventes'!$F$291="",'Brouillard ventes'!$J$291="À crédit",'Brouillard ventes'!$J$291=""),"",'Brouillard ventes'!$B$291)</f>
        <v/>
      </c>
      <c r="E573" s="22">
        <f>IF(OR('Brouillard ventes'!$F$291="",'Brouillard ventes'!$J$291="À crédit",'Brouillard ventes'!$J$291=""),"","REGL "&amp;LEFT('Brouillard ventes'!$D$291,25))</f>
        <v/>
      </c>
      <c r="F573" s="22">
        <f>IF(OR('Brouillard ventes'!$F$291="",'Brouillard ventes'!$J$291="À crédit",'Brouillard ventes'!$J$291=""),"",IF('Brouillard ventes'!$J$291="Espèces","04001","02001"))</f>
        <v/>
      </c>
      <c r="G573" s="22">
        <f>IF(OR('Brouillard ventes'!$F$291="",'Brouillard ventes'!$J$291="À crédit",'Brouillard ventes'!$J$291=""),"",Paramètres!$B$7)</f>
        <v/>
      </c>
      <c r="H573" s="22">
        <f>IF(OR('Brouillard ventes'!$F$291="",'Brouillard ventes'!$J$291="À crédit",'Brouillard ventes'!$J$291=""),"",IF('Brouillard ventes'!$C$291="","CD001",'Brouillard ventes'!$C$291))</f>
        <v/>
      </c>
      <c r="I573" s="22" t="inlineStr"/>
      <c r="J573" s="22" t="inlineStr"/>
      <c r="K573" s="22">
        <f>IF(OR('Brouillard ventes'!$F$291="",'Brouillard ventes'!$J$291="À crédit",'Brouillard ventes'!$J$291=""),"",Paramètres!$B$11)</f>
        <v/>
      </c>
      <c r="L573" s="23" t="n">
        <v>0</v>
      </c>
      <c r="M573" s="23">
        <f>IF(OR('Brouillard ventes'!$F$291="",'Brouillard ventes'!$J$291="À crédit",'Brouillard ventes'!$J$291=""),0,'Brouillard ventes'!$I$291)</f>
        <v/>
      </c>
    </row>
    <row r="574">
      <c r="A574" s="22" t="inlineStr">
        <is>
          <t>1</t>
        </is>
      </c>
      <c r="B574" s="22">
        <f>IF(OR('Brouillard ventes'!$F$292="",'Brouillard ventes'!$J$292="À crédit",'Brouillard ventes'!$J$292=""),"","EC"&amp;TEXT(ROW('Brouillard ventes'!$F$292)-5,"00000"))</f>
        <v/>
      </c>
      <c r="C574" s="22">
        <f>IF(OR('Brouillard ventes'!$F$292="",'Brouillard ventes'!$J$292="À crédit",'Brouillard ventes'!$J$292=""),"",YEAR('Brouillard ventes'!$A$292)*10000+MONTH('Brouillard ventes'!$A$292)*100+DAY('Brouillard ventes'!$A$292))</f>
        <v/>
      </c>
      <c r="D574" s="22">
        <f>IF(OR('Brouillard ventes'!$F$292="",'Brouillard ventes'!$J$292="À crédit",'Brouillard ventes'!$J$292=""),"",'Brouillard ventes'!$B$292)</f>
        <v/>
      </c>
      <c r="E574" s="22">
        <f>IF(OR('Brouillard ventes'!$F$292="",'Brouillard ventes'!$J$292="À crédit",'Brouillard ventes'!$J$292=""),"","REGL "&amp;LEFT('Brouillard ventes'!$D$292,25))</f>
        <v/>
      </c>
      <c r="F574" s="22">
        <f>IF(OR('Brouillard ventes'!$F$292="",'Brouillard ventes'!$J$292="À crédit",'Brouillard ventes'!$J$292=""),"",IF('Brouillard ventes'!$J$292="Espèces","04001","02001"))</f>
        <v/>
      </c>
      <c r="G574" s="22">
        <f>IF(OR('Brouillard ventes'!$F$292="",'Brouillard ventes'!$J$292="À crédit",'Brouillard ventes'!$J$292=""),"",IF('Brouillard ventes'!$J$292="Espèces","53000","51220"))</f>
        <v/>
      </c>
      <c r="H574" s="22" t="inlineStr"/>
      <c r="I574" s="22" t="inlineStr"/>
      <c r="J574" s="22" t="inlineStr"/>
      <c r="K574" s="22">
        <f>IF(OR('Brouillard ventes'!$F$292="",'Brouillard ventes'!$J$292="À crédit",'Brouillard ventes'!$J$292=""),"",Paramètres!$B$11)</f>
        <v/>
      </c>
      <c r="L574" s="23">
        <f>IF(OR('Brouillard ventes'!$F$292="",'Brouillard ventes'!$J$292="À crédit",'Brouillard ventes'!$J$292=""),0,'Brouillard ventes'!$I$292)</f>
        <v/>
      </c>
      <c r="M574" s="23" t="n">
        <v>0</v>
      </c>
    </row>
    <row r="575">
      <c r="A575" s="22" t="inlineStr">
        <is>
          <t>1</t>
        </is>
      </c>
      <c r="B575" s="22">
        <f>IF(OR('Brouillard ventes'!$F$292="",'Brouillard ventes'!$J$292="À crédit",'Brouillard ventes'!$J$292=""),"","EC"&amp;TEXT(ROW('Brouillard ventes'!$F$292)-5,"00000"))</f>
        <v/>
      </c>
      <c r="C575" s="22">
        <f>IF(OR('Brouillard ventes'!$F$292="",'Brouillard ventes'!$J$292="À crédit",'Brouillard ventes'!$J$292=""),"",YEAR('Brouillard ventes'!$A$292)*10000+MONTH('Brouillard ventes'!$A$292)*100+DAY('Brouillard ventes'!$A$292))</f>
        <v/>
      </c>
      <c r="D575" s="22">
        <f>IF(OR('Brouillard ventes'!$F$292="",'Brouillard ventes'!$J$292="À crédit",'Brouillard ventes'!$J$292=""),"",'Brouillard ventes'!$B$292)</f>
        <v/>
      </c>
      <c r="E575" s="22">
        <f>IF(OR('Brouillard ventes'!$F$292="",'Brouillard ventes'!$J$292="À crédit",'Brouillard ventes'!$J$292=""),"","REGL "&amp;LEFT('Brouillard ventes'!$D$292,25))</f>
        <v/>
      </c>
      <c r="F575" s="22">
        <f>IF(OR('Brouillard ventes'!$F$292="",'Brouillard ventes'!$J$292="À crédit",'Brouillard ventes'!$J$292=""),"",IF('Brouillard ventes'!$J$292="Espèces","04001","02001"))</f>
        <v/>
      </c>
      <c r="G575" s="22">
        <f>IF(OR('Brouillard ventes'!$F$292="",'Brouillard ventes'!$J$292="À crédit",'Brouillard ventes'!$J$292=""),"",Paramètres!$B$7)</f>
        <v/>
      </c>
      <c r="H575" s="22">
        <f>IF(OR('Brouillard ventes'!$F$292="",'Brouillard ventes'!$J$292="À crédit",'Brouillard ventes'!$J$292=""),"",IF('Brouillard ventes'!$C$292="","CD001",'Brouillard ventes'!$C$292))</f>
        <v/>
      </c>
      <c r="I575" s="22" t="inlineStr"/>
      <c r="J575" s="22" t="inlineStr"/>
      <c r="K575" s="22">
        <f>IF(OR('Brouillard ventes'!$F$292="",'Brouillard ventes'!$J$292="À crédit",'Brouillard ventes'!$J$292=""),"",Paramètres!$B$11)</f>
        <v/>
      </c>
      <c r="L575" s="23" t="n">
        <v>0</v>
      </c>
      <c r="M575" s="23">
        <f>IF(OR('Brouillard ventes'!$F$292="",'Brouillard ventes'!$J$292="À crédit",'Brouillard ventes'!$J$292=""),0,'Brouillard ventes'!$I$292)</f>
        <v/>
      </c>
    </row>
    <row r="576">
      <c r="A576" s="22" t="inlineStr">
        <is>
          <t>1</t>
        </is>
      </c>
      <c r="B576" s="22">
        <f>IF(OR('Brouillard ventes'!$F$293="",'Brouillard ventes'!$J$293="À crédit",'Brouillard ventes'!$J$293=""),"","EC"&amp;TEXT(ROW('Brouillard ventes'!$F$293)-5,"00000"))</f>
        <v/>
      </c>
      <c r="C576" s="22">
        <f>IF(OR('Brouillard ventes'!$F$293="",'Brouillard ventes'!$J$293="À crédit",'Brouillard ventes'!$J$293=""),"",YEAR('Brouillard ventes'!$A$293)*10000+MONTH('Brouillard ventes'!$A$293)*100+DAY('Brouillard ventes'!$A$293))</f>
        <v/>
      </c>
      <c r="D576" s="22">
        <f>IF(OR('Brouillard ventes'!$F$293="",'Brouillard ventes'!$J$293="À crédit",'Brouillard ventes'!$J$293=""),"",'Brouillard ventes'!$B$293)</f>
        <v/>
      </c>
      <c r="E576" s="22">
        <f>IF(OR('Brouillard ventes'!$F$293="",'Brouillard ventes'!$J$293="À crédit",'Brouillard ventes'!$J$293=""),"","REGL "&amp;LEFT('Brouillard ventes'!$D$293,25))</f>
        <v/>
      </c>
      <c r="F576" s="22">
        <f>IF(OR('Brouillard ventes'!$F$293="",'Brouillard ventes'!$J$293="À crédit",'Brouillard ventes'!$J$293=""),"",IF('Brouillard ventes'!$J$293="Espèces","04001","02001"))</f>
        <v/>
      </c>
      <c r="G576" s="22">
        <f>IF(OR('Brouillard ventes'!$F$293="",'Brouillard ventes'!$J$293="À crédit",'Brouillard ventes'!$J$293=""),"",IF('Brouillard ventes'!$J$293="Espèces","53000","51220"))</f>
        <v/>
      </c>
      <c r="H576" s="22" t="inlineStr"/>
      <c r="I576" s="22" t="inlineStr"/>
      <c r="J576" s="22" t="inlineStr"/>
      <c r="K576" s="22">
        <f>IF(OR('Brouillard ventes'!$F$293="",'Brouillard ventes'!$J$293="À crédit",'Brouillard ventes'!$J$293=""),"",Paramètres!$B$11)</f>
        <v/>
      </c>
      <c r="L576" s="23">
        <f>IF(OR('Brouillard ventes'!$F$293="",'Brouillard ventes'!$J$293="À crédit",'Brouillard ventes'!$J$293=""),0,'Brouillard ventes'!$I$293)</f>
        <v/>
      </c>
      <c r="M576" s="23" t="n">
        <v>0</v>
      </c>
    </row>
    <row r="577">
      <c r="A577" s="22" t="inlineStr">
        <is>
          <t>1</t>
        </is>
      </c>
      <c r="B577" s="22">
        <f>IF(OR('Brouillard ventes'!$F$293="",'Brouillard ventes'!$J$293="À crédit",'Brouillard ventes'!$J$293=""),"","EC"&amp;TEXT(ROW('Brouillard ventes'!$F$293)-5,"00000"))</f>
        <v/>
      </c>
      <c r="C577" s="22">
        <f>IF(OR('Brouillard ventes'!$F$293="",'Brouillard ventes'!$J$293="À crédit",'Brouillard ventes'!$J$293=""),"",YEAR('Brouillard ventes'!$A$293)*10000+MONTH('Brouillard ventes'!$A$293)*100+DAY('Brouillard ventes'!$A$293))</f>
        <v/>
      </c>
      <c r="D577" s="22">
        <f>IF(OR('Brouillard ventes'!$F$293="",'Brouillard ventes'!$J$293="À crédit",'Brouillard ventes'!$J$293=""),"",'Brouillard ventes'!$B$293)</f>
        <v/>
      </c>
      <c r="E577" s="22">
        <f>IF(OR('Brouillard ventes'!$F$293="",'Brouillard ventes'!$J$293="À crédit",'Brouillard ventes'!$J$293=""),"","REGL "&amp;LEFT('Brouillard ventes'!$D$293,25))</f>
        <v/>
      </c>
      <c r="F577" s="22">
        <f>IF(OR('Brouillard ventes'!$F$293="",'Brouillard ventes'!$J$293="À crédit",'Brouillard ventes'!$J$293=""),"",IF('Brouillard ventes'!$J$293="Espèces","04001","02001"))</f>
        <v/>
      </c>
      <c r="G577" s="22">
        <f>IF(OR('Brouillard ventes'!$F$293="",'Brouillard ventes'!$J$293="À crédit",'Brouillard ventes'!$J$293=""),"",Paramètres!$B$7)</f>
        <v/>
      </c>
      <c r="H577" s="22">
        <f>IF(OR('Brouillard ventes'!$F$293="",'Brouillard ventes'!$J$293="À crédit",'Brouillard ventes'!$J$293=""),"",IF('Brouillard ventes'!$C$293="","CD001",'Brouillard ventes'!$C$293))</f>
        <v/>
      </c>
      <c r="I577" s="22" t="inlineStr"/>
      <c r="J577" s="22" t="inlineStr"/>
      <c r="K577" s="22">
        <f>IF(OR('Brouillard ventes'!$F$293="",'Brouillard ventes'!$J$293="À crédit",'Brouillard ventes'!$J$293=""),"",Paramètres!$B$11)</f>
        <v/>
      </c>
      <c r="L577" s="23" t="n">
        <v>0</v>
      </c>
      <c r="M577" s="23">
        <f>IF(OR('Brouillard ventes'!$F$293="",'Brouillard ventes'!$J$293="À crédit",'Brouillard ventes'!$J$293=""),0,'Brouillard ventes'!$I$293)</f>
        <v/>
      </c>
    </row>
    <row r="578">
      <c r="A578" s="22" t="inlineStr">
        <is>
          <t>1</t>
        </is>
      </c>
      <c r="B578" s="22">
        <f>IF(OR('Brouillard ventes'!$F$294="",'Brouillard ventes'!$J$294="À crédit",'Brouillard ventes'!$J$294=""),"","EC"&amp;TEXT(ROW('Brouillard ventes'!$F$294)-5,"00000"))</f>
        <v/>
      </c>
      <c r="C578" s="22">
        <f>IF(OR('Brouillard ventes'!$F$294="",'Brouillard ventes'!$J$294="À crédit",'Brouillard ventes'!$J$294=""),"",YEAR('Brouillard ventes'!$A$294)*10000+MONTH('Brouillard ventes'!$A$294)*100+DAY('Brouillard ventes'!$A$294))</f>
        <v/>
      </c>
      <c r="D578" s="22">
        <f>IF(OR('Brouillard ventes'!$F$294="",'Brouillard ventes'!$J$294="À crédit",'Brouillard ventes'!$J$294=""),"",'Brouillard ventes'!$B$294)</f>
        <v/>
      </c>
      <c r="E578" s="22">
        <f>IF(OR('Brouillard ventes'!$F$294="",'Brouillard ventes'!$J$294="À crédit",'Brouillard ventes'!$J$294=""),"","REGL "&amp;LEFT('Brouillard ventes'!$D$294,25))</f>
        <v/>
      </c>
      <c r="F578" s="22">
        <f>IF(OR('Brouillard ventes'!$F$294="",'Brouillard ventes'!$J$294="À crédit",'Brouillard ventes'!$J$294=""),"",IF('Brouillard ventes'!$J$294="Espèces","04001","02001"))</f>
        <v/>
      </c>
      <c r="G578" s="22">
        <f>IF(OR('Brouillard ventes'!$F$294="",'Brouillard ventes'!$J$294="À crédit",'Brouillard ventes'!$J$294=""),"",IF('Brouillard ventes'!$J$294="Espèces","53000","51220"))</f>
        <v/>
      </c>
      <c r="H578" s="22" t="inlineStr"/>
      <c r="I578" s="22" t="inlineStr"/>
      <c r="J578" s="22" t="inlineStr"/>
      <c r="K578" s="22">
        <f>IF(OR('Brouillard ventes'!$F$294="",'Brouillard ventes'!$J$294="À crédit",'Brouillard ventes'!$J$294=""),"",Paramètres!$B$11)</f>
        <v/>
      </c>
      <c r="L578" s="23">
        <f>IF(OR('Brouillard ventes'!$F$294="",'Brouillard ventes'!$J$294="À crédit",'Brouillard ventes'!$J$294=""),0,'Brouillard ventes'!$I$294)</f>
        <v/>
      </c>
      <c r="M578" s="23" t="n">
        <v>0</v>
      </c>
    </row>
    <row r="579">
      <c r="A579" s="22" t="inlineStr">
        <is>
          <t>1</t>
        </is>
      </c>
      <c r="B579" s="22">
        <f>IF(OR('Brouillard ventes'!$F$294="",'Brouillard ventes'!$J$294="À crédit",'Brouillard ventes'!$J$294=""),"","EC"&amp;TEXT(ROW('Brouillard ventes'!$F$294)-5,"00000"))</f>
        <v/>
      </c>
      <c r="C579" s="22">
        <f>IF(OR('Brouillard ventes'!$F$294="",'Brouillard ventes'!$J$294="À crédit",'Brouillard ventes'!$J$294=""),"",YEAR('Brouillard ventes'!$A$294)*10000+MONTH('Brouillard ventes'!$A$294)*100+DAY('Brouillard ventes'!$A$294))</f>
        <v/>
      </c>
      <c r="D579" s="22">
        <f>IF(OR('Brouillard ventes'!$F$294="",'Brouillard ventes'!$J$294="À crédit",'Brouillard ventes'!$J$294=""),"",'Brouillard ventes'!$B$294)</f>
        <v/>
      </c>
      <c r="E579" s="22">
        <f>IF(OR('Brouillard ventes'!$F$294="",'Brouillard ventes'!$J$294="À crédit",'Brouillard ventes'!$J$294=""),"","REGL "&amp;LEFT('Brouillard ventes'!$D$294,25))</f>
        <v/>
      </c>
      <c r="F579" s="22">
        <f>IF(OR('Brouillard ventes'!$F$294="",'Brouillard ventes'!$J$294="À crédit",'Brouillard ventes'!$J$294=""),"",IF('Brouillard ventes'!$J$294="Espèces","04001","02001"))</f>
        <v/>
      </c>
      <c r="G579" s="22">
        <f>IF(OR('Brouillard ventes'!$F$294="",'Brouillard ventes'!$J$294="À crédit",'Brouillard ventes'!$J$294=""),"",Paramètres!$B$7)</f>
        <v/>
      </c>
      <c r="H579" s="22">
        <f>IF(OR('Brouillard ventes'!$F$294="",'Brouillard ventes'!$J$294="À crédit",'Brouillard ventes'!$J$294=""),"",IF('Brouillard ventes'!$C$294="","CD001",'Brouillard ventes'!$C$294))</f>
        <v/>
      </c>
      <c r="I579" s="22" t="inlineStr"/>
      <c r="J579" s="22" t="inlineStr"/>
      <c r="K579" s="22">
        <f>IF(OR('Brouillard ventes'!$F$294="",'Brouillard ventes'!$J$294="À crédit",'Brouillard ventes'!$J$294=""),"",Paramètres!$B$11)</f>
        <v/>
      </c>
      <c r="L579" s="23" t="n">
        <v>0</v>
      </c>
      <c r="M579" s="23">
        <f>IF(OR('Brouillard ventes'!$F$294="",'Brouillard ventes'!$J$294="À crédit",'Brouillard ventes'!$J$294=""),0,'Brouillard ventes'!$I$294)</f>
        <v/>
      </c>
    </row>
    <row r="580">
      <c r="A580" s="22" t="inlineStr">
        <is>
          <t>1</t>
        </is>
      </c>
      <c r="B580" s="22">
        <f>IF(OR('Brouillard ventes'!$F$295="",'Brouillard ventes'!$J$295="À crédit",'Brouillard ventes'!$J$295=""),"","EC"&amp;TEXT(ROW('Brouillard ventes'!$F$295)-5,"00000"))</f>
        <v/>
      </c>
      <c r="C580" s="22">
        <f>IF(OR('Brouillard ventes'!$F$295="",'Brouillard ventes'!$J$295="À crédit",'Brouillard ventes'!$J$295=""),"",YEAR('Brouillard ventes'!$A$295)*10000+MONTH('Brouillard ventes'!$A$295)*100+DAY('Brouillard ventes'!$A$295))</f>
        <v/>
      </c>
      <c r="D580" s="22">
        <f>IF(OR('Brouillard ventes'!$F$295="",'Brouillard ventes'!$J$295="À crédit",'Brouillard ventes'!$J$295=""),"",'Brouillard ventes'!$B$295)</f>
        <v/>
      </c>
      <c r="E580" s="22">
        <f>IF(OR('Brouillard ventes'!$F$295="",'Brouillard ventes'!$J$295="À crédit",'Brouillard ventes'!$J$295=""),"","REGL "&amp;LEFT('Brouillard ventes'!$D$295,25))</f>
        <v/>
      </c>
      <c r="F580" s="22">
        <f>IF(OR('Brouillard ventes'!$F$295="",'Brouillard ventes'!$J$295="À crédit",'Brouillard ventes'!$J$295=""),"",IF('Brouillard ventes'!$J$295="Espèces","04001","02001"))</f>
        <v/>
      </c>
      <c r="G580" s="22">
        <f>IF(OR('Brouillard ventes'!$F$295="",'Brouillard ventes'!$J$295="À crédit",'Brouillard ventes'!$J$295=""),"",IF('Brouillard ventes'!$J$295="Espèces","53000","51220"))</f>
        <v/>
      </c>
      <c r="H580" s="22" t="inlineStr"/>
      <c r="I580" s="22" t="inlineStr"/>
      <c r="J580" s="22" t="inlineStr"/>
      <c r="K580" s="22">
        <f>IF(OR('Brouillard ventes'!$F$295="",'Brouillard ventes'!$J$295="À crédit",'Brouillard ventes'!$J$295=""),"",Paramètres!$B$11)</f>
        <v/>
      </c>
      <c r="L580" s="23">
        <f>IF(OR('Brouillard ventes'!$F$295="",'Brouillard ventes'!$J$295="À crédit",'Brouillard ventes'!$J$295=""),0,'Brouillard ventes'!$I$295)</f>
        <v/>
      </c>
      <c r="M580" s="23" t="n">
        <v>0</v>
      </c>
    </row>
    <row r="581">
      <c r="A581" s="22" t="inlineStr">
        <is>
          <t>1</t>
        </is>
      </c>
      <c r="B581" s="22">
        <f>IF(OR('Brouillard ventes'!$F$295="",'Brouillard ventes'!$J$295="À crédit",'Brouillard ventes'!$J$295=""),"","EC"&amp;TEXT(ROW('Brouillard ventes'!$F$295)-5,"00000"))</f>
        <v/>
      </c>
      <c r="C581" s="22">
        <f>IF(OR('Brouillard ventes'!$F$295="",'Brouillard ventes'!$J$295="À crédit",'Brouillard ventes'!$J$295=""),"",YEAR('Brouillard ventes'!$A$295)*10000+MONTH('Brouillard ventes'!$A$295)*100+DAY('Brouillard ventes'!$A$295))</f>
        <v/>
      </c>
      <c r="D581" s="22">
        <f>IF(OR('Brouillard ventes'!$F$295="",'Brouillard ventes'!$J$295="À crédit",'Brouillard ventes'!$J$295=""),"",'Brouillard ventes'!$B$295)</f>
        <v/>
      </c>
      <c r="E581" s="22">
        <f>IF(OR('Brouillard ventes'!$F$295="",'Brouillard ventes'!$J$295="À crédit",'Brouillard ventes'!$J$295=""),"","REGL "&amp;LEFT('Brouillard ventes'!$D$295,25))</f>
        <v/>
      </c>
      <c r="F581" s="22">
        <f>IF(OR('Brouillard ventes'!$F$295="",'Brouillard ventes'!$J$295="À crédit",'Brouillard ventes'!$J$295=""),"",IF('Brouillard ventes'!$J$295="Espèces","04001","02001"))</f>
        <v/>
      </c>
      <c r="G581" s="22">
        <f>IF(OR('Brouillard ventes'!$F$295="",'Brouillard ventes'!$J$295="À crédit",'Brouillard ventes'!$J$295=""),"",Paramètres!$B$7)</f>
        <v/>
      </c>
      <c r="H581" s="22">
        <f>IF(OR('Brouillard ventes'!$F$295="",'Brouillard ventes'!$J$295="À crédit",'Brouillard ventes'!$J$295=""),"",IF('Brouillard ventes'!$C$295="","CD001",'Brouillard ventes'!$C$295))</f>
        <v/>
      </c>
      <c r="I581" s="22" t="inlineStr"/>
      <c r="J581" s="22" t="inlineStr"/>
      <c r="K581" s="22">
        <f>IF(OR('Brouillard ventes'!$F$295="",'Brouillard ventes'!$J$295="À crédit",'Brouillard ventes'!$J$295=""),"",Paramètres!$B$11)</f>
        <v/>
      </c>
      <c r="L581" s="23" t="n">
        <v>0</v>
      </c>
      <c r="M581" s="23">
        <f>IF(OR('Brouillard ventes'!$F$295="",'Brouillard ventes'!$J$295="À crédit",'Brouillard ventes'!$J$295=""),0,'Brouillard ventes'!$I$295)</f>
        <v/>
      </c>
    </row>
    <row r="582">
      <c r="A582" s="22" t="inlineStr">
        <is>
          <t>1</t>
        </is>
      </c>
      <c r="B582" s="22">
        <f>IF(OR('Brouillard ventes'!$F$296="",'Brouillard ventes'!$J$296="À crédit",'Brouillard ventes'!$J$296=""),"","EC"&amp;TEXT(ROW('Brouillard ventes'!$F$296)-5,"00000"))</f>
        <v/>
      </c>
      <c r="C582" s="22">
        <f>IF(OR('Brouillard ventes'!$F$296="",'Brouillard ventes'!$J$296="À crédit",'Brouillard ventes'!$J$296=""),"",YEAR('Brouillard ventes'!$A$296)*10000+MONTH('Brouillard ventes'!$A$296)*100+DAY('Brouillard ventes'!$A$296))</f>
        <v/>
      </c>
      <c r="D582" s="22">
        <f>IF(OR('Brouillard ventes'!$F$296="",'Brouillard ventes'!$J$296="À crédit",'Brouillard ventes'!$J$296=""),"",'Brouillard ventes'!$B$296)</f>
        <v/>
      </c>
      <c r="E582" s="22">
        <f>IF(OR('Brouillard ventes'!$F$296="",'Brouillard ventes'!$J$296="À crédit",'Brouillard ventes'!$J$296=""),"","REGL "&amp;LEFT('Brouillard ventes'!$D$296,25))</f>
        <v/>
      </c>
      <c r="F582" s="22">
        <f>IF(OR('Brouillard ventes'!$F$296="",'Brouillard ventes'!$J$296="À crédit",'Brouillard ventes'!$J$296=""),"",IF('Brouillard ventes'!$J$296="Espèces","04001","02001"))</f>
        <v/>
      </c>
      <c r="G582" s="22">
        <f>IF(OR('Brouillard ventes'!$F$296="",'Brouillard ventes'!$J$296="À crédit",'Brouillard ventes'!$J$296=""),"",IF('Brouillard ventes'!$J$296="Espèces","53000","51220"))</f>
        <v/>
      </c>
      <c r="H582" s="22" t="inlineStr"/>
      <c r="I582" s="22" t="inlineStr"/>
      <c r="J582" s="22" t="inlineStr"/>
      <c r="K582" s="22">
        <f>IF(OR('Brouillard ventes'!$F$296="",'Brouillard ventes'!$J$296="À crédit",'Brouillard ventes'!$J$296=""),"",Paramètres!$B$11)</f>
        <v/>
      </c>
      <c r="L582" s="23">
        <f>IF(OR('Brouillard ventes'!$F$296="",'Brouillard ventes'!$J$296="À crédit",'Brouillard ventes'!$J$296=""),0,'Brouillard ventes'!$I$296)</f>
        <v/>
      </c>
      <c r="M582" s="23" t="n">
        <v>0</v>
      </c>
    </row>
    <row r="583">
      <c r="A583" s="22" t="inlineStr">
        <is>
          <t>1</t>
        </is>
      </c>
      <c r="B583" s="22">
        <f>IF(OR('Brouillard ventes'!$F$296="",'Brouillard ventes'!$J$296="À crédit",'Brouillard ventes'!$J$296=""),"","EC"&amp;TEXT(ROW('Brouillard ventes'!$F$296)-5,"00000"))</f>
        <v/>
      </c>
      <c r="C583" s="22">
        <f>IF(OR('Brouillard ventes'!$F$296="",'Brouillard ventes'!$J$296="À crédit",'Brouillard ventes'!$J$296=""),"",YEAR('Brouillard ventes'!$A$296)*10000+MONTH('Brouillard ventes'!$A$296)*100+DAY('Brouillard ventes'!$A$296))</f>
        <v/>
      </c>
      <c r="D583" s="22">
        <f>IF(OR('Brouillard ventes'!$F$296="",'Brouillard ventes'!$J$296="À crédit",'Brouillard ventes'!$J$296=""),"",'Brouillard ventes'!$B$296)</f>
        <v/>
      </c>
      <c r="E583" s="22">
        <f>IF(OR('Brouillard ventes'!$F$296="",'Brouillard ventes'!$J$296="À crédit",'Brouillard ventes'!$J$296=""),"","REGL "&amp;LEFT('Brouillard ventes'!$D$296,25))</f>
        <v/>
      </c>
      <c r="F583" s="22">
        <f>IF(OR('Brouillard ventes'!$F$296="",'Brouillard ventes'!$J$296="À crédit",'Brouillard ventes'!$J$296=""),"",IF('Brouillard ventes'!$J$296="Espèces","04001","02001"))</f>
        <v/>
      </c>
      <c r="G583" s="22">
        <f>IF(OR('Brouillard ventes'!$F$296="",'Brouillard ventes'!$J$296="À crédit",'Brouillard ventes'!$J$296=""),"",Paramètres!$B$7)</f>
        <v/>
      </c>
      <c r="H583" s="22">
        <f>IF(OR('Brouillard ventes'!$F$296="",'Brouillard ventes'!$J$296="À crédit",'Brouillard ventes'!$J$296=""),"",IF('Brouillard ventes'!$C$296="","CD001",'Brouillard ventes'!$C$296))</f>
        <v/>
      </c>
      <c r="I583" s="22" t="inlineStr"/>
      <c r="J583" s="22" t="inlineStr"/>
      <c r="K583" s="22">
        <f>IF(OR('Brouillard ventes'!$F$296="",'Brouillard ventes'!$J$296="À crédit",'Brouillard ventes'!$J$296=""),"",Paramètres!$B$11)</f>
        <v/>
      </c>
      <c r="L583" s="23" t="n">
        <v>0</v>
      </c>
      <c r="M583" s="23">
        <f>IF(OR('Brouillard ventes'!$F$296="",'Brouillard ventes'!$J$296="À crédit",'Brouillard ventes'!$J$296=""),0,'Brouillard ventes'!$I$296)</f>
        <v/>
      </c>
    </row>
    <row r="584">
      <c r="A584" s="22" t="inlineStr">
        <is>
          <t>1</t>
        </is>
      </c>
      <c r="B584" s="22">
        <f>IF(OR('Brouillard ventes'!$F$297="",'Brouillard ventes'!$J$297="À crédit",'Brouillard ventes'!$J$297=""),"","EC"&amp;TEXT(ROW('Brouillard ventes'!$F$297)-5,"00000"))</f>
        <v/>
      </c>
      <c r="C584" s="22">
        <f>IF(OR('Brouillard ventes'!$F$297="",'Brouillard ventes'!$J$297="À crédit",'Brouillard ventes'!$J$297=""),"",YEAR('Brouillard ventes'!$A$297)*10000+MONTH('Brouillard ventes'!$A$297)*100+DAY('Brouillard ventes'!$A$297))</f>
        <v/>
      </c>
      <c r="D584" s="22">
        <f>IF(OR('Brouillard ventes'!$F$297="",'Brouillard ventes'!$J$297="À crédit",'Brouillard ventes'!$J$297=""),"",'Brouillard ventes'!$B$297)</f>
        <v/>
      </c>
      <c r="E584" s="22">
        <f>IF(OR('Brouillard ventes'!$F$297="",'Brouillard ventes'!$J$297="À crédit",'Brouillard ventes'!$J$297=""),"","REGL "&amp;LEFT('Brouillard ventes'!$D$297,25))</f>
        <v/>
      </c>
      <c r="F584" s="22">
        <f>IF(OR('Brouillard ventes'!$F$297="",'Brouillard ventes'!$J$297="À crédit",'Brouillard ventes'!$J$297=""),"",IF('Brouillard ventes'!$J$297="Espèces","04001","02001"))</f>
        <v/>
      </c>
      <c r="G584" s="22">
        <f>IF(OR('Brouillard ventes'!$F$297="",'Brouillard ventes'!$J$297="À crédit",'Brouillard ventes'!$J$297=""),"",IF('Brouillard ventes'!$J$297="Espèces","53000","51220"))</f>
        <v/>
      </c>
      <c r="H584" s="22" t="inlineStr"/>
      <c r="I584" s="22" t="inlineStr"/>
      <c r="J584" s="22" t="inlineStr"/>
      <c r="K584" s="22">
        <f>IF(OR('Brouillard ventes'!$F$297="",'Brouillard ventes'!$J$297="À crédit",'Brouillard ventes'!$J$297=""),"",Paramètres!$B$11)</f>
        <v/>
      </c>
      <c r="L584" s="23">
        <f>IF(OR('Brouillard ventes'!$F$297="",'Brouillard ventes'!$J$297="À crédit",'Brouillard ventes'!$J$297=""),0,'Brouillard ventes'!$I$297)</f>
        <v/>
      </c>
      <c r="M584" s="23" t="n">
        <v>0</v>
      </c>
    </row>
    <row r="585">
      <c r="A585" s="22" t="inlineStr">
        <is>
          <t>1</t>
        </is>
      </c>
      <c r="B585" s="22">
        <f>IF(OR('Brouillard ventes'!$F$297="",'Brouillard ventes'!$J$297="À crédit",'Brouillard ventes'!$J$297=""),"","EC"&amp;TEXT(ROW('Brouillard ventes'!$F$297)-5,"00000"))</f>
        <v/>
      </c>
      <c r="C585" s="22">
        <f>IF(OR('Brouillard ventes'!$F$297="",'Brouillard ventes'!$J$297="À crédit",'Brouillard ventes'!$J$297=""),"",YEAR('Brouillard ventes'!$A$297)*10000+MONTH('Brouillard ventes'!$A$297)*100+DAY('Brouillard ventes'!$A$297))</f>
        <v/>
      </c>
      <c r="D585" s="22">
        <f>IF(OR('Brouillard ventes'!$F$297="",'Brouillard ventes'!$J$297="À crédit",'Brouillard ventes'!$J$297=""),"",'Brouillard ventes'!$B$297)</f>
        <v/>
      </c>
      <c r="E585" s="22">
        <f>IF(OR('Brouillard ventes'!$F$297="",'Brouillard ventes'!$J$297="À crédit",'Brouillard ventes'!$J$297=""),"","REGL "&amp;LEFT('Brouillard ventes'!$D$297,25))</f>
        <v/>
      </c>
      <c r="F585" s="22">
        <f>IF(OR('Brouillard ventes'!$F$297="",'Brouillard ventes'!$J$297="À crédit",'Brouillard ventes'!$J$297=""),"",IF('Brouillard ventes'!$J$297="Espèces","04001","02001"))</f>
        <v/>
      </c>
      <c r="G585" s="22">
        <f>IF(OR('Brouillard ventes'!$F$297="",'Brouillard ventes'!$J$297="À crédit",'Brouillard ventes'!$J$297=""),"",Paramètres!$B$7)</f>
        <v/>
      </c>
      <c r="H585" s="22">
        <f>IF(OR('Brouillard ventes'!$F$297="",'Brouillard ventes'!$J$297="À crédit",'Brouillard ventes'!$J$297=""),"",IF('Brouillard ventes'!$C$297="","CD001",'Brouillard ventes'!$C$297))</f>
        <v/>
      </c>
      <c r="I585" s="22" t="inlineStr"/>
      <c r="J585" s="22" t="inlineStr"/>
      <c r="K585" s="22">
        <f>IF(OR('Brouillard ventes'!$F$297="",'Brouillard ventes'!$J$297="À crédit",'Brouillard ventes'!$J$297=""),"",Paramètres!$B$11)</f>
        <v/>
      </c>
      <c r="L585" s="23" t="n">
        <v>0</v>
      </c>
      <c r="M585" s="23">
        <f>IF(OR('Brouillard ventes'!$F$297="",'Brouillard ventes'!$J$297="À crédit",'Brouillard ventes'!$J$297=""),0,'Brouillard ventes'!$I$297)</f>
        <v/>
      </c>
    </row>
    <row r="586">
      <c r="A586" s="22" t="inlineStr">
        <is>
          <t>1</t>
        </is>
      </c>
      <c r="B586" s="22">
        <f>IF(OR('Brouillard ventes'!$F$298="",'Brouillard ventes'!$J$298="À crédit",'Brouillard ventes'!$J$298=""),"","EC"&amp;TEXT(ROW('Brouillard ventes'!$F$298)-5,"00000"))</f>
        <v/>
      </c>
      <c r="C586" s="22">
        <f>IF(OR('Brouillard ventes'!$F$298="",'Brouillard ventes'!$J$298="À crédit",'Brouillard ventes'!$J$298=""),"",YEAR('Brouillard ventes'!$A$298)*10000+MONTH('Brouillard ventes'!$A$298)*100+DAY('Brouillard ventes'!$A$298))</f>
        <v/>
      </c>
      <c r="D586" s="22">
        <f>IF(OR('Brouillard ventes'!$F$298="",'Brouillard ventes'!$J$298="À crédit",'Brouillard ventes'!$J$298=""),"",'Brouillard ventes'!$B$298)</f>
        <v/>
      </c>
      <c r="E586" s="22">
        <f>IF(OR('Brouillard ventes'!$F$298="",'Brouillard ventes'!$J$298="À crédit",'Brouillard ventes'!$J$298=""),"","REGL "&amp;LEFT('Brouillard ventes'!$D$298,25))</f>
        <v/>
      </c>
      <c r="F586" s="22">
        <f>IF(OR('Brouillard ventes'!$F$298="",'Brouillard ventes'!$J$298="À crédit",'Brouillard ventes'!$J$298=""),"",IF('Brouillard ventes'!$J$298="Espèces","04001","02001"))</f>
        <v/>
      </c>
      <c r="G586" s="22">
        <f>IF(OR('Brouillard ventes'!$F$298="",'Brouillard ventes'!$J$298="À crédit",'Brouillard ventes'!$J$298=""),"",IF('Brouillard ventes'!$J$298="Espèces","53000","51220"))</f>
        <v/>
      </c>
      <c r="H586" s="22" t="inlineStr"/>
      <c r="I586" s="22" t="inlineStr"/>
      <c r="J586" s="22" t="inlineStr"/>
      <c r="K586" s="22">
        <f>IF(OR('Brouillard ventes'!$F$298="",'Brouillard ventes'!$J$298="À crédit",'Brouillard ventes'!$J$298=""),"",Paramètres!$B$11)</f>
        <v/>
      </c>
      <c r="L586" s="23">
        <f>IF(OR('Brouillard ventes'!$F$298="",'Brouillard ventes'!$J$298="À crédit",'Brouillard ventes'!$J$298=""),0,'Brouillard ventes'!$I$298)</f>
        <v/>
      </c>
      <c r="M586" s="23" t="n">
        <v>0</v>
      </c>
    </row>
    <row r="587">
      <c r="A587" s="22" t="inlineStr">
        <is>
          <t>1</t>
        </is>
      </c>
      <c r="B587" s="22">
        <f>IF(OR('Brouillard ventes'!$F$298="",'Brouillard ventes'!$J$298="À crédit",'Brouillard ventes'!$J$298=""),"","EC"&amp;TEXT(ROW('Brouillard ventes'!$F$298)-5,"00000"))</f>
        <v/>
      </c>
      <c r="C587" s="22">
        <f>IF(OR('Brouillard ventes'!$F$298="",'Brouillard ventes'!$J$298="À crédit",'Brouillard ventes'!$J$298=""),"",YEAR('Brouillard ventes'!$A$298)*10000+MONTH('Brouillard ventes'!$A$298)*100+DAY('Brouillard ventes'!$A$298))</f>
        <v/>
      </c>
      <c r="D587" s="22">
        <f>IF(OR('Brouillard ventes'!$F$298="",'Brouillard ventes'!$J$298="À crédit",'Brouillard ventes'!$J$298=""),"",'Brouillard ventes'!$B$298)</f>
        <v/>
      </c>
      <c r="E587" s="22">
        <f>IF(OR('Brouillard ventes'!$F$298="",'Brouillard ventes'!$J$298="À crédit",'Brouillard ventes'!$J$298=""),"","REGL "&amp;LEFT('Brouillard ventes'!$D$298,25))</f>
        <v/>
      </c>
      <c r="F587" s="22">
        <f>IF(OR('Brouillard ventes'!$F$298="",'Brouillard ventes'!$J$298="À crédit",'Brouillard ventes'!$J$298=""),"",IF('Brouillard ventes'!$J$298="Espèces","04001","02001"))</f>
        <v/>
      </c>
      <c r="G587" s="22">
        <f>IF(OR('Brouillard ventes'!$F$298="",'Brouillard ventes'!$J$298="À crédit",'Brouillard ventes'!$J$298=""),"",Paramètres!$B$7)</f>
        <v/>
      </c>
      <c r="H587" s="22">
        <f>IF(OR('Brouillard ventes'!$F$298="",'Brouillard ventes'!$J$298="À crédit",'Brouillard ventes'!$J$298=""),"",IF('Brouillard ventes'!$C$298="","CD001",'Brouillard ventes'!$C$298))</f>
        <v/>
      </c>
      <c r="I587" s="22" t="inlineStr"/>
      <c r="J587" s="22" t="inlineStr"/>
      <c r="K587" s="22">
        <f>IF(OR('Brouillard ventes'!$F$298="",'Brouillard ventes'!$J$298="À crédit",'Brouillard ventes'!$J$298=""),"",Paramètres!$B$11)</f>
        <v/>
      </c>
      <c r="L587" s="23" t="n">
        <v>0</v>
      </c>
      <c r="M587" s="23">
        <f>IF(OR('Brouillard ventes'!$F$298="",'Brouillard ventes'!$J$298="À crédit",'Brouillard ventes'!$J$298=""),0,'Brouillard ventes'!$I$298)</f>
        <v/>
      </c>
    </row>
    <row r="588">
      <c r="A588" s="22" t="inlineStr">
        <is>
          <t>1</t>
        </is>
      </c>
      <c r="B588" s="22">
        <f>IF(OR('Brouillard ventes'!$F$299="",'Brouillard ventes'!$J$299="À crédit",'Brouillard ventes'!$J$299=""),"","EC"&amp;TEXT(ROW('Brouillard ventes'!$F$299)-5,"00000"))</f>
        <v/>
      </c>
      <c r="C588" s="22">
        <f>IF(OR('Brouillard ventes'!$F$299="",'Brouillard ventes'!$J$299="À crédit",'Brouillard ventes'!$J$299=""),"",YEAR('Brouillard ventes'!$A$299)*10000+MONTH('Brouillard ventes'!$A$299)*100+DAY('Brouillard ventes'!$A$299))</f>
        <v/>
      </c>
      <c r="D588" s="22">
        <f>IF(OR('Brouillard ventes'!$F$299="",'Brouillard ventes'!$J$299="À crédit",'Brouillard ventes'!$J$299=""),"",'Brouillard ventes'!$B$299)</f>
        <v/>
      </c>
      <c r="E588" s="22">
        <f>IF(OR('Brouillard ventes'!$F$299="",'Brouillard ventes'!$J$299="À crédit",'Brouillard ventes'!$J$299=""),"","REGL "&amp;LEFT('Brouillard ventes'!$D$299,25))</f>
        <v/>
      </c>
      <c r="F588" s="22">
        <f>IF(OR('Brouillard ventes'!$F$299="",'Brouillard ventes'!$J$299="À crédit",'Brouillard ventes'!$J$299=""),"",IF('Brouillard ventes'!$J$299="Espèces","04001","02001"))</f>
        <v/>
      </c>
      <c r="G588" s="22">
        <f>IF(OR('Brouillard ventes'!$F$299="",'Brouillard ventes'!$J$299="À crédit",'Brouillard ventes'!$J$299=""),"",IF('Brouillard ventes'!$J$299="Espèces","53000","51220"))</f>
        <v/>
      </c>
      <c r="H588" s="22" t="inlineStr"/>
      <c r="I588" s="22" t="inlineStr"/>
      <c r="J588" s="22" t="inlineStr"/>
      <c r="K588" s="22">
        <f>IF(OR('Brouillard ventes'!$F$299="",'Brouillard ventes'!$J$299="À crédit",'Brouillard ventes'!$J$299=""),"",Paramètres!$B$11)</f>
        <v/>
      </c>
      <c r="L588" s="23">
        <f>IF(OR('Brouillard ventes'!$F$299="",'Brouillard ventes'!$J$299="À crédit",'Brouillard ventes'!$J$299=""),0,'Brouillard ventes'!$I$299)</f>
        <v/>
      </c>
      <c r="M588" s="23" t="n">
        <v>0</v>
      </c>
    </row>
    <row r="589">
      <c r="A589" s="22" t="inlineStr">
        <is>
          <t>1</t>
        </is>
      </c>
      <c r="B589" s="22">
        <f>IF(OR('Brouillard ventes'!$F$299="",'Brouillard ventes'!$J$299="À crédit",'Brouillard ventes'!$J$299=""),"","EC"&amp;TEXT(ROW('Brouillard ventes'!$F$299)-5,"00000"))</f>
        <v/>
      </c>
      <c r="C589" s="22">
        <f>IF(OR('Brouillard ventes'!$F$299="",'Brouillard ventes'!$J$299="À crédit",'Brouillard ventes'!$J$299=""),"",YEAR('Brouillard ventes'!$A$299)*10000+MONTH('Brouillard ventes'!$A$299)*100+DAY('Brouillard ventes'!$A$299))</f>
        <v/>
      </c>
      <c r="D589" s="22">
        <f>IF(OR('Brouillard ventes'!$F$299="",'Brouillard ventes'!$J$299="À crédit",'Brouillard ventes'!$J$299=""),"",'Brouillard ventes'!$B$299)</f>
        <v/>
      </c>
      <c r="E589" s="22">
        <f>IF(OR('Brouillard ventes'!$F$299="",'Brouillard ventes'!$J$299="À crédit",'Brouillard ventes'!$J$299=""),"","REGL "&amp;LEFT('Brouillard ventes'!$D$299,25))</f>
        <v/>
      </c>
      <c r="F589" s="22">
        <f>IF(OR('Brouillard ventes'!$F$299="",'Brouillard ventes'!$J$299="À crédit",'Brouillard ventes'!$J$299=""),"",IF('Brouillard ventes'!$J$299="Espèces","04001","02001"))</f>
        <v/>
      </c>
      <c r="G589" s="22">
        <f>IF(OR('Brouillard ventes'!$F$299="",'Brouillard ventes'!$J$299="À crédit",'Brouillard ventes'!$J$299=""),"",Paramètres!$B$7)</f>
        <v/>
      </c>
      <c r="H589" s="22">
        <f>IF(OR('Brouillard ventes'!$F$299="",'Brouillard ventes'!$J$299="À crédit",'Brouillard ventes'!$J$299=""),"",IF('Brouillard ventes'!$C$299="","CD001",'Brouillard ventes'!$C$299))</f>
        <v/>
      </c>
      <c r="I589" s="22" t="inlineStr"/>
      <c r="J589" s="22" t="inlineStr"/>
      <c r="K589" s="22">
        <f>IF(OR('Brouillard ventes'!$F$299="",'Brouillard ventes'!$J$299="À crédit",'Brouillard ventes'!$J$299=""),"",Paramètres!$B$11)</f>
        <v/>
      </c>
      <c r="L589" s="23" t="n">
        <v>0</v>
      </c>
      <c r="M589" s="23">
        <f>IF(OR('Brouillard ventes'!$F$299="",'Brouillard ventes'!$J$299="À crédit",'Brouillard ventes'!$J$299=""),0,'Brouillard ventes'!$I$299)</f>
        <v/>
      </c>
    </row>
    <row r="590">
      <c r="A590" s="22" t="inlineStr">
        <is>
          <t>1</t>
        </is>
      </c>
      <c r="B590" s="22">
        <f>IF(OR('Brouillard ventes'!$F$300="",'Brouillard ventes'!$J$300="À crédit",'Brouillard ventes'!$J$300=""),"","EC"&amp;TEXT(ROW('Brouillard ventes'!$F$300)-5,"00000"))</f>
        <v/>
      </c>
      <c r="C590" s="22">
        <f>IF(OR('Brouillard ventes'!$F$300="",'Brouillard ventes'!$J$300="À crédit",'Brouillard ventes'!$J$300=""),"",YEAR('Brouillard ventes'!$A$300)*10000+MONTH('Brouillard ventes'!$A$300)*100+DAY('Brouillard ventes'!$A$300))</f>
        <v/>
      </c>
      <c r="D590" s="22">
        <f>IF(OR('Brouillard ventes'!$F$300="",'Brouillard ventes'!$J$300="À crédit",'Brouillard ventes'!$J$300=""),"",'Brouillard ventes'!$B$300)</f>
        <v/>
      </c>
      <c r="E590" s="22">
        <f>IF(OR('Brouillard ventes'!$F$300="",'Brouillard ventes'!$J$300="À crédit",'Brouillard ventes'!$J$300=""),"","REGL "&amp;LEFT('Brouillard ventes'!$D$300,25))</f>
        <v/>
      </c>
      <c r="F590" s="22">
        <f>IF(OR('Brouillard ventes'!$F$300="",'Brouillard ventes'!$J$300="À crédit",'Brouillard ventes'!$J$300=""),"",IF('Brouillard ventes'!$J$300="Espèces","04001","02001"))</f>
        <v/>
      </c>
      <c r="G590" s="22">
        <f>IF(OR('Brouillard ventes'!$F$300="",'Brouillard ventes'!$J$300="À crédit",'Brouillard ventes'!$J$300=""),"",IF('Brouillard ventes'!$J$300="Espèces","53000","51220"))</f>
        <v/>
      </c>
      <c r="H590" s="22" t="inlineStr"/>
      <c r="I590" s="22" t="inlineStr"/>
      <c r="J590" s="22" t="inlineStr"/>
      <c r="K590" s="22">
        <f>IF(OR('Brouillard ventes'!$F$300="",'Brouillard ventes'!$J$300="À crédit",'Brouillard ventes'!$J$300=""),"",Paramètres!$B$11)</f>
        <v/>
      </c>
      <c r="L590" s="23">
        <f>IF(OR('Brouillard ventes'!$F$300="",'Brouillard ventes'!$J$300="À crédit",'Brouillard ventes'!$J$300=""),0,'Brouillard ventes'!$I$300)</f>
        <v/>
      </c>
      <c r="M590" s="23" t="n">
        <v>0</v>
      </c>
    </row>
    <row r="591">
      <c r="A591" s="22" t="inlineStr">
        <is>
          <t>1</t>
        </is>
      </c>
      <c r="B591" s="22">
        <f>IF(OR('Brouillard ventes'!$F$300="",'Brouillard ventes'!$J$300="À crédit",'Brouillard ventes'!$J$300=""),"","EC"&amp;TEXT(ROW('Brouillard ventes'!$F$300)-5,"00000"))</f>
        <v/>
      </c>
      <c r="C591" s="22">
        <f>IF(OR('Brouillard ventes'!$F$300="",'Brouillard ventes'!$J$300="À crédit",'Brouillard ventes'!$J$300=""),"",YEAR('Brouillard ventes'!$A$300)*10000+MONTH('Brouillard ventes'!$A$300)*100+DAY('Brouillard ventes'!$A$300))</f>
        <v/>
      </c>
      <c r="D591" s="22">
        <f>IF(OR('Brouillard ventes'!$F$300="",'Brouillard ventes'!$J$300="À crédit",'Brouillard ventes'!$J$300=""),"",'Brouillard ventes'!$B$300)</f>
        <v/>
      </c>
      <c r="E591" s="22">
        <f>IF(OR('Brouillard ventes'!$F$300="",'Brouillard ventes'!$J$300="À crédit",'Brouillard ventes'!$J$300=""),"","REGL "&amp;LEFT('Brouillard ventes'!$D$300,25))</f>
        <v/>
      </c>
      <c r="F591" s="22">
        <f>IF(OR('Brouillard ventes'!$F$300="",'Brouillard ventes'!$J$300="À crédit",'Brouillard ventes'!$J$300=""),"",IF('Brouillard ventes'!$J$300="Espèces","04001","02001"))</f>
        <v/>
      </c>
      <c r="G591" s="22">
        <f>IF(OR('Brouillard ventes'!$F$300="",'Brouillard ventes'!$J$300="À crédit",'Brouillard ventes'!$J$300=""),"",Paramètres!$B$7)</f>
        <v/>
      </c>
      <c r="H591" s="22">
        <f>IF(OR('Brouillard ventes'!$F$300="",'Brouillard ventes'!$J$300="À crédit",'Brouillard ventes'!$J$300=""),"",IF('Brouillard ventes'!$C$300="","CD001",'Brouillard ventes'!$C$300))</f>
        <v/>
      </c>
      <c r="I591" s="22" t="inlineStr"/>
      <c r="J591" s="22" t="inlineStr"/>
      <c r="K591" s="22">
        <f>IF(OR('Brouillard ventes'!$F$300="",'Brouillard ventes'!$J$300="À crédit",'Brouillard ventes'!$J$300=""),"",Paramètres!$B$11)</f>
        <v/>
      </c>
      <c r="L591" s="23" t="n">
        <v>0</v>
      </c>
      <c r="M591" s="23">
        <f>IF(OR('Brouillard ventes'!$F$300="",'Brouillard ventes'!$J$300="À crédit",'Brouillard ventes'!$J$300=""),0,'Brouillard ventes'!$I$300)</f>
        <v/>
      </c>
    </row>
    <row r="592">
      <c r="A592" s="22" t="inlineStr">
        <is>
          <t>1</t>
        </is>
      </c>
      <c r="B592" s="22">
        <f>IF(OR('Brouillard ventes'!$F$301="",'Brouillard ventes'!$J$301="À crédit",'Brouillard ventes'!$J$301=""),"","EC"&amp;TEXT(ROW('Brouillard ventes'!$F$301)-5,"00000"))</f>
        <v/>
      </c>
      <c r="C592" s="22">
        <f>IF(OR('Brouillard ventes'!$F$301="",'Brouillard ventes'!$J$301="À crédit",'Brouillard ventes'!$J$301=""),"",YEAR('Brouillard ventes'!$A$301)*10000+MONTH('Brouillard ventes'!$A$301)*100+DAY('Brouillard ventes'!$A$301))</f>
        <v/>
      </c>
      <c r="D592" s="22">
        <f>IF(OR('Brouillard ventes'!$F$301="",'Brouillard ventes'!$J$301="À crédit",'Brouillard ventes'!$J$301=""),"",'Brouillard ventes'!$B$301)</f>
        <v/>
      </c>
      <c r="E592" s="22">
        <f>IF(OR('Brouillard ventes'!$F$301="",'Brouillard ventes'!$J$301="À crédit",'Brouillard ventes'!$J$301=""),"","REGL "&amp;LEFT('Brouillard ventes'!$D$301,25))</f>
        <v/>
      </c>
      <c r="F592" s="22">
        <f>IF(OR('Brouillard ventes'!$F$301="",'Brouillard ventes'!$J$301="À crédit",'Brouillard ventes'!$J$301=""),"",IF('Brouillard ventes'!$J$301="Espèces","04001","02001"))</f>
        <v/>
      </c>
      <c r="G592" s="22">
        <f>IF(OR('Brouillard ventes'!$F$301="",'Brouillard ventes'!$J$301="À crédit",'Brouillard ventes'!$J$301=""),"",IF('Brouillard ventes'!$J$301="Espèces","53000","51220"))</f>
        <v/>
      </c>
      <c r="H592" s="22" t="inlineStr"/>
      <c r="I592" s="22" t="inlineStr"/>
      <c r="J592" s="22" t="inlineStr"/>
      <c r="K592" s="22">
        <f>IF(OR('Brouillard ventes'!$F$301="",'Brouillard ventes'!$J$301="À crédit",'Brouillard ventes'!$J$301=""),"",Paramètres!$B$11)</f>
        <v/>
      </c>
      <c r="L592" s="23">
        <f>IF(OR('Brouillard ventes'!$F$301="",'Brouillard ventes'!$J$301="À crédit",'Brouillard ventes'!$J$301=""),0,'Brouillard ventes'!$I$301)</f>
        <v/>
      </c>
      <c r="M592" s="23" t="n">
        <v>0</v>
      </c>
    </row>
    <row r="593">
      <c r="A593" s="22" t="inlineStr">
        <is>
          <t>1</t>
        </is>
      </c>
      <c r="B593" s="22">
        <f>IF(OR('Brouillard ventes'!$F$301="",'Brouillard ventes'!$J$301="À crédit",'Brouillard ventes'!$J$301=""),"","EC"&amp;TEXT(ROW('Brouillard ventes'!$F$301)-5,"00000"))</f>
        <v/>
      </c>
      <c r="C593" s="22">
        <f>IF(OR('Brouillard ventes'!$F$301="",'Brouillard ventes'!$J$301="À crédit",'Brouillard ventes'!$J$301=""),"",YEAR('Brouillard ventes'!$A$301)*10000+MONTH('Brouillard ventes'!$A$301)*100+DAY('Brouillard ventes'!$A$301))</f>
        <v/>
      </c>
      <c r="D593" s="22">
        <f>IF(OR('Brouillard ventes'!$F$301="",'Brouillard ventes'!$J$301="À crédit",'Brouillard ventes'!$J$301=""),"",'Brouillard ventes'!$B$301)</f>
        <v/>
      </c>
      <c r="E593" s="22">
        <f>IF(OR('Brouillard ventes'!$F$301="",'Brouillard ventes'!$J$301="À crédit",'Brouillard ventes'!$J$301=""),"","REGL "&amp;LEFT('Brouillard ventes'!$D$301,25))</f>
        <v/>
      </c>
      <c r="F593" s="22">
        <f>IF(OR('Brouillard ventes'!$F$301="",'Brouillard ventes'!$J$301="À crédit",'Brouillard ventes'!$J$301=""),"",IF('Brouillard ventes'!$J$301="Espèces","04001","02001"))</f>
        <v/>
      </c>
      <c r="G593" s="22">
        <f>IF(OR('Brouillard ventes'!$F$301="",'Brouillard ventes'!$J$301="À crédit",'Brouillard ventes'!$J$301=""),"",Paramètres!$B$7)</f>
        <v/>
      </c>
      <c r="H593" s="22">
        <f>IF(OR('Brouillard ventes'!$F$301="",'Brouillard ventes'!$J$301="À crédit",'Brouillard ventes'!$J$301=""),"",IF('Brouillard ventes'!$C$301="","CD001",'Brouillard ventes'!$C$301))</f>
        <v/>
      </c>
      <c r="I593" s="22" t="inlineStr"/>
      <c r="J593" s="22" t="inlineStr"/>
      <c r="K593" s="22">
        <f>IF(OR('Brouillard ventes'!$F$301="",'Brouillard ventes'!$J$301="À crédit",'Brouillard ventes'!$J$301=""),"",Paramètres!$B$11)</f>
        <v/>
      </c>
      <c r="L593" s="23" t="n">
        <v>0</v>
      </c>
      <c r="M593" s="23">
        <f>IF(OR('Brouillard ventes'!$F$301="",'Brouillard ventes'!$J$301="À crédit",'Brouillard ventes'!$J$301=""),0,'Brouillard ventes'!$I$301)</f>
        <v/>
      </c>
    </row>
    <row r="594">
      <c r="A594" s="22" t="inlineStr">
        <is>
          <t>1</t>
        </is>
      </c>
      <c r="B594" s="22">
        <f>IF(OR('Brouillard ventes'!$F$302="",'Brouillard ventes'!$J$302="À crédit",'Brouillard ventes'!$J$302=""),"","EC"&amp;TEXT(ROW('Brouillard ventes'!$F$302)-5,"00000"))</f>
        <v/>
      </c>
      <c r="C594" s="22">
        <f>IF(OR('Brouillard ventes'!$F$302="",'Brouillard ventes'!$J$302="À crédit",'Brouillard ventes'!$J$302=""),"",YEAR('Brouillard ventes'!$A$302)*10000+MONTH('Brouillard ventes'!$A$302)*100+DAY('Brouillard ventes'!$A$302))</f>
        <v/>
      </c>
      <c r="D594" s="22">
        <f>IF(OR('Brouillard ventes'!$F$302="",'Brouillard ventes'!$J$302="À crédit",'Brouillard ventes'!$J$302=""),"",'Brouillard ventes'!$B$302)</f>
        <v/>
      </c>
      <c r="E594" s="22">
        <f>IF(OR('Brouillard ventes'!$F$302="",'Brouillard ventes'!$J$302="À crédit",'Brouillard ventes'!$J$302=""),"","REGL "&amp;LEFT('Brouillard ventes'!$D$302,25))</f>
        <v/>
      </c>
      <c r="F594" s="22">
        <f>IF(OR('Brouillard ventes'!$F$302="",'Brouillard ventes'!$J$302="À crédit",'Brouillard ventes'!$J$302=""),"",IF('Brouillard ventes'!$J$302="Espèces","04001","02001"))</f>
        <v/>
      </c>
      <c r="G594" s="22">
        <f>IF(OR('Brouillard ventes'!$F$302="",'Brouillard ventes'!$J$302="À crédit",'Brouillard ventes'!$J$302=""),"",IF('Brouillard ventes'!$J$302="Espèces","53000","51220"))</f>
        <v/>
      </c>
      <c r="H594" s="22" t="inlineStr"/>
      <c r="I594" s="22" t="inlineStr"/>
      <c r="J594" s="22" t="inlineStr"/>
      <c r="K594" s="22">
        <f>IF(OR('Brouillard ventes'!$F$302="",'Brouillard ventes'!$J$302="À crédit",'Brouillard ventes'!$J$302=""),"",Paramètres!$B$11)</f>
        <v/>
      </c>
      <c r="L594" s="23">
        <f>IF(OR('Brouillard ventes'!$F$302="",'Brouillard ventes'!$J$302="À crédit",'Brouillard ventes'!$J$302=""),0,'Brouillard ventes'!$I$302)</f>
        <v/>
      </c>
      <c r="M594" s="23" t="n">
        <v>0</v>
      </c>
    </row>
    <row r="595">
      <c r="A595" s="22" t="inlineStr">
        <is>
          <t>1</t>
        </is>
      </c>
      <c r="B595" s="22">
        <f>IF(OR('Brouillard ventes'!$F$302="",'Brouillard ventes'!$J$302="À crédit",'Brouillard ventes'!$J$302=""),"","EC"&amp;TEXT(ROW('Brouillard ventes'!$F$302)-5,"00000"))</f>
        <v/>
      </c>
      <c r="C595" s="22">
        <f>IF(OR('Brouillard ventes'!$F$302="",'Brouillard ventes'!$J$302="À crédit",'Brouillard ventes'!$J$302=""),"",YEAR('Brouillard ventes'!$A$302)*10000+MONTH('Brouillard ventes'!$A$302)*100+DAY('Brouillard ventes'!$A$302))</f>
        <v/>
      </c>
      <c r="D595" s="22">
        <f>IF(OR('Brouillard ventes'!$F$302="",'Brouillard ventes'!$J$302="À crédit",'Brouillard ventes'!$J$302=""),"",'Brouillard ventes'!$B$302)</f>
        <v/>
      </c>
      <c r="E595" s="22">
        <f>IF(OR('Brouillard ventes'!$F$302="",'Brouillard ventes'!$J$302="À crédit",'Brouillard ventes'!$J$302=""),"","REGL "&amp;LEFT('Brouillard ventes'!$D$302,25))</f>
        <v/>
      </c>
      <c r="F595" s="22">
        <f>IF(OR('Brouillard ventes'!$F$302="",'Brouillard ventes'!$J$302="À crédit",'Brouillard ventes'!$J$302=""),"",IF('Brouillard ventes'!$J$302="Espèces","04001","02001"))</f>
        <v/>
      </c>
      <c r="G595" s="22">
        <f>IF(OR('Brouillard ventes'!$F$302="",'Brouillard ventes'!$J$302="À crédit",'Brouillard ventes'!$J$302=""),"",Paramètres!$B$7)</f>
        <v/>
      </c>
      <c r="H595" s="22">
        <f>IF(OR('Brouillard ventes'!$F$302="",'Brouillard ventes'!$J$302="À crédit",'Brouillard ventes'!$J$302=""),"",IF('Brouillard ventes'!$C$302="","CD001",'Brouillard ventes'!$C$302))</f>
        <v/>
      </c>
      <c r="I595" s="22" t="inlineStr"/>
      <c r="J595" s="22" t="inlineStr"/>
      <c r="K595" s="22">
        <f>IF(OR('Brouillard ventes'!$F$302="",'Brouillard ventes'!$J$302="À crédit",'Brouillard ventes'!$J$302=""),"",Paramètres!$B$11)</f>
        <v/>
      </c>
      <c r="L595" s="23" t="n">
        <v>0</v>
      </c>
      <c r="M595" s="23">
        <f>IF(OR('Brouillard ventes'!$F$302="",'Brouillard ventes'!$J$302="À crédit",'Brouillard ventes'!$J$302=""),0,'Brouillard ventes'!$I$302)</f>
        <v/>
      </c>
    </row>
    <row r="596">
      <c r="A596" s="22" t="inlineStr">
        <is>
          <t>1</t>
        </is>
      </c>
      <c r="B596" s="22">
        <f>IF(OR('Brouillard ventes'!$F$303="",'Brouillard ventes'!$J$303="À crédit",'Brouillard ventes'!$J$303=""),"","EC"&amp;TEXT(ROW('Brouillard ventes'!$F$303)-5,"00000"))</f>
        <v/>
      </c>
      <c r="C596" s="22">
        <f>IF(OR('Brouillard ventes'!$F$303="",'Brouillard ventes'!$J$303="À crédit",'Brouillard ventes'!$J$303=""),"",YEAR('Brouillard ventes'!$A$303)*10000+MONTH('Brouillard ventes'!$A$303)*100+DAY('Brouillard ventes'!$A$303))</f>
        <v/>
      </c>
      <c r="D596" s="22">
        <f>IF(OR('Brouillard ventes'!$F$303="",'Brouillard ventes'!$J$303="À crédit",'Brouillard ventes'!$J$303=""),"",'Brouillard ventes'!$B$303)</f>
        <v/>
      </c>
      <c r="E596" s="22">
        <f>IF(OR('Brouillard ventes'!$F$303="",'Brouillard ventes'!$J$303="À crédit",'Brouillard ventes'!$J$303=""),"","REGL "&amp;LEFT('Brouillard ventes'!$D$303,25))</f>
        <v/>
      </c>
      <c r="F596" s="22">
        <f>IF(OR('Brouillard ventes'!$F$303="",'Brouillard ventes'!$J$303="À crédit",'Brouillard ventes'!$J$303=""),"",IF('Brouillard ventes'!$J$303="Espèces","04001","02001"))</f>
        <v/>
      </c>
      <c r="G596" s="22">
        <f>IF(OR('Brouillard ventes'!$F$303="",'Brouillard ventes'!$J$303="À crédit",'Brouillard ventes'!$J$303=""),"",IF('Brouillard ventes'!$J$303="Espèces","53000","51220"))</f>
        <v/>
      </c>
      <c r="H596" s="22" t="inlineStr"/>
      <c r="I596" s="22" t="inlineStr"/>
      <c r="J596" s="22" t="inlineStr"/>
      <c r="K596" s="22">
        <f>IF(OR('Brouillard ventes'!$F$303="",'Brouillard ventes'!$J$303="À crédit",'Brouillard ventes'!$J$303=""),"",Paramètres!$B$11)</f>
        <v/>
      </c>
      <c r="L596" s="23">
        <f>IF(OR('Brouillard ventes'!$F$303="",'Brouillard ventes'!$J$303="À crédit",'Brouillard ventes'!$J$303=""),0,'Brouillard ventes'!$I$303)</f>
        <v/>
      </c>
      <c r="M596" s="23" t="n">
        <v>0</v>
      </c>
    </row>
    <row r="597">
      <c r="A597" s="22" t="inlineStr">
        <is>
          <t>1</t>
        </is>
      </c>
      <c r="B597" s="22">
        <f>IF(OR('Brouillard ventes'!$F$303="",'Brouillard ventes'!$J$303="À crédit",'Brouillard ventes'!$J$303=""),"","EC"&amp;TEXT(ROW('Brouillard ventes'!$F$303)-5,"00000"))</f>
        <v/>
      </c>
      <c r="C597" s="22">
        <f>IF(OR('Brouillard ventes'!$F$303="",'Brouillard ventes'!$J$303="À crédit",'Brouillard ventes'!$J$303=""),"",YEAR('Brouillard ventes'!$A$303)*10000+MONTH('Brouillard ventes'!$A$303)*100+DAY('Brouillard ventes'!$A$303))</f>
        <v/>
      </c>
      <c r="D597" s="22">
        <f>IF(OR('Brouillard ventes'!$F$303="",'Brouillard ventes'!$J$303="À crédit",'Brouillard ventes'!$J$303=""),"",'Brouillard ventes'!$B$303)</f>
        <v/>
      </c>
      <c r="E597" s="22">
        <f>IF(OR('Brouillard ventes'!$F$303="",'Brouillard ventes'!$J$303="À crédit",'Brouillard ventes'!$J$303=""),"","REGL "&amp;LEFT('Brouillard ventes'!$D$303,25))</f>
        <v/>
      </c>
      <c r="F597" s="22">
        <f>IF(OR('Brouillard ventes'!$F$303="",'Brouillard ventes'!$J$303="À crédit",'Brouillard ventes'!$J$303=""),"",IF('Brouillard ventes'!$J$303="Espèces","04001","02001"))</f>
        <v/>
      </c>
      <c r="G597" s="22">
        <f>IF(OR('Brouillard ventes'!$F$303="",'Brouillard ventes'!$J$303="À crédit",'Brouillard ventes'!$J$303=""),"",Paramètres!$B$7)</f>
        <v/>
      </c>
      <c r="H597" s="22">
        <f>IF(OR('Brouillard ventes'!$F$303="",'Brouillard ventes'!$J$303="À crédit",'Brouillard ventes'!$J$303=""),"",IF('Brouillard ventes'!$C$303="","CD001",'Brouillard ventes'!$C$303))</f>
        <v/>
      </c>
      <c r="I597" s="22" t="inlineStr"/>
      <c r="J597" s="22" t="inlineStr"/>
      <c r="K597" s="22">
        <f>IF(OR('Brouillard ventes'!$F$303="",'Brouillard ventes'!$J$303="À crédit",'Brouillard ventes'!$J$303=""),"",Paramètres!$B$11)</f>
        <v/>
      </c>
      <c r="L597" s="23" t="n">
        <v>0</v>
      </c>
      <c r="M597" s="23">
        <f>IF(OR('Brouillard ventes'!$F$303="",'Brouillard ventes'!$J$303="À crédit",'Brouillard ventes'!$J$303=""),0,'Brouillard ventes'!$I$303)</f>
        <v/>
      </c>
    </row>
    <row r="598">
      <c r="A598" s="22" t="inlineStr">
        <is>
          <t>1</t>
        </is>
      </c>
      <c r="B598" s="22">
        <f>IF(OR('Brouillard ventes'!$F$304="",'Brouillard ventes'!$J$304="À crédit",'Brouillard ventes'!$J$304=""),"","EC"&amp;TEXT(ROW('Brouillard ventes'!$F$304)-5,"00000"))</f>
        <v/>
      </c>
      <c r="C598" s="22">
        <f>IF(OR('Brouillard ventes'!$F$304="",'Brouillard ventes'!$J$304="À crédit",'Brouillard ventes'!$J$304=""),"",YEAR('Brouillard ventes'!$A$304)*10000+MONTH('Brouillard ventes'!$A$304)*100+DAY('Brouillard ventes'!$A$304))</f>
        <v/>
      </c>
      <c r="D598" s="22">
        <f>IF(OR('Brouillard ventes'!$F$304="",'Brouillard ventes'!$J$304="À crédit",'Brouillard ventes'!$J$304=""),"",'Brouillard ventes'!$B$304)</f>
        <v/>
      </c>
      <c r="E598" s="22">
        <f>IF(OR('Brouillard ventes'!$F$304="",'Brouillard ventes'!$J$304="À crédit",'Brouillard ventes'!$J$304=""),"","REGL "&amp;LEFT('Brouillard ventes'!$D$304,25))</f>
        <v/>
      </c>
      <c r="F598" s="22">
        <f>IF(OR('Brouillard ventes'!$F$304="",'Brouillard ventes'!$J$304="À crédit",'Brouillard ventes'!$J$304=""),"",IF('Brouillard ventes'!$J$304="Espèces","04001","02001"))</f>
        <v/>
      </c>
      <c r="G598" s="22">
        <f>IF(OR('Brouillard ventes'!$F$304="",'Brouillard ventes'!$J$304="À crédit",'Brouillard ventes'!$J$304=""),"",IF('Brouillard ventes'!$J$304="Espèces","53000","51220"))</f>
        <v/>
      </c>
      <c r="H598" s="22" t="inlineStr"/>
      <c r="I598" s="22" t="inlineStr"/>
      <c r="J598" s="22" t="inlineStr"/>
      <c r="K598" s="22">
        <f>IF(OR('Brouillard ventes'!$F$304="",'Brouillard ventes'!$J$304="À crédit",'Brouillard ventes'!$J$304=""),"",Paramètres!$B$11)</f>
        <v/>
      </c>
      <c r="L598" s="23">
        <f>IF(OR('Brouillard ventes'!$F$304="",'Brouillard ventes'!$J$304="À crédit",'Brouillard ventes'!$J$304=""),0,'Brouillard ventes'!$I$304)</f>
        <v/>
      </c>
      <c r="M598" s="23" t="n">
        <v>0</v>
      </c>
    </row>
    <row r="599">
      <c r="A599" s="22" t="inlineStr">
        <is>
          <t>1</t>
        </is>
      </c>
      <c r="B599" s="22">
        <f>IF(OR('Brouillard ventes'!$F$304="",'Brouillard ventes'!$J$304="À crédit",'Brouillard ventes'!$J$304=""),"","EC"&amp;TEXT(ROW('Brouillard ventes'!$F$304)-5,"00000"))</f>
        <v/>
      </c>
      <c r="C599" s="22">
        <f>IF(OR('Brouillard ventes'!$F$304="",'Brouillard ventes'!$J$304="À crédit",'Brouillard ventes'!$J$304=""),"",YEAR('Brouillard ventes'!$A$304)*10000+MONTH('Brouillard ventes'!$A$304)*100+DAY('Brouillard ventes'!$A$304))</f>
        <v/>
      </c>
      <c r="D599" s="22">
        <f>IF(OR('Brouillard ventes'!$F$304="",'Brouillard ventes'!$J$304="À crédit",'Brouillard ventes'!$J$304=""),"",'Brouillard ventes'!$B$304)</f>
        <v/>
      </c>
      <c r="E599" s="22">
        <f>IF(OR('Brouillard ventes'!$F$304="",'Brouillard ventes'!$J$304="À crédit",'Brouillard ventes'!$J$304=""),"","REGL "&amp;LEFT('Brouillard ventes'!$D$304,25))</f>
        <v/>
      </c>
      <c r="F599" s="22">
        <f>IF(OR('Brouillard ventes'!$F$304="",'Brouillard ventes'!$J$304="À crédit",'Brouillard ventes'!$J$304=""),"",IF('Brouillard ventes'!$J$304="Espèces","04001","02001"))</f>
        <v/>
      </c>
      <c r="G599" s="22">
        <f>IF(OR('Brouillard ventes'!$F$304="",'Brouillard ventes'!$J$304="À crédit",'Brouillard ventes'!$J$304=""),"",Paramètres!$B$7)</f>
        <v/>
      </c>
      <c r="H599" s="22">
        <f>IF(OR('Brouillard ventes'!$F$304="",'Brouillard ventes'!$J$304="À crédit",'Brouillard ventes'!$J$304=""),"",IF('Brouillard ventes'!$C$304="","CD001",'Brouillard ventes'!$C$304))</f>
        <v/>
      </c>
      <c r="I599" s="22" t="inlineStr"/>
      <c r="J599" s="22" t="inlineStr"/>
      <c r="K599" s="22">
        <f>IF(OR('Brouillard ventes'!$F$304="",'Brouillard ventes'!$J$304="À crédit",'Brouillard ventes'!$J$304=""),"",Paramètres!$B$11)</f>
        <v/>
      </c>
      <c r="L599" s="23" t="n">
        <v>0</v>
      </c>
      <c r="M599" s="23">
        <f>IF(OR('Brouillard ventes'!$F$304="",'Brouillard ventes'!$J$304="À crédit",'Brouillard ventes'!$J$304=""),0,'Brouillard ventes'!$I$304)</f>
        <v/>
      </c>
    </row>
    <row r="600">
      <c r="A600" s="22" t="inlineStr">
        <is>
          <t>1</t>
        </is>
      </c>
      <c r="B600" s="22">
        <f>IF(OR('Brouillard ventes'!$F$305="",'Brouillard ventes'!$J$305="À crédit",'Brouillard ventes'!$J$305=""),"","EC"&amp;TEXT(ROW('Brouillard ventes'!$F$305)-5,"00000"))</f>
        <v/>
      </c>
      <c r="C600" s="22">
        <f>IF(OR('Brouillard ventes'!$F$305="",'Brouillard ventes'!$J$305="À crédit",'Brouillard ventes'!$J$305=""),"",YEAR('Brouillard ventes'!$A$305)*10000+MONTH('Brouillard ventes'!$A$305)*100+DAY('Brouillard ventes'!$A$305))</f>
        <v/>
      </c>
      <c r="D600" s="22">
        <f>IF(OR('Brouillard ventes'!$F$305="",'Brouillard ventes'!$J$305="À crédit",'Brouillard ventes'!$J$305=""),"",'Brouillard ventes'!$B$305)</f>
        <v/>
      </c>
      <c r="E600" s="22">
        <f>IF(OR('Brouillard ventes'!$F$305="",'Brouillard ventes'!$J$305="À crédit",'Brouillard ventes'!$J$305=""),"","REGL "&amp;LEFT('Brouillard ventes'!$D$305,25))</f>
        <v/>
      </c>
      <c r="F600" s="22">
        <f>IF(OR('Brouillard ventes'!$F$305="",'Brouillard ventes'!$J$305="À crédit",'Brouillard ventes'!$J$305=""),"",IF('Brouillard ventes'!$J$305="Espèces","04001","02001"))</f>
        <v/>
      </c>
      <c r="G600" s="22">
        <f>IF(OR('Brouillard ventes'!$F$305="",'Brouillard ventes'!$J$305="À crédit",'Brouillard ventes'!$J$305=""),"",IF('Brouillard ventes'!$J$305="Espèces","53000","51220"))</f>
        <v/>
      </c>
      <c r="H600" s="22" t="inlineStr"/>
      <c r="I600" s="22" t="inlineStr"/>
      <c r="J600" s="22" t="inlineStr"/>
      <c r="K600" s="22">
        <f>IF(OR('Brouillard ventes'!$F$305="",'Brouillard ventes'!$J$305="À crédit",'Brouillard ventes'!$J$305=""),"",Paramètres!$B$11)</f>
        <v/>
      </c>
      <c r="L600" s="23">
        <f>IF(OR('Brouillard ventes'!$F$305="",'Brouillard ventes'!$J$305="À crédit",'Brouillard ventes'!$J$305=""),0,'Brouillard ventes'!$I$305)</f>
        <v/>
      </c>
      <c r="M600" s="23" t="n">
        <v>0</v>
      </c>
    </row>
    <row r="601">
      <c r="A601" s="22" t="inlineStr">
        <is>
          <t>1</t>
        </is>
      </c>
      <c r="B601" s="22">
        <f>IF(OR('Brouillard ventes'!$F$305="",'Brouillard ventes'!$J$305="À crédit",'Brouillard ventes'!$J$305=""),"","EC"&amp;TEXT(ROW('Brouillard ventes'!$F$305)-5,"00000"))</f>
        <v/>
      </c>
      <c r="C601" s="22">
        <f>IF(OR('Brouillard ventes'!$F$305="",'Brouillard ventes'!$J$305="À crédit",'Brouillard ventes'!$J$305=""),"",YEAR('Brouillard ventes'!$A$305)*10000+MONTH('Brouillard ventes'!$A$305)*100+DAY('Brouillard ventes'!$A$305))</f>
        <v/>
      </c>
      <c r="D601" s="22">
        <f>IF(OR('Brouillard ventes'!$F$305="",'Brouillard ventes'!$J$305="À crédit",'Brouillard ventes'!$J$305=""),"",'Brouillard ventes'!$B$305)</f>
        <v/>
      </c>
      <c r="E601" s="22">
        <f>IF(OR('Brouillard ventes'!$F$305="",'Brouillard ventes'!$J$305="À crédit",'Brouillard ventes'!$J$305=""),"","REGL "&amp;LEFT('Brouillard ventes'!$D$305,25))</f>
        <v/>
      </c>
      <c r="F601" s="22">
        <f>IF(OR('Brouillard ventes'!$F$305="",'Brouillard ventes'!$J$305="À crédit",'Brouillard ventes'!$J$305=""),"",IF('Brouillard ventes'!$J$305="Espèces","04001","02001"))</f>
        <v/>
      </c>
      <c r="G601" s="22">
        <f>IF(OR('Brouillard ventes'!$F$305="",'Brouillard ventes'!$J$305="À crédit",'Brouillard ventes'!$J$305=""),"",Paramètres!$B$7)</f>
        <v/>
      </c>
      <c r="H601" s="22">
        <f>IF(OR('Brouillard ventes'!$F$305="",'Brouillard ventes'!$J$305="À crédit",'Brouillard ventes'!$J$305=""),"",IF('Brouillard ventes'!$C$305="","CD001",'Brouillard ventes'!$C$305))</f>
        <v/>
      </c>
      <c r="I601" s="22" t="inlineStr"/>
      <c r="J601" s="22" t="inlineStr"/>
      <c r="K601" s="22">
        <f>IF(OR('Brouillard ventes'!$F$305="",'Brouillard ventes'!$J$305="À crédit",'Brouillard ventes'!$J$305=""),"",Paramètres!$B$11)</f>
        <v/>
      </c>
      <c r="L601" s="23" t="n">
        <v>0</v>
      </c>
      <c r="M601" s="23">
        <f>IF(OR('Brouillard ventes'!$F$305="",'Brouillard ventes'!$J$305="À crédit",'Brouillard ventes'!$J$305=""),0,'Brouillard ventes'!$I$305)</f>
        <v/>
      </c>
    </row>
    <row r="603">
      <c r="E603" s="5" t="inlineStr">
        <is>
          <t>TOTAL</t>
        </is>
      </c>
      <c r="L603" s="24">
        <f>SUM(L2:L601)</f>
        <v/>
      </c>
      <c r="M603" s="24">
        <f>SUM(M2:M601)</f>
        <v/>
      </c>
    </row>
    <row r="604">
      <c r="E604" s="8" t="inlineStr">
        <is>
          <t>Les ventes réglées comptant sont encaissées dans les journaux existants : caisse 04001 (espèces) ou banque 02001 (chèque, virement).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2" customWidth="1" min="1" max="1"/>
    <col width="17" customWidth="1" min="2" max="2"/>
    <col width="17" customWidth="1" min="3" max="3"/>
    <col width="17" customWidth="1" min="4" max="4"/>
    <col width="15" customWidth="1" min="5" max="5"/>
    <col width="17" customWidth="1" min="6" max="6"/>
    <col width="20" customWidth="1" min="7" max="7"/>
    <col width="15" customWidth="1" min="8" max="8"/>
    <col width="11" customWidth="1" min="9" max="9"/>
  </cols>
  <sheetData>
    <row r="1">
      <c r="A1" s="1" t="inlineStr">
        <is>
          <t>Récapitulatif mensuel des ventes au détail — base de la G50 de l'établissement (article 06180778071)</t>
        </is>
      </c>
    </row>
    <row r="2">
      <c r="A2" s="5" t="inlineStr">
        <is>
          <t>Année de suivi :</t>
        </is>
      </c>
      <c r="B2" s="25" t="n">
        <v>2026</v>
      </c>
    </row>
    <row r="4">
      <c r="A4" s="2" t="inlineStr">
        <is>
          <t>Mois</t>
        </is>
      </c>
      <c r="B4" s="2" t="inlineStr">
        <is>
          <t>CA HT marchandises</t>
        </is>
      </c>
      <c r="C4" s="2" t="inlineStr">
        <is>
          <t>CA HT réparations</t>
        </is>
      </c>
      <c r="D4" s="2" t="inlineStr">
        <is>
          <t>CA HT total</t>
        </is>
      </c>
      <c r="E4" s="2" t="inlineStr">
        <is>
          <t>TVA collectée</t>
        </is>
      </c>
      <c r="F4" s="2" t="inlineStr">
        <is>
          <t>TTC</t>
        </is>
      </c>
      <c r="G4" s="2" t="inlineStr">
        <is>
          <t>Ventes payées en espèces (TTC)</t>
        </is>
      </c>
      <c r="H4" s="2" t="inlineStr">
        <is>
          <t>Droit de timbre estimé</t>
        </is>
      </c>
      <c r="I4" s="2" t="inlineStr">
        <is>
          <t>Nombre de factures</t>
        </is>
      </c>
    </row>
    <row r="5">
      <c r="A5" s="3" t="inlineStr">
        <is>
          <t>Janvier</t>
        </is>
      </c>
      <c r="B5" s="18">
        <f>SUMIFS('Brouillard ventes'!$F$6:$F$305,'Brouillard ventes'!$A$6:$A$305,"&gt;="&amp;DATE($B$2,1,1),'Brouillard ventes'!$A$6:$A$305,"&lt;"&amp;DATE($B$2,2,1),'Brouillard ventes'!$E$6:$E$305,"&lt;&gt;Réparation")</f>
        <v/>
      </c>
      <c r="C5" s="18">
        <f>SUMIFS('Brouillard ventes'!$F$6:$F$305,'Brouillard ventes'!$A$6:$A$305,"&gt;="&amp;DATE($B$2,1,1),'Brouillard ventes'!$A$6:$A$305,"&lt;"&amp;DATE($B$2,2,1),'Brouillard ventes'!$E$6:$E$305,"Réparation")</f>
        <v/>
      </c>
      <c r="D5" s="19">
        <f>B5+C5</f>
        <v/>
      </c>
      <c r="E5" s="18">
        <f>SUMIFS('Brouillard ventes'!$H$6:$H$305,'Brouillard ventes'!$A$6:$A$305,"&gt;="&amp;DATE($B$2,1,1),'Brouillard ventes'!$A$6:$A$305,"&lt;"&amp;DATE($B$2,2,1))</f>
        <v/>
      </c>
      <c r="F5" s="18">
        <f>D5+E5</f>
        <v/>
      </c>
      <c r="G5" s="18">
        <f>SUMIFS('Brouillard ventes'!$I$6:$I$305,'Brouillard ventes'!$A$6:$A$305,"&gt;="&amp;DATE($B$2,1,1),'Brouillard ventes'!$A$6:$A$305,"&lt;"&amp;DATE($B$2,2,1),'Brouillard ventes'!$J$6:$J$305,"Espèces")</f>
        <v/>
      </c>
      <c r="H5" s="18">
        <f>ROUND(G5*Paramètres!$B$6,0)</f>
        <v/>
      </c>
      <c r="I5" s="26">
        <f>COUNTIFS('Brouillard ventes'!$A$6:$A$305,"&gt;="&amp;DATE($B$2,1,1),'Brouillard ventes'!$A$6:$A$305,"&lt;"&amp;DATE($B$2,2,1))</f>
        <v/>
      </c>
    </row>
    <row r="6">
      <c r="A6" s="3" t="inlineStr">
        <is>
          <t>Février</t>
        </is>
      </c>
      <c r="B6" s="18">
        <f>SUMIFS('Brouillard ventes'!$F$6:$F$305,'Brouillard ventes'!$A$6:$A$305,"&gt;="&amp;DATE($B$2,2,1),'Brouillard ventes'!$A$6:$A$305,"&lt;"&amp;DATE($B$2,3,1),'Brouillard ventes'!$E$6:$E$305,"&lt;&gt;Réparation")</f>
        <v/>
      </c>
      <c r="C6" s="18">
        <f>SUMIFS('Brouillard ventes'!$F$6:$F$305,'Brouillard ventes'!$A$6:$A$305,"&gt;="&amp;DATE($B$2,2,1),'Brouillard ventes'!$A$6:$A$305,"&lt;"&amp;DATE($B$2,3,1),'Brouillard ventes'!$E$6:$E$305,"Réparation")</f>
        <v/>
      </c>
      <c r="D6" s="19">
        <f>B6+C6</f>
        <v/>
      </c>
      <c r="E6" s="18">
        <f>SUMIFS('Brouillard ventes'!$H$6:$H$305,'Brouillard ventes'!$A$6:$A$305,"&gt;="&amp;DATE($B$2,2,1),'Brouillard ventes'!$A$6:$A$305,"&lt;"&amp;DATE($B$2,3,1))</f>
        <v/>
      </c>
      <c r="F6" s="18">
        <f>D6+E6</f>
        <v/>
      </c>
      <c r="G6" s="18">
        <f>SUMIFS('Brouillard ventes'!$I$6:$I$305,'Brouillard ventes'!$A$6:$A$305,"&gt;="&amp;DATE($B$2,2,1),'Brouillard ventes'!$A$6:$A$305,"&lt;"&amp;DATE($B$2,3,1),'Brouillard ventes'!$J$6:$J$305,"Espèces")</f>
        <v/>
      </c>
      <c r="H6" s="18">
        <f>ROUND(G6*Paramètres!$B$6,0)</f>
        <v/>
      </c>
      <c r="I6" s="26">
        <f>COUNTIFS('Brouillard ventes'!$A$6:$A$305,"&gt;="&amp;DATE($B$2,2,1),'Brouillard ventes'!$A$6:$A$305,"&lt;"&amp;DATE($B$2,3,1))</f>
        <v/>
      </c>
    </row>
    <row r="7">
      <c r="A7" s="3" t="inlineStr">
        <is>
          <t>Mars</t>
        </is>
      </c>
      <c r="B7" s="18">
        <f>SUMIFS('Brouillard ventes'!$F$6:$F$305,'Brouillard ventes'!$A$6:$A$305,"&gt;="&amp;DATE($B$2,3,1),'Brouillard ventes'!$A$6:$A$305,"&lt;"&amp;DATE($B$2,4,1),'Brouillard ventes'!$E$6:$E$305,"&lt;&gt;Réparation")</f>
        <v/>
      </c>
      <c r="C7" s="18">
        <f>SUMIFS('Brouillard ventes'!$F$6:$F$305,'Brouillard ventes'!$A$6:$A$305,"&gt;="&amp;DATE($B$2,3,1),'Brouillard ventes'!$A$6:$A$305,"&lt;"&amp;DATE($B$2,4,1),'Brouillard ventes'!$E$6:$E$305,"Réparation")</f>
        <v/>
      </c>
      <c r="D7" s="19">
        <f>B7+C7</f>
        <v/>
      </c>
      <c r="E7" s="18">
        <f>SUMIFS('Brouillard ventes'!$H$6:$H$305,'Brouillard ventes'!$A$6:$A$305,"&gt;="&amp;DATE($B$2,3,1),'Brouillard ventes'!$A$6:$A$305,"&lt;"&amp;DATE($B$2,4,1))</f>
        <v/>
      </c>
      <c r="F7" s="18">
        <f>D7+E7</f>
        <v/>
      </c>
      <c r="G7" s="18">
        <f>SUMIFS('Brouillard ventes'!$I$6:$I$305,'Brouillard ventes'!$A$6:$A$305,"&gt;="&amp;DATE($B$2,3,1),'Brouillard ventes'!$A$6:$A$305,"&lt;"&amp;DATE($B$2,4,1),'Brouillard ventes'!$J$6:$J$305,"Espèces")</f>
        <v/>
      </c>
      <c r="H7" s="18">
        <f>ROUND(G7*Paramètres!$B$6,0)</f>
        <v/>
      </c>
      <c r="I7" s="26">
        <f>COUNTIFS('Brouillard ventes'!$A$6:$A$305,"&gt;="&amp;DATE($B$2,3,1),'Brouillard ventes'!$A$6:$A$305,"&lt;"&amp;DATE($B$2,4,1))</f>
        <v/>
      </c>
    </row>
    <row r="8">
      <c r="A8" s="3" t="inlineStr">
        <is>
          <t>Avril</t>
        </is>
      </c>
      <c r="B8" s="18">
        <f>SUMIFS('Brouillard ventes'!$F$6:$F$305,'Brouillard ventes'!$A$6:$A$305,"&gt;="&amp;DATE($B$2,4,1),'Brouillard ventes'!$A$6:$A$305,"&lt;"&amp;DATE($B$2,5,1),'Brouillard ventes'!$E$6:$E$305,"&lt;&gt;Réparation")</f>
        <v/>
      </c>
      <c r="C8" s="18">
        <f>SUMIFS('Brouillard ventes'!$F$6:$F$305,'Brouillard ventes'!$A$6:$A$305,"&gt;="&amp;DATE($B$2,4,1),'Brouillard ventes'!$A$6:$A$305,"&lt;"&amp;DATE($B$2,5,1),'Brouillard ventes'!$E$6:$E$305,"Réparation")</f>
        <v/>
      </c>
      <c r="D8" s="19">
        <f>B8+C8</f>
        <v/>
      </c>
      <c r="E8" s="18">
        <f>SUMIFS('Brouillard ventes'!$H$6:$H$305,'Brouillard ventes'!$A$6:$A$305,"&gt;="&amp;DATE($B$2,4,1),'Brouillard ventes'!$A$6:$A$305,"&lt;"&amp;DATE($B$2,5,1))</f>
        <v/>
      </c>
      <c r="F8" s="18">
        <f>D8+E8</f>
        <v/>
      </c>
      <c r="G8" s="18">
        <f>SUMIFS('Brouillard ventes'!$I$6:$I$305,'Brouillard ventes'!$A$6:$A$305,"&gt;="&amp;DATE($B$2,4,1),'Brouillard ventes'!$A$6:$A$305,"&lt;"&amp;DATE($B$2,5,1),'Brouillard ventes'!$J$6:$J$305,"Espèces")</f>
        <v/>
      </c>
      <c r="H8" s="18">
        <f>ROUND(G8*Paramètres!$B$6,0)</f>
        <v/>
      </c>
      <c r="I8" s="26">
        <f>COUNTIFS('Brouillard ventes'!$A$6:$A$305,"&gt;="&amp;DATE($B$2,4,1),'Brouillard ventes'!$A$6:$A$305,"&lt;"&amp;DATE($B$2,5,1))</f>
        <v/>
      </c>
    </row>
    <row r="9">
      <c r="A9" s="3" t="inlineStr">
        <is>
          <t>Mai</t>
        </is>
      </c>
      <c r="B9" s="18">
        <f>SUMIFS('Brouillard ventes'!$F$6:$F$305,'Brouillard ventes'!$A$6:$A$305,"&gt;="&amp;DATE($B$2,5,1),'Brouillard ventes'!$A$6:$A$305,"&lt;"&amp;DATE($B$2,6,1),'Brouillard ventes'!$E$6:$E$305,"&lt;&gt;Réparation")</f>
        <v/>
      </c>
      <c r="C9" s="18">
        <f>SUMIFS('Brouillard ventes'!$F$6:$F$305,'Brouillard ventes'!$A$6:$A$305,"&gt;="&amp;DATE($B$2,5,1),'Brouillard ventes'!$A$6:$A$305,"&lt;"&amp;DATE($B$2,6,1),'Brouillard ventes'!$E$6:$E$305,"Réparation")</f>
        <v/>
      </c>
      <c r="D9" s="19">
        <f>B9+C9</f>
        <v/>
      </c>
      <c r="E9" s="18">
        <f>SUMIFS('Brouillard ventes'!$H$6:$H$305,'Brouillard ventes'!$A$6:$A$305,"&gt;="&amp;DATE($B$2,5,1),'Brouillard ventes'!$A$6:$A$305,"&lt;"&amp;DATE($B$2,6,1))</f>
        <v/>
      </c>
      <c r="F9" s="18">
        <f>D9+E9</f>
        <v/>
      </c>
      <c r="G9" s="18">
        <f>SUMIFS('Brouillard ventes'!$I$6:$I$305,'Brouillard ventes'!$A$6:$A$305,"&gt;="&amp;DATE($B$2,5,1),'Brouillard ventes'!$A$6:$A$305,"&lt;"&amp;DATE($B$2,6,1),'Brouillard ventes'!$J$6:$J$305,"Espèces")</f>
        <v/>
      </c>
      <c r="H9" s="18">
        <f>ROUND(G9*Paramètres!$B$6,0)</f>
        <v/>
      </c>
      <c r="I9" s="26">
        <f>COUNTIFS('Brouillard ventes'!$A$6:$A$305,"&gt;="&amp;DATE($B$2,5,1),'Brouillard ventes'!$A$6:$A$305,"&lt;"&amp;DATE($B$2,6,1))</f>
        <v/>
      </c>
    </row>
    <row r="10">
      <c r="A10" s="3" t="inlineStr">
        <is>
          <t>Juin</t>
        </is>
      </c>
      <c r="B10" s="18">
        <f>SUMIFS('Brouillard ventes'!$F$6:$F$305,'Brouillard ventes'!$A$6:$A$305,"&gt;="&amp;DATE($B$2,6,1),'Brouillard ventes'!$A$6:$A$305,"&lt;"&amp;DATE($B$2,7,1),'Brouillard ventes'!$E$6:$E$305,"&lt;&gt;Réparation")</f>
        <v/>
      </c>
      <c r="C10" s="18">
        <f>SUMIFS('Brouillard ventes'!$F$6:$F$305,'Brouillard ventes'!$A$6:$A$305,"&gt;="&amp;DATE($B$2,6,1),'Brouillard ventes'!$A$6:$A$305,"&lt;"&amp;DATE($B$2,7,1),'Brouillard ventes'!$E$6:$E$305,"Réparation")</f>
        <v/>
      </c>
      <c r="D10" s="19">
        <f>B10+C10</f>
        <v/>
      </c>
      <c r="E10" s="18">
        <f>SUMIFS('Brouillard ventes'!$H$6:$H$305,'Brouillard ventes'!$A$6:$A$305,"&gt;="&amp;DATE($B$2,6,1),'Brouillard ventes'!$A$6:$A$305,"&lt;"&amp;DATE($B$2,7,1))</f>
        <v/>
      </c>
      <c r="F10" s="18">
        <f>D10+E10</f>
        <v/>
      </c>
      <c r="G10" s="18">
        <f>SUMIFS('Brouillard ventes'!$I$6:$I$305,'Brouillard ventes'!$A$6:$A$305,"&gt;="&amp;DATE($B$2,6,1),'Brouillard ventes'!$A$6:$A$305,"&lt;"&amp;DATE($B$2,7,1),'Brouillard ventes'!$J$6:$J$305,"Espèces")</f>
        <v/>
      </c>
      <c r="H10" s="18">
        <f>ROUND(G10*Paramètres!$B$6,0)</f>
        <v/>
      </c>
      <c r="I10" s="26">
        <f>COUNTIFS('Brouillard ventes'!$A$6:$A$305,"&gt;="&amp;DATE($B$2,6,1),'Brouillard ventes'!$A$6:$A$305,"&lt;"&amp;DATE($B$2,7,1))</f>
        <v/>
      </c>
    </row>
    <row r="11">
      <c r="A11" s="3" t="inlineStr">
        <is>
          <t>Juillet</t>
        </is>
      </c>
      <c r="B11" s="18">
        <f>SUMIFS('Brouillard ventes'!$F$6:$F$305,'Brouillard ventes'!$A$6:$A$305,"&gt;="&amp;DATE($B$2,7,1),'Brouillard ventes'!$A$6:$A$305,"&lt;"&amp;DATE($B$2,8,1),'Brouillard ventes'!$E$6:$E$305,"&lt;&gt;Réparation")</f>
        <v/>
      </c>
      <c r="C11" s="18">
        <f>SUMIFS('Brouillard ventes'!$F$6:$F$305,'Brouillard ventes'!$A$6:$A$305,"&gt;="&amp;DATE($B$2,7,1),'Brouillard ventes'!$A$6:$A$305,"&lt;"&amp;DATE($B$2,8,1),'Brouillard ventes'!$E$6:$E$305,"Réparation")</f>
        <v/>
      </c>
      <c r="D11" s="19">
        <f>B11+C11</f>
        <v/>
      </c>
      <c r="E11" s="18">
        <f>SUMIFS('Brouillard ventes'!$H$6:$H$305,'Brouillard ventes'!$A$6:$A$305,"&gt;="&amp;DATE($B$2,7,1),'Brouillard ventes'!$A$6:$A$305,"&lt;"&amp;DATE($B$2,8,1))</f>
        <v/>
      </c>
      <c r="F11" s="18">
        <f>D11+E11</f>
        <v/>
      </c>
      <c r="G11" s="18">
        <f>SUMIFS('Brouillard ventes'!$I$6:$I$305,'Brouillard ventes'!$A$6:$A$305,"&gt;="&amp;DATE($B$2,7,1),'Brouillard ventes'!$A$6:$A$305,"&lt;"&amp;DATE($B$2,8,1),'Brouillard ventes'!$J$6:$J$305,"Espèces")</f>
        <v/>
      </c>
      <c r="H11" s="18">
        <f>ROUND(G11*Paramètres!$B$6,0)</f>
        <v/>
      </c>
      <c r="I11" s="26">
        <f>COUNTIFS('Brouillard ventes'!$A$6:$A$305,"&gt;="&amp;DATE($B$2,7,1),'Brouillard ventes'!$A$6:$A$305,"&lt;"&amp;DATE($B$2,8,1))</f>
        <v/>
      </c>
    </row>
    <row r="12">
      <c r="A12" s="3" t="inlineStr">
        <is>
          <t>Août</t>
        </is>
      </c>
      <c r="B12" s="18">
        <f>SUMIFS('Brouillard ventes'!$F$6:$F$305,'Brouillard ventes'!$A$6:$A$305,"&gt;="&amp;DATE($B$2,8,1),'Brouillard ventes'!$A$6:$A$305,"&lt;"&amp;DATE($B$2,9,1),'Brouillard ventes'!$E$6:$E$305,"&lt;&gt;Réparation")</f>
        <v/>
      </c>
      <c r="C12" s="18">
        <f>SUMIFS('Brouillard ventes'!$F$6:$F$305,'Brouillard ventes'!$A$6:$A$305,"&gt;="&amp;DATE($B$2,8,1),'Brouillard ventes'!$A$6:$A$305,"&lt;"&amp;DATE($B$2,9,1),'Brouillard ventes'!$E$6:$E$305,"Réparation")</f>
        <v/>
      </c>
      <c r="D12" s="19">
        <f>B12+C12</f>
        <v/>
      </c>
      <c r="E12" s="18">
        <f>SUMIFS('Brouillard ventes'!$H$6:$H$305,'Brouillard ventes'!$A$6:$A$305,"&gt;="&amp;DATE($B$2,8,1),'Brouillard ventes'!$A$6:$A$305,"&lt;"&amp;DATE($B$2,9,1))</f>
        <v/>
      </c>
      <c r="F12" s="18">
        <f>D12+E12</f>
        <v/>
      </c>
      <c r="G12" s="18">
        <f>SUMIFS('Brouillard ventes'!$I$6:$I$305,'Brouillard ventes'!$A$6:$A$305,"&gt;="&amp;DATE($B$2,8,1),'Brouillard ventes'!$A$6:$A$305,"&lt;"&amp;DATE($B$2,9,1),'Brouillard ventes'!$J$6:$J$305,"Espèces")</f>
        <v/>
      </c>
      <c r="H12" s="18">
        <f>ROUND(G12*Paramètres!$B$6,0)</f>
        <v/>
      </c>
      <c r="I12" s="26">
        <f>COUNTIFS('Brouillard ventes'!$A$6:$A$305,"&gt;="&amp;DATE($B$2,8,1),'Brouillard ventes'!$A$6:$A$305,"&lt;"&amp;DATE($B$2,9,1))</f>
        <v/>
      </c>
    </row>
    <row r="13">
      <c r="A13" s="3" t="inlineStr">
        <is>
          <t>Septembre</t>
        </is>
      </c>
      <c r="B13" s="18">
        <f>SUMIFS('Brouillard ventes'!$F$6:$F$305,'Brouillard ventes'!$A$6:$A$305,"&gt;="&amp;DATE($B$2,9,1),'Brouillard ventes'!$A$6:$A$305,"&lt;"&amp;DATE($B$2,10,1),'Brouillard ventes'!$E$6:$E$305,"&lt;&gt;Réparation")</f>
        <v/>
      </c>
      <c r="C13" s="18">
        <f>SUMIFS('Brouillard ventes'!$F$6:$F$305,'Brouillard ventes'!$A$6:$A$305,"&gt;="&amp;DATE($B$2,9,1),'Brouillard ventes'!$A$6:$A$305,"&lt;"&amp;DATE($B$2,10,1),'Brouillard ventes'!$E$6:$E$305,"Réparation")</f>
        <v/>
      </c>
      <c r="D13" s="19">
        <f>B13+C13</f>
        <v/>
      </c>
      <c r="E13" s="18">
        <f>SUMIFS('Brouillard ventes'!$H$6:$H$305,'Brouillard ventes'!$A$6:$A$305,"&gt;="&amp;DATE($B$2,9,1),'Brouillard ventes'!$A$6:$A$305,"&lt;"&amp;DATE($B$2,10,1))</f>
        <v/>
      </c>
      <c r="F13" s="18">
        <f>D13+E13</f>
        <v/>
      </c>
      <c r="G13" s="18">
        <f>SUMIFS('Brouillard ventes'!$I$6:$I$305,'Brouillard ventes'!$A$6:$A$305,"&gt;="&amp;DATE($B$2,9,1),'Brouillard ventes'!$A$6:$A$305,"&lt;"&amp;DATE($B$2,10,1),'Brouillard ventes'!$J$6:$J$305,"Espèces")</f>
        <v/>
      </c>
      <c r="H13" s="18">
        <f>ROUND(G13*Paramètres!$B$6,0)</f>
        <v/>
      </c>
      <c r="I13" s="26">
        <f>COUNTIFS('Brouillard ventes'!$A$6:$A$305,"&gt;="&amp;DATE($B$2,9,1),'Brouillard ventes'!$A$6:$A$305,"&lt;"&amp;DATE($B$2,10,1))</f>
        <v/>
      </c>
    </row>
    <row r="14">
      <c r="A14" s="3" t="inlineStr">
        <is>
          <t>Octobre</t>
        </is>
      </c>
      <c r="B14" s="18">
        <f>SUMIFS('Brouillard ventes'!$F$6:$F$305,'Brouillard ventes'!$A$6:$A$305,"&gt;="&amp;DATE($B$2,10,1),'Brouillard ventes'!$A$6:$A$305,"&lt;"&amp;DATE($B$2,11,1),'Brouillard ventes'!$E$6:$E$305,"&lt;&gt;Réparation")</f>
        <v/>
      </c>
      <c r="C14" s="18">
        <f>SUMIFS('Brouillard ventes'!$F$6:$F$305,'Brouillard ventes'!$A$6:$A$305,"&gt;="&amp;DATE($B$2,10,1),'Brouillard ventes'!$A$6:$A$305,"&lt;"&amp;DATE($B$2,11,1),'Brouillard ventes'!$E$6:$E$305,"Réparation")</f>
        <v/>
      </c>
      <c r="D14" s="19">
        <f>B14+C14</f>
        <v/>
      </c>
      <c r="E14" s="18">
        <f>SUMIFS('Brouillard ventes'!$H$6:$H$305,'Brouillard ventes'!$A$6:$A$305,"&gt;="&amp;DATE($B$2,10,1),'Brouillard ventes'!$A$6:$A$305,"&lt;"&amp;DATE($B$2,11,1))</f>
        <v/>
      </c>
      <c r="F14" s="18">
        <f>D14+E14</f>
        <v/>
      </c>
      <c r="G14" s="18">
        <f>SUMIFS('Brouillard ventes'!$I$6:$I$305,'Brouillard ventes'!$A$6:$A$305,"&gt;="&amp;DATE($B$2,10,1),'Brouillard ventes'!$A$6:$A$305,"&lt;"&amp;DATE($B$2,11,1),'Brouillard ventes'!$J$6:$J$305,"Espèces")</f>
        <v/>
      </c>
      <c r="H14" s="18">
        <f>ROUND(G14*Paramètres!$B$6,0)</f>
        <v/>
      </c>
      <c r="I14" s="26">
        <f>COUNTIFS('Brouillard ventes'!$A$6:$A$305,"&gt;="&amp;DATE($B$2,10,1),'Brouillard ventes'!$A$6:$A$305,"&lt;"&amp;DATE($B$2,11,1))</f>
        <v/>
      </c>
    </row>
    <row r="15">
      <c r="A15" s="3" t="inlineStr">
        <is>
          <t>Novembre</t>
        </is>
      </c>
      <c r="B15" s="18">
        <f>SUMIFS('Brouillard ventes'!$F$6:$F$305,'Brouillard ventes'!$A$6:$A$305,"&gt;="&amp;DATE($B$2,11,1),'Brouillard ventes'!$A$6:$A$305,"&lt;"&amp;DATE($B$2,12,1),'Brouillard ventes'!$E$6:$E$305,"&lt;&gt;Réparation")</f>
        <v/>
      </c>
      <c r="C15" s="18">
        <f>SUMIFS('Brouillard ventes'!$F$6:$F$305,'Brouillard ventes'!$A$6:$A$305,"&gt;="&amp;DATE($B$2,11,1),'Brouillard ventes'!$A$6:$A$305,"&lt;"&amp;DATE($B$2,12,1),'Brouillard ventes'!$E$6:$E$305,"Réparation")</f>
        <v/>
      </c>
      <c r="D15" s="19">
        <f>B15+C15</f>
        <v/>
      </c>
      <c r="E15" s="18">
        <f>SUMIFS('Brouillard ventes'!$H$6:$H$305,'Brouillard ventes'!$A$6:$A$305,"&gt;="&amp;DATE($B$2,11,1),'Brouillard ventes'!$A$6:$A$305,"&lt;"&amp;DATE($B$2,12,1))</f>
        <v/>
      </c>
      <c r="F15" s="18">
        <f>D15+E15</f>
        <v/>
      </c>
      <c r="G15" s="18">
        <f>SUMIFS('Brouillard ventes'!$I$6:$I$305,'Brouillard ventes'!$A$6:$A$305,"&gt;="&amp;DATE($B$2,11,1),'Brouillard ventes'!$A$6:$A$305,"&lt;"&amp;DATE($B$2,12,1),'Brouillard ventes'!$J$6:$J$305,"Espèces")</f>
        <v/>
      </c>
      <c r="H15" s="18">
        <f>ROUND(G15*Paramètres!$B$6,0)</f>
        <v/>
      </c>
      <c r="I15" s="26">
        <f>COUNTIFS('Brouillard ventes'!$A$6:$A$305,"&gt;="&amp;DATE($B$2,11,1),'Brouillard ventes'!$A$6:$A$305,"&lt;"&amp;DATE($B$2,12,1))</f>
        <v/>
      </c>
    </row>
    <row r="16">
      <c r="A16" s="3" t="inlineStr">
        <is>
          <t>Décembre</t>
        </is>
      </c>
      <c r="B16" s="18">
        <f>SUMIFS('Brouillard ventes'!$F$6:$F$305,'Brouillard ventes'!$A$6:$A$305,"&gt;="&amp;DATE($B$2,12,1),'Brouillard ventes'!$A$6:$A$305,"&lt;"&amp;DATE($B$2,13,1),'Brouillard ventes'!$E$6:$E$305,"&lt;&gt;Réparation")</f>
        <v/>
      </c>
      <c r="C16" s="18">
        <f>SUMIFS('Brouillard ventes'!$F$6:$F$305,'Brouillard ventes'!$A$6:$A$305,"&gt;="&amp;DATE($B$2,12,1),'Brouillard ventes'!$A$6:$A$305,"&lt;"&amp;DATE($B$2,13,1),'Brouillard ventes'!$E$6:$E$305,"Réparation")</f>
        <v/>
      </c>
      <c r="D16" s="19">
        <f>B16+C16</f>
        <v/>
      </c>
      <c r="E16" s="18">
        <f>SUMIFS('Brouillard ventes'!$H$6:$H$305,'Brouillard ventes'!$A$6:$A$305,"&gt;="&amp;DATE($B$2,12,1),'Brouillard ventes'!$A$6:$A$305,"&lt;"&amp;DATE($B$2,13,1))</f>
        <v/>
      </c>
      <c r="F16" s="18">
        <f>D16+E16</f>
        <v/>
      </c>
      <c r="G16" s="18">
        <f>SUMIFS('Brouillard ventes'!$I$6:$I$305,'Brouillard ventes'!$A$6:$A$305,"&gt;="&amp;DATE($B$2,12,1),'Brouillard ventes'!$A$6:$A$305,"&lt;"&amp;DATE($B$2,13,1),'Brouillard ventes'!$J$6:$J$305,"Espèces")</f>
        <v/>
      </c>
      <c r="H16" s="18">
        <f>ROUND(G16*Paramètres!$B$6,0)</f>
        <v/>
      </c>
      <c r="I16" s="26">
        <f>COUNTIFS('Brouillard ventes'!$A$6:$A$305,"&gt;="&amp;DATE($B$2,12,1),'Brouillard ventes'!$A$6:$A$305,"&lt;"&amp;DATE($B$2,13,1))</f>
        <v/>
      </c>
    </row>
    <row r="17">
      <c r="A17" s="3" t="inlineStr">
        <is>
          <t>TOTAL</t>
        </is>
      </c>
      <c r="B17" s="20">
        <f>SUM(B5:B16)</f>
        <v/>
      </c>
      <c r="C17" s="20">
        <f>SUM(C5:C16)</f>
        <v/>
      </c>
      <c r="D17" s="20">
        <f>SUM(D5:D16)</f>
        <v/>
      </c>
      <c r="E17" s="20">
        <f>SUM(E5:E16)</f>
        <v/>
      </c>
      <c r="F17" s="20">
        <f>SUM(F5:F16)</f>
        <v/>
      </c>
      <c r="G17" s="20">
        <f>SUM(G5:G16)</f>
        <v/>
      </c>
      <c r="H17" s="20">
        <f>SUM(H5:H16)</f>
        <v/>
      </c>
      <c r="I17" s="27">
        <f>SUM(I5:I16)</f>
        <v/>
      </c>
    </row>
    <row r="19" ht="42" customHeight="1">
      <c r="A19" s="28" t="inlineStr">
        <is>
          <t>La TVA collectée (compte 44519) est soldée chaque mois par l'écriture de G50 : D 44519 / C 44510, après imputation de la TVA déductible du magasin. Faire confirmer par l'inspection si la G50 du détail est déposée séparément (article 06180778071) ou avec celle du siège.</t>
        </is>
      </c>
    </row>
  </sheetData>
  <mergeCells count="1">
    <mergeCell ref="A19:I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46" customWidth="1" min="1" max="1"/>
    <col width="16" customWidth="1" min="2" max="2"/>
    <col width="26" customWidth="1" min="3" max="3"/>
    <col width="30" customWidth="1" min="4" max="4"/>
    <col width="50" customWidth="1" min="5" max="5"/>
  </cols>
  <sheetData>
    <row r="1">
      <c r="A1" s="1" t="inlineStr">
        <is>
          <t>Écritures types de l'établissement de détail (journal 15001, code unité FEN)</t>
        </is>
      </c>
    </row>
    <row r="3">
      <c r="A3" s="2" t="inlineStr">
        <is>
          <t>Opération</t>
        </is>
      </c>
      <c r="B3" s="2" t="inlineStr">
        <is>
          <t>Journal</t>
        </is>
      </c>
      <c r="C3" s="2" t="inlineStr">
        <is>
          <t>Débit</t>
        </is>
      </c>
      <c r="D3" s="2" t="inlineStr">
        <is>
          <t>Crédit</t>
        </is>
      </c>
      <c r="E3" s="2" t="inlineStr">
        <is>
          <t>Remarque</t>
        </is>
      </c>
    </row>
    <row r="4" ht="30" customHeight="1">
      <c r="A4" s="29" t="inlineStr">
        <is>
          <t>Vente de marchandises (facture ou ticket)</t>
        </is>
      </c>
      <c r="B4" s="4" t="inlineStr">
        <is>
          <t>15001</t>
        </is>
      </c>
      <c r="C4" s="4" t="inlineStr">
        <is>
          <t>41100 / CD001 (TTC)</t>
        </is>
      </c>
      <c r="D4" s="4" t="inlineStr">
        <is>
          <t>70003 (HT) + 44519 (TVA)</t>
        </is>
      </c>
      <c r="E4" s="4" t="inlineStr">
        <is>
          <t>Générée automatiquement depuis le brouillard</t>
        </is>
      </c>
    </row>
    <row r="5" ht="30" customHeight="1">
      <c r="A5" s="29" t="inlineStr">
        <is>
          <t>Prestation de réparation mécanique</t>
        </is>
      </c>
      <c r="B5" s="4" t="inlineStr">
        <is>
          <t>15001</t>
        </is>
      </c>
      <c r="C5" s="4" t="inlineStr">
        <is>
          <t>41100 (TTC)</t>
        </is>
      </c>
      <c r="D5" s="4" t="inlineStr">
        <is>
          <t>70604 (HT) + 44519 (TVA)</t>
        </is>
      </c>
      <c r="E5" s="4" t="inlineStr">
        <is>
          <t>Activité 613204 du registre</t>
        </is>
      </c>
    </row>
    <row r="6" ht="30" customHeight="1">
      <c r="A6" s="29" t="inlineStr">
        <is>
          <t>Encaissement en espèces</t>
        </is>
      </c>
      <c r="B6" s="4" t="inlineStr">
        <is>
          <t>04001 caisse</t>
        </is>
      </c>
      <c r="C6" s="4" t="inlineStr">
        <is>
          <t>53000</t>
        </is>
      </c>
      <c r="D6" s="4" t="inlineStr">
        <is>
          <t>41100</t>
        </is>
      </c>
      <c r="E6" s="4" t="inlineStr">
        <is>
          <t>Même caisse que le siège ; timbre de quittance en G50</t>
        </is>
      </c>
    </row>
    <row r="7" ht="30" customHeight="1">
      <c r="A7" s="29" t="inlineStr">
        <is>
          <t>Encaissement par chèque ou virement</t>
        </is>
      </c>
      <c r="B7" s="4" t="inlineStr">
        <is>
          <t>02001 banque</t>
        </is>
      </c>
      <c r="C7" s="4" t="inlineStr">
        <is>
          <t>51220</t>
        </is>
      </c>
      <c r="D7" s="4" t="inlineStr">
        <is>
          <t>41100</t>
        </is>
      </c>
      <c r="E7" s="4" t="inlineStr">
        <is>
          <t>Même compte CPA El Kseur</t>
        </is>
      </c>
    </row>
    <row r="8" ht="30" customHeight="1">
      <c r="A8" s="29" t="inlineStr">
        <is>
          <t>Versement de la recette du magasin en banque</t>
        </is>
      </c>
      <c r="B8" s="4" t="inlineStr">
        <is>
          <t>04001 puis 02001</t>
        </is>
      </c>
      <c r="C8" s="4" t="inlineStr">
        <is>
          <t>58100 puis 51220</t>
        </is>
      </c>
      <c r="D8" s="4" t="inlineStr">
        <is>
          <t>53000 puis 58100</t>
        </is>
      </c>
      <c r="E8" s="4" t="inlineStr">
        <is>
          <t>Comme pour les dégagements de caisse actuels</t>
        </is>
      </c>
    </row>
    <row r="9" ht="30" customHeight="1">
      <c r="A9" s="29" t="inlineStr">
        <is>
          <t>Transfert de marchandises du stock import vers le magasin</t>
        </is>
      </c>
      <c r="B9" s="4" t="inlineStr">
        <is>
          <t>10001 stocks</t>
        </is>
      </c>
      <c r="C9" s="4" t="inlineStr">
        <is>
          <t>30003</t>
        </is>
      </c>
      <c r="D9" s="4" t="inlineStr">
        <is>
          <t>30002</t>
        </is>
      </c>
      <c r="E9" s="4" t="inlineStr">
        <is>
          <t>Au coût d'achat ; bon de transfert signé</t>
        </is>
      </c>
    </row>
    <row r="10" ht="30" customHeight="1">
      <c r="A10" s="29" t="inlineStr">
        <is>
          <t>Avoir / retour client</t>
        </is>
      </c>
      <c r="B10" s="4" t="inlineStr">
        <is>
          <t>15001</t>
        </is>
      </c>
      <c r="C10" s="4" t="inlineStr">
        <is>
          <t>70003 + 44519</t>
        </is>
      </c>
      <c r="D10" s="4" t="inlineStr">
        <is>
          <t>41100</t>
        </is>
      </c>
      <c r="E10" s="4" t="inlineStr">
        <is>
          <t>Pièce numérotée « AV »</t>
        </is>
      </c>
    </row>
    <row r="11" ht="30" customHeight="1">
      <c r="A11" s="29" t="inlineStr">
        <is>
          <t>Constatation mensuelle de la TVA du détail (G50)</t>
        </is>
      </c>
      <c r="B11" s="4" t="inlineStr">
        <is>
          <t>08002 OD</t>
        </is>
      </c>
      <c r="C11" s="4" t="inlineStr">
        <is>
          <t>44519</t>
        </is>
      </c>
      <c r="D11" s="4" t="inlineStr">
        <is>
          <t>44510</t>
        </is>
      </c>
      <c r="E11" s="4" t="inlineStr">
        <is>
          <t>Puis paiement de la G50 en banque</t>
        </is>
      </c>
    </row>
    <row r="12" ht="30" customHeight="1">
      <c r="A12" s="29" t="inlineStr">
        <is>
          <t>Droit de timbre sur ventes en espèces</t>
        </is>
      </c>
      <c r="B12" s="4" t="inlineStr">
        <is>
          <t>08002 OD</t>
        </is>
      </c>
      <c r="C12" s="4" t="inlineStr">
        <is>
          <t>64520</t>
        </is>
      </c>
      <c r="D12" s="4" t="inlineStr">
        <is>
          <t>44760</t>
        </is>
      </c>
      <c r="E12" s="4" t="inlineStr">
        <is>
          <t>Base : colonne G du récapitulatif mensuel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2026-10-04T10:52:41Z</dcterms:created>
  <dcterms:modified xsi:type="dcterms:W3CDTF">2026-10-04T10:52:41Z</dcterms:modified>
</cp:coreProperties>
</file>