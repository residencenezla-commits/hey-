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T DE LA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sz val="9"/>
    </font>
    <font>
      <b val="1"/>
      <sz val="14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6" fillId="0" borderId="0" pivotButton="0" quotePrefix="0" xfId="0"/>
    <xf numFmtId="4" fontId="6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6" customWidth="1" min="4" max="4"/>
    <col width="18" customWidth="1" min="5" max="5"/>
    <col width="15" customWidth="1" min="6" max="6"/>
    <col width="14" customWidth="1" min="7" max="7"/>
    <col width="16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SARL DPR COMPAGNY</t>
        </is>
      </c>
    </row>
    <row r="2">
      <c r="A2" s="2" t="inlineStr">
        <is>
          <t>Village Tizi, commune de Semaoun — Béjaïa</t>
        </is>
      </c>
    </row>
    <row r="3">
      <c r="A3" s="2" t="inlineStr">
        <is>
          <t>NIF 000306018423274 — RC 06/01-0184232B03 — Art. 06120024511</t>
        </is>
      </c>
    </row>
    <row r="5">
      <c r="A5" s="3" t="inlineStr">
        <is>
          <t>ÉTAT DE LA PAIE — EXERCICE 2026 (janvier à août)</t>
        </is>
      </c>
    </row>
    <row r="6">
      <c r="A6" s="4" t="inlineStr">
        <is>
          <t>D'après les centralisateurs de paie (IMPORT et TPM). Salaire cotisable = rubrique R500 ; CNAS patronale 26 % ; IRG retenu = R660 ; net à payer = R770. Mars 2026 IMPORT : centralisateur absent, assiette reprise de la déclaration CNAS (368 389,93) ; effectif, IRG et net à compléter (cellules jaunes).</t>
        </is>
      </c>
    </row>
    <row r="8" ht="30" customHeight="1">
      <c r="A8" s="5" t="inlineStr">
        <is>
          <t>Activité</t>
        </is>
      </c>
      <c r="B8" s="5" t="inlineStr">
        <is>
          <t>Mois</t>
        </is>
      </c>
      <c r="C8" s="5" t="inlineStr">
        <is>
          <t>Effectif</t>
        </is>
      </c>
      <c r="D8" s="5" t="inlineStr">
        <is>
          <t>Salaire de base</t>
        </is>
      </c>
      <c r="E8" s="5" t="inlineStr">
        <is>
          <t>Salaire cotisable (R500)</t>
        </is>
      </c>
      <c r="F8" s="5" t="inlineStr">
        <is>
          <t>Retenue SS 9 %</t>
        </is>
      </c>
      <c r="G8" s="5" t="inlineStr">
        <is>
          <t>IRG retenu</t>
        </is>
      </c>
      <c r="H8" s="5" t="inlineStr">
        <is>
          <t>Net à payer</t>
        </is>
      </c>
      <c r="I8" s="5" t="inlineStr">
        <is>
          <t>CNAS patronale 26 %</t>
        </is>
      </c>
      <c r="J8" s="5" t="inlineStr">
        <is>
          <t>Total CNAS (9 % + 26 %)</t>
        </is>
      </c>
      <c r="K8" s="5" t="inlineStr">
        <is>
          <t>Coût employeur</t>
        </is>
      </c>
    </row>
    <row r="9">
      <c r="A9" s="6" t="inlineStr">
        <is>
          <t>IMPORT</t>
        </is>
      </c>
      <c r="B9" s="6" t="inlineStr">
        <is>
          <t>Janvier</t>
        </is>
      </c>
      <c r="C9" s="6" t="n">
        <v>12</v>
      </c>
      <c r="D9" s="7" t="n">
        <v>446760</v>
      </c>
      <c r="E9" s="7" t="n">
        <v>818361.77</v>
      </c>
      <c r="F9" s="7" t="n">
        <v>73652.56</v>
      </c>
      <c r="G9" s="7" t="n">
        <v>132616.39</v>
      </c>
      <c r="H9" s="7" t="n">
        <v>755554.4399999999</v>
      </c>
      <c r="I9" s="7">
        <f>ROUND(E9*0.26,2)</f>
        <v/>
      </c>
      <c r="J9" s="7">
        <f>F9+I9</f>
        <v/>
      </c>
      <c r="K9" s="7">
        <f>E9+I9</f>
        <v/>
      </c>
    </row>
    <row r="10">
      <c r="A10" s="6" t="inlineStr">
        <is>
          <t>IMPORT</t>
        </is>
      </c>
      <c r="B10" s="6" t="inlineStr">
        <is>
          <t>Février</t>
        </is>
      </c>
      <c r="C10" s="6" t="n">
        <v>12</v>
      </c>
      <c r="D10" s="7" t="n">
        <v>446760</v>
      </c>
      <c r="E10" s="7" t="n">
        <v>952475.8100000001</v>
      </c>
      <c r="F10" s="7" t="n">
        <v>85722.83</v>
      </c>
      <c r="G10" s="7" t="n">
        <v>162285.9</v>
      </c>
      <c r="H10" s="7" t="n">
        <v>759246.24</v>
      </c>
      <c r="I10" s="7">
        <f>ROUND(E10*0.26,2)</f>
        <v/>
      </c>
      <c r="J10" s="7">
        <f>F10+I10</f>
        <v/>
      </c>
      <c r="K10" s="7">
        <f>E10+I10</f>
        <v/>
      </c>
    </row>
    <row r="11">
      <c r="A11" s="6" t="inlineStr">
        <is>
          <t>IMPORT</t>
        </is>
      </c>
      <c r="B11" s="6" t="inlineStr">
        <is>
          <t>Mars</t>
        </is>
      </c>
      <c r="C11" s="8" t="n"/>
      <c r="D11" s="9" t="n"/>
      <c r="E11" s="7" t="n">
        <v>368389.93</v>
      </c>
      <c r="F11" s="7" t="n">
        <v>33155.09</v>
      </c>
      <c r="G11" s="9" t="n"/>
      <c r="H11" s="9" t="n"/>
      <c r="I11" s="7">
        <f>ROUND(E11*0.26,2)</f>
        <v/>
      </c>
      <c r="J11" s="7">
        <f>F11+I11</f>
        <v/>
      </c>
      <c r="K11" s="7">
        <f>E11+I11</f>
        <v/>
      </c>
    </row>
    <row r="12">
      <c r="A12" s="6" t="inlineStr">
        <is>
          <t>IMPORT</t>
        </is>
      </c>
      <c r="B12" s="6" t="inlineStr">
        <is>
          <t>Avril</t>
        </is>
      </c>
      <c r="C12" s="6" t="n">
        <v>5</v>
      </c>
      <c r="D12" s="7" t="n">
        <v>242000</v>
      </c>
      <c r="E12" s="7" t="n">
        <v>411381.46</v>
      </c>
      <c r="F12" s="7" t="n">
        <v>37024.34</v>
      </c>
      <c r="G12" s="7" t="n">
        <v>72478</v>
      </c>
      <c r="H12" s="7" t="n">
        <v>342182.12</v>
      </c>
      <c r="I12" s="7">
        <f>ROUND(E12*0.26,2)</f>
        <v/>
      </c>
      <c r="J12" s="7">
        <f>F12+I12</f>
        <v/>
      </c>
      <c r="K12" s="7">
        <f>E12+I12</f>
        <v/>
      </c>
    </row>
    <row r="13">
      <c r="A13" s="6" t="inlineStr">
        <is>
          <t>IMPORT</t>
        </is>
      </c>
      <c r="B13" s="6" t="inlineStr">
        <is>
          <t>Mai</t>
        </is>
      </c>
      <c r="C13" s="6" t="n">
        <v>5</v>
      </c>
      <c r="D13" s="7" t="n">
        <v>242000</v>
      </c>
      <c r="E13" s="7" t="n">
        <v>435767.33</v>
      </c>
      <c r="F13" s="7" t="n">
        <v>39219.06</v>
      </c>
      <c r="G13" s="7" t="n">
        <v>79138</v>
      </c>
      <c r="H13" s="7" t="n">
        <v>353578.27</v>
      </c>
      <c r="I13" s="7">
        <f>ROUND(E13*0.26,2)</f>
        <v/>
      </c>
      <c r="J13" s="7">
        <f>F13+I13</f>
        <v/>
      </c>
      <c r="K13" s="7">
        <f>E13+I13</f>
        <v/>
      </c>
    </row>
    <row r="14">
      <c r="A14" s="6" t="inlineStr">
        <is>
          <t>IMPORT</t>
        </is>
      </c>
      <c r="B14" s="6" t="inlineStr">
        <is>
          <t>Juin</t>
        </is>
      </c>
      <c r="C14" s="6" t="n">
        <v>5</v>
      </c>
      <c r="D14" s="7" t="n">
        <v>242000</v>
      </c>
      <c r="E14" s="7" t="n">
        <v>333240.96</v>
      </c>
      <c r="F14" s="7" t="n">
        <v>29991.69</v>
      </c>
      <c r="G14" s="7" t="n">
        <v>59017.5</v>
      </c>
      <c r="H14" s="7" t="n">
        <v>272477.77</v>
      </c>
      <c r="I14" s="7">
        <f>ROUND(E14*0.26,2)</f>
        <v/>
      </c>
      <c r="J14" s="7">
        <f>F14+I14</f>
        <v/>
      </c>
      <c r="K14" s="7">
        <f>E14+I14</f>
        <v/>
      </c>
    </row>
    <row r="15">
      <c r="A15" s="6" t="inlineStr">
        <is>
          <t>IMPORT</t>
        </is>
      </c>
      <c r="B15" s="6" t="inlineStr">
        <is>
          <t>Juillet</t>
        </is>
      </c>
      <c r="C15" s="6" t="n">
        <v>5</v>
      </c>
      <c r="D15" s="7" t="n">
        <v>215325</v>
      </c>
      <c r="E15" s="7" t="n">
        <v>310347.55</v>
      </c>
      <c r="F15" s="7" t="n">
        <v>27931.28</v>
      </c>
      <c r="G15" s="7" t="n">
        <v>42612.3</v>
      </c>
      <c r="H15" s="7" t="n">
        <v>251006.71</v>
      </c>
      <c r="I15" s="7">
        <f>ROUND(E15*0.26,2)</f>
        <v/>
      </c>
      <c r="J15" s="7">
        <f>F15+I15</f>
        <v/>
      </c>
      <c r="K15" s="7">
        <f>E15+I15</f>
        <v/>
      </c>
    </row>
    <row r="16">
      <c r="A16" s="6" t="inlineStr">
        <is>
          <t>IMPORT</t>
        </is>
      </c>
      <c r="B16" s="6" t="inlineStr">
        <is>
          <t>Août</t>
        </is>
      </c>
      <c r="C16" s="6" t="n">
        <v>5</v>
      </c>
      <c r="D16" s="7" t="n">
        <v>215325</v>
      </c>
      <c r="E16" s="7" t="n">
        <v>309206.68</v>
      </c>
      <c r="F16" s="7" t="n">
        <v>27828.6</v>
      </c>
      <c r="G16" s="7" t="n">
        <v>49667.4</v>
      </c>
      <c r="H16" s="7" t="n">
        <v>252829.63</v>
      </c>
      <c r="I16" s="7">
        <f>ROUND(E16*0.26,2)</f>
        <v/>
      </c>
      <c r="J16" s="7">
        <f>F16+I16</f>
        <v/>
      </c>
      <c r="K16" s="7">
        <f>E16+I16</f>
        <v/>
      </c>
    </row>
    <row r="17">
      <c r="A17" s="6" t="inlineStr">
        <is>
          <t>TPM</t>
        </is>
      </c>
      <c r="B17" s="6" t="inlineStr">
        <is>
          <t>Janvier</t>
        </is>
      </c>
      <c r="C17" s="6" t="n">
        <v>3</v>
      </c>
      <c r="D17" s="7" t="n">
        <v>90700</v>
      </c>
      <c r="E17" s="7" t="n">
        <v>45042.54</v>
      </c>
      <c r="F17" s="7" t="n">
        <v>4053.83</v>
      </c>
      <c r="G17" s="7" t="n">
        <v>3329.5</v>
      </c>
      <c r="H17" s="7" t="n">
        <v>61271.42</v>
      </c>
      <c r="I17" s="7">
        <f>ROUND(E17*0.26,2)</f>
        <v/>
      </c>
      <c r="J17" s="7">
        <f>F17+I17</f>
        <v/>
      </c>
      <c r="K17" s="7">
        <f>E17+I17</f>
        <v/>
      </c>
    </row>
    <row r="18">
      <c r="A18" s="6" t="inlineStr">
        <is>
          <t>TPM</t>
        </is>
      </c>
      <c r="B18" s="6" t="inlineStr">
        <is>
          <t>Février</t>
        </is>
      </c>
      <c r="C18" s="6" t="n">
        <v>3</v>
      </c>
      <c r="D18" s="7" t="n">
        <v>90700</v>
      </c>
      <c r="E18" s="7" t="n">
        <v>59707.87</v>
      </c>
      <c r="F18" s="7" t="n">
        <v>5373.71</v>
      </c>
      <c r="G18" s="7" t="n">
        <v>3329.5</v>
      </c>
      <c r="H18" s="7" t="n">
        <v>81342.97</v>
      </c>
      <c r="I18" s="7">
        <f>ROUND(E18*0.26,2)</f>
        <v/>
      </c>
      <c r="J18" s="7">
        <f>F18+I18</f>
        <v/>
      </c>
      <c r="K18" s="7">
        <f>E18+I18</f>
        <v/>
      </c>
    </row>
    <row r="19">
      <c r="A19" s="6" t="inlineStr">
        <is>
          <t>TPM</t>
        </is>
      </c>
      <c r="B19" s="6" t="inlineStr">
        <is>
          <t>Mars</t>
        </is>
      </c>
      <c r="C19" s="6" t="n">
        <v>3</v>
      </c>
      <c r="D19" s="7" t="n">
        <v>90700</v>
      </c>
      <c r="E19" s="7" t="n">
        <v>82763.28999999999</v>
      </c>
      <c r="F19" s="7" t="n">
        <v>7448.69</v>
      </c>
      <c r="G19" s="7" t="n">
        <v>7757.4</v>
      </c>
      <c r="H19" s="7" t="n">
        <v>113503.01</v>
      </c>
      <c r="I19" s="7">
        <f>ROUND(E19*0.26,2)</f>
        <v/>
      </c>
      <c r="J19" s="7">
        <f>F19+I19</f>
        <v/>
      </c>
      <c r="K19" s="7">
        <f>E19+I19</f>
        <v/>
      </c>
    </row>
    <row r="20">
      <c r="A20" s="6" t="inlineStr">
        <is>
          <t>TPM</t>
        </is>
      </c>
      <c r="B20" s="6" t="inlineStr">
        <is>
          <t>Avril</t>
        </is>
      </c>
      <c r="C20" s="6" t="n">
        <v>3</v>
      </c>
      <c r="D20" s="7" t="n">
        <v>90700</v>
      </c>
      <c r="E20" s="7" t="n">
        <v>89022.95</v>
      </c>
      <c r="F20" s="7" t="n">
        <v>8012.06</v>
      </c>
      <c r="G20" s="7" t="n">
        <v>9375.200000000001</v>
      </c>
      <c r="H20" s="7" t="n">
        <v>125002.91</v>
      </c>
      <c r="I20" s="7">
        <f>ROUND(E20*0.26,2)</f>
        <v/>
      </c>
      <c r="J20" s="7">
        <f>F20+I20</f>
        <v/>
      </c>
      <c r="K20" s="7">
        <f>E20+I20</f>
        <v/>
      </c>
    </row>
    <row r="21">
      <c r="A21" s="6" t="inlineStr">
        <is>
          <t>TPM</t>
        </is>
      </c>
      <c r="B21" s="6" t="inlineStr">
        <is>
          <t>Mai</t>
        </is>
      </c>
      <c r="C21" s="6" t="n">
        <v>3</v>
      </c>
      <c r="D21" s="7" t="n">
        <v>90700</v>
      </c>
      <c r="E21" s="7" t="n">
        <v>89022.95</v>
      </c>
      <c r="F21" s="7" t="n">
        <v>8012.06</v>
      </c>
      <c r="G21" s="7" t="n">
        <v>9375.200000000001</v>
      </c>
      <c r="H21" s="7" t="n">
        <v>132502.91</v>
      </c>
      <c r="I21" s="7">
        <f>ROUND(E21*0.26,2)</f>
        <v/>
      </c>
      <c r="J21" s="7">
        <f>F21+I21</f>
        <v/>
      </c>
      <c r="K21" s="7">
        <f>E21+I21</f>
        <v/>
      </c>
    </row>
    <row r="22">
      <c r="A22" s="6" t="inlineStr">
        <is>
          <t>TPM</t>
        </is>
      </c>
      <c r="B22" s="6" t="inlineStr">
        <is>
          <t>Juin</t>
        </is>
      </c>
      <c r="C22" s="6" t="n">
        <v>3</v>
      </c>
      <c r="D22" s="7" t="n">
        <v>90700</v>
      </c>
      <c r="E22" s="7" t="n">
        <v>133791.14</v>
      </c>
      <c r="F22" s="7" t="n">
        <v>12041.2</v>
      </c>
      <c r="G22" s="7" t="n">
        <v>18989.9</v>
      </c>
      <c r="H22" s="7" t="n">
        <v>109517.04</v>
      </c>
      <c r="I22" s="7">
        <f>ROUND(E22*0.26,2)</f>
        <v/>
      </c>
      <c r="J22" s="7">
        <f>F22+I22</f>
        <v/>
      </c>
      <c r="K22" s="7">
        <f>E22+I22</f>
        <v/>
      </c>
    </row>
    <row r="23">
      <c r="A23" s="6" t="inlineStr">
        <is>
          <t>TPM</t>
        </is>
      </c>
      <c r="B23" s="6" t="inlineStr">
        <is>
          <t>Juillet</t>
        </is>
      </c>
      <c r="C23" s="6" t="n">
        <v>2</v>
      </c>
      <c r="D23" s="7" t="n">
        <v>58200</v>
      </c>
      <c r="E23" s="7" t="n">
        <v>40176.22</v>
      </c>
      <c r="F23" s="7" t="n">
        <v>3615.86</v>
      </c>
      <c r="G23" s="7" t="n">
        <v>3691.3</v>
      </c>
      <c r="H23" s="7" t="n">
        <v>39001.06</v>
      </c>
      <c r="I23" s="7">
        <f>ROUND(E23*0.26,2)</f>
        <v/>
      </c>
      <c r="J23" s="7">
        <f>F23+I23</f>
        <v/>
      </c>
      <c r="K23" s="7">
        <f>E23+I23</f>
        <v/>
      </c>
    </row>
    <row r="24">
      <c r="A24" s="6" t="inlineStr">
        <is>
          <t>TPM</t>
        </is>
      </c>
      <c r="B24" s="6" t="inlineStr">
        <is>
          <t>Août</t>
        </is>
      </c>
      <c r="C24" s="6" t="n">
        <v>1</v>
      </c>
      <c r="D24" s="7" t="n">
        <v>29100</v>
      </c>
      <c r="E24" s="7" t="n">
        <v>40176.22</v>
      </c>
      <c r="F24" s="7" t="n">
        <v>3615.86</v>
      </c>
      <c r="G24" s="7" t="n">
        <v>3691.3</v>
      </c>
      <c r="H24" s="7" t="n">
        <v>39001.06</v>
      </c>
      <c r="I24" s="7">
        <f>ROUND(E24*0.26,2)</f>
        <v/>
      </c>
      <c r="J24" s="7">
        <f>F24+I24</f>
        <v/>
      </c>
      <c r="K24" s="7">
        <f>E24+I24</f>
        <v/>
      </c>
    </row>
    <row r="25">
      <c r="B25" s="10" t="inlineStr">
        <is>
          <t>TOTAL</t>
        </is>
      </c>
      <c r="D25" s="11">
        <f>SUM(D9:D24)</f>
        <v/>
      </c>
      <c r="E25" s="11">
        <f>SUM(E9:E24)</f>
        <v/>
      </c>
      <c r="F25" s="11">
        <f>SUM(F9:F24)</f>
        <v/>
      </c>
      <c r="G25" s="11">
        <f>SUM(G9:G24)</f>
        <v/>
      </c>
      <c r="H25" s="11">
        <f>SUM(H9:H24)</f>
        <v/>
      </c>
      <c r="I25" s="11">
        <f>SUM(I9:I24)</f>
        <v/>
      </c>
      <c r="J25" s="11">
        <f>SUM(J9:J24)</f>
        <v/>
      </c>
      <c r="K25" s="11">
        <f>SUM(K9:K24)</f>
        <v/>
      </c>
    </row>
    <row r="27">
      <c r="A27" s="10" t="inlineStr">
        <is>
          <t>Totaux par activité</t>
        </is>
      </c>
    </row>
    <row r="28">
      <c r="A28" t="inlineStr">
        <is>
          <t>IMPORT</t>
        </is>
      </c>
      <c r="D28" s="12">
        <f>SUMIF($A$9:$A$24,"IMPORT",D$9:D$24)</f>
        <v/>
      </c>
      <c r="E28" s="12">
        <f>SUMIF($A$9:$A$24,"IMPORT",E$9:E$24)</f>
        <v/>
      </c>
      <c r="F28" s="12">
        <f>SUMIF($A$9:$A$24,"IMPORT",F$9:F$24)</f>
        <v/>
      </c>
      <c r="G28" s="12">
        <f>SUMIF($A$9:$A$24,"IMPORT",G$9:G$24)</f>
        <v/>
      </c>
      <c r="H28" s="12">
        <f>SUMIF($A$9:$A$24,"IMPORT",H$9:H$24)</f>
        <v/>
      </c>
      <c r="I28" s="12">
        <f>SUMIF($A$9:$A$24,"IMPORT",I$9:I$24)</f>
        <v/>
      </c>
      <c r="J28" s="12">
        <f>SUMIF($A$9:$A$24,"IMPORT",J$9:J$24)</f>
        <v/>
      </c>
      <c r="K28" s="12">
        <f>SUMIF($A$9:$A$24,"IMPORT",K$9:K$24)</f>
        <v/>
      </c>
    </row>
    <row r="29">
      <c r="A29" t="inlineStr">
        <is>
          <t>TPM</t>
        </is>
      </c>
      <c r="D29" s="12">
        <f>SUMIF($A$9:$A$24,"TPM",D$9:D$24)</f>
        <v/>
      </c>
      <c r="E29" s="12">
        <f>SUMIF($A$9:$A$24,"TPM",E$9:E$24)</f>
        <v/>
      </c>
      <c r="F29" s="12">
        <f>SUMIF($A$9:$A$24,"TPM",F$9:F$24)</f>
        <v/>
      </c>
      <c r="G29" s="12">
        <f>SUMIF($A$9:$A$24,"TPM",G$9:G$24)</f>
        <v/>
      </c>
      <c r="H29" s="12">
        <f>SUMIF($A$9:$A$24,"TPM",H$9:H$24)</f>
        <v/>
      </c>
      <c r="I29" s="12">
        <f>SUMIF($A$9:$A$24,"TPM",I$9:I$24)</f>
        <v/>
      </c>
      <c r="J29" s="12">
        <f>SUMIF($A$9:$A$24,"TPM",J$9:J$24)</f>
        <v/>
      </c>
      <c r="K29" s="12">
        <f>SUMIF($A$9:$A$24,"TPM",K$9:K$24)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2026-10-23T07:31:53Z</dcterms:created>
  <dcterms:modified xsi:type="dcterms:W3CDTF">2026-10-23T07:31:53Z</dcterms:modified>
</cp:coreProperties>
</file>