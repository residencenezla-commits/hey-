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JOURNAL 06002 GROS" sheetId="2" state="visible" r:id="rId2"/>
    <sheet name="JOURNAL 15001 DETAIL" sheetId="3" state="visible" r:id="rId3"/>
    <sheet name="Factures" sheetId="4" state="visible" r:id="rId4"/>
    <sheet name="Clients à créer" sheetId="5" state="visible" r:id="rId5"/>
    <sheet name="Rapprochement G50" sheetId="6" state="visible" r:id="rId6"/>
  </sheets>
  <definedNames>
    <definedName name="_xlnm._FilterDatabase" localSheetId="1" hidden="1">'JOURNAL 06002 GROS'!$A$1:$R$542</definedName>
    <definedName name="_xlnm._FilterDatabase" localSheetId="2" hidden="1">'JOURNAL 15001 DETAIL'!$A$1:$R$239</definedName>
    <definedName name="_xlnm._FilterDatabase" localSheetId="3" hidden="1">'Factures'!$A$1:$Q$260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(#,##0.00);&quot;-&quot;"/>
    <numFmt numFmtId="165" formatCode="yyyy-mm-dd h:mm:ss"/>
    <numFmt numFmtId="166" formatCode="dd/mm/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color rgb="00595959"/>
      <sz val="9"/>
    </font>
    <font>
      <name val="Arial"/>
      <color rgb="000000FF"/>
      <sz val="10"/>
    </font>
    <font>
      <name val="Arial"/>
      <b val="1"/>
      <color rgb="001F3864"/>
      <sz val="14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 wrapText="1"/>
    </xf>
    <xf numFmtId="49" fontId="2" fillId="0" borderId="0" pivotButton="0" quotePrefix="0" xfId="0"/>
    <xf numFmtId="164" fontId="2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4" fontId="5" fillId="0" borderId="0" pivotButton="0" quotePrefix="0" xfId="0"/>
    <xf numFmtId="164" fontId="3" fillId="3" borderId="0" pivotButton="0" quotePrefix="0" xfId="0"/>
    <xf numFmtId="49" fontId="0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E699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52" customWidth="1" min="1" max="1"/>
    <col width="48" customWidth="1" min="2" max="2"/>
    <col width="12" customWidth="1" min="3" max="3"/>
    <col width="18" customWidth="1" min="4" max="4"/>
  </cols>
  <sheetData>
    <row r="1">
      <c r="A1" s="1" t="inlineStr">
        <is>
          <t>Écritures de ventes 2026 — SARL DPR COMPAGNY</t>
        </is>
      </c>
    </row>
    <row r="2" ht="32" customHeight="1">
      <c r="A2" s="2" t="inlineStr">
        <is>
          <t>Sources : « Etat Détails Journal Factures gros.xls » (siège, 180 factures) et « … detail.xls » (magasin de Fenaia, 79 factures), période du 01/01/2026 au 04/10/2026. Format des colonnes identique au journal PCCOMPTA.</t>
        </is>
      </c>
    </row>
    <row r="4">
      <c r="A4" s="3" t="inlineStr">
        <is>
          <t>Journal</t>
        </is>
      </c>
      <c r="B4" s="3" t="inlineStr">
        <is>
          <t>Comptes</t>
        </is>
      </c>
      <c r="C4" s="3" t="inlineStr">
        <is>
          <t>Factures</t>
        </is>
      </c>
      <c r="D4" s="3" t="inlineStr">
        <is>
          <t>TTC</t>
        </is>
      </c>
    </row>
    <row r="5">
      <c r="A5" s="4" t="inlineStr">
        <is>
          <t>06002 — VENTES (gros, siège)</t>
        </is>
      </c>
      <c r="B5" t="inlineStr">
        <is>
          <t>D 41100 (client) / C 70001 + 44517 ; 70002 si exonéré</t>
        </is>
      </c>
      <c r="C5">
        <f>COUNTIF(Factures!A2:A260,"Siège (gros / import)")</f>
        <v/>
      </c>
      <c r="D5" s="5">
        <f>SUMIFS(Factures!N2:N260,Factures!A2:A260,"Siège (gros / import)")</f>
        <v/>
      </c>
    </row>
    <row r="6">
      <c r="A6" s="4" t="inlineStr">
        <is>
          <t>15001 — VENTES DETAIL FENAIA</t>
        </is>
      </c>
      <c r="B6" t="inlineStr">
        <is>
          <t>D 41100 (client) / C 70003 + 44519 ; unité FEN</t>
        </is>
      </c>
      <c r="C6">
        <f>COUNTIF(Factures!A2:A260,"Fenaia (détail)")</f>
        <v/>
      </c>
      <c r="D6" s="5">
        <f>SUMIFS(Factures!N2:N260,Factures!A2:A260,"Fenaia (détail)")</f>
        <v/>
      </c>
    </row>
    <row r="8">
      <c r="A8" s="4" t="inlineStr">
        <is>
          <t>Contrôles</t>
        </is>
      </c>
    </row>
    <row r="9">
      <c r="A9" t="inlineStr">
        <is>
          <t>Journal 06002 équilibré</t>
        </is>
      </c>
      <c r="B9" s="4">
        <f>IF(ABS('JOURNAL 06002 GROS'!L545)&lt;0.01,"OK","ERREUR")</f>
        <v/>
      </c>
    </row>
    <row r="10">
      <c r="A10" t="inlineStr">
        <is>
          <t>Journal 15001 équilibré</t>
        </is>
      </c>
      <c r="B10" s="4">
        <f>IF(ABS('JOURNAL 15001 DETAIL'!L242)&lt;0.01,"OK","ERREUR")</f>
        <v/>
      </c>
    </row>
    <row r="11">
      <c r="A11" t="inlineStr">
        <is>
          <t>HT des factures = total des états (84 355 024,24 + 28 635 000,00)</t>
        </is>
      </c>
      <c r="B11" s="4">
        <f>IF(ABS(Factures!K261+Factures!L261-112990024.24)&lt;0.01,"OK","ÉCART")</f>
        <v/>
      </c>
    </row>
    <row r="12">
      <c r="A12" t="inlineStr">
        <is>
          <t>TVA de chaque facture = 19 % du HT taxable</t>
        </is>
      </c>
      <c r="B12" s="4">
        <f>IF(SUMPRODUCT(ABS(Factures!P2:P260))&lt;1,"OK","ÉCART")</f>
        <v/>
      </c>
    </row>
    <row r="14">
      <c r="A14" s="4" t="inlineStr">
        <is>
          <t>À savoir avant l'import</t>
        </is>
      </c>
    </row>
    <row r="15" ht="30" customHeight="1">
      <c r="A15" s="6" t="inlineStr">
        <is>
          <t>1. 25 clients n'ont pas de code dans PCCOMPTA : les créer d'abord (feuille « Clients à créer »).</t>
        </is>
      </c>
    </row>
    <row r="16" ht="30" customHeight="1">
      <c r="A16" s="6" t="inlineStr">
        <is>
          <t>2. Le droit de timbre (44760) n'est pas calculé : les états ne donnent pas le mode de règlement. L'ajouter sur les factures payées en espèces, comme en 2025.</t>
        </is>
      </c>
    </row>
    <row r="17" ht="30" customHeight="1">
      <c r="A17" s="6" t="inlineStr">
        <is>
          <t>3. Factures de gros n° 2026000128, 129, 141 et 168 absentes de l'état : justifier ces numéros (factures annulées ?).</t>
        </is>
      </c>
    </row>
    <row r="18" ht="30" customHeight="1">
      <c r="A18" s="6" t="inlineStr">
        <is>
          <t>4. Ventes aux associés DJENNADI Abdelkrim (6 factures, 12,74 M HT) et DJENNADI Reyad (28 factures, 2,05 M HT) : ventes à des parties liées à documenter.</t>
        </is>
      </c>
    </row>
    <row r="19" ht="30" customHeight="1">
      <c r="A19" s="6" t="inlineStr">
        <is>
          <t>5. Deux retours au détail (factures 2026000034 et 2026000049) sont passés en avoirs ; une ligne exonérée par établissement est passée en 70002 (gros) ou 70003 (détail).</t>
        </is>
      </c>
    </row>
  </sheetData>
  <mergeCells count="6">
    <mergeCell ref="A17:D17"/>
    <mergeCell ref="A18:D18"/>
    <mergeCell ref="A15:D15"/>
    <mergeCell ref="A16:D16"/>
    <mergeCell ref="A2:D2"/>
    <mergeCell ref="A19:D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0" customWidth="1" min="3" max="3"/>
    <col width="15" customWidth="1" min="4" max="4"/>
    <col width="30" customWidth="1" min="5" max="5"/>
    <col width="8" customWidth="1" min="6" max="6"/>
    <col width="9" customWidth="1" min="7" max="7"/>
    <col width="9" customWidth="1" min="8" max="8"/>
    <col width="6" customWidth="1" min="9" max="9"/>
    <col width="6" customWidth="1" min="10" max="10"/>
    <col width="7" customWidth="1" min="11" max="11"/>
    <col width="15" customWidth="1" min="12" max="12"/>
    <col width="1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3" t="inlineStr">
        <is>
          <t>FOLIO</t>
        </is>
      </c>
      <c r="B1" s="3" t="inlineStr">
        <is>
          <t>PIECE</t>
        </is>
      </c>
      <c r="C1" s="3" t="inlineStr">
        <is>
          <t>DATE</t>
        </is>
      </c>
      <c r="D1" s="3" t="inlineStr">
        <is>
          <t>REFERENCE</t>
        </is>
      </c>
      <c r="E1" s="3" t="inlineStr">
        <is>
          <t>LIBELLE</t>
        </is>
      </c>
      <c r="F1" s="3" t="inlineStr">
        <is>
          <t>CODE_JRN</t>
        </is>
      </c>
      <c r="G1" s="3" t="inlineStr">
        <is>
          <t>CODE_COM</t>
        </is>
      </c>
      <c r="H1" s="3" t="inlineStr">
        <is>
          <t>CODE_AUX</t>
        </is>
      </c>
      <c r="I1" s="3" t="inlineStr">
        <is>
          <t>CODE_BDG</t>
        </is>
      </c>
      <c r="J1" s="3" t="inlineStr">
        <is>
          <t>CODE_NAT</t>
        </is>
      </c>
      <c r="K1" s="3" t="inlineStr">
        <is>
          <t>CODE_UNT</t>
        </is>
      </c>
      <c r="L1" s="3" t="inlineStr">
        <is>
          <t>DEBIT</t>
        </is>
      </c>
      <c r="M1" s="3" t="inlineStr">
        <is>
          <t>CREDIT</t>
        </is>
      </c>
      <c r="N1" s="3" t="inlineStr">
        <is>
          <t>LETTRAGE</t>
        </is>
      </c>
      <c r="O1" s="3" t="inlineStr">
        <is>
          <t>LIBELLEA</t>
        </is>
      </c>
      <c r="P1" s="3" t="inlineStr">
        <is>
          <t>CTP_COM</t>
        </is>
      </c>
      <c r="Q1" s="3" t="inlineStr">
        <is>
          <t>CTP_AUX</t>
        </is>
      </c>
      <c r="R1" s="3" t="inlineStr">
        <is>
          <t>ECHEANCE</t>
        </is>
      </c>
    </row>
    <row r="2">
      <c r="A2" s="7" t="inlineStr">
        <is>
          <t>1</t>
        </is>
      </c>
      <c r="B2" s="7" t="inlineStr">
        <is>
          <t>G00001</t>
        </is>
      </c>
      <c r="C2" s="7" t="inlineStr">
        <is>
          <t>20260104</t>
        </is>
      </c>
      <c r="D2" s="7" t="inlineStr">
        <is>
          <t>N°2026000001</t>
        </is>
      </c>
      <c r="E2" s="7" t="inlineStr">
        <is>
          <t>DJENNADI ABDELKRIM</t>
        </is>
      </c>
      <c r="F2" s="7" t="inlineStr">
        <is>
          <t>06002</t>
        </is>
      </c>
      <c r="G2" s="7" t="inlineStr">
        <is>
          <t>41100</t>
        </is>
      </c>
      <c r="H2" s="7" t="inlineStr">
        <is>
          <t>C004</t>
        </is>
      </c>
      <c r="I2" s="7" t="inlineStr"/>
      <c r="J2" s="7" t="inlineStr"/>
      <c r="K2" s="7" t="inlineStr"/>
      <c r="L2" s="8" t="n">
        <v>2000000</v>
      </c>
      <c r="M2" s="8" t="n">
        <v>0</v>
      </c>
      <c r="N2" s="7" t="inlineStr"/>
      <c r="O2" s="7" t="inlineStr"/>
      <c r="P2" s="7" t="inlineStr"/>
      <c r="Q2" s="7" t="inlineStr"/>
      <c r="R2" s="7" t="inlineStr"/>
    </row>
    <row r="3">
      <c r="A3" s="7" t="inlineStr">
        <is>
          <t>1</t>
        </is>
      </c>
      <c r="B3" s="7" t="inlineStr">
        <is>
          <t>G00001</t>
        </is>
      </c>
      <c r="C3" s="7" t="inlineStr">
        <is>
          <t>20260104</t>
        </is>
      </c>
      <c r="D3" s="7" t="inlineStr">
        <is>
          <t>N°2026000001</t>
        </is>
      </c>
      <c r="E3" s="7" t="inlineStr">
        <is>
          <t>DJENNADI ABDELKRIM</t>
        </is>
      </c>
      <c r="F3" s="7" t="inlineStr">
        <is>
          <t>06002</t>
        </is>
      </c>
      <c r="G3" s="7" t="inlineStr">
        <is>
          <t>70001</t>
        </is>
      </c>
      <c r="H3" s="7" t="inlineStr"/>
      <c r="I3" s="7" t="inlineStr"/>
      <c r="J3" s="7" t="inlineStr"/>
      <c r="K3" s="7" t="inlineStr"/>
      <c r="L3" s="8" t="n">
        <v>0</v>
      </c>
      <c r="M3" s="8" t="n">
        <v>1680672.27</v>
      </c>
      <c r="N3" s="7" t="inlineStr"/>
      <c r="O3" s="7" t="inlineStr"/>
      <c r="P3" s="7" t="inlineStr"/>
      <c r="Q3" s="7" t="inlineStr"/>
      <c r="R3" s="7" t="inlineStr"/>
    </row>
    <row r="4">
      <c r="A4" s="7" t="inlineStr">
        <is>
          <t>1</t>
        </is>
      </c>
      <c r="B4" s="7" t="inlineStr">
        <is>
          <t>G00001</t>
        </is>
      </c>
      <c r="C4" s="7" t="inlineStr">
        <is>
          <t>20260104</t>
        </is>
      </c>
      <c r="D4" s="7" t="inlineStr">
        <is>
          <t>N°2026000001</t>
        </is>
      </c>
      <c r="E4" s="7" t="inlineStr">
        <is>
          <t>DJENNADI ABDELKRIM</t>
        </is>
      </c>
      <c r="F4" s="7" t="inlineStr">
        <is>
          <t>06002</t>
        </is>
      </c>
      <c r="G4" s="7" t="inlineStr">
        <is>
          <t>44517</t>
        </is>
      </c>
      <c r="H4" s="7" t="inlineStr"/>
      <c r="I4" s="7" t="inlineStr"/>
      <c r="J4" s="7" t="inlineStr"/>
      <c r="K4" s="7" t="inlineStr"/>
      <c r="L4" s="8" t="n">
        <v>0</v>
      </c>
      <c r="M4" s="8" t="n">
        <v>319327.73</v>
      </c>
      <c r="N4" s="7" t="inlineStr"/>
      <c r="O4" s="7" t="inlineStr"/>
      <c r="P4" s="7" t="inlineStr"/>
      <c r="Q4" s="7" t="inlineStr"/>
      <c r="R4" s="7" t="inlineStr"/>
    </row>
    <row r="5">
      <c r="A5" s="7" t="inlineStr">
        <is>
          <t>1</t>
        </is>
      </c>
      <c r="B5" s="7" t="inlineStr">
        <is>
          <t>G00002</t>
        </is>
      </c>
      <c r="C5" s="7" t="inlineStr">
        <is>
          <t>20260104</t>
        </is>
      </c>
      <c r="D5" s="7" t="inlineStr">
        <is>
          <t>N°2026000002</t>
        </is>
      </c>
      <c r="E5" s="7" t="inlineStr">
        <is>
          <t>SNC AVI BOUDEDJA ET CIE</t>
        </is>
      </c>
      <c r="F5" s="7" t="inlineStr">
        <is>
          <t>06002</t>
        </is>
      </c>
      <c r="G5" s="7" t="inlineStr">
        <is>
          <t>41100</t>
        </is>
      </c>
      <c r="H5" s="7" t="inlineStr">
        <is>
          <t>C1041</t>
        </is>
      </c>
      <c r="I5" s="7" t="inlineStr"/>
      <c r="J5" s="7" t="inlineStr"/>
      <c r="K5" s="7" t="inlineStr"/>
      <c r="L5" s="8" t="n">
        <v>750000</v>
      </c>
      <c r="M5" s="8" t="n">
        <v>0</v>
      </c>
      <c r="N5" s="7" t="inlineStr"/>
      <c r="O5" s="7" t="inlineStr"/>
      <c r="P5" s="7" t="inlineStr"/>
      <c r="Q5" s="7" t="inlineStr"/>
      <c r="R5" s="7" t="inlineStr"/>
    </row>
    <row r="6">
      <c r="A6" s="7" t="inlineStr">
        <is>
          <t>1</t>
        </is>
      </c>
      <c r="B6" s="7" t="inlineStr">
        <is>
          <t>G00002</t>
        </is>
      </c>
      <c r="C6" s="7" t="inlineStr">
        <is>
          <t>20260104</t>
        </is>
      </c>
      <c r="D6" s="7" t="inlineStr">
        <is>
          <t>N°2026000002</t>
        </is>
      </c>
      <c r="E6" s="7" t="inlineStr">
        <is>
          <t>SNC AVI BOUDEDJA ET CIE</t>
        </is>
      </c>
      <c r="F6" s="7" t="inlineStr">
        <is>
          <t>06002</t>
        </is>
      </c>
      <c r="G6" s="7" t="inlineStr">
        <is>
          <t>70001</t>
        </is>
      </c>
      <c r="H6" s="7" t="inlineStr"/>
      <c r="I6" s="7" t="inlineStr"/>
      <c r="J6" s="7" t="inlineStr"/>
      <c r="K6" s="7" t="inlineStr"/>
      <c r="L6" s="8" t="n">
        <v>0</v>
      </c>
      <c r="M6" s="8" t="n">
        <v>630252.1</v>
      </c>
      <c r="N6" s="7" t="inlineStr"/>
      <c r="O6" s="7" t="inlineStr"/>
      <c r="P6" s="7" t="inlineStr"/>
      <c r="Q6" s="7" t="inlineStr"/>
      <c r="R6" s="7" t="inlineStr"/>
    </row>
    <row r="7">
      <c r="A7" s="7" t="inlineStr">
        <is>
          <t>1</t>
        </is>
      </c>
      <c r="B7" s="7" t="inlineStr">
        <is>
          <t>G00002</t>
        </is>
      </c>
      <c r="C7" s="7" t="inlineStr">
        <is>
          <t>20260104</t>
        </is>
      </c>
      <c r="D7" s="7" t="inlineStr">
        <is>
          <t>N°2026000002</t>
        </is>
      </c>
      <c r="E7" s="7" t="inlineStr">
        <is>
          <t>SNC AVI BOUDEDJA ET CIE</t>
        </is>
      </c>
      <c r="F7" s="7" t="inlineStr">
        <is>
          <t>06002</t>
        </is>
      </c>
      <c r="G7" s="7" t="inlineStr">
        <is>
          <t>44517</t>
        </is>
      </c>
      <c r="H7" s="7" t="inlineStr"/>
      <c r="I7" s="7" t="inlineStr"/>
      <c r="J7" s="7" t="inlineStr"/>
      <c r="K7" s="7" t="inlineStr"/>
      <c r="L7" s="8" t="n">
        <v>0</v>
      </c>
      <c r="M7" s="8" t="n">
        <v>119747.9</v>
      </c>
      <c r="N7" s="7" t="inlineStr"/>
      <c r="O7" s="7" t="inlineStr"/>
      <c r="P7" s="7" t="inlineStr"/>
      <c r="Q7" s="7" t="inlineStr"/>
      <c r="R7" s="7" t="inlineStr"/>
    </row>
    <row r="8">
      <c r="A8" s="7" t="inlineStr">
        <is>
          <t>1</t>
        </is>
      </c>
      <c r="B8" s="7" t="inlineStr">
        <is>
          <t>G00003</t>
        </is>
      </c>
      <c r="C8" s="7" t="inlineStr">
        <is>
          <t>20260105</t>
        </is>
      </c>
      <c r="D8" s="7" t="inlineStr">
        <is>
          <t>N°2026000003</t>
        </is>
      </c>
      <c r="E8" s="7" t="inlineStr">
        <is>
          <t>SNC AVI BOUDEDJA ET CIE</t>
        </is>
      </c>
      <c r="F8" s="7" t="inlineStr">
        <is>
          <t>06002</t>
        </is>
      </c>
      <c r="G8" s="7" t="inlineStr">
        <is>
          <t>41100</t>
        </is>
      </c>
      <c r="H8" s="7" t="inlineStr">
        <is>
          <t>C1041</t>
        </is>
      </c>
      <c r="I8" s="7" t="inlineStr"/>
      <c r="J8" s="7" t="inlineStr"/>
      <c r="K8" s="7" t="inlineStr"/>
      <c r="L8" s="8" t="n">
        <v>611200.01</v>
      </c>
      <c r="M8" s="8" t="n">
        <v>0</v>
      </c>
      <c r="N8" s="7" t="inlineStr"/>
      <c r="O8" s="7" t="inlineStr"/>
      <c r="P8" s="7" t="inlineStr"/>
      <c r="Q8" s="7" t="inlineStr"/>
      <c r="R8" s="7" t="inlineStr"/>
    </row>
    <row r="9">
      <c r="A9" s="7" t="inlineStr">
        <is>
          <t>1</t>
        </is>
      </c>
      <c r="B9" s="7" t="inlineStr">
        <is>
          <t>G00003</t>
        </is>
      </c>
      <c r="C9" s="7" t="inlineStr">
        <is>
          <t>20260105</t>
        </is>
      </c>
      <c r="D9" s="7" t="inlineStr">
        <is>
          <t>N°2026000003</t>
        </is>
      </c>
      <c r="E9" s="7" t="inlineStr">
        <is>
          <t>SNC AVI BOUDEDJA ET CIE</t>
        </is>
      </c>
      <c r="F9" s="7" t="inlineStr">
        <is>
          <t>06002</t>
        </is>
      </c>
      <c r="G9" s="7" t="inlineStr">
        <is>
          <t>70001</t>
        </is>
      </c>
      <c r="H9" s="7" t="inlineStr"/>
      <c r="I9" s="7" t="inlineStr"/>
      <c r="J9" s="7" t="inlineStr"/>
      <c r="K9" s="7" t="inlineStr"/>
      <c r="L9" s="8" t="n">
        <v>0</v>
      </c>
      <c r="M9" s="8" t="n">
        <v>513613.45</v>
      </c>
      <c r="N9" s="7" t="inlineStr"/>
      <c r="O9" s="7" t="inlineStr"/>
      <c r="P9" s="7" t="inlineStr"/>
      <c r="Q9" s="7" t="inlineStr"/>
      <c r="R9" s="7" t="inlineStr"/>
    </row>
    <row r="10">
      <c r="A10" s="7" t="inlineStr">
        <is>
          <t>1</t>
        </is>
      </c>
      <c r="B10" s="7" t="inlineStr">
        <is>
          <t>G00003</t>
        </is>
      </c>
      <c r="C10" s="7" t="inlineStr">
        <is>
          <t>20260105</t>
        </is>
      </c>
      <c r="D10" s="7" t="inlineStr">
        <is>
          <t>N°2026000003</t>
        </is>
      </c>
      <c r="E10" s="7" t="inlineStr">
        <is>
          <t>SNC AVI BOUDEDJA ET CIE</t>
        </is>
      </c>
      <c r="F10" s="7" t="inlineStr">
        <is>
          <t>06002</t>
        </is>
      </c>
      <c r="G10" s="7" t="inlineStr">
        <is>
          <t>44517</t>
        </is>
      </c>
      <c r="H10" s="7" t="inlineStr"/>
      <c r="I10" s="7" t="inlineStr"/>
      <c r="J10" s="7" t="inlineStr"/>
      <c r="K10" s="7" t="inlineStr"/>
      <c r="L10" s="8" t="n">
        <v>0</v>
      </c>
      <c r="M10" s="8" t="n">
        <v>97586.56</v>
      </c>
      <c r="N10" s="7" t="inlineStr"/>
      <c r="O10" s="7" t="inlineStr"/>
      <c r="P10" s="7" t="inlineStr"/>
      <c r="Q10" s="7" t="inlineStr"/>
      <c r="R10" s="7" t="inlineStr"/>
    </row>
    <row r="11">
      <c r="A11" s="7" t="inlineStr">
        <is>
          <t>1</t>
        </is>
      </c>
      <c r="B11" s="7" t="inlineStr">
        <is>
          <t>G00004</t>
        </is>
      </c>
      <c r="C11" s="7" t="inlineStr">
        <is>
          <t>20260105</t>
        </is>
      </c>
      <c r="D11" s="7" t="inlineStr">
        <is>
          <t>N°2026000004</t>
        </is>
      </c>
      <c r="E11" s="7" t="inlineStr">
        <is>
          <t>EURL B.S. COMMERCE</t>
        </is>
      </c>
      <c r="F11" s="7" t="inlineStr">
        <is>
          <t>06002</t>
        </is>
      </c>
      <c r="G11" s="7" t="inlineStr">
        <is>
          <t>41100</t>
        </is>
      </c>
      <c r="H11" s="7" t="inlineStr">
        <is>
          <t>C740</t>
        </is>
      </c>
      <c r="I11" s="7" t="inlineStr"/>
      <c r="J11" s="7" t="inlineStr"/>
      <c r="K11" s="7" t="inlineStr"/>
      <c r="L11" s="8" t="n">
        <v>452800</v>
      </c>
      <c r="M11" s="8" t="n">
        <v>0</v>
      </c>
      <c r="N11" s="7" t="inlineStr"/>
      <c r="O11" s="7" t="inlineStr"/>
      <c r="P11" s="7" t="inlineStr"/>
      <c r="Q11" s="7" t="inlineStr"/>
      <c r="R11" s="7" t="inlineStr"/>
    </row>
    <row r="12">
      <c r="A12" s="7" t="inlineStr">
        <is>
          <t>1</t>
        </is>
      </c>
      <c r="B12" s="7" t="inlineStr">
        <is>
          <t>G00004</t>
        </is>
      </c>
      <c r="C12" s="7" t="inlineStr">
        <is>
          <t>20260105</t>
        </is>
      </c>
      <c r="D12" s="7" t="inlineStr">
        <is>
          <t>N°2026000004</t>
        </is>
      </c>
      <c r="E12" s="7" t="inlineStr">
        <is>
          <t>EURL B.S. COMMERCE</t>
        </is>
      </c>
      <c r="F12" s="7" t="inlineStr">
        <is>
          <t>06002</t>
        </is>
      </c>
      <c r="G12" s="7" t="inlineStr">
        <is>
          <t>70001</t>
        </is>
      </c>
      <c r="H12" s="7" t="inlineStr"/>
      <c r="I12" s="7" t="inlineStr"/>
      <c r="J12" s="7" t="inlineStr"/>
      <c r="K12" s="7" t="inlineStr"/>
      <c r="L12" s="8" t="n">
        <v>0</v>
      </c>
      <c r="M12" s="8" t="n">
        <v>380504.2</v>
      </c>
      <c r="N12" s="7" t="inlineStr"/>
      <c r="O12" s="7" t="inlineStr"/>
      <c r="P12" s="7" t="inlineStr"/>
      <c r="Q12" s="7" t="inlineStr"/>
      <c r="R12" s="7" t="inlineStr"/>
    </row>
    <row r="13">
      <c r="A13" s="7" t="inlineStr">
        <is>
          <t>1</t>
        </is>
      </c>
      <c r="B13" s="7" t="inlineStr">
        <is>
          <t>G00004</t>
        </is>
      </c>
      <c r="C13" s="7" t="inlineStr">
        <is>
          <t>20260105</t>
        </is>
      </c>
      <c r="D13" s="7" t="inlineStr">
        <is>
          <t>N°2026000004</t>
        </is>
      </c>
      <c r="E13" s="7" t="inlineStr">
        <is>
          <t>EURL B.S. COMMERCE</t>
        </is>
      </c>
      <c r="F13" s="7" t="inlineStr">
        <is>
          <t>06002</t>
        </is>
      </c>
      <c r="G13" s="7" t="inlineStr">
        <is>
          <t>44517</t>
        </is>
      </c>
      <c r="H13" s="7" t="inlineStr"/>
      <c r="I13" s="7" t="inlineStr"/>
      <c r="J13" s="7" t="inlineStr"/>
      <c r="K13" s="7" t="inlineStr"/>
      <c r="L13" s="8" t="n">
        <v>0</v>
      </c>
      <c r="M13" s="8" t="n">
        <v>72295.8</v>
      </c>
      <c r="N13" s="7" t="inlineStr"/>
      <c r="O13" s="7" t="inlineStr"/>
      <c r="P13" s="7" t="inlineStr"/>
      <c r="Q13" s="7" t="inlineStr"/>
      <c r="R13" s="7" t="inlineStr"/>
    </row>
    <row r="14">
      <c r="A14" s="7" t="inlineStr">
        <is>
          <t>1</t>
        </is>
      </c>
      <c r="B14" s="7" t="inlineStr">
        <is>
          <t>G00005</t>
        </is>
      </c>
      <c r="C14" s="7" t="inlineStr">
        <is>
          <t>20260105</t>
        </is>
      </c>
      <c r="D14" s="7" t="inlineStr">
        <is>
          <t>N°2026000005</t>
        </is>
      </c>
      <c r="E14" s="7" t="inlineStr">
        <is>
          <t>ENTREPRISE NAFTAL AGENCE COM O</t>
        </is>
      </c>
      <c r="F14" s="7" t="inlineStr">
        <is>
          <t>06002</t>
        </is>
      </c>
      <c r="G14" s="7" t="inlineStr">
        <is>
          <t>41100</t>
        </is>
      </c>
      <c r="H14" s="7" t="inlineStr">
        <is>
          <t>C1079</t>
        </is>
      </c>
      <c r="I14" s="7" t="inlineStr"/>
      <c r="J14" s="7" t="inlineStr"/>
      <c r="K14" s="7" t="inlineStr"/>
      <c r="L14" s="8" t="n">
        <v>121680</v>
      </c>
      <c r="M14" s="8" t="n">
        <v>0</v>
      </c>
      <c r="N14" s="7" t="inlineStr"/>
      <c r="O14" s="7" t="inlineStr"/>
      <c r="P14" s="7" t="inlineStr"/>
      <c r="Q14" s="7" t="inlineStr"/>
      <c r="R14" s="7" t="inlineStr"/>
    </row>
    <row r="15">
      <c r="A15" s="7" t="inlineStr">
        <is>
          <t>1</t>
        </is>
      </c>
      <c r="B15" s="7" t="inlineStr">
        <is>
          <t>G00005</t>
        </is>
      </c>
      <c r="C15" s="7" t="inlineStr">
        <is>
          <t>20260105</t>
        </is>
      </c>
      <c r="D15" s="7" t="inlineStr">
        <is>
          <t>N°2026000005</t>
        </is>
      </c>
      <c r="E15" s="7" t="inlineStr">
        <is>
          <t>ENTREPRISE NAFTAL AGENCE COM O</t>
        </is>
      </c>
      <c r="F15" s="7" t="inlineStr">
        <is>
          <t>06002</t>
        </is>
      </c>
      <c r="G15" s="7" t="inlineStr">
        <is>
          <t>70001</t>
        </is>
      </c>
      <c r="H15" s="7" t="inlineStr"/>
      <c r="I15" s="7" t="inlineStr"/>
      <c r="J15" s="7" t="inlineStr"/>
      <c r="K15" s="7" t="inlineStr"/>
      <c r="L15" s="8" t="n">
        <v>0</v>
      </c>
      <c r="M15" s="8" t="n">
        <v>102252.1</v>
      </c>
      <c r="N15" s="7" t="inlineStr"/>
      <c r="O15" s="7" t="inlineStr"/>
      <c r="P15" s="7" t="inlineStr"/>
      <c r="Q15" s="7" t="inlineStr"/>
      <c r="R15" s="7" t="inlineStr"/>
    </row>
    <row r="16">
      <c r="A16" s="7" t="inlineStr">
        <is>
          <t>1</t>
        </is>
      </c>
      <c r="B16" s="7" t="inlineStr">
        <is>
          <t>G00005</t>
        </is>
      </c>
      <c r="C16" s="7" t="inlineStr">
        <is>
          <t>20260105</t>
        </is>
      </c>
      <c r="D16" s="7" t="inlineStr">
        <is>
          <t>N°2026000005</t>
        </is>
      </c>
      <c r="E16" s="7" t="inlineStr">
        <is>
          <t>ENTREPRISE NAFTAL AGENCE COM O</t>
        </is>
      </c>
      <c r="F16" s="7" t="inlineStr">
        <is>
          <t>06002</t>
        </is>
      </c>
      <c r="G16" s="7" t="inlineStr">
        <is>
          <t>44517</t>
        </is>
      </c>
      <c r="H16" s="7" t="inlineStr"/>
      <c r="I16" s="7" t="inlineStr"/>
      <c r="J16" s="7" t="inlineStr"/>
      <c r="K16" s="7" t="inlineStr"/>
      <c r="L16" s="8" t="n">
        <v>0</v>
      </c>
      <c r="M16" s="8" t="n">
        <v>19427.9</v>
      </c>
      <c r="N16" s="7" t="inlineStr"/>
      <c r="O16" s="7" t="inlineStr"/>
      <c r="P16" s="7" t="inlineStr"/>
      <c r="Q16" s="7" t="inlineStr"/>
      <c r="R16" s="7" t="inlineStr"/>
    </row>
    <row r="17">
      <c r="A17" s="7" t="inlineStr">
        <is>
          <t>1</t>
        </is>
      </c>
      <c r="B17" s="7" t="inlineStr">
        <is>
          <t>G00006</t>
        </is>
      </c>
      <c r="C17" s="7" t="inlineStr">
        <is>
          <t>20260106</t>
        </is>
      </c>
      <c r="D17" s="7" t="inlineStr">
        <is>
          <t>N°2026000006</t>
        </is>
      </c>
      <c r="E17" s="7" t="inlineStr">
        <is>
          <t>EURL MEHTAR SERVICES</t>
        </is>
      </c>
      <c r="F17" s="7" t="inlineStr">
        <is>
          <t>06002</t>
        </is>
      </c>
      <c r="G17" s="7" t="inlineStr">
        <is>
          <t>41100</t>
        </is>
      </c>
      <c r="H17" s="7" t="inlineStr">
        <is>
          <t>C1050</t>
        </is>
      </c>
      <c r="I17" s="7" t="inlineStr"/>
      <c r="J17" s="7" t="inlineStr"/>
      <c r="K17" s="7" t="inlineStr"/>
      <c r="L17" s="8" t="n">
        <v>350000</v>
      </c>
      <c r="M17" s="8" t="n">
        <v>0</v>
      </c>
      <c r="N17" s="7" t="inlineStr"/>
      <c r="O17" s="7" t="inlineStr"/>
      <c r="P17" s="7" t="inlineStr"/>
      <c r="Q17" s="7" t="inlineStr"/>
      <c r="R17" s="7" t="inlineStr"/>
    </row>
    <row r="18">
      <c r="A18" s="7" t="inlineStr">
        <is>
          <t>1</t>
        </is>
      </c>
      <c r="B18" s="7" t="inlineStr">
        <is>
          <t>G00006</t>
        </is>
      </c>
      <c r="C18" s="7" t="inlineStr">
        <is>
          <t>20260106</t>
        </is>
      </c>
      <c r="D18" s="7" t="inlineStr">
        <is>
          <t>N°2026000006</t>
        </is>
      </c>
      <c r="E18" s="7" t="inlineStr">
        <is>
          <t>EURL MEHTAR SERVICES</t>
        </is>
      </c>
      <c r="F18" s="7" t="inlineStr">
        <is>
          <t>06002</t>
        </is>
      </c>
      <c r="G18" s="7" t="inlineStr">
        <is>
          <t>70001</t>
        </is>
      </c>
      <c r="H18" s="7" t="inlineStr"/>
      <c r="I18" s="7" t="inlineStr"/>
      <c r="J18" s="7" t="inlineStr"/>
      <c r="K18" s="7" t="inlineStr"/>
      <c r="L18" s="8" t="n">
        <v>0</v>
      </c>
      <c r="M18" s="8" t="n">
        <v>294117.65</v>
      </c>
      <c r="N18" s="7" t="inlineStr"/>
      <c r="O18" s="7" t="inlineStr"/>
      <c r="P18" s="7" t="inlineStr"/>
      <c r="Q18" s="7" t="inlineStr"/>
      <c r="R18" s="7" t="inlineStr"/>
    </row>
    <row r="19">
      <c r="A19" s="7" t="inlineStr">
        <is>
          <t>1</t>
        </is>
      </c>
      <c r="B19" s="7" t="inlineStr">
        <is>
          <t>G00006</t>
        </is>
      </c>
      <c r="C19" s="7" t="inlineStr">
        <is>
          <t>20260106</t>
        </is>
      </c>
      <c r="D19" s="7" t="inlineStr">
        <is>
          <t>N°2026000006</t>
        </is>
      </c>
      <c r="E19" s="7" t="inlineStr">
        <is>
          <t>EURL MEHTAR SERVICES</t>
        </is>
      </c>
      <c r="F19" s="7" t="inlineStr">
        <is>
          <t>06002</t>
        </is>
      </c>
      <c r="G19" s="7" t="inlineStr">
        <is>
          <t>44517</t>
        </is>
      </c>
      <c r="H19" s="7" t="inlineStr"/>
      <c r="I19" s="7" t="inlineStr"/>
      <c r="J19" s="7" t="inlineStr"/>
      <c r="K19" s="7" t="inlineStr"/>
      <c r="L19" s="8" t="n">
        <v>0</v>
      </c>
      <c r="M19" s="8" t="n">
        <v>55882.35</v>
      </c>
      <c r="N19" s="7" t="inlineStr"/>
      <c r="O19" s="7" t="inlineStr"/>
      <c r="P19" s="7" t="inlineStr"/>
      <c r="Q19" s="7" t="inlineStr"/>
      <c r="R19" s="7" t="inlineStr"/>
    </row>
    <row r="20">
      <c r="A20" s="7" t="inlineStr">
        <is>
          <t>1</t>
        </is>
      </c>
      <c r="B20" s="7" t="inlineStr">
        <is>
          <t>G00007</t>
        </is>
      </c>
      <c r="C20" s="7" t="inlineStr">
        <is>
          <t>20260107</t>
        </is>
      </c>
      <c r="D20" s="7" t="inlineStr">
        <is>
          <t>N°2026000007</t>
        </is>
      </c>
      <c r="E20" s="7" t="inlineStr">
        <is>
          <t>EURL MEHTAR SERVICES</t>
        </is>
      </c>
      <c r="F20" s="7" t="inlineStr">
        <is>
          <t>06002</t>
        </is>
      </c>
      <c r="G20" s="7" t="inlineStr">
        <is>
          <t>41100</t>
        </is>
      </c>
      <c r="H20" s="7" t="inlineStr">
        <is>
          <t>C1050</t>
        </is>
      </c>
      <c r="I20" s="7" t="inlineStr"/>
      <c r="J20" s="7" t="inlineStr"/>
      <c r="K20" s="7" t="inlineStr"/>
      <c r="L20" s="8" t="n">
        <v>200000</v>
      </c>
      <c r="M20" s="8" t="n">
        <v>0</v>
      </c>
      <c r="N20" s="7" t="inlineStr"/>
      <c r="O20" s="7" t="inlineStr"/>
      <c r="P20" s="7" t="inlineStr"/>
      <c r="Q20" s="7" t="inlineStr"/>
      <c r="R20" s="7" t="inlineStr"/>
    </row>
    <row r="21">
      <c r="A21" s="7" t="inlineStr">
        <is>
          <t>1</t>
        </is>
      </c>
      <c r="B21" s="7" t="inlineStr">
        <is>
          <t>G00007</t>
        </is>
      </c>
      <c r="C21" s="7" t="inlineStr">
        <is>
          <t>20260107</t>
        </is>
      </c>
      <c r="D21" s="7" t="inlineStr">
        <is>
          <t>N°2026000007</t>
        </is>
      </c>
      <c r="E21" s="7" t="inlineStr">
        <is>
          <t>EURL MEHTAR SERVICES</t>
        </is>
      </c>
      <c r="F21" s="7" t="inlineStr">
        <is>
          <t>06002</t>
        </is>
      </c>
      <c r="G21" s="7" t="inlineStr">
        <is>
          <t>70001</t>
        </is>
      </c>
      <c r="H21" s="7" t="inlineStr"/>
      <c r="I21" s="7" t="inlineStr"/>
      <c r="J21" s="7" t="inlineStr"/>
      <c r="K21" s="7" t="inlineStr"/>
      <c r="L21" s="8" t="n">
        <v>0</v>
      </c>
      <c r="M21" s="8" t="n">
        <v>168067.23</v>
      </c>
      <c r="N21" s="7" t="inlineStr"/>
      <c r="O21" s="7" t="inlineStr"/>
      <c r="P21" s="7" t="inlineStr"/>
      <c r="Q21" s="7" t="inlineStr"/>
      <c r="R21" s="7" t="inlineStr"/>
    </row>
    <row r="22">
      <c r="A22" s="7" t="inlineStr">
        <is>
          <t>1</t>
        </is>
      </c>
      <c r="B22" s="7" t="inlineStr">
        <is>
          <t>G00007</t>
        </is>
      </c>
      <c r="C22" s="7" t="inlineStr">
        <is>
          <t>20260107</t>
        </is>
      </c>
      <c r="D22" s="7" t="inlineStr">
        <is>
          <t>N°2026000007</t>
        </is>
      </c>
      <c r="E22" s="7" t="inlineStr">
        <is>
          <t>EURL MEHTAR SERVICES</t>
        </is>
      </c>
      <c r="F22" s="7" t="inlineStr">
        <is>
          <t>06002</t>
        </is>
      </c>
      <c r="G22" s="7" t="inlineStr">
        <is>
          <t>44517</t>
        </is>
      </c>
      <c r="H22" s="7" t="inlineStr"/>
      <c r="I22" s="7" t="inlineStr"/>
      <c r="J22" s="7" t="inlineStr"/>
      <c r="K22" s="7" t="inlineStr"/>
      <c r="L22" s="8" t="n">
        <v>0</v>
      </c>
      <c r="M22" s="8" t="n">
        <v>31932.77</v>
      </c>
      <c r="N22" s="7" t="inlineStr"/>
      <c r="O22" s="7" t="inlineStr"/>
      <c r="P22" s="7" t="inlineStr"/>
      <c r="Q22" s="7" t="inlineStr"/>
      <c r="R22" s="7" t="inlineStr"/>
    </row>
    <row r="23">
      <c r="A23" s="7" t="inlineStr">
        <is>
          <t>1</t>
        </is>
      </c>
      <c r="B23" s="7" t="inlineStr">
        <is>
          <t>G00008</t>
        </is>
      </c>
      <c r="C23" s="7" t="inlineStr">
        <is>
          <t>20260108</t>
        </is>
      </c>
      <c r="D23" s="7" t="inlineStr">
        <is>
          <t>N°2026000008</t>
        </is>
      </c>
      <c r="E23" s="7" t="inlineStr">
        <is>
          <t>SAHRAOUI BECHAGHA</t>
        </is>
      </c>
      <c r="F23" s="7" t="inlineStr">
        <is>
          <t>06002</t>
        </is>
      </c>
      <c r="G23" s="7" t="inlineStr">
        <is>
          <t>41100</t>
        </is>
      </c>
      <c r="H23" s="7" t="inlineStr">
        <is>
          <t>C975</t>
        </is>
      </c>
      <c r="I23" s="7" t="inlineStr"/>
      <c r="J23" s="7" t="inlineStr"/>
      <c r="K23" s="7" t="inlineStr"/>
      <c r="L23" s="8" t="n">
        <v>158900</v>
      </c>
      <c r="M23" s="8" t="n">
        <v>0</v>
      </c>
      <c r="N23" s="7" t="inlineStr"/>
      <c r="O23" s="7" t="inlineStr"/>
      <c r="P23" s="7" t="inlineStr"/>
      <c r="Q23" s="7" t="inlineStr"/>
      <c r="R23" s="7" t="inlineStr"/>
    </row>
    <row r="24">
      <c r="A24" s="7" t="inlineStr">
        <is>
          <t>1</t>
        </is>
      </c>
      <c r="B24" s="7" t="inlineStr">
        <is>
          <t>G00008</t>
        </is>
      </c>
      <c r="C24" s="7" t="inlineStr">
        <is>
          <t>20260108</t>
        </is>
      </c>
      <c r="D24" s="7" t="inlineStr">
        <is>
          <t>N°2026000008</t>
        </is>
      </c>
      <c r="E24" s="7" t="inlineStr">
        <is>
          <t>SAHRAOUI BECHAGHA</t>
        </is>
      </c>
      <c r="F24" s="7" t="inlineStr">
        <is>
          <t>06002</t>
        </is>
      </c>
      <c r="G24" s="7" t="inlineStr">
        <is>
          <t>70001</t>
        </is>
      </c>
      <c r="H24" s="7" t="inlineStr"/>
      <c r="I24" s="7" t="inlineStr"/>
      <c r="J24" s="7" t="inlineStr"/>
      <c r="K24" s="7" t="inlineStr"/>
      <c r="L24" s="8" t="n">
        <v>0</v>
      </c>
      <c r="M24" s="8" t="n">
        <v>133529.41</v>
      </c>
      <c r="N24" s="7" t="inlineStr"/>
      <c r="O24" s="7" t="inlineStr"/>
      <c r="P24" s="7" t="inlineStr"/>
      <c r="Q24" s="7" t="inlineStr"/>
      <c r="R24" s="7" t="inlineStr"/>
    </row>
    <row r="25">
      <c r="A25" s="7" t="inlineStr">
        <is>
          <t>1</t>
        </is>
      </c>
      <c r="B25" s="7" t="inlineStr">
        <is>
          <t>G00008</t>
        </is>
      </c>
      <c r="C25" s="7" t="inlineStr">
        <is>
          <t>20260108</t>
        </is>
      </c>
      <c r="D25" s="7" t="inlineStr">
        <is>
          <t>N°2026000008</t>
        </is>
      </c>
      <c r="E25" s="7" t="inlineStr">
        <is>
          <t>SAHRAOUI BECHAGHA</t>
        </is>
      </c>
      <c r="F25" s="7" t="inlineStr">
        <is>
          <t>06002</t>
        </is>
      </c>
      <c r="G25" s="7" t="inlineStr">
        <is>
          <t>44517</t>
        </is>
      </c>
      <c r="H25" s="7" t="inlineStr"/>
      <c r="I25" s="7" t="inlineStr"/>
      <c r="J25" s="7" t="inlineStr"/>
      <c r="K25" s="7" t="inlineStr"/>
      <c r="L25" s="8" t="n">
        <v>0</v>
      </c>
      <c r="M25" s="8" t="n">
        <v>25370.59</v>
      </c>
      <c r="N25" s="7" t="inlineStr"/>
      <c r="O25" s="7" t="inlineStr"/>
      <c r="P25" s="7" t="inlineStr"/>
      <c r="Q25" s="7" t="inlineStr"/>
      <c r="R25" s="7" t="inlineStr"/>
    </row>
    <row r="26">
      <c r="A26" s="7" t="inlineStr">
        <is>
          <t>1</t>
        </is>
      </c>
      <c r="B26" s="7" t="inlineStr">
        <is>
          <t>G00009</t>
        </is>
      </c>
      <c r="C26" s="7" t="inlineStr">
        <is>
          <t>20260108</t>
        </is>
      </c>
      <c r="D26" s="7" t="inlineStr">
        <is>
          <t>N°2026000009</t>
        </is>
      </c>
      <c r="E26" s="7" t="inlineStr">
        <is>
          <t>SARL ECI  BOUDIAB</t>
        </is>
      </c>
      <c r="F26" s="7" t="inlineStr">
        <is>
          <t>06002</t>
        </is>
      </c>
      <c r="G26" s="7" t="inlineStr">
        <is>
          <t>41100</t>
        </is>
      </c>
      <c r="H26" s="7" t="inlineStr">
        <is>
          <t>C1076</t>
        </is>
      </c>
      <c r="I26" s="7" t="inlineStr"/>
      <c r="J26" s="7" t="inlineStr"/>
      <c r="K26" s="7" t="inlineStr"/>
      <c r="L26" s="8" t="n">
        <v>253470</v>
      </c>
      <c r="M26" s="8" t="n">
        <v>0</v>
      </c>
      <c r="N26" s="7" t="inlineStr"/>
      <c r="O26" s="7" t="inlineStr"/>
      <c r="P26" s="7" t="inlineStr"/>
      <c r="Q26" s="7" t="inlineStr"/>
      <c r="R26" s="7" t="inlineStr"/>
    </row>
    <row r="27">
      <c r="A27" s="7" t="inlineStr">
        <is>
          <t>1</t>
        </is>
      </c>
      <c r="B27" s="7" t="inlineStr">
        <is>
          <t>G00009</t>
        </is>
      </c>
      <c r="C27" s="7" t="inlineStr">
        <is>
          <t>20260108</t>
        </is>
      </c>
      <c r="D27" s="7" t="inlineStr">
        <is>
          <t>N°2026000009</t>
        </is>
      </c>
      <c r="E27" s="7" t="inlineStr">
        <is>
          <t>SARL ECI  BOUDIAB</t>
        </is>
      </c>
      <c r="F27" s="7" t="inlineStr">
        <is>
          <t>06002</t>
        </is>
      </c>
      <c r="G27" s="7" t="inlineStr">
        <is>
          <t>70001</t>
        </is>
      </c>
      <c r="H27" s="7" t="inlineStr"/>
      <c r="I27" s="7" t="inlineStr"/>
      <c r="J27" s="7" t="inlineStr"/>
      <c r="K27" s="7" t="inlineStr"/>
      <c r="L27" s="8" t="n">
        <v>0</v>
      </c>
      <c r="M27" s="8" t="n">
        <v>213000</v>
      </c>
      <c r="N27" s="7" t="inlineStr"/>
      <c r="O27" s="7" t="inlineStr"/>
      <c r="P27" s="7" t="inlineStr"/>
      <c r="Q27" s="7" t="inlineStr"/>
      <c r="R27" s="7" t="inlineStr"/>
    </row>
    <row r="28">
      <c r="A28" s="7" t="inlineStr">
        <is>
          <t>1</t>
        </is>
      </c>
      <c r="B28" s="7" t="inlineStr">
        <is>
          <t>G00009</t>
        </is>
      </c>
      <c r="C28" s="7" t="inlineStr">
        <is>
          <t>20260108</t>
        </is>
      </c>
      <c r="D28" s="7" t="inlineStr">
        <is>
          <t>N°2026000009</t>
        </is>
      </c>
      <c r="E28" s="7" t="inlineStr">
        <is>
          <t>SARL ECI  BOUDIAB</t>
        </is>
      </c>
      <c r="F28" s="7" t="inlineStr">
        <is>
          <t>06002</t>
        </is>
      </c>
      <c r="G28" s="7" t="inlineStr">
        <is>
          <t>44517</t>
        </is>
      </c>
      <c r="H28" s="7" t="inlineStr"/>
      <c r="I28" s="7" t="inlineStr"/>
      <c r="J28" s="7" t="inlineStr"/>
      <c r="K28" s="7" t="inlineStr"/>
      <c r="L28" s="8" t="n">
        <v>0</v>
      </c>
      <c r="M28" s="8" t="n">
        <v>40470</v>
      </c>
      <c r="N28" s="7" t="inlineStr"/>
      <c r="O28" s="7" t="inlineStr"/>
      <c r="P28" s="7" t="inlineStr"/>
      <c r="Q28" s="7" t="inlineStr"/>
      <c r="R28" s="7" t="inlineStr"/>
    </row>
    <row r="29">
      <c r="A29" s="7" t="inlineStr">
        <is>
          <t>1</t>
        </is>
      </c>
      <c r="B29" s="7" t="inlineStr">
        <is>
          <t>G00010</t>
        </is>
      </c>
      <c r="C29" s="7" t="inlineStr">
        <is>
          <t>20260111</t>
        </is>
      </c>
      <c r="D29" s="7" t="inlineStr">
        <is>
          <t>N°2026000010</t>
        </is>
      </c>
      <c r="E29" s="7" t="inlineStr">
        <is>
          <t>MOHELLEBI MOHAMMED</t>
        </is>
      </c>
      <c r="F29" s="7" t="inlineStr">
        <is>
          <t>06002</t>
        </is>
      </c>
      <c r="G29" s="7" t="inlineStr">
        <is>
          <t>41100</t>
        </is>
      </c>
      <c r="H29" s="7" t="inlineStr">
        <is>
          <t>C599</t>
        </is>
      </c>
      <c r="I29" s="7" t="inlineStr"/>
      <c r="J29" s="7" t="inlineStr"/>
      <c r="K29" s="7" t="inlineStr"/>
      <c r="L29" s="8" t="n">
        <v>811544</v>
      </c>
      <c r="M29" s="8" t="n">
        <v>0</v>
      </c>
      <c r="N29" s="7" t="inlineStr"/>
      <c r="O29" s="7" t="inlineStr"/>
      <c r="P29" s="7" t="inlineStr"/>
      <c r="Q29" s="7" t="inlineStr"/>
      <c r="R29" s="7" t="inlineStr"/>
    </row>
    <row r="30">
      <c r="A30" s="7" t="inlineStr">
        <is>
          <t>1</t>
        </is>
      </c>
      <c r="B30" s="7" t="inlineStr">
        <is>
          <t>G00010</t>
        </is>
      </c>
      <c r="C30" s="7" t="inlineStr">
        <is>
          <t>20260111</t>
        </is>
      </c>
      <c r="D30" s="7" t="inlineStr">
        <is>
          <t>N°2026000010</t>
        </is>
      </c>
      <c r="E30" s="7" t="inlineStr">
        <is>
          <t>MOHELLEBI MOHAMMED</t>
        </is>
      </c>
      <c r="F30" s="7" t="inlineStr">
        <is>
          <t>06002</t>
        </is>
      </c>
      <c r="G30" s="7" t="inlineStr">
        <is>
          <t>70001</t>
        </is>
      </c>
      <c r="H30" s="7" t="inlineStr"/>
      <c r="I30" s="7" t="inlineStr"/>
      <c r="J30" s="7" t="inlineStr"/>
      <c r="K30" s="7" t="inlineStr"/>
      <c r="L30" s="8" t="n">
        <v>0</v>
      </c>
      <c r="M30" s="8" t="n">
        <v>681969.75</v>
      </c>
      <c r="N30" s="7" t="inlineStr"/>
      <c r="O30" s="7" t="inlineStr"/>
      <c r="P30" s="7" t="inlineStr"/>
      <c r="Q30" s="7" t="inlineStr"/>
      <c r="R30" s="7" t="inlineStr"/>
    </row>
    <row r="31">
      <c r="A31" s="7" t="inlineStr">
        <is>
          <t>1</t>
        </is>
      </c>
      <c r="B31" s="7" t="inlineStr">
        <is>
          <t>G00010</t>
        </is>
      </c>
      <c r="C31" s="7" t="inlineStr">
        <is>
          <t>20260111</t>
        </is>
      </c>
      <c r="D31" s="7" t="inlineStr">
        <is>
          <t>N°2026000010</t>
        </is>
      </c>
      <c r="E31" s="7" t="inlineStr">
        <is>
          <t>MOHELLEBI MOHAMMED</t>
        </is>
      </c>
      <c r="F31" s="7" t="inlineStr">
        <is>
          <t>06002</t>
        </is>
      </c>
      <c r="G31" s="7" t="inlineStr">
        <is>
          <t>44517</t>
        </is>
      </c>
      <c r="H31" s="7" t="inlineStr"/>
      <c r="I31" s="7" t="inlineStr"/>
      <c r="J31" s="7" t="inlineStr"/>
      <c r="K31" s="7" t="inlineStr"/>
      <c r="L31" s="8" t="n">
        <v>0</v>
      </c>
      <c r="M31" s="8" t="n">
        <v>129574.25</v>
      </c>
      <c r="N31" s="7" t="inlineStr"/>
      <c r="O31" s="7" t="inlineStr"/>
      <c r="P31" s="7" t="inlineStr"/>
      <c r="Q31" s="7" t="inlineStr"/>
      <c r="R31" s="7" t="inlineStr"/>
    </row>
    <row r="32">
      <c r="A32" s="7" t="inlineStr">
        <is>
          <t>1</t>
        </is>
      </c>
      <c r="B32" s="7" t="inlineStr">
        <is>
          <t>G00011</t>
        </is>
      </c>
      <c r="C32" s="7" t="inlineStr">
        <is>
          <t>20260111</t>
        </is>
      </c>
      <c r="D32" s="7" t="inlineStr">
        <is>
          <t>N°2026000011</t>
        </is>
      </c>
      <c r="E32" s="7" t="inlineStr">
        <is>
          <t>SARL ROYAL MATERIAUX  DE CONST</t>
        </is>
      </c>
      <c r="F32" s="7" t="inlineStr">
        <is>
          <t>06002</t>
        </is>
      </c>
      <c r="G32" s="7" t="inlineStr">
        <is>
          <t>41100</t>
        </is>
      </c>
      <c r="H32" s="7" t="inlineStr">
        <is>
          <t>C934</t>
        </is>
      </c>
      <c r="I32" s="7" t="inlineStr"/>
      <c r="J32" s="7" t="inlineStr"/>
      <c r="K32" s="7" t="inlineStr"/>
      <c r="L32" s="8" t="n">
        <v>128368</v>
      </c>
      <c r="M32" s="8" t="n">
        <v>0</v>
      </c>
      <c r="N32" s="7" t="inlineStr"/>
      <c r="O32" s="7" t="inlineStr"/>
      <c r="P32" s="7" t="inlineStr"/>
      <c r="Q32" s="7" t="inlineStr"/>
      <c r="R32" s="7" t="inlineStr"/>
    </row>
    <row r="33">
      <c r="A33" s="7" t="inlineStr">
        <is>
          <t>1</t>
        </is>
      </c>
      <c r="B33" s="7" t="inlineStr">
        <is>
          <t>G00011</t>
        </is>
      </c>
      <c r="C33" s="7" t="inlineStr">
        <is>
          <t>20260111</t>
        </is>
      </c>
      <c r="D33" s="7" t="inlineStr">
        <is>
          <t>N°2026000011</t>
        </is>
      </c>
      <c r="E33" s="7" t="inlineStr">
        <is>
          <t>SARL ROYAL MATERIAUX  DE CONST</t>
        </is>
      </c>
      <c r="F33" s="7" t="inlineStr">
        <is>
          <t>06002</t>
        </is>
      </c>
      <c r="G33" s="7" t="inlineStr">
        <is>
          <t>70001</t>
        </is>
      </c>
      <c r="H33" s="7" t="inlineStr"/>
      <c r="I33" s="7" t="inlineStr"/>
      <c r="J33" s="7" t="inlineStr"/>
      <c r="K33" s="7" t="inlineStr"/>
      <c r="L33" s="8" t="n">
        <v>0</v>
      </c>
      <c r="M33" s="8" t="n">
        <v>107872.27</v>
      </c>
      <c r="N33" s="7" t="inlineStr"/>
      <c r="O33" s="7" t="inlineStr"/>
      <c r="P33" s="7" t="inlineStr"/>
      <c r="Q33" s="7" t="inlineStr"/>
      <c r="R33" s="7" t="inlineStr"/>
    </row>
    <row r="34">
      <c r="A34" s="7" t="inlineStr">
        <is>
          <t>1</t>
        </is>
      </c>
      <c r="B34" s="7" t="inlineStr">
        <is>
          <t>G00011</t>
        </is>
      </c>
      <c r="C34" s="7" t="inlineStr">
        <is>
          <t>20260111</t>
        </is>
      </c>
      <c r="D34" s="7" t="inlineStr">
        <is>
          <t>N°2026000011</t>
        </is>
      </c>
      <c r="E34" s="7" t="inlineStr">
        <is>
          <t>SARL ROYAL MATERIAUX  DE CONST</t>
        </is>
      </c>
      <c r="F34" s="7" t="inlineStr">
        <is>
          <t>06002</t>
        </is>
      </c>
      <c r="G34" s="7" t="inlineStr">
        <is>
          <t>44517</t>
        </is>
      </c>
      <c r="H34" s="7" t="inlineStr"/>
      <c r="I34" s="7" t="inlineStr"/>
      <c r="J34" s="7" t="inlineStr"/>
      <c r="K34" s="7" t="inlineStr"/>
      <c r="L34" s="8" t="n">
        <v>0</v>
      </c>
      <c r="M34" s="8" t="n">
        <v>20495.73</v>
      </c>
      <c r="N34" s="7" t="inlineStr"/>
      <c r="O34" s="7" t="inlineStr"/>
      <c r="P34" s="7" t="inlineStr"/>
      <c r="Q34" s="7" t="inlineStr"/>
      <c r="R34" s="7" t="inlineStr"/>
    </row>
    <row r="35">
      <c r="A35" s="7" t="inlineStr">
        <is>
          <t>1</t>
        </is>
      </c>
      <c r="B35" s="7" t="inlineStr">
        <is>
          <t>G00012</t>
        </is>
      </c>
      <c r="C35" s="7" t="inlineStr">
        <is>
          <t>20260113</t>
        </is>
      </c>
      <c r="D35" s="7" t="inlineStr">
        <is>
          <t>N°2026000012</t>
        </is>
      </c>
      <c r="E35" s="7" t="inlineStr">
        <is>
          <t>SARL ROYAL MATERIAUX  DE CONST</t>
        </is>
      </c>
      <c r="F35" s="7" t="inlineStr">
        <is>
          <t>06002</t>
        </is>
      </c>
      <c r="G35" s="7" t="inlineStr">
        <is>
          <t>41100</t>
        </is>
      </c>
      <c r="H35" s="7" t="inlineStr">
        <is>
          <t>C934</t>
        </is>
      </c>
      <c r="I35" s="7" t="inlineStr"/>
      <c r="J35" s="7" t="inlineStr"/>
      <c r="K35" s="7" t="inlineStr"/>
      <c r="L35" s="8" t="n">
        <v>115245</v>
      </c>
      <c r="M35" s="8" t="n">
        <v>0</v>
      </c>
      <c r="N35" s="7" t="inlineStr"/>
      <c r="O35" s="7" t="inlineStr"/>
      <c r="P35" s="7" t="inlineStr"/>
      <c r="Q35" s="7" t="inlineStr"/>
      <c r="R35" s="7" t="inlineStr"/>
    </row>
    <row r="36">
      <c r="A36" s="7" t="inlineStr">
        <is>
          <t>1</t>
        </is>
      </c>
      <c r="B36" s="7" t="inlineStr">
        <is>
          <t>G00012</t>
        </is>
      </c>
      <c r="C36" s="7" t="inlineStr">
        <is>
          <t>20260113</t>
        </is>
      </c>
      <c r="D36" s="7" t="inlineStr">
        <is>
          <t>N°2026000012</t>
        </is>
      </c>
      <c r="E36" s="7" t="inlineStr">
        <is>
          <t>SARL ROYAL MATERIAUX  DE CONST</t>
        </is>
      </c>
      <c r="F36" s="7" t="inlineStr">
        <is>
          <t>06002</t>
        </is>
      </c>
      <c r="G36" s="7" t="inlineStr">
        <is>
          <t>70001</t>
        </is>
      </c>
      <c r="H36" s="7" t="inlineStr"/>
      <c r="I36" s="7" t="inlineStr"/>
      <c r="J36" s="7" t="inlineStr"/>
      <c r="K36" s="7" t="inlineStr"/>
      <c r="L36" s="8" t="n">
        <v>0</v>
      </c>
      <c r="M36" s="8" t="n">
        <v>96844.53999999999</v>
      </c>
      <c r="N36" s="7" t="inlineStr"/>
      <c r="O36" s="7" t="inlineStr"/>
      <c r="P36" s="7" t="inlineStr"/>
      <c r="Q36" s="7" t="inlineStr"/>
      <c r="R36" s="7" t="inlineStr"/>
    </row>
    <row r="37">
      <c r="A37" s="7" t="inlineStr">
        <is>
          <t>1</t>
        </is>
      </c>
      <c r="B37" s="7" t="inlineStr">
        <is>
          <t>G00012</t>
        </is>
      </c>
      <c r="C37" s="7" t="inlineStr">
        <is>
          <t>20260113</t>
        </is>
      </c>
      <c r="D37" s="7" t="inlineStr">
        <is>
          <t>N°2026000012</t>
        </is>
      </c>
      <c r="E37" s="7" t="inlineStr">
        <is>
          <t>SARL ROYAL MATERIAUX  DE CONST</t>
        </is>
      </c>
      <c r="F37" s="7" t="inlineStr">
        <is>
          <t>06002</t>
        </is>
      </c>
      <c r="G37" s="7" t="inlineStr">
        <is>
          <t>44517</t>
        </is>
      </c>
      <c r="H37" s="7" t="inlineStr"/>
      <c r="I37" s="7" t="inlineStr"/>
      <c r="J37" s="7" t="inlineStr"/>
      <c r="K37" s="7" t="inlineStr"/>
      <c r="L37" s="8" t="n">
        <v>0</v>
      </c>
      <c r="M37" s="8" t="n">
        <v>18400.46</v>
      </c>
      <c r="N37" s="7" t="inlineStr"/>
      <c r="O37" s="7" t="inlineStr"/>
      <c r="P37" s="7" t="inlineStr"/>
      <c r="Q37" s="7" t="inlineStr"/>
      <c r="R37" s="7" t="inlineStr"/>
    </row>
    <row r="38">
      <c r="A38" s="7" t="inlineStr">
        <is>
          <t>1</t>
        </is>
      </c>
      <c r="B38" s="7" t="inlineStr">
        <is>
          <t>G00013</t>
        </is>
      </c>
      <c r="C38" s="7" t="inlineStr">
        <is>
          <t>20260113</t>
        </is>
      </c>
      <c r="D38" s="7" t="inlineStr">
        <is>
          <t>N°2026000013</t>
        </is>
      </c>
      <c r="E38" s="7" t="inlineStr">
        <is>
          <t>SARL ROYAL MATERIAUX  DE CONST</t>
        </is>
      </c>
      <c r="F38" s="7" t="inlineStr">
        <is>
          <t>06002</t>
        </is>
      </c>
      <c r="G38" s="7" t="inlineStr">
        <is>
          <t>41100</t>
        </is>
      </c>
      <c r="H38" s="7" t="inlineStr">
        <is>
          <t>C934</t>
        </is>
      </c>
      <c r="I38" s="7" t="inlineStr"/>
      <c r="J38" s="7" t="inlineStr"/>
      <c r="K38" s="7" t="inlineStr"/>
      <c r="L38" s="8" t="n">
        <v>108728</v>
      </c>
      <c r="M38" s="8" t="n">
        <v>0</v>
      </c>
      <c r="N38" s="7" t="inlineStr"/>
      <c r="O38" s="7" t="inlineStr"/>
      <c r="P38" s="7" t="inlineStr"/>
      <c r="Q38" s="7" t="inlineStr"/>
      <c r="R38" s="7" t="inlineStr"/>
    </row>
    <row r="39">
      <c r="A39" s="7" t="inlineStr">
        <is>
          <t>1</t>
        </is>
      </c>
      <c r="B39" s="7" t="inlineStr">
        <is>
          <t>G00013</t>
        </is>
      </c>
      <c r="C39" s="7" t="inlineStr">
        <is>
          <t>20260113</t>
        </is>
      </c>
      <c r="D39" s="7" t="inlineStr">
        <is>
          <t>N°2026000013</t>
        </is>
      </c>
      <c r="E39" s="7" t="inlineStr">
        <is>
          <t>SARL ROYAL MATERIAUX  DE CONST</t>
        </is>
      </c>
      <c r="F39" s="7" t="inlineStr">
        <is>
          <t>06002</t>
        </is>
      </c>
      <c r="G39" s="7" t="inlineStr">
        <is>
          <t>70001</t>
        </is>
      </c>
      <c r="H39" s="7" t="inlineStr"/>
      <c r="I39" s="7" t="inlineStr"/>
      <c r="J39" s="7" t="inlineStr"/>
      <c r="K39" s="7" t="inlineStr"/>
      <c r="L39" s="8" t="n">
        <v>0</v>
      </c>
      <c r="M39" s="8" t="n">
        <v>91368.07000000001</v>
      </c>
      <c r="N39" s="7" t="inlineStr"/>
      <c r="O39" s="7" t="inlineStr"/>
      <c r="P39" s="7" t="inlineStr"/>
      <c r="Q39" s="7" t="inlineStr"/>
      <c r="R39" s="7" t="inlineStr"/>
    </row>
    <row r="40">
      <c r="A40" s="7" t="inlineStr">
        <is>
          <t>1</t>
        </is>
      </c>
      <c r="B40" s="7" t="inlineStr">
        <is>
          <t>G00013</t>
        </is>
      </c>
      <c r="C40" s="7" t="inlineStr">
        <is>
          <t>20260113</t>
        </is>
      </c>
      <c r="D40" s="7" t="inlineStr">
        <is>
          <t>N°2026000013</t>
        </is>
      </c>
      <c r="E40" s="7" t="inlineStr">
        <is>
          <t>SARL ROYAL MATERIAUX  DE CONST</t>
        </is>
      </c>
      <c r="F40" s="7" t="inlineStr">
        <is>
          <t>06002</t>
        </is>
      </c>
      <c r="G40" s="7" t="inlineStr">
        <is>
          <t>44517</t>
        </is>
      </c>
      <c r="H40" s="7" t="inlineStr"/>
      <c r="I40" s="7" t="inlineStr"/>
      <c r="J40" s="7" t="inlineStr"/>
      <c r="K40" s="7" t="inlineStr"/>
      <c r="L40" s="8" t="n">
        <v>0</v>
      </c>
      <c r="M40" s="8" t="n">
        <v>17359.93</v>
      </c>
      <c r="N40" s="7" t="inlineStr"/>
      <c r="O40" s="7" t="inlineStr"/>
      <c r="P40" s="7" t="inlineStr"/>
      <c r="Q40" s="7" t="inlineStr"/>
      <c r="R40" s="7" t="inlineStr"/>
    </row>
    <row r="41">
      <c r="A41" s="7" t="inlineStr">
        <is>
          <t>1</t>
        </is>
      </c>
      <c r="B41" s="7" t="inlineStr">
        <is>
          <t>G00014</t>
        </is>
      </c>
      <c r="C41" s="7" t="inlineStr">
        <is>
          <t>20260114</t>
        </is>
      </c>
      <c r="D41" s="7" t="inlineStr">
        <is>
          <t>N°2026000014</t>
        </is>
      </c>
      <c r="E41" s="7" t="inlineStr">
        <is>
          <t>BOUAMARA HICHAM</t>
        </is>
      </c>
      <c r="F41" s="7" t="inlineStr">
        <is>
          <t>06002</t>
        </is>
      </c>
      <c r="G41" s="7" t="inlineStr">
        <is>
          <t>41100</t>
        </is>
      </c>
      <c r="H41" s="7" t="inlineStr">
        <is>
          <t>C1080</t>
        </is>
      </c>
      <c r="I41" s="7" t="inlineStr"/>
      <c r="J41" s="7" t="inlineStr"/>
      <c r="K41" s="7" t="inlineStr"/>
      <c r="L41" s="8" t="n">
        <v>128823</v>
      </c>
      <c r="M41" s="8" t="n">
        <v>0</v>
      </c>
      <c r="N41" s="7" t="inlineStr"/>
      <c r="O41" s="7" t="inlineStr"/>
      <c r="P41" s="7" t="inlineStr"/>
      <c r="Q41" s="7" t="inlineStr"/>
      <c r="R41" s="7" t="inlineStr"/>
    </row>
    <row r="42">
      <c r="A42" s="7" t="inlineStr">
        <is>
          <t>1</t>
        </is>
      </c>
      <c r="B42" s="7" t="inlineStr">
        <is>
          <t>G00014</t>
        </is>
      </c>
      <c r="C42" s="7" t="inlineStr">
        <is>
          <t>20260114</t>
        </is>
      </c>
      <c r="D42" s="7" t="inlineStr">
        <is>
          <t>N°2026000014</t>
        </is>
      </c>
      <c r="E42" s="7" t="inlineStr">
        <is>
          <t>BOUAMARA HICHAM</t>
        </is>
      </c>
      <c r="F42" s="7" t="inlineStr">
        <is>
          <t>06002</t>
        </is>
      </c>
      <c r="G42" s="7" t="inlineStr">
        <is>
          <t>70001</t>
        </is>
      </c>
      <c r="H42" s="7" t="inlineStr"/>
      <c r="I42" s="7" t="inlineStr"/>
      <c r="J42" s="7" t="inlineStr"/>
      <c r="K42" s="7" t="inlineStr"/>
      <c r="L42" s="8" t="n">
        <v>0</v>
      </c>
      <c r="M42" s="8" t="n">
        <v>108254.62</v>
      </c>
      <c r="N42" s="7" t="inlineStr"/>
      <c r="O42" s="7" t="inlineStr"/>
      <c r="P42" s="7" t="inlineStr"/>
      <c r="Q42" s="7" t="inlineStr"/>
      <c r="R42" s="7" t="inlineStr"/>
    </row>
    <row r="43">
      <c r="A43" s="7" t="inlineStr">
        <is>
          <t>1</t>
        </is>
      </c>
      <c r="B43" s="7" t="inlineStr">
        <is>
          <t>G00014</t>
        </is>
      </c>
      <c r="C43" s="7" t="inlineStr">
        <is>
          <t>20260114</t>
        </is>
      </c>
      <c r="D43" s="7" t="inlineStr">
        <is>
          <t>N°2026000014</t>
        </is>
      </c>
      <c r="E43" s="7" t="inlineStr">
        <is>
          <t>BOUAMARA HICHAM</t>
        </is>
      </c>
      <c r="F43" s="7" t="inlineStr">
        <is>
          <t>06002</t>
        </is>
      </c>
      <c r="G43" s="7" t="inlineStr">
        <is>
          <t>44517</t>
        </is>
      </c>
      <c r="H43" s="7" t="inlineStr"/>
      <c r="I43" s="7" t="inlineStr"/>
      <c r="J43" s="7" t="inlineStr"/>
      <c r="K43" s="7" t="inlineStr"/>
      <c r="L43" s="8" t="n">
        <v>0</v>
      </c>
      <c r="M43" s="8" t="n">
        <v>20568.38</v>
      </c>
      <c r="N43" s="7" t="inlineStr"/>
      <c r="O43" s="7" t="inlineStr"/>
      <c r="P43" s="7" t="inlineStr"/>
      <c r="Q43" s="7" t="inlineStr"/>
      <c r="R43" s="7" t="inlineStr"/>
    </row>
    <row r="44">
      <c r="A44" s="7" t="inlineStr">
        <is>
          <t>1</t>
        </is>
      </c>
      <c r="B44" s="7" t="inlineStr">
        <is>
          <t>G00015</t>
        </is>
      </c>
      <c r="C44" s="7" t="inlineStr">
        <is>
          <t>20260115</t>
        </is>
      </c>
      <c r="D44" s="7" t="inlineStr">
        <is>
          <t>N°2026000015</t>
        </is>
      </c>
      <c r="E44" s="7" t="inlineStr">
        <is>
          <t>BOUAMARA HICHAM</t>
        </is>
      </c>
      <c r="F44" s="7" t="inlineStr">
        <is>
          <t>06002</t>
        </is>
      </c>
      <c r="G44" s="7" t="inlineStr">
        <is>
          <t>41100</t>
        </is>
      </c>
      <c r="H44" s="7" t="inlineStr">
        <is>
          <t>C1080</t>
        </is>
      </c>
      <c r="I44" s="7" t="inlineStr"/>
      <c r="J44" s="7" t="inlineStr"/>
      <c r="K44" s="7" t="inlineStr"/>
      <c r="L44" s="8" t="n">
        <v>128088.01</v>
      </c>
      <c r="M44" s="8" t="n">
        <v>0</v>
      </c>
      <c r="N44" s="7" t="inlineStr"/>
      <c r="O44" s="7" t="inlineStr"/>
      <c r="P44" s="7" t="inlineStr"/>
      <c r="Q44" s="7" t="inlineStr"/>
      <c r="R44" s="7" t="inlineStr"/>
    </row>
    <row r="45">
      <c r="A45" s="7" t="inlineStr">
        <is>
          <t>1</t>
        </is>
      </c>
      <c r="B45" s="7" t="inlineStr">
        <is>
          <t>G00015</t>
        </is>
      </c>
      <c r="C45" s="7" t="inlineStr">
        <is>
          <t>20260115</t>
        </is>
      </c>
      <c r="D45" s="7" t="inlineStr">
        <is>
          <t>N°2026000015</t>
        </is>
      </c>
      <c r="E45" s="7" t="inlineStr">
        <is>
          <t>BOUAMARA HICHAM</t>
        </is>
      </c>
      <c r="F45" s="7" t="inlineStr">
        <is>
          <t>06002</t>
        </is>
      </c>
      <c r="G45" s="7" t="inlineStr">
        <is>
          <t>70001</t>
        </is>
      </c>
      <c r="H45" s="7" t="inlineStr"/>
      <c r="I45" s="7" t="inlineStr"/>
      <c r="J45" s="7" t="inlineStr"/>
      <c r="K45" s="7" t="inlineStr"/>
      <c r="L45" s="8" t="n">
        <v>0</v>
      </c>
      <c r="M45" s="8" t="n">
        <v>107636.98</v>
      </c>
      <c r="N45" s="7" t="inlineStr"/>
      <c r="O45" s="7" t="inlineStr"/>
      <c r="P45" s="7" t="inlineStr"/>
      <c r="Q45" s="7" t="inlineStr"/>
      <c r="R45" s="7" t="inlineStr"/>
    </row>
    <row r="46">
      <c r="A46" s="7" t="inlineStr">
        <is>
          <t>1</t>
        </is>
      </c>
      <c r="B46" s="7" t="inlineStr">
        <is>
          <t>G00015</t>
        </is>
      </c>
      <c r="C46" s="7" t="inlineStr">
        <is>
          <t>20260115</t>
        </is>
      </c>
      <c r="D46" s="7" t="inlineStr">
        <is>
          <t>N°2026000015</t>
        </is>
      </c>
      <c r="E46" s="7" t="inlineStr">
        <is>
          <t>BOUAMARA HICHAM</t>
        </is>
      </c>
      <c r="F46" s="7" t="inlineStr">
        <is>
          <t>06002</t>
        </is>
      </c>
      <c r="G46" s="7" t="inlineStr">
        <is>
          <t>44517</t>
        </is>
      </c>
      <c r="H46" s="7" t="inlineStr"/>
      <c r="I46" s="7" t="inlineStr"/>
      <c r="J46" s="7" t="inlineStr"/>
      <c r="K46" s="7" t="inlineStr"/>
      <c r="L46" s="8" t="n">
        <v>0</v>
      </c>
      <c r="M46" s="8" t="n">
        <v>20451.03</v>
      </c>
      <c r="N46" s="7" t="inlineStr"/>
      <c r="O46" s="7" t="inlineStr"/>
      <c r="P46" s="7" t="inlineStr"/>
      <c r="Q46" s="7" t="inlineStr"/>
      <c r="R46" s="7" t="inlineStr"/>
    </row>
    <row r="47">
      <c r="A47" s="7" t="inlineStr">
        <is>
          <t>1</t>
        </is>
      </c>
      <c r="B47" s="7" t="inlineStr">
        <is>
          <t>G00016</t>
        </is>
      </c>
      <c r="C47" s="7" t="inlineStr">
        <is>
          <t>20260118</t>
        </is>
      </c>
      <c r="D47" s="7" t="inlineStr">
        <is>
          <t>N°2026000016</t>
        </is>
      </c>
      <c r="E47" s="7" t="inlineStr">
        <is>
          <t>BOUAMARA HICHAM</t>
        </is>
      </c>
      <c r="F47" s="7" t="inlineStr">
        <is>
          <t>06002</t>
        </is>
      </c>
      <c r="G47" s="7" t="inlineStr">
        <is>
          <t>41100</t>
        </is>
      </c>
      <c r="H47" s="7" t="inlineStr">
        <is>
          <t>C1080</t>
        </is>
      </c>
      <c r="I47" s="7" t="inlineStr"/>
      <c r="J47" s="7" t="inlineStr"/>
      <c r="K47" s="7" t="inlineStr"/>
      <c r="L47" s="8" t="n">
        <v>105334</v>
      </c>
      <c r="M47" s="8" t="n">
        <v>0</v>
      </c>
      <c r="N47" s="7" t="inlineStr"/>
      <c r="O47" s="7" t="inlineStr"/>
      <c r="P47" s="7" t="inlineStr"/>
      <c r="Q47" s="7" t="inlineStr"/>
      <c r="R47" s="7" t="inlineStr"/>
    </row>
    <row r="48">
      <c r="A48" s="7" t="inlineStr">
        <is>
          <t>1</t>
        </is>
      </c>
      <c r="B48" s="7" t="inlineStr">
        <is>
          <t>G00016</t>
        </is>
      </c>
      <c r="C48" s="7" t="inlineStr">
        <is>
          <t>20260118</t>
        </is>
      </c>
      <c r="D48" s="7" t="inlineStr">
        <is>
          <t>N°2026000016</t>
        </is>
      </c>
      <c r="E48" s="7" t="inlineStr">
        <is>
          <t>BOUAMARA HICHAM</t>
        </is>
      </c>
      <c r="F48" s="7" t="inlineStr">
        <is>
          <t>06002</t>
        </is>
      </c>
      <c r="G48" s="7" t="inlineStr">
        <is>
          <t>70001</t>
        </is>
      </c>
      <c r="H48" s="7" t="inlineStr"/>
      <c r="I48" s="7" t="inlineStr"/>
      <c r="J48" s="7" t="inlineStr"/>
      <c r="K48" s="7" t="inlineStr"/>
      <c r="L48" s="8" t="n">
        <v>0</v>
      </c>
      <c r="M48" s="8" t="n">
        <v>88515.97</v>
      </c>
      <c r="N48" s="7" t="inlineStr"/>
      <c r="O48" s="7" t="inlineStr"/>
      <c r="P48" s="7" t="inlineStr"/>
      <c r="Q48" s="7" t="inlineStr"/>
      <c r="R48" s="7" t="inlineStr"/>
    </row>
    <row r="49">
      <c r="A49" s="7" t="inlineStr">
        <is>
          <t>1</t>
        </is>
      </c>
      <c r="B49" s="7" t="inlineStr">
        <is>
          <t>G00016</t>
        </is>
      </c>
      <c r="C49" s="7" t="inlineStr">
        <is>
          <t>20260118</t>
        </is>
      </c>
      <c r="D49" s="7" t="inlineStr">
        <is>
          <t>N°2026000016</t>
        </is>
      </c>
      <c r="E49" s="7" t="inlineStr">
        <is>
          <t>BOUAMARA HICHAM</t>
        </is>
      </c>
      <c r="F49" s="7" t="inlineStr">
        <is>
          <t>06002</t>
        </is>
      </c>
      <c r="G49" s="7" t="inlineStr">
        <is>
          <t>44517</t>
        </is>
      </c>
      <c r="H49" s="7" t="inlineStr"/>
      <c r="I49" s="7" t="inlineStr"/>
      <c r="J49" s="7" t="inlineStr"/>
      <c r="K49" s="7" t="inlineStr"/>
      <c r="L49" s="8" t="n">
        <v>0</v>
      </c>
      <c r="M49" s="8" t="n">
        <v>16818.03</v>
      </c>
      <c r="N49" s="7" t="inlineStr"/>
      <c r="O49" s="7" t="inlineStr"/>
      <c r="P49" s="7" t="inlineStr"/>
      <c r="Q49" s="7" t="inlineStr"/>
      <c r="R49" s="7" t="inlineStr"/>
    </row>
    <row r="50">
      <c r="A50" s="7" t="inlineStr">
        <is>
          <t>1</t>
        </is>
      </c>
      <c r="B50" s="7" t="inlineStr">
        <is>
          <t>G00017</t>
        </is>
      </c>
      <c r="C50" s="7" t="inlineStr">
        <is>
          <t>20260118</t>
        </is>
      </c>
      <c r="D50" s="7" t="inlineStr">
        <is>
          <t>N°2026000017</t>
        </is>
      </c>
      <c r="E50" s="7" t="inlineStr">
        <is>
          <t>MOHELLEBI MOHAMMED</t>
        </is>
      </c>
      <c r="F50" s="7" t="inlineStr">
        <is>
          <t>06002</t>
        </is>
      </c>
      <c r="G50" s="7" t="inlineStr">
        <is>
          <t>41100</t>
        </is>
      </c>
      <c r="H50" s="7" t="inlineStr">
        <is>
          <t>C599</t>
        </is>
      </c>
      <c r="I50" s="7" t="inlineStr"/>
      <c r="J50" s="7" t="inlineStr"/>
      <c r="K50" s="7" t="inlineStr"/>
      <c r="L50" s="8" t="n">
        <v>43332.66</v>
      </c>
      <c r="M50" s="8" t="n">
        <v>0</v>
      </c>
      <c r="N50" s="7" t="inlineStr"/>
      <c r="O50" s="7" t="inlineStr"/>
      <c r="P50" s="7" t="inlineStr"/>
      <c r="Q50" s="7" t="inlineStr"/>
      <c r="R50" s="7" t="inlineStr"/>
    </row>
    <row r="51">
      <c r="A51" s="7" t="inlineStr">
        <is>
          <t>1</t>
        </is>
      </c>
      <c r="B51" s="7" t="inlineStr">
        <is>
          <t>G00017</t>
        </is>
      </c>
      <c r="C51" s="7" t="inlineStr">
        <is>
          <t>20260118</t>
        </is>
      </c>
      <c r="D51" s="7" t="inlineStr">
        <is>
          <t>N°2026000017</t>
        </is>
      </c>
      <c r="E51" s="7" t="inlineStr">
        <is>
          <t>MOHELLEBI MOHAMMED</t>
        </is>
      </c>
      <c r="F51" s="7" t="inlineStr">
        <is>
          <t>06002</t>
        </is>
      </c>
      <c r="G51" s="7" t="inlineStr">
        <is>
          <t>70001</t>
        </is>
      </c>
      <c r="H51" s="7" t="inlineStr"/>
      <c r="I51" s="7" t="inlineStr"/>
      <c r="J51" s="7" t="inlineStr"/>
      <c r="K51" s="7" t="inlineStr"/>
      <c r="L51" s="8" t="n">
        <v>0</v>
      </c>
      <c r="M51" s="8" t="n">
        <v>36414</v>
      </c>
      <c r="N51" s="7" t="inlineStr"/>
      <c r="O51" s="7" t="inlineStr"/>
      <c r="P51" s="7" t="inlineStr"/>
      <c r="Q51" s="7" t="inlineStr"/>
      <c r="R51" s="7" t="inlineStr"/>
    </row>
    <row r="52">
      <c r="A52" s="7" t="inlineStr">
        <is>
          <t>1</t>
        </is>
      </c>
      <c r="B52" s="7" t="inlineStr">
        <is>
          <t>G00017</t>
        </is>
      </c>
      <c r="C52" s="7" t="inlineStr">
        <is>
          <t>20260118</t>
        </is>
      </c>
      <c r="D52" s="7" t="inlineStr">
        <is>
          <t>N°2026000017</t>
        </is>
      </c>
      <c r="E52" s="7" t="inlineStr">
        <is>
          <t>MOHELLEBI MOHAMMED</t>
        </is>
      </c>
      <c r="F52" s="7" t="inlineStr">
        <is>
          <t>06002</t>
        </is>
      </c>
      <c r="G52" s="7" t="inlineStr">
        <is>
          <t>44517</t>
        </is>
      </c>
      <c r="H52" s="7" t="inlineStr"/>
      <c r="I52" s="7" t="inlineStr"/>
      <c r="J52" s="7" t="inlineStr"/>
      <c r="K52" s="7" t="inlineStr"/>
      <c r="L52" s="8" t="n">
        <v>0</v>
      </c>
      <c r="M52" s="8" t="n">
        <v>6918.66</v>
      </c>
      <c r="N52" s="7" t="inlineStr"/>
      <c r="O52" s="7" t="inlineStr"/>
      <c r="P52" s="7" t="inlineStr"/>
      <c r="Q52" s="7" t="inlineStr"/>
      <c r="R52" s="7" t="inlineStr"/>
    </row>
    <row r="53">
      <c r="A53" s="7" t="inlineStr">
        <is>
          <t>1</t>
        </is>
      </c>
      <c r="B53" s="7" t="inlineStr">
        <is>
          <t>G00018</t>
        </is>
      </c>
      <c r="C53" s="7" t="inlineStr">
        <is>
          <t>20260119</t>
        </is>
      </c>
      <c r="D53" s="7" t="inlineStr">
        <is>
          <t>N°2026000018</t>
        </is>
      </c>
      <c r="E53" s="7" t="inlineStr">
        <is>
          <t>EURL TRANSPORT DE MARCHANDISES</t>
        </is>
      </c>
      <c r="F53" s="7" t="inlineStr">
        <is>
          <t>06002</t>
        </is>
      </c>
      <c r="G53" s="7" t="inlineStr">
        <is>
          <t>41100</t>
        </is>
      </c>
      <c r="H53" s="7" t="inlineStr">
        <is>
          <t>C1081</t>
        </is>
      </c>
      <c r="I53" s="7" t="inlineStr"/>
      <c r="J53" s="7" t="inlineStr"/>
      <c r="K53" s="7" t="inlineStr"/>
      <c r="L53" s="8" t="n">
        <v>51616.85</v>
      </c>
      <c r="M53" s="8" t="n">
        <v>0</v>
      </c>
      <c r="N53" s="7" t="inlineStr"/>
      <c r="O53" s="7" t="inlineStr"/>
      <c r="P53" s="7" t="inlineStr"/>
      <c r="Q53" s="7" t="inlineStr"/>
      <c r="R53" s="7" t="inlineStr"/>
    </row>
    <row r="54">
      <c r="A54" s="7" t="inlineStr">
        <is>
          <t>1</t>
        </is>
      </c>
      <c r="B54" s="7" t="inlineStr">
        <is>
          <t>G00018</t>
        </is>
      </c>
      <c r="C54" s="7" t="inlineStr">
        <is>
          <t>20260119</t>
        </is>
      </c>
      <c r="D54" s="7" t="inlineStr">
        <is>
          <t>N°2026000018</t>
        </is>
      </c>
      <c r="E54" s="7" t="inlineStr">
        <is>
          <t>EURL TRANSPORT DE MARCHANDISES</t>
        </is>
      </c>
      <c r="F54" s="7" t="inlineStr">
        <is>
          <t>06002</t>
        </is>
      </c>
      <c r="G54" s="7" t="inlineStr">
        <is>
          <t>70001</t>
        </is>
      </c>
      <c r="H54" s="7" t="inlineStr"/>
      <c r="I54" s="7" t="inlineStr"/>
      <c r="J54" s="7" t="inlineStr"/>
      <c r="K54" s="7" t="inlineStr"/>
      <c r="L54" s="8" t="n">
        <v>0</v>
      </c>
      <c r="M54" s="8" t="n">
        <v>43375.5</v>
      </c>
      <c r="N54" s="7" t="inlineStr"/>
      <c r="O54" s="7" t="inlineStr"/>
      <c r="P54" s="7" t="inlineStr"/>
      <c r="Q54" s="7" t="inlineStr"/>
      <c r="R54" s="7" t="inlineStr"/>
    </row>
    <row r="55">
      <c r="A55" s="7" t="inlineStr">
        <is>
          <t>1</t>
        </is>
      </c>
      <c r="B55" s="7" t="inlineStr">
        <is>
          <t>G00018</t>
        </is>
      </c>
      <c r="C55" s="7" t="inlineStr">
        <is>
          <t>20260119</t>
        </is>
      </c>
      <c r="D55" s="7" t="inlineStr">
        <is>
          <t>N°2026000018</t>
        </is>
      </c>
      <c r="E55" s="7" t="inlineStr">
        <is>
          <t>EURL TRANSPORT DE MARCHANDISES</t>
        </is>
      </c>
      <c r="F55" s="7" t="inlineStr">
        <is>
          <t>06002</t>
        </is>
      </c>
      <c r="G55" s="7" t="inlineStr">
        <is>
          <t>44517</t>
        </is>
      </c>
      <c r="H55" s="7" t="inlineStr"/>
      <c r="I55" s="7" t="inlineStr"/>
      <c r="J55" s="7" t="inlineStr"/>
      <c r="K55" s="7" t="inlineStr"/>
      <c r="L55" s="8" t="n">
        <v>0</v>
      </c>
      <c r="M55" s="8" t="n">
        <v>8241.35</v>
      </c>
      <c r="N55" s="7" t="inlineStr"/>
      <c r="O55" s="7" t="inlineStr"/>
      <c r="P55" s="7" t="inlineStr"/>
      <c r="Q55" s="7" t="inlineStr"/>
      <c r="R55" s="7" t="inlineStr"/>
    </row>
    <row r="56">
      <c r="A56" s="7" t="inlineStr">
        <is>
          <t>1</t>
        </is>
      </c>
      <c r="B56" s="7" t="inlineStr">
        <is>
          <t>G00019</t>
        </is>
      </c>
      <c r="C56" s="7" t="inlineStr">
        <is>
          <t>20260120</t>
        </is>
      </c>
      <c r="D56" s="7" t="inlineStr">
        <is>
          <t>N°2026000019</t>
        </is>
      </c>
      <c r="E56" s="7" t="inlineStr">
        <is>
          <t>SARL SERVICES POIDS LOURDS</t>
        </is>
      </c>
      <c r="F56" s="7" t="inlineStr">
        <is>
          <t>06002</t>
        </is>
      </c>
      <c r="G56" s="7" t="inlineStr">
        <is>
          <t>41100</t>
        </is>
      </c>
      <c r="H56" s="7" t="inlineStr">
        <is>
          <t>C668</t>
        </is>
      </c>
      <c r="I56" s="7" t="inlineStr"/>
      <c r="J56" s="7" t="inlineStr"/>
      <c r="K56" s="7" t="inlineStr"/>
      <c r="L56" s="8" t="n">
        <v>1000000.01</v>
      </c>
      <c r="M56" s="8" t="n">
        <v>0</v>
      </c>
      <c r="N56" s="7" t="inlineStr"/>
      <c r="O56" s="7" t="inlineStr"/>
      <c r="P56" s="7" t="inlineStr"/>
      <c r="Q56" s="7" t="inlineStr"/>
      <c r="R56" s="7" t="inlineStr"/>
    </row>
    <row r="57">
      <c r="A57" s="7" t="inlineStr">
        <is>
          <t>1</t>
        </is>
      </c>
      <c r="B57" s="7" t="inlineStr">
        <is>
          <t>G00019</t>
        </is>
      </c>
      <c r="C57" s="7" t="inlineStr">
        <is>
          <t>20260120</t>
        </is>
      </c>
      <c r="D57" s="7" t="inlineStr">
        <is>
          <t>N°2026000019</t>
        </is>
      </c>
      <c r="E57" s="7" t="inlineStr">
        <is>
          <t>SARL SERVICES POIDS LOURDS</t>
        </is>
      </c>
      <c r="F57" s="7" t="inlineStr">
        <is>
          <t>06002</t>
        </is>
      </c>
      <c r="G57" s="7" t="inlineStr">
        <is>
          <t>70001</t>
        </is>
      </c>
      <c r="H57" s="7" t="inlineStr"/>
      <c r="I57" s="7" t="inlineStr"/>
      <c r="J57" s="7" t="inlineStr"/>
      <c r="K57" s="7" t="inlineStr"/>
      <c r="L57" s="8" t="n">
        <v>0</v>
      </c>
      <c r="M57" s="8" t="n">
        <v>840336.14</v>
      </c>
      <c r="N57" s="7" t="inlineStr"/>
      <c r="O57" s="7" t="inlineStr"/>
      <c r="P57" s="7" t="inlineStr"/>
      <c r="Q57" s="7" t="inlineStr"/>
      <c r="R57" s="7" t="inlineStr"/>
    </row>
    <row r="58">
      <c r="A58" s="7" t="inlineStr">
        <is>
          <t>1</t>
        </is>
      </c>
      <c r="B58" s="7" t="inlineStr">
        <is>
          <t>G00019</t>
        </is>
      </c>
      <c r="C58" s="7" t="inlineStr">
        <is>
          <t>20260120</t>
        </is>
      </c>
      <c r="D58" s="7" t="inlineStr">
        <is>
          <t>N°2026000019</t>
        </is>
      </c>
      <c r="E58" s="7" t="inlineStr">
        <is>
          <t>SARL SERVICES POIDS LOURDS</t>
        </is>
      </c>
      <c r="F58" s="7" t="inlineStr">
        <is>
          <t>06002</t>
        </is>
      </c>
      <c r="G58" s="7" t="inlineStr">
        <is>
          <t>44517</t>
        </is>
      </c>
      <c r="H58" s="7" t="inlineStr"/>
      <c r="I58" s="7" t="inlineStr"/>
      <c r="J58" s="7" t="inlineStr"/>
      <c r="K58" s="7" t="inlineStr"/>
      <c r="L58" s="8" t="n">
        <v>0</v>
      </c>
      <c r="M58" s="8" t="n">
        <v>159663.87</v>
      </c>
      <c r="N58" s="7" t="inlineStr"/>
      <c r="O58" s="7" t="inlineStr"/>
      <c r="P58" s="7" t="inlineStr"/>
      <c r="Q58" s="7" t="inlineStr"/>
      <c r="R58" s="7" t="inlineStr"/>
    </row>
    <row r="59">
      <c r="A59" s="7" t="inlineStr">
        <is>
          <t>1</t>
        </is>
      </c>
      <c r="B59" s="7" t="inlineStr">
        <is>
          <t>G00020</t>
        </is>
      </c>
      <c r="C59" s="7" t="inlineStr">
        <is>
          <t>20260121</t>
        </is>
      </c>
      <c r="D59" s="7" t="inlineStr">
        <is>
          <t>N°2026000020</t>
        </is>
      </c>
      <c r="E59" s="7" t="inlineStr">
        <is>
          <t>SARL SERVICES POIDS LOURDS</t>
        </is>
      </c>
      <c r="F59" s="7" t="inlineStr">
        <is>
          <t>06002</t>
        </is>
      </c>
      <c r="G59" s="7" t="inlineStr">
        <is>
          <t>41100</t>
        </is>
      </c>
      <c r="H59" s="7" t="inlineStr">
        <is>
          <t>C668</t>
        </is>
      </c>
      <c r="I59" s="7" t="inlineStr"/>
      <c r="J59" s="7" t="inlineStr"/>
      <c r="K59" s="7" t="inlineStr"/>
      <c r="L59" s="8" t="n">
        <v>2500000</v>
      </c>
      <c r="M59" s="8" t="n">
        <v>0</v>
      </c>
      <c r="N59" s="7" t="inlineStr"/>
      <c r="O59" s="7" t="inlineStr"/>
      <c r="P59" s="7" t="inlineStr"/>
      <c r="Q59" s="7" t="inlineStr"/>
      <c r="R59" s="7" t="inlineStr"/>
    </row>
    <row r="60">
      <c r="A60" s="7" t="inlineStr">
        <is>
          <t>1</t>
        </is>
      </c>
      <c r="B60" s="7" t="inlineStr">
        <is>
          <t>G00020</t>
        </is>
      </c>
      <c r="C60" s="7" t="inlineStr">
        <is>
          <t>20260121</t>
        </is>
      </c>
      <c r="D60" s="7" t="inlineStr">
        <is>
          <t>N°2026000020</t>
        </is>
      </c>
      <c r="E60" s="7" t="inlineStr">
        <is>
          <t>SARL SERVICES POIDS LOURDS</t>
        </is>
      </c>
      <c r="F60" s="7" t="inlineStr">
        <is>
          <t>06002</t>
        </is>
      </c>
      <c r="G60" s="7" t="inlineStr">
        <is>
          <t>70001</t>
        </is>
      </c>
      <c r="H60" s="7" t="inlineStr"/>
      <c r="I60" s="7" t="inlineStr"/>
      <c r="J60" s="7" t="inlineStr"/>
      <c r="K60" s="7" t="inlineStr"/>
      <c r="L60" s="8" t="n">
        <v>0</v>
      </c>
      <c r="M60" s="8" t="n">
        <v>2100840.34</v>
      </c>
      <c r="N60" s="7" t="inlineStr"/>
      <c r="O60" s="7" t="inlineStr"/>
      <c r="P60" s="7" t="inlineStr"/>
      <c r="Q60" s="7" t="inlineStr"/>
      <c r="R60" s="7" t="inlineStr"/>
    </row>
    <row r="61">
      <c r="A61" s="7" t="inlineStr">
        <is>
          <t>1</t>
        </is>
      </c>
      <c r="B61" s="7" t="inlineStr">
        <is>
          <t>G00020</t>
        </is>
      </c>
      <c r="C61" s="7" t="inlineStr">
        <is>
          <t>20260121</t>
        </is>
      </c>
      <c r="D61" s="7" t="inlineStr">
        <is>
          <t>N°2026000020</t>
        </is>
      </c>
      <c r="E61" s="7" t="inlineStr">
        <is>
          <t>SARL SERVICES POIDS LOURDS</t>
        </is>
      </c>
      <c r="F61" s="7" t="inlineStr">
        <is>
          <t>06002</t>
        </is>
      </c>
      <c r="G61" s="7" t="inlineStr">
        <is>
          <t>44517</t>
        </is>
      </c>
      <c r="H61" s="7" t="inlineStr"/>
      <c r="I61" s="7" t="inlineStr"/>
      <c r="J61" s="7" t="inlineStr"/>
      <c r="K61" s="7" t="inlineStr"/>
      <c r="L61" s="8" t="n">
        <v>0</v>
      </c>
      <c r="M61" s="8" t="n">
        <v>399159.66</v>
      </c>
      <c r="N61" s="7" t="inlineStr"/>
      <c r="O61" s="7" t="inlineStr"/>
      <c r="P61" s="7" t="inlineStr"/>
      <c r="Q61" s="7" t="inlineStr"/>
      <c r="R61" s="7" t="inlineStr"/>
    </row>
    <row r="62">
      <c r="A62" s="7" t="inlineStr">
        <is>
          <t>1</t>
        </is>
      </c>
      <c r="B62" s="7" t="inlineStr">
        <is>
          <t>G00021</t>
        </is>
      </c>
      <c r="C62" s="7" t="inlineStr">
        <is>
          <t>20260121</t>
        </is>
      </c>
      <c r="D62" s="7" t="inlineStr">
        <is>
          <t>N°2026000021</t>
        </is>
      </c>
      <c r="E62" s="7" t="inlineStr">
        <is>
          <t>ZIANI LAKHDAR</t>
        </is>
      </c>
      <c r="F62" s="7" t="inlineStr">
        <is>
          <t>06002</t>
        </is>
      </c>
      <c r="G62" s="7" t="inlineStr">
        <is>
          <t>41100</t>
        </is>
      </c>
      <c r="H62" s="7" t="inlineStr">
        <is>
          <t>C916</t>
        </is>
      </c>
      <c r="I62" s="7" t="inlineStr"/>
      <c r="J62" s="7" t="inlineStr"/>
      <c r="K62" s="7" t="inlineStr"/>
      <c r="L62" s="8" t="n">
        <v>1502000</v>
      </c>
      <c r="M62" s="8" t="n">
        <v>0</v>
      </c>
      <c r="N62" s="7" t="inlineStr"/>
      <c r="O62" s="7" t="inlineStr"/>
      <c r="P62" s="7" t="inlineStr"/>
      <c r="Q62" s="7" t="inlineStr"/>
      <c r="R62" s="7" t="inlineStr"/>
    </row>
    <row r="63">
      <c r="A63" s="7" t="inlineStr">
        <is>
          <t>1</t>
        </is>
      </c>
      <c r="B63" s="7" t="inlineStr">
        <is>
          <t>G00021</t>
        </is>
      </c>
      <c r="C63" s="7" t="inlineStr">
        <is>
          <t>20260121</t>
        </is>
      </c>
      <c r="D63" s="7" t="inlineStr">
        <is>
          <t>N°2026000021</t>
        </is>
      </c>
      <c r="E63" s="7" t="inlineStr">
        <is>
          <t>ZIANI LAKHDAR</t>
        </is>
      </c>
      <c r="F63" s="7" t="inlineStr">
        <is>
          <t>06002</t>
        </is>
      </c>
      <c r="G63" s="7" t="inlineStr">
        <is>
          <t>70001</t>
        </is>
      </c>
      <c r="H63" s="7" t="inlineStr"/>
      <c r="I63" s="7" t="inlineStr"/>
      <c r="J63" s="7" t="inlineStr"/>
      <c r="K63" s="7" t="inlineStr"/>
      <c r="L63" s="8" t="n">
        <v>0</v>
      </c>
      <c r="M63" s="8" t="n">
        <v>1262184.87</v>
      </c>
      <c r="N63" s="7" t="inlineStr"/>
      <c r="O63" s="7" t="inlineStr"/>
      <c r="P63" s="7" t="inlineStr"/>
      <c r="Q63" s="7" t="inlineStr"/>
      <c r="R63" s="7" t="inlineStr"/>
    </row>
    <row r="64">
      <c r="A64" s="7" t="inlineStr">
        <is>
          <t>1</t>
        </is>
      </c>
      <c r="B64" s="7" t="inlineStr">
        <is>
          <t>G00021</t>
        </is>
      </c>
      <c r="C64" s="7" t="inlineStr">
        <is>
          <t>20260121</t>
        </is>
      </c>
      <c r="D64" s="7" t="inlineStr">
        <is>
          <t>N°2026000021</t>
        </is>
      </c>
      <c r="E64" s="7" t="inlineStr">
        <is>
          <t>ZIANI LAKHDAR</t>
        </is>
      </c>
      <c r="F64" s="7" t="inlineStr">
        <is>
          <t>06002</t>
        </is>
      </c>
      <c r="G64" s="7" t="inlineStr">
        <is>
          <t>44517</t>
        </is>
      </c>
      <c r="H64" s="7" t="inlineStr"/>
      <c r="I64" s="7" t="inlineStr"/>
      <c r="J64" s="7" t="inlineStr"/>
      <c r="K64" s="7" t="inlineStr"/>
      <c r="L64" s="8" t="n">
        <v>0</v>
      </c>
      <c r="M64" s="8" t="n">
        <v>239815.13</v>
      </c>
      <c r="N64" s="7" t="inlineStr"/>
      <c r="O64" s="7" t="inlineStr"/>
      <c r="P64" s="7" t="inlineStr"/>
      <c r="Q64" s="7" t="inlineStr"/>
      <c r="R64" s="7" t="inlineStr"/>
    </row>
    <row r="65">
      <c r="A65" s="7" t="inlineStr">
        <is>
          <t>1</t>
        </is>
      </c>
      <c r="B65" s="7" t="inlineStr">
        <is>
          <t>G00022</t>
        </is>
      </c>
      <c r="C65" s="7" t="inlineStr">
        <is>
          <t>20260122</t>
        </is>
      </c>
      <c r="D65" s="7" t="inlineStr">
        <is>
          <t>N°2026000022</t>
        </is>
      </c>
      <c r="E65" s="7" t="inlineStr">
        <is>
          <t>HENNOUNI ALI</t>
        </is>
      </c>
      <c r="F65" s="7" t="inlineStr">
        <is>
          <t>06002</t>
        </is>
      </c>
      <c r="G65" s="7" t="inlineStr">
        <is>
          <t>41100</t>
        </is>
      </c>
      <c r="H65" s="7" t="inlineStr">
        <is>
          <t>C051</t>
        </is>
      </c>
      <c r="I65" s="7" t="inlineStr"/>
      <c r="J65" s="7" t="inlineStr"/>
      <c r="K65" s="7" t="inlineStr"/>
      <c r="L65" s="8" t="n">
        <v>140000</v>
      </c>
      <c r="M65" s="8" t="n">
        <v>0</v>
      </c>
      <c r="N65" s="7" t="inlineStr"/>
      <c r="O65" s="7" t="inlineStr"/>
      <c r="P65" s="7" t="inlineStr"/>
      <c r="Q65" s="7" t="inlineStr"/>
      <c r="R65" s="7" t="inlineStr"/>
    </row>
    <row r="66">
      <c r="A66" s="7" t="inlineStr">
        <is>
          <t>1</t>
        </is>
      </c>
      <c r="B66" s="7" t="inlineStr">
        <is>
          <t>G00022</t>
        </is>
      </c>
      <c r="C66" s="7" t="inlineStr">
        <is>
          <t>20260122</t>
        </is>
      </c>
      <c r="D66" s="7" t="inlineStr">
        <is>
          <t>N°2026000022</t>
        </is>
      </c>
      <c r="E66" s="7" t="inlineStr">
        <is>
          <t>HENNOUNI ALI</t>
        </is>
      </c>
      <c r="F66" s="7" t="inlineStr">
        <is>
          <t>06002</t>
        </is>
      </c>
      <c r="G66" s="7" t="inlineStr">
        <is>
          <t>70001</t>
        </is>
      </c>
      <c r="H66" s="7" t="inlineStr"/>
      <c r="I66" s="7" t="inlineStr"/>
      <c r="J66" s="7" t="inlineStr"/>
      <c r="K66" s="7" t="inlineStr"/>
      <c r="L66" s="8" t="n">
        <v>0</v>
      </c>
      <c r="M66" s="8" t="n">
        <v>117647.06</v>
      </c>
      <c r="N66" s="7" t="inlineStr"/>
      <c r="O66" s="7" t="inlineStr"/>
      <c r="P66" s="7" t="inlineStr"/>
      <c r="Q66" s="7" t="inlineStr"/>
      <c r="R66" s="7" t="inlineStr"/>
    </row>
    <row r="67">
      <c r="A67" s="7" t="inlineStr">
        <is>
          <t>1</t>
        </is>
      </c>
      <c r="B67" s="7" t="inlineStr">
        <is>
          <t>G00022</t>
        </is>
      </c>
      <c r="C67" s="7" t="inlineStr">
        <is>
          <t>20260122</t>
        </is>
      </c>
      <c r="D67" s="7" t="inlineStr">
        <is>
          <t>N°2026000022</t>
        </is>
      </c>
      <c r="E67" s="7" t="inlineStr">
        <is>
          <t>HENNOUNI ALI</t>
        </is>
      </c>
      <c r="F67" s="7" t="inlineStr">
        <is>
          <t>06002</t>
        </is>
      </c>
      <c r="G67" s="7" t="inlineStr">
        <is>
          <t>44517</t>
        </is>
      </c>
      <c r="H67" s="7" t="inlineStr"/>
      <c r="I67" s="7" t="inlineStr"/>
      <c r="J67" s="7" t="inlineStr"/>
      <c r="K67" s="7" t="inlineStr"/>
      <c r="L67" s="8" t="n">
        <v>0</v>
      </c>
      <c r="M67" s="8" t="n">
        <v>22352.94</v>
      </c>
      <c r="N67" s="7" t="inlineStr"/>
      <c r="O67" s="7" t="inlineStr"/>
      <c r="P67" s="7" t="inlineStr"/>
      <c r="Q67" s="7" t="inlineStr"/>
      <c r="R67" s="7" t="inlineStr"/>
    </row>
    <row r="68">
      <c r="A68" s="7" t="inlineStr">
        <is>
          <t>1</t>
        </is>
      </c>
      <c r="B68" s="7" t="inlineStr">
        <is>
          <t>G00023</t>
        </is>
      </c>
      <c r="C68" s="7" t="inlineStr">
        <is>
          <t>20260122</t>
        </is>
      </c>
      <c r="D68" s="7" t="inlineStr">
        <is>
          <t>N°2026000023</t>
        </is>
      </c>
      <c r="E68" s="7" t="inlineStr">
        <is>
          <t>SARL ECI  BOUDIAB</t>
        </is>
      </c>
      <c r="F68" s="7" t="inlineStr">
        <is>
          <t>06002</t>
        </is>
      </c>
      <c r="G68" s="7" t="inlineStr">
        <is>
          <t>41100</t>
        </is>
      </c>
      <c r="H68" s="7" t="inlineStr">
        <is>
          <t>C1076</t>
        </is>
      </c>
      <c r="I68" s="7" t="inlineStr"/>
      <c r="J68" s="7" t="inlineStr"/>
      <c r="K68" s="7" t="inlineStr"/>
      <c r="L68" s="8" t="n">
        <v>209440</v>
      </c>
      <c r="M68" s="8" t="n">
        <v>0</v>
      </c>
      <c r="N68" s="7" t="inlineStr"/>
      <c r="O68" s="7" t="inlineStr"/>
      <c r="P68" s="7" t="inlineStr"/>
      <c r="Q68" s="7" t="inlineStr"/>
      <c r="R68" s="7" t="inlineStr"/>
    </row>
    <row r="69">
      <c r="A69" s="7" t="inlineStr">
        <is>
          <t>1</t>
        </is>
      </c>
      <c r="B69" s="7" t="inlineStr">
        <is>
          <t>G00023</t>
        </is>
      </c>
      <c r="C69" s="7" t="inlineStr">
        <is>
          <t>20260122</t>
        </is>
      </c>
      <c r="D69" s="7" t="inlineStr">
        <is>
          <t>N°2026000023</t>
        </is>
      </c>
      <c r="E69" s="7" t="inlineStr">
        <is>
          <t>SARL ECI  BOUDIAB</t>
        </is>
      </c>
      <c r="F69" s="7" t="inlineStr">
        <is>
          <t>06002</t>
        </is>
      </c>
      <c r="G69" s="7" t="inlineStr">
        <is>
          <t>70001</t>
        </is>
      </c>
      <c r="H69" s="7" t="inlineStr"/>
      <c r="I69" s="7" t="inlineStr"/>
      <c r="J69" s="7" t="inlineStr"/>
      <c r="K69" s="7" t="inlineStr"/>
      <c r="L69" s="8" t="n">
        <v>0</v>
      </c>
      <c r="M69" s="8" t="n">
        <v>176000</v>
      </c>
      <c r="N69" s="7" t="inlineStr"/>
      <c r="O69" s="7" t="inlineStr"/>
      <c r="P69" s="7" t="inlineStr"/>
      <c r="Q69" s="7" t="inlineStr"/>
      <c r="R69" s="7" t="inlineStr"/>
    </row>
    <row r="70">
      <c r="A70" s="7" t="inlineStr">
        <is>
          <t>1</t>
        </is>
      </c>
      <c r="B70" s="7" t="inlineStr">
        <is>
          <t>G00023</t>
        </is>
      </c>
      <c r="C70" s="7" t="inlineStr">
        <is>
          <t>20260122</t>
        </is>
      </c>
      <c r="D70" s="7" t="inlineStr">
        <is>
          <t>N°2026000023</t>
        </is>
      </c>
      <c r="E70" s="7" t="inlineStr">
        <is>
          <t>SARL ECI  BOUDIAB</t>
        </is>
      </c>
      <c r="F70" s="7" t="inlineStr">
        <is>
          <t>06002</t>
        </is>
      </c>
      <c r="G70" s="7" t="inlineStr">
        <is>
          <t>44517</t>
        </is>
      </c>
      <c r="H70" s="7" t="inlineStr"/>
      <c r="I70" s="7" t="inlineStr"/>
      <c r="J70" s="7" t="inlineStr"/>
      <c r="K70" s="7" t="inlineStr"/>
      <c r="L70" s="8" t="n">
        <v>0</v>
      </c>
      <c r="M70" s="8" t="n">
        <v>33440</v>
      </c>
      <c r="N70" s="7" t="inlineStr"/>
      <c r="O70" s="7" t="inlineStr"/>
      <c r="P70" s="7" t="inlineStr"/>
      <c r="Q70" s="7" t="inlineStr"/>
      <c r="R70" s="7" t="inlineStr"/>
    </row>
    <row r="71">
      <c r="A71" s="7" t="inlineStr">
        <is>
          <t>1</t>
        </is>
      </c>
      <c r="B71" s="7" t="inlineStr">
        <is>
          <t>G00024</t>
        </is>
      </c>
      <c r="C71" s="7" t="inlineStr">
        <is>
          <t>20260125</t>
        </is>
      </c>
      <c r="D71" s="7" t="inlineStr">
        <is>
          <t>N°2026000024</t>
        </is>
      </c>
      <c r="E71" s="7" t="inlineStr">
        <is>
          <t>SARL BEJAIA LOGISTIQUE</t>
        </is>
      </c>
      <c r="F71" s="7" t="inlineStr">
        <is>
          <t>06002</t>
        </is>
      </c>
      <c r="G71" s="7" t="inlineStr">
        <is>
          <t>41100</t>
        </is>
      </c>
      <c r="H71" s="7" t="inlineStr">
        <is>
          <t>C708</t>
        </is>
      </c>
      <c r="I71" s="7" t="inlineStr"/>
      <c r="J71" s="7" t="inlineStr"/>
      <c r="K71" s="7" t="inlineStr"/>
      <c r="L71" s="8" t="n">
        <v>174930</v>
      </c>
      <c r="M71" s="8" t="n">
        <v>0</v>
      </c>
      <c r="N71" s="7" t="inlineStr"/>
      <c r="O71" s="7" t="inlineStr"/>
      <c r="P71" s="7" t="inlineStr"/>
      <c r="Q71" s="7" t="inlineStr"/>
      <c r="R71" s="7" t="inlineStr"/>
    </row>
    <row r="72">
      <c r="A72" s="7" t="inlineStr">
        <is>
          <t>1</t>
        </is>
      </c>
      <c r="B72" s="7" t="inlineStr">
        <is>
          <t>G00024</t>
        </is>
      </c>
      <c r="C72" s="7" t="inlineStr">
        <is>
          <t>20260125</t>
        </is>
      </c>
      <c r="D72" s="7" t="inlineStr">
        <is>
          <t>N°2026000024</t>
        </is>
      </c>
      <c r="E72" s="7" t="inlineStr">
        <is>
          <t>SARL BEJAIA LOGISTIQUE</t>
        </is>
      </c>
      <c r="F72" s="7" t="inlineStr">
        <is>
          <t>06002</t>
        </is>
      </c>
      <c r="G72" s="7" t="inlineStr">
        <is>
          <t>70001</t>
        </is>
      </c>
      <c r="H72" s="7" t="inlineStr"/>
      <c r="I72" s="7" t="inlineStr"/>
      <c r="J72" s="7" t="inlineStr"/>
      <c r="K72" s="7" t="inlineStr"/>
      <c r="L72" s="8" t="n">
        <v>0</v>
      </c>
      <c r="M72" s="8" t="n">
        <v>147000</v>
      </c>
      <c r="N72" s="7" t="inlineStr"/>
      <c r="O72" s="7" t="inlineStr"/>
      <c r="P72" s="7" t="inlineStr"/>
      <c r="Q72" s="7" t="inlineStr"/>
      <c r="R72" s="7" t="inlineStr"/>
    </row>
    <row r="73">
      <c r="A73" s="7" t="inlineStr">
        <is>
          <t>1</t>
        </is>
      </c>
      <c r="B73" s="7" t="inlineStr">
        <is>
          <t>G00024</t>
        </is>
      </c>
      <c r="C73" s="7" t="inlineStr">
        <is>
          <t>20260125</t>
        </is>
      </c>
      <c r="D73" s="7" t="inlineStr">
        <is>
          <t>N°2026000024</t>
        </is>
      </c>
      <c r="E73" s="7" t="inlineStr">
        <is>
          <t>SARL BEJAIA LOGISTIQUE</t>
        </is>
      </c>
      <c r="F73" s="7" t="inlineStr">
        <is>
          <t>06002</t>
        </is>
      </c>
      <c r="G73" s="7" t="inlineStr">
        <is>
          <t>44517</t>
        </is>
      </c>
      <c r="H73" s="7" t="inlineStr"/>
      <c r="I73" s="7" t="inlineStr"/>
      <c r="J73" s="7" t="inlineStr"/>
      <c r="K73" s="7" t="inlineStr"/>
      <c r="L73" s="8" t="n">
        <v>0</v>
      </c>
      <c r="M73" s="8" t="n">
        <v>27930</v>
      </c>
      <c r="N73" s="7" t="inlineStr"/>
      <c r="O73" s="7" t="inlineStr"/>
      <c r="P73" s="7" t="inlineStr"/>
      <c r="Q73" s="7" t="inlineStr"/>
      <c r="R73" s="7" t="inlineStr"/>
    </row>
    <row r="74">
      <c r="A74" s="7" t="inlineStr">
        <is>
          <t>1</t>
        </is>
      </c>
      <c r="B74" s="7" t="inlineStr">
        <is>
          <t>G00025</t>
        </is>
      </c>
      <c r="C74" s="7" t="inlineStr">
        <is>
          <t>20260126</t>
        </is>
      </c>
      <c r="D74" s="7" t="inlineStr">
        <is>
          <t>N°2026000025</t>
        </is>
      </c>
      <c r="E74" s="7" t="inlineStr">
        <is>
          <t>SARL BEJAIA LOGISTIQUE</t>
        </is>
      </c>
      <c r="F74" s="7" t="inlineStr">
        <is>
          <t>06002</t>
        </is>
      </c>
      <c r="G74" s="7" t="inlineStr">
        <is>
          <t>41100</t>
        </is>
      </c>
      <c r="H74" s="7" t="inlineStr">
        <is>
          <t>C708</t>
        </is>
      </c>
      <c r="I74" s="7" t="inlineStr"/>
      <c r="J74" s="7" t="inlineStr"/>
      <c r="K74" s="7" t="inlineStr"/>
      <c r="L74" s="8" t="n">
        <v>293930</v>
      </c>
      <c r="M74" s="8" t="n">
        <v>0</v>
      </c>
      <c r="N74" s="7" t="inlineStr"/>
      <c r="O74" s="7" t="inlineStr"/>
      <c r="P74" s="7" t="inlineStr"/>
      <c r="Q74" s="7" t="inlineStr"/>
      <c r="R74" s="7" t="inlineStr"/>
    </row>
    <row r="75">
      <c r="A75" s="7" t="inlineStr">
        <is>
          <t>1</t>
        </is>
      </c>
      <c r="B75" s="7" t="inlineStr">
        <is>
          <t>G00025</t>
        </is>
      </c>
      <c r="C75" s="7" t="inlineStr">
        <is>
          <t>20260126</t>
        </is>
      </c>
      <c r="D75" s="7" t="inlineStr">
        <is>
          <t>N°2026000025</t>
        </is>
      </c>
      <c r="E75" s="7" t="inlineStr">
        <is>
          <t>SARL BEJAIA LOGISTIQUE</t>
        </is>
      </c>
      <c r="F75" s="7" t="inlineStr">
        <is>
          <t>06002</t>
        </is>
      </c>
      <c r="G75" s="7" t="inlineStr">
        <is>
          <t>70001</t>
        </is>
      </c>
      <c r="H75" s="7" t="inlineStr"/>
      <c r="I75" s="7" t="inlineStr"/>
      <c r="J75" s="7" t="inlineStr"/>
      <c r="K75" s="7" t="inlineStr"/>
      <c r="L75" s="8" t="n">
        <v>0</v>
      </c>
      <c r="M75" s="8" t="n">
        <v>247000</v>
      </c>
      <c r="N75" s="7" t="inlineStr"/>
      <c r="O75" s="7" t="inlineStr"/>
      <c r="P75" s="7" t="inlineStr"/>
      <c r="Q75" s="7" t="inlineStr"/>
      <c r="R75" s="7" t="inlineStr"/>
    </row>
    <row r="76">
      <c r="A76" s="7" t="inlineStr">
        <is>
          <t>1</t>
        </is>
      </c>
      <c r="B76" s="7" t="inlineStr">
        <is>
          <t>G00025</t>
        </is>
      </c>
      <c r="C76" s="7" t="inlineStr">
        <is>
          <t>20260126</t>
        </is>
      </c>
      <c r="D76" s="7" t="inlineStr">
        <is>
          <t>N°2026000025</t>
        </is>
      </c>
      <c r="E76" s="7" t="inlineStr">
        <is>
          <t>SARL BEJAIA LOGISTIQUE</t>
        </is>
      </c>
      <c r="F76" s="7" t="inlineStr">
        <is>
          <t>06002</t>
        </is>
      </c>
      <c r="G76" s="7" t="inlineStr">
        <is>
          <t>44517</t>
        </is>
      </c>
      <c r="H76" s="7" t="inlineStr"/>
      <c r="I76" s="7" t="inlineStr"/>
      <c r="J76" s="7" t="inlineStr"/>
      <c r="K76" s="7" t="inlineStr"/>
      <c r="L76" s="8" t="n">
        <v>0</v>
      </c>
      <c r="M76" s="8" t="n">
        <v>46930</v>
      </c>
      <c r="N76" s="7" t="inlineStr"/>
      <c r="O76" s="7" t="inlineStr"/>
      <c r="P76" s="7" t="inlineStr"/>
      <c r="Q76" s="7" t="inlineStr"/>
      <c r="R76" s="7" t="inlineStr"/>
    </row>
    <row r="77">
      <c r="A77" s="7" t="inlineStr">
        <is>
          <t>1</t>
        </is>
      </c>
      <c r="B77" s="7" t="inlineStr">
        <is>
          <t>G00026</t>
        </is>
      </c>
      <c r="C77" s="7" t="inlineStr">
        <is>
          <t>20260127</t>
        </is>
      </c>
      <c r="D77" s="7" t="inlineStr">
        <is>
          <t>N°2026000026</t>
        </is>
      </c>
      <c r="E77" s="7" t="inlineStr">
        <is>
          <t>SARL BEJAIA LOGISTIQUE</t>
        </is>
      </c>
      <c r="F77" s="7" t="inlineStr">
        <is>
          <t>06002</t>
        </is>
      </c>
      <c r="G77" s="7" t="inlineStr">
        <is>
          <t>41100</t>
        </is>
      </c>
      <c r="H77" s="7" t="inlineStr">
        <is>
          <t>C708</t>
        </is>
      </c>
      <c r="I77" s="7" t="inlineStr"/>
      <c r="J77" s="7" t="inlineStr"/>
      <c r="K77" s="7" t="inlineStr"/>
      <c r="L77" s="8" t="n">
        <v>168504</v>
      </c>
      <c r="M77" s="8" t="n">
        <v>0</v>
      </c>
      <c r="N77" s="7" t="inlineStr"/>
      <c r="O77" s="7" t="inlineStr"/>
      <c r="P77" s="7" t="inlineStr"/>
      <c r="Q77" s="7" t="inlineStr"/>
      <c r="R77" s="7" t="inlineStr"/>
    </row>
    <row r="78">
      <c r="A78" s="7" t="inlineStr">
        <is>
          <t>1</t>
        </is>
      </c>
      <c r="B78" s="7" t="inlineStr">
        <is>
          <t>G00026</t>
        </is>
      </c>
      <c r="C78" s="7" t="inlineStr">
        <is>
          <t>20260127</t>
        </is>
      </c>
      <c r="D78" s="7" t="inlineStr">
        <is>
          <t>N°2026000026</t>
        </is>
      </c>
      <c r="E78" s="7" t="inlineStr">
        <is>
          <t>SARL BEJAIA LOGISTIQUE</t>
        </is>
      </c>
      <c r="F78" s="7" t="inlineStr">
        <is>
          <t>06002</t>
        </is>
      </c>
      <c r="G78" s="7" t="inlineStr">
        <is>
          <t>70001</t>
        </is>
      </c>
      <c r="H78" s="7" t="inlineStr"/>
      <c r="I78" s="7" t="inlineStr"/>
      <c r="J78" s="7" t="inlineStr"/>
      <c r="K78" s="7" t="inlineStr"/>
      <c r="L78" s="8" t="n">
        <v>0</v>
      </c>
      <c r="M78" s="8" t="n">
        <v>141600</v>
      </c>
      <c r="N78" s="7" t="inlineStr"/>
      <c r="O78" s="7" t="inlineStr"/>
      <c r="P78" s="7" t="inlineStr"/>
      <c r="Q78" s="7" t="inlineStr"/>
      <c r="R78" s="7" t="inlineStr"/>
    </row>
    <row r="79">
      <c r="A79" s="7" t="inlineStr">
        <is>
          <t>1</t>
        </is>
      </c>
      <c r="B79" s="7" t="inlineStr">
        <is>
          <t>G00026</t>
        </is>
      </c>
      <c r="C79" s="7" t="inlineStr">
        <is>
          <t>20260127</t>
        </is>
      </c>
      <c r="D79" s="7" t="inlineStr">
        <is>
          <t>N°2026000026</t>
        </is>
      </c>
      <c r="E79" s="7" t="inlineStr">
        <is>
          <t>SARL BEJAIA LOGISTIQUE</t>
        </is>
      </c>
      <c r="F79" s="7" t="inlineStr">
        <is>
          <t>06002</t>
        </is>
      </c>
      <c r="G79" s="7" t="inlineStr">
        <is>
          <t>44517</t>
        </is>
      </c>
      <c r="H79" s="7" t="inlineStr"/>
      <c r="I79" s="7" t="inlineStr"/>
      <c r="J79" s="7" t="inlineStr"/>
      <c r="K79" s="7" t="inlineStr"/>
      <c r="L79" s="8" t="n">
        <v>0</v>
      </c>
      <c r="M79" s="8" t="n">
        <v>26904</v>
      </c>
      <c r="N79" s="7" t="inlineStr"/>
      <c r="O79" s="7" t="inlineStr"/>
      <c r="P79" s="7" t="inlineStr"/>
      <c r="Q79" s="7" t="inlineStr"/>
      <c r="R79" s="7" t="inlineStr"/>
    </row>
    <row r="80">
      <c r="A80" s="7" t="inlineStr">
        <is>
          <t>1</t>
        </is>
      </c>
      <c r="B80" s="7" t="inlineStr">
        <is>
          <t>G00027</t>
        </is>
      </c>
      <c r="C80" s="7" t="inlineStr">
        <is>
          <t>20260127</t>
        </is>
      </c>
      <c r="D80" s="7" t="inlineStr">
        <is>
          <t>N°2026000027</t>
        </is>
      </c>
      <c r="E80" s="7" t="inlineStr">
        <is>
          <t>CO.MA.PH</t>
        </is>
      </c>
      <c r="F80" s="7" t="inlineStr">
        <is>
          <t>06002</t>
        </is>
      </c>
      <c r="G80" s="7" t="inlineStr">
        <is>
          <t>41100</t>
        </is>
      </c>
      <c r="H80" s="7" t="inlineStr">
        <is>
          <t>C1082</t>
        </is>
      </c>
      <c r="I80" s="7" t="inlineStr"/>
      <c r="J80" s="7" t="inlineStr"/>
      <c r="K80" s="7" t="inlineStr"/>
      <c r="L80" s="8" t="n">
        <v>160000.07</v>
      </c>
      <c r="M80" s="8" t="n">
        <v>0</v>
      </c>
      <c r="N80" s="7" t="inlineStr"/>
      <c r="O80" s="7" t="inlineStr"/>
      <c r="P80" s="7" t="inlineStr"/>
      <c r="Q80" s="7" t="inlineStr"/>
      <c r="R80" s="7" t="inlineStr"/>
    </row>
    <row r="81">
      <c r="A81" s="7" t="inlineStr">
        <is>
          <t>1</t>
        </is>
      </c>
      <c r="B81" s="7" t="inlineStr">
        <is>
          <t>G00027</t>
        </is>
      </c>
      <c r="C81" s="7" t="inlineStr">
        <is>
          <t>20260127</t>
        </is>
      </c>
      <c r="D81" s="7" t="inlineStr">
        <is>
          <t>N°2026000027</t>
        </is>
      </c>
      <c r="E81" s="7" t="inlineStr">
        <is>
          <t>CO.MA.PH</t>
        </is>
      </c>
      <c r="F81" s="7" t="inlineStr">
        <is>
          <t>06002</t>
        </is>
      </c>
      <c r="G81" s="7" t="inlineStr">
        <is>
          <t>70001</t>
        </is>
      </c>
      <c r="H81" s="7" t="inlineStr"/>
      <c r="I81" s="7" t="inlineStr"/>
      <c r="J81" s="7" t="inlineStr"/>
      <c r="K81" s="7" t="inlineStr"/>
      <c r="L81" s="8" t="n">
        <v>0</v>
      </c>
      <c r="M81" s="8" t="n">
        <v>134453.84</v>
      </c>
      <c r="N81" s="7" t="inlineStr"/>
      <c r="O81" s="7" t="inlineStr"/>
      <c r="P81" s="7" t="inlineStr"/>
      <c r="Q81" s="7" t="inlineStr"/>
      <c r="R81" s="7" t="inlineStr"/>
    </row>
    <row r="82">
      <c r="A82" s="7" t="inlineStr">
        <is>
          <t>1</t>
        </is>
      </c>
      <c r="B82" s="7" t="inlineStr">
        <is>
          <t>G00027</t>
        </is>
      </c>
      <c r="C82" s="7" t="inlineStr">
        <is>
          <t>20260127</t>
        </is>
      </c>
      <c r="D82" s="7" t="inlineStr">
        <is>
          <t>N°2026000027</t>
        </is>
      </c>
      <c r="E82" s="7" t="inlineStr">
        <is>
          <t>CO.MA.PH</t>
        </is>
      </c>
      <c r="F82" s="7" t="inlineStr">
        <is>
          <t>06002</t>
        </is>
      </c>
      <c r="G82" s="7" t="inlineStr">
        <is>
          <t>44517</t>
        </is>
      </c>
      <c r="H82" s="7" t="inlineStr"/>
      <c r="I82" s="7" t="inlineStr"/>
      <c r="J82" s="7" t="inlineStr"/>
      <c r="K82" s="7" t="inlineStr"/>
      <c r="L82" s="8" t="n">
        <v>0</v>
      </c>
      <c r="M82" s="8" t="n">
        <v>25546.23</v>
      </c>
      <c r="N82" s="7" t="inlineStr"/>
      <c r="O82" s="7" t="inlineStr"/>
      <c r="P82" s="7" t="inlineStr"/>
      <c r="Q82" s="7" t="inlineStr"/>
      <c r="R82" s="7" t="inlineStr"/>
    </row>
    <row r="83">
      <c r="A83" s="7" t="inlineStr">
        <is>
          <t>1</t>
        </is>
      </c>
      <c r="B83" s="7" t="inlineStr">
        <is>
          <t>G00028</t>
        </is>
      </c>
      <c r="C83" s="7" t="inlineStr">
        <is>
          <t>20260128</t>
        </is>
      </c>
      <c r="D83" s="7" t="inlineStr">
        <is>
          <t>N°2026000028</t>
        </is>
      </c>
      <c r="E83" s="7" t="inlineStr">
        <is>
          <t>SARL CAPROMET</t>
        </is>
      </c>
      <c r="F83" s="7" t="inlineStr">
        <is>
          <t>06002</t>
        </is>
      </c>
      <c r="G83" s="7" t="inlineStr">
        <is>
          <t>41100</t>
        </is>
      </c>
      <c r="H83" s="7" t="inlineStr">
        <is>
          <t>C1083</t>
        </is>
      </c>
      <c r="I83" s="7" t="inlineStr"/>
      <c r="J83" s="7" t="inlineStr"/>
      <c r="K83" s="7" t="inlineStr"/>
      <c r="L83" s="8" t="n">
        <v>66640</v>
      </c>
      <c r="M83" s="8" t="n">
        <v>0</v>
      </c>
      <c r="N83" s="7" t="inlineStr"/>
      <c r="O83" s="7" t="inlineStr"/>
      <c r="P83" s="7" t="inlineStr"/>
      <c r="Q83" s="7" t="inlineStr"/>
      <c r="R83" s="7" t="inlineStr"/>
    </row>
    <row r="84">
      <c r="A84" s="7" t="inlineStr">
        <is>
          <t>1</t>
        </is>
      </c>
      <c r="B84" s="7" t="inlineStr">
        <is>
          <t>G00028</t>
        </is>
      </c>
      <c r="C84" s="7" t="inlineStr">
        <is>
          <t>20260128</t>
        </is>
      </c>
      <c r="D84" s="7" t="inlineStr">
        <is>
          <t>N°2026000028</t>
        </is>
      </c>
      <c r="E84" s="7" t="inlineStr">
        <is>
          <t>SARL CAPROMET</t>
        </is>
      </c>
      <c r="F84" s="7" t="inlineStr">
        <is>
          <t>06002</t>
        </is>
      </c>
      <c r="G84" s="7" t="inlineStr">
        <is>
          <t>70001</t>
        </is>
      </c>
      <c r="H84" s="7" t="inlineStr"/>
      <c r="I84" s="7" t="inlineStr"/>
      <c r="J84" s="7" t="inlineStr"/>
      <c r="K84" s="7" t="inlineStr"/>
      <c r="L84" s="8" t="n">
        <v>0</v>
      </c>
      <c r="M84" s="8" t="n">
        <v>56000</v>
      </c>
      <c r="N84" s="7" t="inlineStr"/>
      <c r="O84" s="7" t="inlineStr"/>
      <c r="P84" s="7" t="inlineStr"/>
      <c r="Q84" s="7" t="inlineStr"/>
      <c r="R84" s="7" t="inlineStr"/>
    </row>
    <row r="85">
      <c r="A85" s="7" t="inlineStr">
        <is>
          <t>1</t>
        </is>
      </c>
      <c r="B85" s="7" t="inlineStr">
        <is>
          <t>G00028</t>
        </is>
      </c>
      <c r="C85" s="7" t="inlineStr">
        <is>
          <t>20260128</t>
        </is>
      </c>
      <c r="D85" s="7" t="inlineStr">
        <is>
          <t>N°2026000028</t>
        </is>
      </c>
      <c r="E85" s="7" t="inlineStr">
        <is>
          <t>SARL CAPROMET</t>
        </is>
      </c>
      <c r="F85" s="7" t="inlineStr">
        <is>
          <t>06002</t>
        </is>
      </c>
      <c r="G85" s="7" t="inlineStr">
        <is>
          <t>44517</t>
        </is>
      </c>
      <c r="H85" s="7" t="inlineStr"/>
      <c r="I85" s="7" t="inlineStr"/>
      <c r="J85" s="7" t="inlineStr"/>
      <c r="K85" s="7" t="inlineStr"/>
      <c r="L85" s="8" t="n">
        <v>0</v>
      </c>
      <c r="M85" s="8" t="n">
        <v>10640</v>
      </c>
      <c r="N85" s="7" t="inlineStr"/>
      <c r="O85" s="7" t="inlineStr"/>
      <c r="P85" s="7" t="inlineStr"/>
      <c r="Q85" s="7" t="inlineStr"/>
      <c r="R85" s="7" t="inlineStr"/>
    </row>
    <row r="86">
      <c r="A86" s="7" t="inlineStr">
        <is>
          <t>1</t>
        </is>
      </c>
      <c r="B86" s="7" t="inlineStr">
        <is>
          <t>G00029</t>
        </is>
      </c>
      <c r="C86" s="7" t="inlineStr">
        <is>
          <t>20260129</t>
        </is>
      </c>
      <c r="D86" s="7" t="inlineStr">
        <is>
          <t>N°2026000029</t>
        </is>
      </c>
      <c r="E86" s="7" t="inlineStr">
        <is>
          <t>EURL TERRENO TRANS</t>
        </is>
      </c>
      <c r="F86" s="7" t="inlineStr">
        <is>
          <t>06002</t>
        </is>
      </c>
      <c r="G86" s="7" t="inlineStr">
        <is>
          <t>41100</t>
        </is>
      </c>
      <c r="H86" s="7" t="inlineStr">
        <is>
          <t>C959</t>
        </is>
      </c>
      <c r="I86" s="7" t="inlineStr"/>
      <c r="J86" s="7" t="inlineStr"/>
      <c r="K86" s="7" t="inlineStr"/>
      <c r="L86" s="8" t="n">
        <v>1124550</v>
      </c>
      <c r="M86" s="8" t="n">
        <v>0</v>
      </c>
      <c r="N86" s="7" t="inlineStr"/>
      <c r="O86" s="7" t="inlineStr"/>
      <c r="P86" s="7" t="inlineStr"/>
      <c r="Q86" s="7" t="inlineStr"/>
      <c r="R86" s="7" t="inlineStr"/>
    </row>
    <row r="87">
      <c r="A87" s="7" t="inlineStr">
        <is>
          <t>1</t>
        </is>
      </c>
      <c r="B87" s="7" t="inlineStr">
        <is>
          <t>G00029</t>
        </is>
      </c>
      <c r="C87" s="7" t="inlineStr">
        <is>
          <t>20260129</t>
        </is>
      </c>
      <c r="D87" s="7" t="inlineStr">
        <is>
          <t>N°2026000029</t>
        </is>
      </c>
      <c r="E87" s="7" t="inlineStr">
        <is>
          <t>EURL TERRENO TRANS</t>
        </is>
      </c>
      <c r="F87" s="7" t="inlineStr">
        <is>
          <t>06002</t>
        </is>
      </c>
      <c r="G87" s="7" t="inlineStr">
        <is>
          <t>70001</t>
        </is>
      </c>
      <c r="H87" s="7" t="inlineStr"/>
      <c r="I87" s="7" t="inlineStr"/>
      <c r="J87" s="7" t="inlineStr"/>
      <c r="K87" s="7" t="inlineStr"/>
      <c r="L87" s="8" t="n">
        <v>0</v>
      </c>
      <c r="M87" s="8" t="n">
        <v>945000</v>
      </c>
      <c r="N87" s="7" t="inlineStr"/>
      <c r="O87" s="7" t="inlineStr"/>
      <c r="P87" s="7" t="inlineStr"/>
      <c r="Q87" s="7" t="inlineStr"/>
      <c r="R87" s="7" t="inlineStr"/>
    </row>
    <row r="88">
      <c r="A88" s="7" t="inlineStr">
        <is>
          <t>1</t>
        </is>
      </c>
      <c r="B88" s="7" t="inlineStr">
        <is>
          <t>G00029</t>
        </is>
      </c>
      <c r="C88" s="7" t="inlineStr">
        <is>
          <t>20260129</t>
        </is>
      </c>
      <c r="D88" s="7" t="inlineStr">
        <is>
          <t>N°2026000029</t>
        </is>
      </c>
      <c r="E88" s="7" t="inlineStr">
        <is>
          <t>EURL TERRENO TRANS</t>
        </is>
      </c>
      <c r="F88" s="7" t="inlineStr">
        <is>
          <t>06002</t>
        </is>
      </c>
      <c r="G88" s="7" t="inlineStr">
        <is>
          <t>44517</t>
        </is>
      </c>
      <c r="H88" s="7" t="inlineStr"/>
      <c r="I88" s="7" t="inlineStr"/>
      <c r="J88" s="7" t="inlineStr"/>
      <c r="K88" s="7" t="inlineStr"/>
      <c r="L88" s="8" t="n">
        <v>0</v>
      </c>
      <c r="M88" s="8" t="n">
        <v>179550</v>
      </c>
      <c r="N88" s="7" t="inlineStr"/>
      <c r="O88" s="7" t="inlineStr"/>
      <c r="P88" s="7" t="inlineStr"/>
      <c r="Q88" s="7" t="inlineStr"/>
      <c r="R88" s="7" t="inlineStr"/>
    </row>
    <row r="89">
      <c r="A89" s="7" t="inlineStr">
        <is>
          <t>1</t>
        </is>
      </c>
      <c r="B89" s="7" t="inlineStr">
        <is>
          <t>G00030</t>
        </is>
      </c>
      <c r="C89" s="7" t="inlineStr">
        <is>
          <t>20260129</t>
        </is>
      </c>
      <c r="D89" s="7" t="inlineStr">
        <is>
          <t>N°2026000030</t>
        </is>
      </c>
      <c r="E89" s="7" t="inlineStr">
        <is>
          <t>SARL ECI  BOUDIAB</t>
        </is>
      </c>
      <c r="F89" s="7" t="inlineStr">
        <is>
          <t>06002</t>
        </is>
      </c>
      <c r="G89" s="7" t="inlineStr">
        <is>
          <t>41100</t>
        </is>
      </c>
      <c r="H89" s="7" t="inlineStr">
        <is>
          <t>C1076</t>
        </is>
      </c>
      <c r="I89" s="7" t="inlineStr"/>
      <c r="J89" s="7" t="inlineStr"/>
      <c r="K89" s="7" t="inlineStr"/>
      <c r="L89" s="8" t="n">
        <v>158508</v>
      </c>
      <c r="M89" s="8" t="n">
        <v>0</v>
      </c>
      <c r="N89" s="7" t="inlineStr"/>
      <c r="O89" s="7" t="inlineStr"/>
      <c r="P89" s="7" t="inlineStr"/>
      <c r="Q89" s="7" t="inlineStr"/>
      <c r="R89" s="7" t="inlineStr"/>
    </row>
    <row r="90">
      <c r="A90" s="7" t="inlineStr">
        <is>
          <t>1</t>
        </is>
      </c>
      <c r="B90" s="7" t="inlineStr">
        <is>
          <t>G00030</t>
        </is>
      </c>
      <c r="C90" s="7" t="inlineStr">
        <is>
          <t>20260129</t>
        </is>
      </c>
      <c r="D90" s="7" t="inlineStr">
        <is>
          <t>N°2026000030</t>
        </is>
      </c>
      <c r="E90" s="7" t="inlineStr">
        <is>
          <t>SARL ECI  BOUDIAB</t>
        </is>
      </c>
      <c r="F90" s="7" t="inlineStr">
        <is>
          <t>06002</t>
        </is>
      </c>
      <c r="G90" s="7" t="inlineStr">
        <is>
          <t>70001</t>
        </is>
      </c>
      <c r="H90" s="7" t="inlineStr"/>
      <c r="I90" s="7" t="inlineStr"/>
      <c r="J90" s="7" t="inlineStr"/>
      <c r="K90" s="7" t="inlineStr"/>
      <c r="L90" s="8" t="n">
        <v>0</v>
      </c>
      <c r="M90" s="8" t="n">
        <v>133200</v>
      </c>
      <c r="N90" s="7" t="inlineStr"/>
      <c r="O90" s="7" t="inlineStr"/>
      <c r="P90" s="7" t="inlineStr"/>
      <c r="Q90" s="7" t="inlineStr"/>
      <c r="R90" s="7" t="inlineStr"/>
    </row>
    <row r="91">
      <c r="A91" s="7" t="inlineStr">
        <is>
          <t>1</t>
        </is>
      </c>
      <c r="B91" s="7" t="inlineStr">
        <is>
          <t>G00030</t>
        </is>
      </c>
      <c r="C91" s="7" t="inlineStr">
        <is>
          <t>20260129</t>
        </is>
      </c>
      <c r="D91" s="7" t="inlineStr">
        <is>
          <t>N°2026000030</t>
        </is>
      </c>
      <c r="E91" s="7" t="inlineStr">
        <is>
          <t>SARL ECI  BOUDIAB</t>
        </is>
      </c>
      <c r="F91" s="7" t="inlineStr">
        <is>
          <t>06002</t>
        </is>
      </c>
      <c r="G91" s="7" t="inlineStr">
        <is>
          <t>44517</t>
        </is>
      </c>
      <c r="H91" s="7" t="inlineStr"/>
      <c r="I91" s="7" t="inlineStr"/>
      <c r="J91" s="7" t="inlineStr"/>
      <c r="K91" s="7" t="inlineStr"/>
      <c r="L91" s="8" t="n">
        <v>0</v>
      </c>
      <c r="M91" s="8" t="n">
        <v>25308</v>
      </c>
      <c r="N91" s="7" t="inlineStr"/>
      <c r="O91" s="7" t="inlineStr"/>
      <c r="P91" s="7" t="inlineStr"/>
      <c r="Q91" s="7" t="inlineStr"/>
      <c r="R91" s="7" t="inlineStr"/>
    </row>
    <row r="92">
      <c r="A92" s="7" t="inlineStr">
        <is>
          <t>1</t>
        </is>
      </c>
      <c r="B92" s="7" t="inlineStr">
        <is>
          <t>G00031</t>
        </is>
      </c>
      <c r="C92" s="7" t="inlineStr">
        <is>
          <t>20260129</t>
        </is>
      </c>
      <c r="D92" s="7" t="inlineStr">
        <is>
          <t>N°2026000031</t>
        </is>
      </c>
      <c r="E92" s="7" t="inlineStr">
        <is>
          <t>SARL LAITERIE SOUMMAM</t>
        </is>
      </c>
      <c r="F92" s="7" t="inlineStr">
        <is>
          <t>06002</t>
        </is>
      </c>
      <c r="G92" s="7" t="inlineStr">
        <is>
          <t>41100</t>
        </is>
      </c>
      <c r="H92" s="7" t="inlineStr">
        <is>
          <t>C986</t>
        </is>
      </c>
      <c r="I92" s="7" t="inlineStr"/>
      <c r="J92" s="7" t="inlineStr"/>
      <c r="K92" s="7" t="inlineStr"/>
      <c r="L92" s="8" t="n">
        <v>255850</v>
      </c>
      <c r="M92" s="8" t="n">
        <v>0</v>
      </c>
      <c r="N92" s="7" t="inlineStr"/>
      <c r="O92" s="7" t="inlineStr"/>
      <c r="P92" s="7" t="inlineStr"/>
      <c r="Q92" s="7" t="inlineStr"/>
      <c r="R92" s="7" t="inlineStr"/>
    </row>
    <row r="93">
      <c r="A93" s="7" t="inlineStr">
        <is>
          <t>1</t>
        </is>
      </c>
      <c r="B93" s="7" t="inlineStr">
        <is>
          <t>G00031</t>
        </is>
      </c>
      <c r="C93" s="7" t="inlineStr">
        <is>
          <t>20260129</t>
        </is>
      </c>
      <c r="D93" s="7" t="inlineStr">
        <is>
          <t>N°2026000031</t>
        </is>
      </c>
      <c r="E93" s="7" t="inlineStr">
        <is>
          <t>SARL LAITERIE SOUMMAM</t>
        </is>
      </c>
      <c r="F93" s="7" t="inlineStr">
        <is>
          <t>06002</t>
        </is>
      </c>
      <c r="G93" s="7" t="inlineStr">
        <is>
          <t>70001</t>
        </is>
      </c>
      <c r="H93" s="7" t="inlineStr"/>
      <c r="I93" s="7" t="inlineStr"/>
      <c r="J93" s="7" t="inlineStr"/>
      <c r="K93" s="7" t="inlineStr"/>
      <c r="L93" s="8" t="n">
        <v>0</v>
      </c>
      <c r="M93" s="8" t="n">
        <v>215000</v>
      </c>
      <c r="N93" s="7" t="inlineStr"/>
      <c r="O93" s="7" t="inlineStr"/>
      <c r="P93" s="7" t="inlineStr"/>
      <c r="Q93" s="7" t="inlineStr"/>
      <c r="R93" s="7" t="inlineStr"/>
    </row>
    <row r="94">
      <c r="A94" s="7" t="inlineStr">
        <is>
          <t>1</t>
        </is>
      </c>
      <c r="B94" s="7" t="inlineStr">
        <is>
          <t>G00031</t>
        </is>
      </c>
      <c r="C94" s="7" t="inlineStr">
        <is>
          <t>20260129</t>
        </is>
      </c>
      <c r="D94" s="7" t="inlineStr">
        <is>
          <t>N°2026000031</t>
        </is>
      </c>
      <c r="E94" s="7" t="inlineStr">
        <is>
          <t>SARL LAITERIE SOUMMAM</t>
        </is>
      </c>
      <c r="F94" s="7" t="inlineStr">
        <is>
          <t>06002</t>
        </is>
      </c>
      <c r="G94" s="7" t="inlineStr">
        <is>
          <t>44517</t>
        </is>
      </c>
      <c r="H94" s="7" t="inlineStr"/>
      <c r="I94" s="7" t="inlineStr"/>
      <c r="J94" s="7" t="inlineStr"/>
      <c r="K94" s="7" t="inlineStr"/>
      <c r="L94" s="8" t="n">
        <v>0</v>
      </c>
      <c r="M94" s="8" t="n">
        <v>40850</v>
      </c>
      <c r="N94" s="7" t="inlineStr"/>
      <c r="O94" s="7" t="inlineStr"/>
      <c r="P94" s="7" t="inlineStr"/>
      <c r="Q94" s="7" t="inlineStr"/>
      <c r="R94" s="7" t="inlineStr"/>
    </row>
    <row r="95">
      <c r="A95" s="7" t="inlineStr">
        <is>
          <t>1</t>
        </is>
      </c>
      <c r="B95" s="7" t="inlineStr">
        <is>
          <t>G00032</t>
        </is>
      </c>
      <c r="C95" s="7" t="inlineStr">
        <is>
          <t>20260201</t>
        </is>
      </c>
      <c r="D95" s="7" t="inlineStr">
        <is>
          <t>N°2026000032</t>
        </is>
      </c>
      <c r="E95" s="7" t="inlineStr">
        <is>
          <t>DERDOURI FAROUK AFAK AUTO PART</t>
        </is>
      </c>
      <c r="F95" s="7" t="inlineStr">
        <is>
          <t>06002</t>
        </is>
      </c>
      <c r="G95" s="7" t="inlineStr">
        <is>
          <t>41100</t>
        </is>
      </c>
      <c r="H95" s="7" t="inlineStr">
        <is>
          <t>C831</t>
        </is>
      </c>
      <c r="I95" s="7" t="inlineStr"/>
      <c r="J95" s="7" t="inlineStr"/>
      <c r="K95" s="7" t="inlineStr"/>
      <c r="L95" s="8" t="n">
        <v>978400</v>
      </c>
      <c r="M95" s="8" t="n">
        <v>0</v>
      </c>
      <c r="N95" s="7" t="inlineStr"/>
      <c r="O95" s="7" t="inlineStr"/>
      <c r="P95" s="7" t="inlineStr"/>
      <c r="Q95" s="7" t="inlineStr"/>
      <c r="R95" s="7" t="inlineStr"/>
    </row>
    <row r="96">
      <c r="A96" s="7" t="inlineStr">
        <is>
          <t>1</t>
        </is>
      </c>
      <c r="B96" s="7" t="inlineStr">
        <is>
          <t>G00032</t>
        </is>
      </c>
      <c r="C96" s="7" t="inlineStr">
        <is>
          <t>20260201</t>
        </is>
      </c>
      <c r="D96" s="7" t="inlineStr">
        <is>
          <t>N°2026000032</t>
        </is>
      </c>
      <c r="E96" s="7" t="inlineStr">
        <is>
          <t>DERDOURI FAROUK AFAK AUTO PART</t>
        </is>
      </c>
      <c r="F96" s="7" t="inlineStr">
        <is>
          <t>06002</t>
        </is>
      </c>
      <c r="G96" s="7" t="inlineStr">
        <is>
          <t>70001</t>
        </is>
      </c>
      <c r="H96" s="7" t="inlineStr"/>
      <c r="I96" s="7" t="inlineStr"/>
      <c r="J96" s="7" t="inlineStr"/>
      <c r="K96" s="7" t="inlineStr"/>
      <c r="L96" s="8" t="n">
        <v>0</v>
      </c>
      <c r="M96" s="8" t="n">
        <v>822184.87</v>
      </c>
      <c r="N96" s="7" t="inlineStr"/>
      <c r="O96" s="7" t="inlineStr"/>
      <c r="P96" s="7" t="inlineStr"/>
      <c r="Q96" s="7" t="inlineStr"/>
      <c r="R96" s="7" t="inlineStr"/>
    </row>
    <row r="97">
      <c r="A97" s="7" t="inlineStr">
        <is>
          <t>1</t>
        </is>
      </c>
      <c r="B97" s="7" t="inlineStr">
        <is>
          <t>G00032</t>
        </is>
      </c>
      <c r="C97" s="7" t="inlineStr">
        <is>
          <t>20260201</t>
        </is>
      </c>
      <c r="D97" s="7" t="inlineStr">
        <is>
          <t>N°2026000032</t>
        </is>
      </c>
      <c r="E97" s="7" t="inlineStr">
        <is>
          <t>DERDOURI FAROUK AFAK AUTO PART</t>
        </is>
      </c>
      <c r="F97" s="7" t="inlineStr">
        <is>
          <t>06002</t>
        </is>
      </c>
      <c r="G97" s="7" t="inlineStr">
        <is>
          <t>44517</t>
        </is>
      </c>
      <c r="H97" s="7" t="inlineStr"/>
      <c r="I97" s="7" t="inlineStr"/>
      <c r="J97" s="7" t="inlineStr"/>
      <c r="K97" s="7" t="inlineStr"/>
      <c r="L97" s="8" t="n">
        <v>0</v>
      </c>
      <c r="M97" s="8" t="n">
        <v>156215.13</v>
      </c>
      <c r="N97" s="7" t="inlineStr"/>
      <c r="O97" s="7" t="inlineStr"/>
      <c r="P97" s="7" t="inlineStr"/>
      <c r="Q97" s="7" t="inlineStr"/>
      <c r="R97" s="7" t="inlineStr"/>
    </row>
    <row r="98">
      <c r="A98" s="7" t="inlineStr">
        <is>
          <t>1</t>
        </is>
      </c>
      <c r="B98" s="7" t="inlineStr">
        <is>
          <t>G00033</t>
        </is>
      </c>
      <c r="C98" s="7" t="inlineStr">
        <is>
          <t>20260201</t>
        </is>
      </c>
      <c r="D98" s="7" t="inlineStr">
        <is>
          <t>N°2026000033</t>
        </is>
      </c>
      <c r="E98" s="7" t="inlineStr">
        <is>
          <t>ZIANI LAKHDAR</t>
        </is>
      </c>
      <c r="F98" s="7" t="inlineStr">
        <is>
          <t>06002</t>
        </is>
      </c>
      <c r="G98" s="7" t="inlineStr">
        <is>
          <t>41100</t>
        </is>
      </c>
      <c r="H98" s="7" t="inlineStr">
        <is>
          <t>C916</t>
        </is>
      </c>
      <c r="I98" s="7" t="inlineStr"/>
      <c r="J98" s="7" t="inlineStr"/>
      <c r="K98" s="7" t="inlineStr"/>
      <c r="L98" s="8" t="n">
        <v>500000</v>
      </c>
      <c r="M98" s="8" t="n">
        <v>0</v>
      </c>
      <c r="N98" s="7" t="inlineStr"/>
      <c r="O98" s="7" t="inlineStr"/>
      <c r="P98" s="7" t="inlineStr"/>
      <c r="Q98" s="7" t="inlineStr"/>
      <c r="R98" s="7" t="inlineStr"/>
    </row>
    <row r="99">
      <c r="A99" s="7" t="inlineStr">
        <is>
          <t>1</t>
        </is>
      </c>
      <c r="B99" s="7" t="inlineStr">
        <is>
          <t>G00033</t>
        </is>
      </c>
      <c r="C99" s="7" t="inlineStr">
        <is>
          <t>20260201</t>
        </is>
      </c>
      <c r="D99" s="7" t="inlineStr">
        <is>
          <t>N°2026000033</t>
        </is>
      </c>
      <c r="E99" s="7" t="inlineStr">
        <is>
          <t>ZIANI LAKHDAR</t>
        </is>
      </c>
      <c r="F99" s="7" t="inlineStr">
        <is>
          <t>06002</t>
        </is>
      </c>
      <c r="G99" s="7" t="inlineStr">
        <is>
          <t>70001</t>
        </is>
      </c>
      <c r="H99" s="7" t="inlineStr"/>
      <c r="I99" s="7" t="inlineStr"/>
      <c r="J99" s="7" t="inlineStr"/>
      <c r="K99" s="7" t="inlineStr"/>
      <c r="L99" s="8" t="n">
        <v>0</v>
      </c>
      <c r="M99" s="8" t="n">
        <v>420168.07</v>
      </c>
      <c r="N99" s="7" t="inlineStr"/>
      <c r="O99" s="7" t="inlineStr"/>
      <c r="P99" s="7" t="inlineStr"/>
      <c r="Q99" s="7" t="inlineStr"/>
      <c r="R99" s="7" t="inlineStr"/>
    </row>
    <row r="100">
      <c r="A100" s="7" t="inlineStr">
        <is>
          <t>1</t>
        </is>
      </c>
      <c r="B100" s="7" t="inlineStr">
        <is>
          <t>G00033</t>
        </is>
      </c>
      <c r="C100" s="7" t="inlineStr">
        <is>
          <t>20260201</t>
        </is>
      </c>
      <c r="D100" s="7" t="inlineStr">
        <is>
          <t>N°2026000033</t>
        </is>
      </c>
      <c r="E100" s="7" t="inlineStr">
        <is>
          <t>ZIANI LAKHDAR</t>
        </is>
      </c>
      <c r="F100" s="7" t="inlineStr">
        <is>
          <t>06002</t>
        </is>
      </c>
      <c r="G100" s="7" t="inlineStr">
        <is>
          <t>44517</t>
        </is>
      </c>
      <c r="H100" s="7" t="inlineStr"/>
      <c r="I100" s="7" t="inlineStr"/>
      <c r="J100" s="7" t="inlineStr"/>
      <c r="K100" s="7" t="inlineStr"/>
      <c r="L100" s="8" t="n">
        <v>0</v>
      </c>
      <c r="M100" s="8" t="n">
        <v>79831.92999999999</v>
      </c>
      <c r="N100" s="7" t="inlineStr"/>
      <c r="O100" s="7" t="inlineStr"/>
      <c r="P100" s="7" t="inlineStr"/>
      <c r="Q100" s="7" t="inlineStr"/>
      <c r="R100" s="7" t="inlineStr"/>
    </row>
    <row r="101">
      <c r="A101" s="7" t="inlineStr">
        <is>
          <t>1</t>
        </is>
      </c>
      <c r="B101" s="7" t="inlineStr">
        <is>
          <t>G00034</t>
        </is>
      </c>
      <c r="C101" s="7" t="inlineStr">
        <is>
          <t>20260201</t>
        </is>
      </c>
      <c r="D101" s="7" t="inlineStr">
        <is>
          <t>N°2026000034</t>
        </is>
      </c>
      <c r="E101" s="7" t="inlineStr">
        <is>
          <t>SARL ROYAL MATERIAUX  DE CONST</t>
        </is>
      </c>
      <c r="F101" s="7" t="inlineStr">
        <is>
          <t>06002</t>
        </is>
      </c>
      <c r="G101" s="7" t="inlineStr">
        <is>
          <t>41100</t>
        </is>
      </c>
      <c r="H101" s="7" t="inlineStr">
        <is>
          <t>C934</t>
        </is>
      </c>
      <c r="I101" s="7" t="inlineStr"/>
      <c r="J101" s="7" t="inlineStr"/>
      <c r="K101" s="7" t="inlineStr"/>
      <c r="L101" s="8" t="n">
        <v>137766</v>
      </c>
      <c r="M101" s="8" t="n">
        <v>0</v>
      </c>
      <c r="N101" s="7" t="inlineStr"/>
      <c r="O101" s="7" t="inlineStr"/>
      <c r="P101" s="7" t="inlineStr"/>
      <c r="Q101" s="7" t="inlineStr"/>
      <c r="R101" s="7" t="inlineStr"/>
    </row>
    <row r="102">
      <c r="A102" s="7" t="inlineStr">
        <is>
          <t>1</t>
        </is>
      </c>
      <c r="B102" s="7" t="inlineStr">
        <is>
          <t>G00034</t>
        </is>
      </c>
      <c r="C102" s="7" t="inlineStr">
        <is>
          <t>20260201</t>
        </is>
      </c>
      <c r="D102" s="7" t="inlineStr">
        <is>
          <t>N°2026000034</t>
        </is>
      </c>
      <c r="E102" s="7" t="inlineStr">
        <is>
          <t>SARL ROYAL MATERIAUX  DE CONST</t>
        </is>
      </c>
      <c r="F102" s="7" t="inlineStr">
        <is>
          <t>06002</t>
        </is>
      </c>
      <c r="G102" s="7" t="inlineStr">
        <is>
          <t>70001</t>
        </is>
      </c>
      <c r="H102" s="7" t="inlineStr"/>
      <c r="I102" s="7" t="inlineStr"/>
      <c r="J102" s="7" t="inlineStr"/>
      <c r="K102" s="7" t="inlineStr"/>
      <c r="L102" s="8" t="n">
        <v>0</v>
      </c>
      <c r="M102" s="8" t="n">
        <v>115769.75</v>
      </c>
      <c r="N102" s="7" t="inlineStr"/>
      <c r="O102" s="7" t="inlineStr"/>
      <c r="P102" s="7" t="inlineStr"/>
      <c r="Q102" s="7" t="inlineStr"/>
      <c r="R102" s="7" t="inlineStr"/>
    </row>
    <row r="103">
      <c r="A103" s="7" t="inlineStr">
        <is>
          <t>1</t>
        </is>
      </c>
      <c r="B103" s="7" t="inlineStr">
        <is>
          <t>G00034</t>
        </is>
      </c>
      <c r="C103" s="7" t="inlineStr">
        <is>
          <t>20260201</t>
        </is>
      </c>
      <c r="D103" s="7" t="inlineStr">
        <is>
          <t>N°2026000034</t>
        </is>
      </c>
      <c r="E103" s="7" t="inlineStr">
        <is>
          <t>SARL ROYAL MATERIAUX  DE CONST</t>
        </is>
      </c>
      <c r="F103" s="7" t="inlineStr">
        <is>
          <t>06002</t>
        </is>
      </c>
      <c r="G103" s="7" t="inlineStr">
        <is>
          <t>44517</t>
        </is>
      </c>
      <c r="H103" s="7" t="inlineStr"/>
      <c r="I103" s="7" t="inlineStr"/>
      <c r="J103" s="7" t="inlineStr"/>
      <c r="K103" s="7" t="inlineStr"/>
      <c r="L103" s="8" t="n">
        <v>0</v>
      </c>
      <c r="M103" s="8" t="n">
        <v>21996.25</v>
      </c>
      <c r="N103" s="7" t="inlineStr"/>
      <c r="O103" s="7" t="inlineStr"/>
      <c r="P103" s="7" t="inlineStr"/>
      <c r="Q103" s="7" t="inlineStr"/>
      <c r="R103" s="7" t="inlineStr"/>
    </row>
    <row r="104">
      <c r="A104" s="7" t="inlineStr">
        <is>
          <t>1</t>
        </is>
      </c>
      <c r="B104" s="7" t="inlineStr">
        <is>
          <t>G00035</t>
        </is>
      </c>
      <c r="C104" s="7" t="inlineStr">
        <is>
          <t>20260202</t>
        </is>
      </c>
      <c r="D104" s="7" t="inlineStr">
        <is>
          <t>N°2026000035</t>
        </is>
      </c>
      <c r="E104" s="7" t="inlineStr">
        <is>
          <t>SARL ROYAL MATERIAUX  DE CONST</t>
        </is>
      </c>
      <c r="F104" s="7" t="inlineStr">
        <is>
          <t>06002</t>
        </is>
      </c>
      <c r="G104" s="7" t="inlineStr">
        <is>
          <t>41100</t>
        </is>
      </c>
      <c r="H104" s="7" t="inlineStr">
        <is>
          <t>C934</t>
        </is>
      </c>
      <c r="I104" s="7" t="inlineStr"/>
      <c r="J104" s="7" t="inlineStr"/>
      <c r="K104" s="7" t="inlineStr"/>
      <c r="L104" s="8" t="n">
        <v>132495</v>
      </c>
      <c r="M104" s="8" t="n">
        <v>0</v>
      </c>
      <c r="N104" s="7" t="inlineStr"/>
      <c r="O104" s="7" t="inlineStr"/>
      <c r="P104" s="7" t="inlineStr"/>
      <c r="Q104" s="7" t="inlineStr"/>
      <c r="R104" s="7" t="inlineStr"/>
    </row>
    <row r="105">
      <c r="A105" s="7" t="inlineStr">
        <is>
          <t>1</t>
        </is>
      </c>
      <c r="B105" s="7" t="inlineStr">
        <is>
          <t>G00035</t>
        </is>
      </c>
      <c r="C105" s="7" t="inlineStr">
        <is>
          <t>20260202</t>
        </is>
      </c>
      <c r="D105" s="7" t="inlineStr">
        <is>
          <t>N°2026000035</t>
        </is>
      </c>
      <c r="E105" s="7" t="inlineStr">
        <is>
          <t>SARL ROYAL MATERIAUX  DE CONST</t>
        </is>
      </c>
      <c r="F105" s="7" t="inlineStr">
        <is>
          <t>06002</t>
        </is>
      </c>
      <c r="G105" s="7" t="inlineStr">
        <is>
          <t>70001</t>
        </is>
      </c>
      <c r="H105" s="7" t="inlineStr"/>
      <c r="I105" s="7" t="inlineStr"/>
      <c r="J105" s="7" t="inlineStr"/>
      <c r="K105" s="7" t="inlineStr"/>
      <c r="L105" s="8" t="n">
        <v>0</v>
      </c>
      <c r="M105" s="8" t="n">
        <v>111340.34</v>
      </c>
      <c r="N105" s="7" t="inlineStr"/>
      <c r="O105" s="7" t="inlineStr"/>
      <c r="P105" s="7" t="inlineStr"/>
      <c r="Q105" s="7" t="inlineStr"/>
      <c r="R105" s="7" t="inlineStr"/>
    </row>
    <row r="106">
      <c r="A106" s="7" t="inlineStr">
        <is>
          <t>1</t>
        </is>
      </c>
      <c r="B106" s="7" t="inlineStr">
        <is>
          <t>G00035</t>
        </is>
      </c>
      <c r="C106" s="7" t="inlineStr">
        <is>
          <t>20260202</t>
        </is>
      </c>
      <c r="D106" s="7" t="inlineStr">
        <is>
          <t>N°2026000035</t>
        </is>
      </c>
      <c r="E106" s="7" t="inlineStr">
        <is>
          <t>SARL ROYAL MATERIAUX  DE CONST</t>
        </is>
      </c>
      <c r="F106" s="7" t="inlineStr">
        <is>
          <t>06002</t>
        </is>
      </c>
      <c r="G106" s="7" t="inlineStr">
        <is>
          <t>44517</t>
        </is>
      </c>
      <c r="H106" s="7" t="inlineStr"/>
      <c r="I106" s="7" t="inlineStr"/>
      <c r="J106" s="7" t="inlineStr"/>
      <c r="K106" s="7" t="inlineStr"/>
      <c r="L106" s="8" t="n">
        <v>0</v>
      </c>
      <c r="M106" s="8" t="n">
        <v>21154.66</v>
      </c>
      <c r="N106" s="7" t="inlineStr"/>
      <c r="O106" s="7" t="inlineStr"/>
      <c r="P106" s="7" t="inlineStr"/>
      <c r="Q106" s="7" t="inlineStr"/>
      <c r="R106" s="7" t="inlineStr"/>
    </row>
    <row r="107">
      <c r="A107" s="7" t="inlineStr">
        <is>
          <t>1</t>
        </is>
      </c>
      <c r="B107" s="7" t="inlineStr">
        <is>
          <t>G00036</t>
        </is>
      </c>
      <c r="C107" s="7" t="inlineStr">
        <is>
          <t>20260202</t>
        </is>
      </c>
      <c r="D107" s="7" t="inlineStr">
        <is>
          <t>N°2026000036</t>
        </is>
      </c>
      <c r="E107" s="7" t="inlineStr">
        <is>
          <t>DERDOURI FAROUK EL FAROUK PART</t>
        </is>
      </c>
      <c r="F107" s="7" t="inlineStr">
        <is>
          <t>06002</t>
        </is>
      </c>
      <c r="G107" s="7" t="inlineStr">
        <is>
          <t>41100</t>
        </is>
      </c>
      <c r="H107" s="7" t="inlineStr">
        <is>
          <t>C831</t>
        </is>
      </c>
      <c r="I107" s="7" t="inlineStr"/>
      <c r="J107" s="7" t="inlineStr"/>
      <c r="K107" s="7" t="inlineStr"/>
      <c r="L107" s="8" t="n">
        <v>178500</v>
      </c>
      <c r="M107" s="8" t="n">
        <v>0</v>
      </c>
      <c r="N107" s="7" t="inlineStr"/>
      <c r="O107" s="7" t="inlineStr"/>
      <c r="P107" s="7" t="inlineStr"/>
      <c r="Q107" s="7" t="inlineStr"/>
      <c r="R107" s="7" t="inlineStr"/>
    </row>
    <row r="108">
      <c r="A108" s="7" t="inlineStr">
        <is>
          <t>1</t>
        </is>
      </c>
      <c r="B108" s="7" t="inlineStr">
        <is>
          <t>G00036</t>
        </is>
      </c>
      <c r="C108" s="7" t="inlineStr">
        <is>
          <t>20260202</t>
        </is>
      </c>
      <c r="D108" s="7" t="inlineStr">
        <is>
          <t>N°2026000036</t>
        </is>
      </c>
      <c r="E108" s="7" t="inlineStr">
        <is>
          <t>DERDOURI FAROUK EL FAROUK PART</t>
        </is>
      </c>
      <c r="F108" s="7" t="inlineStr">
        <is>
          <t>06002</t>
        </is>
      </c>
      <c r="G108" s="7" t="inlineStr">
        <is>
          <t>70001</t>
        </is>
      </c>
      <c r="H108" s="7" t="inlineStr"/>
      <c r="I108" s="7" t="inlineStr"/>
      <c r="J108" s="7" t="inlineStr"/>
      <c r="K108" s="7" t="inlineStr"/>
      <c r="L108" s="8" t="n">
        <v>0</v>
      </c>
      <c r="M108" s="8" t="n">
        <v>150000</v>
      </c>
      <c r="N108" s="7" t="inlineStr"/>
      <c r="O108" s="7" t="inlineStr"/>
      <c r="P108" s="7" t="inlineStr"/>
      <c r="Q108" s="7" t="inlineStr"/>
      <c r="R108" s="7" t="inlineStr"/>
    </row>
    <row r="109">
      <c r="A109" s="7" t="inlineStr">
        <is>
          <t>1</t>
        </is>
      </c>
      <c r="B109" s="7" t="inlineStr">
        <is>
          <t>G00036</t>
        </is>
      </c>
      <c r="C109" s="7" t="inlineStr">
        <is>
          <t>20260202</t>
        </is>
      </c>
      <c r="D109" s="7" t="inlineStr">
        <is>
          <t>N°2026000036</t>
        </is>
      </c>
      <c r="E109" s="7" t="inlineStr">
        <is>
          <t>DERDOURI FAROUK EL FAROUK PART</t>
        </is>
      </c>
      <c r="F109" s="7" t="inlineStr">
        <is>
          <t>06002</t>
        </is>
      </c>
      <c r="G109" s="7" t="inlineStr">
        <is>
          <t>44517</t>
        </is>
      </c>
      <c r="H109" s="7" t="inlineStr"/>
      <c r="I109" s="7" t="inlineStr"/>
      <c r="J109" s="7" t="inlineStr"/>
      <c r="K109" s="7" t="inlineStr"/>
      <c r="L109" s="8" t="n">
        <v>0</v>
      </c>
      <c r="M109" s="8" t="n">
        <v>28500</v>
      </c>
      <c r="N109" s="7" t="inlineStr"/>
      <c r="O109" s="7" t="inlineStr"/>
      <c r="P109" s="7" t="inlineStr"/>
      <c r="Q109" s="7" t="inlineStr"/>
      <c r="R109" s="7" t="inlineStr"/>
    </row>
    <row r="110">
      <c r="A110" s="7" t="inlineStr">
        <is>
          <t>1</t>
        </is>
      </c>
      <c r="B110" s="7" t="inlineStr">
        <is>
          <t>G00037</t>
        </is>
      </c>
      <c r="C110" s="7" t="inlineStr">
        <is>
          <t>20260202</t>
        </is>
      </c>
      <c r="D110" s="7" t="inlineStr">
        <is>
          <t>N°2026000037</t>
        </is>
      </c>
      <c r="E110" s="7" t="inlineStr">
        <is>
          <t>DJENNADI ABDELKRIM</t>
        </is>
      </c>
      <c r="F110" s="7" t="inlineStr">
        <is>
          <t>06002</t>
        </is>
      </c>
      <c r="G110" s="7" t="inlineStr">
        <is>
          <t>41100</t>
        </is>
      </c>
      <c r="H110" s="7" t="inlineStr">
        <is>
          <t>C004</t>
        </is>
      </c>
      <c r="I110" s="7" t="inlineStr"/>
      <c r="J110" s="7" t="inlineStr"/>
      <c r="K110" s="7" t="inlineStr"/>
      <c r="L110" s="8" t="n">
        <v>2050000.01</v>
      </c>
      <c r="M110" s="8" t="n">
        <v>0</v>
      </c>
      <c r="N110" s="7" t="inlineStr"/>
      <c r="O110" s="7" t="inlineStr"/>
      <c r="P110" s="7" t="inlineStr"/>
      <c r="Q110" s="7" t="inlineStr"/>
      <c r="R110" s="7" t="inlineStr"/>
    </row>
    <row r="111">
      <c r="A111" s="7" t="inlineStr">
        <is>
          <t>1</t>
        </is>
      </c>
      <c r="B111" s="7" t="inlineStr">
        <is>
          <t>G00037</t>
        </is>
      </c>
      <c r="C111" s="7" t="inlineStr">
        <is>
          <t>20260202</t>
        </is>
      </c>
      <c r="D111" s="7" t="inlineStr">
        <is>
          <t>N°2026000037</t>
        </is>
      </c>
      <c r="E111" s="7" t="inlineStr">
        <is>
          <t>DJENNADI ABDELKRIM</t>
        </is>
      </c>
      <c r="F111" s="7" t="inlineStr">
        <is>
          <t>06002</t>
        </is>
      </c>
      <c r="G111" s="7" t="inlineStr">
        <is>
          <t>70001</t>
        </is>
      </c>
      <c r="H111" s="7" t="inlineStr"/>
      <c r="I111" s="7" t="inlineStr"/>
      <c r="J111" s="7" t="inlineStr"/>
      <c r="K111" s="7" t="inlineStr"/>
      <c r="L111" s="8" t="n">
        <v>0</v>
      </c>
      <c r="M111" s="8" t="n">
        <v>1722689.08</v>
      </c>
      <c r="N111" s="7" t="inlineStr"/>
      <c r="O111" s="7" t="inlineStr"/>
      <c r="P111" s="7" t="inlineStr"/>
      <c r="Q111" s="7" t="inlineStr"/>
      <c r="R111" s="7" t="inlineStr"/>
    </row>
    <row r="112">
      <c r="A112" s="7" t="inlineStr">
        <is>
          <t>1</t>
        </is>
      </c>
      <c r="B112" s="7" t="inlineStr">
        <is>
          <t>G00037</t>
        </is>
      </c>
      <c r="C112" s="7" t="inlineStr">
        <is>
          <t>20260202</t>
        </is>
      </c>
      <c r="D112" s="7" t="inlineStr">
        <is>
          <t>N°2026000037</t>
        </is>
      </c>
      <c r="E112" s="7" t="inlineStr">
        <is>
          <t>DJENNADI ABDELKRIM</t>
        </is>
      </c>
      <c r="F112" s="7" t="inlineStr">
        <is>
          <t>06002</t>
        </is>
      </c>
      <c r="G112" s="7" t="inlineStr">
        <is>
          <t>44517</t>
        </is>
      </c>
      <c r="H112" s="7" t="inlineStr"/>
      <c r="I112" s="7" t="inlineStr"/>
      <c r="J112" s="7" t="inlineStr"/>
      <c r="K112" s="7" t="inlineStr"/>
      <c r="L112" s="8" t="n">
        <v>0</v>
      </c>
      <c r="M112" s="8" t="n">
        <v>327310.93</v>
      </c>
      <c r="N112" s="7" t="inlineStr"/>
      <c r="O112" s="7" t="inlineStr"/>
      <c r="P112" s="7" t="inlineStr"/>
      <c r="Q112" s="7" t="inlineStr"/>
      <c r="R112" s="7" t="inlineStr"/>
    </row>
    <row r="113">
      <c r="A113" s="7" t="inlineStr">
        <is>
          <t>1</t>
        </is>
      </c>
      <c r="B113" s="7" t="inlineStr">
        <is>
          <t>G00038</t>
        </is>
      </c>
      <c r="C113" s="7" t="inlineStr">
        <is>
          <t>20260202</t>
        </is>
      </c>
      <c r="D113" s="7" t="inlineStr">
        <is>
          <t>N°2026000038</t>
        </is>
      </c>
      <c r="E113" s="7" t="inlineStr">
        <is>
          <t>BENAMARA AYOUB</t>
        </is>
      </c>
      <c r="F113" s="7" t="inlineStr">
        <is>
          <t>06002</t>
        </is>
      </c>
      <c r="G113" s="7" t="inlineStr">
        <is>
          <t>41100</t>
        </is>
      </c>
      <c r="H113" s="7" t="inlineStr">
        <is>
          <t>C278</t>
        </is>
      </c>
      <c r="I113" s="7" t="inlineStr"/>
      <c r="J113" s="7" t="inlineStr"/>
      <c r="K113" s="7" t="inlineStr"/>
      <c r="L113" s="8" t="n">
        <v>980111.95</v>
      </c>
      <c r="M113" s="8" t="n">
        <v>0</v>
      </c>
      <c r="N113" s="7" t="inlineStr"/>
      <c r="O113" s="7" t="inlineStr"/>
      <c r="P113" s="7" t="inlineStr"/>
      <c r="Q113" s="7" t="inlineStr"/>
      <c r="R113" s="7" t="inlineStr"/>
    </row>
    <row r="114">
      <c r="A114" s="7" t="inlineStr">
        <is>
          <t>1</t>
        </is>
      </c>
      <c r="B114" s="7" t="inlineStr">
        <is>
          <t>G00038</t>
        </is>
      </c>
      <c r="C114" s="7" t="inlineStr">
        <is>
          <t>20260202</t>
        </is>
      </c>
      <c r="D114" s="7" t="inlineStr">
        <is>
          <t>N°2026000038</t>
        </is>
      </c>
      <c r="E114" s="7" t="inlineStr">
        <is>
          <t>BENAMARA AYOUB</t>
        </is>
      </c>
      <c r="F114" s="7" t="inlineStr">
        <is>
          <t>06002</t>
        </is>
      </c>
      <c r="G114" s="7" t="inlineStr">
        <is>
          <t>70001</t>
        </is>
      </c>
      <c r="H114" s="7" t="inlineStr"/>
      <c r="I114" s="7" t="inlineStr"/>
      <c r="J114" s="7" t="inlineStr"/>
      <c r="K114" s="7" t="inlineStr"/>
      <c r="L114" s="8" t="n">
        <v>0</v>
      </c>
      <c r="M114" s="8" t="n">
        <v>823623.49</v>
      </c>
      <c r="N114" s="7" t="inlineStr"/>
      <c r="O114" s="7" t="inlineStr"/>
      <c r="P114" s="7" t="inlineStr"/>
      <c r="Q114" s="7" t="inlineStr"/>
      <c r="R114" s="7" t="inlineStr"/>
    </row>
    <row r="115">
      <c r="A115" s="7" t="inlineStr">
        <is>
          <t>1</t>
        </is>
      </c>
      <c r="B115" s="7" t="inlineStr">
        <is>
          <t>G00038</t>
        </is>
      </c>
      <c r="C115" s="7" t="inlineStr">
        <is>
          <t>20260202</t>
        </is>
      </c>
      <c r="D115" s="7" t="inlineStr">
        <is>
          <t>N°2026000038</t>
        </is>
      </c>
      <c r="E115" s="7" t="inlineStr">
        <is>
          <t>BENAMARA AYOUB</t>
        </is>
      </c>
      <c r="F115" s="7" t="inlineStr">
        <is>
          <t>06002</t>
        </is>
      </c>
      <c r="G115" s="7" t="inlineStr">
        <is>
          <t>44517</t>
        </is>
      </c>
      <c r="H115" s="7" t="inlineStr"/>
      <c r="I115" s="7" t="inlineStr"/>
      <c r="J115" s="7" t="inlineStr"/>
      <c r="K115" s="7" t="inlineStr"/>
      <c r="L115" s="8" t="n">
        <v>0</v>
      </c>
      <c r="M115" s="8" t="n">
        <v>156488.46</v>
      </c>
      <c r="N115" s="7" t="inlineStr"/>
      <c r="O115" s="7" t="inlineStr"/>
      <c r="P115" s="7" t="inlineStr"/>
      <c r="Q115" s="7" t="inlineStr"/>
      <c r="R115" s="7" t="inlineStr"/>
    </row>
    <row r="116">
      <c r="A116" s="7" t="inlineStr">
        <is>
          <t>1</t>
        </is>
      </c>
      <c r="B116" s="7" t="inlineStr">
        <is>
          <t>G00039</t>
        </is>
      </c>
      <c r="C116" s="7" t="inlineStr">
        <is>
          <t>20260203</t>
        </is>
      </c>
      <c r="D116" s="7" t="inlineStr">
        <is>
          <t>N°2026000039</t>
        </is>
      </c>
      <c r="E116" s="7" t="inlineStr">
        <is>
          <t>EURL TERRENO TRANS</t>
        </is>
      </c>
      <c r="F116" s="7" t="inlineStr">
        <is>
          <t>06002</t>
        </is>
      </c>
      <c r="G116" s="7" t="inlineStr">
        <is>
          <t>41100</t>
        </is>
      </c>
      <c r="H116" s="7" t="inlineStr">
        <is>
          <t>C959</t>
        </is>
      </c>
      <c r="I116" s="7" t="inlineStr"/>
      <c r="J116" s="7" t="inlineStr"/>
      <c r="K116" s="7" t="inlineStr"/>
      <c r="L116" s="8" t="n">
        <v>297500</v>
      </c>
      <c r="M116" s="8" t="n">
        <v>0</v>
      </c>
      <c r="N116" s="7" t="inlineStr"/>
      <c r="O116" s="7" t="inlineStr"/>
      <c r="P116" s="7" t="inlineStr"/>
      <c r="Q116" s="7" t="inlineStr"/>
      <c r="R116" s="7" t="inlineStr"/>
    </row>
    <row r="117">
      <c r="A117" s="7" t="inlineStr">
        <is>
          <t>1</t>
        </is>
      </c>
      <c r="B117" s="7" t="inlineStr">
        <is>
          <t>G00039</t>
        </is>
      </c>
      <c r="C117" s="7" t="inlineStr">
        <is>
          <t>20260203</t>
        </is>
      </c>
      <c r="D117" s="7" t="inlineStr">
        <is>
          <t>N°2026000039</t>
        </is>
      </c>
      <c r="E117" s="7" t="inlineStr">
        <is>
          <t>EURL TERRENO TRANS</t>
        </is>
      </c>
      <c r="F117" s="7" t="inlineStr">
        <is>
          <t>06002</t>
        </is>
      </c>
      <c r="G117" s="7" t="inlineStr">
        <is>
          <t>70001</t>
        </is>
      </c>
      <c r="H117" s="7" t="inlineStr"/>
      <c r="I117" s="7" t="inlineStr"/>
      <c r="J117" s="7" t="inlineStr"/>
      <c r="K117" s="7" t="inlineStr"/>
      <c r="L117" s="8" t="n">
        <v>0</v>
      </c>
      <c r="M117" s="8" t="n">
        <v>250000</v>
      </c>
      <c r="N117" s="7" t="inlineStr"/>
      <c r="O117" s="7" t="inlineStr"/>
      <c r="P117" s="7" t="inlineStr"/>
      <c r="Q117" s="7" t="inlineStr"/>
      <c r="R117" s="7" t="inlineStr"/>
    </row>
    <row r="118">
      <c r="A118" s="7" t="inlineStr">
        <is>
          <t>1</t>
        </is>
      </c>
      <c r="B118" s="7" t="inlineStr">
        <is>
          <t>G00039</t>
        </is>
      </c>
      <c r="C118" s="7" t="inlineStr">
        <is>
          <t>20260203</t>
        </is>
      </c>
      <c r="D118" s="7" t="inlineStr">
        <is>
          <t>N°2026000039</t>
        </is>
      </c>
      <c r="E118" s="7" t="inlineStr">
        <is>
          <t>EURL TERRENO TRANS</t>
        </is>
      </c>
      <c r="F118" s="7" t="inlineStr">
        <is>
          <t>06002</t>
        </is>
      </c>
      <c r="G118" s="7" t="inlineStr">
        <is>
          <t>44517</t>
        </is>
      </c>
      <c r="H118" s="7" t="inlineStr"/>
      <c r="I118" s="7" t="inlineStr"/>
      <c r="J118" s="7" t="inlineStr"/>
      <c r="K118" s="7" t="inlineStr"/>
      <c r="L118" s="8" t="n">
        <v>0</v>
      </c>
      <c r="M118" s="8" t="n">
        <v>47500</v>
      </c>
      <c r="N118" s="7" t="inlineStr"/>
      <c r="O118" s="7" t="inlineStr"/>
      <c r="P118" s="7" t="inlineStr"/>
      <c r="Q118" s="7" t="inlineStr"/>
      <c r="R118" s="7" t="inlineStr"/>
    </row>
    <row r="119">
      <c r="A119" s="7" t="inlineStr">
        <is>
          <t>1</t>
        </is>
      </c>
      <c r="B119" s="7" t="inlineStr">
        <is>
          <t>G00040</t>
        </is>
      </c>
      <c r="C119" s="7" t="inlineStr">
        <is>
          <t>20260203</t>
        </is>
      </c>
      <c r="D119" s="7" t="inlineStr">
        <is>
          <t>N°2026000040</t>
        </is>
      </c>
      <c r="E119" s="7" t="inlineStr">
        <is>
          <t>SARL BEJAIA LOGISTIQUE</t>
        </is>
      </c>
      <c r="F119" s="7" t="inlineStr">
        <is>
          <t>06002</t>
        </is>
      </c>
      <c r="G119" s="7" t="inlineStr">
        <is>
          <t>41100</t>
        </is>
      </c>
      <c r="H119" s="7" t="inlineStr">
        <is>
          <t>C708</t>
        </is>
      </c>
      <c r="I119" s="7" t="inlineStr"/>
      <c r="J119" s="7" t="inlineStr"/>
      <c r="K119" s="7" t="inlineStr"/>
      <c r="L119" s="8" t="n">
        <v>502656</v>
      </c>
      <c r="M119" s="8" t="n">
        <v>0</v>
      </c>
      <c r="N119" s="7" t="inlineStr"/>
      <c r="O119" s="7" t="inlineStr"/>
      <c r="P119" s="7" t="inlineStr"/>
      <c r="Q119" s="7" t="inlineStr"/>
      <c r="R119" s="7" t="inlineStr"/>
    </row>
    <row r="120">
      <c r="A120" s="7" t="inlineStr">
        <is>
          <t>1</t>
        </is>
      </c>
      <c r="B120" s="7" t="inlineStr">
        <is>
          <t>G00040</t>
        </is>
      </c>
      <c r="C120" s="7" t="inlineStr">
        <is>
          <t>20260203</t>
        </is>
      </c>
      <c r="D120" s="7" t="inlineStr">
        <is>
          <t>N°2026000040</t>
        </is>
      </c>
      <c r="E120" s="7" t="inlineStr">
        <is>
          <t>SARL BEJAIA LOGISTIQUE</t>
        </is>
      </c>
      <c r="F120" s="7" t="inlineStr">
        <is>
          <t>06002</t>
        </is>
      </c>
      <c r="G120" s="7" t="inlineStr">
        <is>
          <t>70001</t>
        </is>
      </c>
      <c r="H120" s="7" t="inlineStr"/>
      <c r="I120" s="7" t="inlineStr"/>
      <c r="J120" s="7" t="inlineStr"/>
      <c r="K120" s="7" t="inlineStr"/>
      <c r="L120" s="8" t="n">
        <v>0</v>
      </c>
      <c r="M120" s="8" t="n">
        <v>422400</v>
      </c>
      <c r="N120" s="7" t="inlineStr"/>
      <c r="O120" s="7" t="inlineStr"/>
      <c r="P120" s="7" t="inlineStr"/>
      <c r="Q120" s="7" t="inlineStr"/>
      <c r="R120" s="7" t="inlineStr"/>
    </row>
    <row r="121">
      <c r="A121" s="7" t="inlineStr">
        <is>
          <t>1</t>
        </is>
      </c>
      <c r="B121" s="7" t="inlineStr">
        <is>
          <t>G00040</t>
        </is>
      </c>
      <c r="C121" s="7" t="inlineStr">
        <is>
          <t>20260203</t>
        </is>
      </c>
      <c r="D121" s="7" t="inlineStr">
        <is>
          <t>N°2026000040</t>
        </is>
      </c>
      <c r="E121" s="7" t="inlineStr">
        <is>
          <t>SARL BEJAIA LOGISTIQUE</t>
        </is>
      </c>
      <c r="F121" s="7" t="inlineStr">
        <is>
          <t>06002</t>
        </is>
      </c>
      <c r="G121" s="7" t="inlineStr">
        <is>
          <t>44517</t>
        </is>
      </c>
      <c r="H121" s="7" t="inlineStr"/>
      <c r="I121" s="7" t="inlineStr"/>
      <c r="J121" s="7" t="inlineStr"/>
      <c r="K121" s="7" t="inlineStr"/>
      <c r="L121" s="8" t="n">
        <v>0</v>
      </c>
      <c r="M121" s="8" t="n">
        <v>80256</v>
      </c>
      <c r="N121" s="7" t="inlineStr"/>
      <c r="O121" s="7" t="inlineStr"/>
      <c r="P121" s="7" t="inlineStr"/>
      <c r="Q121" s="7" t="inlineStr"/>
      <c r="R121" s="7" t="inlineStr"/>
    </row>
    <row r="122">
      <c r="A122" s="7" t="inlineStr">
        <is>
          <t>1</t>
        </is>
      </c>
      <c r="B122" s="7" t="inlineStr">
        <is>
          <t>G00041</t>
        </is>
      </c>
      <c r="C122" s="7" t="inlineStr">
        <is>
          <t>20260203</t>
        </is>
      </c>
      <c r="D122" s="7" t="inlineStr">
        <is>
          <t>N°2026000041</t>
        </is>
      </c>
      <c r="E122" s="7" t="inlineStr">
        <is>
          <t>SARL BEJAIA LOGISTIQUE</t>
        </is>
      </c>
      <c r="F122" s="7" t="inlineStr">
        <is>
          <t>06002</t>
        </is>
      </c>
      <c r="G122" s="7" t="inlineStr">
        <is>
          <t>41100</t>
        </is>
      </c>
      <c r="H122" s="7" t="inlineStr">
        <is>
          <t>C708</t>
        </is>
      </c>
      <c r="I122" s="7" t="inlineStr"/>
      <c r="J122" s="7" t="inlineStr"/>
      <c r="K122" s="7" t="inlineStr"/>
      <c r="L122" s="8" t="n">
        <v>6069000</v>
      </c>
      <c r="M122" s="8" t="n">
        <v>0</v>
      </c>
      <c r="N122" s="7" t="inlineStr"/>
      <c r="O122" s="7" t="inlineStr"/>
      <c r="P122" s="7" t="inlineStr"/>
      <c r="Q122" s="7" t="inlineStr"/>
      <c r="R122" s="7" t="inlineStr"/>
    </row>
    <row r="123">
      <c r="A123" s="7" t="inlineStr">
        <is>
          <t>1</t>
        </is>
      </c>
      <c r="B123" s="7" t="inlineStr">
        <is>
          <t>G00041</t>
        </is>
      </c>
      <c r="C123" s="7" t="inlineStr">
        <is>
          <t>20260203</t>
        </is>
      </c>
      <c r="D123" s="7" t="inlineStr">
        <is>
          <t>N°2026000041</t>
        </is>
      </c>
      <c r="E123" s="7" t="inlineStr">
        <is>
          <t>SARL BEJAIA LOGISTIQUE</t>
        </is>
      </c>
      <c r="F123" s="7" t="inlineStr">
        <is>
          <t>06002</t>
        </is>
      </c>
      <c r="G123" s="7" t="inlineStr">
        <is>
          <t>70001</t>
        </is>
      </c>
      <c r="H123" s="7" t="inlineStr"/>
      <c r="I123" s="7" t="inlineStr"/>
      <c r="J123" s="7" t="inlineStr"/>
      <c r="K123" s="7" t="inlineStr"/>
      <c r="L123" s="8" t="n">
        <v>0</v>
      </c>
      <c r="M123" s="8" t="n">
        <v>5100000</v>
      </c>
      <c r="N123" s="7" t="inlineStr"/>
      <c r="O123" s="7" t="inlineStr"/>
      <c r="P123" s="7" t="inlineStr"/>
      <c r="Q123" s="7" t="inlineStr"/>
      <c r="R123" s="7" t="inlineStr"/>
    </row>
    <row r="124">
      <c r="A124" s="7" t="inlineStr">
        <is>
          <t>1</t>
        </is>
      </c>
      <c r="B124" s="7" t="inlineStr">
        <is>
          <t>G00041</t>
        </is>
      </c>
      <c r="C124" s="7" t="inlineStr">
        <is>
          <t>20260203</t>
        </is>
      </c>
      <c r="D124" s="7" t="inlineStr">
        <is>
          <t>N°2026000041</t>
        </is>
      </c>
      <c r="E124" s="7" t="inlineStr">
        <is>
          <t>SARL BEJAIA LOGISTIQUE</t>
        </is>
      </c>
      <c r="F124" s="7" t="inlineStr">
        <is>
          <t>06002</t>
        </is>
      </c>
      <c r="G124" s="7" t="inlineStr">
        <is>
          <t>44517</t>
        </is>
      </c>
      <c r="H124" s="7" t="inlineStr"/>
      <c r="I124" s="7" t="inlineStr"/>
      <c r="J124" s="7" t="inlineStr"/>
      <c r="K124" s="7" t="inlineStr"/>
      <c r="L124" s="8" t="n">
        <v>0</v>
      </c>
      <c r="M124" s="8" t="n">
        <v>969000</v>
      </c>
      <c r="N124" s="7" t="inlineStr"/>
      <c r="O124" s="7" t="inlineStr"/>
      <c r="P124" s="7" t="inlineStr"/>
      <c r="Q124" s="7" t="inlineStr"/>
      <c r="R124" s="7" t="inlineStr"/>
    </row>
    <row r="125">
      <c r="A125" s="7" t="inlineStr">
        <is>
          <t>1</t>
        </is>
      </c>
      <c r="B125" s="7" t="inlineStr">
        <is>
          <t>G00042</t>
        </is>
      </c>
      <c r="C125" s="7" t="inlineStr">
        <is>
          <t>20260204</t>
        </is>
      </c>
      <c r="D125" s="7" t="inlineStr">
        <is>
          <t>N°2026000042</t>
        </is>
      </c>
      <c r="E125" s="7" t="inlineStr">
        <is>
          <t>SPA TMF LOGISTICS</t>
        </is>
      </c>
      <c r="F125" s="7" t="inlineStr">
        <is>
          <t>06002</t>
        </is>
      </c>
      <c r="G125" s="7" t="inlineStr">
        <is>
          <t>41100</t>
        </is>
      </c>
      <c r="H125" s="7" t="inlineStr">
        <is>
          <t>C671</t>
        </is>
      </c>
      <c r="I125" s="7" t="inlineStr"/>
      <c r="J125" s="7" t="inlineStr"/>
      <c r="K125" s="7" t="inlineStr"/>
      <c r="L125" s="8" t="n">
        <v>1530340</v>
      </c>
      <c r="M125" s="8" t="n">
        <v>0</v>
      </c>
      <c r="N125" s="7" t="inlineStr"/>
      <c r="O125" s="7" t="inlineStr"/>
      <c r="P125" s="7" t="inlineStr"/>
      <c r="Q125" s="7" t="inlineStr"/>
      <c r="R125" s="7" t="inlineStr"/>
    </row>
    <row r="126">
      <c r="A126" s="7" t="inlineStr">
        <is>
          <t>1</t>
        </is>
      </c>
      <c r="B126" s="7" t="inlineStr">
        <is>
          <t>G00042</t>
        </is>
      </c>
      <c r="C126" s="7" t="inlineStr">
        <is>
          <t>20260204</t>
        </is>
      </c>
      <c r="D126" s="7" t="inlineStr">
        <is>
          <t>N°2026000042</t>
        </is>
      </c>
      <c r="E126" s="7" t="inlineStr">
        <is>
          <t>SPA TMF LOGISTICS</t>
        </is>
      </c>
      <c r="F126" s="7" t="inlineStr">
        <is>
          <t>06002</t>
        </is>
      </c>
      <c r="G126" s="7" t="inlineStr">
        <is>
          <t>70001</t>
        </is>
      </c>
      <c r="H126" s="7" t="inlineStr"/>
      <c r="I126" s="7" t="inlineStr"/>
      <c r="J126" s="7" t="inlineStr"/>
      <c r="K126" s="7" t="inlineStr"/>
      <c r="L126" s="8" t="n">
        <v>0</v>
      </c>
      <c r="M126" s="8" t="n">
        <v>1286000</v>
      </c>
      <c r="N126" s="7" t="inlineStr"/>
      <c r="O126" s="7" t="inlineStr"/>
      <c r="P126" s="7" t="inlineStr"/>
      <c r="Q126" s="7" t="inlineStr"/>
      <c r="R126" s="7" t="inlineStr"/>
    </row>
    <row r="127">
      <c r="A127" s="7" t="inlineStr">
        <is>
          <t>1</t>
        </is>
      </c>
      <c r="B127" s="7" t="inlineStr">
        <is>
          <t>G00042</t>
        </is>
      </c>
      <c r="C127" s="7" t="inlineStr">
        <is>
          <t>20260204</t>
        </is>
      </c>
      <c r="D127" s="7" t="inlineStr">
        <is>
          <t>N°2026000042</t>
        </is>
      </c>
      <c r="E127" s="7" t="inlineStr">
        <is>
          <t>SPA TMF LOGISTICS</t>
        </is>
      </c>
      <c r="F127" s="7" t="inlineStr">
        <is>
          <t>06002</t>
        </is>
      </c>
      <c r="G127" s="7" t="inlineStr">
        <is>
          <t>44517</t>
        </is>
      </c>
      <c r="H127" s="7" t="inlineStr"/>
      <c r="I127" s="7" t="inlineStr"/>
      <c r="J127" s="7" t="inlineStr"/>
      <c r="K127" s="7" t="inlineStr"/>
      <c r="L127" s="8" t="n">
        <v>0</v>
      </c>
      <c r="M127" s="8" t="n">
        <v>244340</v>
      </c>
      <c r="N127" s="7" t="inlineStr"/>
      <c r="O127" s="7" t="inlineStr"/>
      <c r="P127" s="7" t="inlineStr"/>
      <c r="Q127" s="7" t="inlineStr"/>
      <c r="R127" s="7" t="inlineStr"/>
    </row>
    <row r="128">
      <c r="A128" s="7" t="inlineStr">
        <is>
          <t>1</t>
        </is>
      </c>
      <c r="B128" s="7" t="inlineStr">
        <is>
          <t>G00043</t>
        </is>
      </c>
      <c r="C128" s="7" t="inlineStr">
        <is>
          <t>20260206</t>
        </is>
      </c>
      <c r="D128" s="7" t="inlineStr">
        <is>
          <t>N°2026000043</t>
        </is>
      </c>
      <c r="E128" s="7" t="inlineStr">
        <is>
          <t>SARL PETRO BARAKA</t>
        </is>
      </c>
      <c r="F128" s="7" t="inlineStr">
        <is>
          <t>06002</t>
        </is>
      </c>
      <c r="G128" s="7" t="inlineStr">
        <is>
          <t>41100</t>
        </is>
      </c>
      <c r="H128" s="7" t="inlineStr">
        <is>
          <t>C1075</t>
        </is>
      </c>
      <c r="I128" s="7" t="inlineStr"/>
      <c r="J128" s="7" t="inlineStr"/>
      <c r="K128" s="7" t="inlineStr"/>
      <c r="L128" s="8" t="n">
        <v>1063860</v>
      </c>
      <c r="M128" s="8" t="n">
        <v>0</v>
      </c>
      <c r="N128" s="7" t="inlineStr"/>
      <c r="O128" s="7" t="inlineStr"/>
      <c r="P128" s="7" t="inlineStr"/>
      <c r="Q128" s="7" t="inlineStr"/>
      <c r="R128" s="7" t="inlineStr"/>
    </row>
    <row r="129">
      <c r="A129" s="7" t="inlineStr">
        <is>
          <t>1</t>
        </is>
      </c>
      <c r="B129" s="7" t="inlineStr">
        <is>
          <t>G00043</t>
        </is>
      </c>
      <c r="C129" s="7" t="inlineStr">
        <is>
          <t>20260206</t>
        </is>
      </c>
      <c r="D129" s="7" t="inlineStr">
        <is>
          <t>N°2026000043</t>
        </is>
      </c>
      <c r="E129" s="7" t="inlineStr">
        <is>
          <t>SARL PETRO BARAKA</t>
        </is>
      </c>
      <c r="F129" s="7" t="inlineStr">
        <is>
          <t>06002</t>
        </is>
      </c>
      <c r="G129" s="7" t="inlineStr">
        <is>
          <t>70001</t>
        </is>
      </c>
      <c r="H129" s="7" t="inlineStr"/>
      <c r="I129" s="7" t="inlineStr"/>
      <c r="J129" s="7" t="inlineStr"/>
      <c r="K129" s="7" t="inlineStr"/>
      <c r="L129" s="8" t="n">
        <v>0</v>
      </c>
      <c r="M129" s="8" t="n">
        <v>894000</v>
      </c>
      <c r="N129" s="7" t="inlineStr"/>
      <c r="O129" s="7" t="inlineStr"/>
      <c r="P129" s="7" t="inlineStr"/>
      <c r="Q129" s="7" t="inlineStr"/>
      <c r="R129" s="7" t="inlineStr"/>
    </row>
    <row r="130">
      <c r="A130" s="7" t="inlineStr">
        <is>
          <t>1</t>
        </is>
      </c>
      <c r="B130" s="7" t="inlineStr">
        <is>
          <t>G00043</t>
        </is>
      </c>
      <c r="C130" s="7" t="inlineStr">
        <is>
          <t>20260206</t>
        </is>
      </c>
      <c r="D130" s="7" t="inlineStr">
        <is>
          <t>N°2026000043</t>
        </is>
      </c>
      <c r="E130" s="7" t="inlineStr">
        <is>
          <t>SARL PETRO BARAKA</t>
        </is>
      </c>
      <c r="F130" s="7" t="inlineStr">
        <is>
          <t>06002</t>
        </is>
      </c>
      <c r="G130" s="7" t="inlineStr">
        <is>
          <t>44517</t>
        </is>
      </c>
      <c r="H130" s="7" t="inlineStr"/>
      <c r="I130" s="7" t="inlineStr"/>
      <c r="J130" s="7" t="inlineStr"/>
      <c r="K130" s="7" t="inlineStr"/>
      <c r="L130" s="8" t="n">
        <v>0</v>
      </c>
      <c r="M130" s="8" t="n">
        <v>169860</v>
      </c>
      <c r="N130" s="7" t="inlineStr"/>
      <c r="O130" s="7" t="inlineStr"/>
      <c r="P130" s="7" t="inlineStr"/>
      <c r="Q130" s="7" t="inlineStr"/>
      <c r="R130" s="7" t="inlineStr"/>
    </row>
    <row r="131">
      <c r="A131" s="7" t="inlineStr">
        <is>
          <t>1</t>
        </is>
      </c>
      <c r="B131" s="7" t="inlineStr">
        <is>
          <t>G00044</t>
        </is>
      </c>
      <c r="C131" s="7" t="inlineStr">
        <is>
          <t>20260208</t>
        </is>
      </c>
      <c r="D131" s="7" t="inlineStr">
        <is>
          <t>N°2026000044</t>
        </is>
      </c>
      <c r="E131" s="7" t="inlineStr">
        <is>
          <t>BENAMARA MOHAMMED</t>
        </is>
      </c>
      <c r="F131" s="7" t="inlineStr">
        <is>
          <t>06002</t>
        </is>
      </c>
      <c r="G131" s="7" t="inlineStr">
        <is>
          <t>41100</t>
        </is>
      </c>
      <c r="H131" s="7" t="inlineStr">
        <is>
          <t>C900</t>
        </is>
      </c>
      <c r="I131" s="7" t="inlineStr"/>
      <c r="J131" s="7" t="inlineStr"/>
      <c r="K131" s="7" t="inlineStr"/>
      <c r="L131" s="8" t="n">
        <v>995067.48</v>
      </c>
      <c r="M131" s="8" t="n">
        <v>0</v>
      </c>
      <c r="N131" s="7" t="inlineStr"/>
      <c r="O131" s="7" t="inlineStr"/>
      <c r="P131" s="7" t="inlineStr"/>
      <c r="Q131" s="7" t="inlineStr"/>
      <c r="R131" s="7" t="inlineStr"/>
    </row>
    <row r="132">
      <c r="A132" s="7" t="inlineStr">
        <is>
          <t>1</t>
        </is>
      </c>
      <c r="B132" s="7" t="inlineStr">
        <is>
          <t>G00044</t>
        </is>
      </c>
      <c r="C132" s="7" t="inlineStr">
        <is>
          <t>20260208</t>
        </is>
      </c>
      <c r="D132" s="7" t="inlineStr">
        <is>
          <t>N°2026000044</t>
        </is>
      </c>
      <c r="E132" s="7" t="inlineStr">
        <is>
          <t>BENAMARA MOHAMMED</t>
        </is>
      </c>
      <c r="F132" s="7" t="inlineStr">
        <is>
          <t>06002</t>
        </is>
      </c>
      <c r="G132" s="7" t="inlineStr">
        <is>
          <t>70001</t>
        </is>
      </c>
      <c r="H132" s="7" t="inlineStr"/>
      <c r="I132" s="7" t="inlineStr"/>
      <c r="J132" s="7" t="inlineStr"/>
      <c r="K132" s="7" t="inlineStr"/>
      <c r="L132" s="8" t="n">
        <v>0</v>
      </c>
      <c r="M132" s="8" t="n">
        <v>836191.16</v>
      </c>
      <c r="N132" s="7" t="inlineStr"/>
      <c r="O132" s="7" t="inlineStr"/>
      <c r="P132" s="7" t="inlineStr"/>
      <c r="Q132" s="7" t="inlineStr"/>
      <c r="R132" s="7" t="inlineStr"/>
    </row>
    <row r="133">
      <c r="A133" s="7" t="inlineStr">
        <is>
          <t>1</t>
        </is>
      </c>
      <c r="B133" s="7" t="inlineStr">
        <is>
          <t>G00044</t>
        </is>
      </c>
      <c r="C133" s="7" t="inlineStr">
        <is>
          <t>20260208</t>
        </is>
      </c>
      <c r="D133" s="7" t="inlineStr">
        <is>
          <t>N°2026000044</t>
        </is>
      </c>
      <c r="E133" s="7" t="inlineStr">
        <is>
          <t>BENAMARA MOHAMMED</t>
        </is>
      </c>
      <c r="F133" s="7" t="inlineStr">
        <is>
          <t>06002</t>
        </is>
      </c>
      <c r="G133" s="7" t="inlineStr">
        <is>
          <t>44517</t>
        </is>
      </c>
      <c r="H133" s="7" t="inlineStr"/>
      <c r="I133" s="7" t="inlineStr"/>
      <c r="J133" s="7" t="inlineStr"/>
      <c r="K133" s="7" t="inlineStr"/>
      <c r="L133" s="8" t="n">
        <v>0</v>
      </c>
      <c r="M133" s="8" t="n">
        <v>158876.32</v>
      </c>
      <c r="N133" s="7" t="inlineStr"/>
      <c r="O133" s="7" t="inlineStr"/>
      <c r="P133" s="7" t="inlineStr"/>
      <c r="Q133" s="7" t="inlineStr"/>
      <c r="R133" s="7" t="inlineStr"/>
    </row>
    <row r="134">
      <c r="A134" s="7" t="inlineStr">
        <is>
          <t>1</t>
        </is>
      </c>
      <c r="B134" s="7" t="inlineStr">
        <is>
          <t>G00045</t>
        </is>
      </c>
      <c r="C134" s="7" t="inlineStr">
        <is>
          <t>20260209</t>
        </is>
      </c>
      <c r="D134" s="7" t="inlineStr">
        <is>
          <t>N°2026000045</t>
        </is>
      </c>
      <c r="E134" s="7" t="inlineStr">
        <is>
          <t>BENAMARA SOFIANE</t>
        </is>
      </c>
      <c r="F134" s="7" t="inlineStr">
        <is>
          <t>06002</t>
        </is>
      </c>
      <c r="G134" s="7" t="inlineStr">
        <is>
          <t>41100</t>
        </is>
      </c>
      <c r="H134" s="7" t="inlineStr">
        <is>
          <t>C631</t>
        </is>
      </c>
      <c r="I134" s="7" t="inlineStr"/>
      <c r="J134" s="7" t="inlineStr"/>
      <c r="K134" s="7" t="inlineStr"/>
      <c r="L134" s="8" t="n">
        <v>998257.67</v>
      </c>
      <c r="M134" s="8" t="n">
        <v>0</v>
      </c>
      <c r="N134" s="7" t="inlineStr"/>
      <c r="O134" s="7" t="inlineStr"/>
      <c r="P134" s="7" t="inlineStr"/>
      <c r="Q134" s="7" t="inlineStr"/>
      <c r="R134" s="7" t="inlineStr"/>
    </row>
    <row r="135">
      <c r="A135" s="7" t="inlineStr">
        <is>
          <t>1</t>
        </is>
      </c>
      <c r="B135" s="7" t="inlineStr">
        <is>
          <t>G00045</t>
        </is>
      </c>
      <c r="C135" s="7" t="inlineStr">
        <is>
          <t>20260209</t>
        </is>
      </c>
      <c r="D135" s="7" t="inlineStr">
        <is>
          <t>N°2026000045</t>
        </is>
      </c>
      <c r="E135" s="7" t="inlineStr">
        <is>
          <t>BENAMARA SOFIANE</t>
        </is>
      </c>
      <c r="F135" s="7" t="inlineStr">
        <is>
          <t>06002</t>
        </is>
      </c>
      <c r="G135" s="7" t="inlineStr">
        <is>
          <t>70001</t>
        </is>
      </c>
      <c r="H135" s="7" t="inlineStr"/>
      <c r="I135" s="7" t="inlineStr"/>
      <c r="J135" s="7" t="inlineStr"/>
      <c r="K135" s="7" t="inlineStr"/>
      <c r="L135" s="8" t="n">
        <v>0</v>
      </c>
      <c r="M135" s="8" t="n">
        <v>838871.99</v>
      </c>
      <c r="N135" s="7" t="inlineStr"/>
      <c r="O135" s="7" t="inlineStr"/>
      <c r="P135" s="7" t="inlineStr"/>
      <c r="Q135" s="7" t="inlineStr"/>
      <c r="R135" s="7" t="inlineStr"/>
    </row>
    <row r="136">
      <c r="A136" s="7" t="inlineStr">
        <is>
          <t>1</t>
        </is>
      </c>
      <c r="B136" s="7" t="inlineStr">
        <is>
          <t>G00045</t>
        </is>
      </c>
      <c r="C136" s="7" t="inlineStr">
        <is>
          <t>20260209</t>
        </is>
      </c>
      <c r="D136" s="7" t="inlineStr">
        <is>
          <t>N°2026000045</t>
        </is>
      </c>
      <c r="E136" s="7" t="inlineStr">
        <is>
          <t>BENAMARA SOFIANE</t>
        </is>
      </c>
      <c r="F136" s="7" t="inlineStr">
        <is>
          <t>06002</t>
        </is>
      </c>
      <c r="G136" s="7" t="inlineStr">
        <is>
          <t>44517</t>
        </is>
      </c>
      <c r="H136" s="7" t="inlineStr"/>
      <c r="I136" s="7" t="inlineStr"/>
      <c r="J136" s="7" t="inlineStr"/>
      <c r="K136" s="7" t="inlineStr"/>
      <c r="L136" s="8" t="n">
        <v>0</v>
      </c>
      <c r="M136" s="8" t="n">
        <v>159385.68</v>
      </c>
      <c r="N136" s="7" t="inlineStr"/>
      <c r="O136" s="7" t="inlineStr"/>
      <c r="P136" s="7" t="inlineStr"/>
      <c r="Q136" s="7" t="inlineStr"/>
      <c r="R136" s="7" t="inlineStr"/>
    </row>
    <row r="137">
      <c r="A137" s="7" t="inlineStr">
        <is>
          <t>1</t>
        </is>
      </c>
      <c r="B137" s="7" t="inlineStr">
        <is>
          <t>G00046</t>
        </is>
      </c>
      <c r="C137" s="7" t="inlineStr">
        <is>
          <t>20260210</t>
        </is>
      </c>
      <c r="D137" s="7" t="inlineStr">
        <is>
          <t>N°2026000046</t>
        </is>
      </c>
      <c r="E137" s="7" t="inlineStr">
        <is>
          <t>MOHELLEBI MOHAMMED</t>
        </is>
      </c>
      <c r="F137" s="7" t="inlineStr">
        <is>
          <t>06002</t>
        </is>
      </c>
      <c r="G137" s="7" t="inlineStr">
        <is>
          <t>41100</t>
        </is>
      </c>
      <c r="H137" s="7" t="inlineStr">
        <is>
          <t>C599</t>
        </is>
      </c>
      <c r="I137" s="7" t="inlineStr"/>
      <c r="J137" s="7" t="inlineStr"/>
      <c r="K137" s="7" t="inlineStr"/>
      <c r="L137" s="8" t="n">
        <v>43458.18</v>
      </c>
      <c r="M137" s="8" t="n">
        <v>0</v>
      </c>
      <c r="N137" s="7" t="inlineStr"/>
      <c r="O137" s="7" t="inlineStr"/>
      <c r="P137" s="7" t="inlineStr"/>
      <c r="Q137" s="7" t="inlineStr"/>
      <c r="R137" s="7" t="inlineStr"/>
    </row>
    <row r="138">
      <c r="A138" s="7" t="inlineStr">
        <is>
          <t>1</t>
        </is>
      </c>
      <c r="B138" s="7" t="inlineStr">
        <is>
          <t>G00046</t>
        </is>
      </c>
      <c r="C138" s="7" t="inlineStr">
        <is>
          <t>20260210</t>
        </is>
      </c>
      <c r="D138" s="7" t="inlineStr">
        <is>
          <t>N°2026000046</t>
        </is>
      </c>
      <c r="E138" s="7" t="inlineStr">
        <is>
          <t>MOHELLEBI MOHAMMED</t>
        </is>
      </c>
      <c r="F138" s="7" t="inlineStr">
        <is>
          <t>06002</t>
        </is>
      </c>
      <c r="G138" s="7" t="inlineStr">
        <is>
          <t>70001</t>
        </is>
      </c>
      <c r="H138" s="7" t="inlineStr"/>
      <c r="I138" s="7" t="inlineStr"/>
      <c r="J138" s="7" t="inlineStr"/>
      <c r="K138" s="7" t="inlineStr"/>
      <c r="L138" s="8" t="n">
        <v>0</v>
      </c>
      <c r="M138" s="8" t="n">
        <v>36519.48</v>
      </c>
      <c r="N138" s="7" t="inlineStr"/>
      <c r="O138" s="7" t="inlineStr"/>
      <c r="P138" s="7" t="inlineStr"/>
      <c r="Q138" s="7" t="inlineStr"/>
      <c r="R138" s="7" t="inlineStr"/>
    </row>
    <row r="139">
      <c r="A139" s="7" t="inlineStr">
        <is>
          <t>1</t>
        </is>
      </c>
      <c r="B139" s="7" t="inlineStr">
        <is>
          <t>G00046</t>
        </is>
      </c>
      <c r="C139" s="7" t="inlineStr">
        <is>
          <t>20260210</t>
        </is>
      </c>
      <c r="D139" s="7" t="inlineStr">
        <is>
          <t>N°2026000046</t>
        </is>
      </c>
      <c r="E139" s="7" t="inlineStr">
        <is>
          <t>MOHELLEBI MOHAMMED</t>
        </is>
      </c>
      <c r="F139" s="7" t="inlineStr">
        <is>
          <t>06002</t>
        </is>
      </c>
      <c r="G139" s="7" t="inlineStr">
        <is>
          <t>44517</t>
        </is>
      </c>
      <c r="H139" s="7" t="inlineStr"/>
      <c r="I139" s="7" t="inlineStr"/>
      <c r="J139" s="7" t="inlineStr"/>
      <c r="K139" s="7" t="inlineStr"/>
      <c r="L139" s="8" t="n">
        <v>0</v>
      </c>
      <c r="M139" s="8" t="n">
        <v>6938.7</v>
      </c>
      <c r="N139" s="7" t="inlineStr"/>
      <c r="O139" s="7" t="inlineStr"/>
      <c r="P139" s="7" t="inlineStr"/>
      <c r="Q139" s="7" t="inlineStr"/>
      <c r="R139" s="7" t="inlineStr"/>
    </row>
    <row r="140">
      <c r="A140" s="7" t="inlineStr">
        <is>
          <t>1</t>
        </is>
      </c>
      <c r="B140" s="7" t="inlineStr">
        <is>
          <t>G00047</t>
        </is>
      </c>
      <c r="C140" s="7" t="inlineStr">
        <is>
          <t>20260211</t>
        </is>
      </c>
      <c r="D140" s="7" t="inlineStr">
        <is>
          <t>N°2026000047</t>
        </is>
      </c>
      <c r="E140" s="7" t="inlineStr">
        <is>
          <t>EURL TERRENO TRANS</t>
        </is>
      </c>
      <c r="F140" s="7" t="inlineStr">
        <is>
          <t>06002</t>
        </is>
      </c>
      <c r="G140" s="7" t="inlineStr">
        <is>
          <t>41100</t>
        </is>
      </c>
      <c r="H140" s="7" t="inlineStr">
        <is>
          <t>C959</t>
        </is>
      </c>
      <c r="I140" s="7" t="inlineStr"/>
      <c r="J140" s="7" t="inlineStr"/>
      <c r="K140" s="7" t="inlineStr"/>
      <c r="L140" s="8" t="n">
        <v>1309000</v>
      </c>
      <c r="M140" s="8" t="n">
        <v>0</v>
      </c>
      <c r="N140" s="7" t="inlineStr"/>
      <c r="O140" s="7" t="inlineStr"/>
      <c r="P140" s="7" t="inlineStr"/>
      <c r="Q140" s="7" t="inlineStr"/>
      <c r="R140" s="7" t="inlineStr"/>
    </row>
    <row r="141">
      <c r="A141" s="7" t="inlineStr">
        <is>
          <t>1</t>
        </is>
      </c>
      <c r="B141" s="7" t="inlineStr">
        <is>
          <t>G00047</t>
        </is>
      </c>
      <c r="C141" s="7" t="inlineStr">
        <is>
          <t>20260211</t>
        </is>
      </c>
      <c r="D141" s="7" t="inlineStr">
        <is>
          <t>N°2026000047</t>
        </is>
      </c>
      <c r="E141" s="7" t="inlineStr">
        <is>
          <t>EURL TERRENO TRANS</t>
        </is>
      </c>
      <c r="F141" s="7" t="inlineStr">
        <is>
          <t>06002</t>
        </is>
      </c>
      <c r="G141" s="7" t="inlineStr">
        <is>
          <t>70001</t>
        </is>
      </c>
      <c r="H141" s="7" t="inlineStr"/>
      <c r="I141" s="7" t="inlineStr"/>
      <c r="J141" s="7" t="inlineStr"/>
      <c r="K141" s="7" t="inlineStr"/>
      <c r="L141" s="8" t="n">
        <v>0</v>
      </c>
      <c r="M141" s="8" t="n">
        <v>1100000</v>
      </c>
      <c r="N141" s="7" t="inlineStr"/>
      <c r="O141" s="7" t="inlineStr"/>
      <c r="P141" s="7" t="inlineStr"/>
      <c r="Q141" s="7" t="inlineStr"/>
      <c r="R141" s="7" t="inlineStr"/>
    </row>
    <row r="142">
      <c r="A142" s="7" t="inlineStr">
        <is>
          <t>1</t>
        </is>
      </c>
      <c r="B142" s="7" t="inlineStr">
        <is>
          <t>G00047</t>
        </is>
      </c>
      <c r="C142" s="7" t="inlineStr">
        <is>
          <t>20260211</t>
        </is>
      </c>
      <c r="D142" s="7" t="inlineStr">
        <is>
          <t>N°2026000047</t>
        </is>
      </c>
      <c r="E142" s="7" t="inlineStr">
        <is>
          <t>EURL TERRENO TRANS</t>
        </is>
      </c>
      <c r="F142" s="7" t="inlineStr">
        <is>
          <t>06002</t>
        </is>
      </c>
      <c r="G142" s="7" t="inlineStr">
        <is>
          <t>44517</t>
        </is>
      </c>
      <c r="H142" s="7" t="inlineStr"/>
      <c r="I142" s="7" t="inlineStr"/>
      <c r="J142" s="7" t="inlineStr"/>
      <c r="K142" s="7" t="inlineStr"/>
      <c r="L142" s="8" t="n">
        <v>0</v>
      </c>
      <c r="M142" s="8" t="n">
        <v>209000</v>
      </c>
      <c r="N142" s="7" t="inlineStr"/>
      <c r="O142" s="7" t="inlineStr"/>
      <c r="P142" s="7" t="inlineStr"/>
      <c r="Q142" s="7" t="inlineStr"/>
      <c r="R142" s="7" t="inlineStr"/>
    </row>
    <row r="143">
      <c r="A143" s="7" t="inlineStr">
        <is>
          <t>1</t>
        </is>
      </c>
      <c r="B143" s="7" t="inlineStr">
        <is>
          <t>G00048</t>
        </is>
      </c>
      <c r="C143" s="7" t="inlineStr">
        <is>
          <t>20260212</t>
        </is>
      </c>
      <c r="D143" s="7" t="inlineStr">
        <is>
          <t>N°2026000048</t>
        </is>
      </c>
      <c r="E143" s="7" t="inlineStr">
        <is>
          <t>SARL BEJAIA LOGISTIQUE</t>
        </is>
      </c>
      <c r="F143" s="7" t="inlineStr">
        <is>
          <t>06002</t>
        </is>
      </c>
      <c r="G143" s="7" t="inlineStr">
        <is>
          <t>41100</t>
        </is>
      </c>
      <c r="H143" s="7" t="inlineStr">
        <is>
          <t>C708</t>
        </is>
      </c>
      <c r="I143" s="7" t="inlineStr"/>
      <c r="J143" s="7" t="inlineStr"/>
      <c r="K143" s="7" t="inlineStr"/>
      <c r="L143" s="8" t="n">
        <v>130900</v>
      </c>
      <c r="M143" s="8" t="n">
        <v>0</v>
      </c>
      <c r="N143" s="7" t="inlineStr"/>
      <c r="O143" s="7" t="inlineStr"/>
      <c r="P143" s="7" t="inlineStr"/>
      <c r="Q143" s="7" t="inlineStr"/>
      <c r="R143" s="7" t="inlineStr"/>
    </row>
    <row r="144">
      <c r="A144" s="7" t="inlineStr">
        <is>
          <t>1</t>
        </is>
      </c>
      <c r="B144" s="7" t="inlineStr">
        <is>
          <t>G00048</t>
        </is>
      </c>
      <c r="C144" s="7" t="inlineStr">
        <is>
          <t>20260212</t>
        </is>
      </c>
      <c r="D144" s="7" t="inlineStr">
        <is>
          <t>N°2026000048</t>
        </is>
      </c>
      <c r="E144" s="7" t="inlineStr">
        <is>
          <t>SARL BEJAIA LOGISTIQUE</t>
        </is>
      </c>
      <c r="F144" s="7" t="inlineStr">
        <is>
          <t>06002</t>
        </is>
      </c>
      <c r="G144" s="7" t="inlineStr">
        <is>
          <t>70001</t>
        </is>
      </c>
      <c r="H144" s="7" t="inlineStr"/>
      <c r="I144" s="7" t="inlineStr"/>
      <c r="J144" s="7" t="inlineStr"/>
      <c r="K144" s="7" t="inlineStr"/>
      <c r="L144" s="8" t="n">
        <v>0</v>
      </c>
      <c r="M144" s="8" t="n">
        <v>110000</v>
      </c>
      <c r="N144" s="7" t="inlineStr"/>
      <c r="O144" s="7" t="inlineStr"/>
      <c r="P144" s="7" t="inlineStr"/>
      <c r="Q144" s="7" t="inlineStr"/>
      <c r="R144" s="7" t="inlineStr"/>
    </row>
    <row r="145">
      <c r="A145" s="7" t="inlineStr">
        <is>
          <t>1</t>
        </is>
      </c>
      <c r="B145" s="7" t="inlineStr">
        <is>
          <t>G00048</t>
        </is>
      </c>
      <c r="C145" s="7" t="inlineStr">
        <is>
          <t>20260212</t>
        </is>
      </c>
      <c r="D145" s="7" t="inlineStr">
        <is>
          <t>N°2026000048</t>
        </is>
      </c>
      <c r="E145" s="7" t="inlineStr">
        <is>
          <t>SARL BEJAIA LOGISTIQUE</t>
        </is>
      </c>
      <c r="F145" s="7" t="inlineStr">
        <is>
          <t>06002</t>
        </is>
      </c>
      <c r="G145" s="7" t="inlineStr">
        <is>
          <t>44517</t>
        </is>
      </c>
      <c r="H145" s="7" t="inlineStr"/>
      <c r="I145" s="7" t="inlineStr"/>
      <c r="J145" s="7" t="inlineStr"/>
      <c r="K145" s="7" t="inlineStr"/>
      <c r="L145" s="8" t="n">
        <v>0</v>
      </c>
      <c r="M145" s="8" t="n">
        <v>20900</v>
      </c>
      <c r="N145" s="7" t="inlineStr"/>
      <c r="O145" s="7" t="inlineStr"/>
      <c r="P145" s="7" t="inlineStr"/>
      <c r="Q145" s="7" t="inlineStr"/>
      <c r="R145" s="7" t="inlineStr"/>
    </row>
    <row r="146">
      <c r="A146" s="7" t="inlineStr">
        <is>
          <t>1</t>
        </is>
      </c>
      <c r="B146" s="7" t="inlineStr">
        <is>
          <t>G00049</t>
        </is>
      </c>
      <c r="C146" s="7" t="inlineStr">
        <is>
          <t>20260216</t>
        </is>
      </c>
      <c r="D146" s="7" t="inlineStr">
        <is>
          <t>N°2026000049</t>
        </is>
      </c>
      <c r="E146" s="7" t="inlineStr">
        <is>
          <t>SARL ECI  BOUDIAB</t>
        </is>
      </c>
      <c r="F146" s="7" t="inlineStr">
        <is>
          <t>06002</t>
        </is>
      </c>
      <c r="G146" s="7" t="inlineStr">
        <is>
          <t>41100</t>
        </is>
      </c>
      <c r="H146" s="7" t="inlineStr">
        <is>
          <t>C1076</t>
        </is>
      </c>
      <c r="I146" s="7" t="inlineStr"/>
      <c r="J146" s="7" t="inlineStr"/>
      <c r="K146" s="7" t="inlineStr"/>
      <c r="L146" s="8" t="n">
        <v>211820</v>
      </c>
      <c r="M146" s="8" t="n">
        <v>0</v>
      </c>
      <c r="N146" s="7" t="inlineStr"/>
      <c r="O146" s="7" t="inlineStr"/>
      <c r="P146" s="7" t="inlineStr"/>
      <c r="Q146" s="7" t="inlineStr"/>
      <c r="R146" s="7" t="inlineStr"/>
    </row>
    <row r="147">
      <c r="A147" s="7" t="inlineStr">
        <is>
          <t>1</t>
        </is>
      </c>
      <c r="B147" s="7" t="inlineStr">
        <is>
          <t>G00049</t>
        </is>
      </c>
      <c r="C147" s="7" t="inlineStr">
        <is>
          <t>20260216</t>
        </is>
      </c>
      <c r="D147" s="7" t="inlineStr">
        <is>
          <t>N°2026000049</t>
        </is>
      </c>
      <c r="E147" s="7" t="inlineStr">
        <is>
          <t>SARL ECI  BOUDIAB</t>
        </is>
      </c>
      <c r="F147" s="7" t="inlineStr">
        <is>
          <t>06002</t>
        </is>
      </c>
      <c r="G147" s="7" t="inlineStr">
        <is>
          <t>70001</t>
        </is>
      </c>
      <c r="H147" s="7" t="inlineStr"/>
      <c r="I147" s="7" t="inlineStr"/>
      <c r="J147" s="7" t="inlineStr"/>
      <c r="K147" s="7" t="inlineStr"/>
      <c r="L147" s="8" t="n">
        <v>0</v>
      </c>
      <c r="M147" s="8" t="n">
        <v>178000</v>
      </c>
      <c r="N147" s="7" t="inlineStr"/>
      <c r="O147" s="7" t="inlineStr"/>
      <c r="P147" s="7" t="inlineStr"/>
      <c r="Q147" s="7" t="inlineStr"/>
      <c r="R147" s="7" t="inlineStr"/>
    </row>
    <row r="148">
      <c r="A148" s="7" t="inlineStr">
        <is>
          <t>1</t>
        </is>
      </c>
      <c r="B148" s="7" t="inlineStr">
        <is>
          <t>G00049</t>
        </is>
      </c>
      <c r="C148" s="7" t="inlineStr">
        <is>
          <t>20260216</t>
        </is>
      </c>
      <c r="D148" s="7" t="inlineStr">
        <is>
          <t>N°2026000049</t>
        </is>
      </c>
      <c r="E148" s="7" t="inlineStr">
        <is>
          <t>SARL ECI  BOUDIAB</t>
        </is>
      </c>
      <c r="F148" s="7" t="inlineStr">
        <is>
          <t>06002</t>
        </is>
      </c>
      <c r="G148" s="7" t="inlineStr">
        <is>
          <t>44517</t>
        </is>
      </c>
      <c r="H148" s="7" t="inlineStr"/>
      <c r="I148" s="7" t="inlineStr"/>
      <c r="J148" s="7" t="inlineStr"/>
      <c r="K148" s="7" t="inlineStr"/>
      <c r="L148" s="8" t="n">
        <v>0</v>
      </c>
      <c r="M148" s="8" t="n">
        <v>33820</v>
      </c>
      <c r="N148" s="7" t="inlineStr"/>
      <c r="O148" s="7" t="inlineStr"/>
      <c r="P148" s="7" t="inlineStr"/>
      <c r="Q148" s="7" t="inlineStr"/>
      <c r="R148" s="7" t="inlineStr"/>
    </row>
    <row r="149">
      <c r="A149" s="7" t="inlineStr">
        <is>
          <t>1</t>
        </is>
      </c>
      <c r="B149" s="7" t="inlineStr">
        <is>
          <t>G00050</t>
        </is>
      </c>
      <c r="C149" s="7" t="inlineStr">
        <is>
          <t>20260218</t>
        </is>
      </c>
      <c r="D149" s="7" t="inlineStr">
        <is>
          <t>N°2026000050</t>
        </is>
      </c>
      <c r="E149" s="7" t="inlineStr">
        <is>
          <t>SARL ECI  BOUDIAB</t>
        </is>
      </c>
      <c r="F149" s="7" t="inlineStr">
        <is>
          <t>06002</t>
        </is>
      </c>
      <c r="G149" s="7" t="inlineStr">
        <is>
          <t>41100</t>
        </is>
      </c>
      <c r="H149" s="7" t="inlineStr">
        <is>
          <t>C1076</t>
        </is>
      </c>
      <c r="I149" s="7" t="inlineStr"/>
      <c r="J149" s="7" t="inlineStr"/>
      <c r="K149" s="7" t="inlineStr"/>
      <c r="L149" s="8" t="n">
        <v>476000</v>
      </c>
      <c r="M149" s="8" t="n">
        <v>0</v>
      </c>
      <c r="N149" s="7" t="inlineStr"/>
      <c r="O149" s="7" t="inlineStr"/>
      <c r="P149" s="7" t="inlineStr"/>
      <c r="Q149" s="7" t="inlineStr"/>
      <c r="R149" s="7" t="inlineStr"/>
    </row>
    <row r="150">
      <c r="A150" s="7" t="inlineStr">
        <is>
          <t>1</t>
        </is>
      </c>
      <c r="B150" s="7" t="inlineStr">
        <is>
          <t>G00050</t>
        </is>
      </c>
      <c r="C150" s="7" t="inlineStr">
        <is>
          <t>20260218</t>
        </is>
      </c>
      <c r="D150" s="7" t="inlineStr">
        <is>
          <t>N°2026000050</t>
        </is>
      </c>
      <c r="E150" s="7" t="inlineStr">
        <is>
          <t>SARL ECI  BOUDIAB</t>
        </is>
      </c>
      <c r="F150" s="7" t="inlineStr">
        <is>
          <t>06002</t>
        </is>
      </c>
      <c r="G150" s="7" t="inlineStr">
        <is>
          <t>70001</t>
        </is>
      </c>
      <c r="H150" s="7" t="inlineStr"/>
      <c r="I150" s="7" t="inlineStr"/>
      <c r="J150" s="7" t="inlineStr"/>
      <c r="K150" s="7" t="inlineStr"/>
      <c r="L150" s="8" t="n">
        <v>0</v>
      </c>
      <c r="M150" s="8" t="n">
        <v>400000</v>
      </c>
      <c r="N150" s="7" t="inlineStr"/>
      <c r="O150" s="7" t="inlineStr"/>
      <c r="P150" s="7" t="inlineStr"/>
      <c r="Q150" s="7" t="inlineStr"/>
      <c r="R150" s="7" t="inlineStr"/>
    </row>
    <row r="151">
      <c r="A151" s="7" t="inlineStr">
        <is>
          <t>1</t>
        </is>
      </c>
      <c r="B151" s="7" t="inlineStr">
        <is>
          <t>G00050</t>
        </is>
      </c>
      <c r="C151" s="7" t="inlineStr">
        <is>
          <t>20260218</t>
        </is>
      </c>
      <c r="D151" s="7" t="inlineStr">
        <is>
          <t>N°2026000050</t>
        </is>
      </c>
      <c r="E151" s="7" t="inlineStr">
        <is>
          <t>SARL ECI  BOUDIAB</t>
        </is>
      </c>
      <c r="F151" s="7" t="inlineStr">
        <is>
          <t>06002</t>
        </is>
      </c>
      <c r="G151" s="7" t="inlineStr">
        <is>
          <t>44517</t>
        </is>
      </c>
      <c r="H151" s="7" t="inlineStr"/>
      <c r="I151" s="7" t="inlineStr"/>
      <c r="J151" s="7" t="inlineStr"/>
      <c r="K151" s="7" t="inlineStr"/>
      <c r="L151" s="8" t="n">
        <v>0</v>
      </c>
      <c r="M151" s="8" t="n">
        <v>76000</v>
      </c>
      <c r="N151" s="7" t="inlineStr"/>
      <c r="O151" s="7" t="inlineStr"/>
      <c r="P151" s="7" t="inlineStr"/>
      <c r="Q151" s="7" t="inlineStr"/>
      <c r="R151" s="7" t="inlineStr"/>
    </row>
    <row r="152">
      <c r="A152" s="7" t="inlineStr">
        <is>
          <t>1</t>
        </is>
      </c>
      <c r="B152" s="7" t="inlineStr">
        <is>
          <t>G00051</t>
        </is>
      </c>
      <c r="C152" s="7" t="inlineStr">
        <is>
          <t>20260222</t>
        </is>
      </c>
      <c r="D152" s="7" t="inlineStr">
        <is>
          <t>N°2026000051</t>
        </is>
      </c>
      <c r="E152" s="7" t="inlineStr">
        <is>
          <t>SARL BEJAIA LOGISTIQUE</t>
        </is>
      </c>
      <c r="F152" s="7" t="inlineStr">
        <is>
          <t>06002</t>
        </is>
      </c>
      <c r="G152" s="7" t="inlineStr">
        <is>
          <t>41100</t>
        </is>
      </c>
      <c r="H152" s="7" t="inlineStr">
        <is>
          <t>C708</t>
        </is>
      </c>
      <c r="I152" s="7" t="inlineStr"/>
      <c r="J152" s="7" t="inlineStr"/>
      <c r="K152" s="7" t="inlineStr"/>
      <c r="L152" s="8" t="n">
        <v>158270</v>
      </c>
      <c r="M152" s="8" t="n">
        <v>0</v>
      </c>
      <c r="N152" s="7" t="inlineStr"/>
      <c r="O152" s="7" t="inlineStr"/>
      <c r="P152" s="7" t="inlineStr"/>
      <c r="Q152" s="7" t="inlineStr"/>
      <c r="R152" s="7" t="inlineStr"/>
    </row>
    <row r="153">
      <c r="A153" s="7" t="inlineStr">
        <is>
          <t>1</t>
        </is>
      </c>
      <c r="B153" s="7" t="inlineStr">
        <is>
          <t>G00051</t>
        </is>
      </c>
      <c r="C153" s="7" t="inlineStr">
        <is>
          <t>20260222</t>
        </is>
      </c>
      <c r="D153" s="7" t="inlineStr">
        <is>
          <t>N°2026000051</t>
        </is>
      </c>
      <c r="E153" s="7" t="inlineStr">
        <is>
          <t>SARL BEJAIA LOGISTIQUE</t>
        </is>
      </c>
      <c r="F153" s="7" t="inlineStr">
        <is>
          <t>06002</t>
        </is>
      </c>
      <c r="G153" s="7" t="inlineStr">
        <is>
          <t>70001</t>
        </is>
      </c>
      <c r="H153" s="7" t="inlineStr"/>
      <c r="I153" s="7" t="inlineStr"/>
      <c r="J153" s="7" t="inlineStr"/>
      <c r="K153" s="7" t="inlineStr"/>
      <c r="L153" s="8" t="n">
        <v>0</v>
      </c>
      <c r="M153" s="8" t="n">
        <v>133000</v>
      </c>
      <c r="N153" s="7" t="inlineStr"/>
      <c r="O153" s="7" t="inlineStr"/>
      <c r="P153" s="7" t="inlineStr"/>
      <c r="Q153" s="7" t="inlineStr"/>
      <c r="R153" s="7" t="inlineStr"/>
    </row>
    <row r="154">
      <c r="A154" s="7" t="inlineStr">
        <is>
          <t>1</t>
        </is>
      </c>
      <c r="B154" s="7" t="inlineStr">
        <is>
          <t>G00051</t>
        </is>
      </c>
      <c r="C154" s="7" t="inlineStr">
        <is>
          <t>20260222</t>
        </is>
      </c>
      <c r="D154" s="7" t="inlineStr">
        <is>
          <t>N°2026000051</t>
        </is>
      </c>
      <c r="E154" s="7" t="inlineStr">
        <is>
          <t>SARL BEJAIA LOGISTIQUE</t>
        </is>
      </c>
      <c r="F154" s="7" t="inlineStr">
        <is>
          <t>06002</t>
        </is>
      </c>
      <c r="G154" s="7" t="inlineStr">
        <is>
          <t>44517</t>
        </is>
      </c>
      <c r="H154" s="7" t="inlineStr"/>
      <c r="I154" s="7" t="inlineStr"/>
      <c r="J154" s="7" t="inlineStr"/>
      <c r="K154" s="7" t="inlineStr"/>
      <c r="L154" s="8" t="n">
        <v>0</v>
      </c>
      <c r="M154" s="8" t="n">
        <v>25270</v>
      </c>
      <c r="N154" s="7" t="inlineStr"/>
      <c r="O154" s="7" t="inlineStr"/>
      <c r="P154" s="7" t="inlineStr"/>
      <c r="Q154" s="7" t="inlineStr"/>
      <c r="R154" s="7" t="inlineStr"/>
    </row>
    <row r="155">
      <c r="A155" s="7" t="inlineStr">
        <is>
          <t>1</t>
        </is>
      </c>
      <c r="B155" s="7" t="inlineStr">
        <is>
          <t>G00052</t>
        </is>
      </c>
      <c r="C155" s="7" t="inlineStr">
        <is>
          <t>20260222</t>
        </is>
      </c>
      <c r="D155" s="7" t="inlineStr">
        <is>
          <t>N°2026000052</t>
        </is>
      </c>
      <c r="E155" s="7" t="inlineStr">
        <is>
          <t>SARL POIDS LOURDS SERVICE</t>
        </is>
      </c>
      <c r="F155" s="7" t="inlineStr">
        <is>
          <t>06002</t>
        </is>
      </c>
      <c r="G155" s="7" t="inlineStr">
        <is>
          <t>41100</t>
        </is>
      </c>
      <c r="H155" s="7" t="inlineStr">
        <is>
          <t>C1084</t>
        </is>
      </c>
      <c r="I155" s="7" t="inlineStr"/>
      <c r="J155" s="7" t="inlineStr"/>
      <c r="K155" s="7" t="inlineStr"/>
      <c r="L155" s="8" t="n">
        <v>380800</v>
      </c>
      <c r="M155" s="8" t="n">
        <v>0</v>
      </c>
      <c r="N155" s="7" t="inlineStr"/>
      <c r="O155" s="7" t="inlineStr"/>
      <c r="P155" s="7" t="inlineStr"/>
      <c r="Q155" s="7" t="inlineStr"/>
      <c r="R155" s="7" t="inlineStr"/>
    </row>
    <row r="156">
      <c r="A156" s="7" t="inlineStr">
        <is>
          <t>1</t>
        </is>
      </c>
      <c r="B156" s="7" t="inlineStr">
        <is>
          <t>G00052</t>
        </is>
      </c>
      <c r="C156" s="7" t="inlineStr">
        <is>
          <t>20260222</t>
        </is>
      </c>
      <c r="D156" s="7" t="inlineStr">
        <is>
          <t>N°2026000052</t>
        </is>
      </c>
      <c r="E156" s="7" t="inlineStr">
        <is>
          <t>SARL POIDS LOURDS SERVICE</t>
        </is>
      </c>
      <c r="F156" s="7" t="inlineStr">
        <is>
          <t>06002</t>
        </is>
      </c>
      <c r="G156" s="7" t="inlineStr">
        <is>
          <t>70001</t>
        </is>
      </c>
      <c r="H156" s="7" t="inlineStr"/>
      <c r="I156" s="7" t="inlineStr"/>
      <c r="J156" s="7" t="inlineStr"/>
      <c r="K156" s="7" t="inlineStr"/>
      <c r="L156" s="8" t="n">
        <v>0</v>
      </c>
      <c r="M156" s="8" t="n">
        <v>320000</v>
      </c>
      <c r="N156" s="7" t="inlineStr"/>
      <c r="O156" s="7" t="inlineStr"/>
      <c r="P156" s="7" t="inlineStr"/>
      <c r="Q156" s="7" t="inlineStr"/>
      <c r="R156" s="7" t="inlineStr"/>
    </row>
    <row r="157">
      <c r="A157" s="7" t="inlineStr">
        <is>
          <t>1</t>
        </is>
      </c>
      <c r="B157" s="7" t="inlineStr">
        <is>
          <t>G00052</t>
        </is>
      </c>
      <c r="C157" s="7" t="inlineStr">
        <is>
          <t>20260222</t>
        </is>
      </c>
      <c r="D157" s="7" t="inlineStr">
        <is>
          <t>N°2026000052</t>
        </is>
      </c>
      <c r="E157" s="7" t="inlineStr">
        <is>
          <t>SARL POIDS LOURDS SERVICE</t>
        </is>
      </c>
      <c r="F157" s="7" t="inlineStr">
        <is>
          <t>06002</t>
        </is>
      </c>
      <c r="G157" s="7" t="inlineStr">
        <is>
          <t>44517</t>
        </is>
      </c>
      <c r="H157" s="7" t="inlineStr"/>
      <c r="I157" s="7" t="inlineStr"/>
      <c r="J157" s="7" t="inlineStr"/>
      <c r="K157" s="7" t="inlineStr"/>
      <c r="L157" s="8" t="n">
        <v>0</v>
      </c>
      <c r="M157" s="8" t="n">
        <v>60800</v>
      </c>
      <c r="N157" s="7" t="inlineStr"/>
      <c r="O157" s="7" t="inlineStr"/>
      <c r="P157" s="7" t="inlineStr"/>
      <c r="Q157" s="7" t="inlineStr"/>
      <c r="R157" s="7" t="inlineStr"/>
    </row>
    <row r="158">
      <c r="A158" s="7" t="inlineStr">
        <is>
          <t>1</t>
        </is>
      </c>
      <c r="B158" s="7" t="inlineStr">
        <is>
          <t>G00053</t>
        </is>
      </c>
      <c r="C158" s="7" t="inlineStr">
        <is>
          <t>20260223</t>
        </is>
      </c>
      <c r="D158" s="7" t="inlineStr">
        <is>
          <t>N°2026000053</t>
        </is>
      </c>
      <c r="E158" s="7" t="inlineStr">
        <is>
          <t>SARL POIDS LOURDS SERVICE</t>
        </is>
      </c>
      <c r="F158" s="7" t="inlineStr">
        <is>
          <t>06002</t>
        </is>
      </c>
      <c r="G158" s="7" t="inlineStr">
        <is>
          <t>41100</t>
        </is>
      </c>
      <c r="H158" s="7" t="inlineStr">
        <is>
          <t>C1084</t>
        </is>
      </c>
      <c r="I158" s="7" t="inlineStr"/>
      <c r="J158" s="7" t="inlineStr"/>
      <c r="K158" s="7" t="inlineStr"/>
      <c r="L158" s="8" t="n">
        <v>1475600</v>
      </c>
      <c r="M158" s="8" t="n">
        <v>0</v>
      </c>
      <c r="N158" s="7" t="inlineStr"/>
      <c r="O158" s="7" t="inlineStr"/>
      <c r="P158" s="7" t="inlineStr"/>
      <c r="Q158" s="7" t="inlineStr"/>
      <c r="R158" s="7" t="inlineStr"/>
    </row>
    <row r="159">
      <c r="A159" s="7" t="inlineStr">
        <is>
          <t>1</t>
        </is>
      </c>
      <c r="B159" s="7" t="inlineStr">
        <is>
          <t>G00053</t>
        </is>
      </c>
      <c r="C159" s="7" t="inlineStr">
        <is>
          <t>20260223</t>
        </is>
      </c>
      <c r="D159" s="7" t="inlineStr">
        <is>
          <t>N°2026000053</t>
        </is>
      </c>
      <c r="E159" s="7" t="inlineStr">
        <is>
          <t>SARL POIDS LOURDS SERVICE</t>
        </is>
      </c>
      <c r="F159" s="7" t="inlineStr">
        <is>
          <t>06002</t>
        </is>
      </c>
      <c r="G159" s="7" t="inlineStr">
        <is>
          <t>70001</t>
        </is>
      </c>
      <c r="H159" s="7" t="inlineStr"/>
      <c r="I159" s="7" t="inlineStr"/>
      <c r="J159" s="7" t="inlineStr"/>
      <c r="K159" s="7" t="inlineStr"/>
      <c r="L159" s="8" t="n">
        <v>0</v>
      </c>
      <c r="M159" s="8" t="n">
        <v>1240000</v>
      </c>
      <c r="N159" s="7" t="inlineStr"/>
      <c r="O159" s="7" t="inlineStr"/>
      <c r="P159" s="7" t="inlineStr"/>
      <c r="Q159" s="7" t="inlineStr"/>
      <c r="R159" s="7" t="inlineStr"/>
    </row>
    <row r="160">
      <c r="A160" s="7" t="inlineStr">
        <is>
          <t>1</t>
        </is>
      </c>
      <c r="B160" s="7" t="inlineStr">
        <is>
          <t>G00053</t>
        </is>
      </c>
      <c r="C160" s="7" t="inlineStr">
        <is>
          <t>20260223</t>
        </is>
      </c>
      <c r="D160" s="7" t="inlineStr">
        <is>
          <t>N°2026000053</t>
        </is>
      </c>
      <c r="E160" s="7" t="inlineStr">
        <is>
          <t>SARL POIDS LOURDS SERVICE</t>
        </is>
      </c>
      <c r="F160" s="7" t="inlineStr">
        <is>
          <t>06002</t>
        </is>
      </c>
      <c r="G160" s="7" t="inlineStr">
        <is>
          <t>44517</t>
        </is>
      </c>
      <c r="H160" s="7" t="inlineStr"/>
      <c r="I160" s="7" t="inlineStr"/>
      <c r="J160" s="7" t="inlineStr"/>
      <c r="K160" s="7" t="inlineStr"/>
      <c r="L160" s="8" t="n">
        <v>0</v>
      </c>
      <c r="M160" s="8" t="n">
        <v>235600</v>
      </c>
      <c r="N160" s="7" t="inlineStr"/>
      <c r="O160" s="7" t="inlineStr"/>
      <c r="P160" s="7" t="inlineStr"/>
      <c r="Q160" s="7" t="inlineStr"/>
      <c r="R160" s="7" t="inlineStr"/>
    </row>
    <row r="161">
      <c r="A161" s="7" t="inlineStr">
        <is>
          <t>1</t>
        </is>
      </c>
      <c r="B161" s="7" t="inlineStr">
        <is>
          <t>G00054</t>
        </is>
      </c>
      <c r="C161" s="7" t="inlineStr">
        <is>
          <t>20260223</t>
        </is>
      </c>
      <c r="D161" s="7" t="inlineStr">
        <is>
          <t>N°2026000054</t>
        </is>
      </c>
      <c r="E161" s="7" t="inlineStr">
        <is>
          <t>SARL BEJAIA LOGISTIQUE</t>
        </is>
      </c>
      <c r="F161" s="7" t="inlineStr">
        <is>
          <t>06002</t>
        </is>
      </c>
      <c r="G161" s="7" t="inlineStr">
        <is>
          <t>41100</t>
        </is>
      </c>
      <c r="H161" s="7" t="inlineStr">
        <is>
          <t>C708</t>
        </is>
      </c>
      <c r="I161" s="7" t="inlineStr"/>
      <c r="J161" s="7" t="inlineStr"/>
      <c r="K161" s="7" t="inlineStr"/>
      <c r="L161" s="8" t="n">
        <v>182070</v>
      </c>
      <c r="M161" s="8" t="n">
        <v>0</v>
      </c>
      <c r="N161" s="7" t="inlineStr"/>
      <c r="O161" s="7" t="inlineStr"/>
      <c r="P161" s="7" t="inlineStr"/>
      <c r="Q161" s="7" t="inlineStr"/>
      <c r="R161" s="7" t="inlineStr"/>
    </row>
    <row r="162">
      <c r="A162" s="7" t="inlineStr">
        <is>
          <t>1</t>
        </is>
      </c>
      <c r="B162" s="7" t="inlineStr">
        <is>
          <t>G00054</t>
        </is>
      </c>
      <c r="C162" s="7" t="inlineStr">
        <is>
          <t>20260223</t>
        </is>
      </c>
      <c r="D162" s="7" t="inlineStr">
        <is>
          <t>N°2026000054</t>
        </is>
      </c>
      <c r="E162" s="7" t="inlineStr">
        <is>
          <t>SARL BEJAIA LOGISTIQUE</t>
        </is>
      </c>
      <c r="F162" s="7" t="inlineStr">
        <is>
          <t>06002</t>
        </is>
      </c>
      <c r="G162" s="7" t="inlineStr">
        <is>
          <t>70001</t>
        </is>
      </c>
      <c r="H162" s="7" t="inlineStr"/>
      <c r="I162" s="7" t="inlineStr"/>
      <c r="J162" s="7" t="inlineStr"/>
      <c r="K162" s="7" t="inlineStr"/>
      <c r="L162" s="8" t="n">
        <v>0</v>
      </c>
      <c r="M162" s="8" t="n">
        <v>153000</v>
      </c>
      <c r="N162" s="7" t="inlineStr"/>
      <c r="O162" s="7" t="inlineStr"/>
      <c r="P162" s="7" t="inlineStr"/>
      <c r="Q162" s="7" t="inlineStr"/>
      <c r="R162" s="7" t="inlineStr"/>
    </row>
    <row r="163">
      <c r="A163" s="7" t="inlineStr">
        <is>
          <t>1</t>
        </is>
      </c>
      <c r="B163" s="7" t="inlineStr">
        <is>
          <t>G00054</t>
        </is>
      </c>
      <c r="C163" s="7" t="inlineStr">
        <is>
          <t>20260223</t>
        </is>
      </c>
      <c r="D163" s="7" t="inlineStr">
        <is>
          <t>N°2026000054</t>
        </is>
      </c>
      <c r="E163" s="7" t="inlineStr">
        <is>
          <t>SARL BEJAIA LOGISTIQUE</t>
        </is>
      </c>
      <c r="F163" s="7" t="inlineStr">
        <is>
          <t>06002</t>
        </is>
      </c>
      <c r="G163" s="7" t="inlineStr">
        <is>
          <t>44517</t>
        </is>
      </c>
      <c r="H163" s="7" t="inlineStr"/>
      <c r="I163" s="7" t="inlineStr"/>
      <c r="J163" s="7" t="inlineStr"/>
      <c r="K163" s="7" t="inlineStr"/>
      <c r="L163" s="8" t="n">
        <v>0</v>
      </c>
      <c r="M163" s="8" t="n">
        <v>29070</v>
      </c>
      <c r="N163" s="7" t="inlineStr"/>
      <c r="O163" s="7" t="inlineStr"/>
      <c r="P163" s="7" t="inlineStr"/>
      <c r="Q163" s="7" t="inlineStr"/>
      <c r="R163" s="7" t="inlineStr"/>
    </row>
    <row r="164">
      <c r="A164" s="7" t="inlineStr">
        <is>
          <t>1</t>
        </is>
      </c>
      <c r="B164" s="7" t="inlineStr">
        <is>
          <t>G00055</t>
        </is>
      </c>
      <c r="C164" s="7" t="inlineStr">
        <is>
          <t>20260223</t>
        </is>
      </c>
      <c r="D164" s="7" t="inlineStr">
        <is>
          <t>N°2026000055</t>
        </is>
      </c>
      <c r="E164" s="7" t="inlineStr">
        <is>
          <t>SARL BEJAIA LOGISTIQUE</t>
        </is>
      </c>
      <c r="F164" s="7" t="inlineStr">
        <is>
          <t>06002</t>
        </is>
      </c>
      <c r="G164" s="7" t="inlineStr">
        <is>
          <t>41100</t>
        </is>
      </c>
      <c r="H164" s="7" t="inlineStr">
        <is>
          <t>C708</t>
        </is>
      </c>
      <c r="I164" s="7" t="inlineStr"/>
      <c r="J164" s="7" t="inlineStr"/>
      <c r="K164" s="7" t="inlineStr"/>
      <c r="L164" s="8" t="n">
        <v>630105</v>
      </c>
      <c r="M164" s="8" t="n">
        <v>0</v>
      </c>
      <c r="N164" s="7" t="inlineStr"/>
      <c r="O164" s="7" t="inlineStr"/>
      <c r="P164" s="7" t="inlineStr"/>
      <c r="Q164" s="7" t="inlineStr"/>
      <c r="R164" s="7" t="inlineStr"/>
    </row>
    <row r="165">
      <c r="A165" s="7" t="inlineStr">
        <is>
          <t>1</t>
        </is>
      </c>
      <c r="B165" s="7" t="inlineStr">
        <is>
          <t>G00055</t>
        </is>
      </c>
      <c r="C165" s="7" t="inlineStr">
        <is>
          <t>20260223</t>
        </is>
      </c>
      <c r="D165" s="7" t="inlineStr">
        <is>
          <t>N°2026000055</t>
        </is>
      </c>
      <c r="E165" s="7" t="inlineStr">
        <is>
          <t>SARL BEJAIA LOGISTIQUE</t>
        </is>
      </c>
      <c r="F165" s="7" t="inlineStr">
        <is>
          <t>06002</t>
        </is>
      </c>
      <c r="G165" s="7" t="inlineStr">
        <is>
          <t>70001</t>
        </is>
      </c>
      <c r="H165" s="7" t="inlineStr"/>
      <c r="I165" s="7" t="inlineStr"/>
      <c r="J165" s="7" t="inlineStr"/>
      <c r="K165" s="7" t="inlineStr"/>
      <c r="L165" s="8" t="n">
        <v>0</v>
      </c>
      <c r="M165" s="8" t="n">
        <v>529500</v>
      </c>
      <c r="N165" s="7" t="inlineStr"/>
      <c r="O165" s="7" t="inlineStr"/>
      <c r="P165" s="7" t="inlineStr"/>
      <c r="Q165" s="7" t="inlineStr"/>
      <c r="R165" s="7" t="inlineStr"/>
    </row>
    <row r="166">
      <c r="A166" s="7" t="inlineStr">
        <is>
          <t>1</t>
        </is>
      </c>
      <c r="B166" s="7" t="inlineStr">
        <is>
          <t>G00055</t>
        </is>
      </c>
      <c r="C166" s="7" t="inlineStr">
        <is>
          <t>20260223</t>
        </is>
      </c>
      <c r="D166" s="7" t="inlineStr">
        <is>
          <t>N°2026000055</t>
        </is>
      </c>
      <c r="E166" s="7" t="inlineStr">
        <is>
          <t>SARL BEJAIA LOGISTIQUE</t>
        </is>
      </c>
      <c r="F166" s="7" t="inlineStr">
        <is>
          <t>06002</t>
        </is>
      </c>
      <c r="G166" s="7" t="inlineStr">
        <is>
          <t>44517</t>
        </is>
      </c>
      <c r="H166" s="7" t="inlineStr"/>
      <c r="I166" s="7" t="inlineStr"/>
      <c r="J166" s="7" t="inlineStr"/>
      <c r="K166" s="7" t="inlineStr"/>
      <c r="L166" s="8" t="n">
        <v>0</v>
      </c>
      <c r="M166" s="8" t="n">
        <v>100605</v>
      </c>
      <c r="N166" s="7" t="inlineStr"/>
      <c r="O166" s="7" t="inlineStr"/>
      <c r="P166" s="7" t="inlineStr"/>
      <c r="Q166" s="7" t="inlineStr"/>
      <c r="R166" s="7" t="inlineStr"/>
    </row>
    <row r="167">
      <c r="A167" s="7" t="inlineStr">
        <is>
          <t>1</t>
        </is>
      </c>
      <c r="B167" s="7" t="inlineStr">
        <is>
          <t>G00056</t>
        </is>
      </c>
      <c r="C167" s="7" t="inlineStr">
        <is>
          <t>20260224</t>
        </is>
      </c>
      <c r="D167" s="7" t="inlineStr">
        <is>
          <t>N°2026000056</t>
        </is>
      </c>
      <c r="E167" s="7" t="inlineStr">
        <is>
          <t>EURL TERRENO TRANS</t>
        </is>
      </c>
      <c r="F167" s="7" t="inlineStr">
        <is>
          <t>06002</t>
        </is>
      </c>
      <c r="G167" s="7" t="inlineStr">
        <is>
          <t>41100</t>
        </is>
      </c>
      <c r="H167" s="7" t="inlineStr">
        <is>
          <t>C959</t>
        </is>
      </c>
      <c r="I167" s="7" t="inlineStr"/>
      <c r="J167" s="7" t="inlineStr"/>
      <c r="K167" s="7" t="inlineStr"/>
      <c r="L167" s="8" t="n">
        <v>889525</v>
      </c>
      <c r="M167" s="8" t="n">
        <v>0</v>
      </c>
      <c r="N167" s="7" t="inlineStr"/>
      <c r="O167" s="7" t="inlineStr"/>
      <c r="P167" s="7" t="inlineStr"/>
      <c r="Q167" s="7" t="inlineStr"/>
      <c r="R167" s="7" t="inlineStr"/>
    </row>
    <row r="168">
      <c r="A168" s="7" t="inlineStr">
        <is>
          <t>1</t>
        </is>
      </c>
      <c r="B168" s="7" t="inlineStr">
        <is>
          <t>G00056</t>
        </is>
      </c>
      <c r="C168" s="7" t="inlineStr">
        <is>
          <t>20260224</t>
        </is>
      </c>
      <c r="D168" s="7" t="inlineStr">
        <is>
          <t>N°2026000056</t>
        </is>
      </c>
      <c r="E168" s="7" t="inlineStr">
        <is>
          <t>EURL TERRENO TRANS</t>
        </is>
      </c>
      <c r="F168" s="7" t="inlineStr">
        <is>
          <t>06002</t>
        </is>
      </c>
      <c r="G168" s="7" t="inlineStr">
        <is>
          <t>70001</t>
        </is>
      </c>
      <c r="H168" s="7" t="inlineStr"/>
      <c r="I168" s="7" t="inlineStr"/>
      <c r="J168" s="7" t="inlineStr"/>
      <c r="K168" s="7" t="inlineStr"/>
      <c r="L168" s="8" t="n">
        <v>0</v>
      </c>
      <c r="M168" s="8" t="n">
        <v>747500</v>
      </c>
      <c r="N168" s="7" t="inlineStr"/>
      <c r="O168" s="7" t="inlineStr"/>
      <c r="P168" s="7" t="inlineStr"/>
      <c r="Q168" s="7" t="inlineStr"/>
      <c r="R168" s="7" t="inlineStr"/>
    </row>
    <row r="169">
      <c r="A169" s="7" t="inlineStr">
        <is>
          <t>1</t>
        </is>
      </c>
      <c r="B169" s="7" t="inlineStr">
        <is>
          <t>G00056</t>
        </is>
      </c>
      <c r="C169" s="7" t="inlineStr">
        <is>
          <t>20260224</t>
        </is>
      </c>
      <c r="D169" s="7" t="inlineStr">
        <is>
          <t>N°2026000056</t>
        </is>
      </c>
      <c r="E169" s="7" t="inlineStr">
        <is>
          <t>EURL TERRENO TRANS</t>
        </is>
      </c>
      <c r="F169" s="7" t="inlineStr">
        <is>
          <t>06002</t>
        </is>
      </c>
      <c r="G169" s="7" t="inlineStr">
        <is>
          <t>44517</t>
        </is>
      </c>
      <c r="H169" s="7" t="inlineStr"/>
      <c r="I169" s="7" t="inlineStr"/>
      <c r="J169" s="7" t="inlineStr"/>
      <c r="K169" s="7" t="inlineStr"/>
      <c r="L169" s="8" t="n">
        <v>0</v>
      </c>
      <c r="M169" s="8" t="n">
        <v>142025</v>
      </c>
      <c r="N169" s="7" t="inlineStr"/>
      <c r="O169" s="7" t="inlineStr"/>
      <c r="P169" s="7" t="inlineStr"/>
      <c r="Q169" s="7" t="inlineStr"/>
      <c r="R169" s="7" t="inlineStr"/>
    </row>
    <row r="170">
      <c r="A170" s="7" t="inlineStr">
        <is>
          <t>1</t>
        </is>
      </c>
      <c r="B170" s="7" t="inlineStr">
        <is>
          <t>G00057</t>
        </is>
      </c>
      <c r="C170" s="7" t="inlineStr">
        <is>
          <t>20260224</t>
        </is>
      </c>
      <c r="D170" s="7" t="inlineStr">
        <is>
          <t>N°2026000057</t>
        </is>
      </c>
      <c r="E170" s="7" t="inlineStr">
        <is>
          <t>EURL TERRENO TRANS</t>
        </is>
      </c>
      <c r="F170" s="7" t="inlineStr">
        <is>
          <t>06002</t>
        </is>
      </c>
      <c r="G170" s="7" t="inlineStr">
        <is>
          <t>41100</t>
        </is>
      </c>
      <c r="H170" s="7" t="inlineStr">
        <is>
          <t>C959</t>
        </is>
      </c>
      <c r="I170" s="7" t="inlineStr"/>
      <c r="J170" s="7" t="inlineStr"/>
      <c r="K170" s="7" t="inlineStr"/>
      <c r="L170" s="8" t="n">
        <v>114240</v>
      </c>
      <c r="M170" s="8" t="n">
        <v>0</v>
      </c>
      <c r="N170" s="7" t="inlineStr"/>
      <c r="O170" s="7" t="inlineStr"/>
      <c r="P170" s="7" t="inlineStr"/>
      <c r="Q170" s="7" t="inlineStr"/>
      <c r="R170" s="7" t="inlineStr"/>
    </row>
    <row r="171">
      <c r="A171" s="7" t="inlineStr">
        <is>
          <t>1</t>
        </is>
      </c>
      <c r="B171" s="7" t="inlineStr">
        <is>
          <t>G00057</t>
        </is>
      </c>
      <c r="C171" s="7" t="inlineStr">
        <is>
          <t>20260224</t>
        </is>
      </c>
      <c r="D171" s="7" t="inlineStr">
        <is>
          <t>N°2026000057</t>
        </is>
      </c>
      <c r="E171" s="7" t="inlineStr">
        <is>
          <t>EURL TERRENO TRANS</t>
        </is>
      </c>
      <c r="F171" s="7" t="inlineStr">
        <is>
          <t>06002</t>
        </is>
      </c>
      <c r="G171" s="7" t="inlineStr">
        <is>
          <t>70001</t>
        </is>
      </c>
      <c r="H171" s="7" t="inlineStr"/>
      <c r="I171" s="7" t="inlineStr"/>
      <c r="J171" s="7" t="inlineStr"/>
      <c r="K171" s="7" t="inlineStr"/>
      <c r="L171" s="8" t="n">
        <v>0</v>
      </c>
      <c r="M171" s="8" t="n">
        <v>96000</v>
      </c>
      <c r="N171" s="7" t="inlineStr"/>
      <c r="O171" s="7" t="inlineStr"/>
      <c r="P171" s="7" t="inlineStr"/>
      <c r="Q171" s="7" t="inlineStr"/>
      <c r="R171" s="7" t="inlineStr"/>
    </row>
    <row r="172">
      <c r="A172" s="7" t="inlineStr">
        <is>
          <t>1</t>
        </is>
      </c>
      <c r="B172" s="7" t="inlineStr">
        <is>
          <t>G00057</t>
        </is>
      </c>
      <c r="C172" s="7" t="inlineStr">
        <is>
          <t>20260224</t>
        </is>
      </c>
      <c r="D172" s="7" t="inlineStr">
        <is>
          <t>N°2026000057</t>
        </is>
      </c>
      <c r="E172" s="7" t="inlineStr">
        <is>
          <t>EURL TERRENO TRANS</t>
        </is>
      </c>
      <c r="F172" s="7" t="inlineStr">
        <is>
          <t>06002</t>
        </is>
      </c>
      <c r="G172" s="7" t="inlineStr">
        <is>
          <t>44517</t>
        </is>
      </c>
      <c r="H172" s="7" t="inlineStr"/>
      <c r="I172" s="7" t="inlineStr"/>
      <c r="J172" s="7" t="inlineStr"/>
      <c r="K172" s="7" t="inlineStr"/>
      <c r="L172" s="8" t="n">
        <v>0</v>
      </c>
      <c r="M172" s="8" t="n">
        <v>18240</v>
      </c>
      <c r="N172" s="7" t="inlineStr"/>
      <c r="O172" s="7" t="inlineStr"/>
      <c r="P172" s="7" t="inlineStr"/>
      <c r="Q172" s="7" t="inlineStr"/>
      <c r="R172" s="7" t="inlineStr"/>
    </row>
    <row r="173">
      <c r="A173" s="7" t="inlineStr">
        <is>
          <t>1</t>
        </is>
      </c>
      <c r="B173" s="7" t="inlineStr">
        <is>
          <t>G00058</t>
        </is>
      </c>
      <c r="C173" s="7" t="inlineStr">
        <is>
          <t>20260225</t>
        </is>
      </c>
      <c r="D173" s="7" t="inlineStr">
        <is>
          <t>N°2026000058</t>
        </is>
      </c>
      <c r="E173" s="7" t="inlineStr">
        <is>
          <t>SARL POIDS LOURDS SERVICE</t>
        </is>
      </c>
      <c r="F173" s="7" t="inlineStr">
        <is>
          <t>06002</t>
        </is>
      </c>
      <c r="G173" s="7" t="inlineStr">
        <is>
          <t>41100</t>
        </is>
      </c>
      <c r="H173" s="7" t="inlineStr">
        <is>
          <t>C1084</t>
        </is>
      </c>
      <c r="I173" s="7" t="inlineStr"/>
      <c r="J173" s="7" t="inlineStr"/>
      <c r="K173" s="7" t="inlineStr"/>
      <c r="L173" s="8" t="n">
        <v>566440</v>
      </c>
      <c r="M173" s="8" t="n">
        <v>0</v>
      </c>
      <c r="N173" s="7" t="inlineStr"/>
      <c r="O173" s="7" t="inlineStr"/>
      <c r="P173" s="7" t="inlineStr"/>
      <c r="Q173" s="7" t="inlineStr"/>
      <c r="R173" s="7" t="inlineStr"/>
    </row>
    <row r="174">
      <c r="A174" s="7" t="inlineStr">
        <is>
          <t>1</t>
        </is>
      </c>
      <c r="B174" s="7" t="inlineStr">
        <is>
          <t>G00058</t>
        </is>
      </c>
      <c r="C174" s="7" t="inlineStr">
        <is>
          <t>20260225</t>
        </is>
      </c>
      <c r="D174" s="7" t="inlineStr">
        <is>
          <t>N°2026000058</t>
        </is>
      </c>
      <c r="E174" s="7" t="inlineStr">
        <is>
          <t>SARL POIDS LOURDS SERVICE</t>
        </is>
      </c>
      <c r="F174" s="7" t="inlineStr">
        <is>
          <t>06002</t>
        </is>
      </c>
      <c r="G174" s="7" t="inlineStr">
        <is>
          <t>70001</t>
        </is>
      </c>
      <c r="H174" s="7" t="inlineStr"/>
      <c r="I174" s="7" t="inlineStr"/>
      <c r="J174" s="7" t="inlineStr"/>
      <c r="K174" s="7" t="inlineStr"/>
      <c r="L174" s="8" t="n">
        <v>0</v>
      </c>
      <c r="M174" s="8" t="n">
        <v>476000</v>
      </c>
      <c r="N174" s="7" t="inlineStr"/>
      <c r="O174" s="7" t="inlineStr"/>
      <c r="P174" s="7" t="inlineStr"/>
      <c r="Q174" s="7" t="inlineStr"/>
      <c r="R174" s="7" t="inlineStr"/>
    </row>
    <row r="175">
      <c r="A175" s="7" t="inlineStr">
        <is>
          <t>1</t>
        </is>
      </c>
      <c r="B175" s="7" t="inlineStr">
        <is>
          <t>G00058</t>
        </is>
      </c>
      <c r="C175" s="7" t="inlineStr">
        <is>
          <t>20260225</t>
        </is>
      </c>
      <c r="D175" s="7" t="inlineStr">
        <is>
          <t>N°2026000058</t>
        </is>
      </c>
      <c r="E175" s="7" t="inlineStr">
        <is>
          <t>SARL POIDS LOURDS SERVICE</t>
        </is>
      </c>
      <c r="F175" s="7" t="inlineStr">
        <is>
          <t>06002</t>
        </is>
      </c>
      <c r="G175" s="7" t="inlineStr">
        <is>
          <t>44517</t>
        </is>
      </c>
      <c r="H175" s="7" t="inlineStr"/>
      <c r="I175" s="7" t="inlineStr"/>
      <c r="J175" s="7" t="inlineStr"/>
      <c r="K175" s="7" t="inlineStr"/>
      <c r="L175" s="8" t="n">
        <v>0</v>
      </c>
      <c r="M175" s="8" t="n">
        <v>90440</v>
      </c>
      <c r="N175" s="7" t="inlineStr"/>
      <c r="O175" s="7" t="inlineStr"/>
      <c r="P175" s="7" t="inlineStr"/>
      <c r="Q175" s="7" t="inlineStr"/>
      <c r="R175" s="7" t="inlineStr"/>
    </row>
    <row r="176">
      <c r="A176" s="7" t="inlineStr">
        <is>
          <t>1</t>
        </is>
      </c>
      <c r="B176" s="7" t="inlineStr">
        <is>
          <t>G00059</t>
        </is>
      </c>
      <c r="C176" s="7" t="inlineStr">
        <is>
          <t>20260225</t>
        </is>
      </c>
      <c r="D176" s="7" t="inlineStr">
        <is>
          <t>N°2026000059</t>
        </is>
      </c>
      <c r="E176" s="7" t="inlineStr">
        <is>
          <t>CHERRAHI ABDELKAMEL</t>
        </is>
      </c>
      <c r="F176" s="7" t="inlineStr">
        <is>
          <t>06002</t>
        </is>
      </c>
      <c r="G176" s="7" t="inlineStr">
        <is>
          <t>41100</t>
        </is>
      </c>
      <c r="H176" s="7" t="inlineStr">
        <is>
          <t>C1085</t>
        </is>
      </c>
      <c r="I176" s="7" t="inlineStr"/>
      <c r="J176" s="7" t="inlineStr"/>
      <c r="K176" s="7" t="inlineStr"/>
      <c r="L176" s="8" t="n">
        <v>700000</v>
      </c>
      <c r="M176" s="8" t="n">
        <v>0</v>
      </c>
      <c r="N176" s="7" t="inlineStr"/>
      <c r="O176" s="7" t="inlineStr"/>
      <c r="P176" s="7" t="inlineStr"/>
      <c r="Q176" s="7" t="inlineStr"/>
      <c r="R176" s="7" t="inlineStr"/>
    </row>
    <row r="177">
      <c r="A177" s="7" t="inlineStr">
        <is>
          <t>1</t>
        </is>
      </c>
      <c r="B177" s="7" t="inlineStr">
        <is>
          <t>G00059</t>
        </is>
      </c>
      <c r="C177" s="7" t="inlineStr">
        <is>
          <t>20260225</t>
        </is>
      </c>
      <c r="D177" s="7" t="inlineStr">
        <is>
          <t>N°2026000059</t>
        </is>
      </c>
      <c r="E177" s="7" t="inlineStr">
        <is>
          <t>CHERRAHI ABDELKAMEL</t>
        </is>
      </c>
      <c r="F177" s="7" t="inlineStr">
        <is>
          <t>06002</t>
        </is>
      </c>
      <c r="G177" s="7" t="inlineStr">
        <is>
          <t>70001</t>
        </is>
      </c>
      <c r="H177" s="7" t="inlineStr"/>
      <c r="I177" s="7" t="inlineStr"/>
      <c r="J177" s="7" t="inlineStr"/>
      <c r="K177" s="7" t="inlineStr"/>
      <c r="L177" s="8" t="n">
        <v>0</v>
      </c>
      <c r="M177" s="8" t="n">
        <v>588235.29</v>
      </c>
      <c r="N177" s="7" t="inlineStr"/>
      <c r="O177" s="7" t="inlineStr"/>
      <c r="P177" s="7" t="inlineStr"/>
      <c r="Q177" s="7" t="inlineStr"/>
      <c r="R177" s="7" t="inlineStr"/>
    </row>
    <row r="178">
      <c r="A178" s="7" t="inlineStr">
        <is>
          <t>1</t>
        </is>
      </c>
      <c r="B178" s="7" t="inlineStr">
        <is>
          <t>G00059</t>
        </is>
      </c>
      <c r="C178" s="7" t="inlineStr">
        <is>
          <t>20260225</t>
        </is>
      </c>
      <c r="D178" s="7" t="inlineStr">
        <is>
          <t>N°2026000059</t>
        </is>
      </c>
      <c r="E178" s="7" t="inlineStr">
        <is>
          <t>CHERRAHI ABDELKAMEL</t>
        </is>
      </c>
      <c r="F178" s="7" t="inlineStr">
        <is>
          <t>06002</t>
        </is>
      </c>
      <c r="G178" s="7" t="inlineStr">
        <is>
          <t>44517</t>
        </is>
      </c>
      <c r="H178" s="7" t="inlineStr"/>
      <c r="I178" s="7" t="inlineStr"/>
      <c r="J178" s="7" t="inlineStr"/>
      <c r="K178" s="7" t="inlineStr"/>
      <c r="L178" s="8" t="n">
        <v>0</v>
      </c>
      <c r="M178" s="8" t="n">
        <v>111764.71</v>
      </c>
      <c r="N178" s="7" t="inlineStr"/>
      <c r="O178" s="7" t="inlineStr"/>
      <c r="P178" s="7" t="inlineStr"/>
      <c r="Q178" s="7" t="inlineStr"/>
      <c r="R178" s="7" t="inlineStr"/>
    </row>
    <row r="179">
      <c r="A179" s="7" t="inlineStr">
        <is>
          <t>1</t>
        </is>
      </c>
      <c r="B179" s="7" t="inlineStr">
        <is>
          <t>G00060</t>
        </is>
      </c>
      <c r="C179" s="7" t="inlineStr">
        <is>
          <t>20260225</t>
        </is>
      </c>
      <c r="D179" s="7" t="inlineStr">
        <is>
          <t>N°2026000060</t>
        </is>
      </c>
      <c r="E179" s="7" t="inlineStr">
        <is>
          <t>BAHI RIDHA</t>
        </is>
      </c>
      <c r="F179" s="7" t="inlineStr">
        <is>
          <t>06002</t>
        </is>
      </c>
      <c r="G179" s="7" t="inlineStr">
        <is>
          <t>41100</t>
        </is>
      </c>
      <c r="H179" s="7" t="inlineStr">
        <is>
          <t>C1086</t>
        </is>
      </c>
      <c r="I179" s="7" t="inlineStr"/>
      <c r="J179" s="7" t="inlineStr"/>
      <c r="K179" s="7" t="inlineStr"/>
      <c r="L179" s="8" t="n">
        <v>540000</v>
      </c>
      <c r="M179" s="8" t="n">
        <v>0</v>
      </c>
      <c r="N179" s="7" t="inlineStr"/>
      <c r="O179" s="7" t="inlineStr"/>
      <c r="P179" s="7" t="inlineStr"/>
      <c r="Q179" s="7" t="inlineStr"/>
      <c r="R179" s="7" t="inlineStr"/>
    </row>
    <row r="180">
      <c r="A180" s="7" t="inlineStr">
        <is>
          <t>1</t>
        </is>
      </c>
      <c r="B180" s="7" t="inlineStr">
        <is>
          <t>G00060</t>
        </is>
      </c>
      <c r="C180" s="7" t="inlineStr">
        <is>
          <t>20260225</t>
        </is>
      </c>
      <c r="D180" s="7" t="inlineStr">
        <is>
          <t>N°2026000060</t>
        </is>
      </c>
      <c r="E180" s="7" t="inlineStr">
        <is>
          <t>BAHI RIDHA</t>
        </is>
      </c>
      <c r="F180" s="7" t="inlineStr">
        <is>
          <t>06002</t>
        </is>
      </c>
      <c r="G180" s="7" t="inlineStr">
        <is>
          <t>70001</t>
        </is>
      </c>
      <c r="H180" s="7" t="inlineStr"/>
      <c r="I180" s="7" t="inlineStr"/>
      <c r="J180" s="7" t="inlineStr"/>
      <c r="K180" s="7" t="inlineStr"/>
      <c r="L180" s="8" t="n">
        <v>0</v>
      </c>
      <c r="M180" s="8" t="n">
        <v>453781.51</v>
      </c>
      <c r="N180" s="7" t="inlineStr"/>
      <c r="O180" s="7" t="inlineStr"/>
      <c r="P180" s="7" t="inlineStr"/>
      <c r="Q180" s="7" t="inlineStr"/>
      <c r="R180" s="7" t="inlineStr"/>
    </row>
    <row r="181">
      <c r="A181" s="7" t="inlineStr">
        <is>
          <t>1</t>
        </is>
      </c>
      <c r="B181" s="7" t="inlineStr">
        <is>
          <t>G00060</t>
        </is>
      </c>
      <c r="C181" s="7" t="inlineStr">
        <is>
          <t>20260225</t>
        </is>
      </c>
      <c r="D181" s="7" t="inlineStr">
        <is>
          <t>N°2026000060</t>
        </is>
      </c>
      <c r="E181" s="7" t="inlineStr">
        <is>
          <t>BAHI RIDHA</t>
        </is>
      </c>
      <c r="F181" s="7" t="inlineStr">
        <is>
          <t>06002</t>
        </is>
      </c>
      <c r="G181" s="7" t="inlineStr">
        <is>
          <t>44517</t>
        </is>
      </c>
      <c r="H181" s="7" t="inlineStr"/>
      <c r="I181" s="7" t="inlineStr"/>
      <c r="J181" s="7" t="inlineStr"/>
      <c r="K181" s="7" t="inlineStr"/>
      <c r="L181" s="8" t="n">
        <v>0</v>
      </c>
      <c r="M181" s="8" t="n">
        <v>86218.49000000001</v>
      </c>
      <c r="N181" s="7" t="inlineStr"/>
      <c r="O181" s="7" t="inlineStr"/>
      <c r="P181" s="7" t="inlineStr"/>
      <c r="Q181" s="7" t="inlineStr"/>
      <c r="R181" s="7" t="inlineStr"/>
    </row>
    <row r="182">
      <c r="A182" s="7" t="inlineStr">
        <is>
          <t>1</t>
        </is>
      </c>
      <c r="B182" s="7" t="inlineStr">
        <is>
          <t>G00061</t>
        </is>
      </c>
      <c r="C182" s="7" t="inlineStr">
        <is>
          <t>20260225</t>
        </is>
      </c>
      <c r="D182" s="7" t="inlineStr">
        <is>
          <t>N°2026000061</t>
        </is>
      </c>
      <c r="E182" s="7" t="inlineStr">
        <is>
          <t>SARL META GRAIN</t>
        </is>
      </c>
      <c r="F182" s="7" t="inlineStr">
        <is>
          <t>06002</t>
        </is>
      </c>
      <c r="G182" s="7" t="inlineStr">
        <is>
          <t>41100</t>
        </is>
      </c>
      <c r="H182" s="7" t="inlineStr">
        <is>
          <t>C1012</t>
        </is>
      </c>
      <c r="I182" s="7" t="inlineStr"/>
      <c r="J182" s="7" t="inlineStr"/>
      <c r="K182" s="7" t="inlineStr"/>
      <c r="L182" s="8" t="n">
        <v>840000</v>
      </c>
      <c r="M182" s="8" t="n">
        <v>0</v>
      </c>
      <c r="N182" s="7" t="inlineStr"/>
      <c r="O182" s="7" t="inlineStr"/>
      <c r="P182" s="7" t="inlineStr"/>
      <c r="Q182" s="7" t="inlineStr"/>
      <c r="R182" s="7" t="inlineStr"/>
    </row>
    <row r="183">
      <c r="A183" s="7" t="inlineStr">
        <is>
          <t>1</t>
        </is>
      </c>
      <c r="B183" s="7" t="inlineStr">
        <is>
          <t>G00061</t>
        </is>
      </c>
      <c r="C183" s="7" t="inlineStr">
        <is>
          <t>20260225</t>
        </is>
      </c>
      <c r="D183" s="7" t="inlineStr">
        <is>
          <t>N°2026000061</t>
        </is>
      </c>
      <c r="E183" s="7" t="inlineStr">
        <is>
          <t>SARL META GRAIN</t>
        </is>
      </c>
      <c r="F183" s="7" t="inlineStr">
        <is>
          <t>06002</t>
        </is>
      </c>
      <c r="G183" s="7" t="inlineStr">
        <is>
          <t>70001</t>
        </is>
      </c>
      <c r="H183" s="7" t="inlineStr"/>
      <c r="I183" s="7" t="inlineStr"/>
      <c r="J183" s="7" t="inlineStr"/>
      <c r="K183" s="7" t="inlineStr"/>
      <c r="L183" s="8" t="n">
        <v>0</v>
      </c>
      <c r="M183" s="8" t="n">
        <v>705882.35</v>
      </c>
      <c r="N183" s="7" t="inlineStr"/>
      <c r="O183" s="7" t="inlineStr"/>
      <c r="P183" s="7" t="inlineStr"/>
      <c r="Q183" s="7" t="inlineStr"/>
      <c r="R183" s="7" t="inlineStr"/>
    </row>
    <row r="184">
      <c r="A184" s="7" t="inlineStr">
        <is>
          <t>1</t>
        </is>
      </c>
      <c r="B184" s="7" t="inlineStr">
        <is>
          <t>G00061</t>
        </is>
      </c>
      <c r="C184" s="7" t="inlineStr">
        <is>
          <t>20260225</t>
        </is>
      </c>
      <c r="D184" s="7" t="inlineStr">
        <is>
          <t>N°2026000061</t>
        </is>
      </c>
      <c r="E184" s="7" t="inlineStr">
        <is>
          <t>SARL META GRAIN</t>
        </is>
      </c>
      <c r="F184" s="7" t="inlineStr">
        <is>
          <t>06002</t>
        </is>
      </c>
      <c r="G184" s="7" t="inlineStr">
        <is>
          <t>44517</t>
        </is>
      </c>
      <c r="H184" s="7" t="inlineStr"/>
      <c r="I184" s="7" t="inlineStr"/>
      <c r="J184" s="7" t="inlineStr"/>
      <c r="K184" s="7" t="inlineStr"/>
      <c r="L184" s="8" t="n">
        <v>0</v>
      </c>
      <c r="M184" s="8" t="n">
        <v>134117.65</v>
      </c>
      <c r="N184" s="7" t="inlineStr"/>
      <c r="O184" s="7" t="inlineStr"/>
      <c r="P184" s="7" t="inlineStr"/>
      <c r="Q184" s="7" t="inlineStr"/>
      <c r="R184" s="7" t="inlineStr"/>
    </row>
    <row r="185">
      <c r="A185" s="7" t="inlineStr">
        <is>
          <t>1</t>
        </is>
      </c>
      <c r="B185" s="7" t="inlineStr">
        <is>
          <t>G00062</t>
        </is>
      </c>
      <c r="C185" s="7" t="inlineStr">
        <is>
          <t>20260225</t>
        </is>
      </c>
      <c r="D185" s="7" t="inlineStr">
        <is>
          <t>N°2026000062</t>
        </is>
      </c>
      <c r="E185" s="7" t="inlineStr">
        <is>
          <t>MADI AHMED</t>
        </is>
      </c>
      <c r="F185" s="7" t="inlineStr">
        <is>
          <t>06002</t>
        </is>
      </c>
      <c r="G185" s="7" t="inlineStr">
        <is>
          <t>41100</t>
        </is>
      </c>
      <c r="H185" s="7" t="inlineStr">
        <is>
          <t>C676</t>
        </is>
      </c>
      <c r="I185" s="7" t="inlineStr"/>
      <c r="J185" s="7" t="inlineStr"/>
      <c r="K185" s="7" t="inlineStr"/>
      <c r="L185" s="8" t="n">
        <v>141181.56</v>
      </c>
      <c r="M185" s="8" t="n">
        <v>0</v>
      </c>
      <c r="N185" s="7" t="inlineStr"/>
      <c r="O185" s="7" t="inlineStr"/>
      <c r="P185" s="7" t="inlineStr"/>
      <c r="Q185" s="7" t="inlineStr"/>
      <c r="R185" s="7" t="inlineStr"/>
    </row>
    <row r="186">
      <c r="A186" s="7" t="inlineStr">
        <is>
          <t>1</t>
        </is>
      </c>
      <c r="B186" s="7" t="inlineStr">
        <is>
          <t>G00062</t>
        </is>
      </c>
      <c r="C186" s="7" t="inlineStr">
        <is>
          <t>20260225</t>
        </is>
      </c>
      <c r="D186" s="7" t="inlineStr">
        <is>
          <t>N°2026000062</t>
        </is>
      </c>
      <c r="E186" s="7" t="inlineStr">
        <is>
          <t>MADI AHMED</t>
        </is>
      </c>
      <c r="F186" s="7" t="inlineStr">
        <is>
          <t>06002</t>
        </is>
      </c>
      <c r="G186" s="7" t="inlineStr">
        <is>
          <t>70001</t>
        </is>
      </c>
      <c r="H186" s="7" t="inlineStr"/>
      <c r="I186" s="7" t="inlineStr"/>
      <c r="J186" s="7" t="inlineStr"/>
      <c r="K186" s="7" t="inlineStr"/>
      <c r="L186" s="8" t="n">
        <v>0</v>
      </c>
      <c r="M186" s="8" t="n">
        <v>118639.97</v>
      </c>
      <c r="N186" s="7" t="inlineStr"/>
      <c r="O186" s="7" t="inlineStr"/>
      <c r="P186" s="7" t="inlineStr"/>
      <c r="Q186" s="7" t="inlineStr"/>
      <c r="R186" s="7" t="inlineStr"/>
    </row>
    <row r="187">
      <c r="A187" s="7" t="inlineStr">
        <is>
          <t>1</t>
        </is>
      </c>
      <c r="B187" s="7" t="inlineStr">
        <is>
          <t>G00062</t>
        </is>
      </c>
      <c r="C187" s="7" t="inlineStr">
        <is>
          <t>20260225</t>
        </is>
      </c>
      <c r="D187" s="7" t="inlineStr">
        <is>
          <t>N°2026000062</t>
        </is>
      </c>
      <c r="E187" s="7" t="inlineStr">
        <is>
          <t>MADI AHMED</t>
        </is>
      </c>
      <c r="F187" s="7" t="inlineStr">
        <is>
          <t>06002</t>
        </is>
      </c>
      <c r="G187" s="7" t="inlineStr">
        <is>
          <t>44517</t>
        </is>
      </c>
      <c r="H187" s="7" t="inlineStr"/>
      <c r="I187" s="7" t="inlineStr"/>
      <c r="J187" s="7" t="inlineStr"/>
      <c r="K187" s="7" t="inlineStr"/>
      <c r="L187" s="8" t="n">
        <v>0</v>
      </c>
      <c r="M187" s="8" t="n">
        <v>22541.59</v>
      </c>
      <c r="N187" s="7" t="inlineStr"/>
      <c r="O187" s="7" t="inlineStr"/>
      <c r="P187" s="7" t="inlineStr"/>
      <c r="Q187" s="7" t="inlineStr"/>
      <c r="R187" s="7" t="inlineStr"/>
    </row>
    <row r="188">
      <c r="A188" s="7" t="inlineStr">
        <is>
          <t>1</t>
        </is>
      </c>
      <c r="B188" s="7" t="inlineStr">
        <is>
          <t>G00063</t>
        </is>
      </c>
      <c r="C188" s="7" t="inlineStr">
        <is>
          <t>20260225</t>
        </is>
      </c>
      <c r="D188" s="7" t="inlineStr">
        <is>
          <t>N°2026000063</t>
        </is>
      </c>
      <c r="E188" s="7" t="inlineStr">
        <is>
          <t>SARL ROYAL MATERIAUX  DE CONST</t>
        </is>
      </c>
      <c r="F188" s="7" t="inlineStr">
        <is>
          <t>06002</t>
        </is>
      </c>
      <c r="G188" s="7" t="inlineStr">
        <is>
          <t>41100</t>
        </is>
      </c>
      <c r="H188" s="7" t="inlineStr">
        <is>
          <t>C934</t>
        </is>
      </c>
      <c r="I188" s="7" t="inlineStr"/>
      <c r="J188" s="7" t="inlineStr"/>
      <c r="K188" s="7" t="inlineStr"/>
      <c r="L188" s="8" t="n">
        <v>112142.01</v>
      </c>
      <c r="M188" s="8" t="n">
        <v>0</v>
      </c>
      <c r="N188" s="7" t="inlineStr"/>
      <c r="O188" s="7" t="inlineStr"/>
      <c r="P188" s="7" t="inlineStr"/>
      <c r="Q188" s="7" t="inlineStr"/>
      <c r="R188" s="7" t="inlineStr"/>
    </row>
    <row r="189">
      <c r="A189" s="7" t="inlineStr">
        <is>
          <t>1</t>
        </is>
      </c>
      <c r="B189" s="7" t="inlineStr">
        <is>
          <t>G00063</t>
        </is>
      </c>
      <c r="C189" s="7" t="inlineStr">
        <is>
          <t>20260225</t>
        </is>
      </c>
      <c r="D189" s="7" t="inlineStr">
        <is>
          <t>N°2026000063</t>
        </is>
      </c>
      <c r="E189" s="7" t="inlineStr">
        <is>
          <t>SARL ROYAL MATERIAUX  DE CONST</t>
        </is>
      </c>
      <c r="F189" s="7" t="inlineStr">
        <is>
          <t>06002</t>
        </is>
      </c>
      <c r="G189" s="7" t="inlineStr">
        <is>
          <t>70001</t>
        </is>
      </c>
      <c r="H189" s="7" t="inlineStr"/>
      <c r="I189" s="7" t="inlineStr"/>
      <c r="J189" s="7" t="inlineStr"/>
      <c r="K189" s="7" t="inlineStr"/>
      <c r="L189" s="8" t="n">
        <v>0</v>
      </c>
      <c r="M189" s="8" t="n">
        <v>94236.98</v>
      </c>
      <c r="N189" s="7" t="inlineStr"/>
      <c r="O189" s="7" t="inlineStr"/>
      <c r="P189" s="7" t="inlineStr"/>
      <c r="Q189" s="7" t="inlineStr"/>
      <c r="R189" s="7" t="inlineStr"/>
    </row>
    <row r="190">
      <c r="A190" s="7" t="inlineStr">
        <is>
          <t>1</t>
        </is>
      </c>
      <c r="B190" s="7" t="inlineStr">
        <is>
          <t>G00063</t>
        </is>
      </c>
      <c r="C190" s="7" t="inlineStr">
        <is>
          <t>20260225</t>
        </is>
      </c>
      <c r="D190" s="7" t="inlineStr">
        <is>
          <t>N°2026000063</t>
        </is>
      </c>
      <c r="E190" s="7" t="inlineStr">
        <is>
          <t>SARL ROYAL MATERIAUX  DE CONST</t>
        </is>
      </c>
      <c r="F190" s="7" t="inlineStr">
        <is>
          <t>06002</t>
        </is>
      </c>
      <c r="G190" s="7" t="inlineStr">
        <is>
          <t>44517</t>
        </is>
      </c>
      <c r="H190" s="7" t="inlineStr"/>
      <c r="I190" s="7" t="inlineStr"/>
      <c r="J190" s="7" t="inlineStr"/>
      <c r="K190" s="7" t="inlineStr"/>
      <c r="L190" s="8" t="n">
        <v>0</v>
      </c>
      <c r="M190" s="8" t="n">
        <v>17905.03</v>
      </c>
      <c r="N190" s="7" t="inlineStr"/>
      <c r="O190" s="7" t="inlineStr"/>
      <c r="P190" s="7" t="inlineStr"/>
      <c r="Q190" s="7" t="inlineStr"/>
      <c r="R190" s="7" t="inlineStr"/>
    </row>
    <row r="191">
      <c r="A191" s="7" t="inlineStr">
        <is>
          <t>1</t>
        </is>
      </c>
      <c r="B191" s="7" t="inlineStr">
        <is>
          <t>G00064</t>
        </is>
      </c>
      <c r="C191" s="7" t="inlineStr">
        <is>
          <t>20260225</t>
        </is>
      </c>
      <c r="D191" s="7" t="inlineStr">
        <is>
          <t>N°2026000064</t>
        </is>
      </c>
      <c r="E191" s="7" t="inlineStr">
        <is>
          <t>SARL ROYAL MATERIAUX  DE CONST</t>
        </is>
      </c>
      <c r="F191" s="7" t="inlineStr">
        <is>
          <t>06002</t>
        </is>
      </c>
      <c r="G191" s="7" t="inlineStr">
        <is>
          <t>41100</t>
        </is>
      </c>
      <c r="H191" s="7" t="inlineStr">
        <is>
          <t>C934</t>
        </is>
      </c>
      <c r="I191" s="7" t="inlineStr"/>
      <c r="J191" s="7" t="inlineStr"/>
      <c r="K191" s="7" t="inlineStr"/>
      <c r="L191" s="8" t="n">
        <v>104348.01</v>
      </c>
      <c r="M191" s="8" t="n">
        <v>0</v>
      </c>
      <c r="N191" s="7" t="inlineStr"/>
      <c r="O191" s="7" t="inlineStr"/>
      <c r="P191" s="7" t="inlineStr"/>
      <c r="Q191" s="7" t="inlineStr"/>
      <c r="R191" s="7" t="inlineStr"/>
    </row>
    <row r="192">
      <c r="A192" s="7" t="inlineStr">
        <is>
          <t>1</t>
        </is>
      </c>
      <c r="B192" s="7" t="inlineStr">
        <is>
          <t>G00064</t>
        </is>
      </c>
      <c r="C192" s="7" t="inlineStr">
        <is>
          <t>20260225</t>
        </is>
      </c>
      <c r="D192" s="7" t="inlineStr">
        <is>
          <t>N°2026000064</t>
        </is>
      </c>
      <c r="E192" s="7" t="inlineStr">
        <is>
          <t>SARL ROYAL MATERIAUX  DE CONST</t>
        </is>
      </c>
      <c r="F192" s="7" t="inlineStr">
        <is>
          <t>06002</t>
        </is>
      </c>
      <c r="G192" s="7" t="inlineStr">
        <is>
          <t>70001</t>
        </is>
      </c>
      <c r="H192" s="7" t="inlineStr"/>
      <c r="I192" s="7" t="inlineStr"/>
      <c r="J192" s="7" t="inlineStr"/>
      <c r="K192" s="7" t="inlineStr"/>
      <c r="L192" s="8" t="n">
        <v>0</v>
      </c>
      <c r="M192" s="8" t="n">
        <v>87687.39999999999</v>
      </c>
      <c r="N192" s="7" t="inlineStr"/>
      <c r="O192" s="7" t="inlineStr"/>
      <c r="P192" s="7" t="inlineStr"/>
      <c r="Q192" s="7" t="inlineStr"/>
      <c r="R192" s="7" t="inlineStr"/>
    </row>
    <row r="193">
      <c r="A193" s="7" t="inlineStr">
        <is>
          <t>1</t>
        </is>
      </c>
      <c r="B193" s="7" t="inlineStr">
        <is>
          <t>G00064</t>
        </is>
      </c>
      <c r="C193" s="7" t="inlineStr">
        <is>
          <t>20260225</t>
        </is>
      </c>
      <c r="D193" s="7" t="inlineStr">
        <is>
          <t>N°2026000064</t>
        </is>
      </c>
      <c r="E193" s="7" t="inlineStr">
        <is>
          <t>SARL ROYAL MATERIAUX  DE CONST</t>
        </is>
      </c>
      <c r="F193" s="7" t="inlineStr">
        <is>
          <t>06002</t>
        </is>
      </c>
      <c r="G193" s="7" t="inlineStr">
        <is>
          <t>44517</t>
        </is>
      </c>
      <c r="H193" s="7" t="inlineStr"/>
      <c r="I193" s="7" t="inlineStr"/>
      <c r="J193" s="7" t="inlineStr"/>
      <c r="K193" s="7" t="inlineStr"/>
      <c r="L193" s="8" t="n">
        <v>0</v>
      </c>
      <c r="M193" s="8" t="n">
        <v>16660.61</v>
      </c>
      <c r="N193" s="7" t="inlineStr"/>
      <c r="O193" s="7" t="inlineStr"/>
      <c r="P193" s="7" t="inlineStr"/>
      <c r="Q193" s="7" t="inlineStr"/>
      <c r="R193" s="7" t="inlineStr"/>
    </row>
    <row r="194">
      <c r="A194" s="7" t="inlineStr">
        <is>
          <t>1</t>
        </is>
      </c>
      <c r="B194" s="7" t="inlineStr">
        <is>
          <t>G00065</t>
        </is>
      </c>
      <c r="C194" s="7" t="inlineStr">
        <is>
          <t>20260225</t>
        </is>
      </c>
      <c r="D194" s="7" t="inlineStr">
        <is>
          <t>N°2026000065</t>
        </is>
      </c>
      <c r="E194" s="7" t="inlineStr">
        <is>
          <t>SARL ROYAL MATERIAUX  DE CONST</t>
        </is>
      </c>
      <c r="F194" s="7" t="inlineStr">
        <is>
          <t>06002</t>
        </is>
      </c>
      <c r="G194" s="7" t="inlineStr">
        <is>
          <t>41100</t>
        </is>
      </c>
      <c r="H194" s="7" t="inlineStr">
        <is>
          <t>C934</t>
        </is>
      </c>
      <c r="I194" s="7" t="inlineStr"/>
      <c r="J194" s="7" t="inlineStr"/>
      <c r="K194" s="7" t="inlineStr"/>
      <c r="L194" s="8" t="n">
        <v>106093</v>
      </c>
      <c r="M194" s="8" t="n">
        <v>0</v>
      </c>
      <c r="N194" s="7" t="inlineStr"/>
      <c r="O194" s="7" t="inlineStr"/>
      <c r="P194" s="7" t="inlineStr"/>
      <c r="Q194" s="7" t="inlineStr"/>
      <c r="R194" s="7" t="inlineStr"/>
    </row>
    <row r="195">
      <c r="A195" s="7" t="inlineStr">
        <is>
          <t>1</t>
        </is>
      </c>
      <c r="B195" s="7" t="inlineStr">
        <is>
          <t>G00065</t>
        </is>
      </c>
      <c r="C195" s="7" t="inlineStr">
        <is>
          <t>20260225</t>
        </is>
      </c>
      <c r="D195" s="7" t="inlineStr">
        <is>
          <t>N°2026000065</t>
        </is>
      </c>
      <c r="E195" s="7" t="inlineStr">
        <is>
          <t>SARL ROYAL MATERIAUX  DE CONST</t>
        </is>
      </c>
      <c r="F195" s="7" t="inlineStr">
        <is>
          <t>06002</t>
        </is>
      </c>
      <c r="G195" s="7" t="inlineStr">
        <is>
          <t>70001</t>
        </is>
      </c>
      <c r="H195" s="7" t="inlineStr"/>
      <c r="I195" s="7" t="inlineStr"/>
      <c r="J195" s="7" t="inlineStr"/>
      <c r="K195" s="7" t="inlineStr"/>
      <c r="L195" s="8" t="n">
        <v>0</v>
      </c>
      <c r="M195" s="8" t="n">
        <v>89153.78</v>
      </c>
      <c r="N195" s="7" t="inlineStr"/>
      <c r="O195" s="7" t="inlineStr"/>
      <c r="P195" s="7" t="inlineStr"/>
      <c r="Q195" s="7" t="inlineStr"/>
      <c r="R195" s="7" t="inlineStr"/>
    </row>
    <row r="196">
      <c r="A196" s="7" t="inlineStr">
        <is>
          <t>1</t>
        </is>
      </c>
      <c r="B196" s="7" t="inlineStr">
        <is>
          <t>G00065</t>
        </is>
      </c>
      <c r="C196" s="7" t="inlineStr">
        <is>
          <t>20260225</t>
        </is>
      </c>
      <c r="D196" s="7" t="inlineStr">
        <is>
          <t>N°2026000065</t>
        </is>
      </c>
      <c r="E196" s="7" t="inlineStr">
        <is>
          <t>SARL ROYAL MATERIAUX  DE CONST</t>
        </is>
      </c>
      <c r="F196" s="7" t="inlineStr">
        <is>
          <t>06002</t>
        </is>
      </c>
      <c r="G196" s="7" t="inlineStr">
        <is>
          <t>44517</t>
        </is>
      </c>
      <c r="H196" s="7" t="inlineStr"/>
      <c r="I196" s="7" t="inlineStr"/>
      <c r="J196" s="7" t="inlineStr"/>
      <c r="K196" s="7" t="inlineStr"/>
      <c r="L196" s="8" t="n">
        <v>0</v>
      </c>
      <c r="M196" s="8" t="n">
        <v>16939.22</v>
      </c>
      <c r="N196" s="7" t="inlineStr"/>
      <c r="O196" s="7" t="inlineStr"/>
      <c r="P196" s="7" t="inlineStr"/>
      <c r="Q196" s="7" t="inlineStr"/>
      <c r="R196" s="7" t="inlineStr"/>
    </row>
    <row r="197">
      <c r="A197" s="7" t="inlineStr">
        <is>
          <t>1</t>
        </is>
      </c>
      <c r="B197" s="7" t="inlineStr">
        <is>
          <t>G00066</t>
        </is>
      </c>
      <c r="C197" s="7" t="inlineStr">
        <is>
          <t>20260225</t>
        </is>
      </c>
      <c r="D197" s="7" t="inlineStr">
        <is>
          <t>N°2026000066</t>
        </is>
      </c>
      <c r="E197" s="7" t="inlineStr">
        <is>
          <t>SARL ROYAL MATERIAUX  DE CONST</t>
        </is>
      </c>
      <c r="F197" s="7" t="inlineStr">
        <is>
          <t>06002</t>
        </is>
      </c>
      <c r="G197" s="7" t="inlineStr">
        <is>
          <t>41100</t>
        </is>
      </c>
      <c r="H197" s="7" t="inlineStr">
        <is>
          <t>C934</t>
        </is>
      </c>
      <c r="I197" s="7" t="inlineStr"/>
      <c r="J197" s="7" t="inlineStr"/>
      <c r="K197" s="7" t="inlineStr"/>
      <c r="L197" s="8" t="n">
        <v>66995</v>
      </c>
      <c r="M197" s="8" t="n">
        <v>0</v>
      </c>
      <c r="N197" s="7" t="inlineStr"/>
      <c r="O197" s="7" t="inlineStr"/>
      <c r="P197" s="7" t="inlineStr"/>
      <c r="Q197" s="7" t="inlineStr"/>
      <c r="R197" s="7" t="inlineStr"/>
    </row>
    <row r="198">
      <c r="A198" s="7" t="inlineStr">
        <is>
          <t>1</t>
        </is>
      </c>
      <c r="B198" s="7" t="inlineStr">
        <is>
          <t>G00066</t>
        </is>
      </c>
      <c r="C198" s="7" t="inlineStr">
        <is>
          <t>20260225</t>
        </is>
      </c>
      <c r="D198" s="7" t="inlineStr">
        <is>
          <t>N°2026000066</t>
        </is>
      </c>
      <c r="E198" s="7" t="inlineStr">
        <is>
          <t>SARL ROYAL MATERIAUX  DE CONST</t>
        </is>
      </c>
      <c r="F198" s="7" t="inlineStr">
        <is>
          <t>06002</t>
        </is>
      </c>
      <c r="G198" s="7" t="inlineStr">
        <is>
          <t>70001</t>
        </is>
      </c>
      <c r="H198" s="7" t="inlineStr"/>
      <c r="I198" s="7" t="inlineStr"/>
      <c r="J198" s="7" t="inlineStr"/>
      <c r="K198" s="7" t="inlineStr"/>
      <c r="L198" s="8" t="n">
        <v>0</v>
      </c>
      <c r="M198" s="8" t="n">
        <v>56298.32</v>
      </c>
      <c r="N198" s="7" t="inlineStr"/>
      <c r="O198" s="7" t="inlineStr"/>
      <c r="P198" s="7" t="inlineStr"/>
      <c r="Q198" s="7" t="inlineStr"/>
      <c r="R198" s="7" t="inlineStr"/>
    </row>
    <row r="199">
      <c r="A199" s="7" t="inlineStr">
        <is>
          <t>1</t>
        </is>
      </c>
      <c r="B199" s="7" t="inlineStr">
        <is>
          <t>G00066</t>
        </is>
      </c>
      <c r="C199" s="7" t="inlineStr">
        <is>
          <t>20260225</t>
        </is>
      </c>
      <c r="D199" s="7" t="inlineStr">
        <is>
          <t>N°2026000066</t>
        </is>
      </c>
      <c r="E199" s="7" t="inlineStr">
        <is>
          <t>SARL ROYAL MATERIAUX  DE CONST</t>
        </is>
      </c>
      <c r="F199" s="7" t="inlineStr">
        <is>
          <t>06002</t>
        </is>
      </c>
      <c r="G199" s="7" t="inlineStr">
        <is>
          <t>44517</t>
        </is>
      </c>
      <c r="H199" s="7" t="inlineStr"/>
      <c r="I199" s="7" t="inlineStr"/>
      <c r="J199" s="7" t="inlineStr"/>
      <c r="K199" s="7" t="inlineStr"/>
      <c r="L199" s="8" t="n">
        <v>0</v>
      </c>
      <c r="M199" s="8" t="n">
        <v>10696.68</v>
      </c>
      <c r="N199" s="7" t="inlineStr"/>
      <c r="O199" s="7" t="inlineStr"/>
      <c r="P199" s="7" t="inlineStr"/>
      <c r="Q199" s="7" t="inlineStr"/>
      <c r="R199" s="7" t="inlineStr"/>
    </row>
    <row r="200">
      <c r="A200" s="7" t="inlineStr">
        <is>
          <t>1</t>
        </is>
      </c>
      <c r="B200" s="7" t="inlineStr">
        <is>
          <t>G00067</t>
        </is>
      </c>
      <c r="C200" s="7" t="inlineStr">
        <is>
          <t>20260225</t>
        </is>
      </c>
      <c r="D200" s="7" t="inlineStr">
        <is>
          <t>N°2026000067</t>
        </is>
      </c>
      <c r="E200" s="7" t="inlineStr">
        <is>
          <t>SARL ROYAL MATERIAUX  DE CONST</t>
        </is>
      </c>
      <c r="F200" s="7" t="inlineStr">
        <is>
          <t>06002</t>
        </is>
      </c>
      <c r="G200" s="7" t="inlineStr">
        <is>
          <t>41100</t>
        </is>
      </c>
      <c r="H200" s="7" t="inlineStr">
        <is>
          <t>C934</t>
        </is>
      </c>
      <c r="I200" s="7" t="inlineStr"/>
      <c r="J200" s="7" t="inlineStr"/>
      <c r="K200" s="7" t="inlineStr"/>
      <c r="L200" s="8" t="n">
        <v>62108</v>
      </c>
      <c r="M200" s="8" t="n">
        <v>0</v>
      </c>
      <c r="N200" s="7" t="inlineStr"/>
      <c r="O200" s="7" t="inlineStr"/>
      <c r="P200" s="7" t="inlineStr"/>
      <c r="Q200" s="7" t="inlineStr"/>
      <c r="R200" s="7" t="inlineStr"/>
    </row>
    <row r="201">
      <c r="A201" s="7" t="inlineStr">
        <is>
          <t>1</t>
        </is>
      </c>
      <c r="B201" s="7" t="inlineStr">
        <is>
          <t>G00067</t>
        </is>
      </c>
      <c r="C201" s="7" t="inlineStr">
        <is>
          <t>20260225</t>
        </is>
      </c>
      <c r="D201" s="7" t="inlineStr">
        <is>
          <t>N°2026000067</t>
        </is>
      </c>
      <c r="E201" s="7" t="inlineStr">
        <is>
          <t>SARL ROYAL MATERIAUX  DE CONST</t>
        </is>
      </c>
      <c r="F201" s="7" t="inlineStr">
        <is>
          <t>06002</t>
        </is>
      </c>
      <c r="G201" s="7" t="inlineStr">
        <is>
          <t>70001</t>
        </is>
      </c>
      <c r="H201" s="7" t="inlineStr"/>
      <c r="I201" s="7" t="inlineStr"/>
      <c r="J201" s="7" t="inlineStr"/>
      <c r="K201" s="7" t="inlineStr"/>
      <c r="L201" s="8" t="n">
        <v>0</v>
      </c>
      <c r="M201" s="8" t="n">
        <v>52191.6</v>
      </c>
      <c r="N201" s="7" t="inlineStr"/>
      <c r="O201" s="7" t="inlineStr"/>
      <c r="P201" s="7" t="inlineStr"/>
      <c r="Q201" s="7" t="inlineStr"/>
      <c r="R201" s="7" t="inlineStr"/>
    </row>
    <row r="202">
      <c r="A202" s="7" t="inlineStr">
        <is>
          <t>1</t>
        </is>
      </c>
      <c r="B202" s="7" t="inlineStr">
        <is>
          <t>G00067</t>
        </is>
      </c>
      <c r="C202" s="7" t="inlineStr">
        <is>
          <t>20260225</t>
        </is>
      </c>
      <c r="D202" s="7" t="inlineStr">
        <is>
          <t>N°2026000067</t>
        </is>
      </c>
      <c r="E202" s="7" t="inlineStr">
        <is>
          <t>SARL ROYAL MATERIAUX  DE CONST</t>
        </is>
      </c>
      <c r="F202" s="7" t="inlineStr">
        <is>
          <t>06002</t>
        </is>
      </c>
      <c r="G202" s="7" t="inlineStr">
        <is>
          <t>44517</t>
        </is>
      </c>
      <c r="H202" s="7" t="inlineStr"/>
      <c r="I202" s="7" t="inlineStr"/>
      <c r="J202" s="7" t="inlineStr"/>
      <c r="K202" s="7" t="inlineStr"/>
      <c r="L202" s="8" t="n">
        <v>0</v>
      </c>
      <c r="M202" s="8" t="n">
        <v>9916.4</v>
      </c>
      <c r="N202" s="7" t="inlineStr"/>
      <c r="O202" s="7" t="inlineStr"/>
      <c r="P202" s="7" t="inlineStr"/>
      <c r="Q202" s="7" t="inlineStr"/>
      <c r="R202" s="7" t="inlineStr"/>
    </row>
    <row r="203">
      <c r="A203" s="7" t="inlineStr">
        <is>
          <t>1</t>
        </is>
      </c>
      <c r="B203" s="7" t="inlineStr">
        <is>
          <t>G00068</t>
        </is>
      </c>
      <c r="C203" s="7" t="inlineStr">
        <is>
          <t>20260225</t>
        </is>
      </c>
      <c r="D203" s="7" t="inlineStr">
        <is>
          <t>N°2026000068</t>
        </is>
      </c>
      <c r="E203" s="7" t="inlineStr">
        <is>
          <t>DJENNADI REYAD</t>
        </is>
      </c>
      <c r="F203" s="7" t="inlineStr">
        <is>
          <t>06002</t>
        </is>
      </c>
      <c r="G203" s="7" t="inlineStr">
        <is>
          <t>41100</t>
        </is>
      </c>
      <c r="H203" s="7" t="inlineStr">
        <is>
          <t>C164</t>
        </is>
      </c>
      <c r="I203" s="7" t="inlineStr"/>
      <c r="J203" s="7" t="inlineStr"/>
      <c r="K203" s="7" t="inlineStr"/>
      <c r="L203" s="8" t="n">
        <v>118239</v>
      </c>
      <c r="M203" s="8" t="n">
        <v>0</v>
      </c>
      <c r="N203" s="7" t="inlineStr"/>
      <c r="O203" s="7" t="inlineStr"/>
      <c r="P203" s="7" t="inlineStr"/>
      <c r="Q203" s="7" t="inlineStr"/>
      <c r="R203" s="7" t="inlineStr"/>
    </row>
    <row r="204">
      <c r="A204" s="7" t="inlineStr">
        <is>
          <t>1</t>
        </is>
      </c>
      <c r="B204" s="7" t="inlineStr">
        <is>
          <t>G00068</t>
        </is>
      </c>
      <c r="C204" s="7" t="inlineStr">
        <is>
          <t>20260225</t>
        </is>
      </c>
      <c r="D204" s="7" t="inlineStr">
        <is>
          <t>N°2026000068</t>
        </is>
      </c>
      <c r="E204" s="7" t="inlineStr">
        <is>
          <t>DJENNADI REYAD</t>
        </is>
      </c>
      <c r="F204" s="7" t="inlineStr">
        <is>
          <t>06002</t>
        </is>
      </c>
      <c r="G204" s="7" t="inlineStr">
        <is>
          <t>70001</t>
        </is>
      </c>
      <c r="H204" s="7" t="inlineStr"/>
      <c r="I204" s="7" t="inlineStr"/>
      <c r="J204" s="7" t="inlineStr"/>
      <c r="K204" s="7" t="inlineStr"/>
      <c r="L204" s="8" t="n">
        <v>0</v>
      </c>
      <c r="M204" s="8" t="n">
        <v>99360.5</v>
      </c>
      <c r="N204" s="7" t="inlineStr"/>
      <c r="O204" s="7" t="inlineStr"/>
      <c r="P204" s="7" t="inlineStr"/>
      <c r="Q204" s="7" t="inlineStr"/>
      <c r="R204" s="7" t="inlineStr"/>
    </row>
    <row r="205">
      <c r="A205" s="7" t="inlineStr">
        <is>
          <t>1</t>
        </is>
      </c>
      <c r="B205" s="7" t="inlineStr">
        <is>
          <t>G00068</t>
        </is>
      </c>
      <c r="C205" s="7" t="inlineStr">
        <is>
          <t>20260225</t>
        </is>
      </c>
      <c r="D205" s="7" t="inlineStr">
        <is>
          <t>N°2026000068</t>
        </is>
      </c>
      <c r="E205" s="7" t="inlineStr">
        <is>
          <t>DJENNADI REYAD</t>
        </is>
      </c>
      <c r="F205" s="7" t="inlineStr">
        <is>
          <t>06002</t>
        </is>
      </c>
      <c r="G205" s="7" t="inlineStr">
        <is>
          <t>44517</t>
        </is>
      </c>
      <c r="H205" s="7" t="inlineStr"/>
      <c r="I205" s="7" t="inlineStr"/>
      <c r="J205" s="7" t="inlineStr"/>
      <c r="K205" s="7" t="inlineStr"/>
      <c r="L205" s="8" t="n">
        <v>0</v>
      </c>
      <c r="M205" s="8" t="n">
        <v>18878.5</v>
      </c>
      <c r="N205" s="7" t="inlineStr"/>
      <c r="O205" s="7" t="inlineStr"/>
      <c r="P205" s="7" t="inlineStr"/>
      <c r="Q205" s="7" t="inlineStr"/>
      <c r="R205" s="7" t="inlineStr"/>
    </row>
    <row r="206">
      <c r="A206" s="7" t="inlineStr">
        <is>
          <t>1</t>
        </is>
      </c>
      <c r="B206" s="7" t="inlineStr">
        <is>
          <t>G00069</t>
        </is>
      </c>
      <c r="C206" s="7" t="inlineStr">
        <is>
          <t>20260225</t>
        </is>
      </c>
      <c r="D206" s="7" t="inlineStr">
        <is>
          <t>N°2026000069</t>
        </is>
      </c>
      <c r="E206" s="7" t="inlineStr">
        <is>
          <t>SELLAH FARID</t>
        </is>
      </c>
      <c r="F206" s="7" t="inlineStr">
        <is>
          <t>06002</t>
        </is>
      </c>
      <c r="G206" s="7" t="inlineStr">
        <is>
          <t>41100</t>
        </is>
      </c>
      <c r="H206" s="7" t="inlineStr">
        <is>
          <t>C549</t>
        </is>
      </c>
      <c r="I206" s="7" t="inlineStr"/>
      <c r="J206" s="7" t="inlineStr"/>
      <c r="K206" s="7" t="inlineStr"/>
      <c r="L206" s="8" t="n">
        <v>55458</v>
      </c>
      <c r="M206" s="8" t="n">
        <v>0</v>
      </c>
      <c r="N206" s="7" t="inlineStr"/>
      <c r="O206" s="7" t="inlineStr"/>
      <c r="P206" s="7" t="inlineStr"/>
      <c r="Q206" s="7" t="inlineStr"/>
      <c r="R206" s="7" t="inlineStr"/>
    </row>
    <row r="207">
      <c r="A207" s="7" t="inlineStr">
        <is>
          <t>1</t>
        </is>
      </c>
      <c r="B207" s="7" t="inlineStr">
        <is>
          <t>G00069</t>
        </is>
      </c>
      <c r="C207" s="7" t="inlineStr">
        <is>
          <t>20260225</t>
        </is>
      </c>
      <c r="D207" s="7" t="inlineStr">
        <is>
          <t>N°2026000069</t>
        </is>
      </c>
      <c r="E207" s="7" t="inlineStr">
        <is>
          <t>SELLAH FARID</t>
        </is>
      </c>
      <c r="F207" s="7" t="inlineStr">
        <is>
          <t>06002</t>
        </is>
      </c>
      <c r="G207" s="7" t="inlineStr">
        <is>
          <t>70001</t>
        </is>
      </c>
      <c r="H207" s="7" t="inlineStr"/>
      <c r="I207" s="7" t="inlineStr"/>
      <c r="J207" s="7" t="inlineStr"/>
      <c r="K207" s="7" t="inlineStr"/>
      <c r="L207" s="8" t="n">
        <v>0</v>
      </c>
      <c r="M207" s="8" t="n">
        <v>46603.36</v>
      </c>
      <c r="N207" s="7" t="inlineStr"/>
      <c r="O207" s="7" t="inlineStr"/>
      <c r="P207" s="7" t="inlineStr"/>
      <c r="Q207" s="7" t="inlineStr"/>
      <c r="R207" s="7" t="inlineStr"/>
    </row>
    <row r="208">
      <c r="A208" s="7" t="inlineStr">
        <is>
          <t>1</t>
        </is>
      </c>
      <c r="B208" s="7" t="inlineStr">
        <is>
          <t>G00069</t>
        </is>
      </c>
      <c r="C208" s="7" t="inlineStr">
        <is>
          <t>20260225</t>
        </is>
      </c>
      <c r="D208" s="7" t="inlineStr">
        <is>
          <t>N°2026000069</t>
        </is>
      </c>
      <c r="E208" s="7" t="inlineStr">
        <is>
          <t>SELLAH FARID</t>
        </is>
      </c>
      <c r="F208" s="7" t="inlineStr">
        <is>
          <t>06002</t>
        </is>
      </c>
      <c r="G208" s="7" t="inlineStr">
        <is>
          <t>44517</t>
        </is>
      </c>
      <c r="H208" s="7" t="inlineStr"/>
      <c r="I208" s="7" t="inlineStr"/>
      <c r="J208" s="7" t="inlineStr"/>
      <c r="K208" s="7" t="inlineStr"/>
      <c r="L208" s="8" t="n">
        <v>0</v>
      </c>
      <c r="M208" s="8" t="n">
        <v>8854.639999999999</v>
      </c>
      <c r="N208" s="7" t="inlineStr"/>
      <c r="O208" s="7" t="inlineStr"/>
      <c r="P208" s="7" t="inlineStr"/>
      <c r="Q208" s="7" t="inlineStr"/>
      <c r="R208" s="7" t="inlineStr"/>
    </row>
    <row r="209">
      <c r="A209" s="7" t="inlineStr">
        <is>
          <t>1</t>
        </is>
      </c>
      <c r="B209" s="7" t="inlineStr">
        <is>
          <t>G00070</t>
        </is>
      </c>
      <c r="C209" s="7" t="inlineStr">
        <is>
          <t>20260225</t>
        </is>
      </c>
      <c r="D209" s="7" t="inlineStr">
        <is>
          <t>N°2026000070</t>
        </is>
      </c>
      <c r="E209" s="7" t="inlineStr">
        <is>
          <t>DIVERS</t>
        </is>
      </c>
      <c r="F209" s="7" t="inlineStr">
        <is>
          <t>06002</t>
        </is>
      </c>
      <c r="G209" s="7" t="inlineStr">
        <is>
          <t>41100</t>
        </is>
      </c>
      <c r="H209" s="7" t="inlineStr">
        <is>
          <t>C1087</t>
        </is>
      </c>
      <c r="I209" s="7" t="inlineStr"/>
      <c r="J209" s="7" t="inlineStr"/>
      <c r="K209" s="7" t="inlineStr"/>
      <c r="L209" s="8" t="n">
        <v>82743</v>
      </c>
      <c r="M209" s="8" t="n">
        <v>0</v>
      </c>
      <c r="N209" s="7" t="inlineStr"/>
      <c r="O209" s="7" t="inlineStr"/>
      <c r="P209" s="7" t="inlineStr"/>
      <c r="Q209" s="7" t="inlineStr"/>
      <c r="R209" s="7" t="inlineStr"/>
    </row>
    <row r="210">
      <c r="A210" s="7" t="inlineStr">
        <is>
          <t>1</t>
        </is>
      </c>
      <c r="B210" s="7" t="inlineStr">
        <is>
          <t>G00070</t>
        </is>
      </c>
      <c r="C210" s="7" t="inlineStr">
        <is>
          <t>20260225</t>
        </is>
      </c>
      <c r="D210" s="7" t="inlineStr">
        <is>
          <t>N°2026000070</t>
        </is>
      </c>
      <c r="E210" s="7" t="inlineStr">
        <is>
          <t>DIVERS</t>
        </is>
      </c>
      <c r="F210" s="7" t="inlineStr">
        <is>
          <t>06002</t>
        </is>
      </c>
      <c r="G210" s="7" t="inlineStr">
        <is>
          <t>70001</t>
        </is>
      </c>
      <c r="H210" s="7" t="inlineStr"/>
      <c r="I210" s="7" t="inlineStr"/>
      <c r="J210" s="7" t="inlineStr"/>
      <c r="K210" s="7" t="inlineStr"/>
      <c r="L210" s="8" t="n">
        <v>0</v>
      </c>
      <c r="M210" s="8" t="n">
        <v>69531.92999999999</v>
      </c>
      <c r="N210" s="7" t="inlineStr"/>
      <c r="O210" s="7" t="inlineStr"/>
      <c r="P210" s="7" t="inlineStr"/>
      <c r="Q210" s="7" t="inlineStr"/>
      <c r="R210" s="7" t="inlineStr"/>
    </row>
    <row r="211">
      <c r="A211" s="7" t="inlineStr">
        <is>
          <t>1</t>
        </is>
      </c>
      <c r="B211" s="7" t="inlineStr">
        <is>
          <t>G00070</t>
        </is>
      </c>
      <c r="C211" s="7" t="inlineStr">
        <is>
          <t>20260225</t>
        </is>
      </c>
      <c r="D211" s="7" t="inlineStr">
        <is>
          <t>N°2026000070</t>
        </is>
      </c>
      <c r="E211" s="7" t="inlineStr">
        <is>
          <t>DIVERS</t>
        </is>
      </c>
      <c r="F211" s="7" t="inlineStr">
        <is>
          <t>06002</t>
        </is>
      </c>
      <c r="G211" s="7" t="inlineStr">
        <is>
          <t>44517</t>
        </is>
      </c>
      <c r="H211" s="7" t="inlineStr"/>
      <c r="I211" s="7" t="inlineStr"/>
      <c r="J211" s="7" t="inlineStr"/>
      <c r="K211" s="7" t="inlineStr"/>
      <c r="L211" s="8" t="n">
        <v>0</v>
      </c>
      <c r="M211" s="8" t="n">
        <v>13211.07</v>
      </c>
      <c r="N211" s="7" t="inlineStr"/>
      <c r="O211" s="7" t="inlineStr"/>
      <c r="P211" s="7" t="inlineStr"/>
      <c r="Q211" s="7" t="inlineStr"/>
      <c r="R211" s="7" t="inlineStr"/>
    </row>
    <row r="212">
      <c r="A212" s="7" t="inlineStr">
        <is>
          <t>1</t>
        </is>
      </c>
      <c r="B212" s="7" t="inlineStr">
        <is>
          <t>G00071</t>
        </is>
      </c>
      <c r="C212" s="7" t="inlineStr">
        <is>
          <t>20260225</t>
        </is>
      </c>
      <c r="D212" s="7" t="inlineStr">
        <is>
          <t>N°2026000071</t>
        </is>
      </c>
      <c r="E212" s="7" t="inlineStr">
        <is>
          <t>DIVERS</t>
        </is>
      </c>
      <c r="F212" s="7" t="inlineStr">
        <is>
          <t>06002</t>
        </is>
      </c>
      <c r="G212" s="7" t="inlineStr">
        <is>
          <t>41100</t>
        </is>
      </c>
      <c r="H212" s="7" t="inlineStr">
        <is>
          <t>C1087</t>
        </is>
      </c>
      <c r="I212" s="7" t="inlineStr"/>
      <c r="J212" s="7" t="inlineStr"/>
      <c r="K212" s="7" t="inlineStr"/>
      <c r="L212" s="8" t="n">
        <v>87135</v>
      </c>
      <c r="M212" s="8" t="n">
        <v>0</v>
      </c>
      <c r="N212" s="7" t="inlineStr"/>
      <c r="O212" s="7" t="inlineStr"/>
      <c r="P212" s="7" t="inlineStr"/>
      <c r="Q212" s="7" t="inlineStr"/>
      <c r="R212" s="7" t="inlineStr"/>
    </row>
    <row r="213">
      <c r="A213" s="7" t="inlineStr">
        <is>
          <t>1</t>
        </is>
      </c>
      <c r="B213" s="7" t="inlineStr">
        <is>
          <t>G00071</t>
        </is>
      </c>
      <c r="C213" s="7" t="inlineStr">
        <is>
          <t>20260225</t>
        </is>
      </c>
      <c r="D213" s="7" t="inlineStr">
        <is>
          <t>N°2026000071</t>
        </is>
      </c>
      <c r="E213" s="7" t="inlineStr">
        <is>
          <t>DIVERS</t>
        </is>
      </c>
      <c r="F213" s="7" t="inlineStr">
        <is>
          <t>06002</t>
        </is>
      </c>
      <c r="G213" s="7" t="inlineStr">
        <is>
          <t>70001</t>
        </is>
      </c>
      <c r="H213" s="7" t="inlineStr"/>
      <c r="I213" s="7" t="inlineStr"/>
      <c r="J213" s="7" t="inlineStr"/>
      <c r="K213" s="7" t="inlineStr"/>
      <c r="L213" s="8" t="n">
        <v>0</v>
      </c>
      <c r="M213" s="8" t="n">
        <v>73222.69</v>
      </c>
      <c r="N213" s="7" t="inlineStr"/>
      <c r="O213" s="7" t="inlineStr"/>
      <c r="P213" s="7" t="inlineStr"/>
      <c r="Q213" s="7" t="inlineStr"/>
      <c r="R213" s="7" t="inlineStr"/>
    </row>
    <row r="214">
      <c r="A214" s="7" t="inlineStr">
        <is>
          <t>1</t>
        </is>
      </c>
      <c r="B214" s="7" t="inlineStr">
        <is>
          <t>G00071</t>
        </is>
      </c>
      <c r="C214" s="7" t="inlineStr">
        <is>
          <t>20260225</t>
        </is>
      </c>
      <c r="D214" s="7" t="inlineStr">
        <is>
          <t>N°2026000071</t>
        </is>
      </c>
      <c r="E214" s="7" t="inlineStr">
        <is>
          <t>DIVERS</t>
        </is>
      </c>
      <c r="F214" s="7" t="inlineStr">
        <is>
          <t>06002</t>
        </is>
      </c>
      <c r="G214" s="7" t="inlineStr">
        <is>
          <t>44517</t>
        </is>
      </c>
      <c r="H214" s="7" t="inlineStr"/>
      <c r="I214" s="7" t="inlineStr"/>
      <c r="J214" s="7" t="inlineStr"/>
      <c r="K214" s="7" t="inlineStr"/>
      <c r="L214" s="8" t="n">
        <v>0</v>
      </c>
      <c r="M214" s="8" t="n">
        <v>13912.31</v>
      </c>
      <c r="N214" s="7" t="inlineStr"/>
      <c r="O214" s="7" t="inlineStr"/>
      <c r="P214" s="7" t="inlineStr"/>
      <c r="Q214" s="7" t="inlineStr"/>
      <c r="R214" s="7" t="inlineStr"/>
    </row>
    <row r="215">
      <c r="A215" s="7" t="inlineStr">
        <is>
          <t>1</t>
        </is>
      </c>
      <c r="B215" s="7" t="inlineStr">
        <is>
          <t>G00072</t>
        </is>
      </c>
      <c r="C215" s="7" t="inlineStr">
        <is>
          <t>20260225</t>
        </is>
      </c>
      <c r="D215" s="7" t="inlineStr">
        <is>
          <t>N°2026000072</t>
        </is>
      </c>
      <c r="E215" s="7" t="inlineStr">
        <is>
          <t>SASSANE RAMDANE</t>
        </is>
      </c>
      <c r="F215" s="7" t="inlineStr">
        <is>
          <t>06002</t>
        </is>
      </c>
      <c r="G215" s="7" t="inlineStr">
        <is>
          <t>41100</t>
        </is>
      </c>
      <c r="H215" s="7" t="inlineStr">
        <is>
          <t>C910</t>
        </is>
      </c>
      <c r="I215" s="7" t="inlineStr"/>
      <c r="J215" s="7" t="inlineStr"/>
      <c r="K215" s="7" t="inlineStr"/>
      <c r="L215" s="8" t="n">
        <v>71299</v>
      </c>
      <c r="M215" s="8" t="n">
        <v>0</v>
      </c>
      <c r="N215" s="7" t="inlineStr"/>
      <c r="O215" s="7" t="inlineStr"/>
      <c r="P215" s="7" t="inlineStr"/>
      <c r="Q215" s="7" t="inlineStr"/>
      <c r="R215" s="7" t="inlineStr"/>
    </row>
    <row r="216">
      <c r="A216" s="7" t="inlineStr">
        <is>
          <t>1</t>
        </is>
      </c>
      <c r="B216" s="7" t="inlineStr">
        <is>
          <t>G00072</t>
        </is>
      </c>
      <c r="C216" s="7" t="inlineStr">
        <is>
          <t>20260225</t>
        </is>
      </c>
      <c r="D216" s="7" t="inlineStr">
        <is>
          <t>N°2026000072</t>
        </is>
      </c>
      <c r="E216" s="7" t="inlineStr">
        <is>
          <t>SASSANE RAMDANE</t>
        </is>
      </c>
      <c r="F216" s="7" t="inlineStr">
        <is>
          <t>06002</t>
        </is>
      </c>
      <c r="G216" s="7" t="inlineStr">
        <is>
          <t>70001</t>
        </is>
      </c>
      <c r="H216" s="7" t="inlineStr"/>
      <c r="I216" s="7" t="inlineStr"/>
      <c r="J216" s="7" t="inlineStr"/>
      <c r="K216" s="7" t="inlineStr"/>
      <c r="L216" s="8" t="n">
        <v>0</v>
      </c>
      <c r="M216" s="8" t="n">
        <v>59915.13</v>
      </c>
      <c r="N216" s="7" t="inlineStr"/>
      <c r="O216" s="7" t="inlineStr"/>
      <c r="P216" s="7" t="inlineStr"/>
      <c r="Q216" s="7" t="inlineStr"/>
      <c r="R216" s="7" t="inlineStr"/>
    </row>
    <row r="217">
      <c r="A217" s="7" t="inlineStr">
        <is>
          <t>1</t>
        </is>
      </c>
      <c r="B217" s="7" t="inlineStr">
        <is>
          <t>G00072</t>
        </is>
      </c>
      <c r="C217" s="7" t="inlineStr">
        <is>
          <t>20260225</t>
        </is>
      </c>
      <c r="D217" s="7" t="inlineStr">
        <is>
          <t>N°2026000072</t>
        </is>
      </c>
      <c r="E217" s="7" t="inlineStr">
        <is>
          <t>SASSANE RAMDANE</t>
        </is>
      </c>
      <c r="F217" s="7" t="inlineStr">
        <is>
          <t>06002</t>
        </is>
      </c>
      <c r="G217" s="7" t="inlineStr">
        <is>
          <t>44517</t>
        </is>
      </c>
      <c r="H217" s="7" t="inlineStr"/>
      <c r="I217" s="7" t="inlineStr"/>
      <c r="J217" s="7" t="inlineStr"/>
      <c r="K217" s="7" t="inlineStr"/>
      <c r="L217" s="8" t="n">
        <v>0</v>
      </c>
      <c r="M217" s="8" t="n">
        <v>11383.87</v>
      </c>
      <c r="N217" s="7" t="inlineStr"/>
      <c r="O217" s="7" t="inlineStr"/>
      <c r="P217" s="7" t="inlineStr"/>
      <c r="Q217" s="7" t="inlineStr"/>
      <c r="R217" s="7" t="inlineStr"/>
    </row>
    <row r="218">
      <c r="A218" s="7" t="inlineStr">
        <is>
          <t>1</t>
        </is>
      </c>
      <c r="B218" s="7" t="inlineStr">
        <is>
          <t>G00073</t>
        </is>
      </c>
      <c r="C218" s="7" t="inlineStr">
        <is>
          <t>20260225</t>
        </is>
      </c>
      <c r="D218" s="7" t="inlineStr">
        <is>
          <t>N°2026000073</t>
        </is>
      </c>
      <c r="E218" s="7" t="inlineStr">
        <is>
          <t>DJENNADI REYAD</t>
        </is>
      </c>
      <c r="F218" s="7" t="inlineStr">
        <is>
          <t>06002</t>
        </is>
      </c>
      <c r="G218" s="7" t="inlineStr">
        <is>
          <t>41100</t>
        </is>
      </c>
      <c r="H218" s="7" t="inlineStr">
        <is>
          <t>C164</t>
        </is>
      </c>
      <c r="I218" s="7" t="inlineStr"/>
      <c r="J218" s="7" t="inlineStr"/>
      <c r="K218" s="7" t="inlineStr"/>
      <c r="L218" s="8" t="n">
        <v>66702</v>
      </c>
      <c r="M218" s="8" t="n">
        <v>0</v>
      </c>
      <c r="N218" s="7" t="inlineStr"/>
      <c r="O218" s="7" t="inlineStr"/>
      <c r="P218" s="7" t="inlineStr"/>
      <c r="Q218" s="7" t="inlineStr"/>
      <c r="R218" s="7" t="inlineStr"/>
    </row>
    <row r="219">
      <c r="A219" s="7" t="inlineStr">
        <is>
          <t>1</t>
        </is>
      </c>
      <c r="B219" s="7" t="inlineStr">
        <is>
          <t>G00073</t>
        </is>
      </c>
      <c r="C219" s="7" t="inlineStr">
        <is>
          <t>20260225</t>
        </is>
      </c>
      <c r="D219" s="7" t="inlineStr">
        <is>
          <t>N°2026000073</t>
        </is>
      </c>
      <c r="E219" s="7" t="inlineStr">
        <is>
          <t>DJENNADI REYAD</t>
        </is>
      </c>
      <c r="F219" s="7" t="inlineStr">
        <is>
          <t>06002</t>
        </is>
      </c>
      <c r="G219" s="7" t="inlineStr">
        <is>
          <t>70001</t>
        </is>
      </c>
      <c r="H219" s="7" t="inlineStr"/>
      <c r="I219" s="7" t="inlineStr"/>
      <c r="J219" s="7" t="inlineStr"/>
      <c r="K219" s="7" t="inlineStr"/>
      <c r="L219" s="8" t="n">
        <v>0</v>
      </c>
      <c r="M219" s="8" t="n">
        <v>56052.1</v>
      </c>
      <c r="N219" s="7" t="inlineStr"/>
      <c r="O219" s="7" t="inlineStr"/>
      <c r="P219" s="7" t="inlineStr"/>
      <c r="Q219" s="7" t="inlineStr"/>
      <c r="R219" s="7" t="inlineStr"/>
    </row>
    <row r="220">
      <c r="A220" s="7" t="inlineStr">
        <is>
          <t>1</t>
        </is>
      </c>
      <c r="B220" s="7" t="inlineStr">
        <is>
          <t>G00073</t>
        </is>
      </c>
      <c r="C220" s="7" t="inlineStr">
        <is>
          <t>20260225</t>
        </is>
      </c>
      <c r="D220" s="7" t="inlineStr">
        <is>
          <t>N°2026000073</t>
        </is>
      </c>
      <c r="E220" s="7" t="inlineStr">
        <is>
          <t>DJENNADI REYAD</t>
        </is>
      </c>
      <c r="F220" s="7" t="inlineStr">
        <is>
          <t>06002</t>
        </is>
      </c>
      <c r="G220" s="7" t="inlineStr">
        <is>
          <t>44517</t>
        </is>
      </c>
      <c r="H220" s="7" t="inlineStr"/>
      <c r="I220" s="7" t="inlineStr"/>
      <c r="J220" s="7" t="inlineStr"/>
      <c r="K220" s="7" t="inlineStr"/>
      <c r="L220" s="8" t="n">
        <v>0</v>
      </c>
      <c r="M220" s="8" t="n">
        <v>10649.9</v>
      </c>
      <c r="N220" s="7" t="inlineStr"/>
      <c r="O220" s="7" t="inlineStr"/>
      <c r="P220" s="7" t="inlineStr"/>
      <c r="Q220" s="7" t="inlineStr"/>
      <c r="R220" s="7" t="inlineStr"/>
    </row>
    <row r="221">
      <c r="A221" s="7" t="inlineStr">
        <is>
          <t>1</t>
        </is>
      </c>
      <c r="B221" s="7" t="inlineStr">
        <is>
          <t>G00074</t>
        </is>
      </c>
      <c r="C221" s="7" t="inlineStr">
        <is>
          <t>20260225</t>
        </is>
      </c>
      <c r="D221" s="7" t="inlineStr">
        <is>
          <t>N°2026000074</t>
        </is>
      </c>
      <c r="E221" s="7" t="inlineStr">
        <is>
          <t>DJENNADI REYAD</t>
        </is>
      </c>
      <c r="F221" s="7" t="inlineStr">
        <is>
          <t>06002</t>
        </is>
      </c>
      <c r="G221" s="7" t="inlineStr">
        <is>
          <t>41100</t>
        </is>
      </c>
      <c r="H221" s="7" t="inlineStr">
        <is>
          <t>C164</t>
        </is>
      </c>
      <c r="I221" s="7" t="inlineStr"/>
      <c r="J221" s="7" t="inlineStr"/>
      <c r="K221" s="7" t="inlineStr"/>
      <c r="L221" s="8" t="n">
        <v>55386</v>
      </c>
      <c r="M221" s="8" t="n">
        <v>0</v>
      </c>
      <c r="N221" s="7" t="inlineStr"/>
      <c r="O221" s="7" t="inlineStr"/>
      <c r="P221" s="7" t="inlineStr"/>
      <c r="Q221" s="7" t="inlineStr"/>
      <c r="R221" s="7" t="inlineStr"/>
    </row>
    <row r="222">
      <c r="A222" s="7" t="inlineStr">
        <is>
          <t>1</t>
        </is>
      </c>
      <c r="B222" s="7" t="inlineStr">
        <is>
          <t>G00074</t>
        </is>
      </c>
      <c r="C222" s="7" t="inlineStr">
        <is>
          <t>20260225</t>
        </is>
      </c>
      <c r="D222" s="7" t="inlineStr">
        <is>
          <t>N°2026000074</t>
        </is>
      </c>
      <c r="E222" s="7" t="inlineStr">
        <is>
          <t>DJENNADI REYAD</t>
        </is>
      </c>
      <c r="F222" s="7" t="inlineStr">
        <is>
          <t>06002</t>
        </is>
      </c>
      <c r="G222" s="7" t="inlineStr">
        <is>
          <t>70001</t>
        </is>
      </c>
      <c r="H222" s="7" t="inlineStr"/>
      <c r="I222" s="7" t="inlineStr"/>
      <c r="J222" s="7" t="inlineStr"/>
      <c r="K222" s="7" t="inlineStr"/>
      <c r="L222" s="8" t="n">
        <v>0</v>
      </c>
      <c r="M222" s="8" t="n">
        <v>46542.86</v>
      </c>
      <c r="N222" s="7" t="inlineStr"/>
      <c r="O222" s="7" t="inlineStr"/>
      <c r="P222" s="7" t="inlineStr"/>
      <c r="Q222" s="7" t="inlineStr"/>
      <c r="R222" s="7" t="inlineStr"/>
    </row>
    <row r="223">
      <c r="A223" s="7" t="inlineStr">
        <is>
          <t>1</t>
        </is>
      </c>
      <c r="B223" s="7" t="inlineStr">
        <is>
          <t>G00074</t>
        </is>
      </c>
      <c r="C223" s="7" t="inlineStr">
        <is>
          <t>20260225</t>
        </is>
      </c>
      <c r="D223" s="7" t="inlineStr">
        <is>
          <t>N°2026000074</t>
        </is>
      </c>
      <c r="E223" s="7" t="inlineStr">
        <is>
          <t>DJENNADI REYAD</t>
        </is>
      </c>
      <c r="F223" s="7" t="inlineStr">
        <is>
          <t>06002</t>
        </is>
      </c>
      <c r="G223" s="7" t="inlineStr">
        <is>
          <t>44517</t>
        </is>
      </c>
      <c r="H223" s="7" t="inlineStr"/>
      <c r="I223" s="7" t="inlineStr"/>
      <c r="J223" s="7" t="inlineStr"/>
      <c r="K223" s="7" t="inlineStr"/>
      <c r="L223" s="8" t="n">
        <v>0</v>
      </c>
      <c r="M223" s="8" t="n">
        <v>8843.139999999999</v>
      </c>
      <c r="N223" s="7" t="inlineStr"/>
      <c r="O223" s="7" t="inlineStr"/>
      <c r="P223" s="7" t="inlineStr"/>
      <c r="Q223" s="7" t="inlineStr"/>
      <c r="R223" s="7" t="inlineStr"/>
    </row>
    <row r="224">
      <c r="A224" s="7" t="inlineStr">
        <is>
          <t>1</t>
        </is>
      </c>
      <c r="B224" s="7" t="inlineStr">
        <is>
          <t>G00075</t>
        </is>
      </c>
      <c r="C224" s="7" t="inlineStr">
        <is>
          <t>20260225</t>
        </is>
      </c>
      <c r="D224" s="7" t="inlineStr">
        <is>
          <t>N°2026000075</t>
        </is>
      </c>
      <c r="E224" s="7" t="inlineStr">
        <is>
          <t>DJENNADI REYAD</t>
        </is>
      </c>
      <c r="F224" s="7" t="inlineStr">
        <is>
          <t>06002</t>
        </is>
      </c>
      <c r="G224" s="7" t="inlineStr">
        <is>
          <t>41100</t>
        </is>
      </c>
      <c r="H224" s="7" t="inlineStr">
        <is>
          <t>C164</t>
        </is>
      </c>
      <c r="I224" s="7" t="inlineStr"/>
      <c r="J224" s="7" t="inlineStr"/>
      <c r="K224" s="7" t="inlineStr"/>
      <c r="L224" s="8" t="n">
        <v>72387</v>
      </c>
      <c r="M224" s="8" t="n">
        <v>0</v>
      </c>
      <c r="N224" s="7" t="inlineStr"/>
      <c r="O224" s="7" t="inlineStr"/>
      <c r="P224" s="7" t="inlineStr"/>
      <c r="Q224" s="7" t="inlineStr"/>
      <c r="R224" s="7" t="inlineStr"/>
    </row>
    <row r="225">
      <c r="A225" s="7" t="inlineStr">
        <is>
          <t>1</t>
        </is>
      </c>
      <c r="B225" s="7" t="inlineStr">
        <is>
          <t>G00075</t>
        </is>
      </c>
      <c r="C225" s="7" t="inlineStr">
        <is>
          <t>20260225</t>
        </is>
      </c>
      <c r="D225" s="7" t="inlineStr">
        <is>
          <t>N°2026000075</t>
        </is>
      </c>
      <c r="E225" s="7" t="inlineStr">
        <is>
          <t>DJENNADI REYAD</t>
        </is>
      </c>
      <c r="F225" s="7" t="inlineStr">
        <is>
          <t>06002</t>
        </is>
      </c>
      <c r="G225" s="7" t="inlineStr">
        <is>
          <t>70001</t>
        </is>
      </c>
      <c r="H225" s="7" t="inlineStr"/>
      <c r="I225" s="7" t="inlineStr"/>
      <c r="J225" s="7" t="inlineStr"/>
      <c r="K225" s="7" t="inlineStr"/>
      <c r="L225" s="8" t="n">
        <v>0</v>
      </c>
      <c r="M225" s="8" t="n">
        <v>60829.41</v>
      </c>
      <c r="N225" s="7" t="inlineStr"/>
      <c r="O225" s="7" t="inlineStr"/>
      <c r="P225" s="7" t="inlineStr"/>
      <c r="Q225" s="7" t="inlineStr"/>
      <c r="R225" s="7" t="inlineStr"/>
    </row>
    <row r="226">
      <c r="A226" s="7" t="inlineStr">
        <is>
          <t>1</t>
        </is>
      </c>
      <c r="B226" s="7" t="inlineStr">
        <is>
          <t>G00075</t>
        </is>
      </c>
      <c r="C226" s="7" t="inlineStr">
        <is>
          <t>20260225</t>
        </is>
      </c>
      <c r="D226" s="7" t="inlineStr">
        <is>
          <t>N°2026000075</t>
        </is>
      </c>
      <c r="E226" s="7" t="inlineStr">
        <is>
          <t>DJENNADI REYAD</t>
        </is>
      </c>
      <c r="F226" s="7" t="inlineStr">
        <is>
          <t>06002</t>
        </is>
      </c>
      <c r="G226" s="7" t="inlineStr">
        <is>
          <t>44517</t>
        </is>
      </c>
      <c r="H226" s="7" t="inlineStr"/>
      <c r="I226" s="7" t="inlineStr"/>
      <c r="J226" s="7" t="inlineStr"/>
      <c r="K226" s="7" t="inlineStr"/>
      <c r="L226" s="8" t="n">
        <v>0</v>
      </c>
      <c r="M226" s="8" t="n">
        <v>11557.59</v>
      </c>
      <c r="N226" s="7" t="inlineStr"/>
      <c r="O226" s="7" t="inlineStr"/>
      <c r="P226" s="7" t="inlineStr"/>
      <c r="Q226" s="7" t="inlineStr"/>
      <c r="R226" s="7" t="inlineStr"/>
    </row>
    <row r="227">
      <c r="A227" s="7" t="inlineStr">
        <is>
          <t>1</t>
        </is>
      </c>
      <c r="B227" s="7" t="inlineStr">
        <is>
          <t>G00076</t>
        </is>
      </c>
      <c r="C227" s="7" t="inlineStr">
        <is>
          <t>20260225</t>
        </is>
      </c>
      <c r="D227" s="7" t="inlineStr">
        <is>
          <t>N°2026000076</t>
        </is>
      </c>
      <c r="E227" s="7" t="inlineStr">
        <is>
          <t>DJENNADI REYAD</t>
        </is>
      </c>
      <c r="F227" s="7" t="inlineStr">
        <is>
          <t>06002</t>
        </is>
      </c>
      <c r="G227" s="7" t="inlineStr">
        <is>
          <t>41100</t>
        </is>
      </c>
      <c r="H227" s="7" t="inlineStr">
        <is>
          <t>C164</t>
        </is>
      </c>
      <c r="I227" s="7" t="inlineStr"/>
      <c r="J227" s="7" t="inlineStr"/>
      <c r="K227" s="7" t="inlineStr"/>
      <c r="L227" s="8" t="n">
        <v>57753</v>
      </c>
      <c r="M227" s="8" t="n">
        <v>0</v>
      </c>
      <c r="N227" s="7" t="inlineStr"/>
      <c r="O227" s="7" t="inlineStr"/>
      <c r="P227" s="7" t="inlineStr"/>
      <c r="Q227" s="7" t="inlineStr"/>
      <c r="R227" s="7" t="inlineStr"/>
    </row>
    <row r="228">
      <c r="A228" s="7" t="inlineStr">
        <is>
          <t>1</t>
        </is>
      </c>
      <c r="B228" s="7" t="inlineStr">
        <is>
          <t>G00076</t>
        </is>
      </c>
      <c r="C228" s="7" t="inlineStr">
        <is>
          <t>20260225</t>
        </is>
      </c>
      <c r="D228" s="7" t="inlineStr">
        <is>
          <t>N°2026000076</t>
        </is>
      </c>
      <c r="E228" s="7" t="inlineStr">
        <is>
          <t>DJENNADI REYAD</t>
        </is>
      </c>
      <c r="F228" s="7" t="inlineStr">
        <is>
          <t>06002</t>
        </is>
      </c>
      <c r="G228" s="7" t="inlineStr">
        <is>
          <t>70001</t>
        </is>
      </c>
      <c r="H228" s="7" t="inlineStr"/>
      <c r="I228" s="7" t="inlineStr"/>
      <c r="J228" s="7" t="inlineStr"/>
      <c r="K228" s="7" t="inlineStr"/>
      <c r="L228" s="8" t="n">
        <v>0</v>
      </c>
      <c r="M228" s="8" t="n">
        <v>48531.93</v>
      </c>
      <c r="N228" s="7" t="inlineStr"/>
      <c r="O228" s="7" t="inlineStr"/>
      <c r="P228" s="7" t="inlineStr"/>
      <c r="Q228" s="7" t="inlineStr"/>
      <c r="R228" s="7" t="inlineStr"/>
    </row>
    <row r="229">
      <c r="A229" s="7" t="inlineStr">
        <is>
          <t>1</t>
        </is>
      </c>
      <c r="B229" s="7" t="inlineStr">
        <is>
          <t>G00076</t>
        </is>
      </c>
      <c r="C229" s="7" t="inlineStr">
        <is>
          <t>20260225</t>
        </is>
      </c>
      <c r="D229" s="7" t="inlineStr">
        <is>
          <t>N°2026000076</t>
        </is>
      </c>
      <c r="E229" s="7" t="inlineStr">
        <is>
          <t>DJENNADI REYAD</t>
        </is>
      </c>
      <c r="F229" s="7" t="inlineStr">
        <is>
          <t>06002</t>
        </is>
      </c>
      <c r="G229" s="7" t="inlineStr">
        <is>
          <t>44517</t>
        </is>
      </c>
      <c r="H229" s="7" t="inlineStr"/>
      <c r="I229" s="7" t="inlineStr"/>
      <c r="J229" s="7" t="inlineStr"/>
      <c r="K229" s="7" t="inlineStr"/>
      <c r="L229" s="8" t="n">
        <v>0</v>
      </c>
      <c r="M229" s="8" t="n">
        <v>9221.07</v>
      </c>
      <c r="N229" s="7" t="inlineStr"/>
      <c r="O229" s="7" t="inlineStr"/>
      <c r="P229" s="7" t="inlineStr"/>
      <c r="Q229" s="7" t="inlineStr"/>
      <c r="R229" s="7" t="inlineStr"/>
    </row>
    <row r="230">
      <c r="A230" s="7" t="inlineStr">
        <is>
          <t>1</t>
        </is>
      </c>
      <c r="B230" s="7" t="inlineStr">
        <is>
          <t>G00077</t>
        </is>
      </c>
      <c r="C230" s="7" t="inlineStr">
        <is>
          <t>20260225</t>
        </is>
      </c>
      <c r="D230" s="7" t="inlineStr">
        <is>
          <t>N°2026000077</t>
        </is>
      </c>
      <c r="E230" s="7" t="inlineStr">
        <is>
          <t>DJENNADI REYAD</t>
        </is>
      </c>
      <c r="F230" s="7" t="inlineStr">
        <is>
          <t>06002</t>
        </is>
      </c>
      <c r="G230" s="7" t="inlineStr">
        <is>
          <t>41100</t>
        </is>
      </c>
      <c r="H230" s="7" t="inlineStr">
        <is>
          <t>C164</t>
        </is>
      </c>
      <c r="I230" s="7" t="inlineStr"/>
      <c r="J230" s="7" t="inlineStr"/>
      <c r="K230" s="7" t="inlineStr"/>
      <c r="L230" s="8" t="n">
        <v>76119</v>
      </c>
      <c r="M230" s="8" t="n">
        <v>0</v>
      </c>
      <c r="N230" s="7" t="inlineStr"/>
      <c r="O230" s="7" t="inlineStr"/>
      <c r="P230" s="7" t="inlineStr"/>
      <c r="Q230" s="7" t="inlineStr"/>
      <c r="R230" s="7" t="inlineStr"/>
    </row>
    <row r="231">
      <c r="A231" s="7" t="inlineStr">
        <is>
          <t>1</t>
        </is>
      </c>
      <c r="B231" s="7" t="inlineStr">
        <is>
          <t>G00077</t>
        </is>
      </c>
      <c r="C231" s="7" t="inlineStr">
        <is>
          <t>20260225</t>
        </is>
      </c>
      <c r="D231" s="7" t="inlineStr">
        <is>
          <t>N°2026000077</t>
        </is>
      </c>
      <c r="E231" s="7" t="inlineStr">
        <is>
          <t>DJENNADI REYAD</t>
        </is>
      </c>
      <c r="F231" s="7" t="inlineStr">
        <is>
          <t>06002</t>
        </is>
      </c>
      <c r="G231" s="7" t="inlineStr">
        <is>
          <t>70001</t>
        </is>
      </c>
      <c r="H231" s="7" t="inlineStr"/>
      <c r="I231" s="7" t="inlineStr"/>
      <c r="J231" s="7" t="inlineStr"/>
      <c r="K231" s="7" t="inlineStr"/>
      <c r="L231" s="8" t="n">
        <v>0</v>
      </c>
      <c r="M231" s="8" t="n">
        <v>63965.55</v>
      </c>
      <c r="N231" s="7" t="inlineStr"/>
      <c r="O231" s="7" t="inlineStr"/>
      <c r="P231" s="7" t="inlineStr"/>
      <c r="Q231" s="7" t="inlineStr"/>
      <c r="R231" s="7" t="inlineStr"/>
    </row>
    <row r="232">
      <c r="A232" s="7" t="inlineStr">
        <is>
          <t>1</t>
        </is>
      </c>
      <c r="B232" s="7" t="inlineStr">
        <is>
          <t>G00077</t>
        </is>
      </c>
      <c r="C232" s="7" t="inlineStr">
        <is>
          <t>20260225</t>
        </is>
      </c>
      <c r="D232" s="7" t="inlineStr">
        <is>
          <t>N°2026000077</t>
        </is>
      </c>
      <c r="E232" s="7" t="inlineStr">
        <is>
          <t>DJENNADI REYAD</t>
        </is>
      </c>
      <c r="F232" s="7" t="inlineStr">
        <is>
          <t>06002</t>
        </is>
      </c>
      <c r="G232" s="7" t="inlineStr">
        <is>
          <t>44517</t>
        </is>
      </c>
      <c r="H232" s="7" t="inlineStr"/>
      <c r="I232" s="7" t="inlineStr"/>
      <c r="J232" s="7" t="inlineStr"/>
      <c r="K232" s="7" t="inlineStr"/>
      <c r="L232" s="8" t="n">
        <v>0</v>
      </c>
      <c r="M232" s="8" t="n">
        <v>12153.45</v>
      </c>
      <c r="N232" s="7" t="inlineStr"/>
      <c r="O232" s="7" t="inlineStr"/>
      <c r="P232" s="7" t="inlineStr"/>
      <c r="Q232" s="7" t="inlineStr"/>
      <c r="R232" s="7" t="inlineStr"/>
    </row>
    <row r="233">
      <c r="A233" s="7" t="inlineStr">
        <is>
          <t>1</t>
        </is>
      </c>
      <c r="B233" s="7" t="inlineStr">
        <is>
          <t>G00078</t>
        </is>
      </c>
      <c r="C233" s="7" t="inlineStr">
        <is>
          <t>20260225</t>
        </is>
      </c>
      <c r="D233" s="7" t="inlineStr">
        <is>
          <t>N°2026000078</t>
        </is>
      </c>
      <c r="E233" s="7" t="inlineStr">
        <is>
          <t>DJOUDI SMAIL</t>
        </is>
      </c>
      <c r="F233" s="7" t="inlineStr">
        <is>
          <t>06002</t>
        </is>
      </c>
      <c r="G233" s="7" t="inlineStr">
        <is>
          <t>41100</t>
        </is>
      </c>
      <c r="H233" s="7" t="inlineStr">
        <is>
          <t>C186</t>
        </is>
      </c>
      <c r="I233" s="7" t="inlineStr"/>
      <c r="J233" s="7" t="inlineStr"/>
      <c r="K233" s="7" t="inlineStr"/>
      <c r="L233" s="8" t="n">
        <v>114240</v>
      </c>
      <c r="M233" s="8" t="n">
        <v>0</v>
      </c>
      <c r="N233" s="7" t="inlineStr"/>
      <c r="O233" s="7" t="inlineStr"/>
      <c r="P233" s="7" t="inlineStr"/>
      <c r="Q233" s="7" t="inlineStr"/>
      <c r="R233" s="7" t="inlineStr"/>
    </row>
    <row r="234">
      <c r="A234" s="7" t="inlineStr">
        <is>
          <t>1</t>
        </is>
      </c>
      <c r="B234" s="7" t="inlineStr">
        <is>
          <t>G00078</t>
        </is>
      </c>
      <c r="C234" s="7" t="inlineStr">
        <is>
          <t>20260225</t>
        </is>
      </c>
      <c r="D234" s="7" t="inlineStr">
        <is>
          <t>N°2026000078</t>
        </is>
      </c>
      <c r="E234" s="7" t="inlineStr">
        <is>
          <t>DJOUDI SMAIL</t>
        </is>
      </c>
      <c r="F234" s="7" t="inlineStr">
        <is>
          <t>06002</t>
        </is>
      </c>
      <c r="G234" s="7" t="inlineStr">
        <is>
          <t>70001</t>
        </is>
      </c>
      <c r="H234" s="7" t="inlineStr"/>
      <c r="I234" s="7" t="inlineStr"/>
      <c r="J234" s="7" t="inlineStr"/>
      <c r="K234" s="7" t="inlineStr"/>
      <c r="L234" s="8" t="n">
        <v>0</v>
      </c>
      <c r="M234" s="8" t="n">
        <v>96000</v>
      </c>
      <c r="N234" s="7" t="inlineStr"/>
      <c r="O234" s="7" t="inlineStr"/>
      <c r="P234" s="7" t="inlineStr"/>
      <c r="Q234" s="7" t="inlineStr"/>
      <c r="R234" s="7" t="inlineStr"/>
    </row>
    <row r="235">
      <c r="A235" s="7" t="inlineStr">
        <is>
          <t>1</t>
        </is>
      </c>
      <c r="B235" s="7" t="inlineStr">
        <is>
          <t>G00078</t>
        </is>
      </c>
      <c r="C235" s="7" t="inlineStr">
        <is>
          <t>20260225</t>
        </is>
      </c>
      <c r="D235" s="7" t="inlineStr">
        <is>
          <t>N°2026000078</t>
        </is>
      </c>
      <c r="E235" s="7" t="inlineStr">
        <is>
          <t>DJOUDI SMAIL</t>
        </is>
      </c>
      <c r="F235" s="7" t="inlineStr">
        <is>
          <t>06002</t>
        </is>
      </c>
      <c r="G235" s="7" t="inlineStr">
        <is>
          <t>44517</t>
        </is>
      </c>
      <c r="H235" s="7" t="inlineStr"/>
      <c r="I235" s="7" t="inlineStr"/>
      <c r="J235" s="7" t="inlineStr"/>
      <c r="K235" s="7" t="inlineStr"/>
      <c r="L235" s="8" t="n">
        <v>0</v>
      </c>
      <c r="M235" s="8" t="n">
        <v>18240</v>
      </c>
      <c r="N235" s="7" t="inlineStr"/>
      <c r="O235" s="7" t="inlineStr"/>
      <c r="P235" s="7" t="inlineStr"/>
      <c r="Q235" s="7" t="inlineStr"/>
      <c r="R235" s="7" t="inlineStr"/>
    </row>
    <row r="236">
      <c r="A236" s="7" t="inlineStr">
        <is>
          <t>1</t>
        </is>
      </c>
      <c r="B236" s="7" t="inlineStr">
        <is>
          <t>G00079</t>
        </is>
      </c>
      <c r="C236" s="7" t="inlineStr">
        <is>
          <t>20260225</t>
        </is>
      </c>
      <c r="D236" s="7" t="inlineStr">
        <is>
          <t>N°2026000079</t>
        </is>
      </c>
      <c r="E236" s="7" t="inlineStr">
        <is>
          <t>DJENNADI REYAD</t>
        </is>
      </c>
      <c r="F236" s="7" t="inlineStr">
        <is>
          <t>06002</t>
        </is>
      </c>
      <c r="G236" s="7" t="inlineStr">
        <is>
          <t>41100</t>
        </is>
      </c>
      <c r="H236" s="7" t="inlineStr">
        <is>
          <t>C164</t>
        </is>
      </c>
      <c r="I236" s="7" t="inlineStr"/>
      <c r="J236" s="7" t="inlineStr"/>
      <c r="K236" s="7" t="inlineStr"/>
      <c r="L236" s="8" t="n">
        <v>72076</v>
      </c>
      <c r="M236" s="8" t="n">
        <v>0</v>
      </c>
      <c r="N236" s="7" t="inlineStr"/>
      <c r="O236" s="7" t="inlineStr"/>
      <c r="P236" s="7" t="inlineStr"/>
      <c r="Q236" s="7" t="inlineStr"/>
      <c r="R236" s="7" t="inlineStr"/>
    </row>
    <row r="237">
      <c r="A237" s="7" t="inlineStr">
        <is>
          <t>1</t>
        </is>
      </c>
      <c r="B237" s="7" t="inlineStr">
        <is>
          <t>G00079</t>
        </is>
      </c>
      <c r="C237" s="7" t="inlineStr">
        <is>
          <t>20260225</t>
        </is>
      </c>
      <c r="D237" s="7" t="inlineStr">
        <is>
          <t>N°2026000079</t>
        </is>
      </c>
      <c r="E237" s="7" t="inlineStr">
        <is>
          <t>DJENNADI REYAD</t>
        </is>
      </c>
      <c r="F237" s="7" t="inlineStr">
        <is>
          <t>06002</t>
        </is>
      </c>
      <c r="G237" s="7" t="inlineStr">
        <is>
          <t>70001</t>
        </is>
      </c>
      <c r="H237" s="7" t="inlineStr"/>
      <c r="I237" s="7" t="inlineStr"/>
      <c r="J237" s="7" t="inlineStr"/>
      <c r="K237" s="7" t="inlineStr"/>
      <c r="L237" s="8" t="n">
        <v>0</v>
      </c>
      <c r="M237" s="8" t="n">
        <v>60568.07</v>
      </c>
      <c r="N237" s="7" t="inlineStr"/>
      <c r="O237" s="7" t="inlineStr"/>
      <c r="P237" s="7" t="inlineStr"/>
      <c r="Q237" s="7" t="inlineStr"/>
      <c r="R237" s="7" t="inlineStr"/>
    </row>
    <row r="238">
      <c r="A238" s="7" t="inlineStr">
        <is>
          <t>1</t>
        </is>
      </c>
      <c r="B238" s="7" t="inlineStr">
        <is>
          <t>G00079</t>
        </is>
      </c>
      <c r="C238" s="7" t="inlineStr">
        <is>
          <t>20260225</t>
        </is>
      </c>
      <c r="D238" s="7" t="inlineStr">
        <is>
          <t>N°2026000079</t>
        </is>
      </c>
      <c r="E238" s="7" t="inlineStr">
        <is>
          <t>DJENNADI REYAD</t>
        </is>
      </c>
      <c r="F238" s="7" t="inlineStr">
        <is>
          <t>06002</t>
        </is>
      </c>
      <c r="G238" s="7" t="inlineStr">
        <is>
          <t>44517</t>
        </is>
      </c>
      <c r="H238" s="7" t="inlineStr"/>
      <c r="I238" s="7" t="inlineStr"/>
      <c r="J238" s="7" t="inlineStr"/>
      <c r="K238" s="7" t="inlineStr"/>
      <c r="L238" s="8" t="n">
        <v>0</v>
      </c>
      <c r="M238" s="8" t="n">
        <v>11507.93</v>
      </c>
      <c r="N238" s="7" t="inlineStr"/>
      <c r="O238" s="7" t="inlineStr"/>
      <c r="P238" s="7" t="inlineStr"/>
      <c r="Q238" s="7" t="inlineStr"/>
      <c r="R238" s="7" t="inlineStr"/>
    </row>
    <row r="239">
      <c r="A239" s="7" t="inlineStr">
        <is>
          <t>1</t>
        </is>
      </c>
      <c r="B239" s="7" t="inlineStr">
        <is>
          <t>G00080</t>
        </is>
      </c>
      <c r="C239" s="7" t="inlineStr">
        <is>
          <t>20260225</t>
        </is>
      </c>
      <c r="D239" s="7" t="inlineStr">
        <is>
          <t>N°2026000080</t>
        </is>
      </c>
      <c r="E239" s="7" t="inlineStr">
        <is>
          <t>DJENNADI REYAD</t>
        </is>
      </c>
      <c r="F239" s="7" t="inlineStr">
        <is>
          <t>06002</t>
        </is>
      </c>
      <c r="G239" s="7" t="inlineStr">
        <is>
          <t>41100</t>
        </is>
      </c>
      <c r="H239" s="7" t="inlineStr">
        <is>
          <t>C164</t>
        </is>
      </c>
      <c r="I239" s="7" t="inlineStr"/>
      <c r="J239" s="7" t="inlineStr"/>
      <c r="K239" s="7" t="inlineStr"/>
      <c r="L239" s="8" t="n">
        <v>75002</v>
      </c>
      <c r="M239" s="8" t="n">
        <v>0</v>
      </c>
      <c r="N239" s="7" t="inlineStr"/>
      <c r="O239" s="7" t="inlineStr"/>
      <c r="P239" s="7" t="inlineStr"/>
      <c r="Q239" s="7" t="inlineStr"/>
      <c r="R239" s="7" t="inlineStr"/>
    </row>
    <row r="240">
      <c r="A240" s="7" t="inlineStr">
        <is>
          <t>1</t>
        </is>
      </c>
      <c r="B240" s="7" t="inlineStr">
        <is>
          <t>G00080</t>
        </is>
      </c>
      <c r="C240" s="7" t="inlineStr">
        <is>
          <t>20260225</t>
        </is>
      </c>
      <c r="D240" s="7" t="inlineStr">
        <is>
          <t>N°2026000080</t>
        </is>
      </c>
      <c r="E240" s="7" t="inlineStr">
        <is>
          <t>DJENNADI REYAD</t>
        </is>
      </c>
      <c r="F240" s="7" t="inlineStr">
        <is>
          <t>06002</t>
        </is>
      </c>
      <c r="G240" s="7" t="inlineStr">
        <is>
          <t>70001</t>
        </is>
      </c>
      <c r="H240" s="7" t="inlineStr"/>
      <c r="I240" s="7" t="inlineStr"/>
      <c r="J240" s="7" t="inlineStr"/>
      <c r="K240" s="7" t="inlineStr"/>
      <c r="L240" s="8" t="n">
        <v>0</v>
      </c>
      <c r="M240" s="8" t="n">
        <v>63026.89</v>
      </c>
      <c r="N240" s="7" t="inlineStr"/>
      <c r="O240" s="7" t="inlineStr"/>
      <c r="P240" s="7" t="inlineStr"/>
      <c r="Q240" s="7" t="inlineStr"/>
      <c r="R240" s="7" t="inlineStr"/>
    </row>
    <row r="241">
      <c r="A241" s="7" t="inlineStr">
        <is>
          <t>1</t>
        </is>
      </c>
      <c r="B241" s="7" t="inlineStr">
        <is>
          <t>G00080</t>
        </is>
      </c>
      <c r="C241" s="7" t="inlineStr">
        <is>
          <t>20260225</t>
        </is>
      </c>
      <c r="D241" s="7" t="inlineStr">
        <is>
          <t>N°2026000080</t>
        </is>
      </c>
      <c r="E241" s="7" t="inlineStr">
        <is>
          <t>DJENNADI REYAD</t>
        </is>
      </c>
      <c r="F241" s="7" t="inlineStr">
        <is>
          <t>06002</t>
        </is>
      </c>
      <c r="G241" s="7" t="inlineStr">
        <is>
          <t>44517</t>
        </is>
      </c>
      <c r="H241" s="7" t="inlineStr"/>
      <c r="I241" s="7" t="inlineStr"/>
      <c r="J241" s="7" t="inlineStr"/>
      <c r="K241" s="7" t="inlineStr"/>
      <c r="L241" s="8" t="n">
        <v>0</v>
      </c>
      <c r="M241" s="8" t="n">
        <v>11975.11</v>
      </c>
      <c r="N241" s="7" t="inlineStr"/>
      <c r="O241" s="7" t="inlineStr"/>
      <c r="P241" s="7" t="inlineStr"/>
      <c r="Q241" s="7" t="inlineStr"/>
      <c r="R241" s="7" t="inlineStr"/>
    </row>
    <row r="242">
      <c r="A242" s="7" t="inlineStr">
        <is>
          <t>1</t>
        </is>
      </c>
      <c r="B242" s="7" t="inlineStr">
        <is>
          <t>G00081</t>
        </is>
      </c>
      <c r="C242" s="7" t="inlineStr">
        <is>
          <t>20260225</t>
        </is>
      </c>
      <c r="D242" s="7" t="inlineStr">
        <is>
          <t>N°2026000081</t>
        </is>
      </c>
      <c r="E242" s="7" t="inlineStr">
        <is>
          <t>DJENNADI REYAD</t>
        </is>
      </c>
      <c r="F242" s="7" t="inlineStr">
        <is>
          <t>06002</t>
        </is>
      </c>
      <c r="G242" s="7" t="inlineStr">
        <is>
          <t>41100</t>
        </is>
      </c>
      <c r="H242" s="7" t="inlineStr">
        <is>
          <t>C164</t>
        </is>
      </c>
      <c r="I242" s="7" t="inlineStr"/>
      <c r="J242" s="7" t="inlineStr"/>
      <c r="K242" s="7" t="inlineStr"/>
      <c r="L242" s="8" t="n">
        <v>68908</v>
      </c>
      <c r="M242" s="8" t="n">
        <v>0</v>
      </c>
      <c r="N242" s="7" t="inlineStr"/>
      <c r="O242" s="7" t="inlineStr"/>
      <c r="P242" s="7" t="inlineStr"/>
      <c r="Q242" s="7" t="inlineStr"/>
      <c r="R242" s="7" t="inlineStr"/>
    </row>
    <row r="243">
      <c r="A243" s="7" t="inlineStr">
        <is>
          <t>1</t>
        </is>
      </c>
      <c r="B243" s="7" t="inlineStr">
        <is>
          <t>G00081</t>
        </is>
      </c>
      <c r="C243" s="7" t="inlineStr">
        <is>
          <t>20260225</t>
        </is>
      </c>
      <c r="D243" s="7" t="inlineStr">
        <is>
          <t>N°2026000081</t>
        </is>
      </c>
      <c r="E243" s="7" t="inlineStr">
        <is>
          <t>DJENNADI REYAD</t>
        </is>
      </c>
      <c r="F243" s="7" t="inlineStr">
        <is>
          <t>06002</t>
        </is>
      </c>
      <c r="G243" s="7" t="inlineStr">
        <is>
          <t>70001</t>
        </is>
      </c>
      <c r="H243" s="7" t="inlineStr"/>
      <c r="I243" s="7" t="inlineStr"/>
      <c r="J243" s="7" t="inlineStr"/>
      <c r="K243" s="7" t="inlineStr"/>
      <c r="L243" s="8" t="n">
        <v>0</v>
      </c>
      <c r="M243" s="8" t="n">
        <v>57905.88</v>
      </c>
      <c r="N243" s="7" t="inlineStr"/>
      <c r="O243" s="7" t="inlineStr"/>
      <c r="P243" s="7" t="inlineStr"/>
      <c r="Q243" s="7" t="inlineStr"/>
      <c r="R243" s="7" t="inlineStr"/>
    </row>
    <row r="244">
      <c r="A244" s="7" t="inlineStr">
        <is>
          <t>1</t>
        </is>
      </c>
      <c r="B244" s="7" t="inlineStr">
        <is>
          <t>G00081</t>
        </is>
      </c>
      <c r="C244" s="7" t="inlineStr">
        <is>
          <t>20260225</t>
        </is>
      </c>
      <c r="D244" s="7" t="inlineStr">
        <is>
          <t>N°2026000081</t>
        </is>
      </c>
      <c r="E244" s="7" t="inlineStr">
        <is>
          <t>DJENNADI REYAD</t>
        </is>
      </c>
      <c r="F244" s="7" t="inlineStr">
        <is>
          <t>06002</t>
        </is>
      </c>
      <c r="G244" s="7" t="inlineStr">
        <is>
          <t>44517</t>
        </is>
      </c>
      <c r="H244" s="7" t="inlineStr"/>
      <c r="I244" s="7" t="inlineStr"/>
      <c r="J244" s="7" t="inlineStr"/>
      <c r="K244" s="7" t="inlineStr"/>
      <c r="L244" s="8" t="n">
        <v>0</v>
      </c>
      <c r="M244" s="8" t="n">
        <v>11002.12</v>
      </c>
      <c r="N244" s="7" t="inlineStr"/>
      <c r="O244" s="7" t="inlineStr"/>
      <c r="P244" s="7" t="inlineStr"/>
      <c r="Q244" s="7" t="inlineStr"/>
      <c r="R244" s="7" t="inlineStr"/>
    </row>
    <row r="245">
      <c r="A245" s="7" t="inlineStr">
        <is>
          <t>1</t>
        </is>
      </c>
      <c r="B245" s="7" t="inlineStr">
        <is>
          <t>G00082</t>
        </is>
      </c>
      <c r="C245" s="7" t="inlineStr">
        <is>
          <t>20260225</t>
        </is>
      </c>
      <c r="D245" s="7" t="inlineStr">
        <is>
          <t>N°2026000082</t>
        </is>
      </c>
      <c r="E245" s="7" t="inlineStr">
        <is>
          <t>DJOUDI SMAIL</t>
        </is>
      </c>
      <c r="F245" s="7" t="inlineStr">
        <is>
          <t>06002</t>
        </is>
      </c>
      <c r="G245" s="7" t="inlineStr">
        <is>
          <t>41100</t>
        </is>
      </c>
      <c r="H245" s="7" t="inlineStr">
        <is>
          <t>C186</t>
        </is>
      </c>
      <c r="I245" s="7" t="inlineStr"/>
      <c r="J245" s="7" t="inlineStr"/>
      <c r="K245" s="7" t="inlineStr"/>
      <c r="L245" s="8" t="n">
        <v>118239</v>
      </c>
      <c r="M245" s="8" t="n">
        <v>0</v>
      </c>
      <c r="N245" s="7" t="inlineStr"/>
      <c r="O245" s="7" t="inlineStr"/>
      <c r="P245" s="7" t="inlineStr"/>
      <c r="Q245" s="7" t="inlineStr"/>
      <c r="R245" s="7" t="inlineStr"/>
    </row>
    <row r="246">
      <c r="A246" s="7" t="inlineStr">
        <is>
          <t>1</t>
        </is>
      </c>
      <c r="B246" s="7" t="inlineStr">
        <is>
          <t>G00082</t>
        </is>
      </c>
      <c r="C246" s="7" t="inlineStr">
        <is>
          <t>20260225</t>
        </is>
      </c>
      <c r="D246" s="7" t="inlineStr">
        <is>
          <t>N°2026000082</t>
        </is>
      </c>
      <c r="E246" s="7" t="inlineStr">
        <is>
          <t>DJOUDI SMAIL</t>
        </is>
      </c>
      <c r="F246" s="7" t="inlineStr">
        <is>
          <t>06002</t>
        </is>
      </c>
      <c r="G246" s="7" t="inlineStr">
        <is>
          <t>70001</t>
        </is>
      </c>
      <c r="H246" s="7" t="inlineStr"/>
      <c r="I246" s="7" t="inlineStr"/>
      <c r="J246" s="7" t="inlineStr"/>
      <c r="K246" s="7" t="inlineStr"/>
      <c r="L246" s="8" t="n">
        <v>0</v>
      </c>
      <c r="M246" s="8" t="n">
        <v>99360.5</v>
      </c>
      <c r="N246" s="7" t="inlineStr"/>
      <c r="O246" s="7" t="inlineStr"/>
      <c r="P246" s="7" t="inlineStr"/>
      <c r="Q246" s="7" t="inlineStr"/>
      <c r="R246" s="7" t="inlineStr"/>
    </row>
    <row r="247">
      <c r="A247" s="7" t="inlineStr">
        <is>
          <t>1</t>
        </is>
      </c>
      <c r="B247" s="7" t="inlineStr">
        <is>
          <t>G00082</t>
        </is>
      </c>
      <c r="C247" s="7" t="inlineStr">
        <is>
          <t>20260225</t>
        </is>
      </c>
      <c r="D247" s="7" t="inlineStr">
        <is>
          <t>N°2026000082</t>
        </is>
      </c>
      <c r="E247" s="7" t="inlineStr">
        <is>
          <t>DJOUDI SMAIL</t>
        </is>
      </c>
      <c r="F247" s="7" t="inlineStr">
        <is>
          <t>06002</t>
        </is>
      </c>
      <c r="G247" s="7" t="inlineStr">
        <is>
          <t>44517</t>
        </is>
      </c>
      <c r="H247" s="7" t="inlineStr"/>
      <c r="I247" s="7" t="inlineStr"/>
      <c r="J247" s="7" t="inlineStr"/>
      <c r="K247" s="7" t="inlineStr"/>
      <c r="L247" s="8" t="n">
        <v>0</v>
      </c>
      <c r="M247" s="8" t="n">
        <v>18878.5</v>
      </c>
      <c r="N247" s="7" t="inlineStr"/>
      <c r="O247" s="7" t="inlineStr"/>
      <c r="P247" s="7" t="inlineStr"/>
      <c r="Q247" s="7" t="inlineStr"/>
      <c r="R247" s="7" t="inlineStr"/>
    </row>
    <row r="248">
      <c r="A248" s="7" t="inlineStr">
        <is>
          <t>1</t>
        </is>
      </c>
      <c r="B248" s="7" t="inlineStr">
        <is>
          <t>G00083</t>
        </is>
      </c>
      <c r="C248" s="7" t="inlineStr">
        <is>
          <t>20260225</t>
        </is>
      </c>
      <c r="D248" s="7" t="inlineStr">
        <is>
          <t>N°2026000083</t>
        </is>
      </c>
      <c r="E248" s="7" t="inlineStr">
        <is>
          <t>DJENNADI REYAD</t>
        </is>
      </c>
      <c r="F248" s="7" t="inlineStr">
        <is>
          <t>06002</t>
        </is>
      </c>
      <c r="G248" s="7" t="inlineStr">
        <is>
          <t>41100</t>
        </is>
      </c>
      <c r="H248" s="7" t="inlineStr">
        <is>
          <t>C164</t>
        </is>
      </c>
      <c r="I248" s="7" t="inlineStr"/>
      <c r="J248" s="7" t="inlineStr"/>
      <c r="K248" s="7" t="inlineStr"/>
      <c r="L248" s="8" t="n">
        <v>77597</v>
      </c>
      <c r="M248" s="8" t="n">
        <v>0</v>
      </c>
      <c r="N248" s="7" t="inlineStr"/>
      <c r="O248" s="7" t="inlineStr"/>
      <c r="P248" s="7" t="inlineStr"/>
      <c r="Q248" s="7" t="inlineStr"/>
      <c r="R248" s="7" t="inlineStr"/>
    </row>
    <row r="249">
      <c r="A249" s="7" t="inlineStr">
        <is>
          <t>1</t>
        </is>
      </c>
      <c r="B249" s="7" t="inlineStr">
        <is>
          <t>G00083</t>
        </is>
      </c>
      <c r="C249" s="7" t="inlineStr">
        <is>
          <t>20260225</t>
        </is>
      </c>
      <c r="D249" s="7" t="inlineStr">
        <is>
          <t>N°2026000083</t>
        </is>
      </c>
      <c r="E249" s="7" t="inlineStr">
        <is>
          <t>DJENNADI REYAD</t>
        </is>
      </c>
      <c r="F249" s="7" t="inlineStr">
        <is>
          <t>06002</t>
        </is>
      </c>
      <c r="G249" s="7" t="inlineStr">
        <is>
          <t>70001</t>
        </is>
      </c>
      <c r="H249" s="7" t="inlineStr"/>
      <c r="I249" s="7" t="inlineStr"/>
      <c r="J249" s="7" t="inlineStr"/>
      <c r="K249" s="7" t="inlineStr"/>
      <c r="L249" s="8" t="n">
        <v>0</v>
      </c>
      <c r="M249" s="8" t="n">
        <v>65207.56</v>
      </c>
      <c r="N249" s="7" t="inlineStr"/>
      <c r="O249" s="7" t="inlineStr"/>
      <c r="P249" s="7" t="inlineStr"/>
      <c r="Q249" s="7" t="inlineStr"/>
      <c r="R249" s="7" t="inlineStr"/>
    </row>
    <row r="250">
      <c r="A250" s="7" t="inlineStr">
        <is>
          <t>1</t>
        </is>
      </c>
      <c r="B250" s="7" t="inlineStr">
        <is>
          <t>G00083</t>
        </is>
      </c>
      <c r="C250" s="7" t="inlineStr">
        <is>
          <t>20260225</t>
        </is>
      </c>
      <c r="D250" s="7" t="inlineStr">
        <is>
          <t>N°2026000083</t>
        </is>
      </c>
      <c r="E250" s="7" t="inlineStr">
        <is>
          <t>DJENNADI REYAD</t>
        </is>
      </c>
      <c r="F250" s="7" t="inlineStr">
        <is>
          <t>06002</t>
        </is>
      </c>
      <c r="G250" s="7" t="inlineStr">
        <is>
          <t>44517</t>
        </is>
      </c>
      <c r="H250" s="7" t="inlineStr"/>
      <c r="I250" s="7" t="inlineStr"/>
      <c r="J250" s="7" t="inlineStr"/>
      <c r="K250" s="7" t="inlineStr"/>
      <c r="L250" s="8" t="n">
        <v>0</v>
      </c>
      <c r="M250" s="8" t="n">
        <v>12389.44</v>
      </c>
      <c r="N250" s="7" t="inlineStr"/>
      <c r="O250" s="7" t="inlineStr"/>
      <c r="P250" s="7" t="inlineStr"/>
      <c r="Q250" s="7" t="inlineStr"/>
      <c r="R250" s="7" t="inlineStr"/>
    </row>
    <row r="251">
      <c r="A251" s="7" t="inlineStr">
        <is>
          <t>1</t>
        </is>
      </c>
      <c r="B251" s="7" t="inlineStr">
        <is>
          <t>G00084</t>
        </is>
      </c>
      <c r="C251" s="7" t="inlineStr">
        <is>
          <t>20260225</t>
        </is>
      </c>
      <c r="D251" s="7" t="inlineStr">
        <is>
          <t>N°2026000084</t>
        </is>
      </c>
      <c r="E251" s="7" t="inlineStr">
        <is>
          <t>DJENNADI REYAD</t>
        </is>
      </c>
      <c r="F251" s="7" t="inlineStr">
        <is>
          <t>06002</t>
        </is>
      </c>
      <c r="G251" s="7" t="inlineStr">
        <is>
          <t>41100</t>
        </is>
      </c>
      <c r="H251" s="7" t="inlineStr">
        <is>
          <t>C164</t>
        </is>
      </c>
      <c r="I251" s="7" t="inlineStr"/>
      <c r="J251" s="7" t="inlineStr"/>
      <c r="K251" s="7" t="inlineStr"/>
      <c r="L251" s="8" t="n">
        <v>77433</v>
      </c>
      <c r="M251" s="8" t="n">
        <v>0</v>
      </c>
      <c r="N251" s="7" t="inlineStr"/>
      <c r="O251" s="7" t="inlineStr"/>
      <c r="P251" s="7" t="inlineStr"/>
      <c r="Q251" s="7" t="inlineStr"/>
      <c r="R251" s="7" t="inlineStr"/>
    </row>
    <row r="252">
      <c r="A252" s="7" t="inlineStr">
        <is>
          <t>1</t>
        </is>
      </c>
      <c r="B252" s="7" t="inlineStr">
        <is>
          <t>G00084</t>
        </is>
      </c>
      <c r="C252" s="7" t="inlineStr">
        <is>
          <t>20260225</t>
        </is>
      </c>
      <c r="D252" s="7" t="inlineStr">
        <is>
          <t>N°2026000084</t>
        </is>
      </c>
      <c r="E252" s="7" t="inlineStr">
        <is>
          <t>DJENNADI REYAD</t>
        </is>
      </c>
      <c r="F252" s="7" t="inlineStr">
        <is>
          <t>06002</t>
        </is>
      </c>
      <c r="G252" s="7" t="inlineStr">
        <is>
          <t>70001</t>
        </is>
      </c>
      <c r="H252" s="7" t="inlineStr"/>
      <c r="I252" s="7" t="inlineStr"/>
      <c r="J252" s="7" t="inlineStr"/>
      <c r="K252" s="7" t="inlineStr"/>
      <c r="L252" s="8" t="n">
        <v>0</v>
      </c>
      <c r="M252" s="8" t="n">
        <v>65069.75</v>
      </c>
      <c r="N252" s="7" t="inlineStr"/>
      <c r="O252" s="7" t="inlineStr"/>
      <c r="P252" s="7" t="inlineStr"/>
      <c r="Q252" s="7" t="inlineStr"/>
      <c r="R252" s="7" t="inlineStr"/>
    </row>
    <row r="253">
      <c r="A253" s="7" t="inlineStr">
        <is>
          <t>1</t>
        </is>
      </c>
      <c r="B253" s="7" t="inlineStr">
        <is>
          <t>G00084</t>
        </is>
      </c>
      <c r="C253" s="7" t="inlineStr">
        <is>
          <t>20260225</t>
        </is>
      </c>
      <c r="D253" s="7" t="inlineStr">
        <is>
          <t>N°2026000084</t>
        </is>
      </c>
      <c r="E253" s="7" t="inlineStr">
        <is>
          <t>DJENNADI REYAD</t>
        </is>
      </c>
      <c r="F253" s="7" t="inlineStr">
        <is>
          <t>06002</t>
        </is>
      </c>
      <c r="G253" s="7" t="inlineStr">
        <is>
          <t>44517</t>
        </is>
      </c>
      <c r="H253" s="7" t="inlineStr"/>
      <c r="I253" s="7" t="inlineStr"/>
      <c r="J253" s="7" t="inlineStr"/>
      <c r="K253" s="7" t="inlineStr"/>
      <c r="L253" s="8" t="n">
        <v>0</v>
      </c>
      <c r="M253" s="8" t="n">
        <v>12363.25</v>
      </c>
      <c r="N253" s="7" t="inlineStr"/>
      <c r="O253" s="7" t="inlineStr"/>
      <c r="P253" s="7" t="inlineStr"/>
      <c r="Q253" s="7" t="inlineStr"/>
      <c r="R253" s="7" t="inlineStr"/>
    </row>
    <row r="254">
      <c r="A254" s="7" t="inlineStr">
        <is>
          <t>1</t>
        </is>
      </c>
      <c r="B254" s="7" t="inlineStr">
        <is>
          <t>G00085</t>
        </is>
      </c>
      <c r="C254" s="7" t="inlineStr">
        <is>
          <t>20260225</t>
        </is>
      </c>
      <c r="D254" s="7" t="inlineStr">
        <is>
          <t>N°2026000085</t>
        </is>
      </c>
      <c r="E254" s="7" t="inlineStr">
        <is>
          <t>DJENNADI REYAD</t>
        </is>
      </c>
      <c r="F254" s="7" t="inlineStr">
        <is>
          <t>06002</t>
        </is>
      </c>
      <c r="G254" s="7" t="inlineStr">
        <is>
          <t>41100</t>
        </is>
      </c>
      <c r="H254" s="7" t="inlineStr">
        <is>
          <t>C164</t>
        </is>
      </c>
      <c r="I254" s="7" t="inlineStr"/>
      <c r="J254" s="7" t="inlineStr"/>
      <c r="K254" s="7" t="inlineStr"/>
      <c r="L254" s="8" t="n">
        <v>59123</v>
      </c>
      <c r="M254" s="8" t="n">
        <v>0</v>
      </c>
      <c r="N254" s="7" t="inlineStr"/>
      <c r="O254" s="7" t="inlineStr"/>
      <c r="P254" s="7" t="inlineStr"/>
      <c r="Q254" s="7" t="inlineStr"/>
      <c r="R254" s="7" t="inlineStr"/>
    </row>
    <row r="255">
      <c r="A255" s="7" t="inlineStr">
        <is>
          <t>1</t>
        </is>
      </c>
      <c r="B255" s="7" t="inlineStr">
        <is>
          <t>G00085</t>
        </is>
      </c>
      <c r="C255" s="7" t="inlineStr">
        <is>
          <t>20260225</t>
        </is>
      </c>
      <c r="D255" s="7" t="inlineStr">
        <is>
          <t>N°2026000085</t>
        </is>
      </c>
      <c r="E255" s="7" t="inlineStr">
        <is>
          <t>DJENNADI REYAD</t>
        </is>
      </c>
      <c r="F255" s="7" t="inlineStr">
        <is>
          <t>06002</t>
        </is>
      </c>
      <c r="G255" s="7" t="inlineStr">
        <is>
          <t>70001</t>
        </is>
      </c>
      <c r="H255" s="7" t="inlineStr"/>
      <c r="I255" s="7" t="inlineStr"/>
      <c r="J255" s="7" t="inlineStr"/>
      <c r="K255" s="7" t="inlineStr"/>
      <c r="L255" s="8" t="n">
        <v>0</v>
      </c>
      <c r="M255" s="8" t="n">
        <v>49683.19</v>
      </c>
      <c r="N255" s="7" t="inlineStr"/>
      <c r="O255" s="7" t="inlineStr"/>
      <c r="P255" s="7" t="inlineStr"/>
      <c r="Q255" s="7" t="inlineStr"/>
      <c r="R255" s="7" t="inlineStr"/>
    </row>
    <row r="256">
      <c r="A256" s="7" t="inlineStr">
        <is>
          <t>1</t>
        </is>
      </c>
      <c r="B256" s="7" t="inlineStr">
        <is>
          <t>G00085</t>
        </is>
      </c>
      <c r="C256" s="7" t="inlineStr">
        <is>
          <t>20260225</t>
        </is>
      </c>
      <c r="D256" s="7" t="inlineStr">
        <is>
          <t>N°2026000085</t>
        </is>
      </c>
      <c r="E256" s="7" t="inlineStr">
        <is>
          <t>DJENNADI REYAD</t>
        </is>
      </c>
      <c r="F256" s="7" t="inlineStr">
        <is>
          <t>06002</t>
        </is>
      </c>
      <c r="G256" s="7" t="inlineStr">
        <is>
          <t>44517</t>
        </is>
      </c>
      <c r="H256" s="7" t="inlineStr"/>
      <c r="I256" s="7" t="inlineStr"/>
      <c r="J256" s="7" t="inlineStr"/>
      <c r="K256" s="7" t="inlineStr"/>
      <c r="L256" s="8" t="n">
        <v>0</v>
      </c>
      <c r="M256" s="8" t="n">
        <v>9439.809999999999</v>
      </c>
      <c r="N256" s="7" t="inlineStr"/>
      <c r="O256" s="7" t="inlineStr"/>
      <c r="P256" s="7" t="inlineStr"/>
      <c r="Q256" s="7" t="inlineStr"/>
      <c r="R256" s="7" t="inlineStr"/>
    </row>
    <row r="257">
      <c r="A257" s="7" t="inlineStr">
        <is>
          <t>1</t>
        </is>
      </c>
      <c r="B257" s="7" t="inlineStr">
        <is>
          <t>G00086</t>
        </is>
      </c>
      <c r="C257" s="7" t="inlineStr">
        <is>
          <t>20260225</t>
        </is>
      </c>
      <c r="D257" s="7" t="inlineStr">
        <is>
          <t>N°2026000086</t>
        </is>
      </c>
      <c r="E257" s="7" t="inlineStr">
        <is>
          <t>SASSANE RAMDANE</t>
        </is>
      </c>
      <c r="F257" s="7" t="inlineStr">
        <is>
          <t>06002</t>
        </is>
      </c>
      <c r="G257" s="7" t="inlineStr">
        <is>
          <t>41100</t>
        </is>
      </c>
      <c r="H257" s="7" t="inlineStr">
        <is>
          <t>C910</t>
        </is>
      </c>
      <c r="I257" s="7" t="inlineStr"/>
      <c r="J257" s="7" t="inlineStr"/>
      <c r="K257" s="7" t="inlineStr"/>
      <c r="L257" s="8" t="n">
        <v>105688.01</v>
      </c>
      <c r="M257" s="8" t="n">
        <v>0</v>
      </c>
      <c r="N257" s="7" t="inlineStr"/>
      <c r="O257" s="7" t="inlineStr"/>
      <c r="P257" s="7" t="inlineStr"/>
      <c r="Q257" s="7" t="inlineStr"/>
      <c r="R257" s="7" t="inlineStr"/>
    </row>
    <row r="258">
      <c r="A258" s="7" t="inlineStr">
        <is>
          <t>1</t>
        </is>
      </c>
      <c r="B258" s="7" t="inlineStr">
        <is>
          <t>G00086</t>
        </is>
      </c>
      <c r="C258" s="7" t="inlineStr">
        <is>
          <t>20260225</t>
        </is>
      </c>
      <c r="D258" s="7" t="inlineStr">
        <is>
          <t>N°2026000086</t>
        </is>
      </c>
      <c r="E258" s="7" t="inlineStr">
        <is>
          <t>SASSANE RAMDANE</t>
        </is>
      </c>
      <c r="F258" s="7" t="inlineStr">
        <is>
          <t>06002</t>
        </is>
      </c>
      <c r="G258" s="7" t="inlineStr">
        <is>
          <t>70001</t>
        </is>
      </c>
      <c r="H258" s="7" t="inlineStr"/>
      <c r="I258" s="7" t="inlineStr"/>
      <c r="J258" s="7" t="inlineStr"/>
      <c r="K258" s="7" t="inlineStr"/>
      <c r="L258" s="8" t="n">
        <v>0</v>
      </c>
      <c r="M258" s="8" t="n">
        <v>88813.45</v>
      </c>
      <c r="N258" s="7" t="inlineStr"/>
      <c r="O258" s="7" t="inlineStr"/>
      <c r="P258" s="7" t="inlineStr"/>
      <c r="Q258" s="7" t="inlineStr"/>
      <c r="R258" s="7" t="inlineStr"/>
    </row>
    <row r="259">
      <c r="A259" s="7" t="inlineStr">
        <is>
          <t>1</t>
        </is>
      </c>
      <c r="B259" s="7" t="inlineStr">
        <is>
          <t>G00086</t>
        </is>
      </c>
      <c r="C259" s="7" t="inlineStr">
        <is>
          <t>20260225</t>
        </is>
      </c>
      <c r="D259" s="7" t="inlineStr">
        <is>
          <t>N°2026000086</t>
        </is>
      </c>
      <c r="E259" s="7" t="inlineStr">
        <is>
          <t>SASSANE RAMDANE</t>
        </is>
      </c>
      <c r="F259" s="7" t="inlineStr">
        <is>
          <t>06002</t>
        </is>
      </c>
      <c r="G259" s="7" t="inlineStr">
        <is>
          <t>44517</t>
        </is>
      </c>
      <c r="H259" s="7" t="inlineStr"/>
      <c r="I259" s="7" t="inlineStr"/>
      <c r="J259" s="7" t="inlineStr"/>
      <c r="K259" s="7" t="inlineStr"/>
      <c r="L259" s="8" t="n">
        <v>0</v>
      </c>
      <c r="M259" s="8" t="n">
        <v>16874.56</v>
      </c>
      <c r="N259" s="7" t="inlineStr"/>
      <c r="O259" s="7" t="inlineStr"/>
      <c r="P259" s="7" t="inlineStr"/>
      <c r="Q259" s="7" t="inlineStr"/>
      <c r="R259" s="7" t="inlineStr"/>
    </row>
    <row r="260">
      <c r="A260" s="7" t="inlineStr">
        <is>
          <t>1</t>
        </is>
      </c>
      <c r="B260" s="7" t="inlineStr">
        <is>
          <t>G00087</t>
        </is>
      </c>
      <c r="C260" s="7" t="inlineStr">
        <is>
          <t>20260225</t>
        </is>
      </c>
      <c r="D260" s="7" t="inlineStr">
        <is>
          <t>N°2026000087</t>
        </is>
      </c>
      <c r="E260" s="7" t="inlineStr">
        <is>
          <t>DJENNADI REYAD</t>
        </is>
      </c>
      <c r="F260" s="7" t="inlineStr">
        <is>
          <t>06002</t>
        </is>
      </c>
      <c r="G260" s="7" t="inlineStr">
        <is>
          <t>41100</t>
        </is>
      </c>
      <c r="H260" s="7" t="inlineStr">
        <is>
          <t>C164</t>
        </is>
      </c>
      <c r="I260" s="7" t="inlineStr"/>
      <c r="J260" s="7" t="inlineStr"/>
      <c r="K260" s="7" t="inlineStr"/>
      <c r="L260" s="8" t="n">
        <v>77083</v>
      </c>
      <c r="M260" s="8" t="n">
        <v>0</v>
      </c>
      <c r="N260" s="7" t="inlineStr"/>
      <c r="O260" s="7" t="inlineStr"/>
      <c r="P260" s="7" t="inlineStr"/>
      <c r="Q260" s="7" t="inlineStr"/>
      <c r="R260" s="7" t="inlineStr"/>
    </row>
    <row r="261">
      <c r="A261" s="7" t="inlineStr">
        <is>
          <t>1</t>
        </is>
      </c>
      <c r="B261" s="7" t="inlineStr">
        <is>
          <t>G00087</t>
        </is>
      </c>
      <c r="C261" s="7" t="inlineStr">
        <is>
          <t>20260225</t>
        </is>
      </c>
      <c r="D261" s="7" t="inlineStr">
        <is>
          <t>N°2026000087</t>
        </is>
      </c>
      <c r="E261" s="7" t="inlineStr">
        <is>
          <t>DJENNADI REYAD</t>
        </is>
      </c>
      <c r="F261" s="7" t="inlineStr">
        <is>
          <t>06002</t>
        </is>
      </c>
      <c r="G261" s="7" t="inlineStr">
        <is>
          <t>70001</t>
        </is>
      </c>
      <c r="H261" s="7" t="inlineStr"/>
      <c r="I261" s="7" t="inlineStr"/>
      <c r="J261" s="7" t="inlineStr"/>
      <c r="K261" s="7" t="inlineStr"/>
      <c r="L261" s="8" t="n">
        <v>0</v>
      </c>
      <c r="M261" s="8" t="n">
        <v>64775.63</v>
      </c>
      <c r="N261" s="7" t="inlineStr"/>
      <c r="O261" s="7" t="inlineStr"/>
      <c r="P261" s="7" t="inlineStr"/>
      <c r="Q261" s="7" t="inlineStr"/>
      <c r="R261" s="7" t="inlineStr"/>
    </row>
    <row r="262">
      <c r="A262" s="7" t="inlineStr">
        <is>
          <t>1</t>
        </is>
      </c>
      <c r="B262" s="7" t="inlineStr">
        <is>
          <t>G00087</t>
        </is>
      </c>
      <c r="C262" s="7" t="inlineStr">
        <is>
          <t>20260225</t>
        </is>
      </c>
      <c r="D262" s="7" t="inlineStr">
        <is>
          <t>N°2026000087</t>
        </is>
      </c>
      <c r="E262" s="7" t="inlineStr">
        <is>
          <t>DJENNADI REYAD</t>
        </is>
      </c>
      <c r="F262" s="7" t="inlineStr">
        <is>
          <t>06002</t>
        </is>
      </c>
      <c r="G262" s="7" t="inlineStr">
        <is>
          <t>44517</t>
        </is>
      </c>
      <c r="H262" s="7" t="inlineStr"/>
      <c r="I262" s="7" t="inlineStr"/>
      <c r="J262" s="7" t="inlineStr"/>
      <c r="K262" s="7" t="inlineStr"/>
      <c r="L262" s="8" t="n">
        <v>0</v>
      </c>
      <c r="M262" s="8" t="n">
        <v>12307.37</v>
      </c>
      <c r="N262" s="7" t="inlineStr"/>
      <c r="O262" s="7" t="inlineStr"/>
      <c r="P262" s="7" t="inlineStr"/>
      <c r="Q262" s="7" t="inlineStr"/>
      <c r="R262" s="7" t="inlineStr"/>
    </row>
    <row r="263">
      <c r="A263" s="7" t="inlineStr">
        <is>
          <t>1</t>
        </is>
      </c>
      <c r="B263" s="7" t="inlineStr">
        <is>
          <t>G00088</t>
        </is>
      </c>
      <c r="C263" s="7" t="inlineStr">
        <is>
          <t>20260225</t>
        </is>
      </c>
      <c r="D263" s="7" t="inlineStr">
        <is>
          <t>N°2026000088</t>
        </is>
      </c>
      <c r="E263" s="7" t="inlineStr">
        <is>
          <t>DJENNADI REYAD</t>
        </is>
      </c>
      <c r="F263" s="7" t="inlineStr">
        <is>
          <t>06002</t>
        </is>
      </c>
      <c r="G263" s="7" t="inlineStr">
        <is>
          <t>41100</t>
        </is>
      </c>
      <c r="H263" s="7" t="inlineStr">
        <is>
          <t>C164</t>
        </is>
      </c>
      <c r="I263" s="7" t="inlineStr"/>
      <c r="J263" s="7" t="inlineStr"/>
      <c r="K263" s="7" t="inlineStr"/>
      <c r="L263" s="8" t="n">
        <v>61006</v>
      </c>
      <c r="M263" s="8" t="n">
        <v>0</v>
      </c>
      <c r="N263" s="7" t="inlineStr"/>
      <c r="O263" s="7" t="inlineStr"/>
      <c r="P263" s="7" t="inlineStr"/>
      <c r="Q263" s="7" t="inlineStr"/>
      <c r="R263" s="7" t="inlineStr"/>
    </row>
    <row r="264">
      <c r="A264" s="7" t="inlineStr">
        <is>
          <t>1</t>
        </is>
      </c>
      <c r="B264" s="7" t="inlineStr">
        <is>
          <t>G00088</t>
        </is>
      </c>
      <c r="C264" s="7" t="inlineStr">
        <is>
          <t>20260225</t>
        </is>
      </c>
      <c r="D264" s="7" t="inlineStr">
        <is>
          <t>N°2026000088</t>
        </is>
      </c>
      <c r="E264" s="7" t="inlineStr">
        <is>
          <t>DJENNADI REYAD</t>
        </is>
      </c>
      <c r="F264" s="7" t="inlineStr">
        <is>
          <t>06002</t>
        </is>
      </c>
      <c r="G264" s="7" t="inlineStr">
        <is>
          <t>70001</t>
        </is>
      </c>
      <c r="H264" s="7" t="inlineStr"/>
      <c r="I264" s="7" t="inlineStr"/>
      <c r="J264" s="7" t="inlineStr"/>
      <c r="K264" s="7" t="inlineStr"/>
      <c r="L264" s="8" t="n">
        <v>0</v>
      </c>
      <c r="M264" s="8" t="n">
        <v>51265.55</v>
      </c>
      <c r="N264" s="7" t="inlineStr"/>
      <c r="O264" s="7" t="inlineStr"/>
      <c r="P264" s="7" t="inlineStr"/>
      <c r="Q264" s="7" t="inlineStr"/>
      <c r="R264" s="7" t="inlineStr"/>
    </row>
    <row r="265">
      <c r="A265" s="7" t="inlineStr">
        <is>
          <t>1</t>
        </is>
      </c>
      <c r="B265" s="7" t="inlineStr">
        <is>
          <t>G00088</t>
        </is>
      </c>
      <c r="C265" s="7" t="inlineStr">
        <is>
          <t>20260225</t>
        </is>
      </c>
      <c r="D265" s="7" t="inlineStr">
        <is>
          <t>N°2026000088</t>
        </is>
      </c>
      <c r="E265" s="7" t="inlineStr">
        <is>
          <t>DJENNADI REYAD</t>
        </is>
      </c>
      <c r="F265" s="7" t="inlineStr">
        <is>
          <t>06002</t>
        </is>
      </c>
      <c r="G265" s="7" t="inlineStr">
        <is>
          <t>44517</t>
        </is>
      </c>
      <c r="H265" s="7" t="inlineStr"/>
      <c r="I265" s="7" t="inlineStr"/>
      <c r="J265" s="7" t="inlineStr"/>
      <c r="K265" s="7" t="inlineStr"/>
      <c r="L265" s="8" t="n">
        <v>0</v>
      </c>
      <c r="M265" s="8" t="n">
        <v>9740.450000000001</v>
      </c>
      <c r="N265" s="7" t="inlineStr"/>
      <c r="O265" s="7" t="inlineStr"/>
      <c r="P265" s="7" t="inlineStr"/>
      <c r="Q265" s="7" t="inlineStr"/>
      <c r="R265" s="7" t="inlineStr"/>
    </row>
    <row r="266">
      <c r="A266" s="7" t="inlineStr">
        <is>
          <t>1</t>
        </is>
      </c>
      <c r="B266" s="7" t="inlineStr">
        <is>
          <t>G00089</t>
        </is>
      </c>
      <c r="C266" s="7" t="inlineStr">
        <is>
          <t>20260225</t>
        </is>
      </c>
      <c r="D266" s="7" t="inlineStr">
        <is>
          <t>N°2026000089</t>
        </is>
      </c>
      <c r="E266" s="7" t="inlineStr">
        <is>
          <t>SARL ROYAL MATERIAUX  DE CONST</t>
        </is>
      </c>
      <c r="F266" s="7" t="inlineStr">
        <is>
          <t>06002</t>
        </is>
      </c>
      <c r="G266" s="7" t="inlineStr">
        <is>
          <t>41100</t>
        </is>
      </c>
      <c r="H266" s="7" t="inlineStr">
        <is>
          <t>C934</t>
        </is>
      </c>
      <c r="I266" s="7" t="inlineStr"/>
      <c r="J266" s="7" t="inlineStr"/>
      <c r="K266" s="7" t="inlineStr"/>
      <c r="L266" s="8" t="n">
        <v>65012</v>
      </c>
      <c r="M266" s="8" t="n">
        <v>0</v>
      </c>
      <c r="N266" s="7" t="inlineStr"/>
      <c r="O266" s="7" t="inlineStr"/>
      <c r="P266" s="7" t="inlineStr"/>
      <c r="Q266" s="7" t="inlineStr"/>
      <c r="R266" s="7" t="inlineStr"/>
    </row>
    <row r="267">
      <c r="A267" s="7" t="inlineStr">
        <is>
          <t>1</t>
        </is>
      </c>
      <c r="B267" s="7" t="inlineStr">
        <is>
          <t>G00089</t>
        </is>
      </c>
      <c r="C267" s="7" t="inlineStr">
        <is>
          <t>20260225</t>
        </is>
      </c>
      <c r="D267" s="7" t="inlineStr">
        <is>
          <t>N°2026000089</t>
        </is>
      </c>
      <c r="E267" s="7" t="inlineStr">
        <is>
          <t>SARL ROYAL MATERIAUX  DE CONST</t>
        </is>
      </c>
      <c r="F267" s="7" t="inlineStr">
        <is>
          <t>06002</t>
        </is>
      </c>
      <c r="G267" s="7" t="inlineStr">
        <is>
          <t>70001</t>
        </is>
      </c>
      <c r="H267" s="7" t="inlineStr"/>
      <c r="I267" s="7" t="inlineStr"/>
      <c r="J267" s="7" t="inlineStr"/>
      <c r="K267" s="7" t="inlineStr"/>
      <c r="L267" s="8" t="n">
        <v>0</v>
      </c>
      <c r="M267" s="8" t="n">
        <v>54631.93</v>
      </c>
      <c r="N267" s="7" t="inlineStr"/>
      <c r="O267" s="7" t="inlineStr"/>
      <c r="P267" s="7" t="inlineStr"/>
      <c r="Q267" s="7" t="inlineStr"/>
      <c r="R267" s="7" t="inlineStr"/>
    </row>
    <row r="268">
      <c r="A268" s="7" t="inlineStr">
        <is>
          <t>1</t>
        </is>
      </c>
      <c r="B268" s="7" t="inlineStr">
        <is>
          <t>G00089</t>
        </is>
      </c>
      <c r="C268" s="7" t="inlineStr">
        <is>
          <t>20260225</t>
        </is>
      </c>
      <c r="D268" s="7" t="inlineStr">
        <is>
          <t>N°2026000089</t>
        </is>
      </c>
      <c r="E268" s="7" t="inlineStr">
        <is>
          <t>SARL ROYAL MATERIAUX  DE CONST</t>
        </is>
      </c>
      <c r="F268" s="7" t="inlineStr">
        <is>
          <t>06002</t>
        </is>
      </c>
      <c r="G268" s="7" t="inlineStr">
        <is>
          <t>44517</t>
        </is>
      </c>
      <c r="H268" s="7" t="inlineStr"/>
      <c r="I268" s="7" t="inlineStr"/>
      <c r="J268" s="7" t="inlineStr"/>
      <c r="K268" s="7" t="inlineStr"/>
      <c r="L268" s="8" t="n">
        <v>0</v>
      </c>
      <c r="M268" s="8" t="n">
        <v>10380.07</v>
      </c>
      <c r="N268" s="7" t="inlineStr"/>
      <c r="O268" s="7" t="inlineStr"/>
      <c r="P268" s="7" t="inlineStr"/>
      <c r="Q268" s="7" t="inlineStr"/>
      <c r="R268" s="7" t="inlineStr"/>
    </row>
    <row r="269">
      <c r="A269" s="7" t="inlineStr">
        <is>
          <t>1</t>
        </is>
      </c>
      <c r="B269" s="7" t="inlineStr">
        <is>
          <t>G00090</t>
        </is>
      </c>
      <c r="C269" s="7" t="inlineStr">
        <is>
          <t>20260225</t>
        </is>
      </c>
      <c r="D269" s="7" t="inlineStr">
        <is>
          <t>N°2026000090</t>
        </is>
      </c>
      <c r="E269" s="7" t="inlineStr">
        <is>
          <t>DJENNADI REYAD</t>
        </is>
      </c>
      <c r="F269" s="7" t="inlineStr">
        <is>
          <t>06002</t>
        </is>
      </c>
      <c r="G269" s="7" t="inlineStr">
        <is>
          <t>41100</t>
        </is>
      </c>
      <c r="H269" s="7" t="inlineStr">
        <is>
          <t>C164</t>
        </is>
      </c>
      <c r="I269" s="7" t="inlineStr"/>
      <c r="J269" s="7" t="inlineStr"/>
      <c r="K269" s="7" t="inlineStr"/>
      <c r="L269" s="8" t="n">
        <v>82589</v>
      </c>
      <c r="M269" s="8" t="n">
        <v>0</v>
      </c>
      <c r="N269" s="7" t="inlineStr"/>
      <c r="O269" s="7" t="inlineStr"/>
      <c r="P269" s="7" t="inlineStr"/>
      <c r="Q269" s="7" t="inlineStr"/>
      <c r="R269" s="7" t="inlineStr"/>
    </row>
    <row r="270">
      <c r="A270" s="7" t="inlineStr">
        <is>
          <t>1</t>
        </is>
      </c>
      <c r="B270" s="7" t="inlineStr">
        <is>
          <t>G00090</t>
        </is>
      </c>
      <c r="C270" s="7" t="inlineStr">
        <is>
          <t>20260225</t>
        </is>
      </c>
      <c r="D270" s="7" t="inlineStr">
        <is>
          <t>N°2026000090</t>
        </is>
      </c>
      <c r="E270" s="7" t="inlineStr">
        <is>
          <t>DJENNADI REYAD</t>
        </is>
      </c>
      <c r="F270" s="7" t="inlineStr">
        <is>
          <t>06002</t>
        </is>
      </c>
      <c r="G270" s="7" t="inlineStr">
        <is>
          <t>70001</t>
        </is>
      </c>
      <c r="H270" s="7" t="inlineStr"/>
      <c r="I270" s="7" t="inlineStr"/>
      <c r="J270" s="7" t="inlineStr"/>
      <c r="K270" s="7" t="inlineStr"/>
      <c r="L270" s="8" t="n">
        <v>0</v>
      </c>
      <c r="M270" s="8" t="n">
        <v>69402.52</v>
      </c>
      <c r="N270" s="7" t="inlineStr"/>
      <c r="O270" s="7" t="inlineStr"/>
      <c r="P270" s="7" t="inlineStr"/>
      <c r="Q270" s="7" t="inlineStr"/>
      <c r="R270" s="7" t="inlineStr"/>
    </row>
    <row r="271">
      <c r="A271" s="7" t="inlineStr">
        <is>
          <t>1</t>
        </is>
      </c>
      <c r="B271" s="7" t="inlineStr">
        <is>
          <t>G00090</t>
        </is>
      </c>
      <c r="C271" s="7" t="inlineStr">
        <is>
          <t>20260225</t>
        </is>
      </c>
      <c r="D271" s="7" t="inlineStr">
        <is>
          <t>N°2026000090</t>
        </is>
      </c>
      <c r="E271" s="7" t="inlineStr">
        <is>
          <t>DJENNADI REYAD</t>
        </is>
      </c>
      <c r="F271" s="7" t="inlineStr">
        <is>
          <t>06002</t>
        </is>
      </c>
      <c r="G271" s="7" t="inlineStr">
        <is>
          <t>44517</t>
        </is>
      </c>
      <c r="H271" s="7" t="inlineStr"/>
      <c r="I271" s="7" t="inlineStr"/>
      <c r="J271" s="7" t="inlineStr"/>
      <c r="K271" s="7" t="inlineStr"/>
      <c r="L271" s="8" t="n">
        <v>0</v>
      </c>
      <c r="M271" s="8" t="n">
        <v>13186.48</v>
      </c>
      <c r="N271" s="7" t="inlineStr"/>
      <c r="O271" s="7" t="inlineStr"/>
      <c r="P271" s="7" t="inlineStr"/>
      <c r="Q271" s="7" t="inlineStr"/>
      <c r="R271" s="7" t="inlineStr"/>
    </row>
    <row r="272">
      <c r="A272" s="7" t="inlineStr">
        <is>
          <t>1</t>
        </is>
      </c>
      <c r="B272" s="7" t="inlineStr">
        <is>
          <t>G00091</t>
        </is>
      </c>
      <c r="C272" s="7" t="inlineStr">
        <is>
          <t>20260225</t>
        </is>
      </c>
      <c r="D272" s="7" t="inlineStr">
        <is>
          <t>N°2026000091</t>
        </is>
      </c>
      <c r="E272" s="7" t="inlineStr">
        <is>
          <t>DJENNADI REYAD</t>
        </is>
      </c>
      <c r="F272" s="7" t="inlineStr">
        <is>
          <t>06002</t>
        </is>
      </c>
      <c r="G272" s="7" t="inlineStr">
        <is>
          <t>41100</t>
        </is>
      </c>
      <c r="H272" s="7" t="inlineStr">
        <is>
          <t>C164</t>
        </is>
      </c>
      <c r="I272" s="7" t="inlineStr"/>
      <c r="J272" s="7" t="inlineStr"/>
      <c r="K272" s="7" t="inlineStr"/>
      <c r="L272" s="8" t="n">
        <v>75376</v>
      </c>
      <c r="M272" s="8" t="n">
        <v>0</v>
      </c>
      <c r="N272" s="7" t="inlineStr"/>
      <c r="O272" s="7" t="inlineStr"/>
      <c r="P272" s="7" t="inlineStr"/>
      <c r="Q272" s="7" t="inlineStr"/>
      <c r="R272" s="7" t="inlineStr"/>
    </row>
    <row r="273">
      <c r="A273" s="7" t="inlineStr">
        <is>
          <t>1</t>
        </is>
      </c>
      <c r="B273" s="7" t="inlineStr">
        <is>
          <t>G00091</t>
        </is>
      </c>
      <c r="C273" s="7" t="inlineStr">
        <is>
          <t>20260225</t>
        </is>
      </c>
      <c r="D273" s="7" t="inlineStr">
        <is>
          <t>N°2026000091</t>
        </is>
      </c>
      <c r="E273" s="7" t="inlineStr">
        <is>
          <t>DJENNADI REYAD</t>
        </is>
      </c>
      <c r="F273" s="7" t="inlineStr">
        <is>
          <t>06002</t>
        </is>
      </c>
      <c r="G273" s="7" t="inlineStr">
        <is>
          <t>70001</t>
        </is>
      </c>
      <c r="H273" s="7" t="inlineStr"/>
      <c r="I273" s="7" t="inlineStr"/>
      <c r="J273" s="7" t="inlineStr"/>
      <c r="K273" s="7" t="inlineStr"/>
      <c r="L273" s="8" t="n">
        <v>0</v>
      </c>
      <c r="M273" s="8" t="n">
        <v>63341.18</v>
      </c>
      <c r="N273" s="7" t="inlineStr"/>
      <c r="O273" s="7" t="inlineStr"/>
      <c r="P273" s="7" t="inlineStr"/>
      <c r="Q273" s="7" t="inlineStr"/>
      <c r="R273" s="7" t="inlineStr"/>
    </row>
    <row r="274">
      <c r="A274" s="7" t="inlineStr">
        <is>
          <t>1</t>
        </is>
      </c>
      <c r="B274" s="7" t="inlineStr">
        <is>
          <t>G00091</t>
        </is>
      </c>
      <c r="C274" s="7" t="inlineStr">
        <is>
          <t>20260225</t>
        </is>
      </c>
      <c r="D274" s="7" t="inlineStr">
        <is>
          <t>N°2026000091</t>
        </is>
      </c>
      <c r="E274" s="7" t="inlineStr">
        <is>
          <t>DJENNADI REYAD</t>
        </is>
      </c>
      <c r="F274" s="7" t="inlineStr">
        <is>
          <t>06002</t>
        </is>
      </c>
      <c r="G274" s="7" t="inlineStr">
        <is>
          <t>44517</t>
        </is>
      </c>
      <c r="H274" s="7" t="inlineStr"/>
      <c r="I274" s="7" t="inlineStr"/>
      <c r="J274" s="7" t="inlineStr"/>
      <c r="K274" s="7" t="inlineStr"/>
      <c r="L274" s="8" t="n">
        <v>0</v>
      </c>
      <c r="M274" s="8" t="n">
        <v>12034.82</v>
      </c>
      <c r="N274" s="7" t="inlineStr"/>
      <c r="O274" s="7" t="inlineStr"/>
      <c r="P274" s="7" t="inlineStr"/>
      <c r="Q274" s="7" t="inlineStr"/>
      <c r="R274" s="7" t="inlineStr"/>
    </row>
    <row r="275">
      <c r="A275" s="7" t="inlineStr">
        <is>
          <t>1</t>
        </is>
      </c>
      <c r="B275" s="7" t="inlineStr">
        <is>
          <t>G00092</t>
        </is>
      </c>
      <c r="C275" s="7" t="inlineStr">
        <is>
          <t>20260225</t>
        </is>
      </c>
      <c r="D275" s="7" t="inlineStr">
        <is>
          <t>N°2026000092</t>
        </is>
      </c>
      <c r="E275" s="7" t="inlineStr">
        <is>
          <t>BOUAICHI HANAFI</t>
        </is>
      </c>
      <c r="F275" s="7" t="inlineStr">
        <is>
          <t>06002</t>
        </is>
      </c>
      <c r="G275" s="7" t="inlineStr">
        <is>
          <t>41100</t>
        </is>
      </c>
      <c r="H275" s="7" t="inlineStr">
        <is>
          <t>C1028</t>
        </is>
      </c>
      <c r="I275" s="7" t="inlineStr"/>
      <c r="J275" s="7" t="inlineStr"/>
      <c r="K275" s="7" t="inlineStr"/>
      <c r="L275" s="8" t="n">
        <v>88632</v>
      </c>
      <c r="M275" s="8" t="n">
        <v>0</v>
      </c>
      <c r="N275" s="7" t="inlineStr"/>
      <c r="O275" s="7" t="inlineStr"/>
      <c r="P275" s="7" t="inlineStr"/>
      <c r="Q275" s="7" t="inlineStr"/>
      <c r="R275" s="7" t="inlineStr"/>
    </row>
    <row r="276">
      <c r="A276" s="7" t="inlineStr">
        <is>
          <t>1</t>
        </is>
      </c>
      <c r="B276" s="7" t="inlineStr">
        <is>
          <t>G00092</t>
        </is>
      </c>
      <c r="C276" s="7" t="inlineStr">
        <is>
          <t>20260225</t>
        </is>
      </c>
      <c r="D276" s="7" t="inlineStr">
        <is>
          <t>N°2026000092</t>
        </is>
      </c>
      <c r="E276" s="7" t="inlineStr">
        <is>
          <t>BOUAICHI HANAFI</t>
        </is>
      </c>
      <c r="F276" s="7" t="inlineStr">
        <is>
          <t>06002</t>
        </is>
      </c>
      <c r="G276" s="7" t="inlineStr">
        <is>
          <t>70001</t>
        </is>
      </c>
      <c r="H276" s="7" t="inlineStr"/>
      <c r="I276" s="7" t="inlineStr"/>
      <c r="J276" s="7" t="inlineStr"/>
      <c r="K276" s="7" t="inlineStr"/>
      <c r="L276" s="8" t="n">
        <v>0</v>
      </c>
      <c r="M276" s="8" t="n">
        <v>74480.67</v>
      </c>
      <c r="N276" s="7" t="inlineStr"/>
      <c r="O276" s="7" t="inlineStr"/>
      <c r="P276" s="7" t="inlineStr"/>
      <c r="Q276" s="7" t="inlineStr"/>
      <c r="R276" s="7" t="inlineStr"/>
    </row>
    <row r="277">
      <c r="A277" s="7" t="inlineStr">
        <is>
          <t>1</t>
        </is>
      </c>
      <c r="B277" s="7" t="inlineStr">
        <is>
          <t>G00092</t>
        </is>
      </c>
      <c r="C277" s="7" t="inlineStr">
        <is>
          <t>20260225</t>
        </is>
      </c>
      <c r="D277" s="7" t="inlineStr">
        <is>
          <t>N°2026000092</t>
        </is>
      </c>
      <c r="E277" s="7" t="inlineStr">
        <is>
          <t>BOUAICHI HANAFI</t>
        </is>
      </c>
      <c r="F277" s="7" t="inlineStr">
        <is>
          <t>06002</t>
        </is>
      </c>
      <c r="G277" s="7" t="inlineStr">
        <is>
          <t>44517</t>
        </is>
      </c>
      <c r="H277" s="7" t="inlineStr"/>
      <c r="I277" s="7" t="inlineStr"/>
      <c r="J277" s="7" t="inlineStr"/>
      <c r="K277" s="7" t="inlineStr"/>
      <c r="L277" s="8" t="n">
        <v>0</v>
      </c>
      <c r="M277" s="8" t="n">
        <v>14151.33</v>
      </c>
      <c r="N277" s="7" t="inlineStr"/>
      <c r="O277" s="7" t="inlineStr"/>
      <c r="P277" s="7" t="inlineStr"/>
      <c r="Q277" s="7" t="inlineStr"/>
      <c r="R277" s="7" t="inlineStr"/>
    </row>
    <row r="278">
      <c r="A278" s="7" t="inlineStr">
        <is>
          <t>1</t>
        </is>
      </c>
      <c r="B278" s="7" t="inlineStr">
        <is>
          <t>G00093</t>
        </is>
      </c>
      <c r="C278" s="7" t="inlineStr">
        <is>
          <t>20260225</t>
        </is>
      </c>
      <c r="D278" s="7" t="inlineStr">
        <is>
          <t>N°2026000093</t>
        </is>
      </c>
      <c r="E278" s="7" t="inlineStr">
        <is>
          <t>DJENNADI REYAD</t>
        </is>
      </c>
      <c r="F278" s="7" t="inlineStr">
        <is>
          <t>06002</t>
        </is>
      </c>
      <c r="G278" s="7" t="inlineStr">
        <is>
          <t>41100</t>
        </is>
      </c>
      <c r="H278" s="7" t="inlineStr">
        <is>
          <t>C164</t>
        </is>
      </c>
      <c r="I278" s="7" t="inlineStr"/>
      <c r="J278" s="7" t="inlineStr"/>
      <c r="K278" s="7" t="inlineStr"/>
      <c r="L278" s="8" t="n">
        <v>78382</v>
      </c>
      <c r="M278" s="8" t="n">
        <v>0</v>
      </c>
      <c r="N278" s="7" t="inlineStr"/>
      <c r="O278" s="7" t="inlineStr"/>
      <c r="P278" s="7" t="inlineStr"/>
      <c r="Q278" s="7" t="inlineStr"/>
      <c r="R278" s="7" t="inlineStr"/>
    </row>
    <row r="279">
      <c r="A279" s="7" t="inlineStr">
        <is>
          <t>1</t>
        </is>
      </c>
      <c r="B279" s="7" t="inlineStr">
        <is>
          <t>G00093</t>
        </is>
      </c>
      <c r="C279" s="7" t="inlineStr">
        <is>
          <t>20260225</t>
        </is>
      </c>
      <c r="D279" s="7" t="inlineStr">
        <is>
          <t>N°2026000093</t>
        </is>
      </c>
      <c r="E279" s="7" t="inlineStr">
        <is>
          <t>DJENNADI REYAD</t>
        </is>
      </c>
      <c r="F279" s="7" t="inlineStr">
        <is>
          <t>06002</t>
        </is>
      </c>
      <c r="G279" s="7" t="inlineStr">
        <is>
          <t>70001</t>
        </is>
      </c>
      <c r="H279" s="7" t="inlineStr"/>
      <c r="I279" s="7" t="inlineStr"/>
      <c r="J279" s="7" t="inlineStr"/>
      <c r="K279" s="7" t="inlineStr"/>
      <c r="L279" s="8" t="n">
        <v>0</v>
      </c>
      <c r="M279" s="8" t="n">
        <v>65867.23</v>
      </c>
      <c r="N279" s="7" t="inlineStr"/>
      <c r="O279" s="7" t="inlineStr"/>
      <c r="P279" s="7" t="inlineStr"/>
      <c r="Q279" s="7" t="inlineStr"/>
      <c r="R279" s="7" t="inlineStr"/>
    </row>
    <row r="280">
      <c r="A280" s="7" t="inlineStr">
        <is>
          <t>1</t>
        </is>
      </c>
      <c r="B280" s="7" t="inlineStr">
        <is>
          <t>G00093</t>
        </is>
      </c>
      <c r="C280" s="7" t="inlineStr">
        <is>
          <t>20260225</t>
        </is>
      </c>
      <c r="D280" s="7" t="inlineStr">
        <is>
          <t>N°2026000093</t>
        </is>
      </c>
      <c r="E280" s="7" t="inlineStr">
        <is>
          <t>DJENNADI REYAD</t>
        </is>
      </c>
      <c r="F280" s="7" t="inlineStr">
        <is>
          <t>06002</t>
        </is>
      </c>
      <c r="G280" s="7" t="inlineStr">
        <is>
          <t>44517</t>
        </is>
      </c>
      <c r="H280" s="7" t="inlineStr"/>
      <c r="I280" s="7" t="inlineStr"/>
      <c r="J280" s="7" t="inlineStr"/>
      <c r="K280" s="7" t="inlineStr"/>
      <c r="L280" s="8" t="n">
        <v>0</v>
      </c>
      <c r="M280" s="8" t="n">
        <v>12514.77</v>
      </c>
      <c r="N280" s="7" t="inlineStr"/>
      <c r="O280" s="7" t="inlineStr"/>
      <c r="P280" s="7" t="inlineStr"/>
      <c r="Q280" s="7" t="inlineStr"/>
      <c r="R280" s="7" t="inlineStr"/>
    </row>
    <row r="281">
      <c r="A281" s="7" t="inlineStr">
        <is>
          <t>1</t>
        </is>
      </c>
      <c r="B281" s="7" t="inlineStr">
        <is>
          <t>G00094</t>
        </is>
      </c>
      <c r="C281" s="7" t="inlineStr">
        <is>
          <t>20260225</t>
        </is>
      </c>
      <c r="D281" s="7" t="inlineStr">
        <is>
          <t>N°2026000094</t>
        </is>
      </c>
      <c r="E281" s="7" t="inlineStr">
        <is>
          <t>DJENNADI REYAD</t>
        </is>
      </c>
      <c r="F281" s="7" t="inlineStr">
        <is>
          <t>06002</t>
        </is>
      </c>
      <c r="G281" s="7" t="inlineStr">
        <is>
          <t>41100</t>
        </is>
      </c>
      <c r="H281" s="7" t="inlineStr">
        <is>
          <t>C164</t>
        </is>
      </c>
      <c r="I281" s="7" t="inlineStr"/>
      <c r="J281" s="7" t="inlineStr"/>
      <c r="K281" s="7" t="inlineStr"/>
      <c r="L281" s="8" t="n">
        <v>93615</v>
      </c>
      <c r="M281" s="8" t="n">
        <v>0</v>
      </c>
      <c r="N281" s="7" t="inlineStr"/>
      <c r="O281" s="7" t="inlineStr"/>
      <c r="P281" s="7" t="inlineStr"/>
      <c r="Q281" s="7" t="inlineStr"/>
      <c r="R281" s="7" t="inlineStr"/>
    </row>
    <row r="282">
      <c r="A282" s="7" t="inlineStr">
        <is>
          <t>1</t>
        </is>
      </c>
      <c r="B282" s="7" t="inlineStr">
        <is>
          <t>G00094</t>
        </is>
      </c>
      <c r="C282" s="7" t="inlineStr">
        <is>
          <t>20260225</t>
        </is>
      </c>
      <c r="D282" s="7" t="inlineStr">
        <is>
          <t>N°2026000094</t>
        </is>
      </c>
      <c r="E282" s="7" t="inlineStr">
        <is>
          <t>DJENNADI REYAD</t>
        </is>
      </c>
      <c r="F282" s="7" t="inlineStr">
        <is>
          <t>06002</t>
        </is>
      </c>
      <c r="G282" s="7" t="inlineStr">
        <is>
          <t>70001</t>
        </is>
      </c>
      <c r="H282" s="7" t="inlineStr"/>
      <c r="I282" s="7" t="inlineStr"/>
      <c r="J282" s="7" t="inlineStr"/>
      <c r="K282" s="7" t="inlineStr"/>
      <c r="L282" s="8" t="n">
        <v>0</v>
      </c>
      <c r="M282" s="8" t="n">
        <v>78668.07000000001</v>
      </c>
      <c r="N282" s="7" t="inlineStr"/>
      <c r="O282" s="7" t="inlineStr"/>
      <c r="P282" s="7" t="inlineStr"/>
      <c r="Q282" s="7" t="inlineStr"/>
      <c r="R282" s="7" t="inlineStr"/>
    </row>
    <row r="283">
      <c r="A283" s="7" t="inlineStr">
        <is>
          <t>1</t>
        </is>
      </c>
      <c r="B283" s="7" t="inlineStr">
        <is>
          <t>G00094</t>
        </is>
      </c>
      <c r="C283" s="7" t="inlineStr">
        <is>
          <t>20260225</t>
        </is>
      </c>
      <c r="D283" s="7" t="inlineStr">
        <is>
          <t>N°2026000094</t>
        </is>
      </c>
      <c r="E283" s="7" t="inlineStr">
        <is>
          <t>DJENNADI REYAD</t>
        </is>
      </c>
      <c r="F283" s="7" t="inlineStr">
        <is>
          <t>06002</t>
        </is>
      </c>
      <c r="G283" s="7" t="inlineStr">
        <is>
          <t>44517</t>
        </is>
      </c>
      <c r="H283" s="7" t="inlineStr"/>
      <c r="I283" s="7" t="inlineStr"/>
      <c r="J283" s="7" t="inlineStr"/>
      <c r="K283" s="7" t="inlineStr"/>
      <c r="L283" s="8" t="n">
        <v>0</v>
      </c>
      <c r="M283" s="8" t="n">
        <v>14946.93</v>
      </c>
      <c r="N283" s="7" t="inlineStr"/>
      <c r="O283" s="7" t="inlineStr"/>
      <c r="P283" s="7" t="inlineStr"/>
      <c r="Q283" s="7" t="inlineStr"/>
      <c r="R283" s="7" t="inlineStr"/>
    </row>
    <row r="284">
      <c r="A284" s="7" t="inlineStr">
        <is>
          <t>1</t>
        </is>
      </c>
      <c r="B284" s="7" t="inlineStr">
        <is>
          <t>G00095</t>
        </is>
      </c>
      <c r="C284" s="7" t="inlineStr">
        <is>
          <t>20260225</t>
        </is>
      </c>
      <c r="D284" s="7" t="inlineStr">
        <is>
          <t>N°2026000095</t>
        </is>
      </c>
      <c r="E284" s="7" t="inlineStr">
        <is>
          <t>DJENNADI REYAD</t>
        </is>
      </c>
      <c r="F284" s="7" t="inlineStr">
        <is>
          <t>06002</t>
        </is>
      </c>
      <c r="G284" s="7" t="inlineStr">
        <is>
          <t>41100</t>
        </is>
      </c>
      <c r="H284" s="7" t="inlineStr">
        <is>
          <t>C164</t>
        </is>
      </c>
      <c r="I284" s="7" t="inlineStr"/>
      <c r="J284" s="7" t="inlineStr"/>
      <c r="K284" s="7" t="inlineStr"/>
      <c r="L284" s="8" t="n">
        <v>83931</v>
      </c>
      <c r="M284" s="8" t="n">
        <v>0</v>
      </c>
      <c r="N284" s="7" t="inlineStr"/>
      <c r="O284" s="7" t="inlineStr"/>
      <c r="P284" s="7" t="inlineStr"/>
      <c r="Q284" s="7" t="inlineStr"/>
      <c r="R284" s="7" t="inlineStr"/>
    </row>
    <row r="285">
      <c r="A285" s="7" t="inlineStr">
        <is>
          <t>1</t>
        </is>
      </c>
      <c r="B285" s="7" t="inlineStr">
        <is>
          <t>G00095</t>
        </is>
      </c>
      <c r="C285" s="7" t="inlineStr">
        <is>
          <t>20260225</t>
        </is>
      </c>
      <c r="D285" s="7" t="inlineStr">
        <is>
          <t>N°2026000095</t>
        </is>
      </c>
      <c r="E285" s="7" t="inlineStr">
        <is>
          <t>DJENNADI REYAD</t>
        </is>
      </c>
      <c r="F285" s="7" t="inlineStr">
        <is>
          <t>06002</t>
        </is>
      </c>
      <c r="G285" s="7" t="inlineStr">
        <is>
          <t>70001</t>
        </is>
      </c>
      <c r="H285" s="7" t="inlineStr"/>
      <c r="I285" s="7" t="inlineStr"/>
      <c r="J285" s="7" t="inlineStr"/>
      <c r="K285" s="7" t="inlineStr"/>
      <c r="L285" s="8" t="n">
        <v>0</v>
      </c>
      <c r="M285" s="8" t="n">
        <v>70530.25</v>
      </c>
      <c r="N285" s="7" t="inlineStr"/>
      <c r="O285" s="7" t="inlineStr"/>
      <c r="P285" s="7" t="inlineStr"/>
      <c r="Q285" s="7" t="inlineStr"/>
      <c r="R285" s="7" t="inlineStr"/>
    </row>
    <row r="286">
      <c r="A286" s="7" t="inlineStr">
        <is>
          <t>1</t>
        </is>
      </c>
      <c r="B286" s="7" t="inlineStr">
        <is>
          <t>G00095</t>
        </is>
      </c>
      <c r="C286" s="7" t="inlineStr">
        <is>
          <t>20260225</t>
        </is>
      </c>
      <c r="D286" s="7" t="inlineStr">
        <is>
          <t>N°2026000095</t>
        </is>
      </c>
      <c r="E286" s="7" t="inlineStr">
        <is>
          <t>DJENNADI REYAD</t>
        </is>
      </c>
      <c r="F286" s="7" t="inlineStr">
        <is>
          <t>06002</t>
        </is>
      </c>
      <c r="G286" s="7" t="inlineStr">
        <is>
          <t>44517</t>
        </is>
      </c>
      <c r="H286" s="7" t="inlineStr"/>
      <c r="I286" s="7" t="inlineStr"/>
      <c r="J286" s="7" t="inlineStr"/>
      <c r="K286" s="7" t="inlineStr"/>
      <c r="L286" s="8" t="n">
        <v>0</v>
      </c>
      <c r="M286" s="8" t="n">
        <v>13400.75</v>
      </c>
      <c r="N286" s="7" t="inlineStr"/>
      <c r="O286" s="7" t="inlineStr"/>
      <c r="P286" s="7" t="inlineStr"/>
      <c r="Q286" s="7" t="inlineStr"/>
      <c r="R286" s="7" t="inlineStr"/>
    </row>
    <row r="287">
      <c r="A287" s="7" t="inlineStr">
        <is>
          <t>1</t>
        </is>
      </c>
      <c r="B287" s="7" t="inlineStr">
        <is>
          <t>G00096</t>
        </is>
      </c>
      <c r="C287" s="7" t="inlineStr">
        <is>
          <t>20260225</t>
        </is>
      </c>
      <c r="D287" s="7" t="inlineStr">
        <is>
          <t>N°2026000096</t>
        </is>
      </c>
      <c r="E287" s="7" t="inlineStr">
        <is>
          <t>DJENNADI REYAD</t>
        </is>
      </c>
      <c r="F287" s="7" t="inlineStr">
        <is>
          <t>06002</t>
        </is>
      </c>
      <c r="G287" s="7" t="inlineStr">
        <is>
          <t>41100</t>
        </is>
      </c>
      <c r="H287" s="7" t="inlineStr">
        <is>
          <t>C164</t>
        </is>
      </c>
      <c r="I287" s="7" t="inlineStr"/>
      <c r="J287" s="7" t="inlineStr"/>
      <c r="K287" s="7" t="inlineStr"/>
      <c r="L287" s="8" t="n">
        <v>94225</v>
      </c>
      <c r="M287" s="8" t="n">
        <v>0</v>
      </c>
      <c r="N287" s="7" t="inlineStr"/>
      <c r="O287" s="7" t="inlineStr"/>
      <c r="P287" s="7" t="inlineStr"/>
      <c r="Q287" s="7" t="inlineStr"/>
      <c r="R287" s="7" t="inlineStr"/>
    </row>
    <row r="288">
      <c r="A288" s="7" t="inlineStr">
        <is>
          <t>1</t>
        </is>
      </c>
      <c r="B288" s="7" t="inlineStr">
        <is>
          <t>G00096</t>
        </is>
      </c>
      <c r="C288" s="7" t="inlineStr">
        <is>
          <t>20260225</t>
        </is>
      </c>
      <c r="D288" s="7" t="inlineStr">
        <is>
          <t>N°2026000096</t>
        </is>
      </c>
      <c r="E288" s="7" t="inlineStr">
        <is>
          <t>DJENNADI REYAD</t>
        </is>
      </c>
      <c r="F288" s="7" t="inlineStr">
        <is>
          <t>06002</t>
        </is>
      </c>
      <c r="G288" s="7" t="inlineStr">
        <is>
          <t>70001</t>
        </is>
      </c>
      <c r="H288" s="7" t="inlineStr"/>
      <c r="I288" s="7" t="inlineStr"/>
      <c r="J288" s="7" t="inlineStr"/>
      <c r="K288" s="7" t="inlineStr"/>
      <c r="L288" s="8" t="n">
        <v>0</v>
      </c>
      <c r="M288" s="8" t="n">
        <v>79180.67</v>
      </c>
      <c r="N288" s="7" t="inlineStr"/>
      <c r="O288" s="7" t="inlineStr"/>
      <c r="P288" s="7" t="inlineStr"/>
      <c r="Q288" s="7" t="inlineStr"/>
      <c r="R288" s="7" t="inlineStr"/>
    </row>
    <row r="289">
      <c r="A289" s="7" t="inlineStr">
        <is>
          <t>1</t>
        </is>
      </c>
      <c r="B289" s="7" t="inlineStr">
        <is>
          <t>G00096</t>
        </is>
      </c>
      <c r="C289" s="7" t="inlineStr">
        <is>
          <t>20260225</t>
        </is>
      </c>
      <c r="D289" s="7" t="inlineStr">
        <is>
          <t>N°2026000096</t>
        </is>
      </c>
      <c r="E289" s="7" t="inlineStr">
        <is>
          <t>DJENNADI REYAD</t>
        </is>
      </c>
      <c r="F289" s="7" t="inlineStr">
        <is>
          <t>06002</t>
        </is>
      </c>
      <c r="G289" s="7" t="inlineStr">
        <is>
          <t>44517</t>
        </is>
      </c>
      <c r="H289" s="7" t="inlineStr"/>
      <c r="I289" s="7" t="inlineStr"/>
      <c r="J289" s="7" t="inlineStr"/>
      <c r="K289" s="7" t="inlineStr"/>
      <c r="L289" s="8" t="n">
        <v>0</v>
      </c>
      <c r="M289" s="8" t="n">
        <v>15044.33</v>
      </c>
      <c r="N289" s="7" t="inlineStr"/>
      <c r="O289" s="7" t="inlineStr"/>
      <c r="P289" s="7" t="inlineStr"/>
      <c r="Q289" s="7" t="inlineStr"/>
      <c r="R289" s="7" t="inlineStr"/>
    </row>
    <row r="290">
      <c r="A290" s="7" t="inlineStr">
        <is>
          <t>1</t>
        </is>
      </c>
      <c r="B290" s="7" t="inlineStr">
        <is>
          <t>G00097</t>
        </is>
      </c>
      <c r="C290" s="7" t="inlineStr">
        <is>
          <t>20260225</t>
        </is>
      </c>
      <c r="D290" s="7" t="inlineStr">
        <is>
          <t>N°2026000097</t>
        </is>
      </c>
      <c r="E290" s="7" t="inlineStr">
        <is>
          <t>DJENNADI REYAD</t>
        </is>
      </c>
      <c r="F290" s="7" t="inlineStr">
        <is>
          <t>06002</t>
        </is>
      </c>
      <c r="G290" s="7" t="inlineStr">
        <is>
          <t>41100</t>
        </is>
      </c>
      <c r="H290" s="7" t="inlineStr">
        <is>
          <t>C164</t>
        </is>
      </c>
      <c r="I290" s="7" t="inlineStr"/>
      <c r="J290" s="7" t="inlineStr"/>
      <c r="K290" s="7" t="inlineStr"/>
      <c r="L290" s="8" t="n">
        <v>90912</v>
      </c>
      <c r="M290" s="8" t="n">
        <v>0</v>
      </c>
      <c r="N290" s="7" t="inlineStr"/>
      <c r="O290" s="7" t="inlineStr"/>
      <c r="P290" s="7" t="inlineStr"/>
      <c r="Q290" s="7" t="inlineStr"/>
      <c r="R290" s="7" t="inlineStr"/>
    </row>
    <row r="291">
      <c r="A291" s="7" t="inlineStr">
        <is>
          <t>1</t>
        </is>
      </c>
      <c r="B291" s="7" t="inlineStr">
        <is>
          <t>G00097</t>
        </is>
      </c>
      <c r="C291" s="7" t="inlineStr">
        <is>
          <t>20260225</t>
        </is>
      </c>
      <c r="D291" s="7" t="inlineStr">
        <is>
          <t>N°2026000097</t>
        </is>
      </c>
      <c r="E291" s="7" t="inlineStr">
        <is>
          <t>DJENNADI REYAD</t>
        </is>
      </c>
      <c r="F291" s="7" t="inlineStr">
        <is>
          <t>06002</t>
        </is>
      </c>
      <c r="G291" s="7" t="inlineStr">
        <is>
          <t>70001</t>
        </is>
      </c>
      <c r="H291" s="7" t="inlineStr"/>
      <c r="I291" s="7" t="inlineStr"/>
      <c r="J291" s="7" t="inlineStr"/>
      <c r="K291" s="7" t="inlineStr"/>
      <c r="L291" s="8" t="n">
        <v>0</v>
      </c>
      <c r="M291" s="8" t="n">
        <v>76396.64</v>
      </c>
      <c r="N291" s="7" t="inlineStr"/>
      <c r="O291" s="7" t="inlineStr"/>
      <c r="P291" s="7" t="inlineStr"/>
      <c r="Q291" s="7" t="inlineStr"/>
      <c r="R291" s="7" t="inlineStr"/>
    </row>
    <row r="292">
      <c r="A292" s="7" t="inlineStr">
        <is>
          <t>1</t>
        </is>
      </c>
      <c r="B292" s="7" t="inlineStr">
        <is>
          <t>G00097</t>
        </is>
      </c>
      <c r="C292" s="7" t="inlineStr">
        <is>
          <t>20260225</t>
        </is>
      </c>
      <c r="D292" s="7" t="inlineStr">
        <is>
          <t>N°2026000097</t>
        </is>
      </c>
      <c r="E292" s="7" t="inlineStr">
        <is>
          <t>DJENNADI REYAD</t>
        </is>
      </c>
      <c r="F292" s="7" t="inlineStr">
        <is>
          <t>06002</t>
        </is>
      </c>
      <c r="G292" s="7" t="inlineStr">
        <is>
          <t>44517</t>
        </is>
      </c>
      <c r="H292" s="7" t="inlineStr"/>
      <c r="I292" s="7" t="inlineStr"/>
      <c r="J292" s="7" t="inlineStr"/>
      <c r="K292" s="7" t="inlineStr"/>
      <c r="L292" s="8" t="n">
        <v>0</v>
      </c>
      <c r="M292" s="8" t="n">
        <v>14515.36</v>
      </c>
      <c r="N292" s="7" t="inlineStr"/>
      <c r="O292" s="7" t="inlineStr"/>
      <c r="P292" s="7" t="inlineStr"/>
      <c r="Q292" s="7" t="inlineStr"/>
      <c r="R292" s="7" t="inlineStr"/>
    </row>
    <row r="293">
      <c r="A293" s="7" t="inlineStr">
        <is>
          <t>1</t>
        </is>
      </c>
      <c r="B293" s="7" t="inlineStr">
        <is>
          <t>G00098</t>
        </is>
      </c>
      <c r="C293" s="7" t="inlineStr">
        <is>
          <t>20260225</t>
        </is>
      </c>
      <c r="D293" s="7" t="inlineStr">
        <is>
          <t>N°2026000098</t>
        </is>
      </c>
      <c r="E293" s="7" t="inlineStr">
        <is>
          <t>BOUAICHI HANAFI</t>
        </is>
      </c>
      <c r="F293" s="7" t="inlineStr">
        <is>
          <t>06002</t>
        </is>
      </c>
      <c r="G293" s="7" t="inlineStr">
        <is>
          <t>41100</t>
        </is>
      </c>
      <c r="H293" s="7" t="inlineStr">
        <is>
          <t>C1028</t>
        </is>
      </c>
      <c r="I293" s="7" t="inlineStr"/>
      <c r="J293" s="7" t="inlineStr"/>
      <c r="K293" s="7" t="inlineStr"/>
      <c r="L293" s="8" t="n">
        <v>96876</v>
      </c>
      <c r="M293" s="8" t="n">
        <v>0</v>
      </c>
      <c r="N293" s="7" t="inlineStr"/>
      <c r="O293" s="7" t="inlineStr"/>
      <c r="P293" s="7" t="inlineStr"/>
      <c r="Q293" s="7" t="inlineStr"/>
      <c r="R293" s="7" t="inlineStr"/>
    </row>
    <row r="294">
      <c r="A294" s="7" t="inlineStr">
        <is>
          <t>1</t>
        </is>
      </c>
      <c r="B294" s="7" t="inlineStr">
        <is>
          <t>G00098</t>
        </is>
      </c>
      <c r="C294" s="7" t="inlineStr">
        <is>
          <t>20260225</t>
        </is>
      </c>
      <c r="D294" s="7" t="inlineStr">
        <is>
          <t>N°2026000098</t>
        </is>
      </c>
      <c r="E294" s="7" t="inlineStr">
        <is>
          <t>BOUAICHI HANAFI</t>
        </is>
      </c>
      <c r="F294" s="7" t="inlineStr">
        <is>
          <t>06002</t>
        </is>
      </c>
      <c r="G294" s="7" t="inlineStr">
        <is>
          <t>70001</t>
        </is>
      </c>
      <c r="H294" s="7" t="inlineStr"/>
      <c r="I294" s="7" t="inlineStr"/>
      <c r="J294" s="7" t="inlineStr"/>
      <c r="K294" s="7" t="inlineStr"/>
      <c r="L294" s="8" t="n">
        <v>0</v>
      </c>
      <c r="M294" s="8" t="n">
        <v>81408.39999999999</v>
      </c>
      <c r="N294" s="7" t="inlineStr"/>
      <c r="O294" s="7" t="inlineStr"/>
      <c r="P294" s="7" t="inlineStr"/>
      <c r="Q294" s="7" t="inlineStr"/>
      <c r="R294" s="7" t="inlineStr"/>
    </row>
    <row r="295">
      <c r="A295" s="7" t="inlineStr">
        <is>
          <t>1</t>
        </is>
      </c>
      <c r="B295" s="7" t="inlineStr">
        <is>
          <t>G00098</t>
        </is>
      </c>
      <c r="C295" s="7" t="inlineStr">
        <is>
          <t>20260225</t>
        </is>
      </c>
      <c r="D295" s="7" t="inlineStr">
        <is>
          <t>N°2026000098</t>
        </is>
      </c>
      <c r="E295" s="7" t="inlineStr">
        <is>
          <t>BOUAICHI HANAFI</t>
        </is>
      </c>
      <c r="F295" s="7" t="inlineStr">
        <is>
          <t>06002</t>
        </is>
      </c>
      <c r="G295" s="7" t="inlineStr">
        <is>
          <t>44517</t>
        </is>
      </c>
      <c r="H295" s="7" t="inlineStr"/>
      <c r="I295" s="7" t="inlineStr"/>
      <c r="J295" s="7" t="inlineStr"/>
      <c r="K295" s="7" t="inlineStr"/>
      <c r="L295" s="8" t="n">
        <v>0</v>
      </c>
      <c r="M295" s="8" t="n">
        <v>15467.6</v>
      </c>
      <c r="N295" s="7" t="inlineStr"/>
      <c r="O295" s="7" t="inlineStr"/>
      <c r="P295" s="7" t="inlineStr"/>
      <c r="Q295" s="7" t="inlineStr"/>
      <c r="R295" s="7" t="inlineStr"/>
    </row>
    <row r="296">
      <c r="A296" s="7" t="inlineStr">
        <is>
          <t>1</t>
        </is>
      </c>
      <c r="B296" s="7" t="inlineStr">
        <is>
          <t>G00099</t>
        </is>
      </c>
      <c r="C296" s="7" t="inlineStr">
        <is>
          <t>20260225</t>
        </is>
      </c>
      <c r="D296" s="7" t="inlineStr">
        <is>
          <t>N°2026000099</t>
        </is>
      </c>
      <c r="E296" s="7" t="inlineStr">
        <is>
          <t>DJENNADI REYAD</t>
        </is>
      </c>
      <c r="F296" s="7" t="inlineStr">
        <is>
          <t>06002</t>
        </is>
      </c>
      <c r="G296" s="7" t="inlineStr">
        <is>
          <t>41100</t>
        </is>
      </c>
      <c r="H296" s="7" t="inlineStr">
        <is>
          <t>C164</t>
        </is>
      </c>
      <c r="I296" s="7" t="inlineStr"/>
      <c r="J296" s="7" t="inlineStr"/>
      <c r="K296" s="7" t="inlineStr"/>
      <c r="L296" s="8" t="n">
        <v>71884</v>
      </c>
      <c r="M296" s="8" t="n">
        <v>0</v>
      </c>
      <c r="N296" s="7" t="inlineStr"/>
      <c r="O296" s="7" t="inlineStr"/>
      <c r="P296" s="7" t="inlineStr"/>
      <c r="Q296" s="7" t="inlineStr"/>
      <c r="R296" s="7" t="inlineStr"/>
    </row>
    <row r="297">
      <c r="A297" s="7" t="inlineStr">
        <is>
          <t>1</t>
        </is>
      </c>
      <c r="B297" s="7" t="inlineStr">
        <is>
          <t>G00099</t>
        </is>
      </c>
      <c r="C297" s="7" t="inlineStr">
        <is>
          <t>20260225</t>
        </is>
      </c>
      <c r="D297" s="7" t="inlineStr">
        <is>
          <t>N°2026000099</t>
        </is>
      </c>
      <c r="E297" s="7" t="inlineStr">
        <is>
          <t>DJENNADI REYAD</t>
        </is>
      </c>
      <c r="F297" s="7" t="inlineStr">
        <is>
          <t>06002</t>
        </is>
      </c>
      <c r="G297" s="7" t="inlineStr">
        <is>
          <t>70001</t>
        </is>
      </c>
      <c r="H297" s="7" t="inlineStr"/>
      <c r="I297" s="7" t="inlineStr"/>
      <c r="J297" s="7" t="inlineStr"/>
      <c r="K297" s="7" t="inlineStr"/>
      <c r="L297" s="8" t="n">
        <v>0</v>
      </c>
      <c r="M297" s="8" t="n">
        <v>60406.72</v>
      </c>
      <c r="N297" s="7" t="inlineStr"/>
      <c r="O297" s="7" t="inlineStr"/>
      <c r="P297" s="7" t="inlineStr"/>
      <c r="Q297" s="7" t="inlineStr"/>
      <c r="R297" s="7" t="inlineStr"/>
    </row>
    <row r="298">
      <c r="A298" s="7" t="inlineStr">
        <is>
          <t>1</t>
        </is>
      </c>
      <c r="B298" s="7" t="inlineStr">
        <is>
          <t>G00099</t>
        </is>
      </c>
      <c r="C298" s="7" t="inlineStr">
        <is>
          <t>20260225</t>
        </is>
      </c>
      <c r="D298" s="7" t="inlineStr">
        <is>
          <t>N°2026000099</t>
        </is>
      </c>
      <c r="E298" s="7" t="inlineStr">
        <is>
          <t>DJENNADI REYAD</t>
        </is>
      </c>
      <c r="F298" s="7" t="inlineStr">
        <is>
          <t>06002</t>
        </is>
      </c>
      <c r="G298" s="7" t="inlineStr">
        <is>
          <t>44517</t>
        </is>
      </c>
      <c r="H298" s="7" t="inlineStr"/>
      <c r="I298" s="7" t="inlineStr"/>
      <c r="J298" s="7" t="inlineStr"/>
      <c r="K298" s="7" t="inlineStr"/>
      <c r="L298" s="8" t="n">
        <v>0</v>
      </c>
      <c r="M298" s="8" t="n">
        <v>11477.28</v>
      </c>
      <c r="N298" s="7" t="inlineStr"/>
      <c r="O298" s="7" t="inlineStr"/>
      <c r="P298" s="7" t="inlineStr"/>
      <c r="Q298" s="7" t="inlineStr"/>
      <c r="R298" s="7" t="inlineStr"/>
    </row>
    <row r="299">
      <c r="A299" s="7" t="inlineStr">
        <is>
          <t>1</t>
        </is>
      </c>
      <c r="B299" s="7" t="inlineStr">
        <is>
          <t>G00100</t>
        </is>
      </c>
      <c r="C299" s="7" t="inlineStr">
        <is>
          <t>20260225</t>
        </is>
      </c>
      <c r="D299" s="7" t="inlineStr">
        <is>
          <t>N°2026000100</t>
        </is>
      </c>
      <c r="E299" s="7" t="inlineStr">
        <is>
          <t>DJENNADI REYAD</t>
        </is>
      </c>
      <c r="F299" s="7" t="inlineStr">
        <is>
          <t>06002</t>
        </is>
      </c>
      <c r="G299" s="7" t="inlineStr">
        <is>
          <t>41100</t>
        </is>
      </c>
      <c r="H299" s="7" t="inlineStr">
        <is>
          <t>C164</t>
        </is>
      </c>
      <c r="I299" s="7" t="inlineStr"/>
      <c r="J299" s="7" t="inlineStr"/>
      <c r="K299" s="7" t="inlineStr"/>
      <c r="L299" s="8" t="n">
        <v>81164</v>
      </c>
      <c r="M299" s="8" t="n">
        <v>0</v>
      </c>
      <c r="N299" s="7" t="inlineStr"/>
      <c r="O299" s="7" t="inlineStr"/>
      <c r="P299" s="7" t="inlineStr"/>
      <c r="Q299" s="7" t="inlineStr"/>
      <c r="R299" s="7" t="inlineStr"/>
    </row>
    <row r="300">
      <c r="A300" s="7" t="inlineStr">
        <is>
          <t>1</t>
        </is>
      </c>
      <c r="B300" s="7" t="inlineStr">
        <is>
          <t>G00100</t>
        </is>
      </c>
      <c r="C300" s="7" t="inlineStr">
        <is>
          <t>20260225</t>
        </is>
      </c>
      <c r="D300" s="7" t="inlineStr">
        <is>
          <t>N°2026000100</t>
        </is>
      </c>
      <c r="E300" s="7" t="inlineStr">
        <is>
          <t>DJENNADI REYAD</t>
        </is>
      </c>
      <c r="F300" s="7" t="inlineStr">
        <is>
          <t>06002</t>
        </is>
      </c>
      <c r="G300" s="7" t="inlineStr">
        <is>
          <t>70001</t>
        </is>
      </c>
      <c r="H300" s="7" t="inlineStr"/>
      <c r="I300" s="7" t="inlineStr"/>
      <c r="J300" s="7" t="inlineStr"/>
      <c r="K300" s="7" t="inlineStr"/>
      <c r="L300" s="8" t="n">
        <v>0</v>
      </c>
      <c r="M300" s="8" t="n">
        <v>68205.03999999999</v>
      </c>
      <c r="N300" s="7" t="inlineStr"/>
      <c r="O300" s="7" t="inlineStr"/>
      <c r="P300" s="7" t="inlineStr"/>
      <c r="Q300" s="7" t="inlineStr"/>
      <c r="R300" s="7" t="inlineStr"/>
    </row>
    <row r="301">
      <c r="A301" s="7" t="inlineStr">
        <is>
          <t>1</t>
        </is>
      </c>
      <c r="B301" s="7" t="inlineStr">
        <is>
          <t>G00100</t>
        </is>
      </c>
      <c r="C301" s="7" t="inlineStr">
        <is>
          <t>20260225</t>
        </is>
      </c>
      <c r="D301" s="7" t="inlineStr">
        <is>
          <t>N°2026000100</t>
        </is>
      </c>
      <c r="E301" s="7" t="inlineStr">
        <is>
          <t>DJENNADI REYAD</t>
        </is>
      </c>
      <c r="F301" s="7" t="inlineStr">
        <is>
          <t>06002</t>
        </is>
      </c>
      <c r="G301" s="7" t="inlineStr">
        <is>
          <t>44517</t>
        </is>
      </c>
      <c r="H301" s="7" t="inlineStr"/>
      <c r="I301" s="7" t="inlineStr"/>
      <c r="J301" s="7" t="inlineStr"/>
      <c r="K301" s="7" t="inlineStr"/>
      <c r="L301" s="8" t="n">
        <v>0</v>
      </c>
      <c r="M301" s="8" t="n">
        <v>12958.96</v>
      </c>
      <c r="N301" s="7" t="inlineStr"/>
      <c r="O301" s="7" t="inlineStr"/>
      <c r="P301" s="7" t="inlineStr"/>
      <c r="Q301" s="7" t="inlineStr"/>
      <c r="R301" s="7" t="inlineStr"/>
    </row>
    <row r="302">
      <c r="A302" s="7" t="inlineStr">
        <is>
          <t>1</t>
        </is>
      </c>
      <c r="B302" s="7" t="inlineStr">
        <is>
          <t>G00101</t>
        </is>
      </c>
      <c r="C302" s="7" t="inlineStr">
        <is>
          <t>20260225</t>
        </is>
      </c>
      <c r="D302" s="7" t="inlineStr">
        <is>
          <t>N°2026000101</t>
        </is>
      </c>
      <c r="E302" s="7" t="inlineStr">
        <is>
          <t>DJENNADI REYAD</t>
        </is>
      </c>
      <c r="F302" s="7" t="inlineStr">
        <is>
          <t>06002</t>
        </is>
      </c>
      <c r="G302" s="7" t="inlineStr">
        <is>
          <t>41100</t>
        </is>
      </c>
      <c r="H302" s="7" t="inlineStr">
        <is>
          <t>C164</t>
        </is>
      </c>
      <c r="I302" s="7" t="inlineStr"/>
      <c r="J302" s="7" t="inlineStr"/>
      <c r="K302" s="7" t="inlineStr"/>
      <c r="L302" s="8" t="n">
        <v>147773</v>
      </c>
      <c r="M302" s="8" t="n">
        <v>0</v>
      </c>
      <c r="N302" s="7" t="inlineStr"/>
      <c r="O302" s="7" t="inlineStr"/>
      <c r="P302" s="7" t="inlineStr"/>
      <c r="Q302" s="7" t="inlineStr"/>
      <c r="R302" s="7" t="inlineStr"/>
    </row>
    <row r="303">
      <c r="A303" s="7" t="inlineStr">
        <is>
          <t>1</t>
        </is>
      </c>
      <c r="B303" s="7" t="inlineStr">
        <is>
          <t>G00101</t>
        </is>
      </c>
      <c r="C303" s="7" t="inlineStr">
        <is>
          <t>20260225</t>
        </is>
      </c>
      <c r="D303" s="7" t="inlineStr">
        <is>
          <t>N°2026000101</t>
        </is>
      </c>
      <c r="E303" s="7" t="inlineStr">
        <is>
          <t>DJENNADI REYAD</t>
        </is>
      </c>
      <c r="F303" s="7" t="inlineStr">
        <is>
          <t>06002</t>
        </is>
      </c>
      <c r="G303" s="7" t="inlineStr">
        <is>
          <t>70001</t>
        </is>
      </c>
      <c r="H303" s="7" t="inlineStr"/>
      <c r="I303" s="7" t="inlineStr"/>
      <c r="J303" s="7" t="inlineStr"/>
      <c r="K303" s="7" t="inlineStr"/>
      <c r="L303" s="8" t="n">
        <v>0</v>
      </c>
      <c r="M303" s="8" t="n">
        <v>124178.99</v>
      </c>
      <c r="N303" s="7" t="inlineStr"/>
      <c r="O303" s="7" t="inlineStr"/>
      <c r="P303" s="7" t="inlineStr"/>
      <c r="Q303" s="7" t="inlineStr"/>
      <c r="R303" s="7" t="inlineStr"/>
    </row>
    <row r="304">
      <c r="A304" s="7" t="inlineStr">
        <is>
          <t>1</t>
        </is>
      </c>
      <c r="B304" s="7" t="inlineStr">
        <is>
          <t>G00101</t>
        </is>
      </c>
      <c r="C304" s="7" t="inlineStr">
        <is>
          <t>20260225</t>
        </is>
      </c>
      <c r="D304" s="7" t="inlineStr">
        <is>
          <t>N°2026000101</t>
        </is>
      </c>
      <c r="E304" s="7" t="inlineStr">
        <is>
          <t>DJENNADI REYAD</t>
        </is>
      </c>
      <c r="F304" s="7" t="inlineStr">
        <is>
          <t>06002</t>
        </is>
      </c>
      <c r="G304" s="7" t="inlineStr">
        <is>
          <t>44517</t>
        </is>
      </c>
      <c r="H304" s="7" t="inlineStr"/>
      <c r="I304" s="7" t="inlineStr"/>
      <c r="J304" s="7" t="inlineStr"/>
      <c r="K304" s="7" t="inlineStr"/>
      <c r="L304" s="8" t="n">
        <v>0</v>
      </c>
      <c r="M304" s="8" t="n">
        <v>23594.01</v>
      </c>
      <c r="N304" s="7" t="inlineStr"/>
      <c r="O304" s="7" t="inlineStr"/>
      <c r="P304" s="7" t="inlineStr"/>
      <c r="Q304" s="7" t="inlineStr"/>
      <c r="R304" s="7" t="inlineStr"/>
    </row>
    <row r="305">
      <c r="A305" s="7" t="inlineStr">
        <is>
          <t>1</t>
        </is>
      </c>
      <c r="B305" s="7" t="inlineStr">
        <is>
          <t>G00102</t>
        </is>
      </c>
      <c r="C305" s="7" t="inlineStr">
        <is>
          <t>20260225</t>
        </is>
      </c>
      <c r="D305" s="7" t="inlineStr">
        <is>
          <t>N°2026000102</t>
        </is>
      </c>
      <c r="E305" s="7" t="inlineStr">
        <is>
          <t>DJENNADI REYAD</t>
        </is>
      </c>
      <c r="F305" s="7" t="inlineStr">
        <is>
          <t>06002</t>
        </is>
      </c>
      <c r="G305" s="7" t="inlineStr">
        <is>
          <t>41100</t>
        </is>
      </c>
      <c r="H305" s="7" t="inlineStr">
        <is>
          <t>C164</t>
        </is>
      </c>
      <c r="I305" s="7" t="inlineStr"/>
      <c r="J305" s="7" t="inlineStr"/>
      <c r="K305" s="7" t="inlineStr"/>
      <c r="L305" s="8" t="n">
        <v>71040</v>
      </c>
      <c r="M305" s="8" t="n">
        <v>0</v>
      </c>
      <c r="N305" s="7" t="inlineStr"/>
      <c r="O305" s="7" t="inlineStr"/>
      <c r="P305" s="7" t="inlineStr"/>
      <c r="Q305" s="7" t="inlineStr"/>
      <c r="R305" s="7" t="inlineStr"/>
    </row>
    <row r="306">
      <c r="A306" s="7" t="inlineStr">
        <is>
          <t>1</t>
        </is>
      </c>
      <c r="B306" s="7" t="inlineStr">
        <is>
          <t>G00102</t>
        </is>
      </c>
      <c r="C306" s="7" t="inlineStr">
        <is>
          <t>20260225</t>
        </is>
      </c>
      <c r="D306" s="7" t="inlineStr">
        <is>
          <t>N°2026000102</t>
        </is>
      </c>
      <c r="E306" s="7" t="inlineStr">
        <is>
          <t>DJENNADI REYAD</t>
        </is>
      </c>
      <c r="F306" s="7" t="inlineStr">
        <is>
          <t>06002</t>
        </is>
      </c>
      <c r="G306" s="7" t="inlineStr">
        <is>
          <t>70001</t>
        </is>
      </c>
      <c r="H306" s="7" t="inlineStr"/>
      <c r="I306" s="7" t="inlineStr"/>
      <c r="J306" s="7" t="inlineStr"/>
      <c r="K306" s="7" t="inlineStr"/>
      <c r="L306" s="8" t="n">
        <v>0</v>
      </c>
      <c r="M306" s="8" t="n">
        <v>59697.48</v>
      </c>
      <c r="N306" s="7" t="inlineStr"/>
      <c r="O306" s="7" t="inlineStr"/>
      <c r="P306" s="7" t="inlineStr"/>
      <c r="Q306" s="7" t="inlineStr"/>
      <c r="R306" s="7" t="inlineStr"/>
    </row>
    <row r="307">
      <c r="A307" s="7" t="inlineStr">
        <is>
          <t>1</t>
        </is>
      </c>
      <c r="B307" s="7" t="inlineStr">
        <is>
          <t>G00102</t>
        </is>
      </c>
      <c r="C307" s="7" t="inlineStr">
        <is>
          <t>20260225</t>
        </is>
      </c>
      <c r="D307" s="7" t="inlineStr">
        <is>
          <t>N°2026000102</t>
        </is>
      </c>
      <c r="E307" s="7" t="inlineStr">
        <is>
          <t>DJENNADI REYAD</t>
        </is>
      </c>
      <c r="F307" s="7" t="inlineStr">
        <is>
          <t>06002</t>
        </is>
      </c>
      <c r="G307" s="7" t="inlineStr">
        <is>
          <t>44517</t>
        </is>
      </c>
      <c r="H307" s="7" t="inlineStr"/>
      <c r="I307" s="7" t="inlineStr"/>
      <c r="J307" s="7" t="inlineStr"/>
      <c r="K307" s="7" t="inlineStr"/>
      <c r="L307" s="8" t="n">
        <v>0</v>
      </c>
      <c r="M307" s="8" t="n">
        <v>11342.52</v>
      </c>
      <c r="N307" s="7" t="inlineStr"/>
      <c r="O307" s="7" t="inlineStr"/>
      <c r="P307" s="7" t="inlineStr"/>
      <c r="Q307" s="7" t="inlineStr"/>
      <c r="R307" s="7" t="inlineStr"/>
    </row>
    <row r="308">
      <c r="A308" s="7" t="inlineStr">
        <is>
          <t>1</t>
        </is>
      </c>
      <c r="B308" s="7" t="inlineStr">
        <is>
          <t>G00103</t>
        </is>
      </c>
      <c r="C308" s="7" t="inlineStr">
        <is>
          <t>20260225</t>
        </is>
      </c>
      <c r="D308" s="7" t="inlineStr">
        <is>
          <t>N°2026000103</t>
        </is>
      </c>
      <c r="E308" s="7" t="inlineStr">
        <is>
          <t>SASSANE RAMDANE</t>
        </is>
      </c>
      <c r="F308" s="7" t="inlineStr">
        <is>
          <t>06002</t>
        </is>
      </c>
      <c r="G308" s="7" t="inlineStr">
        <is>
          <t>41100</t>
        </is>
      </c>
      <c r="H308" s="7" t="inlineStr">
        <is>
          <t>C910</t>
        </is>
      </c>
      <c r="I308" s="7" t="inlineStr"/>
      <c r="J308" s="7" t="inlineStr"/>
      <c r="K308" s="7" t="inlineStr"/>
      <c r="L308" s="8" t="n">
        <v>93319</v>
      </c>
      <c r="M308" s="8" t="n">
        <v>0</v>
      </c>
      <c r="N308" s="7" t="inlineStr"/>
      <c r="O308" s="7" t="inlineStr"/>
      <c r="P308" s="7" t="inlineStr"/>
      <c r="Q308" s="7" t="inlineStr"/>
      <c r="R308" s="7" t="inlineStr"/>
    </row>
    <row r="309">
      <c r="A309" s="7" t="inlineStr">
        <is>
          <t>1</t>
        </is>
      </c>
      <c r="B309" s="7" t="inlineStr">
        <is>
          <t>G00103</t>
        </is>
      </c>
      <c r="C309" s="7" t="inlineStr">
        <is>
          <t>20260225</t>
        </is>
      </c>
      <c r="D309" s="7" t="inlineStr">
        <is>
          <t>N°2026000103</t>
        </is>
      </c>
      <c r="E309" s="7" t="inlineStr">
        <is>
          <t>SASSANE RAMDANE</t>
        </is>
      </c>
      <c r="F309" s="7" t="inlineStr">
        <is>
          <t>06002</t>
        </is>
      </c>
      <c r="G309" s="7" t="inlineStr">
        <is>
          <t>70001</t>
        </is>
      </c>
      <c r="H309" s="7" t="inlineStr"/>
      <c r="I309" s="7" t="inlineStr"/>
      <c r="J309" s="7" t="inlineStr"/>
      <c r="K309" s="7" t="inlineStr"/>
      <c r="L309" s="8" t="n">
        <v>0</v>
      </c>
      <c r="M309" s="8" t="n">
        <v>78419.33</v>
      </c>
      <c r="N309" s="7" t="inlineStr"/>
      <c r="O309" s="7" t="inlineStr"/>
      <c r="P309" s="7" t="inlineStr"/>
      <c r="Q309" s="7" t="inlineStr"/>
      <c r="R309" s="7" t="inlineStr"/>
    </row>
    <row r="310">
      <c r="A310" s="7" t="inlineStr">
        <is>
          <t>1</t>
        </is>
      </c>
      <c r="B310" s="7" t="inlineStr">
        <is>
          <t>G00103</t>
        </is>
      </c>
      <c r="C310" s="7" t="inlineStr">
        <is>
          <t>20260225</t>
        </is>
      </c>
      <c r="D310" s="7" t="inlineStr">
        <is>
          <t>N°2026000103</t>
        </is>
      </c>
      <c r="E310" s="7" t="inlineStr">
        <is>
          <t>SASSANE RAMDANE</t>
        </is>
      </c>
      <c r="F310" s="7" t="inlineStr">
        <is>
          <t>06002</t>
        </is>
      </c>
      <c r="G310" s="7" t="inlineStr">
        <is>
          <t>44517</t>
        </is>
      </c>
      <c r="H310" s="7" t="inlineStr"/>
      <c r="I310" s="7" t="inlineStr"/>
      <c r="J310" s="7" t="inlineStr"/>
      <c r="K310" s="7" t="inlineStr"/>
      <c r="L310" s="8" t="n">
        <v>0</v>
      </c>
      <c r="M310" s="8" t="n">
        <v>14899.67</v>
      </c>
      <c r="N310" s="7" t="inlineStr"/>
      <c r="O310" s="7" t="inlineStr"/>
      <c r="P310" s="7" t="inlineStr"/>
      <c r="Q310" s="7" t="inlineStr"/>
      <c r="R310" s="7" t="inlineStr"/>
    </row>
    <row r="311">
      <c r="A311" s="7" t="inlineStr">
        <is>
          <t>1</t>
        </is>
      </c>
      <c r="B311" s="7" t="inlineStr">
        <is>
          <t>G00104</t>
        </is>
      </c>
      <c r="C311" s="7" t="inlineStr">
        <is>
          <t>20260225</t>
        </is>
      </c>
      <c r="D311" s="7" t="inlineStr">
        <is>
          <t>N°2026000104</t>
        </is>
      </c>
      <c r="E311" s="7" t="inlineStr">
        <is>
          <t>SASSANE RAMDANE</t>
        </is>
      </c>
      <c r="F311" s="7" t="inlineStr">
        <is>
          <t>06002</t>
        </is>
      </c>
      <c r="G311" s="7" t="inlineStr">
        <is>
          <t>41100</t>
        </is>
      </c>
      <c r="H311" s="7" t="inlineStr">
        <is>
          <t>C910</t>
        </is>
      </c>
      <c r="I311" s="7" t="inlineStr"/>
      <c r="J311" s="7" t="inlineStr"/>
      <c r="K311" s="7" t="inlineStr"/>
      <c r="L311" s="8" t="n">
        <v>121052</v>
      </c>
      <c r="M311" s="8" t="n">
        <v>0</v>
      </c>
      <c r="N311" s="7" t="inlineStr"/>
      <c r="O311" s="7" t="inlineStr"/>
      <c r="P311" s="7" t="inlineStr"/>
      <c r="Q311" s="7" t="inlineStr"/>
      <c r="R311" s="7" t="inlineStr"/>
    </row>
    <row r="312">
      <c r="A312" s="7" t="inlineStr">
        <is>
          <t>1</t>
        </is>
      </c>
      <c r="B312" s="7" t="inlineStr">
        <is>
          <t>G00104</t>
        </is>
      </c>
      <c r="C312" s="7" t="inlineStr">
        <is>
          <t>20260225</t>
        </is>
      </c>
      <c r="D312" s="7" t="inlineStr">
        <is>
          <t>N°2026000104</t>
        </is>
      </c>
      <c r="E312" s="7" t="inlineStr">
        <is>
          <t>SASSANE RAMDANE</t>
        </is>
      </c>
      <c r="F312" s="7" t="inlineStr">
        <is>
          <t>06002</t>
        </is>
      </c>
      <c r="G312" s="7" t="inlineStr">
        <is>
          <t>70001</t>
        </is>
      </c>
      <c r="H312" s="7" t="inlineStr"/>
      <c r="I312" s="7" t="inlineStr"/>
      <c r="J312" s="7" t="inlineStr"/>
      <c r="K312" s="7" t="inlineStr"/>
      <c r="L312" s="8" t="n">
        <v>0</v>
      </c>
      <c r="M312" s="8" t="n">
        <v>101724.37</v>
      </c>
      <c r="N312" s="7" t="inlineStr"/>
      <c r="O312" s="7" t="inlineStr"/>
      <c r="P312" s="7" t="inlineStr"/>
      <c r="Q312" s="7" t="inlineStr"/>
      <c r="R312" s="7" t="inlineStr"/>
    </row>
    <row r="313">
      <c r="A313" s="7" t="inlineStr">
        <is>
          <t>1</t>
        </is>
      </c>
      <c r="B313" s="7" t="inlineStr">
        <is>
          <t>G00104</t>
        </is>
      </c>
      <c r="C313" s="7" t="inlineStr">
        <is>
          <t>20260225</t>
        </is>
      </c>
      <c r="D313" s="7" t="inlineStr">
        <is>
          <t>N°2026000104</t>
        </is>
      </c>
      <c r="E313" s="7" t="inlineStr">
        <is>
          <t>SASSANE RAMDANE</t>
        </is>
      </c>
      <c r="F313" s="7" t="inlineStr">
        <is>
          <t>06002</t>
        </is>
      </c>
      <c r="G313" s="7" t="inlineStr">
        <is>
          <t>44517</t>
        </is>
      </c>
      <c r="H313" s="7" t="inlineStr"/>
      <c r="I313" s="7" t="inlineStr"/>
      <c r="J313" s="7" t="inlineStr"/>
      <c r="K313" s="7" t="inlineStr"/>
      <c r="L313" s="8" t="n">
        <v>0</v>
      </c>
      <c r="M313" s="8" t="n">
        <v>19327.63</v>
      </c>
      <c r="N313" s="7" t="inlineStr"/>
      <c r="O313" s="7" t="inlineStr"/>
      <c r="P313" s="7" t="inlineStr"/>
      <c r="Q313" s="7" t="inlineStr"/>
      <c r="R313" s="7" t="inlineStr"/>
    </row>
    <row r="314">
      <c r="A314" s="7" t="inlineStr">
        <is>
          <t>1</t>
        </is>
      </c>
      <c r="B314" s="7" t="inlineStr">
        <is>
          <t>G00105</t>
        </is>
      </c>
      <c r="C314" s="7" t="inlineStr">
        <is>
          <t>20260225</t>
        </is>
      </c>
      <c r="D314" s="7" t="inlineStr">
        <is>
          <t>N°2026000105</t>
        </is>
      </c>
      <c r="E314" s="7" t="inlineStr">
        <is>
          <t>DJENNADI ABDELKRIM</t>
        </is>
      </c>
      <c r="F314" s="7" t="inlineStr">
        <is>
          <t>06002</t>
        </is>
      </c>
      <c r="G314" s="7" t="inlineStr">
        <is>
          <t>41100</t>
        </is>
      </c>
      <c r="H314" s="7" t="inlineStr">
        <is>
          <t>C004</t>
        </is>
      </c>
      <c r="I314" s="7" t="inlineStr"/>
      <c r="J314" s="7" t="inlineStr"/>
      <c r="K314" s="7" t="inlineStr"/>
      <c r="L314" s="8" t="n">
        <v>3501741.6</v>
      </c>
      <c r="M314" s="8" t="n">
        <v>0</v>
      </c>
      <c r="N314" s="7" t="inlineStr"/>
      <c r="O314" s="7" t="inlineStr"/>
      <c r="P314" s="7" t="inlineStr"/>
      <c r="Q314" s="7" t="inlineStr"/>
      <c r="R314" s="7" t="inlineStr"/>
    </row>
    <row r="315">
      <c r="A315" s="7" t="inlineStr">
        <is>
          <t>1</t>
        </is>
      </c>
      <c r="B315" s="7" t="inlineStr">
        <is>
          <t>G00105</t>
        </is>
      </c>
      <c r="C315" s="7" t="inlineStr">
        <is>
          <t>20260225</t>
        </is>
      </c>
      <c r="D315" s="7" t="inlineStr">
        <is>
          <t>N°2026000105</t>
        </is>
      </c>
      <c r="E315" s="7" t="inlineStr">
        <is>
          <t>DJENNADI ABDELKRIM</t>
        </is>
      </c>
      <c r="F315" s="7" t="inlineStr">
        <is>
          <t>06002</t>
        </is>
      </c>
      <c r="G315" s="7" t="inlineStr">
        <is>
          <t>70001</t>
        </is>
      </c>
      <c r="H315" s="7" t="inlineStr"/>
      <c r="I315" s="7" t="inlineStr"/>
      <c r="J315" s="7" t="inlineStr"/>
      <c r="K315" s="7" t="inlineStr"/>
      <c r="L315" s="8" t="n">
        <v>0</v>
      </c>
      <c r="M315" s="8" t="n">
        <v>2942640</v>
      </c>
      <c r="N315" s="7" t="inlineStr"/>
      <c r="O315" s="7" t="inlineStr"/>
      <c r="P315" s="7" t="inlineStr"/>
      <c r="Q315" s="7" t="inlineStr"/>
      <c r="R315" s="7" t="inlineStr"/>
    </row>
    <row r="316">
      <c r="A316" s="7" t="inlineStr">
        <is>
          <t>1</t>
        </is>
      </c>
      <c r="B316" s="7" t="inlineStr">
        <is>
          <t>G00105</t>
        </is>
      </c>
      <c r="C316" s="7" t="inlineStr">
        <is>
          <t>20260225</t>
        </is>
      </c>
      <c r="D316" s="7" t="inlineStr">
        <is>
          <t>N°2026000105</t>
        </is>
      </c>
      <c r="E316" s="7" t="inlineStr">
        <is>
          <t>DJENNADI ABDELKRIM</t>
        </is>
      </c>
      <c r="F316" s="7" t="inlineStr">
        <is>
          <t>06002</t>
        </is>
      </c>
      <c r="G316" s="7" t="inlineStr">
        <is>
          <t>44517</t>
        </is>
      </c>
      <c r="H316" s="7" t="inlineStr"/>
      <c r="I316" s="7" t="inlineStr"/>
      <c r="J316" s="7" t="inlineStr"/>
      <c r="K316" s="7" t="inlineStr"/>
      <c r="L316" s="8" t="n">
        <v>0</v>
      </c>
      <c r="M316" s="8" t="n">
        <v>559101.6</v>
      </c>
      <c r="N316" s="7" t="inlineStr"/>
      <c r="O316" s="7" t="inlineStr"/>
      <c r="P316" s="7" t="inlineStr"/>
      <c r="Q316" s="7" t="inlineStr"/>
      <c r="R316" s="7" t="inlineStr"/>
    </row>
    <row r="317">
      <c r="A317" s="7" t="inlineStr">
        <is>
          <t>1</t>
        </is>
      </c>
      <c r="B317" s="7" t="inlineStr">
        <is>
          <t>G00106</t>
        </is>
      </c>
      <c r="C317" s="7" t="inlineStr">
        <is>
          <t>20260226</t>
        </is>
      </c>
      <c r="D317" s="7" t="inlineStr">
        <is>
          <t>N°2026000106</t>
        </is>
      </c>
      <c r="E317" s="7" t="inlineStr">
        <is>
          <t>LAOUEDJ MOHAMMED SALAH</t>
        </is>
      </c>
      <c r="F317" s="7" t="inlineStr">
        <is>
          <t>06002</t>
        </is>
      </c>
      <c r="G317" s="7" t="inlineStr">
        <is>
          <t>41100</t>
        </is>
      </c>
      <c r="H317" s="7" t="inlineStr">
        <is>
          <t>C556</t>
        </is>
      </c>
      <c r="I317" s="7" t="inlineStr"/>
      <c r="J317" s="7" t="inlineStr"/>
      <c r="K317" s="7" t="inlineStr"/>
      <c r="L317" s="8" t="n">
        <v>954335.2</v>
      </c>
      <c r="M317" s="8" t="n">
        <v>0</v>
      </c>
      <c r="N317" s="7" t="inlineStr"/>
      <c r="O317" s="7" t="inlineStr"/>
      <c r="P317" s="7" t="inlineStr"/>
      <c r="Q317" s="7" t="inlineStr"/>
      <c r="R317" s="7" t="inlineStr"/>
    </row>
    <row r="318">
      <c r="A318" s="7" t="inlineStr">
        <is>
          <t>1</t>
        </is>
      </c>
      <c r="B318" s="7" t="inlineStr">
        <is>
          <t>G00106</t>
        </is>
      </c>
      <c r="C318" s="7" t="inlineStr">
        <is>
          <t>20260226</t>
        </is>
      </c>
      <c r="D318" s="7" t="inlineStr">
        <is>
          <t>N°2026000106</t>
        </is>
      </c>
      <c r="E318" s="7" t="inlineStr">
        <is>
          <t>LAOUEDJ MOHAMMED SALAH</t>
        </is>
      </c>
      <c r="F318" s="7" t="inlineStr">
        <is>
          <t>06002</t>
        </is>
      </c>
      <c r="G318" s="7" t="inlineStr">
        <is>
          <t>70001</t>
        </is>
      </c>
      <c r="H318" s="7" t="inlineStr"/>
      <c r="I318" s="7" t="inlineStr"/>
      <c r="J318" s="7" t="inlineStr"/>
      <c r="K318" s="7" t="inlineStr"/>
      <c r="L318" s="8" t="n">
        <v>0</v>
      </c>
      <c r="M318" s="8" t="n">
        <v>801962.35</v>
      </c>
      <c r="N318" s="7" t="inlineStr"/>
      <c r="O318" s="7" t="inlineStr"/>
      <c r="P318" s="7" t="inlineStr"/>
      <c r="Q318" s="7" t="inlineStr"/>
      <c r="R318" s="7" t="inlineStr"/>
    </row>
    <row r="319">
      <c r="A319" s="7" t="inlineStr">
        <is>
          <t>1</t>
        </is>
      </c>
      <c r="B319" s="7" t="inlineStr">
        <is>
          <t>G00106</t>
        </is>
      </c>
      <c r="C319" s="7" t="inlineStr">
        <is>
          <t>20260226</t>
        </is>
      </c>
      <c r="D319" s="7" t="inlineStr">
        <is>
          <t>N°2026000106</t>
        </is>
      </c>
      <c r="E319" s="7" t="inlineStr">
        <is>
          <t>LAOUEDJ MOHAMMED SALAH</t>
        </is>
      </c>
      <c r="F319" s="7" t="inlineStr">
        <is>
          <t>06002</t>
        </is>
      </c>
      <c r="G319" s="7" t="inlineStr">
        <is>
          <t>44517</t>
        </is>
      </c>
      <c r="H319" s="7" t="inlineStr"/>
      <c r="I319" s="7" t="inlineStr"/>
      <c r="J319" s="7" t="inlineStr"/>
      <c r="K319" s="7" t="inlineStr"/>
      <c r="L319" s="8" t="n">
        <v>0</v>
      </c>
      <c r="M319" s="8" t="n">
        <v>152372.85</v>
      </c>
      <c r="N319" s="7" t="inlineStr"/>
      <c r="O319" s="7" t="inlineStr"/>
      <c r="P319" s="7" t="inlineStr"/>
      <c r="Q319" s="7" t="inlineStr"/>
      <c r="R319" s="7" t="inlineStr"/>
    </row>
    <row r="320">
      <c r="A320" s="7" t="inlineStr">
        <is>
          <t>1</t>
        </is>
      </c>
      <c r="B320" s="7" t="inlineStr">
        <is>
          <t>G00107</t>
        </is>
      </c>
      <c r="C320" s="7" t="inlineStr">
        <is>
          <t>20260301</t>
        </is>
      </c>
      <c r="D320" s="7" t="inlineStr">
        <is>
          <t>N°2026000107</t>
        </is>
      </c>
      <c r="E320" s="7" t="inlineStr">
        <is>
          <t>LAOUEDJ MOHAMMED SALAH</t>
        </is>
      </c>
      <c r="F320" s="7" t="inlineStr">
        <is>
          <t>06002</t>
        </is>
      </c>
      <c r="G320" s="7" t="inlineStr">
        <is>
          <t>41100</t>
        </is>
      </c>
      <c r="H320" s="7" t="inlineStr">
        <is>
          <t>C556</t>
        </is>
      </c>
      <c r="I320" s="7" t="inlineStr"/>
      <c r="J320" s="7" t="inlineStr"/>
      <c r="K320" s="7" t="inlineStr"/>
      <c r="L320" s="8" t="n">
        <v>1272854.34</v>
      </c>
      <c r="M320" s="8" t="n">
        <v>0</v>
      </c>
      <c r="N320" s="7" t="inlineStr"/>
      <c r="O320" s="7" t="inlineStr"/>
      <c r="P320" s="7" t="inlineStr"/>
      <c r="Q320" s="7" t="inlineStr"/>
      <c r="R320" s="7" t="inlineStr"/>
    </row>
    <row r="321">
      <c r="A321" s="7" t="inlineStr">
        <is>
          <t>1</t>
        </is>
      </c>
      <c r="B321" s="7" t="inlineStr">
        <is>
          <t>G00107</t>
        </is>
      </c>
      <c r="C321" s="7" t="inlineStr">
        <is>
          <t>20260301</t>
        </is>
      </c>
      <c r="D321" s="7" t="inlineStr">
        <is>
          <t>N°2026000107</t>
        </is>
      </c>
      <c r="E321" s="7" t="inlineStr">
        <is>
          <t>LAOUEDJ MOHAMMED SALAH</t>
        </is>
      </c>
      <c r="F321" s="7" t="inlineStr">
        <is>
          <t>06002</t>
        </is>
      </c>
      <c r="G321" s="7" t="inlineStr">
        <is>
          <t>70001</t>
        </is>
      </c>
      <c r="H321" s="7" t="inlineStr"/>
      <c r="I321" s="7" t="inlineStr"/>
      <c r="J321" s="7" t="inlineStr"/>
      <c r="K321" s="7" t="inlineStr"/>
      <c r="L321" s="8" t="n">
        <v>0</v>
      </c>
      <c r="M321" s="8" t="n">
        <v>1069625.5</v>
      </c>
      <c r="N321" s="7" t="inlineStr"/>
      <c r="O321" s="7" t="inlineStr"/>
      <c r="P321" s="7" t="inlineStr"/>
      <c r="Q321" s="7" t="inlineStr"/>
      <c r="R321" s="7" t="inlineStr"/>
    </row>
    <row r="322">
      <c r="A322" s="7" t="inlineStr">
        <is>
          <t>1</t>
        </is>
      </c>
      <c r="B322" s="7" t="inlineStr">
        <is>
          <t>G00107</t>
        </is>
      </c>
      <c r="C322" s="7" t="inlineStr">
        <is>
          <t>20260301</t>
        </is>
      </c>
      <c r="D322" s="7" t="inlineStr">
        <is>
          <t>N°2026000107</t>
        </is>
      </c>
      <c r="E322" s="7" t="inlineStr">
        <is>
          <t>LAOUEDJ MOHAMMED SALAH</t>
        </is>
      </c>
      <c r="F322" s="7" t="inlineStr">
        <is>
          <t>06002</t>
        </is>
      </c>
      <c r="G322" s="7" t="inlineStr">
        <is>
          <t>44517</t>
        </is>
      </c>
      <c r="H322" s="7" t="inlineStr"/>
      <c r="I322" s="7" t="inlineStr"/>
      <c r="J322" s="7" t="inlineStr"/>
      <c r="K322" s="7" t="inlineStr"/>
      <c r="L322" s="8" t="n">
        <v>0</v>
      </c>
      <c r="M322" s="8" t="n">
        <v>203228.84</v>
      </c>
      <c r="N322" s="7" t="inlineStr"/>
      <c r="O322" s="7" t="inlineStr"/>
      <c r="P322" s="7" t="inlineStr"/>
      <c r="Q322" s="7" t="inlineStr"/>
      <c r="R322" s="7" t="inlineStr"/>
    </row>
    <row r="323">
      <c r="A323" s="7" t="inlineStr">
        <is>
          <t>1</t>
        </is>
      </c>
      <c r="B323" s="7" t="inlineStr">
        <is>
          <t>G00108</t>
        </is>
      </c>
      <c r="C323" s="7" t="inlineStr">
        <is>
          <t>20260301</t>
        </is>
      </c>
      <c r="D323" s="7" t="inlineStr">
        <is>
          <t>N°2026000108</t>
        </is>
      </c>
      <c r="E323" s="7" t="inlineStr">
        <is>
          <t>DJENNADI ABDELKRIM</t>
        </is>
      </c>
      <c r="F323" s="7" t="inlineStr">
        <is>
          <t>06002</t>
        </is>
      </c>
      <c r="G323" s="7" t="inlineStr">
        <is>
          <t>41100</t>
        </is>
      </c>
      <c r="H323" s="7" t="inlineStr">
        <is>
          <t>C004</t>
        </is>
      </c>
      <c r="I323" s="7" t="inlineStr"/>
      <c r="J323" s="7" t="inlineStr"/>
      <c r="K323" s="7" t="inlineStr"/>
      <c r="L323" s="8" t="n">
        <v>2200000</v>
      </c>
      <c r="M323" s="8" t="n">
        <v>0</v>
      </c>
      <c r="N323" s="7" t="inlineStr"/>
      <c r="O323" s="7" t="inlineStr"/>
      <c r="P323" s="7" t="inlineStr"/>
      <c r="Q323" s="7" t="inlineStr"/>
      <c r="R323" s="7" t="inlineStr"/>
    </row>
    <row r="324">
      <c r="A324" s="7" t="inlineStr">
        <is>
          <t>1</t>
        </is>
      </c>
      <c r="B324" s="7" t="inlineStr">
        <is>
          <t>G00108</t>
        </is>
      </c>
      <c r="C324" s="7" t="inlineStr">
        <is>
          <t>20260301</t>
        </is>
      </c>
      <c r="D324" s="7" t="inlineStr">
        <is>
          <t>N°2026000108</t>
        </is>
      </c>
      <c r="E324" s="7" t="inlineStr">
        <is>
          <t>DJENNADI ABDELKRIM</t>
        </is>
      </c>
      <c r="F324" s="7" t="inlineStr">
        <is>
          <t>06002</t>
        </is>
      </c>
      <c r="G324" s="7" t="inlineStr">
        <is>
          <t>70001</t>
        </is>
      </c>
      <c r="H324" s="7" t="inlineStr"/>
      <c r="I324" s="7" t="inlineStr"/>
      <c r="J324" s="7" t="inlineStr"/>
      <c r="K324" s="7" t="inlineStr"/>
      <c r="L324" s="8" t="n">
        <v>0</v>
      </c>
      <c r="M324" s="8" t="n">
        <v>1848739.5</v>
      </c>
      <c r="N324" s="7" t="inlineStr"/>
      <c r="O324" s="7" t="inlineStr"/>
      <c r="P324" s="7" t="inlineStr"/>
      <c r="Q324" s="7" t="inlineStr"/>
      <c r="R324" s="7" t="inlineStr"/>
    </row>
    <row r="325">
      <c r="A325" s="7" t="inlineStr">
        <is>
          <t>1</t>
        </is>
      </c>
      <c r="B325" s="7" t="inlineStr">
        <is>
          <t>G00108</t>
        </is>
      </c>
      <c r="C325" s="7" t="inlineStr">
        <is>
          <t>20260301</t>
        </is>
      </c>
      <c r="D325" s="7" t="inlineStr">
        <is>
          <t>N°2026000108</t>
        </is>
      </c>
      <c r="E325" s="7" t="inlineStr">
        <is>
          <t>DJENNADI ABDELKRIM</t>
        </is>
      </c>
      <c r="F325" s="7" t="inlineStr">
        <is>
          <t>06002</t>
        </is>
      </c>
      <c r="G325" s="7" t="inlineStr">
        <is>
          <t>44517</t>
        </is>
      </c>
      <c r="H325" s="7" t="inlineStr"/>
      <c r="I325" s="7" t="inlineStr"/>
      <c r="J325" s="7" t="inlineStr"/>
      <c r="K325" s="7" t="inlineStr"/>
      <c r="L325" s="8" t="n">
        <v>0</v>
      </c>
      <c r="M325" s="8" t="n">
        <v>351260.5</v>
      </c>
      <c r="N325" s="7" t="inlineStr"/>
      <c r="O325" s="7" t="inlineStr"/>
      <c r="P325" s="7" t="inlineStr"/>
      <c r="Q325" s="7" t="inlineStr"/>
      <c r="R325" s="7" t="inlineStr"/>
    </row>
    <row r="326">
      <c r="A326" s="7" t="inlineStr">
        <is>
          <t>1</t>
        </is>
      </c>
      <c r="B326" s="7" t="inlineStr">
        <is>
          <t>G00109</t>
        </is>
      </c>
      <c r="C326" s="7" t="inlineStr">
        <is>
          <t>20260302</t>
        </is>
      </c>
      <c r="D326" s="7" t="inlineStr">
        <is>
          <t>N°2026000109</t>
        </is>
      </c>
      <c r="E326" s="7" t="inlineStr">
        <is>
          <t>SARL PROVIDING ARPRO</t>
        </is>
      </c>
      <c r="F326" s="7" t="inlineStr">
        <is>
          <t>06002</t>
        </is>
      </c>
      <c r="G326" s="7" t="inlineStr">
        <is>
          <t>41100</t>
        </is>
      </c>
      <c r="H326" s="7" t="inlineStr">
        <is>
          <t>C1088</t>
        </is>
      </c>
      <c r="I326" s="7" t="inlineStr"/>
      <c r="J326" s="7" t="inlineStr"/>
      <c r="K326" s="7" t="inlineStr"/>
      <c r="L326" s="8" t="n">
        <v>555000.01</v>
      </c>
      <c r="M326" s="8" t="n">
        <v>0</v>
      </c>
      <c r="N326" s="7" t="inlineStr"/>
      <c r="O326" s="7" t="inlineStr"/>
      <c r="P326" s="7" t="inlineStr"/>
      <c r="Q326" s="7" t="inlineStr"/>
      <c r="R326" s="7" t="inlineStr"/>
    </row>
    <row r="327">
      <c r="A327" s="7" t="inlineStr">
        <is>
          <t>1</t>
        </is>
      </c>
      <c r="B327" s="7" t="inlineStr">
        <is>
          <t>G00109</t>
        </is>
      </c>
      <c r="C327" s="7" t="inlineStr">
        <is>
          <t>20260302</t>
        </is>
      </c>
      <c r="D327" s="7" t="inlineStr">
        <is>
          <t>N°2026000109</t>
        </is>
      </c>
      <c r="E327" s="7" t="inlineStr">
        <is>
          <t>SARL PROVIDING ARPRO</t>
        </is>
      </c>
      <c r="F327" s="7" t="inlineStr">
        <is>
          <t>06002</t>
        </is>
      </c>
      <c r="G327" s="7" t="inlineStr">
        <is>
          <t>70001</t>
        </is>
      </c>
      <c r="H327" s="7" t="inlineStr"/>
      <c r="I327" s="7" t="inlineStr"/>
      <c r="J327" s="7" t="inlineStr"/>
      <c r="K327" s="7" t="inlineStr"/>
      <c r="L327" s="8" t="n">
        <v>0</v>
      </c>
      <c r="M327" s="8" t="n">
        <v>466386.56</v>
      </c>
      <c r="N327" s="7" t="inlineStr"/>
      <c r="O327" s="7" t="inlineStr"/>
      <c r="P327" s="7" t="inlineStr"/>
      <c r="Q327" s="7" t="inlineStr"/>
      <c r="R327" s="7" t="inlineStr"/>
    </row>
    <row r="328">
      <c r="A328" s="7" t="inlineStr">
        <is>
          <t>1</t>
        </is>
      </c>
      <c r="B328" s="7" t="inlineStr">
        <is>
          <t>G00109</t>
        </is>
      </c>
      <c r="C328" s="7" t="inlineStr">
        <is>
          <t>20260302</t>
        </is>
      </c>
      <c r="D328" s="7" t="inlineStr">
        <is>
          <t>N°2026000109</t>
        </is>
      </c>
      <c r="E328" s="7" t="inlineStr">
        <is>
          <t>SARL PROVIDING ARPRO</t>
        </is>
      </c>
      <c r="F328" s="7" t="inlineStr">
        <is>
          <t>06002</t>
        </is>
      </c>
      <c r="G328" s="7" t="inlineStr">
        <is>
          <t>44517</t>
        </is>
      </c>
      <c r="H328" s="7" t="inlineStr"/>
      <c r="I328" s="7" t="inlineStr"/>
      <c r="J328" s="7" t="inlineStr"/>
      <c r="K328" s="7" t="inlineStr"/>
      <c r="L328" s="8" t="n">
        <v>0</v>
      </c>
      <c r="M328" s="8" t="n">
        <v>88613.45</v>
      </c>
      <c r="N328" s="7" t="inlineStr"/>
      <c r="O328" s="7" t="inlineStr"/>
      <c r="P328" s="7" t="inlineStr"/>
      <c r="Q328" s="7" t="inlineStr"/>
      <c r="R328" s="7" t="inlineStr"/>
    </row>
    <row r="329">
      <c r="A329" s="7" t="inlineStr">
        <is>
          <t>1</t>
        </is>
      </c>
      <c r="B329" s="7" t="inlineStr">
        <is>
          <t>G00110</t>
        </is>
      </c>
      <c r="C329" s="7" t="inlineStr">
        <is>
          <t>20260303</t>
        </is>
      </c>
      <c r="D329" s="7" t="inlineStr">
        <is>
          <t>N°2026000110</t>
        </is>
      </c>
      <c r="E329" s="7" t="inlineStr">
        <is>
          <t>HEMMAR ABDELHAMID</t>
        </is>
      </c>
      <c r="F329" s="7" t="inlineStr">
        <is>
          <t>06002</t>
        </is>
      </c>
      <c r="G329" s="7" t="inlineStr">
        <is>
          <t>41100</t>
        </is>
      </c>
      <c r="H329" s="7" t="inlineStr">
        <is>
          <t>C098</t>
        </is>
      </c>
      <c r="I329" s="7" t="inlineStr"/>
      <c r="J329" s="7" t="inlineStr"/>
      <c r="K329" s="7" t="inlineStr"/>
      <c r="L329" s="8" t="n">
        <v>2800000</v>
      </c>
      <c r="M329" s="8" t="n">
        <v>0</v>
      </c>
      <c r="N329" s="7" t="inlineStr"/>
      <c r="O329" s="7" t="inlineStr"/>
      <c r="P329" s="7" t="inlineStr"/>
      <c r="Q329" s="7" t="inlineStr"/>
      <c r="R329" s="7" t="inlineStr"/>
    </row>
    <row r="330">
      <c r="A330" s="7" t="inlineStr">
        <is>
          <t>1</t>
        </is>
      </c>
      <c r="B330" s="7" t="inlineStr">
        <is>
          <t>G00110</t>
        </is>
      </c>
      <c r="C330" s="7" t="inlineStr">
        <is>
          <t>20260303</t>
        </is>
      </c>
      <c r="D330" s="7" t="inlineStr">
        <is>
          <t>N°2026000110</t>
        </is>
      </c>
      <c r="E330" s="7" t="inlineStr">
        <is>
          <t>HEMMAR ABDELHAMID</t>
        </is>
      </c>
      <c r="F330" s="7" t="inlineStr">
        <is>
          <t>06002</t>
        </is>
      </c>
      <c r="G330" s="7" t="inlineStr">
        <is>
          <t>70001</t>
        </is>
      </c>
      <c r="H330" s="7" t="inlineStr"/>
      <c r="I330" s="7" t="inlineStr"/>
      <c r="J330" s="7" t="inlineStr"/>
      <c r="K330" s="7" t="inlineStr"/>
      <c r="L330" s="8" t="n">
        <v>0</v>
      </c>
      <c r="M330" s="8" t="n">
        <v>2352941.18</v>
      </c>
      <c r="N330" s="7" t="inlineStr"/>
      <c r="O330" s="7" t="inlineStr"/>
      <c r="P330" s="7" t="inlineStr"/>
      <c r="Q330" s="7" t="inlineStr"/>
      <c r="R330" s="7" t="inlineStr"/>
    </row>
    <row r="331">
      <c r="A331" s="7" t="inlineStr">
        <is>
          <t>1</t>
        </is>
      </c>
      <c r="B331" s="7" t="inlineStr">
        <is>
          <t>G00110</t>
        </is>
      </c>
      <c r="C331" s="7" t="inlineStr">
        <is>
          <t>20260303</t>
        </is>
      </c>
      <c r="D331" s="7" t="inlineStr">
        <is>
          <t>N°2026000110</t>
        </is>
      </c>
      <c r="E331" s="7" t="inlineStr">
        <is>
          <t>HEMMAR ABDELHAMID</t>
        </is>
      </c>
      <c r="F331" s="7" t="inlineStr">
        <is>
          <t>06002</t>
        </is>
      </c>
      <c r="G331" s="7" t="inlineStr">
        <is>
          <t>44517</t>
        </is>
      </c>
      <c r="H331" s="7" t="inlineStr"/>
      <c r="I331" s="7" t="inlineStr"/>
      <c r="J331" s="7" t="inlineStr"/>
      <c r="K331" s="7" t="inlineStr"/>
      <c r="L331" s="8" t="n">
        <v>0</v>
      </c>
      <c r="M331" s="8" t="n">
        <v>447058.82</v>
      </c>
      <c r="N331" s="7" t="inlineStr"/>
      <c r="O331" s="7" t="inlineStr"/>
      <c r="P331" s="7" t="inlineStr"/>
      <c r="Q331" s="7" t="inlineStr"/>
      <c r="R331" s="7" t="inlineStr"/>
    </row>
    <row r="332">
      <c r="A332" s="7" t="inlineStr">
        <is>
          <t>1</t>
        </is>
      </c>
      <c r="B332" s="7" t="inlineStr">
        <is>
          <t>G00111</t>
        </is>
      </c>
      <c r="C332" s="7" t="inlineStr">
        <is>
          <t>20260304</t>
        </is>
      </c>
      <c r="D332" s="7" t="inlineStr">
        <is>
          <t>N°2026000111</t>
        </is>
      </c>
      <c r="E332" s="7" t="inlineStr">
        <is>
          <t>EURL MEHTAR SERVICES</t>
        </is>
      </c>
      <c r="F332" s="7" t="inlineStr">
        <is>
          <t>06002</t>
        </is>
      </c>
      <c r="G332" s="7" t="inlineStr">
        <is>
          <t>41100</t>
        </is>
      </c>
      <c r="H332" s="7" t="inlineStr">
        <is>
          <t>C1050</t>
        </is>
      </c>
      <c r="I332" s="7" t="inlineStr"/>
      <c r="J332" s="7" t="inlineStr"/>
      <c r="K332" s="7" t="inlineStr"/>
      <c r="L332" s="8" t="n">
        <v>300000</v>
      </c>
      <c r="M332" s="8" t="n">
        <v>0</v>
      </c>
      <c r="N332" s="7" t="inlineStr"/>
      <c r="O332" s="7" t="inlineStr"/>
      <c r="P332" s="7" t="inlineStr"/>
      <c r="Q332" s="7" t="inlineStr"/>
      <c r="R332" s="7" t="inlineStr"/>
    </row>
    <row r="333">
      <c r="A333" s="7" t="inlineStr">
        <is>
          <t>1</t>
        </is>
      </c>
      <c r="B333" s="7" t="inlineStr">
        <is>
          <t>G00111</t>
        </is>
      </c>
      <c r="C333" s="7" t="inlineStr">
        <is>
          <t>20260304</t>
        </is>
      </c>
      <c r="D333" s="7" t="inlineStr">
        <is>
          <t>N°2026000111</t>
        </is>
      </c>
      <c r="E333" s="7" t="inlineStr">
        <is>
          <t>EURL MEHTAR SERVICES</t>
        </is>
      </c>
      <c r="F333" s="7" t="inlineStr">
        <is>
          <t>06002</t>
        </is>
      </c>
      <c r="G333" s="7" t="inlineStr">
        <is>
          <t>70001</t>
        </is>
      </c>
      <c r="H333" s="7" t="inlineStr"/>
      <c r="I333" s="7" t="inlineStr"/>
      <c r="J333" s="7" t="inlineStr"/>
      <c r="K333" s="7" t="inlineStr"/>
      <c r="L333" s="8" t="n">
        <v>0</v>
      </c>
      <c r="M333" s="8" t="n">
        <v>252100.84</v>
      </c>
      <c r="N333" s="7" t="inlineStr"/>
      <c r="O333" s="7" t="inlineStr"/>
      <c r="P333" s="7" t="inlineStr"/>
      <c r="Q333" s="7" t="inlineStr"/>
      <c r="R333" s="7" t="inlineStr"/>
    </row>
    <row r="334">
      <c r="A334" s="7" t="inlineStr">
        <is>
          <t>1</t>
        </is>
      </c>
      <c r="B334" s="7" t="inlineStr">
        <is>
          <t>G00111</t>
        </is>
      </c>
      <c r="C334" s="7" t="inlineStr">
        <is>
          <t>20260304</t>
        </is>
      </c>
      <c r="D334" s="7" t="inlineStr">
        <is>
          <t>N°2026000111</t>
        </is>
      </c>
      <c r="E334" s="7" t="inlineStr">
        <is>
          <t>EURL MEHTAR SERVICES</t>
        </is>
      </c>
      <c r="F334" s="7" t="inlineStr">
        <is>
          <t>06002</t>
        </is>
      </c>
      <c r="G334" s="7" t="inlineStr">
        <is>
          <t>44517</t>
        </is>
      </c>
      <c r="H334" s="7" t="inlineStr"/>
      <c r="I334" s="7" t="inlineStr"/>
      <c r="J334" s="7" t="inlineStr"/>
      <c r="K334" s="7" t="inlineStr"/>
      <c r="L334" s="8" t="n">
        <v>0</v>
      </c>
      <c r="M334" s="8" t="n">
        <v>47899.16</v>
      </c>
      <c r="N334" s="7" t="inlineStr"/>
      <c r="O334" s="7" t="inlineStr"/>
      <c r="P334" s="7" t="inlineStr"/>
      <c r="Q334" s="7" t="inlineStr"/>
      <c r="R334" s="7" t="inlineStr"/>
    </row>
    <row r="335">
      <c r="A335" s="7" t="inlineStr">
        <is>
          <t>1</t>
        </is>
      </c>
      <c r="B335" s="7" t="inlineStr">
        <is>
          <t>G00112</t>
        </is>
      </c>
      <c r="C335" s="7" t="inlineStr">
        <is>
          <t>20260305</t>
        </is>
      </c>
      <c r="D335" s="7" t="inlineStr">
        <is>
          <t>N°2026000112</t>
        </is>
      </c>
      <c r="E335" s="7" t="inlineStr">
        <is>
          <t>LAOUEDJ MOHAMMED SALAH</t>
        </is>
      </c>
      <c r="F335" s="7" t="inlineStr">
        <is>
          <t>06002</t>
        </is>
      </c>
      <c r="G335" s="7" t="inlineStr">
        <is>
          <t>41100</t>
        </is>
      </c>
      <c r="H335" s="7" t="inlineStr">
        <is>
          <t>C556</t>
        </is>
      </c>
      <c r="I335" s="7" t="inlineStr"/>
      <c r="J335" s="7" t="inlineStr"/>
      <c r="K335" s="7" t="inlineStr"/>
      <c r="L335" s="8" t="n">
        <v>881824.2</v>
      </c>
      <c r="M335" s="8" t="n">
        <v>0</v>
      </c>
      <c r="N335" s="7" t="inlineStr"/>
      <c r="O335" s="7" t="inlineStr"/>
      <c r="P335" s="7" t="inlineStr"/>
      <c r="Q335" s="7" t="inlineStr"/>
      <c r="R335" s="7" t="inlineStr"/>
    </row>
    <row r="336">
      <c r="A336" s="7" t="inlineStr">
        <is>
          <t>1</t>
        </is>
      </c>
      <c r="B336" s="7" t="inlineStr">
        <is>
          <t>G00112</t>
        </is>
      </c>
      <c r="C336" s="7" t="inlineStr">
        <is>
          <t>20260305</t>
        </is>
      </c>
      <c r="D336" s="7" t="inlineStr">
        <is>
          <t>N°2026000112</t>
        </is>
      </c>
      <c r="E336" s="7" t="inlineStr">
        <is>
          <t>LAOUEDJ MOHAMMED SALAH</t>
        </is>
      </c>
      <c r="F336" s="7" t="inlineStr">
        <is>
          <t>06002</t>
        </is>
      </c>
      <c r="G336" s="7" t="inlineStr">
        <is>
          <t>70001</t>
        </is>
      </c>
      <c r="H336" s="7" t="inlineStr"/>
      <c r="I336" s="7" t="inlineStr"/>
      <c r="J336" s="7" t="inlineStr"/>
      <c r="K336" s="7" t="inlineStr"/>
      <c r="L336" s="8" t="n">
        <v>0</v>
      </c>
      <c r="M336" s="8" t="n">
        <v>741028.74</v>
      </c>
      <c r="N336" s="7" t="inlineStr"/>
      <c r="O336" s="7" t="inlineStr"/>
      <c r="P336" s="7" t="inlineStr"/>
      <c r="Q336" s="7" t="inlineStr"/>
      <c r="R336" s="7" t="inlineStr"/>
    </row>
    <row r="337">
      <c r="A337" s="7" t="inlineStr">
        <is>
          <t>1</t>
        </is>
      </c>
      <c r="B337" s="7" t="inlineStr">
        <is>
          <t>G00112</t>
        </is>
      </c>
      <c r="C337" s="7" t="inlineStr">
        <is>
          <t>20260305</t>
        </is>
      </c>
      <c r="D337" s="7" t="inlineStr">
        <is>
          <t>N°2026000112</t>
        </is>
      </c>
      <c r="E337" s="7" t="inlineStr">
        <is>
          <t>LAOUEDJ MOHAMMED SALAH</t>
        </is>
      </c>
      <c r="F337" s="7" t="inlineStr">
        <is>
          <t>06002</t>
        </is>
      </c>
      <c r="G337" s="7" t="inlineStr">
        <is>
          <t>44517</t>
        </is>
      </c>
      <c r="H337" s="7" t="inlineStr"/>
      <c r="I337" s="7" t="inlineStr"/>
      <c r="J337" s="7" t="inlineStr"/>
      <c r="K337" s="7" t="inlineStr"/>
      <c r="L337" s="8" t="n">
        <v>0</v>
      </c>
      <c r="M337" s="8" t="n">
        <v>140795.46</v>
      </c>
      <c r="N337" s="7" t="inlineStr"/>
      <c r="O337" s="7" t="inlineStr"/>
      <c r="P337" s="7" t="inlineStr"/>
      <c r="Q337" s="7" t="inlineStr"/>
      <c r="R337" s="7" t="inlineStr"/>
    </row>
    <row r="338">
      <c r="A338" s="7" t="inlineStr">
        <is>
          <t>1</t>
        </is>
      </c>
      <c r="B338" s="7" t="inlineStr">
        <is>
          <t>G00113</t>
        </is>
      </c>
      <c r="C338" s="7" t="inlineStr">
        <is>
          <t>20260309</t>
        </is>
      </c>
      <c r="D338" s="7" t="inlineStr">
        <is>
          <t>N°2026000113</t>
        </is>
      </c>
      <c r="E338" s="7" t="inlineStr">
        <is>
          <t>LAOUEDJ MOHAMMED SALAH</t>
        </is>
      </c>
      <c r="F338" s="7" t="inlineStr">
        <is>
          <t>06002</t>
        </is>
      </c>
      <c r="G338" s="7" t="inlineStr">
        <is>
          <t>41100</t>
        </is>
      </c>
      <c r="H338" s="7" t="inlineStr">
        <is>
          <t>C556</t>
        </is>
      </c>
      <c r="I338" s="7" t="inlineStr"/>
      <c r="J338" s="7" t="inlineStr"/>
      <c r="K338" s="7" t="inlineStr"/>
      <c r="L338" s="8" t="n">
        <v>960230.05</v>
      </c>
      <c r="M338" s="8" t="n">
        <v>0</v>
      </c>
      <c r="N338" s="7" t="inlineStr"/>
      <c r="O338" s="7" t="inlineStr"/>
      <c r="P338" s="7" t="inlineStr"/>
      <c r="Q338" s="7" t="inlineStr"/>
      <c r="R338" s="7" t="inlineStr"/>
    </row>
    <row r="339">
      <c r="A339" s="7" t="inlineStr">
        <is>
          <t>1</t>
        </is>
      </c>
      <c r="B339" s="7" t="inlineStr">
        <is>
          <t>G00113</t>
        </is>
      </c>
      <c r="C339" s="7" t="inlineStr">
        <is>
          <t>20260309</t>
        </is>
      </c>
      <c r="D339" s="7" t="inlineStr">
        <is>
          <t>N°2026000113</t>
        </is>
      </c>
      <c r="E339" s="7" t="inlineStr">
        <is>
          <t>LAOUEDJ MOHAMMED SALAH</t>
        </is>
      </c>
      <c r="F339" s="7" t="inlineStr">
        <is>
          <t>06002</t>
        </is>
      </c>
      <c r="G339" s="7" t="inlineStr">
        <is>
          <t>70001</t>
        </is>
      </c>
      <c r="H339" s="7" t="inlineStr"/>
      <c r="I339" s="7" t="inlineStr"/>
      <c r="J339" s="7" t="inlineStr"/>
      <c r="K339" s="7" t="inlineStr"/>
      <c r="L339" s="8" t="n">
        <v>0</v>
      </c>
      <c r="M339" s="8" t="n">
        <v>806916.01</v>
      </c>
      <c r="N339" s="7" t="inlineStr"/>
      <c r="O339" s="7" t="inlineStr"/>
      <c r="P339" s="7" t="inlineStr"/>
      <c r="Q339" s="7" t="inlineStr"/>
      <c r="R339" s="7" t="inlineStr"/>
    </row>
    <row r="340">
      <c r="A340" s="7" t="inlineStr">
        <is>
          <t>1</t>
        </is>
      </c>
      <c r="B340" s="7" t="inlineStr">
        <is>
          <t>G00113</t>
        </is>
      </c>
      <c r="C340" s="7" t="inlineStr">
        <is>
          <t>20260309</t>
        </is>
      </c>
      <c r="D340" s="7" t="inlineStr">
        <is>
          <t>N°2026000113</t>
        </is>
      </c>
      <c r="E340" s="7" t="inlineStr">
        <is>
          <t>LAOUEDJ MOHAMMED SALAH</t>
        </is>
      </c>
      <c r="F340" s="7" t="inlineStr">
        <is>
          <t>06002</t>
        </is>
      </c>
      <c r="G340" s="7" t="inlineStr">
        <is>
          <t>44517</t>
        </is>
      </c>
      <c r="H340" s="7" t="inlineStr"/>
      <c r="I340" s="7" t="inlineStr"/>
      <c r="J340" s="7" t="inlineStr"/>
      <c r="K340" s="7" t="inlineStr"/>
      <c r="L340" s="8" t="n">
        <v>0</v>
      </c>
      <c r="M340" s="8" t="n">
        <v>153314.04</v>
      </c>
      <c r="N340" s="7" t="inlineStr"/>
      <c r="O340" s="7" t="inlineStr"/>
      <c r="P340" s="7" t="inlineStr"/>
      <c r="Q340" s="7" t="inlineStr"/>
      <c r="R340" s="7" t="inlineStr"/>
    </row>
    <row r="341">
      <c r="A341" s="7" t="inlineStr">
        <is>
          <t>1</t>
        </is>
      </c>
      <c r="B341" s="7" t="inlineStr">
        <is>
          <t>G00114</t>
        </is>
      </c>
      <c r="C341" s="7" t="inlineStr">
        <is>
          <t>20260310</t>
        </is>
      </c>
      <c r="D341" s="7" t="inlineStr">
        <is>
          <t>N°2026000114</t>
        </is>
      </c>
      <c r="E341" s="7" t="inlineStr">
        <is>
          <t>SARL ATELIER SERVICES TRUCKS</t>
        </is>
      </c>
      <c r="F341" s="7" t="inlineStr">
        <is>
          <t>06002</t>
        </is>
      </c>
      <c r="G341" s="7" t="inlineStr">
        <is>
          <t>41100</t>
        </is>
      </c>
      <c r="H341" s="7" t="inlineStr">
        <is>
          <t>C1047</t>
        </is>
      </c>
      <c r="I341" s="7" t="inlineStr"/>
      <c r="J341" s="7" t="inlineStr"/>
      <c r="K341" s="7" t="inlineStr"/>
      <c r="L341" s="8" t="n">
        <v>3722600</v>
      </c>
      <c r="M341" s="8" t="n">
        <v>0</v>
      </c>
      <c r="N341" s="7" t="inlineStr"/>
      <c r="O341" s="7" t="inlineStr"/>
      <c r="P341" s="7" t="inlineStr"/>
      <c r="Q341" s="7" t="inlineStr"/>
      <c r="R341" s="7" t="inlineStr"/>
    </row>
    <row r="342">
      <c r="A342" s="7" t="inlineStr">
        <is>
          <t>1</t>
        </is>
      </c>
      <c r="B342" s="7" t="inlineStr">
        <is>
          <t>G00114</t>
        </is>
      </c>
      <c r="C342" s="7" t="inlineStr">
        <is>
          <t>20260310</t>
        </is>
      </c>
      <c r="D342" s="7" t="inlineStr">
        <is>
          <t>N°2026000114</t>
        </is>
      </c>
      <c r="E342" s="7" t="inlineStr">
        <is>
          <t>SARL ATELIER SERVICES TRUCKS</t>
        </is>
      </c>
      <c r="F342" s="7" t="inlineStr">
        <is>
          <t>06002</t>
        </is>
      </c>
      <c r="G342" s="7" t="inlineStr">
        <is>
          <t>70001</t>
        </is>
      </c>
      <c r="H342" s="7" t="inlineStr"/>
      <c r="I342" s="7" t="inlineStr"/>
      <c r="J342" s="7" t="inlineStr"/>
      <c r="K342" s="7" t="inlineStr"/>
      <c r="L342" s="8" t="n">
        <v>0</v>
      </c>
      <c r="M342" s="8" t="n">
        <v>3128235.29</v>
      </c>
      <c r="N342" s="7" t="inlineStr"/>
      <c r="O342" s="7" t="inlineStr"/>
      <c r="P342" s="7" t="inlineStr"/>
      <c r="Q342" s="7" t="inlineStr"/>
      <c r="R342" s="7" t="inlineStr"/>
    </row>
    <row r="343">
      <c r="A343" s="7" t="inlineStr">
        <is>
          <t>1</t>
        </is>
      </c>
      <c r="B343" s="7" t="inlineStr">
        <is>
          <t>G00114</t>
        </is>
      </c>
      <c r="C343" s="7" t="inlineStr">
        <is>
          <t>20260310</t>
        </is>
      </c>
      <c r="D343" s="7" t="inlineStr">
        <is>
          <t>N°2026000114</t>
        </is>
      </c>
      <c r="E343" s="7" t="inlineStr">
        <is>
          <t>SARL ATELIER SERVICES TRUCKS</t>
        </is>
      </c>
      <c r="F343" s="7" t="inlineStr">
        <is>
          <t>06002</t>
        </is>
      </c>
      <c r="G343" s="7" t="inlineStr">
        <is>
          <t>44517</t>
        </is>
      </c>
      <c r="H343" s="7" t="inlineStr"/>
      <c r="I343" s="7" t="inlineStr"/>
      <c r="J343" s="7" t="inlineStr"/>
      <c r="K343" s="7" t="inlineStr"/>
      <c r="L343" s="8" t="n">
        <v>0</v>
      </c>
      <c r="M343" s="8" t="n">
        <v>594364.71</v>
      </c>
      <c r="N343" s="7" t="inlineStr"/>
      <c r="O343" s="7" t="inlineStr"/>
      <c r="P343" s="7" t="inlineStr"/>
      <c r="Q343" s="7" t="inlineStr"/>
      <c r="R343" s="7" t="inlineStr"/>
    </row>
    <row r="344">
      <c r="A344" s="7" t="inlineStr">
        <is>
          <t>1</t>
        </is>
      </c>
      <c r="B344" s="7" t="inlineStr">
        <is>
          <t>G00115</t>
        </is>
      </c>
      <c r="C344" s="7" t="inlineStr">
        <is>
          <t>20260311</t>
        </is>
      </c>
      <c r="D344" s="7" t="inlineStr">
        <is>
          <t>N°2026000115</t>
        </is>
      </c>
      <c r="E344" s="7" t="inlineStr">
        <is>
          <t>SELLAH LYES</t>
        </is>
      </c>
      <c r="F344" s="7" t="inlineStr">
        <is>
          <t>06002</t>
        </is>
      </c>
      <c r="G344" s="7" t="inlineStr">
        <is>
          <t>41100</t>
        </is>
      </c>
      <c r="H344" s="7" t="inlineStr">
        <is>
          <t>C359</t>
        </is>
      </c>
      <c r="I344" s="7" t="inlineStr"/>
      <c r="J344" s="7" t="inlineStr"/>
      <c r="K344" s="7" t="inlineStr"/>
      <c r="L344" s="8" t="n">
        <v>215400</v>
      </c>
      <c r="M344" s="8" t="n">
        <v>0</v>
      </c>
      <c r="N344" s="7" t="inlineStr"/>
      <c r="O344" s="7" t="inlineStr"/>
      <c r="P344" s="7" t="inlineStr"/>
      <c r="Q344" s="7" t="inlineStr"/>
      <c r="R344" s="7" t="inlineStr"/>
    </row>
    <row r="345">
      <c r="A345" s="7" t="inlineStr">
        <is>
          <t>1</t>
        </is>
      </c>
      <c r="B345" s="7" t="inlineStr">
        <is>
          <t>G00115</t>
        </is>
      </c>
      <c r="C345" s="7" t="inlineStr">
        <is>
          <t>20260311</t>
        </is>
      </c>
      <c r="D345" s="7" t="inlineStr">
        <is>
          <t>N°2026000115</t>
        </is>
      </c>
      <c r="E345" s="7" t="inlineStr">
        <is>
          <t>SELLAH LYES</t>
        </is>
      </c>
      <c r="F345" s="7" t="inlineStr">
        <is>
          <t>06002</t>
        </is>
      </c>
      <c r="G345" s="7" t="inlineStr">
        <is>
          <t>70001</t>
        </is>
      </c>
      <c r="H345" s="7" t="inlineStr"/>
      <c r="I345" s="7" t="inlineStr"/>
      <c r="J345" s="7" t="inlineStr"/>
      <c r="K345" s="7" t="inlineStr"/>
      <c r="L345" s="8" t="n">
        <v>0</v>
      </c>
      <c r="M345" s="8" t="n">
        <v>181008.4</v>
      </c>
      <c r="N345" s="7" t="inlineStr"/>
      <c r="O345" s="7" t="inlineStr"/>
      <c r="P345" s="7" t="inlineStr"/>
      <c r="Q345" s="7" t="inlineStr"/>
      <c r="R345" s="7" t="inlineStr"/>
    </row>
    <row r="346">
      <c r="A346" s="7" t="inlineStr">
        <is>
          <t>1</t>
        </is>
      </c>
      <c r="B346" s="7" t="inlineStr">
        <is>
          <t>G00115</t>
        </is>
      </c>
      <c r="C346" s="7" t="inlineStr">
        <is>
          <t>20260311</t>
        </is>
      </c>
      <c r="D346" s="7" t="inlineStr">
        <is>
          <t>N°2026000115</t>
        </is>
      </c>
      <c r="E346" s="7" t="inlineStr">
        <is>
          <t>SELLAH LYES</t>
        </is>
      </c>
      <c r="F346" s="7" t="inlineStr">
        <is>
          <t>06002</t>
        </is>
      </c>
      <c r="G346" s="7" t="inlineStr">
        <is>
          <t>44517</t>
        </is>
      </c>
      <c r="H346" s="7" t="inlineStr"/>
      <c r="I346" s="7" t="inlineStr"/>
      <c r="J346" s="7" t="inlineStr"/>
      <c r="K346" s="7" t="inlineStr"/>
      <c r="L346" s="8" t="n">
        <v>0</v>
      </c>
      <c r="M346" s="8" t="n">
        <v>34391.6</v>
      </c>
      <c r="N346" s="7" t="inlineStr"/>
      <c r="O346" s="7" t="inlineStr"/>
      <c r="P346" s="7" t="inlineStr"/>
      <c r="Q346" s="7" t="inlineStr"/>
      <c r="R346" s="7" t="inlineStr"/>
    </row>
    <row r="347">
      <c r="A347" s="7" t="inlineStr">
        <is>
          <t>1</t>
        </is>
      </c>
      <c r="B347" s="7" t="inlineStr">
        <is>
          <t>G00116</t>
        </is>
      </c>
      <c r="C347" s="7" t="inlineStr">
        <is>
          <t>20260312</t>
        </is>
      </c>
      <c r="D347" s="7" t="inlineStr">
        <is>
          <t>N°2026000116</t>
        </is>
      </c>
      <c r="E347" s="7" t="inlineStr">
        <is>
          <t>SELLAH LYES</t>
        </is>
      </c>
      <c r="F347" s="7" t="inlineStr">
        <is>
          <t>06002</t>
        </is>
      </c>
      <c r="G347" s="7" t="inlineStr">
        <is>
          <t>41100</t>
        </is>
      </c>
      <c r="H347" s="7" t="inlineStr">
        <is>
          <t>C359</t>
        </is>
      </c>
      <c r="I347" s="7" t="inlineStr"/>
      <c r="J347" s="7" t="inlineStr"/>
      <c r="K347" s="7" t="inlineStr"/>
      <c r="L347" s="8" t="n">
        <v>162460</v>
      </c>
      <c r="M347" s="8" t="n">
        <v>0</v>
      </c>
      <c r="N347" s="7" t="inlineStr"/>
      <c r="O347" s="7" t="inlineStr"/>
      <c r="P347" s="7" t="inlineStr"/>
      <c r="Q347" s="7" t="inlineStr"/>
      <c r="R347" s="7" t="inlineStr"/>
    </row>
    <row r="348">
      <c r="A348" s="7" t="inlineStr">
        <is>
          <t>1</t>
        </is>
      </c>
      <c r="B348" s="7" t="inlineStr">
        <is>
          <t>G00116</t>
        </is>
      </c>
      <c r="C348" s="7" t="inlineStr">
        <is>
          <t>20260312</t>
        </is>
      </c>
      <c r="D348" s="7" t="inlineStr">
        <is>
          <t>N°2026000116</t>
        </is>
      </c>
      <c r="E348" s="7" t="inlineStr">
        <is>
          <t>SELLAH LYES</t>
        </is>
      </c>
      <c r="F348" s="7" t="inlineStr">
        <is>
          <t>06002</t>
        </is>
      </c>
      <c r="G348" s="7" t="inlineStr">
        <is>
          <t>70001</t>
        </is>
      </c>
      <c r="H348" s="7" t="inlineStr"/>
      <c r="I348" s="7" t="inlineStr"/>
      <c r="J348" s="7" t="inlineStr"/>
      <c r="K348" s="7" t="inlineStr"/>
      <c r="L348" s="8" t="n">
        <v>0</v>
      </c>
      <c r="M348" s="8" t="n">
        <v>136521.01</v>
      </c>
      <c r="N348" s="7" t="inlineStr"/>
      <c r="O348" s="7" t="inlineStr"/>
      <c r="P348" s="7" t="inlineStr"/>
      <c r="Q348" s="7" t="inlineStr"/>
      <c r="R348" s="7" t="inlineStr"/>
    </row>
    <row r="349">
      <c r="A349" s="7" t="inlineStr">
        <is>
          <t>1</t>
        </is>
      </c>
      <c r="B349" s="7" t="inlineStr">
        <is>
          <t>G00116</t>
        </is>
      </c>
      <c r="C349" s="7" t="inlineStr">
        <is>
          <t>20260312</t>
        </is>
      </c>
      <c r="D349" s="7" t="inlineStr">
        <is>
          <t>N°2026000116</t>
        </is>
      </c>
      <c r="E349" s="7" t="inlineStr">
        <is>
          <t>SELLAH LYES</t>
        </is>
      </c>
      <c r="F349" s="7" t="inlineStr">
        <is>
          <t>06002</t>
        </is>
      </c>
      <c r="G349" s="7" t="inlineStr">
        <is>
          <t>44517</t>
        </is>
      </c>
      <c r="H349" s="7" t="inlineStr"/>
      <c r="I349" s="7" t="inlineStr"/>
      <c r="J349" s="7" t="inlineStr"/>
      <c r="K349" s="7" t="inlineStr"/>
      <c r="L349" s="8" t="n">
        <v>0</v>
      </c>
      <c r="M349" s="8" t="n">
        <v>25938.99</v>
      </c>
      <c r="N349" s="7" t="inlineStr"/>
      <c r="O349" s="7" t="inlineStr"/>
      <c r="P349" s="7" t="inlineStr"/>
      <c r="Q349" s="7" t="inlineStr"/>
      <c r="R349" s="7" t="inlineStr"/>
    </row>
    <row r="350">
      <c r="A350" s="7" t="inlineStr">
        <is>
          <t>1</t>
        </is>
      </c>
      <c r="B350" s="7" t="inlineStr">
        <is>
          <t>G00117</t>
        </is>
      </c>
      <c r="C350" s="7" t="inlineStr">
        <is>
          <t>20260315</t>
        </is>
      </c>
      <c r="D350" s="7" t="inlineStr">
        <is>
          <t>N°2026000117</t>
        </is>
      </c>
      <c r="E350" s="7" t="inlineStr">
        <is>
          <t>BEKHOUS RABAH</t>
        </is>
      </c>
      <c r="F350" s="7" t="inlineStr">
        <is>
          <t>06002</t>
        </is>
      </c>
      <c r="G350" s="7" t="inlineStr">
        <is>
          <t>41100</t>
        </is>
      </c>
      <c r="H350" s="7" t="inlineStr">
        <is>
          <t>C1089</t>
        </is>
      </c>
      <c r="I350" s="7" t="inlineStr"/>
      <c r="J350" s="7" t="inlineStr"/>
      <c r="K350" s="7" t="inlineStr"/>
      <c r="L350" s="8" t="n">
        <v>71000.00999999999</v>
      </c>
      <c r="M350" s="8" t="n">
        <v>0</v>
      </c>
      <c r="N350" s="7" t="inlineStr"/>
      <c r="O350" s="7" t="inlineStr"/>
      <c r="P350" s="7" t="inlineStr"/>
      <c r="Q350" s="7" t="inlineStr"/>
      <c r="R350" s="7" t="inlineStr"/>
    </row>
    <row r="351">
      <c r="A351" s="7" t="inlineStr">
        <is>
          <t>1</t>
        </is>
      </c>
      <c r="B351" s="7" t="inlineStr">
        <is>
          <t>G00117</t>
        </is>
      </c>
      <c r="C351" s="7" t="inlineStr">
        <is>
          <t>20260315</t>
        </is>
      </c>
      <c r="D351" s="7" t="inlineStr">
        <is>
          <t>N°2026000117</t>
        </is>
      </c>
      <c r="E351" s="7" t="inlineStr">
        <is>
          <t>BEKHOUS RABAH</t>
        </is>
      </c>
      <c r="F351" s="7" t="inlineStr">
        <is>
          <t>06002</t>
        </is>
      </c>
      <c r="G351" s="7" t="inlineStr">
        <is>
          <t>70001</t>
        </is>
      </c>
      <c r="H351" s="7" t="inlineStr"/>
      <c r="I351" s="7" t="inlineStr"/>
      <c r="J351" s="7" t="inlineStr"/>
      <c r="K351" s="7" t="inlineStr"/>
      <c r="L351" s="8" t="n">
        <v>0</v>
      </c>
      <c r="M351" s="8" t="n">
        <v>59663.87</v>
      </c>
      <c r="N351" s="7" t="inlineStr"/>
      <c r="O351" s="7" t="inlineStr"/>
      <c r="P351" s="7" t="inlineStr"/>
      <c r="Q351" s="7" t="inlineStr"/>
      <c r="R351" s="7" t="inlineStr"/>
    </row>
    <row r="352">
      <c r="A352" s="7" t="inlineStr">
        <is>
          <t>1</t>
        </is>
      </c>
      <c r="B352" s="7" t="inlineStr">
        <is>
          <t>G00117</t>
        </is>
      </c>
      <c r="C352" s="7" t="inlineStr">
        <is>
          <t>20260315</t>
        </is>
      </c>
      <c r="D352" s="7" t="inlineStr">
        <is>
          <t>N°2026000117</t>
        </is>
      </c>
      <c r="E352" s="7" t="inlineStr">
        <is>
          <t>BEKHOUS RABAH</t>
        </is>
      </c>
      <c r="F352" s="7" t="inlineStr">
        <is>
          <t>06002</t>
        </is>
      </c>
      <c r="G352" s="7" t="inlineStr">
        <is>
          <t>44517</t>
        </is>
      </c>
      <c r="H352" s="7" t="inlineStr"/>
      <c r="I352" s="7" t="inlineStr"/>
      <c r="J352" s="7" t="inlineStr"/>
      <c r="K352" s="7" t="inlineStr"/>
      <c r="L352" s="8" t="n">
        <v>0</v>
      </c>
      <c r="M352" s="8" t="n">
        <v>11336.14</v>
      </c>
      <c r="N352" s="7" t="inlineStr"/>
      <c r="O352" s="7" t="inlineStr"/>
      <c r="P352" s="7" t="inlineStr"/>
      <c r="Q352" s="7" t="inlineStr"/>
      <c r="R352" s="7" t="inlineStr"/>
    </row>
    <row r="353">
      <c r="A353" s="7" t="inlineStr">
        <is>
          <t>1</t>
        </is>
      </c>
      <c r="B353" s="7" t="inlineStr">
        <is>
          <t>G00118</t>
        </is>
      </c>
      <c r="C353" s="7" t="inlineStr">
        <is>
          <t>20260315</t>
        </is>
      </c>
      <c r="D353" s="7" t="inlineStr">
        <is>
          <t>N°2026000118</t>
        </is>
      </c>
      <c r="E353" s="7" t="inlineStr">
        <is>
          <t>LASSAKEUR RIAD GPROS</t>
        </is>
      </c>
      <c r="F353" s="7" t="inlineStr">
        <is>
          <t>06002</t>
        </is>
      </c>
      <c r="G353" s="7" t="inlineStr">
        <is>
          <t>41100</t>
        </is>
      </c>
      <c r="H353" s="7" t="inlineStr">
        <is>
          <t>C1090</t>
        </is>
      </c>
      <c r="I353" s="7" t="inlineStr"/>
      <c r="J353" s="7" t="inlineStr"/>
      <c r="K353" s="7" t="inlineStr"/>
      <c r="L353" s="8" t="n">
        <v>121000</v>
      </c>
      <c r="M353" s="8" t="n">
        <v>0</v>
      </c>
      <c r="N353" s="7" t="inlineStr"/>
      <c r="O353" s="7" t="inlineStr"/>
      <c r="P353" s="7" t="inlineStr"/>
      <c r="Q353" s="7" t="inlineStr"/>
      <c r="R353" s="7" t="inlineStr"/>
    </row>
    <row r="354">
      <c r="A354" s="7" t="inlineStr">
        <is>
          <t>1</t>
        </is>
      </c>
      <c r="B354" s="7" t="inlineStr">
        <is>
          <t>G00118</t>
        </is>
      </c>
      <c r="C354" s="7" t="inlineStr">
        <is>
          <t>20260315</t>
        </is>
      </c>
      <c r="D354" s="7" t="inlineStr">
        <is>
          <t>N°2026000118</t>
        </is>
      </c>
      <c r="E354" s="7" t="inlineStr">
        <is>
          <t>LASSAKEUR RIAD GPROS</t>
        </is>
      </c>
      <c r="F354" s="7" t="inlineStr">
        <is>
          <t>06002</t>
        </is>
      </c>
      <c r="G354" s="7" t="inlineStr">
        <is>
          <t>70001</t>
        </is>
      </c>
      <c r="H354" s="7" t="inlineStr"/>
      <c r="I354" s="7" t="inlineStr"/>
      <c r="J354" s="7" t="inlineStr"/>
      <c r="K354" s="7" t="inlineStr"/>
      <c r="L354" s="8" t="n">
        <v>0</v>
      </c>
      <c r="M354" s="8" t="n">
        <v>101680.67</v>
      </c>
      <c r="N354" s="7" t="inlineStr"/>
      <c r="O354" s="7" t="inlineStr"/>
      <c r="P354" s="7" t="inlineStr"/>
      <c r="Q354" s="7" t="inlineStr"/>
      <c r="R354" s="7" t="inlineStr"/>
    </row>
    <row r="355">
      <c r="A355" s="7" t="inlineStr">
        <is>
          <t>1</t>
        </is>
      </c>
      <c r="B355" s="7" t="inlineStr">
        <is>
          <t>G00118</t>
        </is>
      </c>
      <c r="C355" s="7" t="inlineStr">
        <is>
          <t>20260315</t>
        </is>
      </c>
      <c r="D355" s="7" t="inlineStr">
        <is>
          <t>N°2026000118</t>
        </is>
      </c>
      <c r="E355" s="7" t="inlineStr">
        <is>
          <t>LASSAKEUR RIAD GPROS</t>
        </is>
      </c>
      <c r="F355" s="7" t="inlineStr">
        <is>
          <t>06002</t>
        </is>
      </c>
      <c r="G355" s="7" t="inlineStr">
        <is>
          <t>44517</t>
        </is>
      </c>
      <c r="H355" s="7" t="inlineStr"/>
      <c r="I355" s="7" t="inlineStr"/>
      <c r="J355" s="7" t="inlineStr"/>
      <c r="K355" s="7" t="inlineStr"/>
      <c r="L355" s="8" t="n">
        <v>0</v>
      </c>
      <c r="M355" s="8" t="n">
        <v>19319.33</v>
      </c>
      <c r="N355" s="7" t="inlineStr"/>
      <c r="O355" s="7" t="inlineStr"/>
      <c r="P355" s="7" t="inlineStr"/>
      <c r="Q355" s="7" t="inlineStr"/>
      <c r="R355" s="7" t="inlineStr"/>
    </row>
    <row r="356">
      <c r="A356" s="7" t="inlineStr">
        <is>
          <t>1</t>
        </is>
      </c>
      <c r="B356" s="7" t="inlineStr">
        <is>
          <t>G00119</t>
        </is>
      </c>
      <c r="C356" s="7" t="inlineStr">
        <is>
          <t>20260316</t>
        </is>
      </c>
      <c r="D356" s="7" t="inlineStr">
        <is>
          <t>N°2026000119</t>
        </is>
      </c>
      <c r="E356" s="7" t="inlineStr">
        <is>
          <t>CHELDA BELKACEM</t>
        </is>
      </c>
      <c r="F356" s="7" t="inlineStr">
        <is>
          <t>06002</t>
        </is>
      </c>
      <c r="G356" s="7" t="inlineStr">
        <is>
          <t>41100</t>
        </is>
      </c>
      <c r="H356" s="7" t="inlineStr">
        <is>
          <t>C1034</t>
        </is>
      </c>
      <c r="I356" s="7" t="inlineStr"/>
      <c r="J356" s="7" t="inlineStr"/>
      <c r="K356" s="7" t="inlineStr"/>
      <c r="L356" s="8" t="n">
        <v>150000</v>
      </c>
      <c r="M356" s="8" t="n">
        <v>0</v>
      </c>
      <c r="N356" s="7" t="inlineStr"/>
      <c r="O356" s="7" t="inlineStr"/>
      <c r="P356" s="7" t="inlineStr"/>
      <c r="Q356" s="7" t="inlineStr"/>
      <c r="R356" s="7" t="inlineStr"/>
    </row>
    <row r="357">
      <c r="A357" s="7" t="inlineStr">
        <is>
          <t>1</t>
        </is>
      </c>
      <c r="B357" s="7" t="inlineStr">
        <is>
          <t>G00119</t>
        </is>
      </c>
      <c r="C357" s="7" t="inlineStr">
        <is>
          <t>20260316</t>
        </is>
      </c>
      <c r="D357" s="7" t="inlineStr">
        <is>
          <t>N°2026000119</t>
        </is>
      </c>
      <c r="E357" s="7" t="inlineStr">
        <is>
          <t>CHELDA BELKACEM</t>
        </is>
      </c>
      <c r="F357" s="7" t="inlineStr">
        <is>
          <t>06002</t>
        </is>
      </c>
      <c r="G357" s="7" t="inlineStr">
        <is>
          <t>70001</t>
        </is>
      </c>
      <c r="H357" s="7" t="inlineStr"/>
      <c r="I357" s="7" t="inlineStr"/>
      <c r="J357" s="7" t="inlineStr"/>
      <c r="K357" s="7" t="inlineStr"/>
      <c r="L357" s="8" t="n">
        <v>0</v>
      </c>
      <c r="M357" s="8" t="n">
        <v>126050.42</v>
      </c>
      <c r="N357" s="7" t="inlineStr"/>
      <c r="O357" s="7" t="inlineStr"/>
      <c r="P357" s="7" t="inlineStr"/>
      <c r="Q357" s="7" t="inlineStr"/>
      <c r="R357" s="7" t="inlineStr"/>
    </row>
    <row r="358">
      <c r="A358" s="7" t="inlineStr">
        <is>
          <t>1</t>
        </is>
      </c>
      <c r="B358" s="7" t="inlineStr">
        <is>
          <t>G00119</t>
        </is>
      </c>
      <c r="C358" s="7" t="inlineStr">
        <is>
          <t>20260316</t>
        </is>
      </c>
      <c r="D358" s="7" t="inlineStr">
        <is>
          <t>N°2026000119</t>
        </is>
      </c>
      <c r="E358" s="7" t="inlineStr">
        <is>
          <t>CHELDA BELKACEM</t>
        </is>
      </c>
      <c r="F358" s="7" t="inlineStr">
        <is>
          <t>06002</t>
        </is>
      </c>
      <c r="G358" s="7" t="inlineStr">
        <is>
          <t>44517</t>
        </is>
      </c>
      <c r="H358" s="7" t="inlineStr"/>
      <c r="I358" s="7" t="inlineStr"/>
      <c r="J358" s="7" t="inlineStr"/>
      <c r="K358" s="7" t="inlineStr"/>
      <c r="L358" s="8" t="n">
        <v>0</v>
      </c>
      <c r="M358" s="8" t="n">
        <v>23949.58</v>
      </c>
      <c r="N358" s="7" t="inlineStr"/>
      <c r="O358" s="7" t="inlineStr"/>
      <c r="P358" s="7" t="inlineStr"/>
      <c r="Q358" s="7" t="inlineStr"/>
      <c r="R358" s="7" t="inlineStr"/>
    </row>
    <row r="359">
      <c r="A359" s="7" t="inlineStr">
        <is>
          <t>1</t>
        </is>
      </c>
      <c r="B359" s="7" t="inlineStr">
        <is>
          <t>G00120</t>
        </is>
      </c>
      <c r="C359" s="7" t="inlineStr">
        <is>
          <t>20260317</t>
        </is>
      </c>
      <c r="D359" s="7" t="inlineStr">
        <is>
          <t>N°2026000120</t>
        </is>
      </c>
      <c r="E359" s="7" t="inlineStr">
        <is>
          <t>BOUHAMED ABDERRAHIM</t>
        </is>
      </c>
      <c r="F359" s="7" t="inlineStr">
        <is>
          <t>06002</t>
        </is>
      </c>
      <c r="G359" s="7" t="inlineStr">
        <is>
          <t>41100</t>
        </is>
      </c>
      <c r="H359" s="7" t="inlineStr">
        <is>
          <t>C980</t>
        </is>
      </c>
      <c r="I359" s="7" t="inlineStr"/>
      <c r="J359" s="7" t="inlineStr"/>
      <c r="K359" s="7" t="inlineStr"/>
      <c r="L359" s="8" t="n">
        <v>349795</v>
      </c>
      <c r="M359" s="8" t="n">
        <v>0</v>
      </c>
      <c r="N359" s="7" t="inlineStr"/>
      <c r="O359" s="7" t="inlineStr"/>
      <c r="P359" s="7" t="inlineStr"/>
      <c r="Q359" s="7" t="inlineStr"/>
      <c r="R359" s="7" t="inlineStr"/>
    </row>
    <row r="360">
      <c r="A360" s="7" t="inlineStr">
        <is>
          <t>1</t>
        </is>
      </c>
      <c r="B360" s="7" t="inlineStr">
        <is>
          <t>G00120</t>
        </is>
      </c>
      <c r="C360" s="7" t="inlineStr">
        <is>
          <t>20260317</t>
        </is>
      </c>
      <c r="D360" s="7" t="inlineStr">
        <is>
          <t>N°2026000120</t>
        </is>
      </c>
      <c r="E360" s="7" t="inlineStr">
        <is>
          <t>BOUHAMED ABDERRAHIM</t>
        </is>
      </c>
      <c r="F360" s="7" t="inlineStr">
        <is>
          <t>06002</t>
        </is>
      </c>
      <c r="G360" s="7" t="inlineStr">
        <is>
          <t>70001</t>
        </is>
      </c>
      <c r="H360" s="7" t="inlineStr"/>
      <c r="I360" s="7" t="inlineStr"/>
      <c r="J360" s="7" t="inlineStr"/>
      <c r="K360" s="7" t="inlineStr"/>
      <c r="L360" s="8" t="n">
        <v>0</v>
      </c>
      <c r="M360" s="8" t="n">
        <v>293945.38</v>
      </c>
      <c r="N360" s="7" t="inlineStr"/>
      <c r="O360" s="7" t="inlineStr"/>
      <c r="P360" s="7" t="inlineStr"/>
      <c r="Q360" s="7" t="inlineStr"/>
      <c r="R360" s="7" t="inlineStr"/>
    </row>
    <row r="361">
      <c r="A361" s="7" t="inlineStr">
        <is>
          <t>1</t>
        </is>
      </c>
      <c r="B361" s="7" t="inlineStr">
        <is>
          <t>G00120</t>
        </is>
      </c>
      <c r="C361" s="7" t="inlineStr">
        <is>
          <t>20260317</t>
        </is>
      </c>
      <c r="D361" s="7" t="inlineStr">
        <is>
          <t>N°2026000120</t>
        </is>
      </c>
      <c r="E361" s="7" t="inlineStr">
        <is>
          <t>BOUHAMED ABDERRAHIM</t>
        </is>
      </c>
      <c r="F361" s="7" t="inlineStr">
        <is>
          <t>06002</t>
        </is>
      </c>
      <c r="G361" s="7" t="inlineStr">
        <is>
          <t>44517</t>
        </is>
      </c>
      <c r="H361" s="7" t="inlineStr"/>
      <c r="I361" s="7" t="inlineStr"/>
      <c r="J361" s="7" t="inlineStr"/>
      <c r="K361" s="7" t="inlineStr"/>
      <c r="L361" s="8" t="n">
        <v>0</v>
      </c>
      <c r="M361" s="8" t="n">
        <v>55849.62</v>
      </c>
      <c r="N361" s="7" t="inlineStr"/>
      <c r="O361" s="7" t="inlineStr"/>
      <c r="P361" s="7" t="inlineStr"/>
      <c r="Q361" s="7" t="inlineStr"/>
      <c r="R361" s="7" t="inlineStr"/>
    </row>
    <row r="362">
      <c r="A362" s="7" t="inlineStr">
        <is>
          <t>1</t>
        </is>
      </c>
      <c r="B362" s="7" t="inlineStr">
        <is>
          <t>G00121</t>
        </is>
      </c>
      <c r="C362" s="7" t="inlineStr">
        <is>
          <t>20260318</t>
        </is>
      </c>
      <c r="D362" s="7" t="inlineStr">
        <is>
          <t>N°2026000121</t>
        </is>
      </c>
      <c r="E362" s="7" t="inlineStr">
        <is>
          <t>HANIFI SALAH</t>
        </is>
      </c>
      <c r="F362" s="7" t="inlineStr">
        <is>
          <t>06002</t>
        </is>
      </c>
      <c r="G362" s="7" t="inlineStr">
        <is>
          <t>41100</t>
        </is>
      </c>
      <c r="H362" s="7" t="inlineStr">
        <is>
          <t>C759</t>
        </is>
      </c>
      <c r="I362" s="7" t="inlineStr"/>
      <c r="J362" s="7" t="inlineStr"/>
      <c r="K362" s="7" t="inlineStr"/>
      <c r="L362" s="8" t="n">
        <v>85000</v>
      </c>
      <c r="M362" s="8" t="n">
        <v>0</v>
      </c>
      <c r="N362" s="7" t="inlineStr"/>
      <c r="O362" s="7" t="inlineStr"/>
      <c r="P362" s="7" t="inlineStr"/>
      <c r="Q362" s="7" t="inlineStr"/>
      <c r="R362" s="7" t="inlineStr"/>
    </row>
    <row r="363">
      <c r="A363" s="7" t="inlineStr">
        <is>
          <t>1</t>
        </is>
      </c>
      <c r="B363" s="7" t="inlineStr">
        <is>
          <t>G00121</t>
        </is>
      </c>
      <c r="C363" s="7" t="inlineStr">
        <is>
          <t>20260318</t>
        </is>
      </c>
      <c r="D363" s="7" t="inlineStr">
        <is>
          <t>N°2026000121</t>
        </is>
      </c>
      <c r="E363" s="7" t="inlineStr">
        <is>
          <t>HANIFI SALAH</t>
        </is>
      </c>
      <c r="F363" s="7" t="inlineStr">
        <is>
          <t>06002</t>
        </is>
      </c>
      <c r="G363" s="7" t="inlineStr">
        <is>
          <t>70001</t>
        </is>
      </c>
      <c r="H363" s="7" t="inlineStr"/>
      <c r="I363" s="7" t="inlineStr"/>
      <c r="J363" s="7" t="inlineStr"/>
      <c r="K363" s="7" t="inlineStr"/>
      <c r="L363" s="8" t="n">
        <v>0</v>
      </c>
      <c r="M363" s="8" t="n">
        <v>71428.57000000001</v>
      </c>
      <c r="N363" s="7" t="inlineStr"/>
      <c r="O363" s="7" t="inlineStr"/>
      <c r="P363" s="7" t="inlineStr"/>
      <c r="Q363" s="7" t="inlineStr"/>
      <c r="R363" s="7" t="inlineStr"/>
    </row>
    <row r="364">
      <c r="A364" s="7" t="inlineStr">
        <is>
          <t>1</t>
        </is>
      </c>
      <c r="B364" s="7" t="inlineStr">
        <is>
          <t>G00121</t>
        </is>
      </c>
      <c r="C364" s="7" t="inlineStr">
        <is>
          <t>20260318</t>
        </is>
      </c>
      <c r="D364" s="7" t="inlineStr">
        <is>
          <t>N°2026000121</t>
        </is>
      </c>
      <c r="E364" s="7" t="inlineStr">
        <is>
          <t>HANIFI SALAH</t>
        </is>
      </c>
      <c r="F364" s="7" t="inlineStr">
        <is>
          <t>06002</t>
        </is>
      </c>
      <c r="G364" s="7" t="inlineStr">
        <is>
          <t>44517</t>
        </is>
      </c>
      <c r="H364" s="7" t="inlineStr"/>
      <c r="I364" s="7" t="inlineStr"/>
      <c r="J364" s="7" t="inlineStr"/>
      <c r="K364" s="7" t="inlineStr"/>
      <c r="L364" s="8" t="n">
        <v>0</v>
      </c>
      <c r="M364" s="8" t="n">
        <v>13571.43</v>
      </c>
      <c r="N364" s="7" t="inlineStr"/>
      <c r="O364" s="7" t="inlineStr"/>
      <c r="P364" s="7" t="inlineStr"/>
      <c r="Q364" s="7" t="inlineStr"/>
      <c r="R364" s="7" t="inlineStr"/>
    </row>
    <row r="365">
      <c r="A365" s="7" t="inlineStr">
        <is>
          <t>1</t>
        </is>
      </c>
      <c r="B365" s="7" t="inlineStr">
        <is>
          <t>G00122</t>
        </is>
      </c>
      <c r="C365" s="7" t="inlineStr">
        <is>
          <t>20260319</t>
        </is>
      </c>
      <c r="D365" s="7" t="inlineStr">
        <is>
          <t>N°2026000122</t>
        </is>
      </c>
      <c r="E365" s="7" t="inlineStr">
        <is>
          <t>SARL SERVICES POIDS LOURDS</t>
        </is>
      </c>
      <c r="F365" s="7" t="inlineStr">
        <is>
          <t>06002</t>
        </is>
      </c>
      <c r="G365" s="7" t="inlineStr">
        <is>
          <t>41100</t>
        </is>
      </c>
      <c r="H365" s="7" t="inlineStr">
        <is>
          <t>C668</t>
        </is>
      </c>
      <c r="I365" s="7" t="inlineStr"/>
      <c r="J365" s="7" t="inlineStr"/>
      <c r="K365" s="7" t="inlineStr"/>
      <c r="L365" s="8" t="n">
        <v>1851550</v>
      </c>
      <c r="M365" s="8" t="n">
        <v>0</v>
      </c>
      <c r="N365" s="7" t="inlineStr"/>
      <c r="O365" s="7" t="inlineStr"/>
      <c r="P365" s="7" t="inlineStr"/>
      <c r="Q365" s="7" t="inlineStr"/>
      <c r="R365" s="7" t="inlineStr"/>
    </row>
    <row r="366">
      <c r="A366" s="7" t="inlineStr">
        <is>
          <t>1</t>
        </is>
      </c>
      <c r="B366" s="7" t="inlineStr">
        <is>
          <t>G00122</t>
        </is>
      </c>
      <c r="C366" s="7" t="inlineStr">
        <is>
          <t>20260319</t>
        </is>
      </c>
      <c r="D366" s="7" t="inlineStr">
        <is>
          <t>N°2026000122</t>
        </is>
      </c>
      <c r="E366" s="7" t="inlineStr">
        <is>
          <t>SARL SERVICES POIDS LOURDS</t>
        </is>
      </c>
      <c r="F366" s="7" t="inlineStr">
        <is>
          <t>06002</t>
        </is>
      </c>
      <c r="G366" s="7" t="inlineStr">
        <is>
          <t>70001</t>
        </is>
      </c>
      <c r="H366" s="7" t="inlineStr"/>
      <c r="I366" s="7" t="inlineStr"/>
      <c r="J366" s="7" t="inlineStr"/>
      <c r="K366" s="7" t="inlineStr"/>
      <c r="L366" s="8" t="n">
        <v>0</v>
      </c>
      <c r="M366" s="8" t="n">
        <v>1555924.37</v>
      </c>
      <c r="N366" s="7" t="inlineStr"/>
      <c r="O366" s="7" t="inlineStr"/>
      <c r="P366" s="7" t="inlineStr"/>
      <c r="Q366" s="7" t="inlineStr"/>
      <c r="R366" s="7" t="inlineStr"/>
    </row>
    <row r="367">
      <c r="A367" s="7" t="inlineStr">
        <is>
          <t>1</t>
        </is>
      </c>
      <c r="B367" s="7" t="inlineStr">
        <is>
          <t>G00122</t>
        </is>
      </c>
      <c r="C367" s="7" t="inlineStr">
        <is>
          <t>20260319</t>
        </is>
      </c>
      <c r="D367" s="7" t="inlineStr">
        <is>
          <t>N°2026000122</t>
        </is>
      </c>
      <c r="E367" s="7" t="inlineStr">
        <is>
          <t>SARL SERVICES POIDS LOURDS</t>
        </is>
      </c>
      <c r="F367" s="7" t="inlineStr">
        <is>
          <t>06002</t>
        </is>
      </c>
      <c r="G367" s="7" t="inlineStr">
        <is>
          <t>44517</t>
        </is>
      </c>
      <c r="H367" s="7" t="inlineStr"/>
      <c r="I367" s="7" t="inlineStr"/>
      <c r="J367" s="7" t="inlineStr"/>
      <c r="K367" s="7" t="inlineStr"/>
      <c r="L367" s="8" t="n">
        <v>0</v>
      </c>
      <c r="M367" s="8" t="n">
        <v>295625.63</v>
      </c>
      <c r="N367" s="7" t="inlineStr"/>
      <c r="O367" s="7" t="inlineStr"/>
      <c r="P367" s="7" t="inlineStr"/>
      <c r="Q367" s="7" t="inlineStr"/>
      <c r="R367" s="7" t="inlineStr"/>
    </row>
    <row r="368">
      <c r="A368" s="7" t="inlineStr">
        <is>
          <t>1</t>
        </is>
      </c>
      <c r="B368" s="7" t="inlineStr">
        <is>
          <t>G00123</t>
        </is>
      </c>
      <c r="C368" s="7" t="inlineStr">
        <is>
          <t>20260322</t>
        </is>
      </c>
      <c r="D368" s="7" t="inlineStr">
        <is>
          <t>N°2026000123</t>
        </is>
      </c>
      <c r="E368" s="7" t="inlineStr">
        <is>
          <t>ZIANI AMIR</t>
        </is>
      </c>
      <c r="F368" s="7" t="inlineStr">
        <is>
          <t>06002</t>
        </is>
      </c>
      <c r="G368" s="7" t="inlineStr">
        <is>
          <t>41100</t>
        </is>
      </c>
      <c r="H368" s="7" t="inlineStr">
        <is>
          <t>C612</t>
        </is>
      </c>
      <c r="I368" s="7" t="inlineStr"/>
      <c r="J368" s="7" t="inlineStr"/>
      <c r="K368" s="7" t="inlineStr"/>
      <c r="L368" s="8" t="n">
        <v>1500000</v>
      </c>
      <c r="M368" s="8" t="n">
        <v>0</v>
      </c>
      <c r="N368" s="7" t="inlineStr"/>
      <c r="O368" s="7" t="inlineStr"/>
      <c r="P368" s="7" t="inlineStr"/>
      <c r="Q368" s="7" t="inlineStr"/>
      <c r="R368" s="7" t="inlineStr"/>
    </row>
    <row r="369">
      <c r="A369" s="7" t="inlineStr">
        <is>
          <t>1</t>
        </is>
      </c>
      <c r="B369" s="7" t="inlineStr">
        <is>
          <t>G00123</t>
        </is>
      </c>
      <c r="C369" s="7" t="inlineStr">
        <is>
          <t>20260322</t>
        </is>
      </c>
      <c r="D369" s="7" t="inlineStr">
        <is>
          <t>N°2026000123</t>
        </is>
      </c>
      <c r="E369" s="7" t="inlineStr">
        <is>
          <t>ZIANI AMIR</t>
        </is>
      </c>
      <c r="F369" s="7" t="inlineStr">
        <is>
          <t>06002</t>
        </is>
      </c>
      <c r="G369" s="7" t="inlineStr">
        <is>
          <t>70001</t>
        </is>
      </c>
      <c r="H369" s="7" t="inlineStr"/>
      <c r="I369" s="7" t="inlineStr"/>
      <c r="J369" s="7" t="inlineStr"/>
      <c r="K369" s="7" t="inlineStr"/>
      <c r="L369" s="8" t="n">
        <v>0</v>
      </c>
      <c r="M369" s="8" t="n">
        <v>1260504.2</v>
      </c>
      <c r="N369" s="7" t="inlineStr"/>
      <c r="O369" s="7" t="inlineStr"/>
      <c r="P369" s="7" t="inlineStr"/>
      <c r="Q369" s="7" t="inlineStr"/>
      <c r="R369" s="7" t="inlineStr"/>
    </row>
    <row r="370">
      <c r="A370" s="7" t="inlineStr">
        <is>
          <t>1</t>
        </is>
      </c>
      <c r="B370" s="7" t="inlineStr">
        <is>
          <t>G00123</t>
        </is>
      </c>
      <c r="C370" s="7" t="inlineStr">
        <is>
          <t>20260322</t>
        </is>
      </c>
      <c r="D370" s="7" t="inlineStr">
        <is>
          <t>N°2026000123</t>
        </is>
      </c>
      <c r="E370" s="7" t="inlineStr">
        <is>
          <t>ZIANI AMIR</t>
        </is>
      </c>
      <c r="F370" s="7" t="inlineStr">
        <is>
          <t>06002</t>
        </is>
      </c>
      <c r="G370" s="7" t="inlineStr">
        <is>
          <t>44517</t>
        </is>
      </c>
      <c r="H370" s="7" t="inlineStr"/>
      <c r="I370" s="7" t="inlineStr"/>
      <c r="J370" s="7" t="inlineStr"/>
      <c r="K370" s="7" t="inlineStr"/>
      <c r="L370" s="8" t="n">
        <v>0</v>
      </c>
      <c r="M370" s="8" t="n">
        <v>239495.8</v>
      </c>
      <c r="N370" s="7" t="inlineStr"/>
      <c r="O370" s="7" t="inlineStr"/>
      <c r="P370" s="7" t="inlineStr"/>
      <c r="Q370" s="7" t="inlineStr"/>
      <c r="R370" s="7" t="inlineStr"/>
    </row>
    <row r="371">
      <c r="A371" s="7" t="inlineStr">
        <is>
          <t>1</t>
        </is>
      </c>
      <c r="B371" s="7" t="inlineStr">
        <is>
          <t>G00124</t>
        </is>
      </c>
      <c r="C371" s="7" t="inlineStr">
        <is>
          <t>20260324</t>
        </is>
      </c>
      <c r="D371" s="7" t="inlineStr">
        <is>
          <t>N°2026000124</t>
        </is>
      </c>
      <c r="E371" s="7" t="inlineStr">
        <is>
          <t>SAHRAOUI BECHAGHA</t>
        </is>
      </c>
      <c r="F371" s="7" t="inlineStr">
        <is>
          <t>06002</t>
        </is>
      </c>
      <c r="G371" s="7" t="inlineStr">
        <is>
          <t>41100</t>
        </is>
      </c>
      <c r="H371" s="7" t="inlineStr">
        <is>
          <t>C975</t>
        </is>
      </c>
      <c r="I371" s="7" t="inlineStr"/>
      <c r="J371" s="7" t="inlineStr"/>
      <c r="K371" s="7" t="inlineStr"/>
      <c r="L371" s="8" t="n">
        <v>710400</v>
      </c>
      <c r="M371" s="8" t="n">
        <v>0</v>
      </c>
      <c r="N371" s="7" t="inlineStr"/>
      <c r="O371" s="7" t="inlineStr"/>
      <c r="P371" s="7" t="inlineStr"/>
      <c r="Q371" s="7" t="inlineStr"/>
      <c r="R371" s="7" t="inlineStr"/>
    </row>
    <row r="372">
      <c r="A372" s="7" t="inlineStr">
        <is>
          <t>1</t>
        </is>
      </c>
      <c r="B372" s="7" t="inlineStr">
        <is>
          <t>G00124</t>
        </is>
      </c>
      <c r="C372" s="7" t="inlineStr">
        <is>
          <t>20260324</t>
        </is>
      </c>
      <c r="D372" s="7" t="inlineStr">
        <is>
          <t>N°2026000124</t>
        </is>
      </c>
      <c r="E372" s="7" t="inlineStr">
        <is>
          <t>SAHRAOUI BECHAGHA</t>
        </is>
      </c>
      <c r="F372" s="7" t="inlineStr">
        <is>
          <t>06002</t>
        </is>
      </c>
      <c r="G372" s="7" t="inlineStr">
        <is>
          <t>70001</t>
        </is>
      </c>
      <c r="H372" s="7" t="inlineStr"/>
      <c r="I372" s="7" t="inlineStr"/>
      <c r="J372" s="7" t="inlineStr"/>
      <c r="K372" s="7" t="inlineStr"/>
      <c r="L372" s="8" t="n">
        <v>0</v>
      </c>
      <c r="M372" s="8" t="n">
        <v>596974.79</v>
      </c>
      <c r="N372" s="7" t="inlineStr"/>
      <c r="O372" s="7" t="inlineStr"/>
      <c r="P372" s="7" t="inlineStr"/>
      <c r="Q372" s="7" t="inlineStr"/>
      <c r="R372" s="7" t="inlineStr"/>
    </row>
    <row r="373">
      <c r="A373" s="7" t="inlineStr">
        <is>
          <t>1</t>
        </is>
      </c>
      <c r="B373" s="7" t="inlineStr">
        <is>
          <t>G00124</t>
        </is>
      </c>
      <c r="C373" s="7" t="inlineStr">
        <is>
          <t>20260324</t>
        </is>
      </c>
      <c r="D373" s="7" t="inlineStr">
        <is>
          <t>N°2026000124</t>
        </is>
      </c>
      <c r="E373" s="7" t="inlineStr">
        <is>
          <t>SAHRAOUI BECHAGHA</t>
        </is>
      </c>
      <c r="F373" s="7" t="inlineStr">
        <is>
          <t>06002</t>
        </is>
      </c>
      <c r="G373" s="7" t="inlineStr">
        <is>
          <t>44517</t>
        </is>
      </c>
      <c r="H373" s="7" t="inlineStr"/>
      <c r="I373" s="7" t="inlineStr"/>
      <c r="J373" s="7" t="inlineStr"/>
      <c r="K373" s="7" t="inlineStr"/>
      <c r="L373" s="8" t="n">
        <v>0</v>
      </c>
      <c r="M373" s="8" t="n">
        <v>113425.21</v>
      </c>
      <c r="N373" s="7" t="inlineStr"/>
      <c r="O373" s="7" t="inlineStr"/>
      <c r="P373" s="7" t="inlineStr"/>
      <c r="Q373" s="7" t="inlineStr"/>
      <c r="R373" s="7" t="inlineStr"/>
    </row>
    <row r="374">
      <c r="A374" s="7" t="inlineStr">
        <is>
          <t>1</t>
        </is>
      </c>
      <c r="B374" s="7" t="inlineStr">
        <is>
          <t>G00125</t>
        </is>
      </c>
      <c r="C374" s="7" t="inlineStr">
        <is>
          <t>20260325</t>
        </is>
      </c>
      <c r="D374" s="7" t="inlineStr">
        <is>
          <t>N°2026000125</t>
        </is>
      </c>
      <c r="E374" s="7" t="inlineStr">
        <is>
          <t>EURL TRANSPORT FLY</t>
        </is>
      </c>
      <c r="F374" s="7" t="inlineStr">
        <is>
          <t>06002</t>
        </is>
      </c>
      <c r="G374" s="7" t="inlineStr">
        <is>
          <t>41100</t>
        </is>
      </c>
      <c r="H374" s="7" t="inlineStr">
        <is>
          <t>C505</t>
        </is>
      </c>
      <c r="I374" s="7" t="inlineStr"/>
      <c r="J374" s="7" t="inlineStr"/>
      <c r="K374" s="7" t="inlineStr"/>
      <c r="L374" s="8" t="n">
        <v>1062455</v>
      </c>
      <c r="M374" s="8" t="n">
        <v>0</v>
      </c>
      <c r="N374" s="7" t="inlineStr"/>
      <c r="O374" s="7" t="inlineStr"/>
      <c r="P374" s="7" t="inlineStr"/>
      <c r="Q374" s="7" t="inlineStr"/>
      <c r="R374" s="7" t="inlineStr"/>
    </row>
    <row r="375">
      <c r="A375" s="7" t="inlineStr">
        <is>
          <t>1</t>
        </is>
      </c>
      <c r="B375" s="7" t="inlineStr">
        <is>
          <t>G00125</t>
        </is>
      </c>
      <c r="C375" s="7" t="inlineStr">
        <is>
          <t>20260325</t>
        </is>
      </c>
      <c r="D375" s="7" t="inlineStr">
        <is>
          <t>N°2026000125</t>
        </is>
      </c>
      <c r="E375" s="7" t="inlineStr">
        <is>
          <t>EURL TRANSPORT FLY</t>
        </is>
      </c>
      <c r="F375" s="7" t="inlineStr">
        <is>
          <t>06002</t>
        </is>
      </c>
      <c r="G375" s="7" t="inlineStr">
        <is>
          <t>70001</t>
        </is>
      </c>
      <c r="H375" s="7" t="inlineStr"/>
      <c r="I375" s="7" t="inlineStr"/>
      <c r="J375" s="7" t="inlineStr"/>
      <c r="K375" s="7" t="inlineStr"/>
      <c r="L375" s="8" t="n">
        <v>0</v>
      </c>
      <c r="M375" s="8" t="n">
        <v>892819.33</v>
      </c>
      <c r="N375" s="7" t="inlineStr"/>
      <c r="O375" s="7" t="inlineStr"/>
      <c r="P375" s="7" t="inlineStr"/>
      <c r="Q375" s="7" t="inlineStr"/>
      <c r="R375" s="7" t="inlineStr"/>
    </row>
    <row r="376">
      <c r="A376" s="7" t="inlineStr">
        <is>
          <t>1</t>
        </is>
      </c>
      <c r="B376" s="7" t="inlineStr">
        <is>
          <t>G00125</t>
        </is>
      </c>
      <c r="C376" s="7" t="inlineStr">
        <is>
          <t>20260325</t>
        </is>
      </c>
      <c r="D376" s="7" t="inlineStr">
        <is>
          <t>N°2026000125</t>
        </is>
      </c>
      <c r="E376" s="7" t="inlineStr">
        <is>
          <t>EURL TRANSPORT FLY</t>
        </is>
      </c>
      <c r="F376" s="7" t="inlineStr">
        <is>
          <t>06002</t>
        </is>
      </c>
      <c r="G376" s="7" t="inlineStr">
        <is>
          <t>44517</t>
        </is>
      </c>
      <c r="H376" s="7" t="inlineStr"/>
      <c r="I376" s="7" t="inlineStr"/>
      <c r="J376" s="7" t="inlineStr"/>
      <c r="K376" s="7" t="inlineStr"/>
      <c r="L376" s="8" t="n">
        <v>0</v>
      </c>
      <c r="M376" s="8" t="n">
        <v>169635.67</v>
      </c>
      <c r="N376" s="7" t="inlineStr"/>
      <c r="O376" s="7" t="inlineStr"/>
      <c r="P376" s="7" t="inlineStr"/>
      <c r="Q376" s="7" t="inlineStr"/>
      <c r="R376" s="7" t="inlineStr"/>
    </row>
    <row r="377">
      <c r="A377" s="7" t="inlineStr">
        <is>
          <t>1</t>
        </is>
      </c>
      <c r="B377" s="7" t="inlineStr">
        <is>
          <t>G00126</t>
        </is>
      </c>
      <c r="C377" s="7" t="inlineStr">
        <is>
          <t>20260326</t>
        </is>
      </c>
      <c r="D377" s="7" t="inlineStr">
        <is>
          <t>N°2026000126</t>
        </is>
      </c>
      <c r="E377" s="7" t="inlineStr">
        <is>
          <t>SAHRAOUI BECHAGHA</t>
        </is>
      </c>
      <c r="F377" s="7" t="inlineStr">
        <is>
          <t>06002</t>
        </is>
      </c>
      <c r="G377" s="7" t="inlineStr">
        <is>
          <t>41100</t>
        </is>
      </c>
      <c r="H377" s="7" t="inlineStr">
        <is>
          <t>C975</t>
        </is>
      </c>
      <c r="I377" s="7" t="inlineStr"/>
      <c r="J377" s="7" t="inlineStr"/>
      <c r="K377" s="7" t="inlineStr"/>
      <c r="L377" s="8" t="n">
        <v>203500.01</v>
      </c>
      <c r="M377" s="8" t="n">
        <v>0</v>
      </c>
      <c r="N377" s="7" t="inlineStr"/>
      <c r="O377" s="7" t="inlineStr"/>
      <c r="P377" s="7" t="inlineStr"/>
      <c r="Q377" s="7" t="inlineStr"/>
      <c r="R377" s="7" t="inlineStr"/>
    </row>
    <row r="378">
      <c r="A378" s="7" t="inlineStr">
        <is>
          <t>1</t>
        </is>
      </c>
      <c r="B378" s="7" t="inlineStr">
        <is>
          <t>G00126</t>
        </is>
      </c>
      <c r="C378" s="7" t="inlineStr">
        <is>
          <t>20260326</t>
        </is>
      </c>
      <c r="D378" s="7" t="inlineStr">
        <is>
          <t>N°2026000126</t>
        </is>
      </c>
      <c r="E378" s="7" t="inlineStr">
        <is>
          <t>SAHRAOUI BECHAGHA</t>
        </is>
      </c>
      <c r="F378" s="7" t="inlineStr">
        <is>
          <t>06002</t>
        </is>
      </c>
      <c r="G378" s="7" t="inlineStr">
        <is>
          <t>70001</t>
        </is>
      </c>
      <c r="H378" s="7" t="inlineStr"/>
      <c r="I378" s="7" t="inlineStr"/>
      <c r="J378" s="7" t="inlineStr"/>
      <c r="K378" s="7" t="inlineStr"/>
      <c r="L378" s="8" t="n">
        <v>0</v>
      </c>
      <c r="M378" s="8" t="n">
        <v>171008.41</v>
      </c>
      <c r="N378" s="7" t="inlineStr"/>
      <c r="O378" s="7" t="inlineStr"/>
      <c r="P378" s="7" t="inlineStr"/>
      <c r="Q378" s="7" t="inlineStr"/>
      <c r="R378" s="7" t="inlineStr"/>
    </row>
    <row r="379">
      <c r="A379" s="7" t="inlineStr">
        <is>
          <t>1</t>
        </is>
      </c>
      <c r="B379" s="7" t="inlineStr">
        <is>
          <t>G00126</t>
        </is>
      </c>
      <c r="C379" s="7" t="inlineStr">
        <is>
          <t>20260326</t>
        </is>
      </c>
      <c r="D379" s="7" t="inlineStr">
        <is>
          <t>N°2026000126</t>
        </is>
      </c>
      <c r="E379" s="7" t="inlineStr">
        <is>
          <t>SAHRAOUI BECHAGHA</t>
        </is>
      </c>
      <c r="F379" s="7" t="inlineStr">
        <is>
          <t>06002</t>
        </is>
      </c>
      <c r="G379" s="7" t="inlineStr">
        <is>
          <t>44517</t>
        </is>
      </c>
      <c r="H379" s="7" t="inlineStr"/>
      <c r="I379" s="7" t="inlineStr"/>
      <c r="J379" s="7" t="inlineStr"/>
      <c r="K379" s="7" t="inlineStr"/>
      <c r="L379" s="8" t="n">
        <v>0</v>
      </c>
      <c r="M379" s="8" t="n">
        <v>32491.6</v>
      </c>
      <c r="N379" s="7" t="inlineStr"/>
      <c r="O379" s="7" t="inlineStr"/>
      <c r="P379" s="7" t="inlineStr"/>
      <c r="Q379" s="7" t="inlineStr"/>
      <c r="R379" s="7" t="inlineStr"/>
    </row>
    <row r="380">
      <c r="A380" s="7" t="inlineStr">
        <is>
          <t>1</t>
        </is>
      </c>
      <c r="B380" s="7" t="inlineStr">
        <is>
          <t>G00127</t>
        </is>
      </c>
      <c r="C380" s="7" t="inlineStr">
        <is>
          <t>20260329</t>
        </is>
      </c>
      <c r="D380" s="7" t="inlineStr">
        <is>
          <t>N°2026000127</t>
        </is>
      </c>
      <c r="E380" s="7" t="inlineStr">
        <is>
          <t>ZIANI LAKHDAR</t>
        </is>
      </c>
      <c r="F380" s="7" t="inlineStr">
        <is>
          <t>06002</t>
        </is>
      </c>
      <c r="G380" s="7" t="inlineStr">
        <is>
          <t>41100</t>
        </is>
      </c>
      <c r="H380" s="7" t="inlineStr">
        <is>
          <t>C916</t>
        </is>
      </c>
      <c r="I380" s="7" t="inlineStr"/>
      <c r="J380" s="7" t="inlineStr"/>
      <c r="K380" s="7" t="inlineStr"/>
      <c r="L380" s="8" t="n">
        <v>200000</v>
      </c>
      <c r="M380" s="8" t="n">
        <v>0</v>
      </c>
      <c r="N380" s="7" t="inlineStr"/>
      <c r="O380" s="7" t="inlineStr"/>
      <c r="P380" s="7" t="inlineStr"/>
      <c r="Q380" s="7" t="inlineStr"/>
      <c r="R380" s="7" t="inlineStr"/>
    </row>
    <row r="381">
      <c r="A381" s="7" t="inlineStr">
        <is>
          <t>1</t>
        </is>
      </c>
      <c r="B381" s="7" t="inlineStr">
        <is>
          <t>G00127</t>
        </is>
      </c>
      <c r="C381" s="7" t="inlineStr">
        <is>
          <t>20260329</t>
        </is>
      </c>
      <c r="D381" s="7" t="inlineStr">
        <is>
          <t>N°2026000127</t>
        </is>
      </c>
      <c r="E381" s="7" t="inlineStr">
        <is>
          <t>ZIANI LAKHDAR</t>
        </is>
      </c>
      <c r="F381" s="7" t="inlineStr">
        <is>
          <t>06002</t>
        </is>
      </c>
      <c r="G381" s="7" t="inlineStr">
        <is>
          <t>70001</t>
        </is>
      </c>
      <c r="H381" s="7" t="inlineStr"/>
      <c r="I381" s="7" t="inlineStr"/>
      <c r="J381" s="7" t="inlineStr"/>
      <c r="K381" s="7" t="inlineStr"/>
      <c r="L381" s="8" t="n">
        <v>0</v>
      </c>
      <c r="M381" s="8" t="n">
        <v>168067.23</v>
      </c>
      <c r="N381" s="7" t="inlineStr"/>
      <c r="O381" s="7" t="inlineStr"/>
      <c r="P381" s="7" t="inlineStr"/>
      <c r="Q381" s="7" t="inlineStr"/>
      <c r="R381" s="7" t="inlineStr"/>
    </row>
    <row r="382">
      <c r="A382" s="7" t="inlineStr">
        <is>
          <t>1</t>
        </is>
      </c>
      <c r="B382" s="7" t="inlineStr">
        <is>
          <t>G00127</t>
        </is>
      </c>
      <c r="C382" s="7" t="inlineStr">
        <is>
          <t>20260329</t>
        </is>
      </c>
      <c r="D382" s="7" t="inlineStr">
        <is>
          <t>N°2026000127</t>
        </is>
      </c>
      <c r="E382" s="7" t="inlineStr">
        <is>
          <t>ZIANI LAKHDAR</t>
        </is>
      </c>
      <c r="F382" s="7" t="inlineStr">
        <is>
          <t>06002</t>
        </is>
      </c>
      <c r="G382" s="7" t="inlineStr">
        <is>
          <t>44517</t>
        </is>
      </c>
      <c r="H382" s="7" t="inlineStr"/>
      <c r="I382" s="7" t="inlineStr"/>
      <c r="J382" s="7" t="inlineStr"/>
      <c r="K382" s="7" t="inlineStr"/>
      <c r="L382" s="8" t="n">
        <v>0</v>
      </c>
      <c r="M382" s="8" t="n">
        <v>31932.77</v>
      </c>
      <c r="N382" s="7" t="inlineStr"/>
      <c r="O382" s="7" t="inlineStr"/>
      <c r="P382" s="7" t="inlineStr"/>
      <c r="Q382" s="7" t="inlineStr"/>
      <c r="R382" s="7" t="inlineStr"/>
    </row>
    <row r="383">
      <c r="A383" s="7" t="inlineStr">
        <is>
          <t>1</t>
        </is>
      </c>
      <c r="B383" s="7" t="inlineStr">
        <is>
          <t>G00130</t>
        </is>
      </c>
      <c r="C383" s="7" t="inlineStr">
        <is>
          <t>20260402</t>
        </is>
      </c>
      <c r="D383" s="7" t="inlineStr">
        <is>
          <t>N°2026000130</t>
        </is>
      </c>
      <c r="E383" s="7" t="inlineStr">
        <is>
          <t>EURL B.S. COMMERCE</t>
        </is>
      </c>
      <c r="F383" s="7" t="inlineStr">
        <is>
          <t>06002</t>
        </is>
      </c>
      <c r="G383" s="7" t="inlineStr">
        <is>
          <t>41100</t>
        </is>
      </c>
      <c r="H383" s="7" t="inlineStr">
        <is>
          <t>C740</t>
        </is>
      </c>
      <c r="I383" s="7" t="inlineStr"/>
      <c r="J383" s="7" t="inlineStr"/>
      <c r="K383" s="7" t="inlineStr"/>
      <c r="L383" s="8" t="n">
        <v>1747800</v>
      </c>
      <c r="M383" s="8" t="n">
        <v>0</v>
      </c>
      <c r="N383" s="7" t="inlineStr"/>
      <c r="O383" s="7" t="inlineStr"/>
      <c r="P383" s="7" t="inlineStr"/>
      <c r="Q383" s="7" t="inlineStr"/>
      <c r="R383" s="7" t="inlineStr"/>
    </row>
    <row r="384">
      <c r="A384" s="7" t="inlineStr">
        <is>
          <t>1</t>
        </is>
      </c>
      <c r="B384" s="7" t="inlineStr">
        <is>
          <t>G00130</t>
        </is>
      </c>
      <c r="C384" s="7" t="inlineStr">
        <is>
          <t>20260402</t>
        </is>
      </c>
      <c r="D384" s="7" t="inlineStr">
        <is>
          <t>N°2026000130</t>
        </is>
      </c>
      <c r="E384" s="7" t="inlineStr">
        <is>
          <t>EURL B.S. COMMERCE</t>
        </is>
      </c>
      <c r="F384" s="7" t="inlineStr">
        <is>
          <t>06002</t>
        </is>
      </c>
      <c r="G384" s="7" t="inlineStr">
        <is>
          <t>70001</t>
        </is>
      </c>
      <c r="H384" s="7" t="inlineStr"/>
      <c r="I384" s="7" t="inlineStr"/>
      <c r="J384" s="7" t="inlineStr"/>
      <c r="K384" s="7" t="inlineStr"/>
      <c r="L384" s="8" t="n">
        <v>0</v>
      </c>
      <c r="M384" s="8" t="n">
        <v>1468739.5</v>
      </c>
      <c r="N384" s="7" t="inlineStr"/>
      <c r="O384" s="7" t="inlineStr"/>
      <c r="P384" s="7" t="inlineStr"/>
      <c r="Q384" s="7" t="inlineStr"/>
      <c r="R384" s="7" t="inlineStr"/>
    </row>
    <row r="385">
      <c r="A385" s="7" t="inlineStr">
        <is>
          <t>1</t>
        </is>
      </c>
      <c r="B385" s="7" t="inlineStr">
        <is>
          <t>G00130</t>
        </is>
      </c>
      <c r="C385" s="7" t="inlineStr">
        <is>
          <t>20260402</t>
        </is>
      </c>
      <c r="D385" s="7" t="inlineStr">
        <is>
          <t>N°2026000130</t>
        </is>
      </c>
      <c r="E385" s="7" t="inlineStr">
        <is>
          <t>EURL B.S. COMMERCE</t>
        </is>
      </c>
      <c r="F385" s="7" t="inlineStr">
        <is>
          <t>06002</t>
        </is>
      </c>
      <c r="G385" s="7" t="inlineStr">
        <is>
          <t>44517</t>
        </is>
      </c>
      <c r="H385" s="7" t="inlineStr"/>
      <c r="I385" s="7" t="inlineStr"/>
      <c r="J385" s="7" t="inlineStr"/>
      <c r="K385" s="7" t="inlineStr"/>
      <c r="L385" s="8" t="n">
        <v>0</v>
      </c>
      <c r="M385" s="8" t="n">
        <v>279060.5</v>
      </c>
      <c r="N385" s="7" t="inlineStr"/>
      <c r="O385" s="7" t="inlineStr"/>
      <c r="P385" s="7" t="inlineStr"/>
      <c r="Q385" s="7" t="inlineStr"/>
      <c r="R385" s="7" t="inlineStr"/>
    </row>
    <row r="386">
      <c r="A386" s="7" t="inlineStr">
        <is>
          <t>1</t>
        </is>
      </c>
      <c r="B386" s="7" t="inlineStr">
        <is>
          <t>G00131</t>
        </is>
      </c>
      <c r="C386" s="7" t="inlineStr">
        <is>
          <t>20260402</t>
        </is>
      </c>
      <c r="D386" s="7" t="inlineStr">
        <is>
          <t>N°2026000131</t>
        </is>
      </c>
      <c r="E386" s="7" t="inlineStr">
        <is>
          <t>EURL B.S. COMMERCE</t>
        </is>
      </c>
      <c r="F386" s="7" t="inlineStr">
        <is>
          <t>06002</t>
        </is>
      </c>
      <c r="G386" s="7" t="inlineStr">
        <is>
          <t>41100</t>
        </is>
      </c>
      <c r="H386" s="7" t="inlineStr">
        <is>
          <t>C740</t>
        </is>
      </c>
      <c r="I386" s="7" t="inlineStr"/>
      <c r="J386" s="7" t="inlineStr"/>
      <c r="K386" s="7" t="inlineStr"/>
      <c r="L386" s="8" t="n">
        <v>2005959.5</v>
      </c>
      <c r="M386" s="8" t="n">
        <v>0</v>
      </c>
      <c r="N386" s="7" t="inlineStr"/>
      <c r="O386" s="7" t="inlineStr"/>
      <c r="P386" s="7" t="inlineStr"/>
      <c r="Q386" s="7" t="inlineStr"/>
      <c r="R386" s="7" t="inlineStr"/>
    </row>
    <row r="387">
      <c r="A387" s="7" t="inlineStr">
        <is>
          <t>1</t>
        </is>
      </c>
      <c r="B387" s="7" t="inlineStr">
        <is>
          <t>G00131</t>
        </is>
      </c>
      <c r="C387" s="7" t="inlineStr">
        <is>
          <t>20260402</t>
        </is>
      </c>
      <c r="D387" s="7" t="inlineStr">
        <is>
          <t>N°2026000131</t>
        </is>
      </c>
      <c r="E387" s="7" t="inlineStr">
        <is>
          <t>EURL B.S. COMMERCE</t>
        </is>
      </c>
      <c r="F387" s="7" t="inlineStr">
        <is>
          <t>06002</t>
        </is>
      </c>
      <c r="G387" s="7" t="inlineStr">
        <is>
          <t>70001</t>
        </is>
      </c>
      <c r="H387" s="7" t="inlineStr"/>
      <c r="I387" s="7" t="inlineStr"/>
      <c r="J387" s="7" t="inlineStr"/>
      <c r="K387" s="7" t="inlineStr"/>
      <c r="L387" s="8" t="n">
        <v>0</v>
      </c>
      <c r="M387" s="8" t="n">
        <v>1685680.25</v>
      </c>
      <c r="N387" s="7" t="inlineStr"/>
      <c r="O387" s="7" t="inlineStr"/>
      <c r="P387" s="7" t="inlineStr"/>
      <c r="Q387" s="7" t="inlineStr"/>
      <c r="R387" s="7" t="inlineStr"/>
    </row>
    <row r="388">
      <c r="A388" s="7" t="inlineStr">
        <is>
          <t>1</t>
        </is>
      </c>
      <c r="B388" s="7" t="inlineStr">
        <is>
          <t>G00131</t>
        </is>
      </c>
      <c r="C388" s="7" t="inlineStr">
        <is>
          <t>20260402</t>
        </is>
      </c>
      <c r="D388" s="7" t="inlineStr">
        <is>
          <t>N°2026000131</t>
        </is>
      </c>
      <c r="E388" s="7" t="inlineStr">
        <is>
          <t>EURL B.S. COMMERCE</t>
        </is>
      </c>
      <c r="F388" s="7" t="inlineStr">
        <is>
          <t>06002</t>
        </is>
      </c>
      <c r="G388" s="7" t="inlineStr">
        <is>
          <t>44517</t>
        </is>
      </c>
      <c r="H388" s="7" t="inlineStr"/>
      <c r="I388" s="7" t="inlineStr"/>
      <c r="J388" s="7" t="inlineStr"/>
      <c r="K388" s="7" t="inlineStr"/>
      <c r="L388" s="8" t="n">
        <v>0</v>
      </c>
      <c r="M388" s="8" t="n">
        <v>320279.25</v>
      </c>
      <c r="N388" s="7" t="inlineStr"/>
      <c r="O388" s="7" t="inlineStr"/>
      <c r="P388" s="7" t="inlineStr"/>
      <c r="Q388" s="7" t="inlineStr"/>
      <c r="R388" s="7" t="inlineStr"/>
    </row>
    <row r="389">
      <c r="A389" s="7" t="inlineStr">
        <is>
          <t>1</t>
        </is>
      </c>
      <c r="B389" s="7" t="inlineStr">
        <is>
          <t>G00132</t>
        </is>
      </c>
      <c r="C389" s="7" t="inlineStr">
        <is>
          <t>20260402</t>
        </is>
      </c>
      <c r="D389" s="7" t="inlineStr">
        <is>
          <t>N°2026000132</t>
        </is>
      </c>
      <c r="E389" s="7" t="inlineStr">
        <is>
          <t>MANSOURI ZOUHEYR</t>
        </is>
      </c>
      <c r="F389" s="7" t="inlineStr">
        <is>
          <t>06002</t>
        </is>
      </c>
      <c r="G389" s="7" t="inlineStr">
        <is>
          <t>41100</t>
        </is>
      </c>
      <c r="H389" s="7" t="inlineStr">
        <is>
          <t>C1091</t>
        </is>
      </c>
      <c r="I389" s="7" t="inlineStr"/>
      <c r="J389" s="7" t="inlineStr"/>
      <c r="K389" s="7" t="inlineStr"/>
      <c r="L389" s="8" t="n">
        <v>510500</v>
      </c>
      <c r="M389" s="8" t="n">
        <v>0</v>
      </c>
      <c r="N389" s="7" t="inlineStr"/>
      <c r="O389" s="7" t="inlineStr"/>
      <c r="P389" s="7" t="inlineStr"/>
      <c r="Q389" s="7" t="inlineStr"/>
      <c r="R389" s="7" t="inlineStr"/>
    </row>
    <row r="390">
      <c r="A390" s="7" t="inlineStr">
        <is>
          <t>1</t>
        </is>
      </c>
      <c r="B390" s="7" t="inlineStr">
        <is>
          <t>G00132</t>
        </is>
      </c>
      <c r="C390" s="7" t="inlineStr">
        <is>
          <t>20260402</t>
        </is>
      </c>
      <c r="D390" s="7" t="inlineStr">
        <is>
          <t>N°2026000132</t>
        </is>
      </c>
      <c r="E390" s="7" t="inlineStr">
        <is>
          <t>MANSOURI ZOUHEYR</t>
        </is>
      </c>
      <c r="F390" s="7" t="inlineStr">
        <is>
          <t>06002</t>
        </is>
      </c>
      <c r="G390" s="7" t="inlineStr">
        <is>
          <t>70001</t>
        </is>
      </c>
      <c r="H390" s="7" t="inlineStr"/>
      <c r="I390" s="7" t="inlineStr"/>
      <c r="J390" s="7" t="inlineStr"/>
      <c r="K390" s="7" t="inlineStr"/>
      <c r="L390" s="8" t="n">
        <v>0</v>
      </c>
      <c r="M390" s="8" t="n">
        <v>393421.88</v>
      </c>
      <c r="N390" s="7" t="inlineStr"/>
      <c r="O390" s="7" t="inlineStr"/>
      <c r="P390" s="7" t="inlineStr"/>
      <c r="Q390" s="7" t="inlineStr"/>
      <c r="R390" s="7" t="inlineStr"/>
    </row>
    <row r="391">
      <c r="A391" s="7" t="inlineStr">
        <is>
          <t>1</t>
        </is>
      </c>
      <c r="B391" s="7" t="inlineStr">
        <is>
          <t>G00132</t>
        </is>
      </c>
      <c r="C391" s="7" t="inlineStr">
        <is>
          <t>20260402</t>
        </is>
      </c>
      <c r="D391" s="7" t="inlineStr">
        <is>
          <t>N°2026000132</t>
        </is>
      </c>
      <c r="E391" s="7" t="inlineStr">
        <is>
          <t>MANSOURI ZOUHEYR</t>
        </is>
      </c>
      <c r="F391" s="7" t="inlineStr">
        <is>
          <t>06002</t>
        </is>
      </c>
      <c r="G391" s="7" t="inlineStr">
        <is>
          <t>70002</t>
        </is>
      </c>
      <c r="H391" s="7" t="inlineStr"/>
      <c r="I391" s="7" t="inlineStr"/>
      <c r="J391" s="7" t="inlineStr"/>
      <c r="K391" s="7" t="inlineStr"/>
      <c r="L391" s="8" t="n">
        <v>0</v>
      </c>
      <c r="M391" s="8" t="n">
        <v>42327.96</v>
      </c>
      <c r="N391" s="7" t="inlineStr"/>
      <c r="O391" s="7" t="inlineStr"/>
      <c r="P391" s="7" t="inlineStr"/>
      <c r="Q391" s="7" t="inlineStr"/>
      <c r="R391" s="7" t="inlineStr"/>
    </row>
    <row r="392">
      <c r="A392" s="7" t="inlineStr">
        <is>
          <t>1</t>
        </is>
      </c>
      <c r="B392" s="7" t="inlineStr">
        <is>
          <t>G00132</t>
        </is>
      </c>
      <c r="C392" s="7" t="inlineStr">
        <is>
          <t>20260402</t>
        </is>
      </c>
      <c r="D392" s="7" t="inlineStr">
        <is>
          <t>N°2026000132</t>
        </is>
      </c>
      <c r="E392" s="7" t="inlineStr">
        <is>
          <t>MANSOURI ZOUHEYR</t>
        </is>
      </c>
      <c r="F392" s="7" t="inlineStr">
        <is>
          <t>06002</t>
        </is>
      </c>
      <c r="G392" s="7" t="inlineStr">
        <is>
          <t>44517</t>
        </is>
      </c>
      <c r="H392" s="7" t="inlineStr"/>
      <c r="I392" s="7" t="inlineStr"/>
      <c r="J392" s="7" t="inlineStr"/>
      <c r="K392" s="7" t="inlineStr"/>
      <c r="L392" s="8" t="n">
        <v>0</v>
      </c>
      <c r="M392" s="8" t="n">
        <v>74750.16</v>
      </c>
      <c r="N392" s="7" t="inlineStr"/>
      <c r="O392" s="7" t="inlineStr"/>
      <c r="P392" s="7" t="inlineStr"/>
      <c r="Q392" s="7" t="inlineStr"/>
      <c r="R392" s="7" t="inlineStr"/>
    </row>
    <row r="393">
      <c r="A393" s="7" t="inlineStr">
        <is>
          <t>1</t>
        </is>
      </c>
      <c r="B393" s="7" t="inlineStr">
        <is>
          <t>G00133</t>
        </is>
      </c>
      <c r="C393" s="7" t="inlineStr">
        <is>
          <t>20260402</t>
        </is>
      </c>
      <c r="D393" s="7" t="inlineStr">
        <is>
          <t>N°2026000133</t>
        </is>
      </c>
      <c r="E393" s="7" t="inlineStr">
        <is>
          <t>SARL PETRO BARAKA</t>
        </is>
      </c>
      <c r="F393" s="7" t="inlineStr">
        <is>
          <t>06002</t>
        </is>
      </c>
      <c r="G393" s="7" t="inlineStr">
        <is>
          <t>41100</t>
        </is>
      </c>
      <c r="H393" s="7" t="inlineStr">
        <is>
          <t>C1075</t>
        </is>
      </c>
      <c r="I393" s="7" t="inlineStr"/>
      <c r="J393" s="7" t="inlineStr"/>
      <c r="K393" s="7" t="inlineStr"/>
      <c r="L393" s="8" t="n">
        <v>67830</v>
      </c>
      <c r="M393" s="8" t="n">
        <v>0</v>
      </c>
      <c r="N393" s="7" t="inlineStr"/>
      <c r="O393" s="7" t="inlineStr"/>
      <c r="P393" s="7" t="inlineStr"/>
      <c r="Q393" s="7" t="inlineStr"/>
      <c r="R393" s="7" t="inlineStr"/>
    </row>
    <row r="394">
      <c r="A394" s="7" t="inlineStr">
        <is>
          <t>1</t>
        </is>
      </c>
      <c r="B394" s="7" t="inlineStr">
        <is>
          <t>G00133</t>
        </is>
      </c>
      <c r="C394" s="7" t="inlineStr">
        <is>
          <t>20260402</t>
        </is>
      </c>
      <c r="D394" s="7" t="inlineStr">
        <is>
          <t>N°2026000133</t>
        </is>
      </c>
      <c r="E394" s="7" t="inlineStr">
        <is>
          <t>SARL PETRO BARAKA</t>
        </is>
      </c>
      <c r="F394" s="7" t="inlineStr">
        <is>
          <t>06002</t>
        </is>
      </c>
      <c r="G394" s="7" t="inlineStr">
        <is>
          <t>70001</t>
        </is>
      </c>
      <c r="H394" s="7" t="inlineStr"/>
      <c r="I394" s="7" t="inlineStr"/>
      <c r="J394" s="7" t="inlineStr"/>
      <c r="K394" s="7" t="inlineStr"/>
      <c r="L394" s="8" t="n">
        <v>0</v>
      </c>
      <c r="M394" s="8" t="n">
        <v>57000</v>
      </c>
      <c r="N394" s="7" t="inlineStr"/>
      <c r="O394" s="7" t="inlineStr"/>
      <c r="P394" s="7" t="inlineStr"/>
      <c r="Q394" s="7" t="inlineStr"/>
      <c r="R394" s="7" t="inlineStr"/>
    </row>
    <row r="395">
      <c r="A395" s="7" t="inlineStr">
        <is>
          <t>1</t>
        </is>
      </c>
      <c r="B395" s="7" t="inlineStr">
        <is>
          <t>G00133</t>
        </is>
      </c>
      <c r="C395" s="7" t="inlineStr">
        <is>
          <t>20260402</t>
        </is>
      </c>
      <c r="D395" s="7" t="inlineStr">
        <is>
          <t>N°2026000133</t>
        </is>
      </c>
      <c r="E395" s="7" t="inlineStr">
        <is>
          <t>SARL PETRO BARAKA</t>
        </is>
      </c>
      <c r="F395" s="7" t="inlineStr">
        <is>
          <t>06002</t>
        </is>
      </c>
      <c r="G395" s="7" t="inlineStr">
        <is>
          <t>44517</t>
        </is>
      </c>
      <c r="H395" s="7" t="inlineStr"/>
      <c r="I395" s="7" t="inlineStr"/>
      <c r="J395" s="7" t="inlineStr"/>
      <c r="K395" s="7" t="inlineStr"/>
      <c r="L395" s="8" t="n">
        <v>0</v>
      </c>
      <c r="M395" s="8" t="n">
        <v>10830</v>
      </c>
      <c r="N395" s="7" t="inlineStr"/>
      <c r="O395" s="7" t="inlineStr"/>
      <c r="P395" s="7" t="inlineStr"/>
      <c r="Q395" s="7" t="inlineStr"/>
      <c r="R395" s="7" t="inlineStr"/>
    </row>
    <row r="396">
      <c r="A396" s="7" t="inlineStr">
        <is>
          <t>1</t>
        </is>
      </c>
      <c r="B396" s="7" t="inlineStr">
        <is>
          <t>G00134</t>
        </is>
      </c>
      <c r="C396" s="7" t="inlineStr">
        <is>
          <t>20260402</t>
        </is>
      </c>
      <c r="D396" s="7" t="inlineStr">
        <is>
          <t>N°2026000134</t>
        </is>
      </c>
      <c r="E396" s="7" t="inlineStr">
        <is>
          <t>DJENNADI REYAD</t>
        </is>
      </c>
      <c r="F396" s="7" t="inlineStr">
        <is>
          <t>06002</t>
        </is>
      </c>
      <c r="G396" s="7" t="inlineStr">
        <is>
          <t>41100</t>
        </is>
      </c>
      <c r="H396" s="7" t="inlineStr">
        <is>
          <t>C164</t>
        </is>
      </c>
      <c r="I396" s="7" t="inlineStr"/>
      <c r="J396" s="7" t="inlineStr"/>
      <c r="K396" s="7" t="inlineStr"/>
      <c r="L396" s="8" t="n">
        <v>150000.01</v>
      </c>
      <c r="M396" s="8" t="n">
        <v>0</v>
      </c>
      <c r="N396" s="7" t="inlineStr"/>
      <c r="O396" s="7" t="inlineStr"/>
      <c r="P396" s="7" t="inlineStr"/>
      <c r="Q396" s="7" t="inlineStr"/>
      <c r="R396" s="7" t="inlineStr"/>
    </row>
    <row r="397">
      <c r="A397" s="7" t="inlineStr">
        <is>
          <t>1</t>
        </is>
      </c>
      <c r="B397" s="7" t="inlineStr">
        <is>
          <t>G00134</t>
        </is>
      </c>
      <c r="C397" s="7" t="inlineStr">
        <is>
          <t>20260402</t>
        </is>
      </c>
      <c r="D397" s="7" t="inlineStr">
        <is>
          <t>N°2026000134</t>
        </is>
      </c>
      <c r="E397" s="7" t="inlineStr">
        <is>
          <t>DJENNADI REYAD</t>
        </is>
      </c>
      <c r="F397" s="7" t="inlineStr">
        <is>
          <t>06002</t>
        </is>
      </c>
      <c r="G397" s="7" t="inlineStr">
        <is>
          <t>70001</t>
        </is>
      </c>
      <c r="H397" s="7" t="inlineStr"/>
      <c r="I397" s="7" t="inlineStr"/>
      <c r="J397" s="7" t="inlineStr"/>
      <c r="K397" s="7" t="inlineStr"/>
      <c r="L397" s="8" t="n">
        <v>0</v>
      </c>
      <c r="M397" s="8" t="n">
        <v>126050.43</v>
      </c>
      <c r="N397" s="7" t="inlineStr"/>
      <c r="O397" s="7" t="inlineStr"/>
      <c r="P397" s="7" t="inlineStr"/>
      <c r="Q397" s="7" t="inlineStr"/>
      <c r="R397" s="7" t="inlineStr"/>
    </row>
    <row r="398">
      <c r="A398" s="7" t="inlineStr">
        <is>
          <t>1</t>
        </is>
      </c>
      <c r="B398" s="7" t="inlineStr">
        <is>
          <t>G00134</t>
        </is>
      </c>
      <c r="C398" s="7" t="inlineStr">
        <is>
          <t>20260402</t>
        </is>
      </c>
      <c r="D398" s="7" t="inlineStr">
        <is>
          <t>N°2026000134</t>
        </is>
      </c>
      <c r="E398" s="7" t="inlineStr">
        <is>
          <t>DJENNADI REYAD</t>
        </is>
      </c>
      <c r="F398" s="7" t="inlineStr">
        <is>
          <t>06002</t>
        </is>
      </c>
      <c r="G398" s="7" t="inlineStr">
        <is>
          <t>44517</t>
        </is>
      </c>
      <c r="H398" s="7" t="inlineStr"/>
      <c r="I398" s="7" t="inlineStr"/>
      <c r="J398" s="7" t="inlineStr"/>
      <c r="K398" s="7" t="inlineStr"/>
      <c r="L398" s="8" t="n">
        <v>0</v>
      </c>
      <c r="M398" s="8" t="n">
        <v>23949.58</v>
      </c>
      <c r="N398" s="7" t="inlineStr"/>
      <c r="O398" s="7" t="inlineStr"/>
      <c r="P398" s="7" t="inlineStr"/>
      <c r="Q398" s="7" t="inlineStr"/>
      <c r="R398" s="7" t="inlineStr"/>
    </row>
    <row r="399">
      <c r="A399" s="7" t="inlineStr">
        <is>
          <t>1</t>
        </is>
      </c>
      <c r="B399" s="7" t="inlineStr">
        <is>
          <t>G00135</t>
        </is>
      </c>
      <c r="C399" s="7" t="inlineStr">
        <is>
          <t>20260403</t>
        </is>
      </c>
      <c r="D399" s="7" t="inlineStr">
        <is>
          <t>N°2026000135</t>
        </is>
      </c>
      <c r="E399" s="7" t="inlineStr">
        <is>
          <t>BOUAICHI HANAFI</t>
        </is>
      </c>
      <c r="F399" s="7" t="inlineStr">
        <is>
          <t>06002</t>
        </is>
      </c>
      <c r="G399" s="7" t="inlineStr">
        <is>
          <t>41100</t>
        </is>
      </c>
      <c r="H399" s="7" t="inlineStr">
        <is>
          <t>C1028</t>
        </is>
      </c>
      <c r="I399" s="7" t="inlineStr"/>
      <c r="J399" s="7" t="inlineStr"/>
      <c r="K399" s="7" t="inlineStr"/>
      <c r="L399" s="8" t="n">
        <v>150000.04</v>
      </c>
      <c r="M399" s="8" t="n">
        <v>0</v>
      </c>
      <c r="N399" s="7" t="inlineStr"/>
      <c r="O399" s="7" t="inlineStr"/>
      <c r="P399" s="7" t="inlineStr"/>
      <c r="Q399" s="7" t="inlineStr"/>
      <c r="R399" s="7" t="inlineStr"/>
    </row>
    <row r="400">
      <c r="A400" s="7" t="inlineStr">
        <is>
          <t>1</t>
        </is>
      </c>
      <c r="B400" s="7" t="inlineStr">
        <is>
          <t>G00135</t>
        </is>
      </c>
      <c r="C400" s="7" t="inlineStr">
        <is>
          <t>20260403</t>
        </is>
      </c>
      <c r="D400" s="7" t="inlineStr">
        <is>
          <t>N°2026000135</t>
        </is>
      </c>
      <c r="E400" s="7" t="inlineStr">
        <is>
          <t>BOUAICHI HANAFI</t>
        </is>
      </c>
      <c r="F400" s="7" t="inlineStr">
        <is>
          <t>06002</t>
        </is>
      </c>
      <c r="G400" s="7" t="inlineStr">
        <is>
          <t>70001</t>
        </is>
      </c>
      <c r="H400" s="7" t="inlineStr"/>
      <c r="I400" s="7" t="inlineStr"/>
      <c r="J400" s="7" t="inlineStr"/>
      <c r="K400" s="7" t="inlineStr"/>
      <c r="L400" s="8" t="n">
        <v>0</v>
      </c>
      <c r="M400" s="8" t="n">
        <v>126050.45</v>
      </c>
      <c r="N400" s="7" t="inlineStr"/>
      <c r="O400" s="7" t="inlineStr"/>
      <c r="P400" s="7" t="inlineStr"/>
      <c r="Q400" s="7" t="inlineStr"/>
      <c r="R400" s="7" t="inlineStr"/>
    </row>
    <row r="401">
      <c r="A401" s="7" t="inlineStr">
        <is>
          <t>1</t>
        </is>
      </c>
      <c r="B401" s="7" t="inlineStr">
        <is>
          <t>G00135</t>
        </is>
      </c>
      <c r="C401" s="7" t="inlineStr">
        <is>
          <t>20260403</t>
        </is>
      </c>
      <c r="D401" s="7" t="inlineStr">
        <is>
          <t>N°2026000135</t>
        </is>
      </c>
      <c r="E401" s="7" t="inlineStr">
        <is>
          <t>BOUAICHI HANAFI</t>
        </is>
      </c>
      <c r="F401" s="7" t="inlineStr">
        <is>
          <t>06002</t>
        </is>
      </c>
      <c r="G401" s="7" t="inlineStr">
        <is>
          <t>44517</t>
        </is>
      </c>
      <c r="H401" s="7" t="inlineStr"/>
      <c r="I401" s="7" t="inlineStr"/>
      <c r="J401" s="7" t="inlineStr"/>
      <c r="K401" s="7" t="inlineStr"/>
      <c r="L401" s="8" t="n">
        <v>0</v>
      </c>
      <c r="M401" s="8" t="n">
        <v>23949.59</v>
      </c>
      <c r="N401" s="7" t="inlineStr"/>
      <c r="O401" s="7" t="inlineStr"/>
      <c r="P401" s="7" t="inlineStr"/>
      <c r="Q401" s="7" t="inlineStr"/>
      <c r="R401" s="7" t="inlineStr"/>
    </row>
    <row r="402">
      <c r="A402" s="7" t="inlineStr">
        <is>
          <t>1</t>
        </is>
      </c>
      <c r="B402" s="7" t="inlineStr">
        <is>
          <t>G00136</t>
        </is>
      </c>
      <c r="C402" s="7" t="inlineStr">
        <is>
          <t>20260403</t>
        </is>
      </c>
      <c r="D402" s="7" t="inlineStr">
        <is>
          <t>N°2026000136</t>
        </is>
      </c>
      <c r="E402" s="7" t="inlineStr">
        <is>
          <t>MEZGHICH YOUCEF</t>
        </is>
      </c>
      <c r="F402" s="7" t="inlineStr">
        <is>
          <t>06002</t>
        </is>
      </c>
      <c r="G402" s="7" t="inlineStr">
        <is>
          <t>41100</t>
        </is>
      </c>
      <c r="H402" s="7" t="inlineStr">
        <is>
          <t>C023</t>
        </is>
      </c>
      <c r="I402" s="7" t="inlineStr"/>
      <c r="J402" s="7" t="inlineStr"/>
      <c r="K402" s="7" t="inlineStr"/>
      <c r="L402" s="8" t="n">
        <v>141000.01</v>
      </c>
      <c r="M402" s="8" t="n">
        <v>0</v>
      </c>
      <c r="N402" s="7" t="inlineStr"/>
      <c r="O402" s="7" t="inlineStr"/>
      <c r="P402" s="7" t="inlineStr"/>
      <c r="Q402" s="7" t="inlineStr"/>
      <c r="R402" s="7" t="inlineStr"/>
    </row>
    <row r="403">
      <c r="A403" s="7" t="inlineStr">
        <is>
          <t>1</t>
        </is>
      </c>
      <c r="B403" s="7" t="inlineStr">
        <is>
          <t>G00136</t>
        </is>
      </c>
      <c r="C403" s="7" t="inlineStr">
        <is>
          <t>20260403</t>
        </is>
      </c>
      <c r="D403" s="7" t="inlineStr">
        <is>
          <t>N°2026000136</t>
        </is>
      </c>
      <c r="E403" s="7" t="inlineStr">
        <is>
          <t>MEZGHICH YOUCEF</t>
        </is>
      </c>
      <c r="F403" s="7" t="inlineStr">
        <is>
          <t>06002</t>
        </is>
      </c>
      <c r="G403" s="7" t="inlineStr">
        <is>
          <t>70001</t>
        </is>
      </c>
      <c r="H403" s="7" t="inlineStr"/>
      <c r="I403" s="7" t="inlineStr"/>
      <c r="J403" s="7" t="inlineStr"/>
      <c r="K403" s="7" t="inlineStr"/>
      <c r="L403" s="8" t="n">
        <v>0</v>
      </c>
      <c r="M403" s="8" t="n">
        <v>118487.4</v>
      </c>
      <c r="N403" s="7" t="inlineStr"/>
      <c r="O403" s="7" t="inlineStr"/>
      <c r="P403" s="7" t="inlineStr"/>
      <c r="Q403" s="7" t="inlineStr"/>
      <c r="R403" s="7" t="inlineStr"/>
    </row>
    <row r="404">
      <c r="A404" s="7" t="inlineStr">
        <is>
          <t>1</t>
        </is>
      </c>
      <c r="B404" s="7" t="inlineStr">
        <is>
          <t>G00136</t>
        </is>
      </c>
      <c r="C404" s="7" t="inlineStr">
        <is>
          <t>20260403</t>
        </is>
      </c>
      <c r="D404" s="7" t="inlineStr">
        <is>
          <t>N°2026000136</t>
        </is>
      </c>
      <c r="E404" s="7" t="inlineStr">
        <is>
          <t>MEZGHICH YOUCEF</t>
        </is>
      </c>
      <c r="F404" s="7" t="inlineStr">
        <is>
          <t>06002</t>
        </is>
      </c>
      <c r="G404" s="7" t="inlineStr">
        <is>
          <t>44517</t>
        </is>
      </c>
      <c r="H404" s="7" t="inlineStr"/>
      <c r="I404" s="7" t="inlineStr"/>
      <c r="J404" s="7" t="inlineStr"/>
      <c r="K404" s="7" t="inlineStr"/>
      <c r="L404" s="8" t="n">
        <v>0</v>
      </c>
      <c r="M404" s="8" t="n">
        <v>22512.61</v>
      </c>
      <c r="N404" s="7" t="inlineStr"/>
      <c r="O404" s="7" t="inlineStr"/>
      <c r="P404" s="7" t="inlineStr"/>
      <c r="Q404" s="7" t="inlineStr"/>
      <c r="R404" s="7" t="inlineStr"/>
    </row>
    <row r="405">
      <c r="A405" s="7" t="inlineStr">
        <is>
          <t>1</t>
        </is>
      </c>
      <c r="B405" s="7" t="inlineStr">
        <is>
          <t>G00137</t>
        </is>
      </c>
      <c r="C405" s="7" t="inlineStr">
        <is>
          <t>20260404</t>
        </is>
      </c>
      <c r="D405" s="7" t="inlineStr">
        <is>
          <t>N°2026000137</t>
        </is>
      </c>
      <c r="E405" s="7" t="inlineStr">
        <is>
          <t>SARL GEURROUF AUTO</t>
        </is>
      </c>
      <c r="F405" s="7" t="inlineStr">
        <is>
          <t>06002</t>
        </is>
      </c>
      <c r="G405" s="7" t="inlineStr">
        <is>
          <t>41100</t>
        </is>
      </c>
      <c r="H405" s="7" t="inlineStr">
        <is>
          <t>C1092</t>
        </is>
      </c>
      <c r="I405" s="7" t="inlineStr"/>
      <c r="J405" s="7" t="inlineStr"/>
      <c r="K405" s="7" t="inlineStr"/>
      <c r="L405" s="8" t="n">
        <v>347480</v>
      </c>
      <c r="M405" s="8" t="n">
        <v>0</v>
      </c>
      <c r="N405" s="7" t="inlineStr"/>
      <c r="O405" s="7" t="inlineStr"/>
      <c r="P405" s="7" t="inlineStr"/>
      <c r="Q405" s="7" t="inlineStr"/>
      <c r="R405" s="7" t="inlineStr"/>
    </row>
    <row r="406">
      <c r="A406" s="7" t="inlineStr">
        <is>
          <t>1</t>
        </is>
      </c>
      <c r="B406" s="7" t="inlineStr">
        <is>
          <t>G00137</t>
        </is>
      </c>
      <c r="C406" s="7" t="inlineStr">
        <is>
          <t>20260404</t>
        </is>
      </c>
      <c r="D406" s="7" t="inlineStr">
        <is>
          <t>N°2026000137</t>
        </is>
      </c>
      <c r="E406" s="7" t="inlineStr">
        <is>
          <t>SARL GEURROUF AUTO</t>
        </is>
      </c>
      <c r="F406" s="7" t="inlineStr">
        <is>
          <t>06002</t>
        </is>
      </c>
      <c r="G406" s="7" t="inlineStr">
        <is>
          <t>70001</t>
        </is>
      </c>
      <c r="H406" s="7" t="inlineStr"/>
      <c r="I406" s="7" t="inlineStr"/>
      <c r="J406" s="7" t="inlineStr"/>
      <c r="K406" s="7" t="inlineStr"/>
      <c r="L406" s="8" t="n">
        <v>0</v>
      </c>
      <c r="M406" s="8" t="n">
        <v>292000</v>
      </c>
      <c r="N406" s="7" t="inlineStr"/>
      <c r="O406" s="7" t="inlineStr"/>
      <c r="P406" s="7" t="inlineStr"/>
      <c r="Q406" s="7" t="inlineStr"/>
      <c r="R406" s="7" t="inlineStr"/>
    </row>
    <row r="407">
      <c r="A407" s="7" t="inlineStr">
        <is>
          <t>1</t>
        </is>
      </c>
      <c r="B407" s="7" t="inlineStr">
        <is>
          <t>G00137</t>
        </is>
      </c>
      <c r="C407" s="7" t="inlineStr">
        <is>
          <t>20260404</t>
        </is>
      </c>
      <c r="D407" s="7" t="inlineStr">
        <is>
          <t>N°2026000137</t>
        </is>
      </c>
      <c r="E407" s="7" t="inlineStr">
        <is>
          <t>SARL GEURROUF AUTO</t>
        </is>
      </c>
      <c r="F407" s="7" t="inlineStr">
        <is>
          <t>06002</t>
        </is>
      </c>
      <c r="G407" s="7" t="inlineStr">
        <is>
          <t>44517</t>
        </is>
      </c>
      <c r="H407" s="7" t="inlineStr"/>
      <c r="I407" s="7" t="inlineStr"/>
      <c r="J407" s="7" t="inlineStr"/>
      <c r="K407" s="7" t="inlineStr"/>
      <c r="L407" s="8" t="n">
        <v>0</v>
      </c>
      <c r="M407" s="8" t="n">
        <v>55480</v>
      </c>
      <c r="N407" s="7" t="inlineStr"/>
      <c r="O407" s="7" t="inlineStr"/>
      <c r="P407" s="7" t="inlineStr"/>
      <c r="Q407" s="7" t="inlineStr"/>
      <c r="R407" s="7" t="inlineStr"/>
    </row>
    <row r="408">
      <c r="A408" s="7" t="inlineStr">
        <is>
          <t>1</t>
        </is>
      </c>
      <c r="B408" s="7" t="inlineStr">
        <is>
          <t>G00138</t>
        </is>
      </c>
      <c r="C408" s="7" t="inlineStr">
        <is>
          <t>20260404</t>
        </is>
      </c>
      <c r="D408" s="7" t="inlineStr">
        <is>
          <t>N°2026000138</t>
        </is>
      </c>
      <c r="E408" s="7" t="inlineStr">
        <is>
          <t>DJENNADI REYAD</t>
        </is>
      </c>
      <c r="F408" s="7" t="inlineStr">
        <is>
          <t>06002</t>
        </is>
      </c>
      <c r="G408" s="7" t="inlineStr">
        <is>
          <t>41100</t>
        </is>
      </c>
      <c r="H408" s="7" t="inlineStr">
        <is>
          <t>C164</t>
        </is>
      </c>
      <c r="I408" s="7" t="inlineStr"/>
      <c r="J408" s="7" t="inlineStr"/>
      <c r="K408" s="7" t="inlineStr"/>
      <c r="L408" s="8" t="n">
        <v>147058.02</v>
      </c>
      <c r="M408" s="8" t="n">
        <v>0</v>
      </c>
      <c r="N408" s="7" t="inlineStr"/>
      <c r="O408" s="7" t="inlineStr"/>
      <c r="P408" s="7" t="inlineStr"/>
      <c r="Q408" s="7" t="inlineStr"/>
      <c r="R408" s="7" t="inlineStr"/>
    </row>
    <row r="409">
      <c r="A409" s="7" t="inlineStr">
        <is>
          <t>1</t>
        </is>
      </c>
      <c r="B409" s="7" t="inlineStr">
        <is>
          <t>G00138</t>
        </is>
      </c>
      <c r="C409" s="7" t="inlineStr">
        <is>
          <t>20260404</t>
        </is>
      </c>
      <c r="D409" s="7" t="inlineStr">
        <is>
          <t>N°2026000138</t>
        </is>
      </c>
      <c r="E409" s="7" t="inlineStr">
        <is>
          <t>DJENNADI REYAD</t>
        </is>
      </c>
      <c r="F409" s="7" t="inlineStr">
        <is>
          <t>06002</t>
        </is>
      </c>
      <c r="G409" s="7" t="inlineStr">
        <is>
          <t>70001</t>
        </is>
      </c>
      <c r="H409" s="7" t="inlineStr"/>
      <c r="I409" s="7" t="inlineStr"/>
      <c r="J409" s="7" t="inlineStr"/>
      <c r="K409" s="7" t="inlineStr"/>
      <c r="L409" s="8" t="n">
        <v>0</v>
      </c>
      <c r="M409" s="8" t="n">
        <v>123578.17</v>
      </c>
      <c r="N409" s="7" t="inlineStr"/>
      <c r="O409" s="7" t="inlineStr"/>
      <c r="P409" s="7" t="inlineStr"/>
      <c r="Q409" s="7" t="inlineStr"/>
      <c r="R409" s="7" t="inlineStr"/>
    </row>
    <row r="410">
      <c r="A410" s="7" t="inlineStr">
        <is>
          <t>1</t>
        </is>
      </c>
      <c r="B410" s="7" t="inlineStr">
        <is>
          <t>G00138</t>
        </is>
      </c>
      <c r="C410" s="7" t="inlineStr">
        <is>
          <t>20260404</t>
        </is>
      </c>
      <c r="D410" s="7" t="inlineStr">
        <is>
          <t>N°2026000138</t>
        </is>
      </c>
      <c r="E410" s="7" t="inlineStr">
        <is>
          <t>DJENNADI REYAD</t>
        </is>
      </c>
      <c r="F410" s="7" t="inlineStr">
        <is>
          <t>06002</t>
        </is>
      </c>
      <c r="G410" s="7" t="inlineStr">
        <is>
          <t>44517</t>
        </is>
      </c>
      <c r="H410" s="7" t="inlineStr"/>
      <c r="I410" s="7" t="inlineStr"/>
      <c r="J410" s="7" t="inlineStr"/>
      <c r="K410" s="7" t="inlineStr"/>
      <c r="L410" s="8" t="n">
        <v>0</v>
      </c>
      <c r="M410" s="8" t="n">
        <v>23479.85</v>
      </c>
      <c r="N410" s="7" t="inlineStr"/>
      <c r="O410" s="7" t="inlineStr"/>
      <c r="P410" s="7" t="inlineStr"/>
      <c r="Q410" s="7" t="inlineStr"/>
      <c r="R410" s="7" t="inlineStr"/>
    </row>
    <row r="411">
      <c r="A411" s="7" t="inlineStr">
        <is>
          <t>1</t>
        </is>
      </c>
      <c r="B411" s="7" t="inlineStr">
        <is>
          <t>G00139</t>
        </is>
      </c>
      <c r="C411" s="7" t="inlineStr">
        <is>
          <t>20260405</t>
        </is>
      </c>
      <c r="D411" s="7" t="inlineStr">
        <is>
          <t>N°2026000139</t>
        </is>
      </c>
      <c r="E411" s="7" t="inlineStr">
        <is>
          <t>TICHAT HALIM</t>
        </is>
      </c>
      <c r="F411" s="7" t="inlineStr">
        <is>
          <t>06002</t>
        </is>
      </c>
      <c r="G411" s="7" t="inlineStr">
        <is>
          <t>41100</t>
        </is>
      </c>
      <c r="H411" s="7" t="inlineStr">
        <is>
          <t>C441</t>
        </is>
      </c>
      <c r="I411" s="7" t="inlineStr"/>
      <c r="J411" s="7" t="inlineStr"/>
      <c r="K411" s="7" t="inlineStr"/>
      <c r="L411" s="8" t="n">
        <v>1150000.1</v>
      </c>
      <c r="M411" s="8" t="n">
        <v>0</v>
      </c>
      <c r="N411" s="7" t="inlineStr"/>
      <c r="O411" s="7" t="inlineStr"/>
      <c r="P411" s="7" t="inlineStr"/>
      <c r="Q411" s="7" t="inlineStr"/>
      <c r="R411" s="7" t="inlineStr"/>
    </row>
    <row r="412">
      <c r="A412" s="7" t="inlineStr">
        <is>
          <t>1</t>
        </is>
      </c>
      <c r="B412" s="7" t="inlineStr">
        <is>
          <t>G00139</t>
        </is>
      </c>
      <c r="C412" s="7" t="inlineStr">
        <is>
          <t>20260405</t>
        </is>
      </c>
      <c r="D412" s="7" t="inlineStr">
        <is>
          <t>N°2026000139</t>
        </is>
      </c>
      <c r="E412" s="7" t="inlineStr">
        <is>
          <t>TICHAT HALIM</t>
        </is>
      </c>
      <c r="F412" s="7" t="inlineStr">
        <is>
          <t>06002</t>
        </is>
      </c>
      <c r="G412" s="7" t="inlineStr">
        <is>
          <t>70001</t>
        </is>
      </c>
      <c r="H412" s="7" t="inlineStr"/>
      <c r="I412" s="7" t="inlineStr"/>
      <c r="J412" s="7" t="inlineStr"/>
      <c r="K412" s="7" t="inlineStr"/>
      <c r="L412" s="8" t="n">
        <v>0</v>
      </c>
      <c r="M412" s="8" t="n">
        <v>966386.64</v>
      </c>
      <c r="N412" s="7" t="inlineStr"/>
      <c r="O412" s="7" t="inlineStr"/>
      <c r="P412" s="7" t="inlineStr"/>
      <c r="Q412" s="7" t="inlineStr"/>
      <c r="R412" s="7" t="inlineStr"/>
    </row>
    <row r="413">
      <c r="A413" s="7" t="inlineStr">
        <is>
          <t>1</t>
        </is>
      </c>
      <c r="B413" s="7" t="inlineStr">
        <is>
          <t>G00139</t>
        </is>
      </c>
      <c r="C413" s="7" t="inlineStr">
        <is>
          <t>20260405</t>
        </is>
      </c>
      <c r="D413" s="7" t="inlineStr">
        <is>
          <t>N°2026000139</t>
        </is>
      </c>
      <c r="E413" s="7" t="inlineStr">
        <is>
          <t>TICHAT HALIM</t>
        </is>
      </c>
      <c r="F413" s="7" t="inlineStr">
        <is>
          <t>06002</t>
        </is>
      </c>
      <c r="G413" s="7" t="inlineStr">
        <is>
          <t>44517</t>
        </is>
      </c>
      <c r="H413" s="7" t="inlineStr"/>
      <c r="I413" s="7" t="inlineStr"/>
      <c r="J413" s="7" t="inlineStr"/>
      <c r="K413" s="7" t="inlineStr"/>
      <c r="L413" s="8" t="n">
        <v>0</v>
      </c>
      <c r="M413" s="8" t="n">
        <v>183613.46</v>
      </c>
      <c r="N413" s="7" t="inlineStr"/>
      <c r="O413" s="7" t="inlineStr"/>
      <c r="P413" s="7" t="inlineStr"/>
      <c r="Q413" s="7" t="inlineStr"/>
      <c r="R413" s="7" t="inlineStr"/>
    </row>
    <row r="414">
      <c r="A414" s="7" t="inlineStr">
        <is>
          <t>1</t>
        </is>
      </c>
      <c r="B414" s="7" t="inlineStr">
        <is>
          <t>G00140</t>
        </is>
      </c>
      <c r="C414" s="7" t="inlineStr">
        <is>
          <t>20260405</t>
        </is>
      </c>
      <c r="D414" s="7" t="inlineStr">
        <is>
          <t>N°2026000140</t>
        </is>
      </c>
      <c r="E414" s="7" t="inlineStr">
        <is>
          <t>FAROUKHI KAMAL</t>
        </is>
      </c>
      <c r="F414" s="7" t="inlineStr">
        <is>
          <t>06002</t>
        </is>
      </c>
      <c r="G414" s="7" t="inlineStr">
        <is>
          <t>41100</t>
        </is>
      </c>
      <c r="H414" s="7" t="inlineStr">
        <is>
          <t>C1093</t>
        </is>
      </c>
      <c r="I414" s="7" t="inlineStr"/>
      <c r="J414" s="7" t="inlineStr"/>
      <c r="K414" s="7" t="inlineStr"/>
      <c r="L414" s="8" t="n">
        <v>1050000.08</v>
      </c>
      <c r="M414" s="8" t="n">
        <v>0</v>
      </c>
      <c r="N414" s="7" t="inlineStr"/>
      <c r="O414" s="7" t="inlineStr"/>
      <c r="P414" s="7" t="inlineStr"/>
      <c r="Q414" s="7" t="inlineStr"/>
      <c r="R414" s="7" t="inlineStr"/>
    </row>
    <row r="415">
      <c r="A415" s="7" t="inlineStr">
        <is>
          <t>1</t>
        </is>
      </c>
      <c r="B415" s="7" t="inlineStr">
        <is>
          <t>G00140</t>
        </is>
      </c>
      <c r="C415" s="7" t="inlineStr">
        <is>
          <t>20260405</t>
        </is>
      </c>
      <c r="D415" s="7" t="inlineStr">
        <is>
          <t>N°2026000140</t>
        </is>
      </c>
      <c r="E415" s="7" t="inlineStr">
        <is>
          <t>FAROUKHI KAMAL</t>
        </is>
      </c>
      <c r="F415" s="7" t="inlineStr">
        <is>
          <t>06002</t>
        </is>
      </c>
      <c r="G415" s="7" t="inlineStr">
        <is>
          <t>70001</t>
        </is>
      </c>
      <c r="H415" s="7" t="inlineStr"/>
      <c r="I415" s="7" t="inlineStr"/>
      <c r="J415" s="7" t="inlineStr"/>
      <c r="K415" s="7" t="inlineStr"/>
      <c r="L415" s="8" t="n">
        <v>0</v>
      </c>
      <c r="M415" s="8" t="n">
        <v>882353.01</v>
      </c>
      <c r="N415" s="7" t="inlineStr"/>
      <c r="O415" s="7" t="inlineStr"/>
      <c r="P415" s="7" t="inlineStr"/>
      <c r="Q415" s="7" t="inlineStr"/>
      <c r="R415" s="7" t="inlineStr"/>
    </row>
    <row r="416">
      <c r="A416" s="7" t="inlineStr">
        <is>
          <t>1</t>
        </is>
      </c>
      <c r="B416" s="7" t="inlineStr">
        <is>
          <t>G00140</t>
        </is>
      </c>
      <c r="C416" s="7" t="inlineStr">
        <is>
          <t>20260405</t>
        </is>
      </c>
      <c r="D416" s="7" t="inlineStr">
        <is>
          <t>N°2026000140</t>
        </is>
      </c>
      <c r="E416" s="7" t="inlineStr">
        <is>
          <t>FAROUKHI KAMAL</t>
        </is>
      </c>
      <c r="F416" s="7" t="inlineStr">
        <is>
          <t>06002</t>
        </is>
      </c>
      <c r="G416" s="7" t="inlineStr">
        <is>
          <t>44517</t>
        </is>
      </c>
      <c r="H416" s="7" t="inlineStr"/>
      <c r="I416" s="7" t="inlineStr"/>
      <c r="J416" s="7" t="inlineStr"/>
      <c r="K416" s="7" t="inlineStr"/>
      <c r="L416" s="8" t="n">
        <v>0</v>
      </c>
      <c r="M416" s="8" t="n">
        <v>167647.07</v>
      </c>
      <c r="N416" s="7" t="inlineStr"/>
      <c r="O416" s="7" t="inlineStr"/>
      <c r="P416" s="7" t="inlineStr"/>
      <c r="Q416" s="7" t="inlineStr"/>
      <c r="R416" s="7" t="inlineStr"/>
    </row>
    <row r="417">
      <c r="A417" s="7" t="inlineStr">
        <is>
          <t>1</t>
        </is>
      </c>
      <c r="B417" s="7" t="inlineStr">
        <is>
          <t>G00142</t>
        </is>
      </c>
      <c r="C417" s="7" t="inlineStr">
        <is>
          <t>20260406</t>
        </is>
      </c>
      <c r="D417" s="7" t="inlineStr">
        <is>
          <t>N°2026000142</t>
        </is>
      </c>
      <c r="E417" s="7" t="inlineStr">
        <is>
          <t>DERDOURI FAROUK AFAK AUTO PART</t>
        </is>
      </c>
      <c r="F417" s="7" t="inlineStr">
        <is>
          <t>06002</t>
        </is>
      </c>
      <c r="G417" s="7" t="inlineStr">
        <is>
          <t>41100</t>
        </is>
      </c>
      <c r="H417" s="7" t="inlineStr">
        <is>
          <t>C831</t>
        </is>
      </c>
      <c r="I417" s="7" t="inlineStr"/>
      <c r="J417" s="7" t="inlineStr"/>
      <c r="K417" s="7" t="inlineStr"/>
      <c r="L417" s="8" t="n">
        <v>944400.09</v>
      </c>
      <c r="M417" s="8" t="n">
        <v>0</v>
      </c>
      <c r="N417" s="7" t="inlineStr"/>
      <c r="O417" s="7" t="inlineStr"/>
      <c r="P417" s="7" t="inlineStr"/>
      <c r="Q417" s="7" t="inlineStr"/>
      <c r="R417" s="7" t="inlineStr"/>
    </row>
    <row r="418">
      <c r="A418" s="7" t="inlineStr">
        <is>
          <t>1</t>
        </is>
      </c>
      <c r="B418" s="7" t="inlineStr">
        <is>
          <t>G00142</t>
        </is>
      </c>
      <c r="C418" s="7" t="inlineStr">
        <is>
          <t>20260406</t>
        </is>
      </c>
      <c r="D418" s="7" t="inlineStr">
        <is>
          <t>N°2026000142</t>
        </is>
      </c>
      <c r="E418" s="7" t="inlineStr">
        <is>
          <t>DERDOURI FAROUK AFAK AUTO PART</t>
        </is>
      </c>
      <c r="F418" s="7" t="inlineStr">
        <is>
          <t>06002</t>
        </is>
      </c>
      <c r="G418" s="7" t="inlineStr">
        <is>
          <t>70001</t>
        </is>
      </c>
      <c r="H418" s="7" t="inlineStr"/>
      <c r="I418" s="7" t="inlineStr"/>
      <c r="J418" s="7" t="inlineStr"/>
      <c r="K418" s="7" t="inlineStr"/>
      <c r="L418" s="8" t="n">
        <v>0</v>
      </c>
      <c r="M418" s="8" t="n">
        <v>793613.52</v>
      </c>
      <c r="N418" s="7" t="inlineStr"/>
      <c r="O418" s="7" t="inlineStr"/>
      <c r="P418" s="7" t="inlineStr"/>
      <c r="Q418" s="7" t="inlineStr"/>
      <c r="R418" s="7" t="inlineStr"/>
    </row>
    <row r="419">
      <c r="A419" s="7" t="inlineStr">
        <is>
          <t>1</t>
        </is>
      </c>
      <c r="B419" s="7" t="inlineStr">
        <is>
          <t>G00142</t>
        </is>
      </c>
      <c r="C419" s="7" t="inlineStr">
        <is>
          <t>20260406</t>
        </is>
      </c>
      <c r="D419" s="7" t="inlineStr">
        <is>
          <t>N°2026000142</t>
        </is>
      </c>
      <c r="E419" s="7" t="inlineStr">
        <is>
          <t>DERDOURI FAROUK AFAK AUTO PART</t>
        </is>
      </c>
      <c r="F419" s="7" t="inlineStr">
        <is>
          <t>06002</t>
        </is>
      </c>
      <c r="G419" s="7" t="inlineStr">
        <is>
          <t>44517</t>
        </is>
      </c>
      <c r="H419" s="7" t="inlineStr"/>
      <c r="I419" s="7" t="inlineStr"/>
      <c r="J419" s="7" t="inlineStr"/>
      <c r="K419" s="7" t="inlineStr"/>
      <c r="L419" s="8" t="n">
        <v>0</v>
      </c>
      <c r="M419" s="8" t="n">
        <v>150786.57</v>
      </c>
      <c r="N419" s="7" t="inlineStr"/>
      <c r="O419" s="7" t="inlineStr"/>
      <c r="P419" s="7" t="inlineStr"/>
      <c r="Q419" s="7" t="inlineStr"/>
      <c r="R419" s="7" t="inlineStr"/>
    </row>
    <row r="420">
      <c r="A420" s="7" t="inlineStr">
        <is>
          <t>1</t>
        </is>
      </c>
      <c r="B420" s="7" t="inlineStr">
        <is>
          <t>G00143</t>
        </is>
      </c>
      <c r="C420" s="7" t="inlineStr">
        <is>
          <t>20260406</t>
        </is>
      </c>
      <c r="D420" s="7" t="inlineStr">
        <is>
          <t>N°2026000143</t>
        </is>
      </c>
      <c r="E420" s="7" t="inlineStr">
        <is>
          <t>SARL EL ZIBANE TRANSPORT</t>
        </is>
      </c>
      <c r="F420" s="7" t="inlineStr">
        <is>
          <t>06002</t>
        </is>
      </c>
      <c r="G420" s="7" t="inlineStr">
        <is>
          <t>41100</t>
        </is>
      </c>
      <c r="H420" s="7" t="inlineStr">
        <is>
          <t>C1094</t>
        </is>
      </c>
      <c r="I420" s="7" t="inlineStr"/>
      <c r="J420" s="7" t="inlineStr"/>
      <c r="K420" s="7" t="inlineStr"/>
      <c r="L420" s="8" t="n">
        <v>327845</v>
      </c>
      <c r="M420" s="8" t="n">
        <v>0</v>
      </c>
      <c r="N420" s="7" t="inlineStr"/>
      <c r="O420" s="7" t="inlineStr"/>
      <c r="P420" s="7" t="inlineStr"/>
      <c r="Q420" s="7" t="inlineStr"/>
      <c r="R420" s="7" t="inlineStr"/>
    </row>
    <row r="421">
      <c r="A421" s="7" t="inlineStr">
        <is>
          <t>1</t>
        </is>
      </c>
      <c r="B421" s="7" t="inlineStr">
        <is>
          <t>G00143</t>
        </is>
      </c>
      <c r="C421" s="7" t="inlineStr">
        <is>
          <t>20260406</t>
        </is>
      </c>
      <c r="D421" s="7" t="inlineStr">
        <is>
          <t>N°2026000143</t>
        </is>
      </c>
      <c r="E421" s="7" t="inlineStr">
        <is>
          <t>SARL EL ZIBANE TRANSPORT</t>
        </is>
      </c>
      <c r="F421" s="7" t="inlineStr">
        <is>
          <t>06002</t>
        </is>
      </c>
      <c r="G421" s="7" t="inlineStr">
        <is>
          <t>70001</t>
        </is>
      </c>
      <c r="H421" s="7" t="inlineStr"/>
      <c r="I421" s="7" t="inlineStr"/>
      <c r="J421" s="7" t="inlineStr"/>
      <c r="K421" s="7" t="inlineStr"/>
      <c r="L421" s="8" t="n">
        <v>0</v>
      </c>
      <c r="M421" s="8" t="n">
        <v>275500</v>
      </c>
      <c r="N421" s="7" t="inlineStr"/>
      <c r="O421" s="7" t="inlineStr"/>
      <c r="P421" s="7" t="inlineStr"/>
      <c r="Q421" s="7" t="inlineStr"/>
      <c r="R421" s="7" t="inlineStr"/>
    </row>
    <row r="422">
      <c r="A422" s="7" t="inlineStr">
        <is>
          <t>1</t>
        </is>
      </c>
      <c r="B422" s="7" t="inlineStr">
        <is>
          <t>G00143</t>
        </is>
      </c>
      <c r="C422" s="7" t="inlineStr">
        <is>
          <t>20260406</t>
        </is>
      </c>
      <c r="D422" s="7" t="inlineStr">
        <is>
          <t>N°2026000143</t>
        </is>
      </c>
      <c r="E422" s="7" t="inlineStr">
        <is>
          <t>SARL EL ZIBANE TRANSPORT</t>
        </is>
      </c>
      <c r="F422" s="7" t="inlineStr">
        <is>
          <t>06002</t>
        </is>
      </c>
      <c r="G422" s="7" t="inlineStr">
        <is>
          <t>44517</t>
        </is>
      </c>
      <c r="H422" s="7" t="inlineStr"/>
      <c r="I422" s="7" t="inlineStr"/>
      <c r="J422" s="7" t="inlineStr"/>
      <c r="K422" s="7" t="inlineStr"/>
      <c r="L422" s="8" t="n">
        <v>0</v>
      </c>
      <c r="M422" s="8" t="n">
        <v>52345</v>
      </c>
      <c r="N422" s="7" t="inlineStr"/>
      <c r="O422" s="7" t="inlineStr"/>
      <c r="P422" s="7" t="inlineStr"/>
      <c r="Q422" s="7" t="inlineStr"/>
      <c r="R422" s="7" t="inlineStr"/>
    </row>
    <row r="423">
      <c r="A423" s="7" t="inlineStr">
        <is>
          <t>1</t>
        </is>
      </c>
      <c r="B423" s="7" t="inlineStr">
        <is>
          <t>G00144</t>
        </is>
      </c>
      <c r="C423" s="7" t="inlineStr">
        <is>
          <t>20260406</t>
        </is>
      </c>
      <c r="D423" s="7" t="inlineStr">
        <is>
          <t>N°2026000144</t>
        </is>
      </c>
      <c r="E423" s="7" t="inlineStr">
        <is>
          <t>BEKHOUS RABAH</t>
        </is>
      </c>
      <c r="F423" s="7" t="inlineStr">
        <is>
          <t>06002</t>
        </is>
      </c>
      <c r="G423" s="7" t="inlineStr">
        <is>
          <t>41100</t>
        </is>
      </c>
      <c r="H423" s="7" t="inlineStr">
        <is>
          <t>C1089</t>
        </is>
      </c>
      <c r="I423" s="7" t="inlineStr"/>
      <c r="J423" s="7" t="inlineStr"/>
      <c r="K423" s="7" t="inlineStr"/>
      <c r="L423" s="8" t="n">
        <v>84000.00999999999</v>
      </c>
      <c r="M423" s="8" t="n">
        <v>0</v>
      </c>
      <c r="N423" s="7" t="inlineStr"/>
      <c r="O423" s="7" t="inlineStr"/>
      <c r="P423" s="7" t="inlineStr"/>
      <c r="Q423" s="7" t="inlineStr"/>
      <c r="R423" s="7" t="inlineStr"/>
    </row>
    <row r="424">
      <c r="A424" s="7" t="inlineStr">
        <is>
          <t>1</t>
        </is>
      </c>
      <c r="B424" s="7" t="inlineStr">
        <is>
          <t>G00144</t>
        </is>
      </c>
      <c r="C424" s="7" t="inlineStr">
        <is>
          <t>20260406</t>
        </is>
      </c>
      <c r="D424" s="7" t="inlineStr">
        <is>
          <t>N°2026000144</t>
        </is>
      </c>
      <c r="E424" s="7" t="inlineStr">
        <is>
          <t>BEKHOUS RABAH</t>
        </is>
      </c>
      <c r="F424" s="7" t="inlineStr">
        <is>
          <t>06002</t>
        </is>
      </c>
      <c r="G424" s="7" t="inlineStr">
        <is>
          <t>70001</t>
        </is>
      </c>
      <c r="H424" s="7" t="inlineStr"/>
      <c r="I424" s="7" t="inlineStr"/>
      <c r="J424" s="7" t="inlineStr"/>
      <c r="K424" s="7" t="inlineStr"/>
      <c r="L424" s="8" t="n">
        <v>0</v>
      </c>
      <c r="M424" s="8" t="n">
        <v>70588.24000000001</v>
      </c>
      <c r="N424" s="7" t="inlineStr"/>
      <c r="O424" s="7" t="inlineStr"/>
      <c r="P424" s="7" t="inlineStr"/>
      <c r="Q424" s="7" t="inlineStr"/>
      <c r="R424" s="7" t="inlineStr"/>
    </row>
    <row r="425">
      <c r="A425" s="7" t="inlineStr">
        <is>
          <t>1</t>
        </is>
      </c>
      <c r="B425" s="7" t="inlineStr">
        <is>
          <t>G00144</t>
        </is>
      </c>
      <c r="C425" s="7" t="inlineStr">
        <is>
          <t>20260406</t>
        </is>
      </c>
      <c r="D425" s="7" t="inlineStr">
        <is>
          <t>N°2026000144</t>
        </is>
      </c>
      <c r="E425" s="7" t="inlineStr">
        <is>
          <t>BEKHOUS RABAH</t>
        </is>
      </c>
      <c r="F425" s="7" t="inlineStr">
        <is>
          <t>06002</t>
        </is>
      </c>
      <c r="G425" s="7" t="inlineStr">
        <is>
          <t>44517</t>
        </is>
      </c>
      <c r="H425" s="7" t="inlineStr"/>
      <c r="I425" s="7" t="inlineStr"/>
      <c r="J425" s="7" t="inlineStr"/>
      <c r="K425" s="7" t="inlineStr"/>
      <c r="L425" s="8" t="n">
        <v>0</v>
      </c>
      <c r="M425" s="8" t="n">
        <v>13411.77</v>
      </c>
      <c r="N425" s="7" t="inlineStr"/>
      <c r="O425" s="7" t="inlineStr"/>
      <c r="P425" s="7" t="inlineStr"/>
      <c r="Q425" s="7" t="inlineStr"/>
      <c r="R425" s="7" t="inlineStr"/>
    </row>
    <row r="426">
      <c r="A426" s="7" t="inlineStr">
        <is>
          <t>1</t>
        </is>
      </c>
      <c r="B426" s="7" t="inlineStr">
        <is>
          <t>G00145</t>
        </is>
      </c>
      <c r="C426" s="7" t="inlineStr">
        <is>
          <t>20260407</t>
        </is>
      </c>
      <c r="D426" s="7" t="inlineStr">
        <is>
          <t>N°2026000145</t>
        </is>
      </c>
      <c r="E426" s="7" t="inlineStr">
        <is>
          <t>MANSOURI ZOUHEYR</t>
        </is>
      </c>
      <c r="F426" s="7" t="inlineStr">
        <is>
          <t>06002</t>
        </is>
      </c>
      <c r="G426" s="7" t="inlineStr">
        <is>
          <t>41100</t>
        </is>
      </c>
      <c r="H426" s="7" t="inlineStr">
        <is>
          <t>C1091</t>
        </is>
      </c>
      <c r="I426" s="7" t="inlineStr"/>
      <c r="J426" s="7" t="inlineStr"/>
      <c r="K426" s="7" t="inlineStr"/>
      <c r="L426" s="8" t="n">
        <v>640500.01</v>
      </c>
      <c r="M426" s="8" t="n">
        <v>0</v>
      </c>
      <c r="N426" s="7" t="inlineStr"/>
      <c r="O426" s="7" t="inlineStr"/>
      <c r="P426" s="7" t="inlineStr"/>
      <c r="Q426" s="7" t="inlineStr"/>
      <c r="R426" s="7" t="inlineStr"/>
    </row>
    <row r="427">
      <c r="A427" s="7" t="inlineStr">
        <is>
          <t>1</t>
        </is>
      </c>
      <c r="B427" s="7" t="inlineStr">
        <is>
          <t>G00145</t>
        </is>
      </c>
      <c r="C427" s="7" t="inlineStr">
        <is>
          <t>20260407</t>
        </is>
      </c>
      <c r="D427" s="7" t="inlineStr">
        <is>
          <t>N°2026000145</t>
        </is>
      </c>
      <c r="E427" s="7" t="inlineStr">
        <is>
          <t>MANSOURI ZOUHEYR</t>
        </is>
      </c>
      <c r="F427" s="7" t="inlineStr">
        <is>
          <t>06002</t>
        </is>
      </c>
      <c r="G427" s="7" t="inlineStr">
        <is>
          <t>70001</t>
        </is>
      </c>
      <c r="H427" s="7" t="inlineStr"/>
      <c r="I427" s="7" t="inlineStr"/>
      <c r="J427" s="7" t="inlineStr"/>
      <c r="K427" s="7" t="inlineStr"/>
      <c r="L427" s="8" t="n">
        <v>0</v>
      </c>
      <c r="M427" s="8" t="n">
        <v>538235.3</v>
      </c>
      <c r="N427" s="7" t="inlineStr"/>
      <c r="O427" s="7" t="inlineStr"/>
      <c r="P427" s="7" t="inlineStr"/>
      <c r="Q427" s="7" t="inlineStr"/>
      <c r="R427" s="7" t="inlineStr"/>
    </row>
    <row r="428">
      <c r="A428" s="7" t="inlineStr">
        <is>
          <t>1</t>
        </is>
      </c>
      <c r="B428" s="7" t="inlineStr">
        <is>
          <t>G00145</t>
        </is>
      </c>
      <c r="C428" s="7" t="inlineStr">
        <is>
          <t>20260407</t>
        </is>
      </c>
      <c r="D428" s="7" t="inlineStr">
        <is>
          <t>N°2026000145</t>
        </is>
      </c>
      <c r="E428" s="7" t="inlineStr">
        <is>
          <t>MANSOURI ZOUHEYR</t>
        </is>
      </c>
      <c r="F428" s="7" t="inlineStr">
        <is>
          <t>06002</t>
        </is>
      </c>
      <c r="G428" s="7" t="inlineStr">
        <is>
          <t>44517</t>
        </is>
      </c>
      <c r="H428" s="7" t="inlineStr"/>
      <c r="I428" s="7" t="inlineStr"/>
      <c r="J428" s="7" t="inlineStr"/>
      <c r="K428" s="7" t="inlineStr"/>
      <c r="L428" s="8" t="n">
        <v>0</v>
      </c>
      <c r="M428" s="8" t="n">
        <v>102264.71</v>
      </c>
      <c r="N428" s="7" t="inlineStr"/>
      <c r="O428" s="7" t="inlineStr"/>
      <c r="P428" s="7" t="inlineStr"/>
      <c r="Q428" s="7" t="inlineStr"/>
      <c r="R428" s="7" t="inlineStr"/>
    </row>
    <row r="429">
      <c r="A429" s="7" t="inlineStr">
        <is>
          <t>1</t>
        </is>
      </c>
      <c r="B429" s="7" t="inlineStr">
        <is>
          <t>G00146</t>
        </is>
      </c>
      <c r="C429" s="7" t="inlineStr">
        <is>
          <t>20260507</t>
        </is>
      </c>
      <c r="D429" s="7" t="inlineStr">
        <is>
          <t>N°2026000146</t>
        </is>
      </c>
      <c r="E429" s="7" t="inlineStr">
        <is>
          <t>LAOUEDJ MOHAMMED SALAH</t>
        </is>
      </c>
      <c r="F429" s="7" t="inlineStr">
        <is>
          <t>06002</t>
        </is>
      </c>
      <c r="G429" s="7" t="inlineStr">
        <is>
          <t>41100</t>
        </is>
      </c>
      <c r="H429" s="7" t="inlineStr">
        <is>
          <t>C556</t>
        </is>
      </c>
      <c r="I429" s="7" t="inlineStr"/>
      <c r="J429" s="7" t="inlineStr"/>
      <c r="K429" s="7" t="inlineStr"/>
      <c r="L429" s="8" t="n">
        <v>938094.28</v>
      </c>
      <c r="M429" s="8" t="n">
        <v>0</v>
      </c>
      <c r="N429" s="7" t="inlineStr"/>
      <c r="O429" s="7" t="inlineStr"/>
      <c r="P429" s="7" t="inlineStr"/>
      <c r="Q429" s="7" t="inlineStr"/>
      <c r="R429" s="7" t="inlineStr"/>
    </row>
    <row r="430">
      <c r="A430" s="7" t="inlineStr">
        <is>
          <t>1</t>
        </is>
      </c>
      <c r="B430" s="7" t="inlineStr">
        <is>
          <t>G00146</t>
        </is>
      </c>
      <c r="C430" s="7" t="inlineStr">
        <is>
          <t>20260507</t>
        </is>
      </c>
      <c r="D430" s="7" t="inlineStr">
        <is>
          <t>N°2026000146</t>
        </is>
      </c>
      <c r="E430" s="7" t="inlineStr">
        <is>
          <t>LAOUEDJ MOHAMMED SALAH</t>
        </is>
      </c>
      <c r="F430" s="7" t="inlineStr">
        <is>
          <t>06002</t>
        </is>
      </c>
      <c r="G430" s="7" t="inlineStr">
        <is>
          <t>70001</t>
        </is>
      </c>
      <c r="H430" s="7" t="inlineStr"/>
      <c r="I430" s="7" t="inlineStr"/>
      <c r="J430" s="7" t="inlineStr"/>
      <c r="K430" s="7" t="inlineStr"/>
      <c r="L430" s="8" t="n">
        <v>0</v>
      </c>
      <c r="M430" s="8" t="n">
        <v>788314.52</v>
      </c>
      <c r="N430" s="7" t="inlineStr"/>
      <c r="O430" s="7" t="inlineStr"/>
      <c r="P430" s="7" t="inlineStr"/>
      <c r="Q430" s="7" t="inlineStr"/>
      <c r="R430" s="7" t="inlineStr"/>
    </row>
    <row r="431">
      <c r="A431" s="7" t="inlineStr">
        <is>
          <t>1</t>
        </is>
      </c>
      <c r="B431" s="7" t="inlineStr">
        <is>
          <t>G00146</t>
        </is>
      </c>
      <c r="C431" s="7" t="inlineStr">
        <is>
          <t>20260507</t>
        </is>
      </c>
      <c r="D431" s="7" t="inlineStr">
        <is>
          <t>N°2026000146</t>
        </is>
      </c>
      <c r="E431" s="7" t="inlineStr">
        <is>
          <t>LAOUEDJ MOHAMMED SALAH</t>
        </is>
      </c>
      <c r="F431" s="7" t="inlineStr">
        <is>
          <t>06002</t>
        </is>
      </c>
      <c r="G431" s="7" t="inlineStr">
        <is>
          <t>44517</t>
        </is>
      </c>
      <c r="H431" s="7" t="inlineStr"/>
      <c r="I431" s="7" t="inlineStr"/>
      <c r="J431" s="7" t="inlineStr"/>
      <c r="K431" s="7" t="inlineStr"/>
      <c r="L431" s="8" t="n">
        <v>0</v>
      </c>
      <c r="M431" s="8" t="n">
        <v>149779.76</v>
      </c>
      <c r="N431" s="7" t="inlineStr"/>
      <c r="O431" s="7" t="inlineStr"/>
      <c r="P431" s="7" t="inlineStr"/>
      <c r="Q431" s="7" t="inlineStr"/>
      <c r="R431" s="7" t="inlineStr"/>
    </row>
    <row r="432">
      <c r="A432" s="7" t="inlineStr">
        <is>
          <t>1</t>
        </is>
      </c>
      <c r="B432" s="7" t="inlineStr">
        <is>
          <t>G00147</t>
        </is>
      </c>
      <c r="C432" s="7" t="inlineStr">
        <is>
          <t>20260507</t>
        </is>
      </c>
      <c r="D432" s="7" t="inlineStr">
        <is>
          <t>N°2026000147</t>
        </is>
      </c>
      <c r="E432" s="7" t="inlineStr">
        <is>
          <t>DJENNADI REYAD</t>
        </is>
      </c>
      <c r="F432" s="7" t="inlineStr">
        <is>
          <t>06002</t>
        </is>
      </c>
      <c r="G432" s="7" t="inlineStr">
        <is>
          <t>41100</t>
        </is>
      </c>
      <c r="H432" s="7" t="inlineStr">
        <is>
          <t>C164</t>
        </is>
      </c>
      <c r="I432" s="7" t="inlineStr"/>
      <c r="J432" s="7" t="inlineStr"/>
      <c r="K432" s="7" t="inlineStr"/>
      <c r="L432" s="8" t="n">
        <v>158627.84</v>
      </c>
      <c r="M432" s="8" t="n">
        <v>0</v>
      </c>
      <c r="N432" s="7" t="inlineStr"/>
      <c r="O432" s="7" t="inlineStr"/>
      <c r="P432" s="7" t="inlineStr"/>
      <c r="Q432" s="7" t="inlineStr"/>
      <c r="R432" s="7" t="inlineStr"/>
    </row>
    <row r="433">
      <c r="A433" s="7" t="inlineStr">
        <is>
          <t>1</t>
        </is>
      </c>
      <c r="B433" s="7" t="inlineStr">
        <is>
          <t>G00147</t>
        </is>
      </c>
      <c r="C433" s="7" t="inlineStr">
        <is>
          <t>20260507</t>
        </is>
      </c>
      <c r="D433" s="7" t="inlineStr">
        <is>
          <t>N°2026000147</t>
        </is>
      </c>
      <c r="E433" s="7" t="inlineStr">
        <is>
          <t>DJENNADI REYAD</t>
        </is>
      </c>
      <c r="F433" s="7" t="inlineStr">
        <is>
          <t>06002</t>
        </is>
      </c>
      <c r="G433" s="7" t="inlineStr">
        <is>
          <t>70001</t>
        </is>
      </c>
      <c r="H433" s="7" t="inlineStr"/>
      <c r="I433" s="7" t="inlineStr"/>
      <c r="J433" s="7" t="inlineStr"/>
      <c r="K433" s="7" t="inlineStr"/>
      <c r="L433" s="8" t="n">
        <v>0</v>
      </c>
      <c r="M433" s="8" t="n">
        <v>133300.71</v>
      </c>
      <c r="N433" s="7" t="inlineStr"/>
      <c r="O433" s="7" t="inlineStr"/>
      <c r="P433" s="7" t="inlineStr"/>
      <c r="Q433" s="7" t="inlineStr"/>
      <c r="R433" s="7" t="inlineStr"/>
    </row>
    <row r="434">
      <c r="A434" s="7" t="inlineStr">
        <is>
          <t>1</t>
        </is>
      </c>
      <c r="B434" s="7" t="inlineStr">
        <is>
          <t>G00147</t>
        </is>
      </c>
      <c r="C434" s="7" t="inlineStr">
        <is>
          <t>20260507</t>
        </is>
      </c>
      <c r="D434" s="7" t="inlineStr">
        <is>
          <t>N°2026000147</t>
        </is>
      </c>
      <c r="E434" s="7" t="inlineStr">
        <is>
          <t>DJENNADI REYAD</t>
        </is>
      </c>
      <c r="F434" s="7" t="inlineStr">
        <is>
          <t>06002</t>
        </is>
      </c>
      <c r="G434" s="7" t="inlineStr">
        <is>
          <t>44517</t>
        </is>
      </c>
      <c r="H434" s="7" t="inlineStr"/>
      <c r="I434" s="7" t="inlineStr"/>
      <c r="J434" s="7" t="inlineStr"/>
      <c r="K434" s="7" t="inlineStr"/>
      <c r="L434" s="8" t="n">
        <v>0</v>
      </c>
      <c r="M434" s="8" t="n">
        <v>25327.13</v>
      </c>
      <c r="N434" s="7" t="inlineStr"/>
      <c r="O434" s="7" t="inlineStr"/>
      <c r="P434" s="7" t="inlineStr"/>
      <c r="Q434" s="7" t="inlineStr"/>
      <c r="R434" s="7" t="inlineStr"/>
    </row>
    <row r="435">
      <c r="A435" s="7" t="inlineStr">
        <is>
          <t>1</t>
        </is>
      </c>
      <c r="B435" s="7" t="inlineStr">
        <is>
          <t>G00148</t>
        </is>
      </c>
      <c r="C435" s="7" t="inlineStr">
        <is>
          <t>20260507</t>
        </is>
      </c>
      <c r="D435" s="7" t="inlineStr">
        <is>
          <t>N°2026000148</t>
        </is>
      </c>
      <c r="E435" s="7" t="inlineStr">
        <is>
          <t>HANIFI SALAH</t>
        </is>
      </c>
      <c r="F435" s="7" t="inlineStr">
        <is>
          <t>06002</t>
        </is>
      </c>
      <c r="G435" s="7" t="inlineStr">
        <is>
          <t>41100</t>
        </is>
      </c>
      <c r="H435" s="7" t="inlineStr">
        <is>
          <t>C759</t>
        </is>
      </c>
      <c r="I435" s="7" t="inlineStr"/>
      <c r="J435" s="7" t="inlineStr"/>
      <c r="K435" s="7" t="inlineStr"/>
      <c r="L435" s="8" t="n">
        <v>27370</v>
      </c>
      <c r="M435" s="8" t="n">
        <v>0</v>
      </c>
      <c r="N435" s="7" t="inlineStr"/>
      <c r="O435" s="7" t="inlineStr"/>
      <c r="P435" s="7" t="inlineStr"/>
      <c r="Q435" s="7" t="inlineStr"/>
      <c r="R435" s="7" t="inlineStr"/>
    </row>
    <row r="436">
      <c r="A436" s="7" t="inlineStr">
        <is>
          <t>1</t>
        </is>
      </c>
      <c r="B436" s="7" t="inlineStr">
        <is>
          <t>G00148</t>
        </is>
      </c>
      <c r="C436" s="7" t="inlineStr">
        <is>
          <t>20260507</t>
        </is>
      </c>
      <c r="D436" s="7" t="inlineStr">
        <is>
          <t>N°2026000148</t>
        </is>
      </c>
      <c r="E436" s="7" t="inlineStr">
        <is>
          <t>HANIFI SALAH</t>
        </is>
      </c>
      <c r="F436" s="7" t="inlineStr">
        <is>
          <t>06002</t>
        </is>
      </c>
      <c r="G436" s="7" t="inlineStr">
        <is>
          <t>70001</t>
        </is>
      </c>
      <c r="H436" s="7" t="inlineStr"/>
      <c r="I436" s="7" t="inlineStr"/>
      <c r="J436" s="7" t="inlineStr"/>
      <c r="K436" s="7" t="inlineStr"/>
      <c r="L436" s="8" t="n">
        <v>0</v>
      </c>
      <c r="M436" s="8" t="n">
        <v>23000</v>
      </c>
      <c r="N436" s="7" t="inlineStr"/>
      <c r="O436" s="7" t="inlineStr"/>
      <c r="P436" s="7" t="inlineStr"/>
      <c r="Q436" s="7" t="inlineStr"/>
      <c r="R436" s="7" t="inlineStr"/>
    </row>
    <row r="437">
      <c r="A437" s="7" t="inlineStr">
        <is>
          <t>1</t>
        </is>
      </c>
      <c r="B437" s="7" t="inlineStr">
        <is>
          <t>G00148</t>
        </is>
      </c>
      <c r="C437" s="7" t="inlineStr">
        <is>
          <t>20260507</t>
        </is>
      </c>
      <c r="D437" s="7" t="inlineStr">
        <is>
          <t>N°2026000148</t>
        </is>
      </c>
      <c r="E437" s="7" t="inlineStr">
        <is>
          <t>HANIFI SALAH</t>
        </is>
      </c>
      <c r="F437" s="7" t="inlineStr">
        <is>
          <t>06002</t>
        </is>
      </c>
      <c r="G437" s="7" t="inlineStr">
        <is>
          <t>44517</t>
        </is>
      </c>
      <c r="H437" s="7" t="inlineStr"/>
      <c r="I437" s="7" t="inlineStr"/>
      <c r="J437" s="7" t="inlineStr"/>
      <c r="K437" s="7" t="inlineStr"/>
      <c r="L437" s="8" t="n">
        <v>0</v>
      </c>
      <c r="M437" s="8" t="n">
        <v>4370</v>
      </c>
      <c r="N437" s="7" t="inlineStr"/>
      <c r="O437" s="7" t="inlineStr"/>
      <c r="P437" s="7" t="inlineStr"/>
      <c r="Q437" s="7" t="inlineStr"/>
      <c r="R437" s="7" t="inlineStr"/>
    </row>
    <row r="438">
      <c r="A438" s="7" t="inlineStr">
        <is>
          <t>1</t>
        </is>
      </c>
      <c r="B438" s="7" t="inlineStr">
        <is>
          <t>G00149</t>
        </is>
      </c>
      <c r="C438" s="7" t="inlineStr">
        <is>
          <t>20260510</t>
        </is>
      </c>
      <c r="D438" s="7" t="inlineStr">
        <is>
          <t>N°2026000149</t>
        </is>
      </c>
      <c r="E438" s="7" t="inlineStr">
        <is>
          <t>LAOUEDJ MOHAMMED SALAH</t>
        </is>
      </c>
      <c r="F438" s="7" t="inlineStr">
        <is>
          <t>06002</t>
        </is>
      </c>
      <c r="G438" s="7" t="inlineStr">
        <is>
          <t>41100</t>
        </is>
      </c>
      <c r="H438" s="7" t="inlineStr">
        <is>
          <t>C556</t>
        </is>
      </c>
      <c r="I438" s="7" t="inlineStr"/>
      <c r="J438" s="7" t="inlineStr"/>
      <c r="K438" s="7" t="inlineStr"/>
      <c r="L438" s="8" t="n">
        <v>985217.59</v>
      </c>
      <c r="M438" s="8" t="n">
        <v>0</v>
      </c>
      <c r="N438" s="7" t="inlineStr"/>
      <c r="O438" s="7" t="inlineStr"/>
      <c r="P438" s="7" t="inlineStr"/>
      <c r="Q438" s="7" t="inlineStr"/>
      <c r="R438" s="7" t="inlineStr"/>
    </row>
    <row r="439">
      <c r="A439" s="7" t="inlineStr">
        <is>
          <t>1</t>
        </is>
      </c>
      <c r="B439" s="7" t="inlineStr">
        <is>
          <t>G00149</t>
        </is>
      </c>
      <c r="C439" s="7" t="inlineStr">
        <is>
          <t>20260510</t>
        </is>
      </c>
      <c r="D439" s="7" t="inlineStr">
        <is>
          <t>N°2026000149</t>
        </is>
      </c>
      <c r="E439" s="7" t="inlineStr">
        <is>
          <t>LAOUEDJ MOHAMMED SALAH</t>
        </is>
      </c>
      <c r="F439" s="7" t="inlineStr">
        <is>
          <t>06002</t>
        </is>
      </c>
      <c r="G439" s="7" t="inlineStr">
        <is>
          <t>70001</t>
        </is>
      </c>
      <c r="H439" s="7" t="inlineStr"/>
      <c r="I439" s="7" t="inlineStr"/>
      <c r="J439" s="7" t="inlineStr"/>
      <c r="K439" s="7" t="inlineStr"/>
      <c r="L439" s="8" t="n">
        <v>0</v>
      </c>
      <c r="M439" s="8" t="n">
        <v>827913.9399999999</v>
      </c>
      <c r="N439" s="7" t="inlineStr"/>
      <c r="O439" s="7" t="inlineStr"/>
      <c r="P439" s="7" t="inlineStr"/>
      <c r="Q439" s="7" t="inlineStr"/>
      <c r="R439" s="7" t="inlineStr"/>
    </row>
    <row r="440">
      <c r="A440" s="7" t="inlineStr">
        <is>
          <t>1</t>
        </is>
      </c>
      <c r="B440" s="7" t="inlineStr">
        <is>
          <t>G00149</t>
        </is>
      </c>
      <c r="C440" s="7" t="inlineStr">
        <is>
          <t>20260510</t>
        </is>
      </c>
      <c r="D440" s="7" t="inlineStr">
        <is>
          <t>N°2026000149</t>
        </is>
      </c>
      <c r="E440" s="7" t="inlineStr">
        <is>
          <t>LAOUEDJ MOHAMMED SALAH</t>
        </is>
      </c>
      <c r="F440" s="7" t="inlineStr">
        <is>
          <t>06002</t>
        </is>
      </c>
      <c r="G440" s="7" t="inlineStr">
        <is>
          <t>44517</t>
        </is>
      </c>
      <c r="H440" s="7" t="inlineStr"/>
      <c r="I440" s="7" t="inlineStr"/>
      <c r="J440" s="7" t="inlineStr"/>
      <c r="K440" s="7" t="inlineStr"/>
      <c r="L440" s="8" t="n">
        <v>0</v>
      </c>
      <c r="M440" s="8" t="n">
        <v>157303.65</v>
      </c>
      <c r="N440" s="7" t="inlineStr"/>
      <c r="O440" s="7" t="inlineStr"/>
      <c r="P440" s="7" t="inlineStr"/>
      <c r="Q440" s="7" t="inlineStr"/>
      <c r="R440" s="7" t="inlineStr"/>
    </row>
    <row r="441">
      <c r="A441" s="7" t="inlineStr">
        <is>
          <t>1</t>
        </is>
      </c>
      <c r="B441" s="7" t="inlineStr">
        <is>
          <t>G00150</t>
        </is>
      </c>
      <c r="C441" s="7" t="inlineStr">
        <is>
          <t>20260511</t>
        </is>
      </c>
      <c r="D441" s="7" t="inlineStr">
        <is>
          <t>N°2026000150</t>
        </is>
      </c>
      <c r="E441" s="7" t="inlineStr">
        <is>
          <t>LAOUEDJ MOHAMMED SALAH</t>
        </is>
      </c>
      <c r="F441" s="7" t="inlineStr">
        <is>
          <t>06002</t>
        </is>
      </c>
      <c r="G441" s="7" t="inlineStr">
        <is>
          <t>41100</t>
        </is>
      </c>
      <c r="H441" s="7" t="inlineStr">
        <is>
          <t>C556</t>
        </is>
      </c>
      <c r="I441" s="7" t="inlineStr"/>
      <c r="J441" s="7" t="inlineStr"/>
      <c r="K441" s="7" t="inlineStr"/>
      <c r="L441" s="8" t="n">
        <v>1076688.15</v>
      </c>
      <c r="M441" s="8" t="n">
        <v>0</v>
      </c>
      <c r="N441" s="7" t="inlineStr"/>
      <c r="O441" s="7" t="inlineStr"/>
      <c r="P441" s="7" t="inlineStr"/>
      <c r="Q441" s="7" t="inlineStr"/>
      <c r="R441" s="7" t="inlineStr"/>
    </row>
    <row r="442">
      <c r="A442" s="7" t="inlineStr">
        <is>
          <t>1</t>
        </is>
      </c>
      <c r="B442" s="7" t="inlineStr">
        <is>
          <t>G00150</t>
        </is>
      </c>
      <c r="C442" s="7" t="inlineStr">
        <is>
          <t>20260511</t>
        </is>
      </c>
      <c r="D442" s="7" t="inlineStr">
        <is>
          <t>N°2026000150</t>
        </is>
      </c>
      <c r="E442" s="7" t="inlineStr">
        <is>
          <t>LAOUEDJ MOHAMMED SALAH</t>
        </is>
      </c>
      <c r="F442" s="7" t="inlineStr">
        <is>
          <t>06002</t>
        </is>
      </c>
      <c r="G442" s="7" t="inlineStr">
        <is>
          <t>70001</t>
        </is>
      </c>
      <c r="H442" s="7" t="inlineStr"/>
      <c r="I442" s="7" t="inlineStr"/>
      <c r="J442" s="7" t="inlineStr"/>
      <c r="K442" s="7" t="inlineStr"/>
      <c r="L442" s="8" t="n">
        <v>0</v>
      </c>
      <c r="M442" s="8" t="n">
        <v>904779.96</v>
      </c>
      <c r="N442" s="7" t="inlineStr"/>
      <c r="O442" s="7" t="inlineStr"/>
      <c r="P442" s="7" t="inlineStr"/>
      <c r="Q442" s="7" t="inlineStr"/>
      <c r="R442" s="7" t="inlineStr"/>
    </row>
    <row r="443">
      <c r="A443" s="7" t="inlineStr">
        <is>
          <t>1</t>
        </is>
      </c>
      <c r="B443" s="7" t="inlineStr">
        <is>
          <t>G00150</t>
        </is>
      </c>
      <c r="C443" s="7" t="inlineStr">
        <is>
          <t>20260511</t>
        </is>
      </c>
      <c r="D443" s="7" t="inlineStr">
        <is>
          <t>N°2026000150</t>
        </is>
      </c>
      <c r="E443" s="7" t="inlineStr">
        <is>
          <t>LAOUEDJ MOHAMMED SALAH</t>
        </is>
      </c>
      <c r="F443" s="7" t="inlineStr">
        <is>
          <t>06002</t>
        </is>
      </c>
      <c r="G443" s="7" t="inlineStr">
        <is>
          <t>44517</t>
        </is>
      </c>
      <c r="H443" s="7" t="inlineStr"/>
      <c r="I443" s="7" t="inlineStr"/>
      <c r="J443" s="7" t="inlineStr"/>
      <c r="K443" s="7" t="inlineStr"/>
      <c r="L443" s="8" t="n">
        <v>0</v>
      </c>
      <c r="M443" s="8" t="n">
        <v>171908.19</v>
      </c>
      <c r="N443" s="7" t="inlineStr"/>
      <c r="O443" s="7" t="inlineStr"/>
      <c r="P443" s="7" t="inlineStr"/>
      <c r="Q443" s="7" t="inlineStr"/>
      <c r="R443" s="7" t="inlineStr"/>
    </row>
    <row r="444">
      <c r="A444" s="7" t="inlineStr">
        <is>
          <t>1</t>
        </is>
      </c>
      <c r="B444" s="7" t="inlineStr">
        <is>
          <t>G00151</t>
        </is>
      </c>
      <c r="C444" s="7" t="inlineStr">
        <is>
          <t>20260512</t>
        </is>
      </c>
      <c r="D444" s="7" t="inlineStr">
        <is>
          <t>N°2026000151</t>
        </is>
      </c>
      <c r="E444" s="7" t="inlineStr">
        <is>
          <t>DJENNADI ABDELKRIM</t>
        </is>
      </c>
      <c r="F444" s="7" t="inlineStr">
        <is>
          <t>06002</t>
        </is>
      </c>
      <c r="G444" s="7" t="inlineStr">
        <is>
          <t>41100</t>
        </is>
      </c>
      <c r="H444" s="7" t="inlineStr">
        <is>
          <t>C004</t>
        </is>
      </c>
      <c r="I444" s="7" t="inlineStr"/>
      <c r="J444" s="7" t="inlineStr"/>
      <c r="K444" s="7" t="inlineStr"/>
      <c r="L444" s="8" t="n">
        <v>3290008.7</v>
      </c>
      <c r="M444" s="8" t="n">
        <v>0</v>
      </c>
      <c r="N444" s="7" t="inlineStr"/>
      <c r="O444" s="7" t="inlineStr"/>
      <c r="P444" s="7" t="inlineStr"/>
      <c r="Q444" s="7" t="inlineStr"/>
      <c r="R444" s="7" t="inlineStr"/>
    </row>
    <row r="445">
      <c r="A445" s="7" t="inlineStr">
        <is>
          <t>1</t>
        </is>
      </c>
      <c r="B445" s="7" t="inlineStr">
        <is>
          <t>G00151</t>
        </is>
      </c>
      <c r="C445" s="7" t="inlineStr">
        <is>
          <t>20260512</t>
        </is>
      </c>
      <c r="D445" s="7" t="inlineStr">
        <is>
          <t>N°2026000151</t>
        </is>
      </c>
      <c r="E445" s="7" t="inlineStr">
        <is>
          <t>DJENNADI ABDELKRIM</t>
        </is>
      </c>
      <c r="F445" s="7" t="inlineStr">
        <is>
          <t>06002</t>
        </is>
      </c>
      <c r="G445" s="7" t="inlineStr">
        <is>
          <t>70001</t>
        </is>
      </c>
      <c r="H445" s="7" t="inlineStr"/>
      <c r="I445" s="7" t="inlineStr"/>
      <c r="J445" s="7" t="inlineStr"/>
      <c r="K445" s="7" t="inlineStr"/>
      <c r="L445" s="8" t="n">
        <v>0</v>
      </c>
      <c r="M445" s="8" t="n">
        <v>2764713.19</v>
      </c>
      <c r="N445" s="7" t="inlineStr"/>
      <c r="O445" s="7" t="inlineStr"/>
      <c r="P445" s="7" t="inlineStr"/>
      <c r="Q445" s="7" t="inlineStr"/>
      <c r="R445" s="7" t="inlineStr"/>
    </row>
    <row r="446">
      <c r="A446" s="7" t="inlineStr">
        <is>
          <t>1</t>
        </is>
      </c>
      <c r="B446" s="7" t="inlineStr">
        <is>
          <t>G00151</t>
        </is>
      </c>
      <c r="C446" s="7" t="inlineStr">
        <is>
          <t>20260512</t>
        </is>
      </c>
      <c r="D446" s="7" t="inlineStr">
        <is>
          <t>N°2026000151</t>
        </is>
      </c>
      <c r="E446" s="7" t="inlineStr">
        <is>
          <t>DJENNADI ABDELKRIM</t>
        </is>
      </c>
      <c r="F446" s="7" t="inlineStr">
        <is>
          <t>06002</t>
        </is>
      </c>
      <c r="G446" s="7" t="inlineStr">
        <is>
          <t>44517</t>
        </is>
      </c>
      <c r="H446" s="7" t="inlineStr"/>
      <c r="I446" s="7" t="inlineStr"/>
      <c r="J446" s="7" t="inlineStr"/>
      <c r="K446" s="7" t="inlineStr"/>
      <c r="L446" s="8" t="n">
        <v>0</v>
      </c>
      <c r="M446" s="8" t="n">
        <v>525295.51</v>
      </c>
      <c r="N446" s="7" t="inlineStr"/>
      <c r="O446" s="7" t="inlineStr"/>
      <c r="P446" s="7" t="inlineStr"/>
      <c r="Q446" s="7" t="inlineStr"/>
      <c r="R446" s="7" t="inlineStr"/>
    </row>
    <row r="447">
      <c r="A447" s="7" t="inlineStr">
        <is>
          <t>1</t>
        </is>
      </c>
      <c r="B447" s="7" t="inlineStr">
        <is>
          <t>G00152</t>
        </is>
      </c>
      <c r="C447" s="7" t="inlineStr">
        <is>
          <t>20260601</t>
        </is>
      </c>
      <c r="D447" s="7" t="inlineStr">
        <is>
          <t>N°2026000152</t>
        </is>
      </c>
      <c r="E447" s="7" t="inlineStr">
        <is>
          <t>BOUHAMMA DJAMEL EDDINE</t>
        </is>
      </c>
      <c r="F447" s="7" t="inlineStr">
        <is>
          <t>06002</t>
        </is>
      </c>
      <c r="G447" s="7" t="inlineStr">
        <is>
          <t>41100</t>
        </is>
      </c>
      <c r="H447" s="7" t="inlineStr">
        <is>
          <t>C1039</t>
        </is>
      </c>
      <c r="I447" s="7" t="inlineStr"/>
      <c r="J447" s="7" t="inlineStr"/>
      <c r="K447" s="7" t="inlineStr"/>
      <c r="L447" s="8" t="n">
        <v>1000000.02</v>
      </c>
      <c r="M447" s="8" t="n">
        <v>0</v>
      </c>
      <c r="N447" s="7" t="inlineStr"/>
      <c r="O447" s="7" t="inlineStr"/>
      <c r="P447" s="7" t="inlineStr"/>
      <c r="Q447" s="7" t="inlineStr"/>
      <c r="R447" s="7" t="inlineStr"/>
    </row>
    <row r="448">
      <c r="A448" s="7" t="inlineStr">
        <is>
          <t>1</t>
        </is>
      </c>
      <c r="B448" s="7" t="inlineStr">
        <is>
          <t>G00152</t>
        </is>
      </c>
      <c r="C448" s="7" t="inlineStr">
        <is>
          <t>20260601</t>
        </is>
      </c>
      <c r="D448" s="7" t="inlineStr">
        <is>
          <t>N°2026000152</t>
        </is>
      </c>
      <c r="E448" s="7" t="inlineStr">
        <is>
          <t>BOUHAMMA DJAMEL EDDINE</t>
        </is>
      </c>
      <c r="F448" s="7" t="inlineStr">
        <is>
          <t>06002</t>
        </is>
      </c>
      <c r="G448" s="7" t="inlineStr">
        <is>
          <t>70001</t>
        </is>
      </c>
      <c r="H448" s="7" t="inlineStr"/>
      <c r="I448" s="7" t="inlineStr"/>
      <c r="J448" s="7" t="inlineStr"/>
      <c r="K448" s="7" t="inlineStr"/>
      <c r="L448" s="8" t="n">
        <v>0</v>
      </c>
      <c r="M448" s="8" t="n">
        <v>840336.15</v>
      </c>
      <c r="N448" s="7" t="inlineStr"/>
      <c r="O448" s="7" t="inlineStr"/>
      <c r="P448" s="7" t="inlineStr"/>
      <c r="Q448" s="7" t="inlineStr"/>
      <c r="R448" s="7" t="inlineStr"/>
    </row>
    <row r="449">
      <c r="A449" s="7" t="inlineStr">
        <is>
          <t>1</t>
        </is>
      </c>
      <c r="B449" s="7" t="inlineStr">
        <is>
          <t>G00152</t>
        </is>
      </c>
      <c r="C449" s="7" t="inlineStr">
        <is>
          <t>20260601</t>
        </is>
      </c>
      <c r="D449" s="7" t="inlineStr">
        <is>
          <t>N°2026000152</t>
        </is>
      </c>
      <c r="E449" s="7" t="inlineStr">
        <is>
          <t>BOUHAMMA DJAMEL EDDINE</t>
        </is>
      </c>
      <c r="F449" s="7" t="inlineStr">
        <is>
          <t>06002</t>
        </is>
      </c>
      <c r="G449" s="7" t="inlineStr">
        <is>
          <t>44517</t>
        </is>
      </c>
      <c r="H449" s="7" t="inlineStr"/>
      <c r="I449" s="7" t="inlineStr"/>
      <c r="J449" s="7" t="inlineStr"/>
      <c r="K449" s="7" t="inlineStr"/>
      <c r="L449" s="8" t="n">
        <v>0</v>
      </c>
      <c r="M449" s="8" t="n">
        <v>159663.87</v>
      </c>
      <c r="N449" s="7" t="inlineStr"/>
      <c r="O449" s="7" t="inlineStr"/>
      <c r="P449" s="7" t="inlineStr"/>
      <c r="Q449" s="7" t="inlineStr"/>
      <c r="R449" s="7" t="inlineStr"/>
    </row>
    <row r="450">
      <c r="A450" s="7" t="inlineStr">
        <is>
          <t>1</t>
        </is>
      </c>
      <c r="B450" s="7" t="inlineStr">
        <is>
          <t>G00153</t>
        </is>
      </c>
      <c r="C450" s="7" t="inlineStr">
        <is>
          <t>20260602</t>
        </is>
      </c>
      <c r="D450" s="7" t="inlineStr">
        <is>
          <t>N°2026000153</t>
        </is>
      </c>
      <c r="E450" s="7" t="inlineStr">
        <is>
          <t>HEMMAR ABDELHAMID</t>
        </is>
      </c>
      <c r="F450" s="7" t="inlineStr">
        <is>
          <t>06002</t>
        </is>
      </c>
      <c r="G450" s="7" t="inlineStr">
        <is>
          <t>41100</t>
        </is>
      </c>
      <c r="H450" s="7" t="inlineStr">
        <is>
          <t>C098</t>
        </is>
      </c>
      <c r="I450" s="7" t="inlineStr"/>
      <c r="J450" s="7" t="inlineStr"/>
      <c r="K450" s="7" t="inlineStr"/>
      <c r="L450" s="8" t="n">
        <v>1200000</v>
      </c>
      <c r="M450" s="8" t="n">
        <v>0</v>
      </c>
      <c r="N450" s="7" t="inlineStr"/>
      <c r="O450" s="7" t="inlineStr"/>
      <c r="P450" s="7" t="inlineStr"/>
      <c r="Q450" s="7" t="inlineStr"/>
      <c r="R450" s="7" t="inlineStr"/>
    </row>
    <row r="451">
      <c r="A451" s="7" t="inlineStr">
        <is>
          <t>1</t>
        </is>
      </c>
      <c r="B451" s="7" t="inlineStr">
        <is>
          <t>G00153</t>
        </is>
      </c>
      <c r="C451" s="7" t="inlineStr">
        <is>
          <t>20260602</t>
        </is>
      </c>
      <c r="D451" s="7" t="inlineStr">
        <is>
          <t>N°2026000153</t>
        </is>
      </c>
      <c r="E451" s="7" t="inlineStr">
        <is>
          <t>HEMMAR ABDELHAMID</t>
        </is>
      </c>
      <c r="F451" s="7" t="inlineStr">
        <is>
          <t>06002</t>
        </is>
      </c>
      <c r="G451" s="7" t="inlineStr">
        <is>
          <t>70001</t>
        </is>
      </c>
      <c r="H451" s="7" t="inlineStr"/>
      <c r="I451" s="7" t="inlineStr"/>
      <c r="J451" s="7" t="inlineStr"/>
      <c r="K451" s="7" t="inlineStr"/>
      <c r="L451" s="8" t="n">
        <v>0</v>
      </c>
      <c r="M451" s="8" t="n">
        <v>1008403.36</v>
      </c>
      <c r="N451" s="7" t="inlineStr"/>
      <c r="O451" s="7" t="inlineStr"/>
      <c r="P451" s="7" t="inlineStr"/>
      <c r="Q451" s="7" t="inlineStr"/>
      <c r="R451" s="7" t="inlineStr"/>
    </row>
    <row r="452">
      <c r="A452" s="7" t="inlineStr">
        <is>
          <t>1</t>
        </is>
      </c>
      <c r="B452" s="7" t="inlineStr">
        <is>
          <t>G00153</t>
        </is>
      </c>
      <c r="C452" s="7" t="inlineStr">
        <is>
          <t>20260602</t>
        </is>
      </c>
      <c r="D452" s="7" t="inlineStr">
        <is>
          <t>N°2026000153</t>
        </is>
      </c>
      <c r="E452" s="7" t="inlineStr">
        <is>
          <t>HEMMAR ABDELHAMID</t>
        </is>
      </c>
      <c r="F452" s="7" t="inlineStr">
        <is>
          <t>06002</t>
        </is>
      </c>
      <c r="G452" s="7" t="inlineStr">
        <is>
          <t>44517</t>
        </is>
      </c>
      <c r="H452" s="7" t="inlineStr"/>
      <c r="I452" s="7" t="inlineStr"/>
      <c r="J452" s="7" t="inlineStr"/>
      <c r="K452" s="7" t="inlineStr"/>
      <c r="L452" s="8" t="n">
        <v>0</v>
      </c>
      <c r="M452" s="8" t="n">
        <v>191596.64</v>
      </c>
      <c r="N452" s="7" t="inlineStr"/>
      <c r="O452" s="7" t="inlineStr"/>
      <c r="P452" s="7" t="inlineStr"/>
      <c r="Q452" s="7" t="inlineStr"/>
      <c r="R452" s="7" t="inlineStr"/>
    </row>
    <row r="453">
      <c r="A453" s="7" t="inlineStr">
        <is>
          <t>1</t>
        </is>
      </c>
      <c r="B453" s="7" t="inlineStr">
        <is>
          <t>G00154</t>
        </is>
      </c>
      <c r="C453" s="7" t="inlineStr">
        <is>
          <t>20260605</t>
        </is>
      </c>
      <c r="D453" s="7" t="inlineStr">
        <is>
          <t>N°2026000154</t>
        </is>
      </c>
      <c r="E453" s="7" t="inlineStr">
        <is>
          <t>SACI MOUSSA</t>
        </is>
      </c>
      <c r="F453" s="7" t="inlineStr">
        <is>
          <t>06002</t>
        </is>
      </c>
      <c r="G453" s="7" t="inlineStr">
        <is>
          <t>41100</t>
        </is>
      </c>
      <c r="H453" s="7" t="inlineStr">
        <is>
          <t>C891</t>
        </is>
      </c>
      <c r="I453" s="7" t="inlineStr"/>
      <c r="J453" s="7" t="inlineStr"/>
      <c r="K453" s="7" t="inlineStr"/>
      <c r="L453" s="8" t="n">
        <v>192499.99</v>
      </c>
      <c r="M453" s="8" t="n">
        <v>0</v>
      </c>
      <c r="N453" s="7" t="inlineStr"/>
      <c r="O453" s="7" t="inlineStr"/>
      <c r="P453" s="7" t="inlineStr"/>
      <c r="Q453" s="7" t="inlineStr"/>
      <c r="R453" s="7" t="inlineStr"/>
    </row>
    <row r="454">
      <c r="A454" s="7" t="inlineStr">
        <is>
          <t>1</t>
        </is>
      </c>
      <c r="B454" s="7" t="inlineStr">
        <is>
          <t>G00154</t>
        </is>
      </c>
      <c r="C454" s="7" t="inlineStr">
        <is>
          <t>20260605</t>
        </is>
      </c>
      <c r="D454" s="7" t="inlineStr">
        <is>
          <t>N°2026000154</t>
        </is>
      </c>
      <c r="E454" s="7" t="inlineStr">
        <is>
          <t>SACI MOUSSA</t>
        </is>
      </c>
      <c r="F454" s="7" t="inlineStr">
        <is>
          <t>06002</t>
        </is>
      </c>
      <c r="G454" s="7" t="inlineStr">
        <is>
          <t>70001</t>
        </is>
      </c>
      <c r="H454" s="7" t="inlineStr"/>
      <c r="I454" s="7" t="inlineStr"/>
      <c r="J454" s="7" t="inlineStr"/>
      <c r="K454" s="7" t="inlineStr"/>
      <c r="L454" s="8" t="n">
        <v>0</v>
      </c>
      <c r="M454" s="8" t="n">
        <v>161764.7</v>
      </c>
      <c r="N454" s="7" t="inlineStr"/>
      <c r="O454" s="7" t="inlineStr"/>
      <c r="P454" s="7" t="inlineStr"/>
      <c r="Q454" s="7" t="inlineStr"/>
      <c r="R454" s="7" t="inlineStr"/>
    </row>
    <row r="455">
      <c r="A455" s="7" t="inlineStr">
        <is>
          <t>1</t>
        </is>
      </c>
      <c r="B455" s="7" t="inlineStr">
        <is>
          <t>G00154</t>
        </is>
      </c>
      <c r="C455" s="7" t="inlineStr">
        <is>
          <t>20260605</t>
        </is>
      </c>
      <c r="D455" s="7" t="inlineStr">
        <is>
          <t>N°2026000154</t>
        </is>
      </c>
      <c r="E455" s="7" t="inlineStr">
        <is>
          <t>SACI MOUSSA</t>
        </is>
      </c>
      <c r="F455" s="7" t="inlineStr">
        <is>
          <t>06002</t>
        </is>
      </c>
      <c r="G455" s="7" t="inlineStr">
        <is>
          <t>44517</t>
        </is>
      </c>
      <c r="H455" s="7" t="inlineStr"/>
      <c r="I455" s="7" t="inlineStr"/>
      <c r="J455" s="7" t="inlineStr"/>
      <c r="K455" s="7" t="inlineStr"/>
      <c r="L455" s="8" t="n">
        <v>0</v>
      </c>
      <c r="M455" s="8" t="n">
        <v>30735.29</v>
      </c>
      <c r="N455" s="7" t="inlineStr"/>
      <c r="O455" s="7" t="inlineStr"/>
      <c r="P455" s="7" t="inlineStr"/>
      <c r="Q455" s="7" t="inlineStr"/>
      <c r="R455" s="7" t="inlineStr"/>
    </row>
    <row r="456">
      <c r="A456" s="7" t="inlineStr">
        <is>
          <t>1</t>
        </is>
      </c>
      <c r="B456" s="7" t="inlineStr">
        <is>
          <t>G00155</t>
        </is>
      </c>
      <c r="C456" s="7" t="inlineStr">
        <is>
          <t>20260606</t>
        </is>
      </c>
      <c r="D456" s="7" t="inlineStr">
        <is>
          <t>N°2026000155</t>
        </is>
      </c>
      <c r="E456" s="7" t="inlineStr">
        <is>
          <t>TILKOUT AHCEN</t>
        </is>
      </c>
      <c r="F456" s="7" t="inlineStr">
        <is>
          <t>06002</t>
        </is>
      </c>
      <c r="G456" s="7" t="inlineStr">
        <is>
          <t>41100</t>
        </is>
      </c>
      <c r="H456" s="7" t="inlineStr">
        <is>
          <t>C918</t>
        </is>
      </c>
      <c r="I456" s="7" t="inlineStr"/>
      <c r="J456" s="7" t="inlineStr"/>
      <c r="K456" s="7" t="inlineStr"/>
      <c r="L456" s="8" t="n">
        <v>184500</v>
      </c>
      <c r="M456" s="8" t="n">
        <v>0</v>
      </c>
      <c r="N456" s="7" t="inlineStr"/>
      <c r="O456" s="7" t="inlineStr"/>
      <c r="P456" s="7" t="inlineStr"/>
      <c r="Q456" s="7" t="inlineStr"/>
      <c r="R456" s="7" t="inlineStr"/>
    </row>
    <row r="457">
      <c r="A457" s="7" t="inlineStr">
        <is>
          <t>1</t>
        </is>
      </c>
      <c r="B457" s="7" t="inlineStr">
        <is>
          <t>G00155</t>
        </is>
      </c>
      <c r="C457" s="7" t="inlineStr">
        <is>
          <t>20260606</t>
        </is>
      </c>
      <c r="D457" s="7" t="inlineStr">
        <is>
          <t>N°2026000155</t>
        </is>
      </c>
      <c r="E457" s="7" t="inlineStr">
        <is>
          <t>TILKOUT AHCEN</t>
        </is>
      </c>
      <c r="F457" s="7" t="inlineStr">
        <is>
          <t>06002</t>
        </is>
      </c>
      <c r="G457" s="7" t="inlineStr">
        <is>
          <t>70001</t>
        </is>
      </c>
      <c r="H457" s="7" t="inlineStr"/>
      <c r="I457" s="7" t="inlineStr"/>
      <c r="J457" s="7" t="inlineStr"/>
      <c r="K457" s="7" t="inlineStr"/>
      <c r="L457" s="8" t="n">
        <v>0</v>
      </c>
      <c r="M457" s="8" t="n">
        <v>155042.02</v>
      </c>
      <c r="N457" s="7" t="inlineStr"/>
      <c r="O457" s="7" t="inlineStr"/>
      <c r="P457" s="7" t="inlineStr"/>
      <c r="Q457" s="7" t="inlineStr"/>
      <c r="R457" s="7" t="inlineStr"/>
    </row>
    <row r="458">
      <c r="A458" s="7" t="inlineStr">
        <is>
          <t>1</t>
        </is>
      </c>
      <c r="B458" s="7" t="inlineStr">
        <is>
          <t>G00155</t>
        </is>
      </c>
      <c r="C458" s="7" t="inlineStr">
        <is>
          <t>20260606</t>
        </is>
      </c>
      <c r="D458" s="7" t="inlineStr">
        <is>
          <t>N°2026000155</t>
        </is>
      </c>
      <c r="E458" s="7" t="inlineStr">
        <is>
          <t>TILKOUT AHCEN</t>
        </is>
      </c>
      <c r="F458" s="7" t="inlineStr">
        <is>
          <t>06002</t>
        </is>
      </c>
      <c r="G458" s="7" t="inlineStr">
        <is>
          <t>44517</t>
        </is>
      </c>
      <c r="H458" s="7" t="inlineStr"/>
      <c r="I458" s="7" t="inlineStr"/>
      <c r="J458" s="7" t="inlineStr"/>
      <c r="K458" s="7" t="inlineStr"/>
      <c r="L458" s="8" t="n">
        <v>0</v>
      </c>
      <c r="M458" s="8" t="n">
        <v>29457.98</v>
      </c>
      <c r="N458" s="7" t="inlineStr"/>
      <c r="O458" s="7" t="inlineStr"/>
      <c r="P458" s="7" t="inlineStr"/>
      <c r="Q458" s="7" t="inlineStr"/>
      <c r="R458" s="7" t="inlineStr"/>
    </row>
    <row r="459">
      <c r="A459" s="7" t="inlineStr">
        <is>
          <t>1</t>
        </is>
      </c>
      <c r="B459" s="7" t="inlineStr">
        <is>
          <t>G00156</t>
        </is>
      </c>
      <c r="C459" s="7" t="inlineStr">
        <is>
          <t>20260607</t>
        </is>
      </c>
      <c r="D459" s="7" t="inlineStr">
        <is>
          <t>N°2026000156</t>
        </is>
      </c>
      <c r="E459" s="7" t="inlineStr">
        <is>
          <t>SARL GEURROUF AUTO</t>
        </is>
      </c>
      <c r="F459" s="7" t="inlineStr">
        <is>
          <t>06002</t>
        </is>
      </c>
      <c r="G459" s="7" t="inlineStr">
        <is>
          <t>41100</t>
        </is>
      </c>
      <c r="H459" s="7" t="inlineStr">
        <is>
          <t>C1092</t>
        </is>
      </c>
      <c r="I459" s="7" t="inlineStr"/>
      <c r="J459" s="7" t="inlineStr"/>
      <c r="K459" s="7" t="inlineStr"/>
      <c r="L459" s="8" t="n">
        <v>291550</v>
      </c>
      <c r="M459" s="8" t="n">
        <v>0</v>
      </c>
      <c r="N459" s="7" t="inlineStr"/>
      <c r="O459" s="7" t="inlineStr"/>
      <c r="P459" s="7" t="inlineStr"/>
      <c r="Q459" s="7" t="inlineStr"/>
      <c r="R459" s="7" t="inlineStr"/>
    </row>
    <row r="460">
      <c r="A460" s="7" t="inlineStr">
        <is>
          <t>1</t>
        </is>
      </c>
      <c r="B460" s="7" t="inlineStr">
        <is>
          <t>G00156</t>
        </is>
      </c>
      <c r="C460" s="7" t="inlineStr">
        <is>
          <t>20260607</t>
        </is>
      </c>
      <c r="D460" s="7" t="inlineStr">
        <is>
          <t>N°2026000156</t>
        </is>
      </c>
      <c r="E460" s="7" t="inlineStr">
        <is>
          <t>SARL GEURROUF AUTO</t>
        </is>
      </c>
      <c r="F460" s="7" t="inlineStr">
        <is>
          <t>06002</t>
        </is>
      </c>
      <c r="G460" s="7" t="inlineStr">
        <is>
          <t>70001</t>
        </is>
      </c>
      <c r="H460" s="7" t="inlineStr"/>
      <c r="I460" s="7" t="inlineStr"/>
      <c r="J460" s="7" t="inlineStr"/>
      <c r="K460" s="7" t="inlineStr"/>
      <c r="L460" s="8" t="n">
        <v>0</v>
      </c>
      <c r="M460" s="8" t="n">
        <v>245000</v>
      </c>
      <c r="N460" s="7" t="inlineStr"/>
      <c r="O460" s="7" t="inlineStr"/>
      <c r="P460" s="7" t="inlineStr"/>
      <c r="Q460" s="7" t="inlineStr"/>
      <c r="R460" s="7" t="inlineStr"/>
    </row>
    <row r="461">
      <c r="A461" s="7" t="inlineStr">
        <is>
          <t>1</t>
        </is>
      </c>
      <c r="B461" s="7" t="inlineStr">
        <is>
          <t>G00156</t>
        </is>
      </c>
      <c r="C461" s="7" t="inlineStr">
        <is>
          <t>20260607</t>
        </is>
      </c>
      <c r="D461" s="7" t="inlineStr">
        <is>
          <t>N°2026000156</t>
        </is>
      </c>
      <c r="E461" s="7" t="inlineStr">
        <is>
          <t>SARL GEURROUF AUTO</t>
        </is>
      </c>
      <c r="F461" s="7" t="inlineStr">
        <is>
          <t>06002</t>
        </is>
      </c>
      <c r="G461" s="7" t="inlineStr">
        <is>
          <t>44517</t>
        </is>
      </c>
      <c r="H461" s="7" t="inlineStr"/>
      <c r="I461" s="7" t="inlineStr"/>
      <c r="J461" s="7" t="inlineStr"/>
      <c r="K461" s="7" t="inlineStr"/>
      <c r="L461" s="8" t="n">
        <v>0</v>
      </c>
      <c r="M461" s="8" t="n">
        <v>46550</v>
      </c>
      <c r="N461" s="7" t="inlineStr"/>
      <c r="O461" s="7" t="inlineStr"/>
      <c r="P461" s="7" t="inlineStr"/>
      <c r="Q461" s="7" t="inlineStr"/>
      <c r="R461" s="7" t="inlineStr"/>
    </row>
    <row r="462">
      <c r="A462" s="7" t="inlineStr">
        <is>
          <t>1</t>
        </is>
      </c>
      <c r="B462" s="7" t="inlineStr">
        <is>
          <t>G00157</t>
        </is>
      </c>
      <c r="C462" s="7" t="inlineStr">
        <is>
          <t>20260608</t>
        </is>
      </c>
      <c r="D462" s="7" t="inlineStr">
        <is>
          <t>N°2026000157</t>
        </is>
      </c>
      <c r="E462" s="7" t="inlineStr">
        <is>
          <t>SAHRAOUI BECHAGHA</t>
        </is>
      </c>
      <c r="F462" s="7" t="inlineStr">
        <is>
          <t>06002</t>
        </is>
      </c>
      <c r="G462" s="7" t="inlineStr">
        <is>
          <t>41100</t>
        </is>
      </c>
      <c r="H462" s="7" t="inlineStr">
        <is>
          <t>C975</t>
        </is>
      </c>
      <c r="I462" s="7" t="inlineStr"/>
      <c r="J462" s="7" t="inlineStr"/>
      <c r="K462" s="7" t="inlineStr"/>
      <c r="L462" s="8" t="n">
        <v>168200</v>
      </c>
      <c r="M462" s="8" t="n">
        <v>0</v>
      </c>
      <c r="N462" s="7" t="inlineStr"/>
      <c r="O462" s="7" t="inlineStr"/>
      <c r="P462" s="7" t="inlineStr"/>
      <c r="Q462" s="7" t="inlineStr"/>
      <c r="R462" s="7" t="inlineStr"/>
    </row>
    <row r="463">
      <c r="A463" s="7" t="inlineStr">
        <is>
          <t>1</t>
        </is>
      </c>
      <c r="B463" s="7" t="inlineStr">
        <is>
          <t>G00157</t>
        </is>
      </c>
      <c r="C463" s="7" t="inlineStr">
        <is>
          <t>20260608</t>
        </is>
      </c>
      <c r="D463" s="7" t="inlineStr">
        <is>
          <t>N°2026000157</t>
        </is>
      </c>
      <c r="E463" s="7" t="inlineStr">
        <is>
          <t>SAHRAOUI BECHAGHA</t>
        </is>
      </c>
      <c r="F463" s="7" t="inlineStr">
        <is>
          <t>06002</t>
        </is>
      </c>
      <c r="G463" s="7" t="inlineStr">
        <is>
          <t>70001</t>
        </is>
      </c>
      <c r="H463" s="7" t="inlineStr"/>
      <c r="I463" s="7" t="inlineStr"/>
      <c r="J463" s="7" t="inlineStr"/>
      <c r="K463" s="7" t="inlineStr"/>
      <c r="L463" s="8" t="n">
        <v>0</v>
      </c>
      <c r="M463" s="8" t="n">
        <v>141344.54</v>
      </c>
      <c r="N463" s="7" t="inlineStr"/>
      <c r="O463" s="7" t="inlineStr"/>
      <c r="P463" s="7" t="inlineStr"/>
      <c r="Q463" s="7" t="inlineStr"/>
      <c r="R463" s="7" t="inlineStr"/>
    </row>
    <row r="464">
      <c r="A464" s="7" t="inlineStr">
        <is>
          <t>1</t>
        </is>
      </c>
      <c r="B464" s="7" t="inlineStr">
        <is>
          <t>G00157</t>
        </is>
      </c>
      <c r="C464" s="7" t="inlineStr">
        <is>
          <t>20260608</t>
        </is>
      </c>
      <c r="D464" s="7" t="inlineStr">
        <is>
          <t>N°2026000157</t>
        </is>
      </c>
      <c r="E464" s="7" t="inlineStr">
        <is>
          <t>SAHRAOUI BECHAGHA</t>
        </is>
      </c>
      <c r="F464" s="7" t="inlineStr">
        <is>
          <t>06002</t>
        </is>
      </c>
      <c r="G464" s="7" t="inlineStr">
        <is>
          <t>44517</t>
        </is>
      </c>
      <c r="H464" s="7" t="inlineStr"/>
      <c r="I464" s="7" t="inlineStr"/>
      <c r="J464" s="7" t="inlineStr"/>
      <c r="K464" s="7" t="inlineStr"/>
      <c r="L464" s="8" t="n">
        <v>0</v>
      </c>
      <c r="M464" s="8" t="n">
        <v>26855.46</v>
      </c>
      <c r="N464" s="7" t="inlineStr"/>
      <c r="O464" s="7" t="inlineStr"/>
      <c r="P464" s="7" t="inlineStr"/>
      <c r="Q464" s="7" t="inlineStr"/>
      <c r="R464" s="7" t="inlineStr"/>
    </row>
    <row r="465">
      <c r="A465" s="7" t="inlineStr">
        <is>
          <t>1</t>
        </is>
      </c>
      <c r="B465" s="7" t="inlineStr">
        <is>
          <t>G00158</t>
        </is>
      </c>
      <c r="C465" s="7" t="inlineStr">
        <is>
          <t>20260609</t>
        </is>
      </c>
      <c r="D465" s="7" t="inlineStr">
        <is>
          <t>N°2026000158</t>
        </is>
      </c>
      <c r="E465" s="7" t="inlineStr">
        <is>
          <t>EURL MEHTAR SERVICES</t>
        </is>
      </c>
      <c r="F465" s="7" t="inlineStr">
        <is>
          <t>06002</t>
        </is>
      </c>
      <c r="G465" s="7" t="inlineStr">
        <is>
          <t>41100</t>
        </is>
      </c>
      <c r="H465" s="7" t="inlineStr">
        <is>
          <t>C1050</t>
        </is>
      </c>
      <c r="I465" s="7" t="inlineStr"/>
      <c r="J465" s="7" t="inlineStr"/>
      <c r="K465" s="7" t="inlineStr"/>
      <c r="L465" s="8" t="n">
        <v>400000</v>
      </c>
      <c r="M465" s="8" t="n">
        <v>0</v>
      </c>
      <c r="N465" s="7" t="inlineStr"/>
      <c r="O465" s="7" t="inlineStr"/>
      <c r="P465" s="7" t="inlineStr"/>
      <c r="Q465" s="7" t="inlineStr"/>
      <c r="R465" s="7" t="inlineStr"/>
    </row>
    <row r="466">
      <c r="A466" s="7" t="inlineStr">
        <is>
          <t>1</t>
        </is>
      </c>
      <c r="B466" s="7" t="inlineStr">
        <is>
          <t>G00158</t>
        </is>
      </c>
      <c r="C466" s="7" t="inlineStr">
        <is>
          <t>20260609</t>
        </is>
      </c>
      <c r="D466" s="7" t="inlineStr">
        <is>
          <t>N°2026000158</t>
        </is>
      </c>
      <c r="E466" s="7" t="inlineStr">
        <is>
          <t>EURL MEHTAR SERVICES</t>
        </is>
      </c>
      <c r="F466" s="7" t="inlineStr">
        <is>
          <t>06002</t>
        </is>
      </c>
      <c r="G466" s="7" t="inlineStr">
        <is>
          <t>70001</t>
        </is>
      </c>
      <c r="H466" s="7" t="inlineStr"/>
      <c r="I466" s="7" t="inlineStr"/>
      <c r="J466" s="7" t="inlineStr"/>
      <c r="K466" s="7" t="inlineStr"/>
      <c r="L466" s="8" t="n">
        <v>0</v>
      </c>
      <c r="M466" s="8" t="n">
        <v>336134.45</v>
      </c>
      <c r="N466" s="7" t="inlineStr"/>
      <c r="O466" s="7" t="inlineStr"/>
      <c r="P466" s="7" t="inlineStr"/>
      <c r="Q466" s="7" t="inlineStr"/>
      <c r="R466" s="7" t="inlineStr"/>
    </row>
    <row r="467">
      <c r="A467" s="7" t="inlineStr">
        <is>
          <t>1</t>
        </is>
      </c>
      <c r="B467" s="7" t="inlineStr">
        <is>
          <t>G00158</t>
        </is>
      </c>
      <c r="C467" s="7" t="inlineStr">
        <is>
          <t>20260609</t>
        </is>
      </c>
      <c r="D467" s="7" t="inlineStr">
        <is>
          <t>N°2026000158</t>
        </is>
      </c>
      <c r="E467" s="7" t="inlineStr">
        <is>
          <t>EURL MEHTAR SERVICES</t>
        </is>
      </c>
      <c r="F467" s="7" t="inlineStr">
        <is>
          <t>06002</t>
        </is>
      </c>
      <c r="G467" s="7" t="inlineStr">
        <is>
          <t>44517</t>
        </is>
      </c>
      <c r="H467" s="7" t="inlineStr"/>
      <c r="I467" s="7" t="inlineStr"/>
      <c r="J467" s="7" t="inlineStr"/>
      <c r="K467" s="7" t="inlineStr"/>
      <c r="L467" s="8" t="n">
        <v>0</v>
      </c>
      <c r="M467" s="8" t="n">
        <v>63865.55</v>
      </c>
      <c r="N467" s="7" t="inlineStr"/>
      <c r="O467" s="7" t="inlineStr"/>
      <c r="P467" s="7" t="inlineStr"/>
      <c r="Q467" s="7" t="inlineStr"/>
      <c r="R467" s="7" t="inlineStr"/>
    </row>
    <row r="468">
      <c r="A468" s="7" t="inlineStr">
        <is>
          <t>1</t>
        </is>
      </c>
      <c r="B468" s="7" t="inlineStr">
        <is>
          <t>G00159</t>
        </is>
      </c>
      <c r="C468" s="7" t="inlineStr">
        <is>
          <t>20260611</t>
        </is>
      </c>
      <c r="D468" s="7" t="inlineStr">
        <is>
          <t>N°2026000159</t>
        </is>
      </c>
      <c r="E468" s="7" t="inlineStr">
        <is>
          <t>BOUHAMED ABDERRAHIM</t>
        </is>
      </c>
      <c r="F468" s="7" t="inlineStr">
        <is>
          <t>06002</t>
        </is>
      </c>
      <c r="G468" s="7" t="inlineStr">
        <is>
          <t>41100</t>
        </is>
      </c>
      <c r="H468" s="7" t="inlineStr">
        <is>
          <t>C980</t>
        </is>
      </c>
      <c r="I468" s="7" t="inlineStr"/>
      <c r="J468" s="7" t="inlineStr"/>
      <c r="K468" s="7" t="inlineStr"/>
      <c r="L468" s="8" t="n">
        <v>450200</v>
      </c>
      <c r="M468" s="8" t="n">
        <v>0</v>
      </c>
      <c r="N468" s="7" t="inlineStr"/>
      <c r="O468" s="7" t="inlineStr"/>
      <c r="P468" s="7" t="inlineStr"/>
      <c r="Q468" s="7" t="inlineStr"/>
      <c r="R468" s="7" t="inlineStr"/>
    </row>
    <row r="469">
      <c r="A469" s="7" t="inlineStr">
        <is>
          <t>1</t>
        </is>
      </c>
      <c r="B469" s="7" t="inlineStr">
        <is>
          <t>G00159</t>
        </is>
      </c>
      <c r="C469" s="7" t="inlineStr">
        <is>
          <t>20260611</t>
        </is>
      </c>
      <c r="D469" s="7" t="inlineStr">
        <is>
          <t>N°2026000159</t>
        </is>
      </c>
      <c r="E469" s="7" t="inlineStr">
        <is>
          <t>BOUHAMED ABDERRAHIM</t>
        </is>
      </c>
      <c r="F469" s="7" t="inlineStr">
        <is>
          <t>06002</t>
        </is>
      </c>
      <c r="G469" s="7" t="inlineStr">
        <is>
          <t>70001</t>
        </is>
      </c>
      <c r="H469" s="7" t="inlineStr"/>
      <c r="I469" s="7" t="inlineStr"/>
      <c r="J469" s="7" t="inlineStr"/>
      <c r="K469" s="7" t="inlineStr"/>
      <c r="L469" s="8" t="n">
        <v>0</v>
      </c>
      <c r="M469" s="8" t="n">
        <v>378319.33</v>
      </c>
      <c r="N469" s="7" t="inlineStr"/>
      <c r="O469" s="7" t="inlineStr"/>
      <c r="P469" s="7" t="inlineStr"/>
      <c r="Q469" s="7" t="inlineStr"/>
      <c r="R469" s="7" t="inlineStr"/>
    </row>
    <row r="470">
      <c r="A470" s="7" t="inlineStr">
        <is>
          <t>1</t>
        </is>
      </c>
      <c r="B470" s="7" t="inlineStr">
        <is>
          <t>G00159</t>
        </is>
      </c>
      <c r="C470" s="7" t="inlineStr">
        <is>
          <t>20260611</t>
        </is>
      </c>
      <c r="D470" s="7" t="inlineStr">
        <is>
          <t>N°2026000159</t>
        </is>
      </c>
      <c r="E470" s="7" t="inlineStr">
        <is>
          <t>BOUHAMED ABDERRAHIM</t>
        </is>
      </c>
      <c r="F470" s="7" t="inlineStr">
        <is>
          <t>06002</t>
        </is>
      </c>
      <c r="G470" s="7" t="inlineStr">
        <is>
          <t>44517</t>
        </is>
      </c>
      <c r="H470" s="7" t="inlineStr"/>
      <c r="I470" s="7" t="inlineStr"/>
      <c r="J470" s="7" t="inlineStr"/>
      <c r="K470" s="7" t="inlineStr"/>
      <c r="L470" s="8" t="n">
        <v>0</v>
      </c>
      <c r="M470" s="8" t="n">
        <v>71880.67</v>
      </c>
      <c r="N470" s="7" t="inlineStr"/>
      <c r="O470" s="7" t="inlineStr"/>
      <c r="P470" s="7" t="inlineStr"/>
      <c r="Q470" s="7" t="inlineStr"/>
      <c r="R470" s="7" t="inlineStr"/>
    </row>
    <row r="471">
      <c r="A471" s="7" t="inlineStr">
        <is>
          <t>1</t>
        </is>
      </c>
      <c r="B471" s="7" t="inlineStr">
        <is>
          <t>G00160</t>
        </is>
      </c>
      <c r="C471" s="7" t="inlineStr">
        <is>
          <t>20260611</t>
        </is>
      </c>
      <c r="D471" s="7" t="inlineStr">
        <is>
          <t>N°2026000160</t>
        </is>
      </c>
      <c r="E471" s="7" t="inlineStr">
        <is>
          <t>SARL GEURROUF AUTO</t>
        </is>
      </c>
      <c r="F471" s="7" t="inlineStr">
        <is>
          <t>06002</t>
        </is>
      </c>
      <c r="G471" s="7" t="inlineStr">
        <is>
          <t>41100</t>
        </is>
      </c>
      <c r="H471" s="7" t="inlineStr">
        <is>
          <t>C1092</t>
        </is>
      </c>
      <c r="I471" s="7" t="inlineStr"/>
      <c r="J471" s="7" t="inlineStr"/>
      <c r="K471" s="7" t="inlineStr"/>
      <c r="L471" s="8" t="n">
        <v>437920</v>
      </c>
      <c r="M471" s="8" t="n">
        <v>0</v>
      </c>
      <c r="N471" s="7" t="inlineStr"/>
      <c r="O471" s="7" t="inlineStr"/>
      <c r="P471" s="7" t="inlineStr"/>
      <c r="Q471" s="7" t="inlineStr"/>
      <c r="R471" s="7" t="inlineStr"/>
    </row>
    <row r="472">
      <c r="A472" s="7" t="inlineStr">
        <is>
          <t>1</t>
        </is>
      </c>
      <c r="B472" s="7" t="inlineStr">
        <is>
          <t>G00160</t>
        </is>
      </c>
      <c r="C472" s="7" t="inlineStr">
        <is>
          <t>20260611</t>
        </is>
      </c>
      <c r="D472" s="7" t="inlineStr">
        <is>
          <t>N°2026000160</t>
        </is>
      </c>
      <c r="E472" s="7" t="inlineStr">
        <is>
          <t>SARL GEURROUF AUTO</t>
        </is>
      </c>
      <c r="F472" s="7" t="inlineStr">
        <is>
          <t>06002</t>
        </is>
      </c>
      <c r="G472" s="7" t="inlineStr">
        <is>
          <t>70001</t>
        </is>
      </c>
      <c r="H472" s="7" t="inlineStr"/>
      <c r="I472" s="7" t="inlineStr"/>
      <c r="J472" s="7" t="inlineStr"/>
      <c r="K472" s="7" t="inlineStr"/>
      <c r="L472" s="8" t="n">
        <v>0</v>
      </c>
      <c r="M472" s="8" t="n">
        <v>368000</v>
      </c>
      <c r="N472" s="7" t="inlineStr"/>
      <c r="O472" s="7" t="inlineStr"/>
      <c r="P472" s="7" t="inlineStr"/>
      <c r="Q472" s="7" t="inlineStr"/>
      <c r="R472" s="7" t="inlineStr"/>
    </row>
    <row r="473">
      <c r="A473" s="7" t="inlineStr">
        <is>
          <t>1</t>
        </is>
      </c>
      <c r="B473" s="7" t="inlineStr">
        <is>
          <t>G00160</t>
        </is>
      </c>
      <c r="C473" s="7" t="inlineStr">
        <is>
          <t>20260611</t>
        </is>
      </c>
      <c r="D473" s="7" t="inlineStr">
        <is>
          <t>N°2026000160</t>
        </is>
      </c>
      <c r="E473" s="7" t="inlineStr">
        <is>
          <t>SARL GEURROUF AUTO</t>
        </is>
      </c>
      <c r="F473" s="7" t="inlineStr">
        <is>
          <t>06002</t>
        </is>
      </c>
      <c r="G473" s="7" t="inlineStr">
        <is>
          <t>44517</t>
        </is>
      </c>
      <c r="H473" s="7" t="inlineStr"/>
      <c r="I473" s="7" t="inlineStr"/>
      <c r="J473" s="7" t="inlineStr"/>
      <c r="K473" s="7" t="inlineStr"/>
      <c r="L473" s="8" t="n">
        <v>0</v>
      </c>
      <c r="M473" s="8" t="n">
        <v>69920</v>
      </c>
      <c r="N473" s="7" t="inlineStr"/>
      <c r="O473" s="7" t="inlineStr"/>
      <c r="P473" s="7" t="inlineStr"/>
      <c r="Q473" s="7" t="inlineStr"/>
      <c r="R473" s="7" t="inlineStr"/>
    </row>
    <row r="474">
      <c r="A474" s="7" t="inlineStr">
        <is>
          <t>1</t>
        </is>
      </c>
      <c r="B474" s="7" t="inlineStr">
        <is>
          <t>G00161</t>
        </is>
      </c>
      <c r="C474" s="7" t="inlineStr">
        <is>
          <t>20260614</t>
        </is>
      </c>
      <c r="D474" s="7" t="inlineStr">
        <is>
          <t>N°2026000161</t>
        </is>
      </c>
      <c r="E474" s="7" t="inlineStr">
        <is>
          <t>EURL MEHTAR SERVICES</t>
        </is>
      </c>
      <c r="F474" s="7" t="inlineStr">
        <is>
          <t>06002</t>
        </is>
      </c>
      <c r="G474" s="7" t="inlineStr">
        <is>
          <t>41100</t>
        </is>
      </c>
      <c r="H474" s="7" t="inlineStr">
        <is>
          <t>C1050</t>
        </is>
      </c>
      <c r="I474" s="7" t="inlineStr"/>
      <c r="J474" s="7" t="inlineStr"/>
      <c r="K474" s="7" t="inlineStr"/>
      <c r="L474" s="8" t="n">
        <v>300000</v>
      </c>
      <c r="M474" s="8" t="n">
        <v>0</v>
      </c>
      <c r="N474" s="7" t="inlineStr"/>
      <c r="O474" s="7" t="inlineStr"/>
      <c r="P474" s="7" t="inlineStr"/>
      <c r="Q474" s="7" t="inlineStr"/>
      <c r="R474" s="7" t="inlineStr"/>
    </row>
    <row r="475">
      <c r="A475" s="7" t="inlineStr">
        <is>
          <t>1</t>
        </is>
      </c>
      <c r="B475" s="7" t="inlineStr">
        <is>
          <t>G00161</t>
        </is>
      </c>
      <c r="C475" s="7" t="inlineStr">
        <is>
          <t>20260614</t>
        </is>
      </c>
      <c r="D475" s="7" t="inlineStr">
        <is>
          <t>N°2026000161</t>
        </is>
      </c>
      <c r="E475" s="7" t="inlineStr">
        <is>
          <t>EURL MEHTAR SERVICES</t>
        </is>
      </c>
      <c r="F475" s="7" t="inlineStr">
        <is>
          <t>06002</t>
        </is>
      </c>
      <c r="G475" s="7" t="inlineStr">
        <is>
          <t>70001</t>
        </is>
      </c>
      <c r="H475" s="7" t="inlineStr"/>
      <c r="I475" s="7" t="inlineStr"/>
      <c r="J475" s="7" t="inlineStr"/>
      <c r="K475" s="7" t="inlineStr"/>
      <c r="L475" s="8" t="n">
        <v>0</v>
      </c>
      <c r="M475" s="8" t="n">
        <v>252100.84</v>
      </c>
      <c r="N475" s="7" t="inlineStr"/>
      <c r="O475" s="7" t="inlineStr"/>
      <c r="P475" s="7" t="inlineStr"/>
      <c r="Q475" s="7" t="inlineStr"/>
      <c r="R475" s="7" t="inlineStr"/>
    </row>
    <row r="476">
      <c r="A476" s="7" t="inlineStr">
        <is>
          <t>1</t>
        </is>
      </c>
      <c r="B476" s="7" t="inlineStr">
        <is>
          <t>G00161</t>
        </is>
      </c>
      <c r="C476" s="7" t="inlineStr">
        <is>
          <t>20260614</t>
        </is>
      </c>
      <c r="D476" s="7" t="inlineStr">
        <is>
          <t>N°2026000161</t>
        </is>
      </c>
      <c r="E476" s="7" t="inlineStr">
        <is>
          <t>EURL MEHTAR SERVICES</t>
        </is>
      </c>
      <c r="F476" s="7" t="inlineStr">
        <is>
          <t>06002</t>
        </is>
      </c>
      <c r="G476" s="7" t="inlineStr">
        <is>
          <t>44517</t>
        </is>
      </c>
      <c r="H476" s="7" t="inlineStr"/>
      <c r="I476" s="7" t="inlineStr"/>
      <c r="J476" s="7" t="inlineStr"/>
      <c r="K476" s="7" t="inlineStr"/>
      <c r="L476" s="8" t="n">
        <v>0</v>
      </c>
      <c r="M476" s="8" t="n">
        <v>47899.16</v>
      </c>
      <c r="N476" s="7" t="inlineStr"/>
      <c r="O476" s="7" t="inlineStr"/>
      <c r="P476" s="7" t="inlineStr"/>
      <c r="Q476" s="7" t="inlineStr"/>
      <c r="R476" s="7" t="inlineStr"/>
    </row>
    <row r="477">
      <c r="A477" s="7" t="inlineStr">
        <is>
          <t>1</t>
        </is>
      </c>
      <c r="B477" s="7" t="inlineStr">
        <is>
          <t>G00162</t>
        </is>
      </c>
      <c r="C477" s="7" t="inlineStr">
        <is>
          <t>20260614</t>
        </is>
      </c>
      <c r="D477" s="7" t="inlineStr">
        <is>
          <t>N°2026000162</t>
        </is>
      </c>
      <c r="E477" s="7" t="inlineStr">
        <is>
          <t>EURL MEHTAR SERVICES</t>
        </is>
      </c>
      <c r="F477" s="7" t="inlineStr">
        <is>
          <t>06002</t>
        </is>
      </c>
      <c r="G477" s="7" t="inlineStr">
        <is>
          <t>41100</t>
        </is>
      </c>
      <c r="H477" s="7" t="inlineStr">
        <is>
          <t>C1050</t>
        </is>
      </c>
      <c r="I477" s="7" t="inlineStr"/>
      <c r="J477" s="7" t="inlineStr"/>
      <c r="K477" s="7" t="inlineStr"/>
      <c r="L477" s="8" t="n">
        <v>400000</v>
      </c>
      <c r="M477" s="8" t="n">
        <v>0</v>
      </c>
      <c r="N477" s="7" t="inlineStr"/>
      <c r="O477" s="7" t="inlineStr"/>
      <c r="P477" s="7" t="inlineStr"/>
      <c r="Q477" s="7" t="inlineStr"/>
      <c r="R477" s="7" t="inlineStr"/>
    </row>
    <row r="478">
      <c r="A478" s="7" t="inlineStr">
        <is>
          <t>1</t>
        </is>
      </c>
      <c r="B478" s="7" t="inlineStr">
        <is>
          <t>G00162</t>
        </is>
      </c>
      <c r="C478" s="7" t="inlineStr">
        <is>
          <t>20260614</t>
        </is>
      </c>
      <c r="D478" s="7" t="inlineStr">
        <is>
          <t>N°2026000162</t>
        </is>
      </c>
      <c r="E478" s="7" t="inlineStr">
        <is>
          <t>EURL MEHTAR SERVICES</t>
        </is>
      </c>
      <c r="F478" s="7" t="inlineStr">
        <is>
          <t>06002</t>
        </is>
      </c>
      <c r="G478" s="7" t="inlineStr">
        <is>
          <t>70001</t>
        </is>
      </c>
      <c r="H478" s="7" t="inlineStr"/>
      <c r="I478" s="7" t="inlineStr"/>
      <c r="J478" s="7" t="inlineStr"/>
      <c r="K478" s="7" t="inlineStr"/>
      <c r="L478" s="8" t="n">
        <v>0</v>
      </c>
      <c r="M478" s="8" t="n">
        <v>336134.45</v>
      </c>
      <c r="N478" s="7" t="inlineStr"/>
      <c r="O478" s="7" t="inlineStr"/>
      <c r="P478" s="7" t="inlineStr"/>
      <c r="Q478" s="7" t="inlineStr"/>
      <c r="R478" s="7" t="inlineStr"/>
    </row>
    <row r="479">
      <c r="A479" s="7" t="inlineStr">
        <is>
          <t>1</t>
        </is>
      </c>
      <c r="B479" s="7" t="inlineStr">
        <is>
          <t>G00162</t>
        </is>
      </c>
      <c r="C479" s="7" t="inlineStr">
        <is>
          <t>20260614</t>
        </is>
      </c>
      <c r="D479" s="7" t="inlineStr">
        <is>
          <t>N°2026000162</t>
        </is>
      </c>
      <c r="E479" s="7" t="inlineStr">
        <is>
          <t>EURL MEHTAR SERVICES</t>
        </is>
      </c>
      <c r="F479" s="7" t="inlineStr">
        <is>
          <t>06002</t>
        </is>
      </c>
      <c r="G479" s="7" t="inlineStr">
        <is>
          <t>44517</t>
        </is>
      </c>
      <c r="H479" s="7" t="inlineStr"/>
      <c r="I479" s="7" t="inlineStr"/>
      <c r="J479" s="7" t="inlineStr"/>
      <c r="K479" s="7" t="inlineStr"/>
      <c r="L479" s="8" t="n">
        <v>0</v>
      </c>
      <c r="M479" s="8" t="n">
        <v>63865.55</v>
      </c>
      <c r="N479" s="7" t="inlineStr"/>
      <c r="O479" s="7" t="inlineStr"/>
      <c r="P479" s="7" t="inlineStr"/>
      <c r="Q479" s="7" t="inlineStr"/>
      <c r="R479" s="7" t="inlineStr"/>
    </row>
    <row r="480">
      <c r="A480" s="7" t="inlineStr">
        <is>
          <t>1</t>
        </is>
      </c>
      <c r="B480" s="7" t="inlineStr">
        <is>
          <t>G00163</t>
        </is>
      </c>
      <c r="C480" s="7" t="inlineStr">
        <is>
          <t>20260615</t>
        </is>
      </c>
      <c r="D480" s="7" t="inlineStr">
        <is>
          <t>N°2026000163</t>
        </is>
      </c>
      <c r="E480" s="7" t="inlineStr">
        <is>
          <t>BOUHAMED ABDERRAHIM</t>
        </is>
      </c>
      <c r="F480" s="7" t="inlineStr">
        <is>
          <t>06002</t>
        </is>
      </c>
      <c r="G480" s="7" t="inlineStr">
        <is>
          <t>41100</t>
        </is>
      </c>
      <c r="H480" s="7" t="inlineStr">
        <is>
          <t>C980</t>
        </is>
      </c>
      <c r="I480" s="7" t="inlineStr"/>
      <c r="J480" s="7" t="inlineStr"/>
      <c r="K480" s="7" t="inlineStr"/>
      <c r="L480" s="8" t="n">
        <v>57294</v>
      </c>
      <c r="M480" s="8" t="n">
        <v>0</v>
      </c>
      <c r="N480" s="7" t="inlineStr"/>
      <c r="O480" s="7" t="inlineStr"/>
      <c r="P480" s="7" t="inlineStr"/>
      <c r="Q480" s="7" t="inlineStr"/>
      <c r="R480" s="7" t="inlineStr"/>
    </row>
    <row r="481">
      <c r="A481" s="7" t="inlineStr">
        <is>
          <t>1</t>
        </is>
      </c>
      <c r="B481" s="7" t="inlineStr">
        <is>
          <t>G00163</t>
        </is>
      </c>
      <c r="C481" s="7" t="inlineStr">
        <is>
          <t>20260615</t>
        </is>
      </c>
      <c r="D481" s="7" t="inlineStr">
        <is>
          <t>N°2026000163</t>
        </is>
      </c>
      <c r="E481" s="7" t="inlineStr">
        <is>
          <t>BOUHAMED ABDERRAHIM</t>
        </is>
      </c>
      <c r="F481" s="7" t="inlineStr">
        <is>
          <t>06002</t>
        </is>
      </c>
      <c r="G481" s="7" t="inlineStr">
        <is>
          <t>70001</t>
        </is>
      </c>
      <c r="H481" s="7" t="inlineStr"/>
      <c r="I481" s="7" t="inlineStr"/>
      <c r="J481" s="7" t="inlineStr"/>
      <c r="K481" s="7" t="inlineStr"/>
      <c r="L481" s="8" t="n">
        <v>0</v>
      </c>
      <c r="M481" s="8" t="n">
        <v>48146.22</v>
      </c>
      <c r="N481" s="7" t="inlineStr"/>
      <c r="O481" s="7" t="inlineStr"/>
      <c r="P481" s="7" t="inlineStr"/>
      <c r="Q481" s="7" t="inlineStr"/>
      <c r="R481" s="7" t="inlineStr"/>
    </row>
    <row r="482">
      <c r="A482" s="7" t="inlineStr">
        <is>
          <t>1</t>
        </is>
      </c>
      <c r="B482" s="7" t="inlineStr">
        <is>
          <t>G00163</t>
        </is>
      </c>
      <c r="C482" s="7" t="inlineStr">
        <is>
          <t>20260615</t>
        </is>
      </c>
      <c r="D482" s="7" t="inlineStr">
        <is>
          <t>N°2026000163</t>
        </is>
      </c>
      <c r="E482" s="7" t="inlineStr">
        <is>
          <t>BOUHAMED ABDERRAHIM</t>
        </is>
      </c>
      <c r="F482" s="7" t="inlineStr">
        <is>
          <t>06002</t>
        </is>
      </c>
      <c r="G482" s="7" t="inlineStr">
        <is>
          <t>44517</t>
        </is>
      </c>
      <c r="H482" s="7" t="inlineStr"/>
      <c r="I482" s="7" t="inlineStr"/>
      <c r="J482" s="7" t="inlineStr"/>
      <c r="K482" s="7" t="inlineStr"/>
      <c r="L482" s="8" t="n">
        <v>0</v>
      </c>
      <c r="M482" s="8" t="n">
        <v>9147.780000000001</v>
      </c>
      <c r="N482" s="7" t="inlineStr"/>
      <c r="O482" s="7" t="inlineStr"/>
      <c r="P482" s="7" t="inlineStr"/>
      <c r="Q482" s="7" t="inlineStr"/>
      <c r="R482" s="7" t="inlineStr"/>
    </row>
    <row r="483">
      <c r="A483" s="7" t="inlineStr">
        <is>
          <t>1</t>
        </is>
      </c>
      <c r="B483" s="7" t="inlineStr">
        <is>
          <t>G00164</t>
        </is>
      </c>
      <c r="C483" s="7" t="inlineStr">
        <is>
          <t>20260615</t>
        </is>
      </c>
      <c r="D483" s="7" t="inlineStr">
        <is>
          <t>N°2026000164</t>
        </is>
      </c>
      <c r="E483" s="7" t="inlineStr">
        <is>
          <t>EURL MEHTAR SERVICES</t>
        </is>
      </c>
      <c r="F483" s="7" t="inlineStr">
        <is>
          <t>06002</t>
        </is>
      </c>
      <c r="G483" s="7" t="inlineStr">
        <is>
          <t>41100</t>
        </is>
      </c>
      <c r="H483" s="7" t="inlineStr">
        <is>
          <t>C1050</t>
        </is>
      </c>
      <c r="I483" s="7" t="inlineStr"/>
      <c r="J483" s="7" t="inlineStr"/>
      <c r="K483" s="7" t="inlineStr"/>
      <c r="L483" s="8" t="n">
        <v>300000.02</v>
      </c>
      <c r="M483" s="8" t="n">
        <v>0</v>
      </c>
      <c r="N483" s="7" t="inlineStr"/>
      <c r="O483" s="7" t="inlineStr"/>
      <c r="P483" s="7" t="inlineStr"/>
      <c r="Q483" s="7" t="inlineStr"/>
      <c r="R483" s="7" t="inlineStr"/>
    </row>
    <row r="484">
      <c r="A484" s="7" t="inlineStr">
        <is>
          <t>1</t>
        </is>
      </c>
      <c r="B484" s="7" t="inlineStr">
        <is>
          <t>G00164</t>
        </is>
      </c>
      <c r="C484" s="7" t="inlineStr">
        <is>
          <t>20260615</t>
        </is>
      </c>
      <c r="D484" s="7" t="inlineStr">
        <is>
          <t>N°2026000164</t>
        </is>
      </c>
      <c r="E484" s="7" t="inlineStr">
        <is>
          <t>EURL MEHTAR SERVICES</t>
        </is>
      </c>
      <c r="F484" s="7" t="inlineStr">
        <is>
          <t>06002</t>
        </is>
      </c>
      <c r="G484" s="7" t="inlineStr">
        <is>
          <t>70001</t>
        </is>
      </c>
      <c r="H484" s="7" t="inlineStr"/>
      <c r="I484" s="7" t="inlineStr"/>
      <c r="J484" s="7" t="inlineStr"/>
      <c r="K484" s="7" t="inlineStr"/>
      <c r="L484" s="8" t="n">
        <v>0</v>
      </c>
      <c r="M484" s="8" t="n">
        <v>252100.86</v>
      </c>
      <c r="N484" s="7" t="inlineStr"/>
      <c r="O484" s="7" t="inlineStr"/>
      <c r="P484" s="7" t="inlineStr"/>
      <c r="Q484" s="7" t="inlineStr"/>
      <c r="R484" s="7" t="inlineStr"/>
    </row>
    <row r="485">
      <c r="A485" s="7" t="inlineStr">
        <is>
          <t>1</t>
        </is>
      </c>
      <c r="B485" s="7" t="inlineStr">
        <is>
          <t>G00164</t>
        </is>
      </c>
      <c r="C485" s="7" t="inlineStr">
        <is>
          <t>20260615</t>
        </is>
      </c>
      <c r="D485" s="7" t="inlineStr">
        <is>
          <t>N°2026000164</t>
        </is>
      </c>
      <c r="E485" s="7" t="inlineStr">
        <is>
          <t>EURL MEHTAR SERVICES</t>
        </is>
      </c>
      <c r="F485" s="7" t="inlineStr">
        <is>
          <t>06002</t>
        </is>
      </c>
      <c r="G485" s="7" t="inlineStr">
        <is>
          <t>44517</t>
        </is>
      </c>
      <c r="H485" s="7" t="inlineStr"/>
      <c r="I485" s="7" t="inlineStr"/>
      <c r="J485" s="7" t="inlineStr"/>
      <c r="K485" s="7" t="inlineStr"/>
      <c r="L485" s="8" t="n">
        <v>0</v>
      </c>
      <c r="M485" s="8" t="n">
        <v>47899.16</v>
      </c>
      <c r="N485" s="7" t="inlineStr"/>
      <c r="O485" s="7" t="inlineStr"/>
      <c r="P485" s="7" t="inlineStr"/>
      <c r="Q485" s="7" t="inlineStr"/>
      <c r="R485" s="7" t="inlineStr"/>
    </row>
    <row r="486">
      <c r="A486" s="7" t="inlineStr">
        <is>
          <t>1</t>
        </is>
      </c>
      <c r="B486" s="7" t="inlineStr">
        <is>
          <t>G00165</t>
        </is>
      </c>
      <c r="C486" s="7" t="inlineStr">
        <is>
          <t>20260616</t>
        </is>
      </c>
      <c r="D486" s="7" t="inlineStr">
        <is>
          <t>N°2026000165</t>
        </is>
      </c>
      <c r="E486" s="7" t="inlineStr">
        <is>
          <t>HANIFI SALAH</t>
        </is>
      </c>
      <c r="F486" s="7" t="inlineStr">
        <is>
          <t>06002</t>
        </is>
      </c>
      <c r="G486" s="7" t="inlineStr">
        <is>
          <t>41100</t>
        </is>
      </c>
      <c r="H486" s="7" t="inlineStr">
        <is>
          <t>C759</t>
        </is>
      </c>
      <c r="I486" s="7" t="inlineStr"/>
      <c r="J486" s="7" t="inlineStr"/>
      <c r="K486" s="7" t="inlineStr"/>
      <c r="L486" s="8" t="n">
        <v>27370</v>
      </c>
      <c r="M486" s="8" t="n">
        <v>0</v>
      </c>
      <c r="N486" s="7" t="inlineStr"/>
      <c r="O486" s="7" t="inlineStr"/>
      <c r="P486" s="7" t="inlineStr"/>
      <c r="Q486" s="7" t="inlineStr"/>
      <c r="R486" s="7" t="inlineStr"/>
    </row>
    <row r="487">
      <c r="A487" s="7" t="inlineStr">
        <is>
          <t>1</t>
        </is>
      </c>
      <c r="B487" s="7" t="inlineStr">
        <is>
          <t>G00165</t>
        </is>
      </c>
      <c r="C487" s="7" t="inlineStr">
        <is>
          <t>20260616</t>
        </is>
      </c>
      <c r="D487" s="7" t="inlineStr">
        <is>
          <t>N°2026000165</t>
        </is>
      </c>
      <c r="E487" s="7" t="inlineStr">
        <is>
          <t>HANIFI SALAH</t>
        </is>
      </c>
      <c r="F487" s="7" t="inlineStr">
        <is>
          <t>06002</t>
        </is>
      </c>
      <c r="G487" s="7" t="inlineStr">
        <is>
          <t>70001</t>
        </is>
      </c>
      <c r="H487" s="7" t="inlineStr"/>
      <c r="I487" s="7" t="inlineStr"/>
      <c r="J487" s="7" t="inlineStr"/>
      <c r="K487" s="7" t="inlineStr"/>
      <c r="L487" s="8" t="n">
        <v>0</v>
      </c>
      <c r="M487" s="8" t="n">
        <v>23000</v>
      </c>
      <c r="N487" s="7" t="inlineStr"/>
      <c r="O487" s="7" t="inlineStr"/>
      <c r="P487" s="7" t="inlineStr"/>
      <c r="Q487" s="7" t="inlineStr"/>
      <c r="R487" s="7" t="inlineStr"/>
    </row>
    <row r="488">
      <c r="A488" s="7" t="inlineStr">
        <is>
          <t>1</t>
        </is>
      </c>
      <c r="B488" s="7" t="inlineStr">
        <is>
          <t>G00165</t>
        </is>
      </c>
      <c r="C488" s="7" t="inlineStr">
        <is>
          <t>20260616</t>
        </is>
      </c>
      <c r="D488" s="7" t="inlineStr">
        <is>
          <t>N°2026000165</t>
        </is>
      </c>
      <c r="E488" s="7" t="inlineStr">
        <is>
          <t>HANIFI SALAH</t>
        </is>
      </c>
      <c r="F488" s="7" t="inlineStr">
        <is>
          <t>06002</t>
        </is>
      </c>
      <c r="G488" s="7" t="inlineStr">
        <is>
          <t>44517</t>
        </is>
      </c>
      <c r="H488" s="7" t="inlineStr"/>
      <c r="I488" s="7" t="inlineStr"/>
      <c r="J488" s="7" t="inlineStr"/>
      <c r="K488" s="7" t="inlineStr"/>
      <c r="L488" s="8" t="n">
        <v>0</v>
      </c>
      <c r="M488" s="8" t="n">
        <v>4370</v>
      </c>
      <c r="N488" s="7" t="inlineStr"/>
      <c r="O488" s="7" t="inlineStr"/>
      <c r="P488" s="7" t="inlineStr"/>
      <c r="Q488" s="7" t="inlineStr"/>
      <c r="R488" s="7" t="inlineStr"/>
    </row>
    <row r="489">
      <c r="A489" s="7" t="inlineStr">
        <is>
          <t>1</t>
        </is>
      </c>
      <c r="B489" s="7" t="inlineStr">
        <is>
          <t>G00166</t>
        </is>
      </c>
      <c r="C489" s="7" t="inlineStr">
        <is>
          <t>20260616</t>
        </is>
      </c>
      <c r="D489" s="7" t="inlineStr">
        <is>
          <t>N°2026000166</t>
        </is>
      </c>
      <c r="E489" s="7" t="inlineStr">
        <is>
          <t>ZIANI LAKHDAR</t>
        </is>
      </c>
      <c r="F489" s="7" t="inlineStr">
        <is>
          <t>06002</t>
        </is>
      </c>
      <c r="G489" s="7" t="inlineStr">
        <is>
          <t>41100</t>
        </is>
      </c>
      <c r="H489" s="7" t="inlineStr">
        <is>
          <t>C916</t>
        </is>
      </c>
      <c r="I489" s="7" t="inlineStr"/>
      <c r="J489" s="7" t="inlineStr"/>
      <c r="K489" s="7" t="inlineStr"/>
      <c r="L489" s="8" t="n">
        <v>2000000</v>
      </c>
      <c r="M489" s="8" t="n">
        <v>0</v>
      </c>
      <c r="N489" s="7" t="inlineStr"/>
      <c r="O489" s="7" t="inlineStr"/>
      <c r="P489" s="7" t="inlineStr"/>
      <c r="Q489" s="7" t="inlineStr"/>
      <c r="R489" s="7" t="inlineStr"/>
    </row>
    <row r="490">
      <c r="A490" s="7" t="inlineStr">
        <is>
          <t>1</t>
        </is>
      </c>
      <c r="B490" s="7" t="inlineStr">
        <is>
          <t>G00166</t>
        </is>
      </c>
      <c r="C490" s="7" t="inlineStr">
        <is>
          <t>20260616</t>
        </is>
      </c>
      <c r="D490" s="7" t="inlineStr">
        <is>
          <t>N°2026000166</t>
        </is>
      </c>
      <c r="E490" s="7" t="inlineStr">
        <is>
          <t>ZIANI LAKHDAR</t>
        </is>
      </c>
      <c r="F490" s="7" t="inlineStr">
        <is>
          <t>06002</t>
        </is>
      </c>
      <c r="G490" s="7" t="inlineStr">
        <is>
          <t>70001</t>
        </is>
      </c>
      <c r="H490" s="7" t="inlineStr"/>
      <c r="I490" s="7" t="inlineStr"/>
      <c r="J490" s="7" t="inlineStr"/>
      <c r="K490" s="7" t="inlineStr"/>
      <c r="L490" s="8" t="n">
        <v>0</v>
      </c>
      <c r="M490" s="8" t="n">
        <v>1680672.27</v>
      </c>
      <c r="N490" s="7" t="inlineStr"/>
      <c r="O490" s="7" t="inlineStr"/>
      <c r="P490" s="7" t="inlineStr"/>
      <c r="Q490" s="7" t="inlineStr"/>
      <c r="R490" s="7" t="inlineStr"/>
    </row>
    <row r="491">
      <c r="A491" s="7" t="inlineStr">
        <is>
          <t>1</t>
        </is>
      </c>
      <c r="B491" s="7" t="inlineStr">
        <is>
          <t>G00166</t>
        </is>
      </c>
      <c r="C491" s="7" t="inlineStr">
        <is>
          <t>20260616</t>
        </is>
      </c>
      <c r="D491" s="7" t="inlineStr">
        <is>
          <t>N°2026000166</t>
        </is>
      </c>
      <c r="E491" s="7" t="inlineStr">
        <is>
          <t>ZIANI LAKHDAR</t>
        </is>
      </c>
      <c r="F491" s="7" t="inlineStr">
        <is>
          <t>06002</t>
        </is>
      </c>
      <c r="G491" s="7" t="inlineStr">
        <is>
          <t>44517</t>
        </is>
      </c>
      <c r="H491" s="7" t="inlineStr"/>
      <c r="I491" s="7" t="inlineStr"/>
      <c r="J491" s="7" t="inlineStr"/>
      <c r="K491" s="7" t="inlineStr"/>
      <c r="L491" s="8" t="n">
        <v>0</v>
      </c>
      <c r="M491" s="8" t="n">
        <v>319327.73</v>
      </c>
      <c r="N491" s="7" t="inlineStr"/>
      <c r="O491" s="7" t="inlineStr"/>
      <c r="P491" s="7" t="inlineStr"/>
      <c r="Q491" s="7" t="inlineStr"/>
      <c r="R491" s="7" t="inlineStr"/>
    </row>
    <row r="492">
      <c r="A492" s="7" t="inlineStr">
        <is>
          <t>1</t>
        </is>
      </c>
      <c r="B492" s="7" t="inlineStr">
        <is>
          <t>G00167</t>
        </is>
      </c>
      <c r="C492" s="7" t="inlineStr">
        <is>
          <t>20260617</t>
        </is>
      </c>
      <c r="D492" s="7" t="inlineStr">
        <is>
          <t>N°2026000167</t>
        </is>
      </c>
      <c r="E492" s="7" t="inlineStr">
        <is>
          <t>DERDOURI FAROUK AFAK AUTO PART</t>
        </is>
      </c>
      <c r="F492" s="7" t="inlineStr">
        <is>
          <t>06002</t>
        </is>
      </c>
      <c r="G492" s="7" t="inlineStr">
        <is>
          <t>41100</t>
        </is>
      </c>
      <c r="H492" s="7" t="inlineStr">
        <is>
          <t>C831</t>
        </is>
      </c>
      <c r="I492" s="7" t="inlineStr"/>
      <c r="J492" s="7" t="inlineStr"/>
      <c r="K492" s="7" t="inlineStr"/>
      <c r="L492" s="8" t="n">
        <v>580000</v>
      </c>
      <c r="M492" s="8" t="n">
        <v>0</v>
      </c>
      <c r="N492" s="7" t="inlineStr"/>
      <c r="O492" s="7" t="inlineStr"/>
      <c r="P492" s="7" t="inlineStr"/>
      <c r="Q492" s="7" t="inlineStr"/>
      <c r="R492" s="7" t="inlineStr"/>
    </row>
    <row r="493">
      <c r="A493" s="7" t="inlineStr">
        <is>
          <t>1</t>
        </is>
      </c>
      <c r="B493" s="7" t="inlineStr">
        <is>
          <t>G00167</t>
        </is>
      </c>
      <c r="C493" s="7" t="inlineStr">
        <is>
          <t>20260617</t>
        </is>
      </c>
      <c r="D493" s="7" t="inlineStr">
        <is>
          <t>N°2026000167</t>
        </is>
      </c>
      <c r="E493" s="7" t="inlineStr">
        <is>
          <t>DERDOURI FAROUK AFAK AUTO PART</t>
        </is>
      </c>
      <c r="F493" s="7" t="inlineStr">
        <is>
          <t>06002</t>
        </is>
      </c>
      <c r="G493" s="7" t="inlineStr">
        <is>
          <t>70001</t>
        </is>
      </c>
      <c r="H493" s="7" t="inlineStr"/>
      <c r="I493" s="7" t="inlineStr"/>
      <c r="J493" s="7" t="inlineStr"/>
      <c r="K493" s="7" t="inlineStr"/>
      <c r="L493" s="8" t="n">
        <v>0</v>
      </c>
      <c r="M493" s="8" t="n">
        <v>487394.96</v>
      </c>
      <c r="N493" s="7" t="inlineStr"/>
      <c r="O493" s="7" t="inlineStr"/>
      <c r="P493" s="7" t="inlineStr"/>
      <c r="Q493" s="7" t="inlineStr"/>
      <c r="R493" s="7" t="inlineStr"/>
    </row>
    <row r="494">
      <c r="A494" s="7" t="inlineStr">
        <is>
          <t>1</t>
        </is>
      </c>
      <c r="B494" s="7" t="inlineStr">
        <is>
          <t>G00167</t>
        </is>
      </c>
      <c r="C494" s="7" t="inlineStr">
        <is>
          <t>20260617</t>
        </is>
      </c>
      <c r="D494" s="7" t="inlineStr">
        <is>
          <t>N°2026000167</t>
        </is>
      </c>
      <c r="E494" s="7" t="inlineStr">
        <is>
          <t>DERDOURI FAROUK AFAK AUTO PART</t>
        </is>
      </c>
      <c r="F494" s="7" t="inlineStr">
        <is>
          <t>06002</t>
        </is>
      </c>
      <c r="G494" s="7" t="inlineStr">
        <is>
          <t>44517</t>
        </is>
      </c>
      <c r="H494" s="7" t="inlineStr"/>
      <c r="I494" s="7" t="inlineStr"/>
      <c r="J494" s="7" t="inlineStr"/>
      <c r="K494" s="7" t="inlineStr"/>
      <c r="L494" s="8" t="n">
        <v>0</v>
      </c>
      <c r="M494" s="8" t="n">
        <v>92605.03999999999</v>
      </c>
      <c r="N494" s="7" t="inlineStr"/>
      <c r="O494" s="7" t="inlineStr"/>
      <c r="P494" s="7" t="inlineStr"/>
      <c r="Q494" s="7" t="inlineStr"/>
      <c r="R494" s="7" t="inlineStr"/>
    </row>
    <row r="495">
      <c r="A495" s="7" t="inlineStr">
        <is>
          <t>1</t>
        </is>
      </c>
      <c r="B495" s="7" t="inlineStr">
        <is>
          <t>G00169</t>
        </is>
      </c>
      <c r="C495" s="7" t="inlineStr">
        <is>
          <t>20260701</t>
        </is>
      </c>
      <c r="D495" s="7" t="inlineStr">
        <is>
          <t>N°2026000169</t>
        </is>
      </c>
      <c r="E495" s="7" t="inlineStr">
        <is>
          <t>EURL B.S. COMMERCE</t>
        </is>
      </c>
      <c r="F495" s="7" t="inlineStr">
        <is>
          <t>06002</t>
        </is>
      </c>
      <c r="G495" s="7" t="inlineStr">
        <is>
          <t>41100</t>
        </is>
      </c>
      <c r="H495" s="7" t="inlineStr">
        <is>
          <t>C740</t>
        </is>
      </c>
      <c r="I495" s="7" t="inlineStr"/>
      <c r="J495" s="7" t="inlineStr"/>
      <c r="K495" s="7" t="inlineStr"/>
      <c r="L495" s="8" t="n">
        <v>614950</v>
      </c>
      <c r="M495" s="8" t="n">
        <v>0</v>
      </c>
      <c r="N495" s="7" t="inlineStr"/>
      <c r="O495" s="7" t="inlineStr"/>
      <c r="P495" s="7" t="inlineStr"/>
      <c r="Q495" s="7" t="inlineStr"/>
      <c r="R495" s="7" t="inlineStr"/>
    </row>
    <row r="496">
      <c r="A496" s="7" t="inlineStr">
        <is>
          <t>1</t>
        </is>
      </c>
      <c r="B496" s="7" t="inlineStr">
        <is>
          <t>G00169</t>
        </is>
      </c>
      <c r="C496" s="7" t="inlineStr">
        <is>
          <t>20260701</t>
        </is>
      </c>
      <c r="D496" s="7" t="inlineStr">
        <is>
          <t>N°2026000169</t>
        </is>
      </c>
      <c r="E496" s="7" t="inlineStr">
        <is>
          <t>EURL B.S. COMMERCE</t>
        </is>
      </c>
      <c r="F496" s="7" t="inlineStr">
        <is>
          <t>06002</t>
        </is>
      </c>
      <c r="G496" s="7" t="inlineStr">
        <is>
          <t>70001</t>
        </is>
      </c>
      <c r="H496" s="7" t="inlineStr"/>
      <c r="I496" s="7" t="inlineStr"/>
      <c r="J496" s="7" t="inlineStr"/>
      <c r="K496" s="7" t="inlineStr"/>
      <c r="L496" s="8" t="n">
        <v>0</v>
      </c>
      <c r="M496" s="8" t="n">
        <v>516764.71</v>
      </c>
      <c r="N496" s="7" t="inlineStr"/>
      <c r="O496" s="7" t="inlineStr"/>
      <c r="P496" s="7" t="inlineStr"/>
      <c r="Q496" s="7" t="inlineStr"/>
      <c r="R496" s="7" t="inlineStr"/>
    </row>
    <row r="497">
      <c r="A497" s="7" t="inlineStr">
        <is>
          <t>1</t>
        </is>
      </c>
      <c r="B497" s="7" t="inlineStr">
        <is>
          <t>G00169</t>
        </is>
      </c>
      <c r="C497" s="7" t="inlineStr">
        <is>
          <t>20260701</t>
        </is>
      </c>
      <c r="D497" s="7" t="inlineStr">
        <is>
          <t>N°2026000169</t>
        </is>
      </c>
      <c r="E497" s="7" t="inlineStr">
        <is>
          <t>EURL B.S. COMMERCE</t>
        </is>
      </c>
      <c r="F497" s="7" t="inlineStr">
        <is>
          <t>06002</t>
        </is>
      </c>
      <c r="G497" s="7" t="inlineStr">
        <is>
          <t>44517</t>
        </is>
      </c>
      <c r="H497" s="7" t="inlineStr"/>
      <c r="I497" s="7" t="inlineStr"/>
      <c r="J497" s="7" t="inlineStr"/>
      <c r="K497" s="7" t="inlineStr"/>
      <c r="L497" s="8" t="n">
        <v>0</v>
      </c>
      <c r="M497" s="8" t="n">
        <v>98185.28999999999</v>
      </c>
      <c r="N497" s="7" t="inlineStr"/>
      <c r="O497" s="7" t="inlineStr"/>
      <c r="P497" s="7" t="inlineStr"/>
      <c r="Q497" s="7" t="inlineStr"/>
      <c r="R497" s="7" t="inlineStr"/>
    </row>
    <row r="498">
      <c r="A498" s="7" t="inlineStr">
        <is>
          <t>1</t>
        </is>
      </c>
      <c r="B498" s="7" t="inlineStr">
        <is>
          <t>G00170</t>
        </is>
      </c>
      <c r="C498" s="7" t="inlineStr">
        <is>
          <t>20260702</t>
        </is>
      </c>
      <c r="D498" s="7" t="inlineStr">
        <is>
          <t>N°2026000170</t>
        </is>
      </c>
      <c r="E498" s="7" t="inlineStr">
        <is>
          <t>EURL B.S. COMMERCE</t>
        </is>
      </c>
      <c r="F498" s="7" t="inlineStr">
        <is>
          <t>06002</t>
        </is>
      </c>
      <c r="G498" s="7" t="inlineStr">
        <is>
          <t>41100</t>
        </is>
      </c>
      <c r="H498" s="7" t="inlineStr">
        <is>
          <t>C740</t>
        </is>
      </c>
      <c r="I498" s="7" t="inlineStr"/>
      <c r="J498" s="7" t="inlineStr"/>
      <c r="K498" s="7" t="inlineStr"/>
      <c r="L498" s="8" t="n">
        <v>922250</v>
      </c>
      <c r="M498" s="8" t="n">
        <v>0</v>
      </c>
      <c r="N498" s="7" t="inlineStr"/>
      <c r="O498" s="7" t="inlineStr"/>
      <c r="P498" s="7" t="inlineStr"/>
      <c r="Q498" s="7" t="inlineStr"/>
      <c r="R498" s="7" t="inlineStr"/>
    </row>
    <row r="499">
      <c r="A499" s="7" t="inlineStr">
        <is>
          <t>1</t>
        </is>
      </c>
      <c r="B499" s="7" t="inlineStr">
        <is>
          <t>G00170</t>
        </is>
      </c>
      <c r="C499" s="7" t="inlineStr">
        <is>
          <t>20260702</t>
        </is>
      </c>
      <c r="D499" s="7" t="inlineStr">
        <is>
          <t>N°2026000170</t>
        </is>
      </c>
      <c r="E499" s="7" t="inlineStr">
        <is>
          <t>EURL B.S. COMMERCE</t>
        </is>
      </c>
      <c r="F499" s="7" t="inlineStr">
        <is>
          <t>06002</t>
        </is>
      </c>
      <c r="G499" s="7" t="inlineStr">
        <is>
          <t>70001</t>
        </is>
      </c>
      <c r="H499" s="7" t="inlineStr"/>
      <c r="I499" s="7" t="inlineStr"/>
      <c r="J499" s="7" t="inlineStr"/>
      <c r="K499" s="7" t="inlineStr"/>
      <c r="L499" s="8" t="n">
        <v>0</v>
      </c>
      <c r="M499" s="8" t="n">
        <v>775000</v>
      </c>
      <c r="N499" s="7" t="inlineStr"/>
      <c r="O499" s="7" t="inlineStr"/>
      <c r="P499" s="7" t="inlineStr"/>
      <c r="Q499" s="7" t="inlineStr"/>
      <c r="R499" s="7" t="inlineStr"/>
    </row>
    <row r="500">
      <c r="A500" s="7" t="inlineStr">
        <is>
          <t>1</t>
        </is>
      </c>
      <c r="B500" s="7" t="inlineStr">
        <is>
          <t>G00170</t>
        </is>
      </c>
      <c r="C500" s="7" t="inlineStr">
        <is>
          <t>20260702</t>
        </is>
      </c>
      <c r="D500" s="7" t="inlineStr">
        <is>
          <t>N°2026000170</t>
        </is>
      </c>
      <c r="E500" s="7" t="inlineStr">
        <is>
          <t>EURL B.S. COMMERCE</t>
        </is>
      </c>
      <c r="F500" s="7" t="inlineStr">
        <is>
          <t>06002</t>
        </is>
      </c>
      <c r="G500" s="7" t="inlineStr">
        <is>
          <t>44517</t>
        </is>
      </c>
      <c r="H500" s="7" t="inlineStr"/>
      <c r="I500" s="7" t="inlineStr"/>
      <c r="J500" s="7" t="inlineStr"/>
      <c r="K500" s="7" t="inlineStr"/>
      <c r="L500" s="8" t="n">
        <v>0</v>
      </c>
      <c r="M500" s="8" t="n">
        <v>147250</v>
      </c>
      <c r="N500" s="7" t="inlineStr"/>
      <c r="O500" s="7" t="inlineStr"/>
      <c r="P500" s="7" t="inlineStr"/>
      <c r="Q500" s="7" t="inlineStr"/>
      <c r="R500" s="7" t="inlineStr"/>
    </row>
    <row r="501">
      <c r="A501" s="7" t="inlineStr">
        <is>
          <t>1</t>
        </is>
      </c>
      <c r="B501" s="7" t="inlineStr">
        <is>
          <t>G00171</t>
        </is>
      </c>
      <c r="C501" s="7" t="inlineStr">
        <is>
          <t>20260702</t>
        </is>
      </c>
      <c r="D501" s="7" t="inlineStr">
        <is>
          <t>N°2026000171</t>
        </is>
      </c>
      <c r="E501" s="7" t="inlineStr">
        <is>
          <t>SARL EURODAX TRUCKS</t>
        </is>
      </c>
      <c r="F501" s="7" t="inlineStr">
        <is>
          <t>06002</t>
        </is>
      </c>
      <c r="G501" s="7" t="inlineStr">
        <is>
          <t>41100</t>
        </is>
      </c>
      <c r="H501" s="7" t="inlineStr">
        <is>
          <t>C907</t>
        </is>
      </c>
      <c r="I501" s="7" t="inlineStr"/>
      <c r="J501" s="7" t="inlineStr"/>
      <c r="K501" s="7" t="inlineStr"/>
      <c r="L501" s="8" t="n">
        <v>760600.02</v>
      </c>
      <c r="M501" s="8" t="n">
        <v>0</v>
      </c>
      <c r="N501" s="7" t="inlineStr"/>
      <c r="O501" s="7" t="inlineStr"/>
      <c r="P501" s="7" t="inlineStr"/>
      <c r="Q501" s="7" t="inlineStr"/>
      <c r="R501" s="7" t="inlineStr"/>
    </row>
    <row r="502">
      <c r="A502" s="7" t="inlineStr">
        <is>
          <t>1</t>
        </is>
      </c>
      <c r="B502" s="7" t="inlineStr">
        <is>
          <t>G00171</t>
        </is>
      </c>
      <c r="C502" s="7" t="inlineStr">
        <is>
          <t>20260702</t>
        </is>
      </c>
      <c r="D502" s="7" t="inlineStr">
        <is>
          <t>N°2026000171</t>
        </is>
      </c>
      <c r="E502" s="7" t="inlineStr">
        <is>
          <t>SARL EURODAX TRUCKS</t>
        </is>
      </c>
      <c r="F502" s="7" t="inlineStr">
        <is>
          <t>06002</t>
        </is>
      </c>
      <c r="G502" s="7" t="inlineStr">
        <is>
          <t>70001</t>
        </is>
      </c>
      <c r="H502" s="7" t="inlineStr"/>
      <c r="I502" s="7" t="inlineStr"/>
      <c r="J502" s="7" t="inlineStr"/>
      <c r="K502" s="7" t="inlineStr"/>
      <c r="L502" s="8" t="n">
        <v>0</v>
      </c>
      <c r="M502" s="8" t="n">
        <v>639159.6800000001</v>
      </c>
      <c r="N502" s="7" t="inlineStr"/>
      <c r="O502" s="7" t="inlineStr"/>
      <c r="P502" s="7" t="inlineStr"/>
      <c r="Q502" s="7" t="inlineStr"/>
      <c r="R502" s="7" t="inlineStr"/>
    </row>
    <row r="503">
      <c r="A503" s="7" t="inlineStr">
        <is>
          <t>1</t>
        </is>
      </c>
      <c r="B503" s="7" t="inlineStr">
        <is>
          <t>G00171</t>
        </is>
      </c>
      <c r="C503" s="7" t="inlineStr">
        <is>
          <t>20260702</t>
        </is>
      </c>
      <c r="D503" s="7" t="inlineStr">
        <is>
          <t>N°2026000171</t>
        </is>
      </c>
      <c r="E503" s="7" t="inlineStr">
        <is>
          <t>SARL EURODAX TRUCKS</t>
        </is>
      </c>
      <c r="F503" s="7" t="inlineStr">
        <is>
          <t>06002</t>
        </is>
      </c>
      <c r="G503" s="7" t="inlineStr">
        <is>
          <t>44517</t>
        </is>
      </c>
      <c r="H503" s="7" t="inlineStr"/>
      <c r="I503" s="7" t="inlineStr"/>
      <c r="J503" s="7" t="inlineStr"/>
      <c r="K503" s="7" t="inlineStr"/>
      <c r="L503" s="8" t="n">
        <v>0</v>
      </c>
      <c r="M503" s="8" t="n">
        <v>121440.34</v>
      </c>
      <c r="N503" s="7" t="inlineStr"/>
      <c r="O503" s="7" t="inlineStr"/>
      <c r="P503" s="7" t="inlineStr"/>
      <c r="Q503" s="7" t="inlineStr"/>
      <c r="R503" s="7" t="inlineStr"/>
    </row>
    <row r="504">
      <c r="A504" s="7" t="inlineStr">
        <is>
          <t>1</t>
        </is>
      </c>
      <c r="B504" s="7" t="inlineStr">
        <is>
          <t>G00172</t>
        </is>
      </c>
      <c r="C504" s="7" t="inlineStr">
        <is>
          <t>20260703</t>
        </is>
      </c>
      <c r="D504" s="7" t="inlineStr">
        <is>
          <t>N°2026000172</t>
        </is>
      </c>
      <c r="E504" s="7" t="inlineStr">
        <is>
          <t>MASSIOUN HAMZA</t>
        </is>
      </c>
      <c r="F504" s="7" t="inlineStr">
        <is>
          <t>06002</t>
        </is>
      </c>
      <c r="G504" s="7" t="inlineStr">
        <is>
          <t>41100</t>
        </is>
      </c>
      <c r="H504" s="7" t="inlineStr">
        <is>
          <t>C622</t>
        </is>
      </c>
      <c r="I504" s="7" t="inlineStr"/>
      <c r="J504" s="7" t="inlineStr"/>
      <c r="K504" s="7" t="inlineStr"/>
      <c r="L504" s="8" t="n">
        <v>63000</v>
      </c>
      <c r="M504" s="8" t="n">
        <v>0</v>
      </c>
      <c r="N504" s="7" t="inlineStr"/>
      <c r="O504" s="7" t="inlineStr"/>
      <c r="P504" s="7" t="inlineStr"/>
      <c r="Q504" s="7" t="inlineStr"/>
      <c r="R504" s="7" t="inlineStr"/>
    </row>
    <row r="505">
      <c r="A505" s="7" t="inlineStr">
        <is>
          <t>1</t>
        </is>
      </c>
      <c r="B505" s="7" t="inlineStr">
        <is>
          <t>G00172</t>
        </is>
      </c>
      <c r="C505" s="7" t="inlineStr">
        <is>
          <t>20260703</t>
        </is>
      </c>
      <c r="D505" s="7" t="inlineStr">
        <is>
          <t>N°2026000172</t>
        </is>
      </c>
      <c r="E505" s="7" t="inlineStr">
        <is>
          <t>MASSIOUN HAMZA</t>
        </is>
      </c>
      <c r="F505" s="7" t="inlineStr">
        <is>
          <t>06002</t>
        </is>
      </c>
      <c r="G505" s="7" t="inlineStr">
        <is>
          <t>70001</t>
        </is>
      </c>
      <c r="H505" s="7" t="inlineStr"/>
      <c r="I505" s="7" t="inlineStr"/>
      <c r="J505" s="7" t="inlineStr"/>
      <c r="K505" s="7" t="inlineStr"/>
      <c r="L505" s="8" t="n">
        <v>0</v>
      </c>
      <c r="M505" s="8" t="n">
        <v>52941.18</v>
      </c>
      <c r="N505" s="7" t="inlineStr"/>
      <c r="O505" s="7" t="inlineStr"/>
      <c r="P505" s="7" t="inlineStr"/>
      <c r="Q505" s="7" t="inlineStr"/>
      <c r="R505" s="7" t="inlineStr"/>
    </row>
    <row r="506">
      <c r="A506" s="7" t="inlineStr">
        <is>
          <t>1</t>
        </is>
      </c>
      <c r="B506" s="7" t="inlineStr">
        <is>
          <t>G00172</t>
        </is>
      </c>
      <c r="C506" s="7" t="inlineStr">
        <is>
          <t>20260703</t>
        </is>
      </c>
      <c r="D506" s="7" t="inlineStr">
        <is>
          <t>N°2026000172</t>
        </is>
      </c>
      <c r="E506" s="7" t="inlineStr">
        <is>
          <t>MASSIOUN HAMZA</t>
        </is>
      </c>
      <c r="F506" s="7" t="inlineStr">
        <is>
          <t>06002</t>
        </is>
      </c>
      <c r="G506" s="7" t="inlineStr">
        <is>
          <t>44517</t>
        </is>
      </c>
      <c r="H506" s="7" t="inlineStr"/>
      <c r="I506" s="7" t="inlineStr"/>
      <c r="J506" s="7" t="inlineStr"/>
      <c r="K506" s="7" t="inlineStr"/>
      <c r="L506" s="8" t="n">
        <v>0</v>
      </c>
      <c r="M506" s="8" t="n">
        <v>10058.82</v>
      </c>
      <c r="N506" s="7" t="inlineStr"/>
      <c r="O506" s="7" t="inlineStr"/>
      <c r="P506" s="7" t="inlineStr"/>
      <c r="Q506" s="7" t="inlineStr"/>
      <c r="R506" s="7" t="inlineStr"/>
    </row>
    <row r="507">
      <c r="A507" s="7" t="inlineStr">
        <is>
          <t>1</t>
        </is>
      </c>
      <c r="B507" s="7" t="inlineStr">
        <is>
          <t>G00173</t>
        </is>
      </c>
      <c r="C507" s="7" t="inlineStr">
        <is>
          <t>20260703</t>
        </is>
      </c>
      <c r="D507" s="7" t="inlineStr">
        <is>
          <t>N°2026000173</t>
        </is>
      </c>
      <c r="E507" s="7" t="inlineStr">
        <is>
          <t>KOUICI MILOUD</t>
        </is>
      </c>
      <c r="F507" s="7" t="inlineStr">
        <is>
          <t>06002</t>
        </is>
      </c>
      <c r="G507" s="7" t="inlineStr">
        <is>
          <t>41100</t>
        </is>
      </c>
      <c r="H507" s="7" t="inlineStr">
        <is>
          <t>C014</t>
        </is>
      </c>
      <c r="I507" s="7" t="inlineStr"/>
      <c r="J507" s="7" t="inlineStr"/>
      <c r="K507" s="7" t="inlineStr"/>
      <c r="L507" s="8" t="n">
        <v>899660.02</v>
      </c>
      <c r="M507" s="8" t="n">
        <v>0</v>
      </c>
      <c r="N507" s="7" t="inlineStr"/>
      <c r="O507" s="7" t="inlineStr"/>
      <c r="P507" s="7" t="inlineStr"/>
      <c r="Q507" s="7" t="inlineStr"/>
      <c r="R507" s="7" t="inlineStr"/>
    </row>
    <row r="508">
      <c r="A508" s="7" t="inlineStr">
        <is>
          <t>1</t>
        </is>
      </c>
      <c r="B508" s="7" t="inlineStr">
        <is>
          <t>G00173</t>
        </is>
      </c>
      <c r="C508" s="7" t="inlineStr">
        <is>
          <t>20260703</t>
        </is>
      </c>
      <c r="D508" s="7" t="inlineStr">
        <is>
          <t>N°2026000173</t>
        </is>
      </c>
      <c r="E508" s="7" t="inlineStr">
        <is>
          <t>KOUICI MILOUD</t>
        </is>
      </c>
      <c r="F508" s="7" t="inlineStr">
        <is>
          <t>06002</t>
        </is>
      </c>
      <c r="G508" s="7" t="inlineStr">
        <is>
          <t>70001</t>
        </is>
      </c>
      <c r="H508" s="7" t="inlineStr"/>
      <c r="I508" s="7" t="inlineStr"/>
      <c r="J508" s="7" t="inlineStr"/>
      <c r="K508" s="7" t="inlineStr"/>
      <c r="L508" s="8" t="n">
        <v>0</v>
      </c>
      <c r="M508" s="8" t="n">
        <v>756016.8199999999</v>
      </c>
      <c r="N508" s="7" t="inlineStr"/>
      <c r="O508" s="7" t="inlineStr"/>
      <c r="P508" s="7" t="inlineStr"/>
      <c r="Q508" s="7" t="inlineStr"/>
      <c r="R508" s="7" t="inlineStr"/>
    </row>
    <row r="509">
      <c r="A509" s="7" t="inlineStr">
        <is>
          <t>1</t>
        </is>
      </c>
      <c r="B509" s="7" t="inlineStr">
        <is>
          <t>G00173</t>
        </is>
      </c>
      <c r="C509" s="7" t="inlineStr">
        <is>
          <t>20260703</t>
        </is>
      </c>
      <c r="D509" s="7" t="inlineStr">
        <is>
          <t>N°2026000173</t>
        </is>
      </c>
      <c r="E509" s="7" t="inlineStr">
        <is>
          <t>KOUICI MILOUD</t>
        </is>
      </c>
      <c r="F509" s="7" t="inlineStr">
        <is>
          <t>06002</t>
        </is>
      </c>
      <c r="G509" s="7" t="inlineStr">
        <is>
          <t>44517</t>
        </is>
      </c>
      <c r="H509" s="7" t="inlineStr"/>
      <c r="I509" s="7" t="inlineStr"/>
      <c r="J509" s="7" t="inlineStr"/>
      <c r="K509" s="7" t="inlineStr"/>
      <c r="L509" s="8" t="n">
        <v>0</v>
      </c>
      <c r="M509" s="8" t="n">
        <v>143643.2</v>
      </c>
      <c r="N509" s="7" t="inlineStr"/>
      <c r="O509" s="7" t="inlineStr"/>
      <c r="P509" s="7" t="inlineStr"/>
      <c r="Q509" s="7" t="inlineStr"/>
      <c r="R509" s="7" t="inlineStr"/>
    </row>
    <row r="510">
      <c r="A510" s="7" t="inlineStr">
        <is>
          <t>1</t>
        </is>
      </c>
      <c r="B510" s="7" t="inlineStr">
        <is>
          <t>G00174</t>
        </is>
      </c>
      <c r="C510" s="7" t="inlineStr">
        <is>
          <t>20260703</t>
        </is>
      </c>
      <c r="D510" s="7" t="inlineStr">
        <is>
          <t>N°2026000174</t>
        </is>
      </c>
      <c r="E510" s="7" t="inlineStr">
        <is>
          <t>TILKOUT AHCEN</t>
        </is>
      </c>
      <c r="F510" s="7" t="inlineStr">
        <is>
          <t>06002</t>
        </is>
      </c>
      <c r="G510" s="7" t="inlineStr">
        <is>
          <t>41100</t>
        </is>
      </c>
      <c r="H510" s="7" t="inlineStr">
        <is>
          <t>C918</t>
        </is>
      </c>
      <c r="I510" s="7" t="inlineStr"/>
      <c r="J510" s="7" t="inlineStr"/>
      <c r="K510" s="7" t="inlineStr"/>
      <c r="L510" s="8" t="n">
        <v>72000</v>
      </c>
      <c r="M510" s="8" t="n">
        <v>0</v>
      </c>
      <c r="N510" s="7" t="inlineStr"/>
      <c r="O510" s="7" t="inlineStr"/>
      <c r="P510" s="7" t="inlineStr"/>
      <c r="Q510" s="7" t="inlineStr"/>
      <c r="R510" s="7" t="inlineStr"/>
    </row>
    <row r="511">
      <c r="A511" s="7" t="inlineStr">
        <is>
          <t>1</t>
        </is>
      </c>
      <c r="B511" s="7" t="inlineStr">
        <is>
          <t>G00174</t>
        </is>
      </c>
      <c r="C511" s="7" t="inlineStr">
        <is>
          <t>20260703</t>
        </is>
      </c>
      <c r="D511" s="7" t="inlineStr">
        <is>
          <t>N°2026000174</t>
        </is>
      </c>
      <c r="E511" s="7" t="inlineStr">
        <is>
          <t>TILKOUT AHCEN</t>
        </is>
      </c>
      <c r="F511" s="7" t="inlineStr">
        <is>
          <t>06002</t>
        </is>
      </c>
      <c r="G511" s="7" t="inlineStr">
        <is>
          <t>70001</t>
        </is>
      </c>
      <c r="H511" s="7" t="inlineStr"/>
      <c r="I511" s="7" t="inlineStr"/>
      <c r="J511" s="7" t="inlineStr"/>
      <c r="K511" s="7" t="inlineStr"/>
      <c r="L511" s="8" t="n">
        <v>0</v>
      </c>
      <c r="M511" s="8" t="n">
        <v>60504.2</v>
      </c>
      <c r="N511" s="7" t="inlineStr"/>
      <c r="O511" s="7" t="inlineStr"/>
      <c r="P511" s="7" t="inlineStr"/>
      <c r="Q511" s="7" t="inlineStr"/>
      <c r="R511" s="7" t="inlineStr"/>
    </row>
    <row r="512">
      <c r="A512" s="7" t="inlineStr">
        <is>
          <t>1</t>
        </is>
      </c>
      <c r="B512" s="7" t="inlineStr">
        <is>
          <t>G00174</t>
        </is>
      </c>
      <c r="C512" s="7" t="inlineStr">
        <is>
          <t>20260703</t>
        </is>
      </c>
      <c r="D512" s="7" t="inlineStr">
        <is>
          <t>N°2026000174</t>
        </is>
      </c>
      <c r="E512" s="7" t="inlineStr">
        <is>
          <t>TILKOUT AHCEN</t>
        </is>
      </c>
      <c r="F512" s="7" t="inlineStr">
        <is>
          <t>06002</t>
        </is>
      </c>
      <c r="G512" s="7" t="inlineStr">
        <is>
          <t>44517</t>
        </is>
      </c>
      <c r="H512" s="7" t="inlineStr"/>
      <c r="I512" s="7" t="inlineStr"/>
      <c r="J512" s="7" t="inlineStr"/>
      <c r="K512" s="7" t="inlineStr"/>
      <c r="L512" s="8" t="n">
        <v>0</v>
      </c>
      <c r="M512" s="8" t="n">
        <v>11495.8</v>
      </c>
      <c r="N512" s="7" t="inlineStr"/>
      <c r="O512" s="7" t="inlineStr"/>
      <c r="P512" s="7" t="inlineStr"/>
      <c r="Q512" s="7" t="inlineStr"/>
      <c r="R512" s="7" t="inlineStr"/>
    </row>
    <row r="513">
      <c r="A513" s="7" t="inlineStr">
        <is>
          <t>1</t>
        </is>
      </c>
      <c r="B513" s="7" t="inlineStr">
        <is>
          <t>G00175</t>
        </is>
      </c>
      <c r="C513" s="7" t="inlineStr">
        <is>
          <t>20260704</t>
        </is>
      </c>
      <c r="D513" s="7" t="inlineStr">
        <is>
          <t>N°2026000175</t>
        </is>
      </c>
      <c r="E513" s="7" t="inlineStr">
        <is>
          <t>MOUDJEB DJAFFAR</t>
        </is>
      </c>
      <c r="F513" s="7" t="inlineStr">
        <is>
          <t>06002</t>
        </is>
      </c>
      <c r="G513" s="7" t="inlineStr">
        <is>
          <t>41100</t>
        </is>
      </c>
      <c r="H513" s="7" t="inlineStr">
        <is>
          <t>C1095</t>
        </is>
      </c>
      <c r="I513" s="7" t="inlineStr"/>
      <c r="J513" s="7" t="inlineStr"/>
      <c r="K513" s="7" t="inlineStr"/>
      <c r="L513" s="8" t="n">
        <v>92000.00999999999</v>
      </c>
      <c r="M513" s="8" t="n">
        <v>0</v>
      </c>
      <c r="N513" s="7" t="inlineStr"/>
      <c r="O513" s="7" t="inlineStr"/>
      <c r="P513" s="7" t="inlineStr"/>
      <c r="Q513" s="7" t="inlineStr"/>
      <c r="R513" s="7" t="inlineStr"/>
    </row>
    <row r="514">
      <c r="A514" s="7" t="inlineStr">
        <is>
          <t>1</t>
        </is>
      </c>
      <c r="B514" s="7" t="inlineStr">
        <is>
          <t>G00175</t>
        </is>
      </c>
      <c r="C514" s="7" t="inlineStr">
        <is>
          <t>20260704</t>
        </is>
      </c>
      <c r="D514" s="7" t="inlineStr">
        <is>
          <t>N°2026000175</t>
        </is>
      </c>
      <c r="E514" s="7" t="inlineStr">
        <is>
          <t>MOUDJEB DJAFFAR</t>
        </is>
      </c>
      <c r="F514" s="7" t="inlineStr">
        <is>
          <t>06002</t>
        </is>
      </c>
      <c r="G514" s="7" t="inlineStr">
        <is>
          <t>70001</t>
        </is>
      </c>
      <c r="H514" s="7" t="inlineStr"/>
      <c r="I514" s="7" t="inlineStr"/>
      <c r="J514" s="7" t="inlineStr"/>
      <c r="K514" s="7" t="inlineStr"/>
      <c r="L514" s="8" t="n">
        <v>0</v>
      </c>
      <c r="M514" s="8" t="n">
        <v>77310.92999999999</v>
      </c>
      <c r="N514" s="7" t="inlineStr"/>
      <c r="O514" s="7" t="inlineStr"/>
      <c r="P514" s="7" t="inlineStr"/>
      <c r="Q514" s="7" t="inlineStr"/>
      <c r="R514" s="7" t="inlineStr"/>
    </row>
    <row r="515">
      <c r="A515" s="7" t="inlineStr">
        <is>
          <t>1</t>
        </is>
      </c>
      <c r="B515" s="7" t="inlineStr">
        <is>
          <t>G00175</t>
        </is>
      </c>
      <c r="C515" s="7" t="inlineStr">
        <is>
          <t>20260704</t>
        </is>
      </c>
      <c r="D515" s="7" t="inlineStr">
        <is>
          <t>N°2026000175</t>
        </is>
      </c>
      <c r="E515" s="7" t="inlineStr">
        <is>
          <t>MOUDJEB DJAFFAR</t>
        </is>
      </c>
      <c r="F515" s="7" t="inlineStr">
        <is>
          <t>06002</t>
        </is>
      </c>
      <c r="G515" s="7" t="inlineStr">
        <is>
          <t>44517</t>
        </is>
      </c>
      <c r="H515" s="7" t="inlineStr"/>
      <c r="I515" s="7" t="inlineStr"/>
      <c r="J515" s="7" t="inlineStr"/>
      <c r="K515" s="7" t="inlineStr"/>
      <c r="L515" s="8" t="n">
        <v>0</v>
      </c>
      <c r="M515" s="8" t="n">
        <v>14689.08</v>
      </c>
      <c r="N515" s="7" t="inlineStr"/>
      <c r="O515" s="7" t="inlineStr"/>
      <c r="P515" s="7" t="inlineStr"/>
      <c r="Q515" s="7" t="inlineStr"/>
      <c r="R515" s="7" t="inlineStr"/>
    </row>
    <row r="516">
      <c r="A516" s="7" t="inlineStr">
        <is>
          <t>1</t>
        </is>
      </c>
      <c r="B516" s="7" t="inlineStr">
        <is>
          <t>G00176</t>
        </is>
      </c>
      <c r="C516" s="7" t="inlineStr">
        <is>
          <t>20260704</t>
        </is>
      </c>
      <c r="D516" s="7" t="inlineStr">
        <is>
          <t>N°2026000176</t>
        </is>
      </c>
      <c r="E516" s="7" t="inlineStr">
        <is>
          <t>EURL EZZAHRA LOCATION DE MATER</t>
        </is>
      </c>
      <c r="F516" s="7" t="inlineStr">
        <is>
          <t>06002</t>
        </is>
      </c>
      <c r="G516" s="7" t="inlineStr">
        <is>
          <t>41100</t>
        </is>
      </c>
      <c r="H516" s="7" t="inlineStr">
        <is>
          <t>C1096</t>
        </is>
      </c>
      <c r="I516" s="7" t="inlineStr"/>
      <c r="J516" s="7" t="inlineStr"/>
      <c r="K516" s="7" t="inlineStr"/>
      <c r="L516" s="8" t="n">
        <v>950000</v>
      </c>
      <c r="M516" s="8" t="n">
        <v>0</v>
      </c>
      <c r="N516" s="7" t="inlineStr"/>
      <c r="O516" s="7" t="inlineStr"/>
      <c r="P516" s="7" t="inlineStr"/>
      <c r="Q516" s="7" t="inlineStr"/>
      <c r="R516" s="7" t="inlineStr"/>
    </row>
    <row r="517">
      <c r="A517" s="7" t="inlineStr">
        <is>
          <t>1</t>
        </is>
      </c>
      <c r="B517" s="7" t="inlineStr">
        <is>
          <t>G00176</t>
        </is>
      </c>
      <c r="C517" s="7" t="inlineStr">
        <is>
          <t>20260704</t>
        </is>
      </c>
      <c r="D517" s="7" t="inlineStr">
        <is>
          <t>N°2026000176</t>
        </is>
      </c>
      <c r="E517" s="7" t="inlineStr">
        <is>
          <t>EURL EZZAHRA LOCATION DE MATER</t>
        </is>
      </c>
      <c r="F517" s="7" t="inlineStr">
        <is>
          <t>06002</t>
        </is>
      </c>
      <c r="G517" s="7" t="inlineStr">
        <is>
          <t>70001</t>
        </is>
      </c>
      <c r="H517" s="7" t="inlineStr"/>
      <c r="I517" s="7" t="inlineStr"/>
      <c r="J517" s="7" t="inlineStr"/>
      <c r="K517" s="7" t="inlineStr"/>
      <c r="L517" s="8" t="n">
        <v>0</v>
      </c>
      <c r="M517" s="8" t="n">
        <v>798319.33</v>
      </c>
      <c r="N517" s="7" t="inlineStr"/>
      <c r="O517" s="7" t="inlineStr"/>
      <c r="P517" s="7" t="inlineStr"/>
      <c r="Q517" s="7" t="inlineStr"/>
      <c r="R517" s="7" t="inlineStr"/>
    </row>
    <row r="518">
      <c r="A518" s="7" t="inlineStr">
        <is>
          <t>1</t>
        </is>
      </c>
      <c r="B518" s="7" t="inlineStr">
        <is>
          <t>G00176</t>
        </is>
      </c>
      <c r="C518" s="7" t="inlineStr">
        <is>
          <t>20260704</t>
        </is>
      </c>
      <c r="D518" s="7" t="inlineStr">
        <is>
          <t>N°2026000176</t>
        </is>
      </c>
      <c r="E518" s="7" t="inlineStr">
        <is>
          <t>EURL EZZAHRA LOCATION DE MATER</t>
        </is>
      </c>
      <c r="F518" s="7" t="inlineStr">
        <is>
          <t>06002</t>
        </is>
      </c>
      <c r="G518" s="7" t="inlineStr">
        <is>
          <t>44517</t>
        </is>
      </c>
      <c r="H518" s="7" t="inlineStr"/>
      <c r="I518" s="7" t="inlineStr"/>
      <c r="J518" s="7" t="inlineStr"/>
      <c r="K518" s="7" t="inlineStr"/>
      <c r="L518" s="8" t="n">
        <v>0</v>
      </c>
      <c r="M518" s="8" t="n">
        <v>151680.67</v>
      </c>
      <c r="N518" s="7" t="inlineStr"/>
      <c r="O518" s="7" t="inlineStr"/>
      <c r="P518" s="7" t="inlineStr"/>
      <c r="Q518" s="7" t="inlineStr"/>
      <c r="R518" s="7" t="inlineStr"/>
    </row>
    <row r="519">
      <c r="A519" s="7" t="inlineStr">
        <is>
          <t>1</t>
        </is>
      </c>
      <c r="B519" s="7" t="inlineStr">
        <is>
          <t>G00177</t>
        </is>
      </c>
      <c r="C519" s="7" t="inlineStr">
        <is>
          <t>20260707</t>
        </is>
      </c>
      <c r="D519" s="7" t="inlineStr">
        <is>
          <t>N°2026000177</t>
        </is>
      </c>
      <c r="E519" s="7" t="inlineStr">
        <is>
          <t>DOGGA TAHA</t>
        </is>
      </c>
      <c r="F519" s="7" t="inlineStr">
        <is>
          <t>06002</t>
        </is>
      </c>
      <c r="G519" s="7" t="inlineStr">
        <is>
          <t>41100</t>
        </is>
      </c>
      <c r="H519" s="7" t="inlineStr">
        <is>
          <t>C494</t>
        </is>
      </c>
      <c r="I519" s="7" t="inlineStr"/>
      <c r="J519" s="7" t="inlineStr"/>
      <c r="K519" s="7" t="inlineStr"/>
      <c r="L519" s="8" t="n">
        <v>300000</v>
      </c>
      <c r="M519" s="8" t="n">
        <v>0</v>
      </c>
      <c r="N519" s="7" t="inlineStr"/>
      <c r="O519" s="7" t="inlineStr"/>
      <c r="P519" s="7" t="inlineStr"/>
      <c r="Q519" s="7" t="inlineStr"/>
      <c r="R519" s="7" t="inlineStr"/>
    </row>
    <row r="520">
      <c r="A520" s="7" t="inlineStr">
        <is>
          <t>1</t>
        </is>
      </c>
      <c r="B520" s="7" t="inlineStr">
        <is>
          <t>G00177</t>
        </is>
      </c>
      <c r="C520" s="7" t="inlineStr">
        <is>
          <t>20260707</t>
        </is>
      </c>
      <c r="D520" s="7" t="inlineStr">
        <is>
          <t>N°2026000177</t>
        </is>
      </c>
      <c r="E520" s="7" t="inlineStr">
        <is>
          <t>DOGGA TAHA</t>
        </is>
      </c>
      <c r="F520" s="7" t="inlineStr">
        <is>
          <t>06002</t>
        </is>
      </c>
      <c r="G520" s="7" t="inlineStr">
        <is>
          <t>70001</t>
        </is>
      </c>
      <c r="H520" s="7" t="inlineStr"/>
      <c r="I520" s="7" t="inlineStr"/>
      <c r="J520" s="7" t="inlineStr"/>
      <c r="K520" s="7" t="inlineStr"/>
      <c r="L520" s="8" t="n">
        <v>0</v>
      </c>
      <c r="M520" s="8" t="n">
        <v>252100.84</v>
      </c>
      <c r="N520" s="7" t="inlineStr"/>
      <c r="O520" s="7" t="inlineStr"/>
      <c r="P520" s="7" t="inlineStr"/>
      <c r="Q520" s="7" t="inlineStr"/>
      <c r="R520" s="7" t="inlineStr"/>
    </row>
    <row r="521">
      <c r="A521" s="7" t="inlineStr">
        <is>
          <t>1</t>
        </is>
      </c>
      <c r="B521" s="7" t="inlineStr">
        <is>
          <t>G00177</t>
        </is>
      </c>
      <c r="C521" s="7" t="inlineStr">
        <is>
          <t>20260707</t>
        </is>
      </c>
      <c r="D521" s="7" t="inlineStr">
        <is>
          <t>N°2026000177</t>
        </is>
      </c>
      <c r="E521" s="7" t="inlineStr">
        <is>
          <t>DOGGA TAHA</t>
        </is>
      </c>
      <c r="F521" s="7" t="inlineStr">
        <is>
          <t>06002</t>
        </is>
      </c>
      <c r="G521" s="7" t="inlineStr">
        <is>
          <t>44517</t>
        </is>
      </c>
      <c r="H521" s="7" t="inlineStr"/>
      <c r="I521" s="7" t="inlineStr"/>
      <c r="J521" s="7" t="inlineStr"/>
      <c r="K521" s="7" t="inlineStr"/>
      <c r="L521" s="8" t="n">
        <v>0</v>
      </c>
      <c r="M521" s="8" t="n">
        <v>47899.16</v>
      </c>
      <c r="N521" s="7" t="inlineStr"/>
      <c r="O521" s="7" t="inlineStr"/>
      <c r="P521" s="7" t="inlineStr"/>
      <c r="Q521" s="7" t="inlineStr"/>
      <c r="R521" s="7" t="inlineStr"/>
    </row>
    <row r="522">
      <c r="A522" s="7" t="inlineStr">
        <is>
          <t>1</t>
        </is>
      </c>
      <c r="B522" s="7" t="inlineStr">
        <is>
          <t>G00178</t>
        </is>
      </c>
      <c r="C522" s="7" t="inlineStr">
        <is>
          <t>20260801</t>
        </is>
      </c>
      <c r="D522" s="7" t="inlineStr">
        <is>
          <t>N°2026000178</t>
        </is>
      </c>
      <c r="E522" s="7" t="inlineStr">
        <is>
          <t>SARL GENI MAT</t>
        </is>
      </c>
      <c r="F522" s="7" t="inlineStr">
        <is>
          <t>06002</t>
        </is>
      </c>
      <c r="G522" s="7" t="inlineStr">
        <is>
          <t>41100</t>
        </is>
      </c>
      <c r="H522" s="7" t="inlineStr">
        <is>
          <t>C1097</t>
        </is>
      </c>
      <c r="I522" s="7" t="inlineStr"/>
      <c r="J522" s="7" t="inlineStr"/>
      <c r="K522" s="7" t="inlineStr"/>
      <c r="L522" s="8" t="n">
        <v>108800</v>
      </c>
      <c r="M522" s="8" t="n">
        <v>0</v>
      </c>
      <c r="N522" s="7" t="inlineStr"/>
      <c r="O522" s="7" t="inlineStr"/>
      <c r="P522" s="7" t="inlineStr"/>
      <c r="Q522" s="7" t="inlineStr"/>
      <c r="R522" s="7" t="inlineStr"/>
    </row>
    <row r="523">
      <c r="A523" s="7" t="inlineStr">
        <is>
          <t>1</t>
        </is>
      </c>
      <c r="B523" s="7" t="inlineStr">
        <is>
          <t>G00178</t>
        </is>
      </c>
      <c r="C523" s="7" t="inlineStr">
        <is>
          <t>20260801</t>
        </is>
      </c>
      <c r="D523" s="7" t="inlineStr">
        <is>
          <t>N°2026000178</t>
        </is>
      </c>
      <c r="E523" s="7" t="inlineStr">
        <is>
          <t>SARL GENI MAT</t>
        </is>
      </c>
      <c r="F523" s="7" t="inlineStr">
        <is>
          <t>06002</t>
        </is>
      </c>
      <c r="G523" s="7" t="inlineStr">
        <is>
          <t>70001</t>
        </is>
      </c>
      <c r="H523" s="7" t="inlineStr"/>
      <c r="I523" s="7" t="inlineStr"/>
      <c r="J523" s="7" t="inlineStr"/>
      <c r="K523" s="7" t="inlineStr"/>
      <c r="L523" s="8" t="n">
        <v>0</v>
      </c>
      <c r="M523" s="8" t="n">
        <v>91428.57000000001</v>
      </c>
      <c r="N523" s="7" t="inlineStr"/>
      <c r="O523" s="7" t="inlineStr"/>
      <c r="P523" s="7" t="inlineStr"/>
      <c r="Q523" s="7" t="inlineStr"/>
      <c r="R523" s="7" t="inlineStr"/>
    </row>
    <row r="524">
      <c r="A524" s="7" t="inlineStr">
        <is>
          <t>1</t>
        </is>
      </c>
      <c r="B524" s="7" t="inlineStr">
        <is>
          <t>G00178</t>
        </is>
      </c>
      <c r="C524" s="7" t="inlineStr">
        <is>
          <t>20260801</t>
        </is>
      </c>
      <c r="D524" s="7" t="inlineStr">
        <is>
          <t>N°2026000178</t>
        </is>
      </c>
      <c r="E524" s="7" t="inlineStr">
        <is>
          <t>SARL GENI MAT</t>
        </is>
      </c>
      <c r="F524" s="7" t="inlineStr">
        <is>
          <t>06002</t>
        </is>
      </c>
      <c r="G524" s="7" t="inlineStr">
        <is>
          <t>44517</t>
        </is>
      </c>
      <c r="H524" s="7" t="inlineStr"/>
      <c r="I524" s="7" t="inlineStr"/>
      <c r="J524" s="7" t="inlineStr"/>
      <c r="K524" s="7" t="inlineStr"/>
      <c r="L524" s="8" t="n">
        <v>0</v>
      </c>
      <c r="M524" s="8" t="n">
        <v>17371.43</v>
      </c>
      <c r="N524" s="7" t="inlineStr"/>
      <c r="O524" s="7" t="inlineStr"/>
      <c r="P524" s="7" t="inlineStr"/>
      <c r="Q524" s="7" t="inlineStr"/>
      <c r="R524" s="7" t="inlineStr"/>
    </row>
    <row r="525">
      <c r="A525" s="7" t="inlineStr">
        <is>
          <t>1</t>
        </is>
      </c>
      <c r="B525" s="7" t="inlineStr">
        <is>
          <t>G00179</t>
        </is>
      </c>
      <c r="C525" s="7" t="inlineStr">
        <is>
          <t>20260802</t>
        </is>
      </c>
      <c r="D525" s="7" t="inlineStr">
        <is>
          <t>N°2026000179</t>
        </is>
      </c>
      <c r="E525" s="7" t="inlineStr">
        <is>
          <t>SARL YAYA LOUNIS ET FRERES TRA</t>
        </is>
      </c>
      <c r="F525" s="7" t="inlineStr">
        <is>
          <t>06002</t>
        </is>
      </c>
      <c r="G525" s="7" t="inlineStr">
        <is>
          <t>41100</t>
        </is>
      </c>
      <c r="H525" s="7" t="inlineStr">
        <is>
          <t>C928</t>
        </is>
      </c>
      <c r="I525" s="7" t="inlineStr"/>
      <c r="J525" s="7" t="inlineStr"/>
      <c r="K525" s="7" t="inlineStr"/>
      <c r="L525" s="8" t="n">
        <v>170000</v>
      </c>
      <c r="M525" s="8" t="n">
        <v>0</v>
      </c>
      <c r="N525" s="7" t="inlineStr"/>
      <c r="O525" s="7" t="inlineStr"/>
      <c r="P525" s="7" t="inlineStr"/>
      <c r="Q525" s="7" t="inlineStr"/>
      <c r="R525" s="7" t="inlineStr"/>
    </row>
    <row r="526">
      <c r="A526" s="7" t="inlineStr">
        <is>
          <t>1</t>
        </is>
      </c>
      <c r="B526" s="7" t="inlineStr">
        <is>
          <t>G00179</t>
        </is>
      </c>
      <c r="C526" s="7" t="inlineStr">
        <is>
          <t>20260802</t>
        </is>
      </c>
      <c r="D526" s="7" t="inlineStr">
        <is>
          <t>N°2026000179</t>
        </is>
      </c>
      <c r="E526" s="7" t="inlineStr">
        <is>
          <t>SARL YAYA LOUNIS ET FRERES TRA</t>
        </is>
      </c>
      <c r="F526" s="7" t="inlineStr">
        <is>
          <t>06002</t>
        </is>
      </c>
      <c r="G526" s="7" t="inlineStr">
        <is>
          <t>70001</t>
        </is>
      </c>
      <c r="H526" s="7" t="inlineStr"/>
      <c r="I526" s="7" t="inlineStr"/>
      <c r="J526" s="7" t="inlineStr"/>
      <c r="K526" s="7" t="inlineStr"/>
      <c r="L526" s="8" t="n">
        <v>0</v>
      </c>
      <c r="M526" s="8" t="n">
        <v>142857.14</v>
      </c>
      <c r="N526" s="7" t="inlineStr"/>
      <c r="O526" s="7" t="inlineStr"/>
      <c r="P526" s="7" t="inlineStr"/>
      <c r="Q526" s="7" t="inlineStr"/>
      <c r="R526" s="7" t="inlineStr"/>
    </row>
    <row r="527">
      <c r="A527" s="7" t="inlineStr">
        <is>
          <t>1</t>
        </is>
      </c>
      <c r="B527" s="7" t="inlineStr">
        <is>
          <t>G00179</t>
        </is>
      </c>
      <c r="C527" s="7" t="inlineStr">
        <is>
          <t>20260802</t>
        </is>
      </c>
      <c r="D527" s="7" t="inlineStr">
        <is>
          <t>N°2026000179</t>
        </is>
      </c>
      <c r="E527" s="7" t="inlineStr">
        <is>
          <t>SARL YAYA LOUNIS ET FRERES TRA</t>
        </is>
      </c>
      <c r="F527" s="7" t="inlineStr">
        <is>
          <t>06002</t>
        </is>
      </c>
      <c r="G527" s="7" t="inlineStr">
        <is>
          <t>44517</t>
        </is>
      </c>
      <c r="H527" s="7" t="inlineStr"/>
      <c r="I527" s="7" t="inlineStr"/>
      <c r="J527" s="7" t="inlineStr"/>
      <c r="K527" s="7" t="inlineStr"/>
      <c r="L527" s="8" t="n">
        <v>0</v>
      </c>
      <c r="M527" s="8" t="n">
        <v>27142.86</v>
      </c>
      <c r="N527" s="7" t="inlineStr"/>
      <c r="O527" s="7" t="inlineStr"/>
      <c r="P527" s="7" t="inlineStr"/>
      <c r="Q527" s="7" t="inlineStr"/>
      <c r="R527" s="7" t="inlineStr"/>
    </row>
    <row r="528">
      <c r="A528" s="7" t="inlineStr">
        <is>
          <t>1</t>
        </is>
      </c>
      <c r="B528" s="7" t="inlineStr">
        <is>
          <t>G00180</t>
        </is>
      </c>
      <c r="C528" s="7" t="inlineStr">
        <is>
          <t>20260803</t>
        </is>
      </c>
      <c r="D528" s="7" t="inlineStr">
        <is>
          <t>N°2026000180</t>
        </is>
      </c>
      <c r="E528" s="7" t="inlineStr">
        <is>
          <t>DJENNADI ABDELKRIM</t>
        </is>
      </c>
      <c r="F528" s="7" t="inlineStr">
        <is>
          <t>06002</t>
        </is>
      </c>
      <c r="G528" s="7" t="inlineStr">
        <is>
          <t>41100</t>
        </is>
      </c>
      <c r="H528" s="7" t="inlineStr">
        <is>
          <t>C004</t>
        </is>
      </c>
      <c r="I528" s="7" t="inlineStr"/>
      <c r="J528" s="7" t="inlineStr"/>
      <c r="K528" s="7" t="inlineStr"/>
      <c r="L528" s="8" t="n">
        <v>2118788.1</v>
      </c>
      <c r="M528" s="8" t="n">
        <v>0</v>
      </c>
      <c r="N528" s="7" t="inlineStr"/>
      <c r="O528" s="7" t="inlineStr"/>
      <c r="P528" s="7" t="inlineStr"/>
      <c r="Q528" s="7" t="inlineStr"/>
      <c r="R528" s="7" t="inlineStr"/>
    </row>
    <row r="529">
      <c r="A529" s="7" t="inlineStr">
        <is>
          <t>1</t>
        </is>
      </c>
      <c r="B529" s="7" t="inlineStr">
        <is>
          <t>G00180</t>
        </is>
      </c>
      <c r="C529" s="7" t="inlineStr">
        <is>
          <t>20260803</t>
        </is>
      </c>
      <c r="D529" s="7" t="inlineStr">
        <is>
          <t>N°2026000180</t>
        </is>
      </c>
      <c r="E529" s="7" t="inlineStr">
        <is>
          <t>DJENNADI ABDELKRIM</t>
        </is>
      </c>
      <c r="F529" s="7" t="inlineStr">
        <is>
          <t>06002</t>
        </is>
      </c>
      <c r="G529" s="7" t="inlineStr">
        <is>
          <t>70001</t>
        </is>
      </c>
      <c r="H529" s="7" t="inlineStr"/>
      <c r="I529" s="7" t="inlineStr"/>
      <c r="J529" s="7" t="inlineStr"/>
      <c r="K529" s="7" t="inlineStr"/>
      <c r="L529" s="8" t="n">
        <v>0</v>
      </c>
      <c r="M529" s="8" t="n">
        <v>1780494.2</v>
      </c>
      <c r="N529" s="7" t="inlineStr"/>
      <c r="O529" s="7" t="inlineStr"/>
      <c r="P529" s="7" t="inlineStr"/>
      <c r="Q529" s="7" t="inlineStr"/>
      <c r="R529" s="7" t="inlineStr"/>
    </row>
    <row r="530">
      <c r="A530" s="7" t="inlineStr">
        <is>
          <t>1</t>
        </is>
      </c>
      <c r="B530" s="7" t="inlineStr">
        <is>
          <t>G00180</t>
        </is>
      </c>
      <c r="C530" s="7" t="inlineStr">
        <is>
          <t>20260803</t>
        </is>
      </c>
      <c r="D530" s="7" t="inlineStr">
        <is>
          <t>N°2026000180</t>
        </is>
      </c>
      <c r="E530" s="7" t="inlineStr">
        <is>
          <t>DJENNADI ABDELKRIM</t>
        </is>
      </c>
      <c r="F530" s="7" t="inlineStr">
        <is>
          <t>06002</t>
        </is>
      </c>
      <c r="G530" s="7" t="inlineStr">
        <is>
          <t>44517</t>
        </is>
      </c>
      <c r="H530" s="7" t="inlineStr"/>
      <c r="I530" s="7" t="inlineStr"/>
      <c r="J530" s="7" t="inlineStr"/>
      <c r="K530" s="7" t="inlineStr"/>
      <c r="L530" s="8" t="n">
        <v>0</v>
      </c>
      <c r="M530" s="8" t="n">
        <v>338293.9</v>
      </c>
      <c r="N530" s="7" t="inlineStr"/>
      <c r="O530" s="7" t="inlineStr"/>
      <c r="P530" s="7" t="inlineStr"/>
      <c r="Q530" s="7" t="inlineStr"/>
      <c r="R530" s="7" t="inlineStr"/>
    </row>
    <row r="531">
      <c r="A531" s="7" t="inlineStr">
        <is>
          <t>1</t>
        </is>
      </c>
      <c r="B531" s="7" t="inlineStr">
        <is>
          <t>G00181</t>
        </is>
      </c>
      <c r="C531" s="7" t="inlineStr">
        <is>
          <t>20260804</t>
        </is>
      </c>
      <c r="D531" s="7" t="inlineStr">
        <is>
          <t>N°2026000181</t>
        </is>
      </c>
      <c r="E531" s="7" t="inlineStr">
        <is>
          <t>EURL LOGISTIQUE TRANSPORT EL S</t>
        </is>
      </c>
      <c r="F531" s="7" t="inlineStr">
        <is>
          <t>06002</t>
        </is>
      </c>
      <c r="G531" s="7" t="inlineStr">
        <is>
          <t>41100</t>
        </is>
      </c>
      <c r="H531" s="7" t="inlineStr">
        <is>
          <t>C1026</t>
        </is>
      </c>
      <c r="I531" s="7" t="inlineStr"/>
      <c r="J531" s="7" t="inlineStr"/>
      <c r="K531" s="7" t="inlineStr"/>
      <c r="L531" s="8" t="n">
        <v>1500000</v>
      </c>
      <c r="M531" s="8" t="n">
        <v>0</v>
      </c>
      <c r="N531" s="7" t="inlineStr"/>
      <c r="O531" s="7" t="inlineStr"/>
      <c r="P531" s="7" t="inlineStr"/>
      <c r="Q531" s="7" t="inlineStr"/>
      <c r="R531" s="7" t="inlineStr"/>
    </row>
    <row r="532">
      <c r="A532" s="7" t="inlineStr">
        <is>
          <t>1</t>
        </is>
      </c>
      <c r="B532" s="7" t="inlineStr">
        <is>
          <t>G00181</t>
        </is>
      </c>
      <c r="C532" s="7" t="inlineStr">
        <is>
          <t>20260804</t>
        </is>
      </c>
      <c r="D532" s="7" t="inlineStr">
        <is>
          <t>N°2026000181</t>
        </is>
      </c>
      <c r="E532" s="7" t="inlineStr">
        <is>
          <t>EURL LOGISTIQUE TRANSPORT EL S</t>
        </is>
      </c>
      <c r="F532" s="7" t="inlineStr">
        <is>
          <t>06002</t>
        </is>
      </c>
      <c r="G532" s="7" t="inlineStr">
        <is>
          <t>70001</t>
        </is>
      </c>
      <c r="H532" s="7" t="inlineStr"/>
      <c r="I532" s="7" t="inlineStr"/>
      <c r="J532" s="7" t="inlineStr"/>
      <c r="K532" s="7" t="inlineStr"/>
      <c r="L532" s="8" t="n">
        <v>0</v>
      </c>
      <c r="M532" s="8" t="n">
        <v>1260504.2</v>
      </c>
      <c r="N532" s="7" t="inlineStr"/>
      <c r="O532" s="7" t="inlineStr"/>
      <c r="P532" s="7" t="inlineStr"/>
      <c r="Q532" s="7" t="inlineStr"/>
      <c r="R532" s="7" t="inlineStr"/>
    </row>
    <row r="533">
      <c r="A533" s="7" t="inlineStr">
        <is>
          <t>1</t>
        </is>
      </c>
      <c r="B533" s="7" t="inlineStr">
        <is>
          <t>G00181</t>
        </is>
      </c>
      <c r="C533" s="7" t="inlineStr">
        <is>
          <t>20260804</t>
        </is>
      </c>
      <c r="D533" s="7" t="inlineStr">
        <is>
          <t>N°2026000181</t>
        </is>
      </c>
      <c r="E533" s="7" t="inlineStr">
        <is>
          <t>EURL LOGISTIQUE TRANSPORT EL S</t>
        </is>
      </c>
      <c r="F533" s="7" t="inlineStr">
        <is>
          <t>06002</t>
        </is>
      </c>
      <c r="G533" s="7" t="inlineStr">
        <is>
          <t>44517</t>
        </is>
      </c>
      <c r="H533" s="7" t="inlineStr"/>
      <c r="I533" s="7" t="inlineStr"/>
      <c r="J533" s="7" t="inlineStr"/>
      <c r="K533" s="7" t="inlineStr"/>
      <c r="L533" s="8" t="n">
        <v>0</v>
      </c>
      <c r="M533" s="8" t="n">
        <v>239495.8</v>
      </c>
      <c r="N533" s="7" t="inlineStr"/>
      <c r="O533" s="7" t="inlineStr"/>
      <c r="P533" s="7" t="inlineStr"/>
      <c r="Q533" s="7" t="inlineStr"/>
      <c r="R533" s="7" t="inlineStr"/>
    </row>
    <row r="534">
      <c r="A534" s="7" t="inlineStr">
        <is>
          <t>1</t>
        </is>
      </c>
      <c r="B534" s="7" t="inlineStr">
        <is>
          <t>G00182</t>
        </is>
      </c>
      <c r="C534" s="7" t="inlineStr">
        <is>
          <t>20260901</t>
        </is>
      </c>
      <c r="D534" s="7" t="inlineStr">
        <is>
          <t>N°2026000182</t>
        </is>
      </c>
      <c r="E534" s="7" t="inlineStr">
        <is>
          <t>BENLEDRA DJAHID</t>
        </is>
      </c>
      <c r="F534" s="7" t="inlineStr">
        <is>
          <t>06002</t>
        </is>
      </c>
      <c r="G534" s="7" t="inlineStr">
        <is>
          <t>41100</t>
        </is>
      </c>
      <c r="H534" s="7" t="inlineStr">
        <is>
          <t>C1040</t>
        </is>
      </c>
      <c r="I534" s="7" t="inlineStr"/>
      <c r="J534" s="7" t="inlineStr"/>
      <c r="K534" s="7" t="inlineStr"/>
      <c r="L534" s="8" t="n">
        <v>313400.04</v>
      </c>
      <c r="M534" s="8" t="n">
        <v>0</v>
      </c>
      <c r="N534" s="7" t="inlineStr"/>
      <c r="O534" s="7" t="inlineStr"/>
      <c r="P534" s="7" t="inlineStr"/>
      <c r="Q534" s="7" t="inlineStr"/>
      <c r="R534" s="7" t="inlineStr"/>
    </row>
    <row r="535">
      <c r="A535" s="7" t="inlineStr">
        <is>
          <t>1</t>
        </is>
      </c>
      <c r="B535" s="7" t="inlineStr">
        <is>
          <t>G00182</t>
        </is>
      </c>
      <c r="C535" s="7" t="inlineStr">
        <is>
          <t>20260901</t>
        </is>
      </c>
      <c r="D535" s="7" t="inlineStr">
        <is>
          <t>N°2026000182</t>
        </is>
      </c>
      <c r="E535" s="7" t="inlineStr">
        <is>
          <t>BENLEDRA DJAHID</t>
        </is>
      </c>
      <c r="F535" s="7" t="inlineStr">
        <is>
          <t>06002</t>
        </is>
      </c>
      <c r="G535" s="7" t="inlineStr">
        <is>
          <t>70001</t>
        </is>
      </c>
      <c r="H535" s="7" t="inlineStr"/>
      <c r="I535" s="7" t="inlineStr"/>
      <c r="J535" s="7" t="inlineStr"/>
      <c r="K535" s="7" t="inlineStr"/>
      <c r="L535" s="8" t="n">
        <v>0</v>
      </c>
      <c r="M535" s="8" t="n">
        <v>263361.38</v>
      </c>
      <c r="N535" s="7" t="inlineStr"/>
      <c r="O535" s="7" t="inlineStr"/>
      <c r="P535" s="7" t="inlineStr"/>
      <c r="Q535" s="7" t="inlineStr"/>
      <c r="R535" s="7" t="inlineStr"/>
    </row>
    <row r="536">
      <c r="A536" s="7" t="inlineStr">
        <is>
          <t>1</t>
        </is>
      </c>
      <c r="B536" s="7" t="inlineStr">
        <is>
          <t>G00182</t>
        </is>
      </c>
      <c r="C536" s="7" t="inlineStr">
        <is>
          <t>20260901</t>
        </is>
      </c>
      <c r="D536" s="7" t="inlineStr">
        <is>
          <t>N°2026000182</t>
        </is>
      </c>
      <c r="E536" s="7" t="inlineStr">
        <is>
          <t>BENLEDRA DJAHID</t>
        </is>
      </c>
      <c r="F536" s="7" t="inlineStr">
        <is>
          <t>06002</t>
        </is>
      </c>
      <c r="G536" s="7" t="inlineStr">
        <is>
          <t>44517</t>
        </is>
      </c>
      <c r="H536" s="7" t="inlineStr"/>
      <c r="I536" s="7" t="inlineStr"/>
      <c r="J536" s="7" t="inlineStr"/>
      <c r="K536" s="7" t="inlineStr"/>
      <c r="L536" s="8" t="n">
        <v>0</v>
      </c>
      <c r="M536" s="8" t="n">
        <v>50038.66</v>
      </c>
      <c r="N536" s="7" t="inlineStr"/>
      <c r="O536" s="7" t="inlineStr"/>
      <c r="P536" s="7" t="inlineStr"/>
      <c r="Q536" s="7" t="inlineStr"/>
      <c r="R536" s="7" t="inlineStr"/>
    </row>
    <row r="537">
      <c r="A537" s="7" t="inlineStr">
        <is>
          <t>1</t>
        </is>
      </c>
      <c r="B537" s="7" t="inlineStr">
        <is>
          <t>G00183</t>
        </is>
      </c>
      <c r="C537" s="7" t="inlineStr">
        <is>
          <t>20260902</t>
        </is>
      </c>
      <c r="D537" s="7" t="inlineStr">
        <is>
          <t>N°2026000183</t>
        </is>
      </c>
      <c r="E537" s="7" t="inlineStr">
        <is>
          <t>BENLEDRA DJAHID</t>
        </is>
      </c>
      <c r="F537" s="7" t="inlineStr">
        <is>
          <t>06002</t>
        </is>
      </c>
      <c r="G537" s="7" t="inlineStr">
        <is>
          <t>41100</t>
        </is>
      </c>
      <c r="H537" s="7" t="inlineStr">
        <is>
          <t>C1040</t>
        </is>
      </c>
      <c r="I537" s="7" t="inlineStr"/>
      <c r="J537" s="7" t="inlineStr"/>
      <c r="K537" s="7" t="inlineStr"/>
      <c r="L537" s="8" t="n">
        <v>124000</v>
      </c>
      <c r="M537" s="8" t="n">
        <v>0</v>
      </c>
      <c r="N537" s="7" t="inlineStr"/>
      <c r="O537" s="7" t="inlineStr"/>
      <c r="P537" s="7" t="inlineStr"/>
      <c r="Q537" s="7" t="inlineStr"/>
      <c r="R537" s="7" t="inlineStr"/>
    </row>
    <row r="538">
      <c r="A538" s="7" t="inlineStr">
        <is>
          <t>1</t>
        </is>
      </c>
      <c r="B538" s="7" t="inlineStr">
        <is>
          <t>G00183</t>
        </is>
      </c>
      <c r="C538" s="7" t="inlineStr">
        <is>
          <t>20260902</t>
        </is>
      </c>
      <c r="D538" s="7" t="inlineStr">
        <is>
          <t>N°2026000183</t>
        </is>
      </c>
      <c r="E538" s="7" t="inlineStr">
        <is>
          <t>BENLEDRA DJAHID</t>
        </is>
      </c>
      <c r="F538" s="7" t="inlineStr">
        <is>
          <t>06002</t>
        </is>
      </c>
      <c r="G538" s="7" t="inlineStr">
        <is>
          <t>70001</t>
        </is>
      </c>
      <c r="H538" s="7" t="inlineStr"/>
      <c r="I538" s="7" t="inlineStr"/>
      <c r="J538" s="7" t="inlineStr"/>
      <c r="K538" s="7" t="inlineStr"/>
      <c r="L538" s="8" t="n">
        <v>0</v>
      </c>
      <c r="M538" s="8" t="n">
        <v>104201.68</v>
      </c>
      <c r="N538" s="7" t="inlineStr"/>
      <c r="O538" s="7" t="inlineStr"/>
      <c r="P538" s="7" t="inlineStr"/>
      <c r="Q538" s="7" t="inlineStr"/>
      <c r="R538" s="7" t="inlineStr"/>
    </row>
    <row r="539">
      <c r="A539" s="7" t="inlineStr">
        <is>
          <t>1</t>
        </is>
      </c>
      <c r="B539" s="7" t="inlineStr">
        <is>
          <t>G00183</t>
        </is>
      </c>
      <c r="C539" s="7" t="inlineStr">
        <is>
          <t>20260902</t>
        </is>
      </c>
      <c r="D539" s="7" t="inlineStr">
        <is>
          <t>N°2026000183</t>
        </is>
      </c>
      <c r="E539" s="7" t="inlineStr">
        <is>
          <t>BENLEDRA DJAHID</t>
        </is>
      </c>
      <c r="F539" s="7" t="inlineStr">
        <is>
          <t>06002</t>
        </is>
      </c>
      <c r="G539" s="7" t="inlineStr">
        <is>
          <t>44517</t>
        </is>
      </c>
      <c r="H539" s="7" t="inlineStr"/>
      <c r="I539" s="7" t="inlineStr"/>
      <c r="J539" s="7" t="inlineStr"/>
      <c r="K539" s="7" t="inlineStr"/>
      <c r="L539" s="8" t="n">
        <v>0</v>
      </c>
      <c r="M539" s="8" t="n">
        <v>19798.32</v>
      </c>
      <c r="N539" s="7" t="inlineStr"/>
      <c r="O539" s="7" t="inlineStr"/>
      <c r="P539" s="7" t="inlineStr"/>
      <c r="Q539" s="7" t="inlineStr"/>
      <c r="R539" s="7" t="inlineStr"/>
    </row>
    <row r="540">
      <c r="A540" s="7" t="inlineStr">
        <is>
          <t>1</t>
        </is>
      </c>
      <c r="B540" s="7" t="inlineStr">
        <is>
          <t>G00184</t>
        </is>
      </c>
      <c r="C540" s="7" t="inlineStr">
        <is>
          <t>20260903</t>
        </is>
      </c>
      <c r="D540" s="7" t="inlineStr">
        <is>
          <t>N°2026000184</t>
        </is>
      </c>
      <c r="E540" s="7" t="inlineStr">
        <is>
          <t>EURL ULTRA TRADING SERVICES</t>
        </is>
      </c>
      <c r="F540" s="7" t="inlineStr">
        <is>
          <t>06002</t>
        </is>
      </c>
      <c r="G540" s="7" t="inlineStr">
        <is>
          <t>41100</t>
        </is>
      </c>
      <c r="H540" s="7" t="inlineStr">
        <is>
          <t>C1098</t>
        </is>
      </c>
      <c r="I540" s="7" t="inlineStr"/>
      <c r="J540" s="7" t="inlineStr"/>
      <c r="K540" s="7" t="inlineStr"/>
      <c r="L540" s="8" t="n">
        <v>590000.01</v>
      </c>
      <c r="M540" s="8" t="n">
        <v>0</v>
      </c>
      <c r="N540" s="7" t="inlineStr"/>
      <c r="O540" s="7" t="inlineStr"/>
      <c r="P540" s="7" t="inlineStr"/>
      <c r="Q540" s="7" t="inlineStr"/>
      <c r="R540" s="7" t="inlineStr"/>
    </row>
    <row r="541">
      <c r="A541" s="7" t="inlineStr">
        <is>
          <t>1</t>
        </is>
      </c>
      <c r="B541" s="7" t="inlineStr">
        <is>
          <t>G00184</t>
        </is>
      </c>
      <c r="C541" s="7" t="inlineStr">
        <is>
          <t>20260903</t>
        </is>
      </c>
      <c r="D541" s="7" t="inlineStr">
        <is>
          <t>N°2026000184</t>
        </is>
      </c>
      <c r="E541" s="7" t="inlineStr">
        <is>
          <t>EURL ULTRA TRADING SERVICES</t>
        </is>
      </c>
      <c r="F541" s="7" t="inlineStr">
        <is>
          <t>06002</t>
        </is>
      </c>
      <c r="G541" s="7" t="inlineStr">
        <is>
          <t>70001</t>
        </is>
      </c>
      <c r="H541" s="7" t="inlineStr"/>
      <c r="I541" s="7" t="inlineStr"/>
      <c r="J541" s="7" t="inlineStr"/>
      <c r="K541" s="7" t="inlineStr"/>
      <c r="L541" s="8" t="n">
        <v>0</v>
      </c>
      <c r="M541" s="8" t="n">
        <v>495798.33</v>
      </c>
      <c r="N541" s="7" t="inlineStr"/>
      <c r="O541" s="7" t="inlineStr"/>
      <c r="P541" s="7" t="inlineStr"/>
      <c r="Q541" s="7" t="inlineStr"/>
      <c r="R541" s="7" t="inlineStr"/>
    </row>
    <row r="542">
      <c r="A542" s="7" t="inlineStr">
        <is>
          <t>1</t>
        </is>
      </c>
      <c r="B542" s="7" t="inlineStr">
        <is>
          <t>G00184</t>
        </is>
      </c>
      <c r="C542" s="7" t="inlineStr">
        <is>
          <t>20260903</t>
        </is>
      </c>
      <c r="D542" s="7" t="inlineStr">
        <is>
          <t>N°2026000184</t>
        </is>
      </c>
      <c r="E542" s="7" t="inlineStr">
        <is>
          <t>EURL ULTRA TRADING SERVICES</t>
        </is>
      </c>
      <c r="F542" s="7" t="inlineStr">
        <is>
          <t>06002</t>
        </is>
      </c>
      <c r="G542" s="7" t="inlineStr">
        <is>
          <t>44517</t>
        </is>
      </c>
      <c r="H542" s="7" t="inlineStr"/>
      <c r="I542" s="7" t="inlineStr"/>
      <c r="J542" s="7" t="inlineStr"/>
      <c r="K542" s="7" t="inlineStr"/>
      <c r="L542" s="8" t="n">
        <v>0</v>
      </c>
      <c r="M542" s="8" t="n">
        <v>94201.67999999999</v>
      </c>
      <c r="N542" s="7" t="inlineStr"/>
      <c r="O542" s="7" t="inlineStr"/>
      <c r="P542" s="7" t="inlineStr"/>
      <c r="Q542" s="7" t="inlineStr"/>
      <c r="R542" s="7" t="inlineStr"/>
    </row>
    <row r="544">
      <c r="E544" s="4" t="inlineStr">
        <is>
          <t>TOTAL</t>
        </is>
      </c>
      <c r="L544" s="5">
        <f>SUM(L2:L542)</f>
        <v/>
      </c>
      <c r="M544" s="5">
        <f>SUM(M2:M542)</f>
        <v/>
      </c>
    </row>
    <row r="545">
      <c r="E545" s="9" t="inlineStr">
        <is>
          <t>Écart débit − crédit (doit être 0)</t>
        </is>
      </c>
      <c r="L545" s="5">
        <f>ROUND(L544-M544,2)</f>
        <v/>
      </c>
    </row>
  </sheetData>
  <autoFilter ref="A1:R54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0" customWidth="1" min="3" max="3"/>
    <col width="15" customWidth="1" min="4" max="4"/>
    <col width="30" customWidth="1" min="5" max="5"/>
    <col width="8" customWidth="1" min="6" max="6"/>
    <col width="9" customWidth="1" min="7" max="7"/>
    <col width="9" customWidth="1" min="8" max="8"/>
    <col width="6" customWidth="1" min="9" max="9"/>
    <col width="6" customWidth="1" min="10" max="10"/>
    <col width="7" customWidth="1" min="11" max="11"/>
    <col width="15" customWidth="1" min="12" max="12"/>
    <col width="1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3" t="inlineStr">
        <is>
          <t>FOLIO</t>
        </is>
      </c>
      <c r="B1" s="3" t="inlineStr">
        <is>
          <t>PIECE</t>
        </is>
      </c>
      <c r="C1" s="3" t="inlineStr">
        <is>
          <t>DATE</t>
        </is>
      </c>
      <c r="D1" s="3" t="inlineStr">
        <is>
          <t>REFERENCE</t>
        </is>
      </c>
      <c r="E1" s="3" t="inlineStr">
        <is>
          <t>LIBELLE</t>
        </is>
      </c>
      <c r="F1" s="3" t="inlineStr">
        <is>
          <t>CODE_JRN</t>
        </is>
      </c>
      <c r="G1" s="3" t="inlineStr">
        <is>
          <t>CODE_COM</t>
        </is>
      </c>
      <c r="H1" s="3" t="inlineStr">
        <is>
          <t>CODE_AUX</t>
        </is>
      </c>
      <c r="I1" s="3" t="inlineStr">
        <is>
          <t>CODE_BDG</t>
        </is>
      </c>
      <c r="J1" s="3" t="inlineStr">
        <is>
          <t>CODE_NAT</t>
        </is>
      </c>
      <c r="K1" s="3" t="inlineStr">
        <is>
          <t>CODE_UNT</t>
        </is>
      </c>
      <c r="L1" s="3" t="inlineStr">
        <is>
          <t>DEBIT</t>
        </is>
      </c>
      <c r="M1" s="3" t="inlineStr">
        <is>
          <t>CREDIT</t>
        </is>
      </c>
      <c r="N1" s="3" t="inlineStr">
        <is>
          <t>LETTRAGE</t>
        </is>
      </c>
      <c r="O1" s="3" t="inlineStr">
        <is>
          <t>LIBELLEA</t>
        </is>
      </c>
      <c r="P1" s="3" t="inlineStr">
        <is>
          <t>CTP_COM</t>
        </is>
      </c>
      <c r="Q1" s="3" t="inlineStr">
        <is>
          <t>CTP_AUX</t>
        </is>
      </c>
      <c r="R1" s="3" t="inlineStr">
        <is>
          <t>ECHEANCE</t>
        </is>
      </c>
    </row>
    <row r="2">
      <c r="A2" s="7" t="inlineStr">
        <is>
          <t>1</t>
        </is>
      </c>
      <c r="B2" s="7" t="inlineStr">
        <is>
          <t>D00001</t>
        </is>
      </c>
      <c r="C2" s="7" t="inlineStr">
        <is>
          <t>20260311</t>
        </is>
      </c>
      <c r="D2" s="7" t="inlineStr">
        <is>
          <t>N°2026000001</t>
        </is>
      </c>
      <c r="E2" s="7" t="inlineStr">
        <is>
          <t>EURL TERRENO TRANS</t>
        </is>
      </c>
      <c r="F2" s="7" t="inlineStr">
        <is>
          <t>15001</t>
        </is>
      </c>
      <c r="G2" s="7" t="inlineStr">
        <is>
          <t>41100</t>
        </is>
      </c>
      <c r="H2" s="7" t="inlineStr">
        <is>
          <t>C959</t>
        </is>
      </c>
      <c r="I2" s="7" t="inlineStr"/>
      <c r="J2" s="7" t="inlineStr"/>
      <c r="K2" s="7" t="inlineStr">
        <is>
          <t>FEN</t>
        </is>
      </c>
      <c r="L2" s="8" t="n">
        <v>357000</v>
      </c>
      <c r="M2" s="8" t="n">
        <v>0</v>
      </c>
      <c r="N2" s="7" t="inlineStr"/>
      <c r="O2" s="7" t="inlineStr"/>
      <c r="P2" s="7" t="inlineStr"/>
      <c r="Q2" s="7" t="inlineStr"/>
      <c r="R2" s="7" t="inlineStr"/>
    </row>
    <row r="3">
      <c r="A3" s="7" t="inlineStr">
        <is>
          <t>1</t>
        </is>
      </c>
      <c r="B3" s="7" t="inlineStr">
        <is>
          <t>D00001</t>
        </is>
      </c>
      <c r="C3" s="7" t="inlineStr">
        <is>
          <t>20260311</t>
        </is>
      </c>
      <c r="D3" s="7" t="inlineStr">
        <is>
          <t>N°2026000001</t>
        </is>
      </c>
      <c r="E3" s="7" t="inlineStr">
        <is>
          <t>EURL TERRENO TRANS</t>
        </is>
      </c>
      <c r="F3" s="7" t="inlineStr">
        <is>
          <t>15001</t>
        </is>
      </c>
      <c r="G3" s="7" t="inlineStr">
        <is>
          <t>70003</t>
        </is>
      </c>
      <c r="H3" s="7" t="inlineStr"/>
      <c r="I3" s="7" t="inlineStr"/>
      <c r="J3" s="7" t="inlineStr"/>
      <c r="K3" s="7" t="inlineStr">
        <is>
          <t>FEN</t>
        </is>
      </c>
      <c r="L3" s="8" t="n">
        <v>0</v>
      </c>
      <c r="M3" s="8" t="n">
        <v>300000</v>
      </c>
      <c r="N3" s="7" t="inlineStr"/>
      <c r="O3" s="7" t="inlineStr"/>
      <c r="P3" s="7" t="inlineStr"/>
      <c r="Q3" s="7" t="inlineStr"/>
      <c r="R3" s="7" t="inlineStr"/>
    </row>
    <row r="4">
      <c r="A4" s="7" t="inlineStr">
        <is>
          <t>1</t>
        </is>
      </c>
      <c r="B4" s="7" t="inlineStr">
        <is>
          <t>D00001</t>
        </is>
      </c>
      <c r="C4" s="7" t="inlineStr">
        <is>
          <t>20260311</t>
        </is>
      </c>
      <c r="D4" s="7" t="inlineStr">
        <is>
          <t>N°2026000001</t>
        </is>
      </c>
      <c r="E4" s="7" t="inlineStr">
        <is>
          <t>EURL TERRENO TRANS</t>
        </is>
      </c>
      <c r="F4" s="7" t="inlineStr">
        <is>
          <t>15001</t>
        </is>
      </c>
      <c r="G4" s="7" t="inlineStr">
        <is>
          <t>44519</t>
        </is>
      </c>
      <c r="H4" s="7" t="inlineStr"/>
      <c r="I4" s="7" t="inlineStr"/>
      <c r="J4" s="7" t="inlineStr"/>
      <c r="K4" s="7" t="inlineStr">
        <is>
          <t>FEN</t>
        </is>
      </c>
      <c r="L4" s="8" t="n">
        <v>0</v>
      </c>
      <c r="M4" s="8" t="n">
        <v>57000</v>
      </c>
      <c r="N4" s="7" t="inlineStr"/>
      <c r="O4" s="7" t="inlineStr"/>
      <c r="P4" s="7" t="inlineStr"/>
      <c r="Q4" s="7" t="inlineStr"/>
      <c r="R4" s="7" t="inlineStr"/>
    </row>
    <row r="5">
      <c r="A5" s="7" t="inlineStr">
        <is>
          <t>1</t>
        </is>
      </c>
      <c r="B5" s="7" t="inlineStr">
        <is>
          <t>D00002</t>
        </is>
      </c>
      <c r="C5" s="7" t="inlineStr">
        <is>
          <t>20260312</t>
        </is>
      </c>
      <c r="D5" s="7" t="inlineStr">
        <is>
          <t>N°2026000002</t>
        </is>
      </c>
      <c r="E5" s="7" t="inlineStr">
        <is>
          <t>SPA EPE FERROVIAL</t>
        </is>
      </c>
      <c r="F5" s="7" t="inlineStr">
        <is>
          <t>15001</t>
        </is>
      </c>
      <c r="G5" s="7" t="inlineStr">
        <is>
          <t>41100</t>
        </is>
      </c>
      <c r="H5" s="7" t="inlineStr">
        <is>
          <t>C816</t>
        </is>
      </c>
      <c r="I5" s="7" t="inlineStr"/>
      <c r="J5" s="7" t="inlineStr"/>
      <c r="K5" s="7" t="inlineStr">
        <is>
          <t>FEN</t>
        </is>
      </c>
      <c r="L5" s="8" t="n">
        <v>714000</v>
      </c>
      <c r="M5" s="8" t="n">
        <v>0</v>
      </c>
      <c r="N5" s="7" t="inlineStr"/>
      <c r="O5" s="7" t="inlineStr"/>
      <c r="P5" s="7" t="inlineStr"/>
      <c r="Q5" s="7" t="inlineStr"/>
      <c r="R5" s="7" t="inlineStr"/>
    </row>
    <row r="6">
      <c r="A6" s="7" t="inlineStr">
        <is>
          <t>1</t>
        </is>
      </c>
      <c r="B6" s="7" t="inlineStr">
        <is>
          <t>D00002</t>
        </is>
      </c>
      <c r="C6" s="7" t="inlineStr">
        <is>
          <t>20260312</t>
        </is>
      </c>
      <c r="D6" s="7" t="inlineStr">
        <is>
          <t>N°2026000002</t>
        </is>
      </c>
      <c r="E6" s="7" t="inlineStr">
        <is>
          <t>SPA EPE FERROVIAL</t>
        </is>
      </c>
      <c r="F6" s="7" t="inlineStr">
        <is>
          <t>15001</t>
        </is>
      </c>
      <c r="G6" s="7" t="inlineStr">
        <is>
          <t>70003</t>
        </is>
      </c>
      <c r="H6" s="7" t="inlineStr"/>
      <c r="I6" s="7" t="inlineStr"/>
      <c r="J6" s="7" t="inlineStr"/>
      <c r="K6" s="7" t="inlineStr">
        <is>
          <t>FEN</t>
        </is>
      </c>
      <c r="L6" s="8" t="n">
        <v>0</v>
      </c>
      <c r="M6" s="8" t="n">
        <v>600000</v>
      </c>
      <c r="N6" s="7" t="inlineStr"/>
      <c r="O6" s="7" t="inlineStr"/>
      <c r="P6" s="7" t="inlineStr"/>
      <c r="Q6" s="7" t="inlineStr"/>
      <c r="R6" s="7" t="inlineStr"/>
    </row>
    <row r="7">
      <c r="A7" s="7" t="inlineStr">
        <is>
          <t>1</t>
        </is>
      </c>
      <c r="B7" s="7" t="inlineStr">
        <is>
          <t>D00002</t>
        </is>
      </c>
      <c r="C7" s="7" t="inlineStr">
        <is>
          <t>20260312</t>
        </is>
      </c>
      <c r="D7" s="7" t="inlineStr">
        <is>
          <t>N°2026000002</t>
        </is>
      </c>
      <c r="E7" s="7" t="inlineStr">
        <is>
          <t>SPA EPE FERROVIAL</t>
        </is>
      </c>
      <c r="F7" s="7" t="inlineStr">
        <is>
          <t>15001</t>
        </is>
      </c>
      <c r="G7" s="7" t="inlineStr">
        <is>
          <t>44519</t>
        </is>
      </c>
      <c r="H7" s="7" t="inlineStr"/>
      <c r="I7" s="7" t="inlineStr"/>
      <c r="J7" s="7" t="inlineStr"/>
      <c r="K7" s="7" t="inlineStr">
        <is>
          <t>FEN</t>
        </is>
      </c>
      <c r="L7" s="8" t="n">
        <v>0</v>
      </c>
      <c r="M7" s="8" t="n">
        <v>114000</v>
      </c>
      <c r="N7" s="7" t="inlineStr"/>
      <c r="O7" s="7" t="inlineStr"/>
      <c r="P7" s="7" t="inlineStr"/>
      <c r="Q7" s="7" t="inlineStr"/>
      <c r="R7" s="7" t="inlineStr"/>
    </row>
    <row r="8">
      <c r="A8" s="7" t="inlineStr">
        <is>
          <t>1</t>
        </is>
      </c>
      <c r="B8" s="7" t="inlineStr">
        <is>
          <t>D00003</t>
        </is>
      </c>
      <c r="C8" s="7" t="inlineStr">
        <is>
          <t>20260315</t>
        </is>
      </c>
      <c r="D8" s="7" t="inlineStr">
        <is>
          <t>N°2026000003</t>
        </is>
      </c>
      <c r="E8" s="7" t="inlineStr">
        <is>
          <t>SARL LAITRIE SOUMMAM</t>
        </is>
      </c>
      <c r="F8" s="7" t="inlineStr">
        <is>
          <t>15001</t>
        </is>
      </c>
      <c r="G8" s="7" t="inlineStr">
        <is>
          <t>41100</t>
        </is>
      </c>
      <c r="H8" s="7" t="inlineStr">
        <is>
          <t>C986</t>
        </is>
      </c>
      <c r="I8" s="7" t="inlineStr"/>
      <c r="J8" s="7" t="inlineStr"/>
      <c r="K8" s="7" t="inlineStr">
        <is>
          <t>FEN</t>
        </is>
      </c>
      <c r="L8" s="8" t="n">
        <v>316540</v>
      </c>
      <c r="M8" s="8" t="n">
        <v>0</v>
      </c>
      <c r="N8" s="7" t="inlineStr"/>
      <c r="O8" s="7" t="inlineStr"/>
      <c r="P8" s="7" t="inlineStr"/>
      <c r="Q8" s="7" t="inlineStr"/>
      <c r="R8" s="7" t="inlineStr"/>
    </row>
    <row r="9">
      <c r="A9" s="7" t="inlineStr">
        <is>
          <t>1</t>
        </is>
      </c>
      <c r="B9" s="7" t="inlineStr">
        <is>
          <t>D00003</t>
        </is>
      </c>
      <c r="C9" s="7" t="inlineStr">
        <is>
          <t>20260315</t>
        </is>
      </c>
      <c r="D9" s="7" t="inlineStr">
        <is>
          <t>N°2026000003</t>
        </is>
      </c>
      <c r="E9" s="7" t="inlineStr">
        <is>
          <t>SARL LAITRIE SOUMMAM</t>
        </is>
      </c>
      <c r="F9" s="7" t="inlineStr">
        <is>
          <t>15001</t>
        </is>
      </c>
      <c r="G9" s="7" t="inlineStr">
        <is>
          <t>70003</t>
        </is>
      </c>
      <c r="H9" s="7" t="inlineStr"/>
      <c r="I9" s="7" t="inlineStr"/>
      <c r="J9" s="7" t="inlineStr"/>
      <c r="K9" s="7" t="inlineStr">
        <is>
          <t>FEN</t>
        </is>
      </c>
      <c r="L9" s="8" t="n">
        <v>0</v>
      </c>
      <c r="M9" s="8" t="n">
        <v>266000</v>
      </c>
      <c r="N9" s="7" t="inlineStr"/>
      <c r="O9" s="7" t="inlineStr"/>
      <c r="P9" s="7" t="inlineStr"/>
      <c r="Q9" s="7" t="inlineStr"/>
      <c r="R9" s="7" t="inlineStr"/>
    </row>
    <row r="10">
      <c r="A10" s="7" t="inlineStr">
        <is>
          <t>1</t>
        </is>
      </c>
      <c r="B10" s="7" t="inlineStr">
        <is>
          <t>D00003</t>
        </is>
      </c>
      <c r="C10" s="7" t="inlineStr">
        <is>
          <t>20260315</t>
        </is>
      </c>
      <c r="D10" s="7" t="inlineStr">
        <is>
          <t>N°2026000003</t>
        </is>
      </c>
      <c r="E10" s="7" t="inlineStr">
        <is>
          <t>SARL LAITRIE SOUMMAM</t>
        </is>
      </c>
      <c r="F10" s="7" t="inlineStr">
        <is>
          <t>15001</t>
        </is>
      </c>
      <c r="G10" s="7" t="inlineStr">
        <is>
          <t>44519</t>
        </is>
      </c>
      <c r="H10" s="7" t="inlineStr"/>
      <c r="I10" s="7" t="inlineStr"/>
      <c r="J10" s="7" t="inlineStr"/>
      <c r="K10" s="7" t="inlineStr">
        <is>
          <t>FEN</t>
        </is>
      </c>
      <c r="L10" s="8" t="n">
        <v>0</v>
      </c>
      <c r="M10" s="8" t="n">
        <v>50540</v>
      </c>
      <c r="N10" s="7" t="inlineStr"/>
      <c r="O10" s="7" t="inlineStr"/>
      <c r="P10" s="7" t="inlineStr"/>
      <c r="Q10" s="7" t="inlineStr"/>
      <c r="R10" s="7" t="inlineStr"/>
    </row>
    <row r="11">
      <c r="A11" s="7" t="inlineStr">
        <is>
          <t>1</t>
        </is>
      </c>
      <c r="B11" s="7" t="inlineStr">
        <is>
          <t>D00004</t>
        </is>
      </c>
      <c r="C11" s="7" t="inlineStr">
        <is>
          <t>20260316</t>
        </is>
      </c>
      <c r="D11" s="7" t="inlineStr">
        <is>
          <t>N°2026000004</t>
        </is>
      </c>
      <c r="E11" s="7" t="inlineStr">
        <is>
          <t>SPA TMF LOGISTICS</t>
        </is>
      </c>
      <c r="F11" s="7" t="inlineStr">
        <is>
          <t>15001</t>
        </is>
      </c>
      <c r="G11" s="7" t="inlineStr">
        <is>
          <t>41100</t>
        </is>
      </c>
      <c r="H11" s="7" t="inlineStr">
        <is>
          <t>C671</t>
        </is>
      </c>
      <c r="I11" s="7" t="inlineStr"/>
      <c r="J11" s="7" t="inlineStr"/>
      <c r="K11" s="7" t="inlineStr">
        <is>
          <t>FEN</t>
        </is>
      </c>
      <c r="L11" s="8" t="n">
        <v>2712248</v>
      </c>
      <c r="M11" s="8" t="n">
        <v>0</v>
      </c>
      <c r="N11" s="7" t="inlineStr"/>
      <c r="O11" s="7" t="inlineStr"/>
      <c r="P11" s="7" t="inlineStr"/>
      <c r="Q11" s="7" t="inlineStr"/>
      <c r="R11" s="7" t="inlineStr"/>
    </row>
    <row r="12">
      <c r="A12" s="7" t="inlineStr">
        <is>
          <t>1</t>
        </is>
      </c>
      <c r="B12" s="7" t="inlineStr">
        <is>
          <t>D00004</t>
        </is>
      </c>
      <c r="C12" s="7" t="inlineStr">
        <is>
          <t>20260316</t>
        </is>
      </c>
      <c r="D12" s="7" t="inlineStr">
        <is>
          <t>N°2026000004</t>
        </is>
      </c>
      <c r="E12" s="7" t="inlineStr">
        <is>
          <t>SPA TMF LOGISTICS</t>
        </is>
      </c>
      <c r="F12" s="7" t="inlineStr">
        <is>
          <t>15001</t>
        </is>
      </c>
      <c r="G12" s="7" t="inlineStr">
        <is>
          <t>70003</t>
        </is>
      </c>
      <c r="H12" s="7" t="inlineStr"/>
      <c r="I12" s="7" t="inlineStr"/>
      <c r="J12" s="7" t="inlineStr"/>
      <c r="K12" s="7" t="inlineStr">
        <is>
          <t>FEN</t>
        </is>
      </c>
      <c r="L12" s="8" t="n">
        <v>0</v>
      </c>
      <c r="M12" s="8" t="n">
        <v>2279200</v>
      </c>
      <c r="N12" s="7" t="inlineStr"/>
      <c r="O12" s="7" t="inlineStr"/>
      <c r="P12" s="7" t="inlineStr"/>
      <c r="Q12" s="7" t="inlineStr"/>
      <c r="R12" s="7" t="inlineStr"/>
    </row>
    <row r="13">
      <c r="A13" s="7" t="inlineStr">
        <is>
          <t>1</t>
        </is>
      </c>
      <c r="B13" s="7" t="inlineStr">
        <is>
          <t>D00004</t>
        </is>
      </c>
      <c r="C13" s="7" t="inlineStr">
        <is>
          <t>20260316</t>
        </is>
      </c>
      <c r="D13" s="7" t="inlineStr">
        <is>
          <t>N°2026000004</t>
        </is>
      </c>
      <c r="E13" s="7" t="inlineStr">
        <is>
          <t>SPA TMF LOGISTICS</t>
        </is>
      </c>
      <c r="F13" s="7" t="inlineStr">
        <is>
          <t>15001</t>
        </is>
      </c>
      <c r="G13" s="7" t="inlineStr">
        <is>
          <t>44519</t>
        </is>
      </c>
      <c r="H13" s="7" t="inlineStr"/>
      <c r="I13" s="7" t="inlineStr"/>
      <c r="J13" s="7" t="inlineStr"/>
      <c r="K13" s="7" t="inlineStr">
        <is>
          <t>FEN</t>
        </is>
      </c>
      <c r="L13" s="8" t="n">
        <v>0</v>
      </c>
      <c r="M13" s="8" t="n">
        <v>433048</v>
      </c>
      <c r="N13" s="7" t="inlineStr"/>
      <c r="O13" s="7" t="inlineStr"/>
      <c r="P13" s="7" t="inlineStr"/>
      <c r="Q13" s="7" t="inlineStr"/>
      <c r="R13" s="7" t="inlineStr"/>
    </row>
    <row r="14">
      <c r="A14" s="7" t="inlineStr">
        <is>
          <t>1</t>
        </is>
      </c>
      <c r="B14" s="7" t="inlineStr">
        <is>
          <t>D00005</t>
        </is>
      </c>
      <c r="C14" s="7" t="inlineStr">
        <is>
          <t>20260317</t>
        </is>
      </c>
      <c r="D14" s="7" t="inlineStr">
        <is>
          <t>N°2026000005</t>
        </is>
      </c>
      <c r="E14" s="7" t="inlineStr">
        <is>
          <t>EURL TERRENO TRANS</t>
        </is>
      </c>
      <c r="F14" s="7" t="inlineStr">
        <is>
          <t>15001</t>
        </is>
      </c>
      <c r="G14" s="7" t="inlineStr">
        <is>
          <t>41100</t>
        </is>
      </c>
      <c r="H14" s="7" t="inlineStr">
        <is>
          <t>C959</t>
        </is>
      </c>
      <c r="I14" s="7" t="inlineStr"/>
      <c r="J14" s="7" t="inlineStr"/>
      <c r="K14" s="7" t="inlineStr">
        <is>
          <t>FEN</t>
        </is>
      </c>
      <c r="L14" s="8" t="n">
        <v>565250</v>
      </c>
      <c r="M14" s="8" t="n">
        <v>0</v>
      </c>
      <c r="N14" s="7" t="inlineStr"/>
      <c r="O14" s="7" t="inlineStr"/>
      <c r="P14" s="7" t="inlineStr"/>
      <c r="Q14" s="7" t="inlineStr"/>
      <c r="R14" s="7" t="inlineStr"/>
    </row>
    <row r="15">
      <c r="A15" s="7" t="inlineStr">
        <is>
          <t>1</t>
        </is>
      </c>
      <c r="B15" s="7" t="inlineStr">
        <is>
          <t>D00005</t>
        </is>
      </c>
      <c r="C15" s="7" t="inlineStr">
        <is>
          <t>20260317</t>
        </is>
      </c>
      <c r="D15" s="7" t="inlineStr">
        <is>
          <t>N°2026000005</t>
        </is>
      </c>
      <c r="E15" s="7" t="inlineStr">
        <is>
          <t>EURL TERRENO TRANS</t>
        </is>
      </c>
      <c r="F15" s="7" t="inlineStr">
        <is>
          <t>15001</t>
        </is>
      </c>
      <c r="G15" s="7" t="inlineStr">
        <is>
          <t>70003</t>
        </is>
      </c>
      <c r="H15" s="7" t="inlineStr"/>
      <c r="I15" s="7" t="inlineStr"/>
      <c r="J15" s="7" t="inlineStr"/>
      <c r="K15" s="7" t="inlineStr">
        <is>
          <t>FEN</t>
        </is>
      </c>
      <c r="L15" s="8" t="n">
        <v>0</v>
      </c>
      <c r="M15" s="8" t="n">
        <v>475000</v>
      </c>
      <c r="N15" s="7" t="inlineStr"/>
      <c r="O15" s="7" t="inlineStr"/>
      <c r="P15" s="7" t="inlineStr"/>
      <c r="Q15" s="7" t="inlineStr"/>
      <c r="R15" s="7" t="inlineStr"/>
    </row>
    <row r="16">
      <c r="A16" s="7" t="inlineStr">
        <is>
          <t>1</t>
        </is>
      </c>
      <c r="B16" s="7" t="inlineStr">
        <is>
          <t>D00005</t>
        </is>
      </c>
      <c r="C16" s="7" t="inlineStr">
        <is>
          <t>20260317</t>
        </is>
      </c>
      <c r="D16" s="7" t="inlineStr">
        <is>
          <t>N°2026000005</t>
        </is>
      </c>
      <c r="E16" s="7" t="inlineStr">
        <is>
          <t>EURL TERRENO TRANS</t>
        </is>
      </c>
      <c r="F16" s="7" t="inlineStr">
        <is>
          <t>15001</t>
        </is>
      </c>
      <c r="G16" s="7" t="inlineStr">
        <is>
          <t>44519</t>
        </is>
      </c>
      <c r="H16" s="7" t="inlineStr"/>
      <c r="I16" s="7" t="inlineStr"/>
      <c r="J16" s="7" t="inlineStr"/>
      <c r="K16" s="7" t="inlineStr">
        <is>
          <t>FEN</t>
        </is>
      </c>
      <c r="L16" s="8" t="n">
        <v>0</v>
      </c>
      <c r="M16" s="8" t="n">
        <v>90250</v>
      </c>
      <c r="N16" s="7" t="inlineStr"/>
      <c r="O16" s="7" t="inlineStr"/>
      <c r="P16" s="7" t="inlineStr"/>
      <c r="Q16" s="7" t="inlineStr"/>
      <c r="R16" s="7" t="inlineStr"/>
    </row>
    <row r="17">
      <c r="A17" s="7" t="inlineStr">
        <is>
          <t>1</t>
        </is>
      </c>
      <c r="B17" s="7" t="inlineStr">
        <is>
          <t>D00006</t>
        </is>
      </c>
      <c r="C17" s="7" t="inlineStr">
        <is>
          <t>20260318</t>
        </is>
      </c>
      <c r="D17" s="7" t="inlineStr">
        <is>
          <t>N°2026000006</t>
        </is>
      </c>
      <c r="E17" s="7" t="inlineStr">
        <is>
          <t>SARL EL ZIBANE TRANSPORT</t>
        </is>
      </c>
      <c r="F17" s="7" t="inlineStr">
        <is>
          <t>15001</t>
        </is>
      </c>
      <c r="G17" s="7" t="inlineStr">
        <is>
          <t>41100</t>
        </is>
      </c>
      <c r="H17" s="7" t="inlineStr">
        <is>
          <t>C1094</t>
        </is>
      </c>
      <c r="I17" s="7" t="inlineStr"/>
      <c r="J17" s="7" t="inlineStr"/>
      <c r="K17" s="7" t="inlineStr">
        <is>
          <t>FEN</t>
        </is>
      </c>
      <c r="L17" s="8" t="n">
        <v>327845</v>
      </c>
      <c r="M17" s="8" t="n">
        <v>0</v>
      </c>
      <c r="N17" s="7" t="inlineStr"/>
      <c r="O17" s="7" t="inlineStr"/>
      <c r="P17" s="7" t="inlineStr"/>
      <c r="Q17" s="7" t="inlineStr"/>
      <c r="R17" s="7" t="inlineStr"/>
    </row>
    <row r="18">
      <c r="A18" s="7" t="inlineStr">
        <is>
          <t>1</t>
        </is>
      </c>
      <c r="B18" s="7" t="inlineStr">
        <is>
          <t>D00006</t>
        </is>
      </c>
      <c r="C18" s="7" t="inlineStr">
        <is>
          <t>20260318</t>
        </is>
      </c>
      <c r="D18" s="7" t="inlineStr">
        <is>
          <t>N°2026000006</t>
        </is>
      </c>
      <c r="E18" s="7" t="inlineStr">
        <is>
          <t>SARL EL ZIBANE TRANSPORT</t>
        </is>
      </c>
      <c r="F18" s="7" t="inlineStr">
        <is>
          <t>15001</t>
        </is>
      </c>
      <c r="G18" s="7" t="inlineStr">
        <is>
          <t>70003</t>
        </is>
      </c>
      <c r="H18" s="7" t="inlineStr"/>
      <c r="I18" s="7" t="inlineStr"/>
      <c r="J18" s="7" t="inlineStr"/>
      <c r="K18" s="7" t="inlineStr">
        <is>
          <t>FEN</t>
        </is>
      </c>
      <c r="L18" s="8" t="n">
        <v>0</v>
      </c>
      <c r="M18" s="8" t="n">
        <v>275500</v>
      </c>
      <c r="N18" s="7" t="inlineStr"/>
      <c r="O18" s="7" t="inlineStr"/>
      <c r="P18" s="7" t="inlineStr"/>
      <c r="Q18" s="7" t="inlineStr"/>
      <c r="R18" s="7" t="inlineStr"/>
    </row>
    <row r="19">
      <c r="A19" s="7" t="inlineStr">
        <is>
          <t>1</t>
        </is>
      </c>
      <c r="B19" s="7" t="inlineStr">
        <is>
          <t>D00006</t>
        </is>
      </c>
      <c r="C19" s="7" t="inlineStr">
        <is>
          <t>20260318</t>
        </is>
      </c>
      <c r="D19" s="7" t="inlineStr">
        <is>
          <t>N°2026000006</t>
        </is>
      </c>
      <c r="E19" s="7" t="inlineStr">
        <is>
          <t>SARL EL ZIBANE TRANSPORT</t>
        </is>
      </c>
      <c r="F19" s="7" t="inlineStr">
        <is>
          <t>15001</t>
        </is>
      </c>
      <c r="G19" s="7" t="inlineStr">
        <is>
          <t>44519</t>
        </is>
      </c>
      <c r="H19" s="7" t="inlineStr"/>
      <c r="I19" s="7" t="inlineStr"/>
      <c r="J19" s="7" t="inlineStr"/>
      <c r="K19" s="7" t="inlineStr">
        <is>
          <t>FEN</t>
        </is>
      </c>
      <c r="L19" s="8" t="n">
        <v>0</v>
      </c>
      <c r="M19" s="8" t="n">
        <v>52345</v>
      </c>
      <c r="N19" s="7" t="inlineStr"/>
      <c r="O19" s="7" t="inlineStr"/>
      <c r="P19" s="7" t="inlineStr"/>
      <c r="Q19" s="7" t="inlineStr"/>
      <c r="R19" s="7" t="inlineStr"/>
    </row>
    <row r="20">
      <c r="A20" s="7" t="inlineStr">
        <is>
          <t>1</t>
        </is>
      </c>
      <c r="B20" s="7" t="inlineStr">
        <is>
          <t>D00007</t>
        </is>
      </c>
      <c r="C20" s="7" t="inlineStr">
        <is>
          <t>20260319</t>
        </is>
      </c>
      <c r="D20" s="7" t="inlineStr">
        <is>
          <t>N°2026000007</t>
        </is>
      </c>
      <c r="E20" s="7" t="inlineStr">
        <is>
          <t>SARL BEJAIA LOGISTIQUE</t>
        </is>
      </c>
      <c r="F20" s="7" t="inlineStr">
        <is>
          <t>15001</t>
        </is>
      </c>
      <c r="G20" s="7" t="inlineStr">
        <is>
          <t>41100</t>
        </is>
      </c>
      <c r="H20" s="7" t="inlineStr">
        <is>
          <t>C708</t>
        </is>
      </c>
      <c r="I20" s="7" t="inlineStr"/>
      <c r="J20" s="7" t="inlineStr"/>
      <c r="K20" s="7" t="inlineStr">
        <is>
          <t>FEN</t>
        </is>
      </c>
      <c r="L20" s="8" t="n">
        <v>4046000</v>
      </c>
      <c r="M20" s="8" t="n">
        <v>0</v>
      </c>
      <c r="N20" s="7" t="inlineStr"/>
      <c r="O20" s="7" t="inlineStr"/>
      <c r="P20" s="7" t="inlineStr"/>
      <c r="Q20" s="7" t="inlineStr"/>
      <c r="R20" s="7" t="inlineStr"/>
    </row>
    <row r="21">
      <c r="A21" s="7" t="inlineStr">
        <is>
          <t>1</t>
        </is>
      </c>
      <c r="B21" s="7" t="inlineStr">
        <is>
          <t>D00007</t>
        </is>
      </c>
      <c r="C21" s="7" t="inlineStr">
        <is>
          <t>20260319</t>
        </is>
      </c>
      <c r="D21" s="7" t="inlineStr">
        <is>
          <t>N°2026000007</t>
        </is>
      </c>
      <c r="E21" s="7" t="inlineStr">
        <is>
          <t>SARL BEJAIA LOGISTIQUE</t>
        </is>
      </c>
      <c r="F21" s="7" t="inlineStr">
        <is>
          <t>15001</t>
        </is>
      </c>
      <c r="G21" s="7" t="inlineStr">
        <is>
          <t>70003</t>
        </is>
      </c>
      <c r="H21" s="7" t="inlineStr"/>
      <c r="I21" s="7" t="inlineStr"/>
      <c r="J21" s="7" t="inlineStr"/>
      <c r="K21" s="7" t="inlineStr">
        <is>
          <t>FEN</t>
        </is>
      </c>
      <c r="L21" s="8" t="n">
        <v>0</v>
      </c>
      <c r="M21" s="8" t="n">
        <v>3400000</v>
      </c>
      <c r="N21" s="7" t="inlineStr"/>
      <c r="O21" s="7" t="inlineStr"/>
      <c r="P21" s="7" t="inlineStr"/>
      <c r="Q21" s="7" t="inlineStr"/>
      <c r="R21" s="7" t="inlineStr"/>
    </row>
    <row r="22">
      <c r="A22" s="7" t="inlineStr">
        <is>
          <t>1</t>
        </is>
      </c>
      <c r="B22" s="7" t="inlineStr">
        <is>
          <t>D00007</t>
        </is>
      </c>
      <c r="C22" s="7" t="inlineStr">
        <is>
          <t>20260319</t>
        </is>
      </c>
      <c r="D22" s="7" t="inlineStr">
        <is>
          <t>N°2026000007</t>
        </is>
      </c>
      <c r="E22" s="7" t="inlineStr">
        <is>
          <t>SARL BEJAIA LOGISTIQUE</t>
        </is>
      </c>
      <c r="F22" s="7" t="inlineStr">
        <is>
          <t>15001</t>
        </is>
      </c>
      <c r="G22" s="7" t="inlineStr">
        <is>
          <t>44519</t>
        </is>
      </c>
      <c r="H22" s="7" t="inlineStr"/>
      <c r="I22" s="7" t="inlineStr"/>
      <c r="J22" s="7" t="inlineStr"/>
      <c r="K22" s="7" t="inlineStr">
        <is>
          <t>FEN</t>
        </is>
      </c>
      <c r="L22" s="8" t="n">
        <v>0</v>
      </c>
      <c r="M22" s="8" t="n">
        <v>646000</v>
      </c>
      <c r="N22" s="7" t="inlineStr"/>
      <c r="O22" s="7" t="inlineStr"/>
      <c r="P22" s="7" t="inlineStr"/>
      <c r="Q22" s="7" t="inlineStr"/>
      <c r="R22" s="7" t="inlineStr"/>
    </row>
    <row r="23">
      <c r="A23" s="7" t="inlineStr">
        <is>
          <t>1</t>
        </is>
      </c>
      <c r="B23" s="7" t="inlineStr">
        <is>
          <t>D00008</t>
        </is>
      </c>
      <c r="C23" s="7" t="inlineStr">
        <is>
          <t>20260319</t>
        </is>
      </c>
      <c r="D23" s="7" t="inlineStr">
        <is>
          <t>N°2026000008</t>
        </is>
      </c>
      <c r="E23" s="7" t="inlineStr">
        <is>
          <t>SARL BEJAIA LOGISTIQUE</t>
        </is>
      </c>
      <c r="F23" s="7" t="inlineStr">
        <is>
          <t>15001</t>
        </is>
      </c>
      <c r="G23" s="7" t="inlineStr">
        <is>
          <t>41100</t>
        </is>
      </c>
      <c r="H23" s="7" t="inlineStr">
        <is>
          <t>C708</t>
        </is>
      </c>
      <c r="I23" s="7" t="inlineStr"/>
      <c r="J23" s="7" t="inlineStr"/>
      <c r="K23" s="7" t="inlineStr">
        <is>
          <t>FEN</t>
        </is>
      </c>
      <c r="L23" s="8" t="n">
        <v>392700</v>
      </c>
      <c r="M23" s="8" t="n">
        <v>0</v>
      </c>
      <c r="N23" s="7" t="inlineStr"/>
      <c r="O23" s="7" t="inlineStr"/>
      <c r="P23" s="7" t="inlineStr"/>
      <c r="Q23" s="7" t="inlineStr"/>
      <c r="R23" s="7" t="inlineStr"/>
    </row>
    <row r="24">
      <c r="A24" s="7" t="inlineStr">
        <is>
          <t>1</t>
        </is>
      </c>
      <c r="B24" s="7" t="inlineStr">
        <is>
          <t>D00008</t>
        </is>
      </c>
      <c r="C24" s="7" t="inlineStr">
        <is>
          <t>20260319</t>
        </is>
      </c>
      <c r="D24" s="7" t="inlineStr">
        <is>
          <t>N°2026000008</t>
        </is>
      </c>
      <c r="E24" s="7" t="inlineStr">
        <is>
          <t>SARL BEJAIA LOGISTIQUE</t>
        </is>
      </c>
      <c r="F24" s="7" t="inlineStr">
        <is>
          <t>15001</t>
        </is>
      </c>
      <c r="G24" s="7" t="inlineStr">
        <is>
          <t>70003</t>
        </is>
      </c>
      <c r="H24" s="7" t="inlineStr"/>
      <c r="I24" s="7" t="inlineStr"/>
      <c r="J24" s="7" t="inlineStr"/>
      <c r="K24" s="7" t="inlineStr">
        <is>
          <t>FEN</t>
        </is>
      </c>
      <c r="L24" s="8" t="n">
        <v>0</v>
      </c>
      <c r="M24" s="8" t="n">
        <v>330000</v>
      </c>
      <c r="N24" s="7" t="inlineStr"/>
      <c r="O24" s="7" t="inlineStr"/>
      <c r="P24" s="7" t="inlineStr"/>
      <c r="Q24" s="7" t="inlineStr"/>
      <c r="R24" s="7" t="inlineStr"/>
    </row>
    <row r="25">
      <c r="A25" s="7" t="inlineStr">
        <is>
          <t>1</t>
        </is>
      </c>
      <c r="B25" s="7" t="inlineStr">
        <is>
          <t>D00008</t>
        </is>
      </c>
      <c r="C25" s="7" t="inlineStr">
        <is>
          <t>20260319</t>
        </is>
      </c>
      <c r="D25" s="7" t="inlineStr">
        <is>
          <t>N°2026000008</t>
        </is>
      </c>
      <c r="E25" s="7" t="inlineStr">
        <is>
          <t>SARL BEJAIA LOGISTIQUE</t>
        </is>
      </c>
      <c r="F25" s="7" t="inlineStr">
        <is>
          <t>15001</t>
        </is>
      </c>
      <c r="G25" s="7" t="inlineStr">
        <is>
          <t>44519</t>
        </is>
      </c>
      <c r="H25" s="7" t="inlineStr"/>
      <c r="I25" s="7" t="inlineStr"/>
      <c r="J25" s="7" t="inlineStr"/>
      <c r="K25" s="7" t="inlineStr">
        <is>
          <t>FEN</t>
        </is>
      </c>
      <c r="L25" s="8" t="n">
        <v>0</v>
      </c>
      <c r="M25" s="8" t="n">
        <v>62700</v>
      </c>
      <c r="N25" s="7" t="inlineStr"/>
      <c r="O25" s="7" t="inlineStr"/>
      <c r="P25" s="7" t="inlineStr"/>
      <c r="Q25" s="7" t="inlineStr"/>
      <c r="R25" s="7" t="inlineStr"/>
    </row>
    <row r="26">
      <c r="A26" s="7" t="inlineStr">
        <is>
          <t>1</t>
        </is>
      </c>
      <c r="B26" s="7" t="inlineStr">
        <is>
          <t>D00009</t>
        </is>
      </c>
      <c r="C26" s="7" t="inlineStr">
        <is>
          <t>20260323</t>
        </is>
      </c>
      <c r="D26" s="7" t="inlineStr">
        <is>
          <t>N°2026000009</t>
        </is>
      </c>
      <c r="E26" s="7" t="inlineStr">
        <is>
          <t>EURL TERRENO TRANS</t>
        </is>
      </c>
      <c r="F26" s="7" t="inlineStr">
        <is>
          <t>15001</t>
        </is>
      </c>
      <c r="G26" s="7" t="inlineStr">
        <is>
          <t>41100</t>
        </is>
      </c>
      <c r="H26" s="7" t="inlineStr">
        <is>
          <t>C959</t>
        </is>
      </c>
      <c r="I26" s="7" t="inlineStr"/>
      <c r="J26" s="7" t="inlineStr"/>
      <c r="K26" s="7" t="inlineStr">
        <is>
          <t>FEN</t>
        </is>
      </c>
      <c r="L26" s="8" t="n">
        <v>1673140</v>
      </c>
      <c r="M26" s="8" t="n">
        <v>0</v>
      </c>
      <c r="N26" s="7" t="inlineStr"/>
      <c r="O26" s="7" t="inlineStr"/>
      <c r="P26" s="7" t="inlineStr"/>
      <c r="Q26" s="7" t="inlineStr"/>
      <c r="R26" s="7" t="inlineStr"/>
    </row>
    <row r="27">
      <c r="A27" s="7" t="inlineStr">
        <is>
          <t>1</t>
        </is>
      </c>
      <c r="B27" s="7" t="inlineStr">
        <is>
          <t>D00009</t>
        </is>
      </c>
      <c r="C27" s="7" t="inlineStr">
        <is>
          <t>20260323</t>
        </is>
      </c>
      <c r="D27" s="7" t="inlineStr">
        <is>
          <t>N°2026000009</t>
        </is>
      </c>
      <c r="E27" s="7" t="inlineStr">
        <is>
          <t>EURL TERRENO TRANS</t>
        </is>
      </c>
      <c r="F27" s="7" t="inlineStr">
        <is>
          <t>15001</t>
        </is>
      </c>
      <c r="G27" s="7" t="inlineStr">
        <is>
          <t>70003</t>
        </is>
      </c>
      <c r="H27" s="7" t="inlineStr"/>
      <c r="I27" s="7" t="inlineStr"/>
      <c r="J27" s="7" t="inlineStr"/>
      <c r="K27" s="7" t="inlineStr">
        <is>
          <t>FEN</t>
        </is>
      </c>
      <c r="L27" s="8" t="n">
        <v>0</v>
      </c>
      <c r="M27" s="8" t="n">
        <v>1406000</v>
      </c>
      <c r="N27" s="7" t="inlineStr"/>
      <c r="O27" s="7" t="inlineStr"/>
      <c r="P27" s="7" t="inlineStr"/>
      <c r="Q27" s="7" t="inlineStr"/>
      <c r="R27" s="7" t="inlineStr"/>
    </row>
    <row r="28">
      <c r="A28" s="7" t="inlineStr">
        <is>
          <t>1</t>
        </is>
      </c>
      <c r="B28" s="7" t="inlineStr">
        <is>
          <t>D00009</t>
        </is>
      </c>
      <c r="C28" s="7" t="inlineStr">
        <is>
          <t>20260323</t>
        </is>
      </c>
      <c r="D28" s="7" t="inlineStr">
        <is>
          <t>N°2026000009</t>
        </is>
      </c>
      <c r="E28" s="7" t="inlineStr">
        <is>
          <t>EURL TERRENO TRANS</t>
        </is>
      </c>
      <c r="F28" s="7" t="inlineStr">
        <is>
          <t>15001</t>
        </is>
      </c>
      <c r="G28" s="7" t="inlineStr">
        <is>
          <t>44519</t>
        </is>
      </c>
      <c r="H28" s="7" t="inlineStr"/>
      <c r="I28" s="7" t="inlineStr"/>
      <c r="J28" s="7" t="inlineStr"/>
      <c r="K28" s="7" t="inlineStr">
        <is>
          <t>FEN</t>
        </is>
      </c>
      <c r="L28" s="8" t="n">
        <v>0</v>
      </c>
      <c r="M28" s="8" t="n">
        <v>267140</v>
      </c>
      <c r="N28" s="7" t="inlineStr"/>
      <c r="O28" s="7" t="inlineStr"/>
      <c r="P28" s="7" t="inlineStr"/>
      <c r="Q28" s="7" t="inlineStr"/>
      <c r="R28" s="7" t="inlineStr"/>
    </row>
    <row r="29">
      <c r="A29" s="7" t="inlineStr">
        <is>
          <t>1</t>
        </is>
      </c>
      <c r="B29" s="7" t="inlineStr">
        <is>
          <t>D00010</t>
        </is>
      </c>
      <c r="C29" s="7" t="inlineStr">
        <is>
          <t>20260326</t>
        </is>
      </c>
      <c r="D29" s="7" t="inlineStr">
        <is>
          <t>N°2026000010</t>
        </is>
      </c>
      <c r="E29" s="7" t="inlineStr">
        <is>
          <t>SARL LAITRIE SOUMMAM</t>
        </is>
      </c>
      <c r="F29" s="7" t="inlineStr">
        <is>
          <t>15001</t>
        </is>
      </c>
      <c r="G29" s="7" t="inlineStr">
        <is>
          <t>41100</t>
        </is>
      </c>
      <c r="H29" s="7" t="inlineStr">
        <is>
          <t>C986</t>
        </is>
      </c>
      <c r="I29" s="7" t="inlineStr"/>
      <c r="J29" s="7" t="inlineStr"/>
      <c r="K29" s="7" t="inlineStr">
        <is>
          <t>FEN</t>
        </is>
      </c>
      <c r="L29" s="8" t="n">
        <v>678300</v>
      </c>
      <c r="M29" s="8" t="n">
        <v>0</v>
      </c>
      <c r="N29" s="7" t="inlineStr"/>
      <c r="O29" s="7" t="inlineStr"/>
      <c r="P29" s="7" t="inlineStr"/>
      <c r="Q29" s="7" t="inlineStr"/>
      <c r="R29" s="7" t="inlineStr"/>
    </row>
    <row r="30">
      <c r="A30" s="7" t="inlineStr">
        <is>
          <t>1</t>
        </is>
      </c>
      <c r="B30" s="7" t="inlineStr">
        <is>
          <t>D00010</t>
        </is>
      </c>
      <c r="C30" s="7" t="inlineStr">
        <is>
          <t>20260326</t>
        </is>
      </c>
      <c r="D30" s="7" t="inlineStr">
        <is>
          <t>N°2026000010</t>
        </is>
      </c>
      <c r="E30" s="7" t="inlineStr">
        <is>
          <t>SARL LAITRIE SOUMMAM</t>
        </is>
      </c>
      <c r="F30" s="7" t="inlineStr">
        <is>
          <t>15001</t>
        </is>
      </c>
      <c r="G30" s="7" t="inlineStr">
        <is>
          <t>70003</t>
        </is>
      </c>
      <c r="H30" s="7" t="inlineStr"/>
      <c r="I30" s="7" t="inlineStr"/>
      <c r="J30" s="7" t="inlineStr"/>
      <c r="K30" s="7" t="inlineStr">
        <is>
          <t>FEN</t>
        </is>
      </c>
      <c r="L30" s="8" t="n">
        <v>0</v>
      </c>
      <c r="M30" s="8" t="n">
        <v>570000</v>
      </c>
      <c r="N30" s="7" t="inlineStr"/>
      <c r="O30" s="7" t="inlineStr"/>
      <c r="P30" s="7" t="inlineStr"/>
      <c r="Q30" s="7" t="inlineStr"/>
      <c r="R30" s="7" t="inlineStr"/>
    </row>
    <row r="31">
      <c r="A31" s="7" t="inlineStr">
        <is>
          <t>1</t>
        </is>
      </c>
      <c r="B31" s="7" t="inlineStr">
        <is>
          <t>D00010</t>
        </is>
      </c>
      <c r="C31" s="7" t="inlineStr">
        <is>
          <t>20260326</t>
        </is>
      </c>
      <c r="D31" s="7" t="inlineStr">
        <is>
          <t>N°2026000010</t>
        </is>
      </c>
      <c r="E31" s="7" t="inlineStr">
        <is>
          <t>SARL LAITRIE SOUMMAM</t>
        </is>
      </c>
      <c r="F31" s="7" t="inlineStr">
        <is>
          <t>15001</t>
        </is>
      </c>
      <c r="G31" s="7" t="inlineStr">
        <is>
          <t>44519</t>
        </is>
      </c>
      <c r="H31" s="7" t="inlineStr"/>
      <c r="I31" s="7" t="inlineStr"/>
      <c r="J31" s="7" t="inlineStr"/>
      <c r="K31" s="7" t="inlineStr">
        <is>
          <t>FEN</t>
        </is>
      </c>
      <c r="L31" s="8" t="n">
        <v>0</v>
      </c>
      <c r="M31" s="8" t="n">
        <v>108300</v>
      </c>
      <c r="N31" s="7" t="inlineStr"/>
      <c r="O31" s="7" t="inlineStr"/>
      <c r="P31" s="7" t="inlineStr"/>
      <c r="Q31" s="7" t="inlineStr"/>
      <c r="R31" s="7" t="inlineStr"/>
    </row>
    <row r="32">
      <c r="A32" s="7" t="inlineStr">
        <is>
          <t>1</t>
        </is>
      </c>
      <c r="B32" s="7" t="inlineStr">
        <is>
          <t>D00011</t>
        </is>
      </c>
      <c r="C32" s="7" t="inlineStr">
        <is>
          <t>20260329</t>
        </is>
      </c>
      <c r="D32" s="7" t="inlineStr">
        <is>
          <t>N°2026000011</t>
        </is>
      </c>
      <c r="E32" s="7" t="inlineStr">
        <is>
          <t>SNC ECOTP MOUHALI ET FRERES</t>
        </is>
      </c>
      <c r="F32" s="7" t="inlineStr">
        <is>
          <t>15001</t>
        </is>
      </c>
      <c r="G32" s="7" t="inlineStr">
        <is>
          <t>41100</t>
        </is>
      </c>
      <c r="H32" s="7" t="inlineStr">
        <is>
          <t>C248</t>
        </is>
      </c>
      <c r="I32" s="7" t="inlineStr"/>
      <c r="J32" s="7" t="inlineStr"/>
      <c r="K32" s="7" t="inlineStr">
        <is>
          <t>FEN</t>
        </is>
      </c>
      <c r="L32" s="8" t="n">
        <v>342720</v>
      </c>
      <c r="M32" s="8" t="n">
        <v>0</v>
      </c>
      <c r="N32" s="7" t="inlineStr"/>
      <c r="O32" s="7" t="inlineStr"/>
      <c r="P32" s="7" t="inlineStr"/>
      <c r="Q32" s="7" t="inlineStr"/>
      <c r="R32" s="7" t="inlineStr"/>
    </row>
    <row r="33">
      <c r="A33" s="7" t="inlineStr">
        <is>
          <t>1</t>
        </is>
      </c>
      <c r="B33" s="7" t="inlineStr">
        <is>
          <t>D00011</t>
        </is>
      </c>
      <c r="C33" s="7" t="inlineStr">
        <is>
          <t>20260329</t>
        </is>
      </c>
      <c r="D33" s="7" t="inlineStr">
        <is>
          <t>N°2026000011</t>
        </is>
      </c>
      <c r="E33" s="7" t="inlineStr">
        <is>
          <t>SNC ECOTP MOUHALI ET FRERES</t>
        </is>
      </c>
      <c r="F33" s="7" t="inlineStr">
        <is>
          <t>15001</t>
        </is>
      </c>
      <c r="G33" s="7" t="inlineStr">
        <is>
          <t>70003</t>
        </is>
      </c>
      <c r="H33" s="7" t="inlineStr"/>
      <c r="I33" s="7" t="inlineStr"/>
      <c r="J33" s="7" t="inlineStr"/>
      <c r="K33" s="7" t="inlineStr">
        <is>
          <t>FEN</t>
        </is>
      </c>
      <c r="L33" s="8" t="n">
        <v>0</v>
      </c>
      <c r="M33" s="8" t="n">
        <v>288000</v>
      </c>
      <c r="N33" s="7" t="inlineStr"/>
      <c r="O33" s="7" t="inlineStr"/>
      <c r="P33" s="7" t="inlineStr"/>
      <c r="Q33" s="7" t="inlineStr"/>
      <c r="R33" s="7" t="inlineStr"/>
    </row>
    <row r="34">
      <c r="A34" s="7" t="inlineStr">
        <is>
          <t>1</t>
        </is>
      </c>
      <c r="B34" s="7" t="inlineStr">
        <is>
          <t>D00011</t>
        </is>
      </c>
      <c r="C34" s="7" t="inlineStr">
        <is>
          <t>20260329</t>
        </is>
      </c>
      <c r="D34" s="7" t="inlineStr">
        <is>
          <t>N°2026000011</t>
        </is>
      </c>
      <c r="E34" s="7" t="inlineStr">
        <is>
          <t>SNC ECOTP MOUHALI ET FRERES</t>
        </is>
      </c>
      <c r="F34" s="7" t="inlineStr">
        <is>
          <t>15001</t>
        </is>
      </c>
      <c r="G34" s="7" t="inlineStr">
        <is>
          <t>44519</t>
        </is>
      </c>
      <c r="H34" s="7" t="inlineStr"/>
      <c r="I34" s="7" t="inlineStr"/>
      <c r="J34" s="7" t="inlineStr"/>
      <c r="K34" s="7" t="inlineStr">
        <is>
          <t>FEN</t>
        </is>
      </c>
      <c r="L34" s="8" t="n">
        <v>0</v>
      </c>
      <c r="M34" s="8" t="n">
        <v>54720</v>
      </c>
      <c r="N34" s="7" t="inlineStr"/>
      <c r="O34" s="7" t="inlineStr"/>
      <c r="P34" s="7" t="inlineStr"/>
      <c r="Q34" s="7" t="inlineStr"/>
      <c r="R34" s="7" t="inlineStr"/>
    </row>
    <row r="35">
      <c r="A35" s="7" t="inlineStr">
        <is>
          <t>1</t>
        </is>
      </c>
      <c r="B35" s="7" t="inlineStr">
        <is>
          <t>D00012</t>
        </is>
      </c>
      <c r="C35" s="7" t="inlineStr">
        <is>
          <t>20260330</t>
        </is>
      </c>
      <c r="D35" s="7" t="inlineStr">
        <is>
          <t>N°2026000012</t>
        </is>
      </c>
      <c r="E35" s="7" t="inlineStr">
        <is>
          <t>EURL TRANSPORT FLY</t>
        </is>
      </c>
      <c r="F35" s="7" t="inlineStr">
        <is>
          <t>15001</t>
        </is>
      </c>
      <c r="G35" s="7" t="inlineStr">
        <is>
          <t>41100</t>
        </is>
      </c>
      <c r="H35" s="7" t="inlineStr">
        <is>
          <t>C505</t>
        </is>
      </c>
      <c r="I35" s="7" t="inlineStr"/>
      <c r="J35" s="7" t="inlineStr"/>
      <c r="K35" s="7" t="inlineStr">
        <is>
          <t>FEN</t>
        </is>
      </c>
      <c r="L35" s="8" t="n">
        <v>128520</v>
      </c>
      <c r="M35" s="8" t="n">
        <v>0</v>
      </c>
      <c r="N35" s="7" t="inlineStr"/>
      <c r="O35" s="7" t="inlineStr"/>
      <c r="P35" s="7" t="inlineStr"/>
      <c r="Q35" s="7" t="inlineStr"/>
      <c r="R35" s="7" t="inlineStr"/>
    </row>
    <row r="36">
      <c r="A36" s="7" t="inlineStr">
        <is>
          <t>1</t>
        </is>
      </c>
      <c r="B36" s="7" t="inlineStr">
        <is>
          <t>D00012</t>
        </is>
      </c>
      <c r="C36" s="7" t="inlineStr">
        <is>
          <t>20260330</t>
        </is>
      </c>
      <c r="D36" s="7" t="inlineStr">
        <is>
          <t>N°2026000012</t>
        </is>
      </c>
      <c r="E36" s="7" t="inlineStr">
        <is>
          <t>EURL TRANSPORT FLY</t>
        </is>
      </c>
      <c r="F36" s="7" t="inlineStr">
        <is>
          <t>15001</t>
        </is>
      </c>
      <c r="G36" s="7" t="inlineStr">
        <is>
          <t>70003</t>
        </is>
      </c>
      <c r="H36" s="7" t="inlineStr"/>
      <c r="I36" s="7" t="inlineStr"/>
      <c r="J36" s="7" t="inlineStr"/>
      <c r="K36" s="7" t="inlineStr">
        <is>
          <t>FEN</t>
        </is>
      </c>
      <c r="L36" s="8" t="n">
        <v>0</v>
      </c>
      <c r="M36" s="8" t="n">
        <v>108000</v>
      </c>
      <c r="N36" s="7" t="inlineStr"/>
      <c r="O36" s="7" t="inlineStr"/>
      <c r="P36" s="7" t="inlineStr"/>
      <c r="Q36" s="7" t="inlineStr"/>
      <c r="R36" s="7" t="inlineStr"/>
    </row>
    <row r="37">
      <c r="A37" s="7" t="inlineStr">
        <is>
          <t>1</t>
        </is>
      </c>
      <c r="B37" s="7" t="inlineStr">
        <is>
          <t>D00012</t>
        </is>
      </c>
      <c r="C37" s="7" t="inlineStr">
        <is>
          <t>20260330</t>
        </is>
      </c>
      <c r="D37" s="7" t="inlineStr">
        <is>
          <t>N°2026000012</t>
        </is>
      </c>
      <c r="E37" s="7" t="inlineStr">
        <is>
          <t>EURL TRANSPORT FLY</t>
        </is>
      </c>
      <c r="F37" s="7" t="inlineStr">
        <is>
          <t>15001</t>
        </is>
      </c>
      <c r="G37" s="7" t="inlineStr">
        <is>
          <t>44519</t>
        </is>
      </c>
      <c r="H37" s="7" t="inlineStr"/>
      <c r="I37" s="7" t="inlineStr"/>
      <c r="J37" s="7" t="inlineStr"/>
      <c r="K37" s="7" t="inlineStr">
        <is>
          <t>FEN</t>
        </is>
      </c>
      <c r="L37" s="8" t="n">
        <v>0</v>
      </c>
      <c r="M37" s="8" t="n">
        <v>20520</v>
      </c>
      <c r="N37" s="7" t="inlineStr"/>
      <c r="O37" s="7" t="inlineStr"/>
      <c r="P37" s="7" t="inlineStr"/>
      <c r="Q37" s="7" t="inlineStr"/>
      <c r="R37" s="7" t="inlineStr"/>
    </row>
    <row r="38">
      <c r="A38" s="7" t="inlineStr">
        <is>
          <t>1</t>
        </is>
      </c>
      <c r="B38" s="7" t="inlineStr">
        <is>
          <t>D00013</t>
        </is>
      </c>
      <c r="C38" s="7" t="inlineStr">
        <is>
          <t>20260331</t>
        </is>
      </c>
      <c r="D38" s="7" t="inlineStr">
        <is>
          <t>N°2026000013</t>
        </is>
      </c>
      <c r="E38" s="7" t="inlineStr">
        <is>
          <t>SARL ECI  BOUDIAB</t>
        </is>
      </c>
      <c r="F38" s="7" t="inlineStr">
        <is>
          <t>15001</t>
        </is>
      </c>
      <c r="G38" s="7" t="inlineStr">
        <is>
          <t>41100</t>
        </is>
      </c>
      <c r="H38" s="7" t="inlineStr">
        <is>
          <t>C1076</t>
        </is>
      </c>
      <c r="I38" s="7" t="inlineStr"/>
      <c r="J38" s="7" t="inlineStr"/>
      <c r="K38" s="7" t="inlineStr">
        <is>
          <t>FEN</t>
        </is>
      </c>
      <c r="L38" s="8" t="n">
        <v>185640</v>
      </c>
      <c r="M38" s="8" t="n">
        <v>0</v>
      </c>
      <c r="N38" s="7" t="inlineStr"/>
      <c r="O38" s="7" t="inlineStr"/>
      <c r="P38" s="7" t="inlineStr"/>
      <c r="Q38" s="7" t="inlineStr"/>
      <c r="R38" s="7" t="inlineStr"/>
    </row>
    <row r="39">
      <c r="A39" s="7" t="inlineStr">
        <is>
          <t>1</t>
        </is>
      </c>
      <c r="B39" s="7" t="inlineStr">
        <is>
          <t>D00013</t>
        </is>
      </c>
      <c r="C39" s="7" t="inlineStr">
        <is>
          <t>20260331</t>
        </is>
      </c>
      <c r="D39" s="7" t="inlineStr">
        <is>
          <t>N°2026000013</t>
        </is>
      </c>
      <c r="E39" s="7" t="inlineStr">
        <is>
          <t>SARL ECI  BOUDIAB</t>
        </is>
      </c>
      <c r="F39" s="7" t="inlineStr">
        <is>
          <t>15001</t>
        </is>
      </c>
      <c r="G39" s="7" t="inlineStr">
        <is>
          <t>70003</t>
        </is>
      </c>
      <c r="H39" s="7" t="inlineStr"/>
      <c r="I39" s="7" t="inlineStr"/>
      <c r="J39" s="7" t="inlineStr"/>
      <c r="K39" s="7" t="inlineStr">
        <is>
          <t>FEN</t>
        </is>
      </c>
      <c r="L39" s="8" t="n">
        <v>0</v>
      </c>
      <c r="M39" s="8" t="n">
        <v>156000</v>
      </c>
      <c r="N39" s="7" t="inlineStr"/>
      <c r="O39" s="7" t="inlineStr"/>
      <c r="P39" s="7" t="inlineStr"/>
      <c r="Q39" s="7" t="inlineStr"/>
      <c r="R39" s="7" t="inlineStr"/>
    </row>
    <row r="40">
      <c r="A40" s="7" t="inlineStr">
        <is>
          <t>1</t>
        </is>
      </c>
      <c r="B40" s="7" t="inlineStr">
        <is>
          <t>D00013</t>
        </is>
      </c>
      <c r="C40" s="7" t="inlineStr">
        <is>
          <t>20260331</t>
        </is>
      </c>
      <c r="D40" s="7" t="inlineStr">
        <is>
          <t>N°2026000013</t>
        </is>
      </c>
      <c r="E40" s="7" t="inlineStr">
        <is>
          <t>SARL ECI  BOUDIAB</t>
        </is>
      </c>
      <c r="F40" s="7" t="inlineStr">
        <is>
          <t>15001</t>
        </is>
      </c>
      <c r="G40" s="7" t="inlineStr">
        <is>
          <t>44519</t>
        </is>
      </c>
      <c r="H40" s="7" t="inlineStr"/>
      <c r="I40" s="7" t="inlineStr"/>
      <c r="J40" s="7" t="inlineStr"/>
      <c r="K40" s="7" t="inlineStr">
        <is>
          <t>FEN</t>
        </is>
      </c>
      <c r="L40" s="8" t="n">
        <v>0</v>
      </c>
      <c r="M40" s="8" t="n">
        <v>29640</v>
      </c>
      <c r="N40" s="7" t="inlineStr"/>
      <c r="O40" s="7" t="inlineStr"/>
      <c r="P40" s="7" t="inlineStr"/>
      <c r="Q40" s="7" t="inlineStr"/>
      <c r="R40" s="7" t="inlineStr"/>
    </row>
    <row r="41">
      <c r="A41" s="7" t="inlineStr">
        <is>
          <t>1</t>
        </is>
      </c>
      <c r="B41" s="7" t="inlineStr">
        <is>
          <t>D00014</t>
        </is>
      </c>
      <c r="C41" s="7" t="inlineStr">
        <is>
          <t>20260331</t>
        </is>
      </c>
      <c r="D41" s="7" t="inlineStr">
        <is>
          <t>N°2026000014</t>
        </is>
      </c>
      <c r="E41" s="7" t="inlineStr">
        <is>
          <t>EURL TERRENO TRANS</t>
        </is>
      </c>
      <c r="F41" s="7" t="inlineStr">
        <is>
          <t>15001</t>
        </is>
      </c>
      <c r="G41" s="7" t="inlineStr">
        <is>
          <t>41100</t>
        </is>
      </c>
      <c r="H41" s="7" t="inlineStr">
        <is>
          <t>C959</t>
        </is>
      </c>
      <c r="I41" s="7" t="inlineStr"/>
      <c r="J41" s="7" t="inlineStr"/>
      <c r="K41" s="7" t="inlineStr">
        <is>
          <t>FEN</t>
        </is>
      </c>
      <c r="L41" s="8" t="n">
        <v>97104</v>
      </c>
      <c r="M41" s="8" t="n">
        <v>0</v>
      </c>
      <c r="N41" s="7" t="inlineStr"/>
      <c r="O41" s="7" t="inlineStr"/>
      <c r="P41" s="7" t="inlineStr"/>
      <c r="Q41" s="7" t="inlineStr"/>
      <c r="R41" s="7" t="inlineStr"/>
    </row>
    <row r="42">
      <c r="A42" s="7" t="inlineStr">
        <is>
          <t>1</t>
        </is>
      </c>
      <c r="B42" s="7" t="inlineStr">
        <is>
          <t>D00014</t>
        </is>
      </c>
      <c r="C42" s="7" t="inlineStr">
        <is>
          <t>20260331</t>
        </is>
      </c>
      <c r="D42" s="7" t="inlineStr">
        <is>
          <t>N°2026000014</t>
        </is>
      </c>
      <c r="E42" s="7" t="inlineStr">
        <is>
          <t>EURL TERRENO TRANS</t>
        </is>
      </c>
      <c r="F42" s="7" t="inlineStr">
        <is>
          <t>15001</t>
        </is>
      </c>
      <c r="G42" s="7" t="inlineStr">
        <is>
          <t>70003</t>
        </is>
      </c>
      <c r="H42" s="7" t="inlineStr"/>
      <c r="I42" s="7" t="inlineStr"/>
      <c r="J42" s="7" t="inlineStr"/>
      <c r="K42" s="7" t="inlineStr">
        <is>
          <t>FEN</t>
        </is>
      </c>
      <c r="L42" s="8" t="n">
        <v>0</v>
      </c>
      <c r="M42" s="8" t="n">
        <v>81600</v>
      </c>
      <c r="N42" s="7" t="inlineStr"/>
      <c r="O42" s="7" t="inlineStr"/>
      <c r="P42" s="7" t="inlineStr"/>
      <c r="Q42" s="7" t="inlineStr"/>
      <c r="R42" s="7" t="inlineStr"/>
    </row>
    <row r="43">
      <c r="A43" s="7" t="inlineStr">
        <is>
          <t>1</t>
        </is>
      </c>
      <c r="B43" s="7" t="inlineStr">
        <is>
          <t>D00014</t>
        </is>
      </c>
      <c r="C43" s="7" t="inlineStr">
        <is>
          <t>20260331</t>
        </is>
      </c>
      <c r="D43" s="7" t="inlineStr">
        <is>
          <t>N°2026000014</t>
        </is>
      </c>
      <c r="E43" s="7" t="inlineStr">
        <is>
          <t>EURL TERRENO TRANS</t>
        </is>
      </c>
      <c r="F43" s="7" t="inlineStr">
        <is>
          <t>15001</t>
        </is>
      </c>
      <c r="G43" s="7" t="inlineStr">
        <is>
          <t>44519</t>
        </is>
      </c>
      <c r="H43" s="7" t="inlineStr"/>
      <c r="I43" s="7" t="inlineStr"/>
      <c r="J43" s="7" t="inlineStr"/>
      <c r="K43" s="7" t="inlineStr">
        <is>
          <t>FEN</t>
        </is>
      </c>
      <c r="L43" s="8" t="n">
        <v>0</v>
      </c>
      <c r="M43" s="8" t="n">
        <v>15504</v>
      </c>
      <c r="N43" s="7" t="inlineStr"/>
      <c r="O43" s="7" t="inlineStr"/>
      <c r="P43" s="7" t="inlineStr"/>
      <c r="Q43" s="7" t="inlineStr"/>
      <c r="R43" s="7" t="inlineStr"/>
    </row>
    <row r="44">
      <c r="A44" s="7" t="inlineStr">
        <is>
          <t>1</t>
        </is>
      </c>
      <c r="B44" s="7" t="inlineStr">
        <is>
          <t>D00015</t>
        </is>
      </c>
      <c r="C44" s="7" t="inlineStr">
        <is>
          <t>20260331</t>
        </is>
      </c>
      <c r="D44" s="7" t="inlineStr">
        <is>
          <t>N°2026000015</t>
        </is>
      </c>
      <c r="E44" s="7" t="inlineStr">
        <is>
          <t>SARL ECI  BOUDIAB</t>
        </is>
      </c>
      <c r="F44" s="7" t="inlineStr">
        <is>
          <t>15001</t>
        </is>
      </c>
      <c r="G44" s="7" t="inlineStr">
        <is>
          <t>41100</t>
        </is>
      </c>
      <c r="H44" s="7" t="inlineStr">
        <is>
          <t>C1076</t>
        </is>
      </c>
      <c r="I44" s="7" t="inlineStr"/>
      <c r="J44" s="7" t="inlineStr"/>
      <c r="K44" s="7" t="inlineStr">
        <is>
          <t>FEN</t>
        </is>
      </c>
      <c r="L44" s="8" t="n">
        <v>226100</v>
      </c>
      <c r="M44" s="8" t="n">
        <v>0</v>
      </c>
      <c r="N44" s="7" t="inlineStr"/>
      <c r="O44" s="7" t="inlineStr"/>
      <c r="P44" s="7" t="inlineStr"/>
      <c r="Q44" s="7" t="inlineStr"/>
      <c r="R44" s="7" t="inlineStr"/>
    </row>
    <row r="45">
      <c r="A45" s="7" t="inlineStr">
        <is>
          <t>1</t>
        </is>
      </c>
      <c r="B45" s="7" t="inlineStr">
        <is>
          <t>D00015</t>
        </is>
      </c>
      <c r="C45" s="7" t="inlineStr">
        <is>
          <t>20260331</t>
        </is>
      </c>
      <c r="D45" s="7" t="inlineStr">
        <is>
          <t>N°2026000015</t>
        </is>
      </c>
      <c r="E45" s="7" t="inlineStr">
        <is>
          <t>SARL ECI  BOUDIAB</t>
        </is>
      </c>
      <c r="F45" s="7" t="inlineStr">
        <is>
          <t>15001</t>
        </is>
      </c>
      <c r="G45" s="7" t="inlineStr">
        <is>
          <t>70003</t>
        </is>
      </c>
      <c r="H45" s="7" t="inlineStr"/>
      <c r="I45" s="7" t="inlineStr"/>
      <c r="J45" s="7" t="inlineStr"/>
      <c r="K45" s="7" t="inlineStr">
        <is>
          <t>FEN</t>
        </is>
      </c>
      <c r="L45" s="8" t="n">
        <v>0</v>
      </c>
      <c r="M45" s="8" t="n">
        <v>190000</v>
      </c>
      <c r="N45" s="7" t="inlineStr"/>
      <c r="O45" s="7" t="inlineStr"/>
      <c r="P45" s="7" t="inlineStr"/>
      <c r="Q45" s="7" t="inlineStr"/>
      <c r="R45" s="7" t="inlineStr"/>
    </row>
    <row r="46">
      <c r="A46" s="7" t="inlineStr">
        <is>
          <t>1</t>
        </is>
      </c>
      <c r="B46" s="7" t="inlineStr">
        <is>
          <t>D00015</t>
        </is>
      </c>
      <c r="C46" s="7" t="inlineStr">
        <is>
          <t>20260331</t>
        </is>
      </c>
      <c r="D46" s="7" t="inlineStr">
        <is>
          <t>N°2026000015</t>
        </is>
      </c>
      <c r="E46" s="7" t="inlineStr">
        <is>
          <t>SARL ECI  BOUDIAB</t>
        </is>
      </c>
      <c r="F46" s="7" t="inlineStr">
        <is>
          <t>15001</t>
        </is>
      </c>
      <c r="G46" s="7" t="inlineStr">
        <is>
          <t>44519</t>
        </is>
      </c>
      <c r="H46" s="7" t="inlineStr"/>
      <c r="I46" s="7" t="inlineStr"/>
      <c r="J46" s="7" t="inlineStr"/>
      <c r="K46" s="7" t="inlineStr">
        <is>
          <t>FEN</t>
        </is>
      </c>
      <c r="L46" s="8" t="n">
        <v>0</v>
      </c>
      <c r="M46" s="8" t="n">
        <v>36100</v>
      </c>
      <c r="N46" s="7" t="inlineStr"/>
      <c r="O46" s="7" t="inlineStr"/>
      <c r="P46" s="7" t="inlineStr"/>
      <c r="Q46" s="7" t="inlineStr"/>
      <c r="R46" s="7" t="inlineStr"/>
    </row>
    <row r="47">
      <c r="A47" s="7" t="inlineStr">
        <is>
          <t>1</t>
        </is>
      </c>
      <c r="B47" s="7" t="inlineStr">
        <is>
          <t>D00016</t>
        </is>
      </c>
      <c r="C47" s="7" t="inlineStr">
        <is>
          <t>20260405</t>
        </is>
      </c>
      <c r="D47" s="7" t="inlineStr">
        <is>
          <t>N°2026000016</t>
        </is>
      </c>
      <c r="E47" s="7" t="inlineStr">
        <is>
          <t>EURL TERRENO TRANS</t>
        </is>
      </c>
      <c r="F47" s="7" t="inlineStr">
        <is>
          <t>15001</t>
        </is>
      </c>
      <c r="G47" s="7" t="inlineStr">
        <is>
          <t>41100</t>
        </is>
      </c>
      <c r="H47" s="7" t="inlineStr">
        <is>
          <t>C959</t>
        </is>
      </c>
      <c r="I47" s="7" t="inlineStr"/>
      <c r="J47" s="7" t="inlineStr"/>
      <c r="K47" s="7" t="inlineStr">
        <is>
          <t>FEN</t>
        </is>
      </c>
      <c r="L47" s="8" t="n">
        <v>128520</v>
      </c>
      <c r="M47" s="8" t="n">
        <v>0</v>
      </c>
      <c r="N47" s="7" t="inlineStr"/>
      <c r="O47" s="7" t="inlineStr"/>
      <c r="P47" s="7" t="inlineStr"/>
      <c r="Q47" s="7" t="inlineStr"/>
      <c r="R47" s="7" t="inlineStr"/>
    </row>
    <row r="48">
      <c r="A48" s="7" t="inlineStr">
        <is>
          <t>1</t>
        </is>
      </c>
      <c r="B48" s="7" t="inlineStr">
        <is>
          <t>D00016</t>
        </is>
      </c>
      <c r="C48" s="7" t="inlineStr">
        <is>
          <t>20260405</t>
        </is>
      </c>
      <c r="D48" s="7" t="inlineStr">
        <is>
          <t>N°2026000016</t>
        </is>
      </c>
      <c r="E48" s="7" t="inlineStr">
        <is>
          <t>EURL TERRENO TRANS</t>
        </is>
      </c>
      <c r="F48" s="7" t="inlineStr">
        <is>
          <t>15001</t>
        </is>
      </c>
      <c r="G48" s="7" t="inlineStr">
        <is>
          <t>70003</t>
        </is>
      </c>
      <c r="H48" s="7" t="inlineStr"/>
      <c r="I48" s="7" t="inlineStr"/>
      <c r="J48" s="7" t="inlineStr"/>
      <c r="K48" s="7" t="inlineStr">
        <is>
          <t>FEN</t>
        </is>
      </c>
      <c r="L48" s="8" t="n">
        <v>0</v>
      </c>
      <c r="M48" s="8" t="n">
        <v>108000</v>
      </c>
      <c r="N48" s="7" t="inlineStr"/>
      <c r="O48" s="7" t="inlineStr"/>
      <c r="P48" s="7" t="inlineStr"/>
      <c r="Q48" s="7" t="inlineStr"/>
      <c r="R48" s="7" t="inlineStr"/>
    </row>
    <row r="49">
      <c r="A49" s="7" t="inlineStr">
        <is>
          <t>1</t>
        </is>
      </c>
      <c r="B49" s="7" t="inlineStr">
        <is>
          <t>D00016</t>
        </is>
      </c>
      <c r="C49" s="7" t="inlineStr">
        <is>
          <t>20260405</t>
        </is>
      </c>
      <c r="D49" s="7" t="inlineStr">
        <is>
          <t>N°2026000016</t>
        </is>
      </c>
      <c r="E49" s="7" t="inlineStr">
        <is>
          <t>EURL TERRENO TRANS</t>
        </is>
      </c>
      <c r="F49" s="7" t="inlineStr">
        <is>
          <t>15001</t>
        </is>
      </c>
      <c r="G49" s="7" t="inlineStr">
        <is>
          <t>44519</t>
        </is>
      </c>
      <c r="H49" s="7" t="inlineStr"/>
      <c r="I49" s="7" t="inlineStr"/>
      <c r="J49" s="7" t="inlineStr"/>
      <c r="K49" s="7" t="inlineStr">
        <is>
          <t>FEN</t>
        </is>
      </c>
      <c r="L49" s="8" t="n">
        <v>0</v>
      </c>
      <c r="M49" s="8" t="n">
        <v>20520</v>
      </c>
      <c r="N49" s="7" t="inlineStr"/>
      <c r="O49" s="7" t="inlineStr"/>
      <c r="P49" s="7" t="inlineStr"/>
      <c r="Q49" s="7" t="inlineStr"/>
      <c r="R49" s="7" t="inlineStr"/>
    </row>
    <row r="50">
      <c r="A50" s="7" t="inlineStr">
        <is>
          <t>1</t>
        </is>
      </c>
      <c r="B50" s="7" t="inlineStr">
        <is>
          <t>D00017</t>
        </is>
      </c>
      <c r="C50" s="7" t="inlineStr">
        <is>
          <t>20260406</t>
        </is>
      </c>
      <c r="D50" s="7" t="inlineStr">
        <is>
          <t>N°2026000017</t>
        </is>
      </c>
      <c r="E50" s="7" t="inlineStr">
        <is>
          <t>EURL TERRENO TRANS</t>
        </is>
      </c>
      <c r="F50" s="7" t="inlineStr">
        <is>
          <t>15001</t>
        </is>
      </c>
      <c r="G50" s="7" t="inlineStr">
        <is>
          <t>41100</t>
        </is>
      </c>
      <c r="H50" s="7" t="inlineStr">
        <is>
          <t>C959</t>
        </is>
      </c>
      <c r="I50" s="7" t="inlineStr"/>
      <c r="J50" s="7" t="inlineStr"/>
      <c r="K50" s="7" t="inlineStr">
        <is>
          <t>FEN</t>
        </is>
      </c>
      <c r="L50" s="8" t="n">
        <v>565250</v>
      </c>
      <c r="M50" s="8" t="n">
        <v>0</v>
      </c>
      <c r="N50" s="7" t="inlineStr"/>
      <c r="O50" s="7" t="inlineStr"/>
      <c r="P50" s="7" t="inlineStr"/>
      <c r="Q50" s="7" t="inlineStr"/>
      <c r="R50" s="7" t="inlineStr"/>
    </row>
    <row r="51">
      <c r="A51" s="7" t="inlineStr">
        <is>
          <t>1</t>
        </is>
      </c>
      <c r="B51" s="7" t="inlineStr">
        <is>
          <t>D00017</t>
        </is>
      </c>
      <c r="C51" s="7" t="inlineStr">
        <is>
          <t>20260406</t>
        </is>
      </c>
      <c r="D51" s="7" t="inlineStr">
        <is>
          <t>N°2026000017</t>
        </is>
      </c>
      <c r="E51" s="7" t="inlineStr">
        <is>
          <t>EURL TERRENO TRANS</t>
        </is>
      </c>
      <c r="F51" s="7" t="inlineStr">
        <is>
          <t>15001</t>
        </is>
      </c>
      <c r="G51" s="7" t="inlineStr">
        <is>
          <t>70003</t>
        </is>
      </c>
      <c r="H51" s="7" t="inlineStr"/>
      <c r="I51" s="7" t="inlineStr"/>
      <c r="J51" s="7" t="inlineStr"/>
      <c r="K51" s="7" t="inlineStr">
        <is>
          <t>FEN</t>
        </is>
      </c>
      <c r="L51" s="8" t="n">
        <v>0</v>
      </c>
      <c r="M51" s="8" t="n">
        <v>475000</v>
      </c>
      <c r="N51" s="7" t="inlineStr"/>
      <c r="O51" s="7" t="inlineStr"/>
      <c r="P51" s="7" t="inlineStr"/>
      <c r="Q51" s="7" t="inlineStr"/>
      <c r="R51" s="7" t="inlineStr"/>
    </row>
    <row r="52">
      <c r="A52" s="7" t="inlineStr">
        <is>
          <t>1</t>
        </is>
      </c>
      <c r="B52" s="7" t="inlineStr">
        <is>
          <t>D00017</t>
        </is>
      </c>
      <c r="C52" s="7" t="inlineStr">
        <is>
          <t>20260406</t>
        </is>
      </c>
      <c r="D52" s="7" t="inlineStr">
        <is>
          <t>N°2026000017</t>
        </is>
      </c>
      <c r="E52" s="7" t="inlineStr">
        <is>
          <t>EURL TERRENO TRANS</t>
        </is>
      </c>
      <c r="F52" s="7" t="inlineStr">
        <is>
          <t>15001</t>
        </is>
      </c>
      <c r="G52" s="7" t="inlineStr">
        <is>
          <t>44519</t>
        </is>
      </c>
      <c r="H52" s="7" t="inlineStr"/>
      <c r="I52" s="7" t="inlineStr"/>
      <c r="J52" s="7" t="inlineStr"/>
      <c r="K52" s="7" t="inlineStr">
        <is>
          <t>FEN</t>
        </is>
      </c>
      <c r="L52" s="8" t="n">
        <v>0</v>
      </c>
      <c r="M52" s="8" t="n">
        <v>90250</v>
      </c>
      <c r="N52" s="7" t="inlineStr"/>
      <c r="O52" s="7" t="inlineStr"/>
      <c r="P52" s="7" t="inlineStr"/>
      <c r="Q52" s="7" t="inlineStr"/>
      <c r="R52" s="7" t="inlineStr"/>
    </row>
    <row r="53">
      <c r="A53" s="7" t="inlineStr">
        <is>
          <t>1</t>
        </is>
      </c>
      <c r="B53" s="7" t="inlineStr">
        <is>
          <t>D00018</t>
        </is>
      </c>
      <c r="C53" s="7" t="inlineStr">
        <is>
          <t>20260408</t>
        </is>
      </c>
      <c r="D53" s="7" t="inlineStr">
        <is>
          <t>N°2026000018</t>
        </is>
      </c>
      <c r="E53" s="7" t="inlineStr">
        <is>
          <t>SARL BEJAIA LOGISTIQUE</t>
        </is>
      </c>
      <c r="F53" s="7" t="inlineStr">
        <is>
          <t>15001</t>
        </is>
      </c>
      <c r="G53" s="7" t="inlineStr">
        <is>
          <t>41100</t>
        </is>
      </c>
      <c r="H53" s="7" t="inlineStr">
        <is>
          <t>C708</t>
        </is>
      </c>
      <c r="I53" s="7" t="inlineStr"/>
      <c r="J53" s="7" t="inlineStr"/>
      <c r="K53" s="7" t="inlineStr">
        <is>
          <t>FEN</t>
        </is>
      </c>
      <c r="L53" s="8" t="n">
        <v>166005</v>
      </c>
      <c r="M53" s="8" t="n">
        <v>0</v>
      </c>
      <c r="N53" s="7" t="inlineStr"/>
      <c r="O53" s="7" t="inlineStr"/>
      <c r="P53" s="7" t="inlineStr"/>
      <c r="Q53" s="7" t="inlineStr"/>
      <c r="R53" s="7" t="inlineStr"/>
    </row>
    <row r="54">
      <c r="A54" s="7" t="inlineStr">
        <is>
          <t>1</t>
        </is>
      </c>
      <c r="B54" s="7" t="inlineStr">
        <is>
          <t>D00018</t>
        </is>
      </c>
      <c r="C54" s="7" t="inlineStr">
        <is>
          <t>20260408</t>
        </is>
      </c>
      <c r="D54" s="7" t="inlineStr">
        <is>
          <t>N°2026000018</t>
        </is>
      </c>
      <c r="E54" s="7" t="inlineStr">
        <is>
          <t>SARL BEJAIA LOGISTIQUE</t>
        </is>
      </c>
      <c r="F54" s="7" t="inlineStr">
        <is>
          <t>15001</t>
        </is>
      </c>
      <c r="G54" s="7" t="inlineStr">
        <is>
          <t>70003</t>
        </is>
      </c>
      <c r="H54" s="7" t="inlineStr"/>
      <c r="I54" s="7" t="inlineStr"/>
      <c r="J54" s="7" t="inlineStr"/>
      <c r="K54" s="7" t="inlineStr">
        <is>
          <t>FEN</t>
        </is>
      </c>
      <c r="L54" s="8" t="n">
        <v>0</v>
      </c>
      <c r="M54" s="8" t="n">
        <v>139500</v>
      </c>
      <c r="N54" s="7" t="inlineStr"/>
      <c r="O54" s="7" t="inlineStr"/>
      <c r="P54" s="7" t="inlineStr"/>
      <c r="Q54" s="7" t="inlineStr"/>
      <c r="R54" s="7" t="inlineStr"/>
    </row>
    <row r="55">
      <c r="A55" s="7" t="inlineStr">
        <is>
          <t>1</t>
        </is>
      </c>
      <c r="B55" s="7" t="inlineStr">
        <is>
          <t>D00018</t>
        </is>
      </c>
      <c r="C55" s="7" t="inlineStr">
        <is>
          <t>20260408</t>
        </is>
      </c>
      <c r="D55" s="7" t="inlineStr">
        <is>
          <t>N°2026000018</t>
        </is>
      </c>
      <c r="E55" s="7" t="inlineStr">
        <is>
          <t>SARL BEJAIA LOGISTIQUE</t>
        </is>
      </c>
      <c r="F55" s="7" t="inlineStr">
        <is>
          <t>15001</t>
        </is>
      </c>
      <c r="G55" s="7" t="inlineStr">
        <is>
          <t>44519</t>
        </is>
      </c>
      <c r="H55" s="7" t="inlineStr"/>
      <c r="I55" s="7" t="inlineStr"/>
      <c r="J55" s="7" t="inlineStr"/>
      <c r="K55" s="7" t="inlineStr">
        <is>
          <t>FEN</t>
        </is>
      </c>
      <c r="L55" s="8" t="n">
        <v>0</v>
      </c>
      <c r="M55" s="8" t="n">
        <v>26505</v>
      </c>
      <c r="N55" s="7" t="inlineStr"/>
      <c r="O55" s="7" t="inlineStr"/>
      <c r="P55" s="7" t="inlineStr"/>
      <c r="Q55" s="7" t="inlineStr"/>
      <c r="R55" s="7" t="inlineStr"/>
    </row>
    <row r="56">
      <c r="A56" s="7" t="inlineStr">
        <is>
          <t>1</t>
        </is>
      </c>
      <c r="B56" s="7" t="inlineStr">
        <is>
          <t>D00019</t>
        </is>
      </c>
      <c r="C56" s="7" t="inlineStr">
        <is>
          <t>20260413</t>
        </is>
      </c>
      <c r="D56" s="7" t="inlineStr">
        <is>
          <t>N°2026000019</t>
        </is>
      </c>
      <c r="E56" s="7" t="inlineStr">
        <is>
          <t>SNC ECOTP MOUHALI ET FRERES</t>
        </is>
      </c>
      <c r="F56" s="7" t="inlineStr">
        <is>
          <t>15001</t>
        </is>
      </c>
      <c r="G56" s="7" t="inlineStr">
        <is>
          <t>41100</t>
        </is>
      </c>
      <c r="H56" s="7" t="inlineStr">
        <is>
          <t>C248</t>
        </is>
      </c>
      <c r="I56" s="7" t="inlineStr"/>
      <c r="J56" s="7" t="inlineStr"/>
      <c r="K56" s="7" t="inlineStr">
        <is>
          <t>FEN</t>
        </is>
      </c>
      <c r="L56" s="8" t="n">
        <v>121380</v>
      </c>
      <c r="M56" s="8" t="n">
        <v>0</v>
      </c>
      <c r="N56" s="7" t="inlineStr"/>
      <c r="O56" s="7" t="inlineStr"/>
      <c r="P56" s="7" t="inlineStr"/>
      <c r="Q56" s="7" t="inlineStr"/>
      <c r="R56" s="7" t="inlineStr"/>
    </row>
    <row r="57">
      <c r="A57" s="7" t="inlineStr">
        <is>
          <t>1</t>
        </is>
      </c>
      <c r="B57" s="7" t="inlineStr">
        <is>
          <t>D00019</t>
        </is>
      </c>
      <c r="C57" s="7" t="inlineStr">
        <is>
          <t>20260413</t>
        </is>
      </c>
      <c r="D57" s="7" t="inlineStr">
        <is>
          <t>N°2026000019</t>
        </is>
      </c>
      <c r="E57" s="7" t="inlineStr">
        <is>
          <t>SNC ECOTP MOUHALI ET FRERES</t>
        </is>
      </c>
      <c r="F57" s="7" t="inlineStr">
        <is>
          <t>15001</t>
        </is>
      </c>
      <c r="G57" s="7" t="inlineStr">
        <is>
          <t>70003</t>
        </is>
      </c>
      <c r="H57" s="7" t="inlineStr"/>
      <c r="I57" s="7" t="inlineStr"/>
      <c r="J57" s="7" t="inlineStr"/>
      <c r="K57" s="7" t="inlineStr">
        <is>
          <t>FEN</t>
        </is>
      </c>
      <c r="L57" s="8" t="n">
        <v>0</v>
      </c>
      <c r="M57" s="8" t="n">
        <v>102000</v>
      </c>
      <c r="N57" s="7" t="inlineStr"/>
      <c r="O57" s="7" t="inlineStr"/>
      <c r="P57" s="7" t="inlineStr"/>
      <c r="Q57" s="7" t="inlineStr"/>
      <c r="R57" s="7" t="inlineStr"/>
    </row>
    <row r="58">
      <c r="A58" s="7" t="inlineStr">
        <is>
          <t>1</t>
        </is>
      </c>
      <c r="B58" s="7" t="inlineStr">
        <is>
          <t>D00019</t>
        </is>
      </c>
      <c r="C58" s="7" t="inlineStr">
        <is>
          <t>20260413</t>
        </is>
      </c>
      <c r="D58" s="7" t="inlineStr">
        <is>
          <t>N°2026000019</t>
        </is>
      </c>
      <c r="E58" s="7" t="inlineStr">
        <is>
          <t>SNC ECOTP MOUHALI ET FRERES</t>
        </is>
      </c>
      <c r="F58" s="7" t="inlineStr">
        <is>
          <t>15001</t>
        </is>
      </c>
      <c r="G58" s="7" t="inlineStr">
        <is>
          <t>44519</t>
        </is>
      </c>
      <c r="H58" s="7" t="inlineStr"/>
      <c r="I58" s="7" t="inlineStr"/>
      <c r="J58" s="7" t="inlineStr"/>
      <c r="K58" s="7" t="inlineStr">
        <is>
          <t>FEN</t>
        </is>
      </c>
      <c r="L58" s="8" t="n">
        <v>0</v>
      </c>
      <c r="M58" s="8" t="n">
        <v>19380</v>
      </c>
      <c r="N58" s="7" t="inlineStr"/>
      <c r="O58" s="7" t="inlineStr"/>
      <c r="P58" s="7" t="inlineStr"/>
      <c r="Q58" s="7" t="inlineStr"/>
      <c r="R58" s="7" t="inlineStr"/>
    </row>
    <row r="59">
      <c r="A59" s="7" t="inlineStr">
        <is>
          <t>1</t>
        </is>
      </c>
      <c r="B59" s="7" t="inlineStr">
        <is>
          <t>D00020</t>
        </is>
      </c>
      <c r="C59" s="7" t="inlineStr">
        <is>
          <t>20260415</t>
        </is>
      </c>
      <c r="D59" s="7" t="inlineStr">
        <is>
          <t>N°2026000020</t>
        </is>
      </c>
      <c r="E59" s="7" t="inlineStr">
        <is>
          <t>SARL LAITRIE SOUMMAM</t>
        </is>
      </c>
      <c r="F59" s="7" t="inlineStr">
        <is>
          <t>15001</t>
        </is>
      </c>
      <c r="G59" s="7" t="inlineStr">
        <is>
          <t>41100</t>
        </is>
      </c>
      <c r="H59" s="7" t="inlineStr">
        <is>
          <t>C986</t>
        </is>
      </c>
      <c r="I59" s="7" t="inlineStr"/>
      <c r="J59" s="7" t="inlineStr"/>
      <c r="K59" s="7" t="inlineStr">
        <is>
          <t>FEN</t>
        </is>
      </c>
      <c r="L59" s="8" t="n">
        <v>523600</v>
      </c>
      <c r="M59" s="8" t="n">
        <v>0</v>
      </c>
      <c r="N59" s="7" t="inlineStr"/>
      <c r="O59" s="7" t="inlineStr"/>
      <c r="P59" s="7" t="inlineStr"/>
      <c r="Q59" s="7" t="inlineStr"/>
      <c r="R59" s="7" t="inlineStr"/>
    </row>
    <row r="60">
      <c r="A60" s="7" t="inlineStr">
        <is>
          <t>1</t>
        </is>
      </c>
      <c r="B60" s="7" t="inlineStr">
        <is>
          <t>D00020</t>
        </is>
      </c>
      <c r="C60" s="7" t="inlineStr">
        <is>
          <t>20260415</t>
        </is>
      </c>
      <c r="D60" s="7" t="inlineStr">
        <is>
          <t>N°2026000020</t>
        </is>
      </c>
      <c r="E60" s="7" t="inlineStr">
        <is>
          <t>SARL LAITRIE SOUMMAM</t>
        </is>
      </c>
      <c r="F60" s="7" t="inlineStr">
        <is>
          <t>15001</t>
        </is>
      </c>
      <c r="G60" s="7" t="inlineStr">
        <is>
          <t>70003</t>
        </is>
      </c>
      <c r="H60" s="7" t="inlineStr"/>
      <c r="I60" s="7" t="inlineStr"/>
      <c r="J60" s="7" t="inlineStr"/>
      <c r="K60" s="7" t="inlineStr">
        <is>
          <t>FEN</t>
        </is>
      </c>
      <c r="L60" s="8" t="n">
        <v>0</v>
      </c>
      <c r="M60" s="8" t="n">
        <v>440000</v>
      </c>
      <c r="N60" s="7" t="inlineStr"/>
      <c r="O60" s="7" t="inlineStr"/>
      <c r="P60" s="7" t="inlineStr"/>
      <c r="Q60" s="7" t="inlineStr"/>
      <c r="R60" s="7" t="inlineStr"/>
    </row>
    <row r="61">
      <c r="A61" s="7" t="inlineStr">
        <is>
          <t>1</t>
        </is>
      </c>
      <c r="B61" s="7" t="inlineStr">
        <is>
          <t>D00020</t>
        </is>
      </c>
      <c r="C61" s="7" t="inlineStr">
        <is>
          <t>20260415</t>
        </is>
      </c>
      <c r="D61" s="7" t="inlineStr">
        <is>
          <t>N°2026000020</t>
        </is>
      </c>
      <c r="E61" s="7" t="inlineStr">
        <is>
          <t>SARL LAITRIE SOUMMAM</t>
        </is>
      </c>
      <c r="F61" s="7" t="inlineStr">
        <is>
          <t>15001</t>
        </is>
      </c>
      <c r="G61" s="7" t="inlineStr">
        <is>
          <t>44519</t>
        </is>
      </c>
      <c r="H61" s="7" t="inlineStr"/>
      <c r="I61" s="7" t="inlineStr"/>
      <c r="J61" s="7" t="inlineStr"/>
      <c r="K61" s="7" t="inlineStr">
        <is>
          <t>FEN</t>
        </is>
      </c>
      <c r="L61" s="8" t="n">
        <v>0</v>
      </c>
      <c r="M61" s="8" t="n">
        <v>83600</v>
      </c>
      <c r="N61" s="7" t="inlineStr"/>
      <c r="O61" s="7" t="inlineStr"/>
      <c r="P61" s="7" t="inlineStr"/>
      <c r="Q61" s="7" t="inlineStr"/>
      <c r="R61" s="7" t="inlineStr"/>
    </row>
    <row r="62">
      <c r="A62" s="7" t="inlineStr">
        <is>
          <t>1</t>
        </is>
      </c>
      <c r="B62" s="7" t="inlineStr">
        <is>
          <t>D00021</t>
        </is>
      </c>
      <c r="C62" s="7" t="inlineStr">
        <is>
          <t>20260415</t>
        </is>
      </c>
      <c r="D62" s="7" t="inlineStr">
        <is>
          <t>N°2026000021</t>
        </is>
      </c>
      <c r="E62" s="7" t="inlineStr">
        <is>
          <t>SARL BEJAIA LOGISTIQUE</t>
        </is>
      </c>
      <c r="F62" s="7" t="inlineStr">
        <is>
          <t>15001</t>
        </is>
      </c>
      <c r="G62" s="7" t="inlineStr">
        <is>
          <t>41100</t>
        </is>
      </c>
      <c r="H62" s="7" t="inlineStr">
        <is>
          <t>C708</t>
        </is>
      </c>
      <c r="I62" s="7" t="inlineStr"/>
      <c r="J62" s="7" t="inlineStr"/>
      <c r="K62" s="7" t="inlineStr">
        <is>
          <t>FEN</t>
        </is>
      </c>
      <c r="L62" s="8" t="n">
        <v>380086</v>
      </c>
      <c r="M62" s="8" t="n">
        <v>0</v>
      </c>
      <c r="N62" s="7" t="inlineStr"/>
      <c r="O62" s="7" t="inlineStr"/>
      <c r="P62" s="7" t="inlineStr"/>
      <c r="Q62" s="7" t="inlineStr"/>
      <c r="R62" s="7" t="inlineStr"/>
    </row>
    <row r="63">
      <c r="A63" s="7" t="inlineStr">
        <is>
          <t>1</t>
        </is>
      </c>
      <c r="B63" s="7" t="inlineStr">
        <is>
          <t>D00021</t>
        </is>
      </c>
      <c r="C63" s="7" t="inlineStr">
        <is>
          <t>20260415</t>
        </is>
      </c>
      <c r="D63" s="7" t="inlineStr">
        <is>
          <t>N°2026000021</t>
        </is>
      </c>
      <c r="E63" s="7" t="inlineStr">
        <is>
          <t>SARL BEJAIA LOGISTIQUE</t>
        </is>
      </c>
      <c r="F63" s="7" t="inlineStr">
        <is>
          <t>15001</t>
        </is>
      </c>
      <c r="G63" s="7" t="inlineStr">
        <is>
          <t>70003</t>
        </is>
      </c>
      <c r="H63" s="7" t="inlineStr"/>
      <c r="I63" s="7" t="inlineStr"/>
      <c r="J63" s="7" t="inlineStr"/>
      <c r="K63" s="7" t="inlineStr">
        <is>
          <t>FEN</t>
        </is>
      </c>
      <c r="L63" s="8" t="n">
        <v>0</v>
      </c>
      <c r="M63" s="8" t="n">
        <v>319400</v>
      </c>
      <c r="N63" s="7" t="inlineStr"/>
      <c r="O63" s="7" t="inlineStr"/>
      <c r="P63" s="7" t="inlineStr"/>
      <c r="Q63" s="7" t="inlineStr"/>
      <c r="R63" s="7" t="inlineStr"/>
    </row>
    <row r="64">
      <c r="A64" s="7" t="inlineStr">
        <is>
          <t>1</t>
        </is>
      </c>
      <c r="B64" s="7" t="inlineStr">
        <is>
          <t>D00021</t>
        </is>
      </c>
      <c r="C64" s="7" t="inlineStr">
        <is>
          <t>20260415</t>
        </is>
      </c>
      <c r="D64" s="7" t="inlineStr">
        <is>
          <t>N°2026000021</t>
        </is>
      </c>
      <c r="E64" s="7" t="inlineStr">
        <is>
          <t>SARL BEJAIA LOGISTIQUE</t>
        </is>
      </c>
      <c r="F64" s="7" t="inlineStr">
        <is>
          <t>15001</t>
        </is>
      </c>
      <c r="G64" s="7" t="inlineStr">
        <is>
          <t>44519</t>
        </is>
      </c>
      <c r="H64" s="7" t="inlineStr"/>
      <c r="I64" s="7" t="inlineStr"/>
      <c r="J64" s="7" t="inlineStr"/>
      <c r="K64" s="7" t="inlineStr">
        <is>
          <t>FEN</t>
        </is>
      </c>
      <c r="L64" s="8" t="n">
        <v>0</v>
      </c>
      <c r="M64" s="8" t="n">
        <v>60686</v>
      </c>
      <c r="N64" s="7" t="inlineStr"/>
      <c r="O64" s="7" t="inlineStr"/>
      <c r="P64" s="7" t="inlineStr"/>
      <c r="Q64" s="7" t="inlineStr"/>
      <c r="R64" s="7" t="inlineStr"/>
    </row>
    <row r="65">
      <c r="A65" s="7" t="inlineStr">
        <is>
          <t>1</t>
        </is>
      </c>
      <c r="B65" s="7" t="inlineStr">
        <is>
          <t>D00022</t>
        </is>
      </c>
      <c r="C65" s="7" t="inlineStr">
        <is>
          <t>20260416</t>
        </is>
      </c>
      <c r="D65" s="7" t="inlineStr">
        <is>
          <t>N°2026000022</t>
        </is>
      </c>
      <c r="E65" s="7" t="inlineStr">
        <is>
          <t>SPA NUMILOG</t>
        </is>
      </c>
      <c r="F65" s="7" t="inlineStr">
        <is>
          <t>15001</t>
        </is>
      </c>
      <c r="G65" s="7" t="inlineStr">
        <is>
          <t>41100</t>
        </is>
      </c>
      <c r="H65" s="7" t="inlineStr">
        <is>
          <t>C616</t>
        </is>
      </c>
      <c r="I65" s="7" t="inlineStr"/>
      <c r="J65" s="7" t="inlineStr"/>
      <c r="K65" s="7" t="inlineStr">
        <is>
          <t>FEN</t>
        </is>
      </c>
      <c r="L65" s="8" t="n">
        <v>333200</v>
      </c>
      <c r="M65" s="8" t="n">
        <v>0</v>
      </c>
      <c r="N65" s="7" t="inlineStr"/>
      <c r="O65" s="7" t="inlineStr"/>
      <c r="P65" s="7" t="inlineStr"/>
      <c r="Q65" s="7" t="inlineStr"/>
      <c r="R65" s="7" t="inlineStr"/>
    </row>
    <row r="66">
      <c r="A66" s="7" t="inlineStr">
        <is>
          <t>1</t>
        </is>
      </c>
      <c r="B66" s="7" t="inlineStr">
        <is>
          <t>D00022</t>
        </is>
      </c>
      <c r="C66" s="7" t="inlineStr">
        <is>
          <t>20260416</t>
        </is>
      </c>
      <c r="D66" s="7" t="inlineStr">
        <is>
          <t>N°2026000022</t>
        </is>
      </c>
      <c r="E66" s="7" t="inlineStr">
        <is>
          <t>SPA NUMILOG</t>
        </is>
      </c>
      <c r="F66" s="7" t="inlineStr">
        <is>
          <t>15001</t>
        </is>
      </c>
      <c r="G66" s="7" t="inlineStr">
        <is>
          <t>70003</t>
        </is>
      </c>
      <c r="H66" s="7" t="inlineStr"/>
      <c r="I66" s="7" t="inlineStr"/>
      <c r="J66" s="7" t="inlineStr"/>
      <c r="K66" s="7" t="inlineStr">
        <is>
          <t>FEN</t>
        </is>
      </c>
      <c r="L66" s="8" t="n">
        <v>0</v>
      </c>
      <c r="M66" s="8" t="n">
        <v>280000</v>
      </c>
      <c r="N66" s="7" t="inlineStr"/>
      <c r="O66" s="7" t="inlineStr"/>
      <c r="P66" s="7" t="inlineStr"/>
      <c r="Q66" s="7" t="inlineStr"/>
      <c r="R66" s="7" t="inlineStr"/>
    </row>
    <row r="67">
      <c r="A67" s="7" t="inlineStr">
        <is>
          <t>1</t>
        </is>
      </c>
      <c r="B67" s="7" t="inlineStr">
        <is>
          <t>D00022</t>
        </is>
      </c>
      <c r="C67" s="7" t="inlineStr">
        <is>
          <t>20260416</t>
        </is>
      </c>
      <c r="D67" s="7" t="inlineStr">
        <is>
          <t>N°2026000022</t>
        </is>
      </c>
      <c r="E67" s="7" t="inlineStr">
        <is>
          <t>SPA NUMILOG</t>
        </is>
      </c>
      <c r="F67" s="7" t="inlineStr">
        <is>
          <t>15001</t>
        </is>
      </c>
      <c r="G67" s="7" t="inlineStr">
        <is>
          <t>44519</t>
        </is>
      </c>
      <c r="H67" s="7" t="inlineStr"/>
      <c r="I67" s="7" t="inlineStr"/>
      <c r="J67" s="7" t="inlineStr"/>
      <c r="K67" s="7" t="inlineStr">
        <is>
          <t>FEN</t>
        </is>
      </c>
      <c r="L67" s="8" t="n">
        <v>0</v>
      </c>
      <c r="M67" s="8" t="n">
        <v>53200</v>
      </c>
      <c r="N67" s="7" t="inlineStr"/>
      <c r="O67" s="7" t="inlineStr"/>
      <c r="P67" s="7" t="inlineStr"/>
      <c r="Q67" s="7" t="inlineStr"/>
      <c r="R67" s="7" t="inlineStr"/>
    </row>
    <row r="68">
      <c r="A68" s="7" t="inlineStr">
        <is>
          <t>1</t>
        </is>
      </c>
      <c r="B68" s="7" t="inlineStr">
        <is>
          <t>D00023</t>
        </is>
      </c>
      <c r="C68" s="7" t="inlineStr">
        <is>
          <t>20260420</t>
        </is>
      </c>
      <c r="D68" s="7" t="inlineStr">
        <is>
          <t>N°2026000023</t>
        </is>
      </c>
      <c r="E68" s="7" t="inlineStr">
        <is>
          <t>SARL EL ZIBANE TRANSPORT</t>
        </is>
      </c>
      <c r="F68" s="7" t="inlineStr">
        <is>
          <t>15001</t>
        </is>
      </c>
      <c r="G68" s="7" t="inlineStr">
        <is>
          <t>41100</t>
        </is>
      </c>
      <c r="H68" s="7" t="inlineStr">
        <is>
          <t>C1094</t>
        </is>
      </c>
      <c r="I68" s="7" t="inlineStr"/>
      <c r="J68" s="7" t="inlineStr"/>
      <c r="K68" s="7" t="inlineStr">
        <is>
          <t>FEN</t>
        </is>
      </c>
      <c r="L68" s="8" t="n">
        <v>107695</v>
      </c>
      <c r="M68" s="8" t="n">
        <v>0</v>
      </c>
      <c r="N68" s="7" t="inlineStr"/>
      <c r="O68" s="7" t="inlineStr"/>
      <c r="P68" s="7" t="inlineStr"/>
      <c r="Q68" s="7" t="inlineStr"/>
      <c r="R68" s="7" t="inlineStr"/>
    </row>
    <row r="69">
      <c r="A69" s="7" t="inlineStr">
        <is>
          <t>1</t>
        </is>
      </c>
      <c r="B69" s="7" t="inlineStr">
        <is>
          <t>D00023</t>
        </is>
      </c>
      <c r="C69" s="7" t="inlineStr">
        <is>
          <t>20260420</t>
        </is>
      </c>
      <c r="D69" s="7" t="inlineStr">
        <is>
          <t>N°2026000023</t>
        </is>
      </c>
      <c r="E69" s="7" t="inlineStr">
        <is>
          <t>SARL EL ZIBANE TRANSPORT</t>
        </is>
      </c>
      <c r="F69" s="7" t="inlineStr">
        <is>
          <t>15001</t>
        </is>
      </c>
      <c r="G69" s="7" t="inlineStr">
        <is>
          <t>70003</t>
        </is>
      </c>
      <c r="H69" s="7" t="inlineStr"/>
      <c r="I69" s="7" t="inlineStr"/>
      <c r="J69" s="7" t="inlineStr"/>
      <c r="K69" s="7" t="inlineStr">
        <is>
          <t>FEN</t>
        </is>
      </c>
      <c r="L69" s="8" t="n">
        <v>0</v>
      </c>
      <c r="M69" s="8" t="n">
        <v>90500</v>
      </c>
      <c r="N69" s="7" t="inlineStr"/>
      <c r="O69" s="7" t="inlineStr"/>
      <c r="P69" s="7" t="inlineStr"/>
      <c r="Q69" s="7" t="inlineStr"/>
      <c r="R69" s="7" t="inlineStr"/>
    </row>
    <row r="70">
      <c r="A70" s="7" t="inlineStr">
        <is>
          <t>1</t>
        </is>
      </c>
      <c r="B70" s="7" t="inlineStr">
        <is>
          <t>D00023</t>
        </is>
      </c>
      <c r="C70" s="7" t="inlineStr">
        <is>
          <t>20260420</t>
        </is>
      </c>
      <c r="D70" s="7" t="inlineStr">
        <is>
          <t>N°2026000023</t>
        </is>
      </c>
      <c r="E70" s="7" t="inlineStr">
        <is>
          <t>SARL EL ZIBANE TRANSPORT</t>
        </is>
      </c>
      <c r="F70" s="7" t="inlineStr">
        <is>
          <t>15001</t>
        </is>
      </c>
      <c r="G70" s="7" t="inlineStr">
        <is>
          <t>44519</t>
        </is>
      </c>
      <c r="H70" s="7" t="inlineStr"/>
      <c r="I70" s="7" t="inlineStr"/>
      <c r="J70" s="7" t="inlineStr"/>
      <c r="K70" s="7" t="inlineStr">
        <is>
          <t>FEN</t>
        </is>
      </c>
      <c r="L70" s="8" t="n">
        <v>0</v>
      </c>
      <c r="M70" s="8" t="n">
        <v>17195</v>
      </c>
      <c r="N70" s="7" t="inlineStr"/>
      <c r="O70" s="7" t="inlineStr"/>
      <c r="P70" s="7" t="inlineStr"/>
      <c r="Q70" s="7" t="inlineStr"/>
      <c r="R70" s="7" t="inlineStr"/>
    </row>
    <row r="71">
      <c r="A71" s="7" t="inlineStr">
        <is>
          <t>1</t>
        </is>
      </c>
      <c r="B71" s="7" t="inlineStr">
        <is>
          <t>D00024</t>
        </is>
      </c>
      <c r="C71" s="7" t="inlineStr">
        <is>
          <t>20260420</t>
        </is>
      </c>
      <c r="D71" s="7" t="inlineStr">
        <is>
          <t>N°2026000024</t>
        </is>
      </c>
      <c r="E71" s="7" t="inlineStr">
        <is>
          <t>COSIDER OUVRAGES D'ART SPA</t>
        </is>
      </c>
      <c r="F71" s="7" t="inlineStr">
        <is>
          <t>15001</t>
        </is>
      </c>
      <c r="G71" s="7" t="inlineStr">
        <is>
          <t>41100</t>
        </is>
      </c>
      <c r="H71" s="7" t="inlineStr">
        <is>
          <t>C596</t>
        </is>
      </c>
      <c r="I71" s="7" t="inlineStr"/>
      <c r="J71" s="7" t="inlineStr"/>
      <c r="K71" s="7" t="inlineStr">
        <is>
          <t>FEN</t>
        </is>
      </c>
      <c r="L71" s="8" t="n">
        <v>304640</v>
      </c>
      <c r="M71" s="8" t="n">
        <v>0</v>
      </c>
      <c r="N71" s="7" t="inlineStr"/>
      <c r="O71" s="7" t="inlineStr"/>
      <c r="P71" s="7" t="inlineStr"/>
      <c r="Q71" s="7" t="inlineStr"/>
      <c r="R71" s="7" t="inlineStr"/>
    </row>
    <row r="72">
      <c r="A72" s="7" t="inlineStr">
        <is>
          <t>1</t>
        </is>
      </c>
      <c r="B72" s="7" t="inlineStr">
        <is>
          <t>D00024</t>
        </is>
      </c>
      <c r="C72" s="7" t="inlineStr">
        <is>
          <t>20260420</t>
        </is>
      </c>
      <c r="D72" s="7" t="inlineStr">
        <is>
          <t>N°2026000024</t>
        </is>
      </c>
      <c r="E72" s="7" t="inlineStr">
        <is>
          <t>COSIDER OUVRAGES D'ART SPA</t>
        </is>
      </c>
      <c r="F72" s="7" t="inlineStr">
        <is>
          <t>15001</t>
        </is>
      </c>
      <c r="G72" s="7" t="inlineStr">
        <is>
          <t>70003</t>
        </is>
      </c>
      <c r="H72" s="7" t="inlineStr"/>
      <c r="I72" s="7" t="inlineStr"/>
      <c r="J72" s="7" t="inlineStr"/>
      <c r="K72" s="7" t="inlineStr">
        <is>
          <t>FEN</t>
        </is>
      </c>
      <c r="L72" s="8" t="n">
        <v>0</v>
      </c>
      <c r="M72" s="8" t="n">
        <v>256000</v>
      </c>
      <c r="N72" s="7" t="inlineStr"/>
      <c r="O72" s="7" t="inlineStr"/>
      <c r="P72" s="7" t="inlineStr"/>
      <c r="Q72" s="7" t="inlineStr"/>
      <c r="R72" s="7" t="inlineStr"/>
    </row>
    <row r="73">
      <c r="A73" s="7" t="inlineStr">
        <is>
          <t>1</t>
        </is>
      </c>
      <c r="B73" s="7" t="inlineStr">
        <is>
          <t>D00024</t>
        </is>
      </c>
      <c r="C73" s="7" t="inlineStr">
        <is>
          <t>20260420</t>
        </is>
      </c>
      <c r="D73" s="7" t="inlineStr">
        <is>
          <t>N°2026000024</t>
        </is>
      </c>
      <c r="E73" s="7" t="inlineStr">
        <is>
          <t>COSIDER OUVRAGES D'ART SPA</t>
        </is>
      </c>
      <c r="F73" s="7" t="inlineStr">
        <is>
          <t>15001</t>
        </is>
      </c>
      <c r="G73" s="7" t="inlineStr">
        <is>
          <t>44519</t>
        </is>
      </c>
      <c r="H73" s="7" t="inlineStr"/>
      <c r="I73" s="7" t="inlineStr"/>
      <c r="J73" s="7" t="inlineStr"/>
      <c r="K73" s="7" t="inlineStr">
        <is>
          <t>FEN</t>
        </is>
      </c>
      <c r="L73" s="8" t="n">
        <v>0</v>
      </c>
      <c r="M73" s="8" t="n">
        <v>48640</v>
      </c>
      <c r="N73" s="7" t="inlineStr"/>
      <c r="O73" s="7" t="inlineStr"/>
      <c r="P73" s="7" t="inlineStr"/>
      <c r="Q73" s="7" t="inlineStr"/>
      <c r="R73" s="7" t="inlineStr"/>
    </row>
    <row r="74">
      <c r="A74" s="7" t="inlineStr">
        <is>
          <t>1</t>
        </is>
      </c>
      <c r="B74" s="7" t="inlineStr">
        <is>
          <t>D00025</t>
        </is>
      </c>
      <c r="C74" s="7" t="inlineStr">
        <is>
          <t>20260422</t>
        </is>
      </c>
      <c r="D74" s="7" t="inlineStr">
        <is>
          <t>N°2026000025</t>
        </is>
      </c>
      <c r="E74" s="7" t="inlineStr">
        <is>
          <t>SARL GUERROUF AUTO</t>
        </is>
      </c>
      <c r="F74" s="7" t="inlineStr">
        <is>
          <t>15001</t>
        </is>
      </c>
      <c r="G74" s="7" t="inlineStr">
        <is>
          <t>41100</t>
        </is>
      </c>
      <c r="H74" s="7" t="inlineStr">
        <is>
          <t>C1099</t>
        </is>
      </c>
      <c r="I74" s="7" t="inlineStr"/>
      <c r="J74" s="7" t="inlineStr"/>
      <c r="K74" s="7" t="inlineStr">
        <is>
          <t>FEN</t>
        </is>
      </c>
      <c r="L74" s="8" t="n">
        <v>347480</v>
      </c>
      <c r="M74" s="8" t="n">
        <v>0</v>
      </c>
      <c r="N74" s="7" t="inlineStr"/>
      <c r="O74" s="7" t="inlineStr"/>
      <c r="P74" s="7" t="inlineStr"/>
      <c r="Q74" s="7" t="inlineStr"/>
      <c r="R74" s="7" t="inlineStr"/>
    </row>
    <row r="75">
      <c r="A75" s="7" t="inlineStr">
        <is>
          <t>1</t>
        </is>
      </c>
      <c r="B75" s="7" t="inlineStr">
        <is>
          <t>D00025</t>
        </is>
      </c>
      <c r="C75" s="7" t="inlineStr">
        <is>
          <t>20260422</t>
        </is>
      </c>
      <c r="D75" s="7" t="inlineStr">
        <is>
          <t>N°2026000025</t>
        </is>
      </c>
      <c r="E75" s="7" t="inlineStr">
        <is>
          <t>SARL GUERROUF AUTO</t>
        </is>
      </c>
      <c r="F75" s="7" t="inlineStr">
        <is>
          <t>15001</t>
        </is>
      </c>
      <c r="G75" s="7" t="inlineStr">
        <is>
          <t>70003</t>
        </is>
      </c>
      <c r="H75" s="7" t="inlineStr"/>
      <c r="I75" s="7" t="inlineStr"/>
      <c r="J75" s="7" t="inlineStr"/>
      <c r="K75" s="7" t="inlineStr">
        <is>
          <t>FEN</t>
        </is>
      </c>
      <c r="L75" s="8" t="n">
        <v>0</v>
      </c>
      <c r="M75" s="8" t="n">
        <v>292000</v>
      </c>
      <c r="N75" s="7" t="inlineStr"/>
      <c r="O75" s="7" t="inlineStr"/>
      <c r="P75" s="7" t="inlineStr"/>
      <c r="Q75" s="7" t="inlineStr"/>
      <c r="R75" s="7" t="inlineStr"/>
    </row>
    <row r="76">
      <c r="A76" s="7" t="inlineStr">
        <is>
          <t>1</t>
        </is>
      </c>
      <c r="B76" s="7" t="inlineStr">
        <is>
          <t>D00025</t>
        </is>
      </c>
      <c r="C76" s="7" t="inlineStr">
        <is>
          <t>20260422</t>
        </is>
      </c>
      <c r="D76" s="7" t="inlineStr">
        <is>
          <t>N°2026000025</t>
        </is>
      </c>
      <c r="E76" s="7" t="inlineStr">
        <is>
          <t>SARL GUERROUF AUTO</t>
        </is>
      </c>
      <c r="F76" s="7" t="inlineStr">
        <is>
          <t>15001</t>
        </is>
      </c>
      <c r="G76" s="7" t="inlineStr">
        <is>
          <t>44519</t>
        </is>
      </c>
      <c r="H76" s="7" t="inlineStr"/>
      <c r="I76" s="7" t="inlineStr"/>
      <c r="J76" s="7" t="inlineStr"/>
      <c r="K76" s="7" t="inlineStr">
        <is>
          <t>FEN</t>
        </is>
      </c>
      <c r="L76" s="8" t="n">
        <v>0</v>
      </c>
      <c r="M76" s="8" t="n">
        <v>55480</v>
      </c>
      <c r="N76" s="7" t="inlineStr"/>
      <c r="O76" s="7" t="inlineStr"/>
      <c r="P76" s="7" t="inlineStr"/>
      <c r="Q76" s="7" t="inlineStr"/>
      <c r="R76" s="7" t="inlineStr"/>
    </row>
    <row r="77">
      <c r="A77" s="7" t="inlineStr">
        <is>
          <t>1</t>
        </is>
      </c>
      <c r="B77" s="7" t="inlineStr">
        <is>
          <t>D00026</t>
        </is>
      </c>
      <c r="C77" s="7" t="inlineStr">
        <is>
          <t>20260430</t>
        </is>
      </c>
      <c r="D77" s="7" t="inlineStr">
        <is>
          <t>N°2026000026</t>
        </is>
      </c>
      <c r="E77" s="7" t="inlineStr">
        <is>
          <t>SARL GUERROUF AUTO</t>
        </is>
      </c>
      <c r="F77" s="7" t="inlineStr">
        <is>
          <t>15001</t>
        </is>
      </c>
      <c r="G77" s="7" t="inlineStr">
        <is>
          <t>41100</t>
        </is>
      </c>
      <c r="H77" s="7" t="inlineStr">
        <is>
          <t>C1099</t>
        </is>
      </c>
      <c r="I77" s="7" t="inlineStr"/>
      <c r="J77" s="7" t="inlineStr"/>
      <c r="K77" s="7" t="inlineStr">
        <is>
          <t>FEN</t>
        </is>
      </c>
      <c r="L77" s="8" t="n">
        <v>437920</v>
      </c>
      <c r="M77" s="8" t="n">
        <v>0</v>
      </c>
      <c r="N77" s="7" t="inlineStr"/>
      <c r="O77" s="7" t="inlineStr"/>
      <c r="P77" s="7" t="inlineStr"/>
      <c r="Q77" s="7" t="inlineStr"/>
      <c r="R77" s="7" t="inlineStr"/>
    </row>
    <row r="78">
      <c r="A78" s="7" t="inlineStr">
        <is>
          <t>1</t>
        </is>
      </c>
      <c r="B78" s="7" t="inlineStr">
        <is>
          <t>D00026</t>
        </is>
      </c>
      <c r="C78" s="7" t="inlineStr">
        <is>
          <t>20260430</t>
        </is>
      </c>
      <c r="D78" s="7" t="inlineStr">
        <is>
          <t>N°2026000026</t>
        </is>
      </c>
      <c r="E78" s="7" t="inlineStr">
        <is>
          <t>SARL GUERROUF AUTO</t>
        </is>
      </c>
      <c r="F78" s="7" t="inlineStr">
        <is>
          <t>15001</t>
        </is>
      </c>
      <c r="G78" s="7" t="inlineStr">
        <is>
          <t>70003</t>
        </is>
      </c>
      <c r="H78" s="7" t="inlineStr"/>
      <c r="I78" s="7" t="inlineStr"/>
      <c r="J78" s="7" t="inlineStr"/>
      <c r="K78" s="7" t="inlineStr">
        <is>
          <t>FEN</t>
        </is>
      </c>
      <c r="L78" s="8" t="n">
        <v>0</v>
      </c>
      <c r="M78" s="8" t="n">
        <v>368000</v>
      </c>
      <c r="N78" s="7" t="inlineStr"/>
      <c r="O78" s="7" t="inlineStr"/>
      <c r="P78" s="7" t="inlineStr"/>
      <c r="Q78" s="7" t="inlineStr"/>
      <c r="R78" s="7" t="inlineStr"/>
    </row>
    <row r="79">
      <c r="A79" s="7" t="inlineStr">
        <is>
          <t>1</t>
        </is>
      </c>
      <c r="B79" s="7" t="inlineStr">
        <is>
          <t>D00026</t>
        </is>
      </c>
      <c r="C79" s="7" t="inlineStr">
        <is>
          <t>20260430</t>
        </is>
      </c>
      <c r="D79" s="7" t="inlineStr">
        <is>
          <t>N°2026000026</t>
        </is>
      </c>
      <c r="E79" s="7" t="inlineStr">
        <is>
          <t>SARL GUERROUF AUTO</t>
        </is>
      </c>
      <c r="F79" s="7" t="inlineStr">
        <is>
          <t>15001</t>
        </is>
      </c>
      <c r="G79" s="7" t="inlineStr">
        <is>
          <t>44519</t>
        </is>
      </c>
      <c r="H79" s="7" t="inlineStr"/>
      <c r="I79" s="7" t="inlineStr"/>
      <c r="J79" s="7" t="inlineStr"/>
      <c r="K79" s="7" t="inlineStr">
        <is>
          <t>FEN</t>
        </is>
      </c>
      <c r="L79" s="8" t="n">
        <v>0</v>
      </c>
      <c r="M79" s="8" t="n">
        <v>69920</v>
      </c>
      <c r="N79" s="7" t="inlineStr"/>
      <c r="O79" s="7" t="inlineStr"/>
      <c r="P79" s="7" t="inlineStr"/>
      <c r="Q79" s="7" t="inlineStr"/>
      <c r="R79" s="7" t="inlineStr"/>
    </row>
    <row r="80">
      <c r="A80" s="7" t="inlineStr">
        <is>
          <t>1</t>
        </is>
      </c>
      <c r="B80" s="7" t="inlineStr">
        <is>
          <t>D00027</t>
        </is>
      </c>
      <c r="C80" s="7" t="inlineStr">
        <is>
          <t>20260505</t>
        </is>
      </c>
      <c r="D80" s="7" t="inlineStr">
        <is>
          <t>N°2026000027</t>
        </is>
      </c>
      <c r="E80" s="7" t="inlineStr">
        <is>
          <t>SARL LAITRIE SOUMMAM</t>
        </is>
      </c>
      <c r="F80" s="7" t="inlineStr">
        <is>
          <t>15001</t>
        </is>
      </c>
      <c r="G80" s="7" t="inlineStr">
        <is>
          <t>41100</t>
        </is>
      </c>
      <c r="H80" s="7" t="inlineStr">
        <is>
          <t>C986</t>
        </is>
      </c>
      <c r="I80" s="7" t="inlineStr"/>
      <c r="J80" s="7" t="inlineStr"/>
      <c r="K80" s="7" t="inlineStr">
        <is>
          <t>FEN</t>
        </is>
      </c>
      <c r="L80" s="8" t="n">
        <v>77350</v>
      </c>
      <c r="M80" s="8" t="n">
        <v>0</v>
      </c>
      <c r="N80" s="7" t="inlineStr"/>
      <c r="O80" s="7" t="inlineStr"/>
      <c r="P80" s="7" t="inlineStr"/>
      <c r="Q80" s="7" t="inlineStr"/>
      <c r="R80" s="7" t="inlineStr"/>
    </row>
    <row r="81">
      <c r="A81" s="7" t="inlineStr">
        <is>
          <t>1</t>
        </is>
      </c>
      <c r="B81" s="7" t="inlineStr">
        <is>
          <t>D00027</t>
        </is>
      </c>
      <c r="C81" s="7" t="inlineStr">
        <is>
          <t>20260505</t>
        </is>
      </c>
      <c r="D81" s="7" t="inlineStr">
        <is>
          <t>N°2026000027</t>
        </is>
      </c>
      <c r="E81" s="7" t="inlineStr">
        <is>
          <t>SARL LAITRIE SOUMMAM</t>
        </is>
      </c>
      <c r="F81" s="7" t="inlineStr">
        <is>
          <t>15001</t>
        </is>
      </c>
      <c r="G81" s="7" t="inlineStr">
        <is>
          <t>70003</t>
        </is>
      </c>
      <c r="H81" s="7" t="inlineStr"/>
      <c r="I81" s="7" t="inlineStr"/>
      <c r="J81" s="7" t="inlineStr"/>
      <c r="K81" s="7" t="inlineStr">
        <is>
          <t>FEN</t>
        </is>
      </c>
      <c r="L81" s="8" t="n">
        <v>0</v>
      </c>
      <c r="M81" s="8" t="n">
        <v>65000</v>
      </c>
      <c r="N81" s="7" t="inlineStr"/>
      <c r="O81" s="7" t="inlineStr"/>
      <c r="P81" s="7" t="inlineStr"/>
      <c r="Q81" s="7" t="inlineStr"/>
      <c r="R81" s="7" t="inlineStr"/>
    </row>
    <row r="82">
      <c r="A82" s="7" t="inlineStr">
        <is>
          <t>1</t>
        </is>
      </c>
      <c r="B82" s="7" t="inlineStr">
        <is>
          <t>D00027</t>
        </is>
      </c>
      <c r="C82" s="7" t="inlineStr">
        <is>
          <t>20260505</t>
        </is>
      </c>
      <c r="D82" s="7" t="inlineStr">
        <is>
          <t>N°2026000027</t>
        </is>
      </c>
      <c r="E82" s="7" t="inlineStr">
        <is>
          <t>SARL LAITRIE SOUMMAM</t>
        </is>
      </c>
      <c r="F82" s="7" t="inlineStr">
        <is>
          <t>15001</t>
        </is>
      </c>
      <c r="G82" s="7" t="inlineStr">
        <is>
          <t>44519</t>
        </is>
      </c>
      <c r="H82" s="7" t="inlineStr"/>
      <c r="I82" s="7" t="inlineStr"/>
      <c r="J82" s="7" t="inlineStr"/>
      <c r="K82" s="7" t="inlineStr">
        <is>
          <t>FEN</t>
        </is>
      </c>
      <c r="L82" s="8" t="n">
        <v>0</v>
      </c>
      <c r="M82" s="8" t="n">
        <v>12350</v>
      </c>
      <c r="N82" s="7" t="inlineStr"/>
      <c r="O82" s="7" t="inlineStr"/>
      <c r="P82" s="7" t="inlineStr"/>
      <c r="Q82" s="7" t="inlineStr"/>
      <c r="R82" s="7" t="inlineStr"/>
    </row>
    <row r="83">
      <c r="A83" s="7" t="inlineStr">
        <is>
          <t>1</t>
        </is>
      </c>
      <c r="B83" s="7" t="inlineStr">
        <is>
          <t>D00028</t>
        </is>
      </c>
      <c r="C83" s="7" t="inlineStr">
        <is>
          <t>20260506</t>
        </is>
      </c>
      <c r="D83" s="7" t="inlineStr">
        <is>
          <t>N°2026000028</t>
        </is>
      </c>
      <c r="E83" s="7" t="inlineStr">
        <is>
          <t>EURL TERRENO TRANS</t>
        </is>
      </c>
      <c r="F83" s="7" t="inlineStr">
        <is>
          <t>15001</t>
        </is>
      </c>
      <c r="G83" s="7" t="inlineStr">
        <is>
          <t>41100</t>
        </is>
      </c>
      <c r="H83" s="7" t="inlineStr">
        <is>
          <t>C959</t>
        </is>
      </c>
      <c r="I83" s="7" t="inlineStr"/>
      <c r="J83" s="7" t="inlineStr"/>
      <c r="K83" s="7" t="inlineStr">
        <is>
          <t>FEN</t>
        </is>
      </c>
      <c r="L83" s="8" t="n">
        <v>32130</v>
      </c>
      <c r="M83" s="8" t="n">
        <v>0</v>
      </c>
      <c r="N83" s="7" t="inlineStr"/>
      <c r="O83" s="7" t="inlineStr"/>
      <c r="P83" s="7" t="inlineStr"/>
      <c r="Q83" s="7" t="inlineStr"/>
      <c r="R83" s="7" t="inlineStr"/>
    </row>
    <row r="84">
      <c r="A84" s="7" t="inlineStr">
        <is>
          <t>1</t>
        </is>
      </c>
      <c r="B84" s="7" t="inlineStr">
        <is>
          <t>D00028</t>
        </is>
      </c>
      <c r="C84" s="7" t="inlineStr">
        <is>
          <t>20260506</t>
        </is>
      </c>
      <c r="D84" s="7" t="inlineStr">
        <is>
          <t>N°2026000028</t>
        </is>
      </c>
      <c r="E84" s="7" t="inlineStr">
        <is>
          <t>EURL TERRENO TRANS</t>
        </is>
      </c>
      <c r="F84" s="7" t="inlineStr">
        <is>
          <t>15001</t>
        </is>
      </c>
      <c r="G84" s="7" t="inlineStr">
        <is>
          <t>70003</t>
        </is>
      </c>
      <c r="H84" s="7" t="inlineStr"/>
      <c r="I84" s="7" t="inlineStr"/>
      <c r="J84" s="7" t="inlineStr"/>
      <c r="K84" s="7" t="inlineStr">
        <is>
          <t>FEN</t>
        </is>
      </c>
      <c r="L84" s="8" t="n">
        <v>0</v>
      </c>
      <c r="M84" s="8" t="n">
        <v>27000</v>
      </c>
      <c r="N84" s="7" t="inlineStr"/>
      <c r="O84" s="7" t="inlineStr"/>
      <c r="P84" s="7" t="inlineStr"/>
      <c r="Q84" s="7" t="inlineStr"/>
      <c r="R84" s="7" t="inlineStr"/>
    </row>
    <row r="85">
      <c r="A85" s="7" t="inlineStr">
        <is>
          <t>1</t>
        </is>
      </c>
      <c r="B85" s="7" t="inlineStr">
        <is>
          <t>D00028</t>
        </is>
      </c>
      <c r="C85" s="7" t="inlineStr">
        <is>
          <t>20260506</t>
        </is>
      </c>
      <c r="D85" s="7" t="inlineStr">
        <is>
          <t>N°2026000028</t>
        </is>
      </c>
      <c r="E85" s="7" t="inlineStr">
        <is>
          <t>EURL TERRENO TRANS</t>
        </is>
      </c>
      <c r="F85" s="7" t="inlineStr">
        <is>
          <t>15001</t>
        </is>
      </c>
      <c r="G85" s="7" t="inlineStr">
        <is>
          <t>44519</t>
        </is>
      </c>
      <c r="H85" s="7" t="inlineStr"/>
      <c r="I85" s="7" t="inlineStr"/>
      <c r="J85" s="7" t="inlineStr"/>
      <c r="K85" s="7" t="inlineStr">
        <is>
          <t>FEN</t>
        </is>
      </c>
      <c r="L85" s="8" t="n">
        <v>0</v>
      </c>
      <c r="M85" s="8" t="n">
        <v>5130</v>
      </c>
      <c r="N85" s="7" t="inlineStr"/>
      <c r="O85" s="7" t="inlineStr"/>
      <c r="P85" s="7" t="inlineStr"/>
      <c r="Q85" s="7" t="inlineStr"/>
      <c r="R85" s="7" t="inlineStr"/>
    </row>
    <row r="86">
      <c r="A86" s="7" t="inlineStr">
        <is>
          <t>1</t>
        </is>
      </c>
      <c r="B86" s="7" t="inlineStr">
        <is>
          <t>D00029</t>
        </is>
      </c>
      <c r="C86" s="7" t="inlineStr">
        <is>
          <t>20260518</t>
        </is>
      </c>
      <c r="D86" s="7" t="inlineStr">
        <is>
          <t>N°2026000029</t>
        </is>
      </c>
      <c r="E86" s="7" t="inlineStr">
        <is>
          <t>SARL LAITRIE SOUMMAM</t>
        </is>
      </c>
      <c r="F86" s="7" t="inlineStr">
        <is>
          <t>15001</t>
        </is>
      </c>
      <c r="G86" s="7" t="inlineStr">
        <is>
          <t>41100</t>
        </is>
      </c>
      <c r="H86" s="7" t="inlineStr">
        <is>
          <t>C986</t>
        </is>
      </c>
      <c r="I86" s="7" t="inlineStr"/>
      <c r="J86" s="7" t="inlineStr"/>
      <c r="K86" s="7" t="inlineStr">
        <is>
          <t>FEN</t>
        </is>
      </c>
      <c r="L86" s="8" t="n">
        <v>446250</v>
      </c>
      <c r="M86" s="8" t="n">
        <v>0</v>
      </c>
      <c r="N86" s="7" t="inlineStr"/>
      <c r="O86" s="7" t="inlineStr"/>
      <c r="P86" s="7" t="inlineStr"/>
      <c r="Q86" s="7" t="inlineStr"/>
      <c r="R86" s="7" t="inlineStr"/>
    </row>
    <row r="87">
      <c r="A87" s="7" t="inlineStr">
        <is>
          <t>1</t>
        </is>
      </c>
      <c r="B87" s="7" t="inlineStr">
        <is>
          <t>D00029</t>
        </is>
      </c>
      <c r="C87" s="7" t="inlineStr">
        <is>
          <t>20260518</t>
        </is>
      </c>
      <c r="D87" s="7" t="inlineStr">
        <is>
          <t>N°2026000029</t>
        </is>
      </c>
      <c r="E87" s="7" t="inlineStr">
        <is>
          <t>SARL LAITRIE SOUMMAM</t>
        </is>
      </c>
      <c r="F87" s="7" t="inlineStr">
        <is>
          <t>15001</t>
        </is>
      </c>
      <c r="G87" s="7" t="inlineStr">
        <is>
          <t>70003</t>
        </is>
      </c>
      <c r="H87" s="7" t="inlineStr"/>
      <c r="I87" s="7" t="inlineStr"/>
      <c r="J87" s="7" t="inlineStr"/>
      <c r="K87" s="7" t="inlineStr">
        <is>
          <t>FEN</t>
        </is>
      </c>
      <c r="L87" s="8" t="n">
        <v>0</v>
      </c>
      <c r="M87" s="8" t="n">
        <v>375000</v>
      </c>
      <c r="N87" s="7" t="inlineStr"/>
      <c r="O87" s="7" t="inlineStr"/>
      <c r="P87" s="7" t="inlineStr"/>
      <c r="Q87" s="7" t="inlineStr"/>
      <c r="R87" s="7" t="inlineStr"/>
    </row>
    <row r="88">
      <c r="A88" s="7" t="inlineStr">
        <is>
          <t>1</t>
        </is>
      </c>
      <c r="B88" s="7" t="inlineStr">
        <is>
          <t>D00029</t>
        </is>
      </c>
      <c r="C88" s="7" t="inlineStr">
        <is>
          <t>20260518</t>
        </is>
      </c>
      <c r="D88" s="7" t="inlineStr">
        <is>
          <t>N°2026000029</t>
        </is>
      </c>
      <c r="E88" s="7" t="inlineStr">
        <is>
          <t>SARL LAITRIE SOUMMAM</t>
        </is>
      </c>
      <c r="F88" s="7" t="inlineStr">
        <is>
          <t>15001</t>
        </is>
      </c>
      <c r="G88" s="7" t="inlineStr">
        <is>
          <t>44519</t>
        </is>
      </c>
      <c r="H88" s="7" t="inlineStr"/>
      <c r="I88" s="7" t="inlineStr"/>
      <c r="J88" s="7" t="inlineStr"/>
      <c r="K88" s="7" t="inlineStr">
        <is>
          <t>FEN</t>
        </is>
      </c>
      <c r="L88" s="8" t="n">
        <v>0</v>
      </c>
      <c r="M88" s="8" t="n">
        <v>71250</v>
      </c>
      <c r="N88" s="7" t="inlineStr"/>
      <c r="O88" s="7" t="inlineStr"/>
      <c r="P88" s="7" t="inlineStr"/>
      <c r="Q88" s="7" t="inlineStr"/>
      <c r="R88" s="7" t="inlineStr"/>
    </row>
    <row r="89">
      <c r="A89" s="7" t="inlineStr">
        <is>
          <t>1</t>
        </is>
      </c>
      <c r="B89" s="7" t="inlineStr">
        <is>
          <t>D00030</t>
        </is>
      </c>
      <c r="C89" s="7" t="inlineStr">
        <is>
          <t>20260520</t>
        </is>
      </c>
      <c r="D89" s="7" t="inlineStr">
        <is>
          <t>N°2026000030</t>
        </is>
      </c>
      <c r="E89" s="7" t="inlineStr">
        <is>
          <t>NAFTAL DMR ORAN</t>
        </is>
      </c>
      <c r="F89" s="7" t="inlineStr">
        <is>
          <t>15001</t>
        </is>
      </c>
      <c r="G89" s="7" t="inlineStr">
        <is>
          <t>41100</t>
        </is>
      </c>
      <c r="H89" s="7" t="inlineStr">
        <is>
          <t>C009</t>
        </is>
      </c>
      <c r="I89" s="7" t="inlineStr"/>
      <c r="J89" s="7" t="inlineStr"/>
      <c r="K89" s="7" t="inlineStr">
        <is>
          <t>FEN</t>
        </is>
      </c>
      <c r="L89" s="8" t="n">
        <v>86870</v>
      </c>
      <c r="M89" s="8" t="n">
        <v>0</v>
      </c>
      <c r="N89" s="7" t="inlineStr"/>
      <c r="O89" s="7" t="inlineStr"/>
      <c r="P89" s="7" t="inlineStr"/>
      <c r="Q89" s="7" t="inlineStr"/>
      <c r="R89" s="7" t="inlineStr"/>
    </row>
    <row r="90">
      <c r="A90" s="7" t="inlineStr">
        <is>
          <t>1</t>
        </is>
      </c>
      <c r="B90" s="7" t="inlineStr">
        <is>
          <t>D00030</t>
        </is>
      </c>
      <c r="C90" s="7" t="inlineStr">
        <is>
          <t>20260520</t>
        </is>
      </c>
      <c r="D90" s="7" t="inlineStr">
        <is>
          <t>N°2026000030</t>
        </is>
      </c>
      <c r="E90" s="7" t="inlineStr">
        <is>
          <t>NAFTAL DMR ORAN</t>
        </is>
      </c>
      <c r="F90" s="7" t="inlineStr">
        <is>
          <t>15001</t>
        </is>
      </c>
      <c r="G90" s="7" t="inlineStr">
        <is>
          <t>70003</t>
        </is>
      </c>
      <c r="H90" s="7" t="inlineStr"/>
      <c r="I90" s="7" t="inlineStr"/>
      <c r="J90" s="7" t="inlineStr"/>
      <c r="K90" s="7" t="inlineStr">
        <is>
          <t>FEN</t>
        </is>
      </c>
      <c r="L90" s="8" t="n">
        <v>0</v>
      </c>
      <c r="M90" s="8" t="n">
        <v>73000</v>
      </c>
      <c r="N90" s="7" t="inlineStr"/>
      <c r="O90" s="7" t="inlineStr"/>
      <c r="P90" s="7" t="inlineStr"/>
      <c r="Q90" s="7" t="inlineStr"/>
      <c r="R90" s="7" t="inlineStr"/>
    </row>
    <row r="91">
      <c r="A91" s="7" t="inlineStr">
        <is>
          <t>1</t>
        </is>
      </c>
      <c r="B91" s="7" t="inlineStr">
        <is>
          <t>D00030</t>
        </is>
      </c>
      <c r="C91" s="7" t="inlineStr">
        <is>
          <t>20260520</t>
        </is>
      </c>
      <c r="D91" s="7" t="inlineStr">
        <is>
          <t>N°2026000030</t>
        </is>
      </c>
      <c r="E91" s="7" t="inlineStr">
        <is>
          <t>NAFTAL DMR ORAN</t>
        </is>
      </c>
      <c r="F91" s="7" t="inlineStr">
        <is>
          <t>15001</t>
        </is>
      </c>
      <c r="G91" s="7" t="inlineStr">
        <is>
          <t>44519</t>
        </is>
      </c>
      <c r="H91" s="7" t="inlineStr"/>
      <c r="I91" s="7" t="inlineStr"/>
      <c r="J91" s="7" t="inlineStr"/>
      <c r="K91" s="7" t="inlineStr">
        <is>
          <t>FEN</t>
        </is>
      </c>
      <c r="L91" s="8" t="n">
        <v>0</v>
      </c>
      <c r="M91" s="8" t="n">
        <v>13870</v>
      </c>
      <c r="N91" s="7" t="inlineStr"/>
      <c r="O91" s="7" t="inlineStr"/>
      <c r="P91" s="7" t="inlineStr"/>
      <c r="Q91" s="7" t="inlineStr"/>
      <c r="R91" s="7" t="inlineStr"/>
    </row>
    <row r="92">
      <c r="A92" s="7" t="inlineStr">
        <is>
          <t>1</t>
        </is>
      </c>
      <c r="B92" s="7" t="inlineStr">
        <is>
          <t>D00031</t>
        </is>
      </c>
      <c r="C92" s="7" t="inlineStr">
        <is>
          <t>20260521</t>
        </is>
      </c>
      <c r="D92" s="7" t="inlineStr">
        <is>
          <t>N°2026000031</t>
        </is>
      </c>
      <c r="E92" s="7" t="inlineStr">
        <is>
          <t>SARL BEJAIA LOGISTIQUE</t>
        </is>
      </c>
      <c r="F92" s="7" t="inlineStr">
        <is>
          <t>15001</t>
        </is>
      </c>
      <c r="G92" s="7" t="inlineStr">
        <is>
          <t>41100</t>
        </is>
      </c>
      <c r="H92" s="7" t="inlineStr">
        <is>
          <t>C708</t>
        </is>
      </c>
      <c r="I92" s="7" t="inlineStr"/>
      <c r="J92" s="7" t="inlineStr"/>
      <c r="K92" s="7" t="inlineStr">
        <is>
          <t>FEN</t>
        </is>
      </c>
      <c r="L92" s="8" t="n">
        <v>124950</v>
      </c>
      <c r="M92" s="8" t="n">
        <v>0</v>
      </c>
      <c r="N92" s="7" t="inlineStr"/>
      <c r="O92" s="7" t="inlineStr"/>
      <c r="P92" s="7" t="inlineStr"/>
      <c r="Q92" s="7" t="inlineStr"/>
      <c r="R92" s="7" t="inlineStr"/>
    </row>
    <row r="93">
      <c r="A93" s="7" t="inlineStr">
        <is>
          <t>1</t>
        </is>
      </c>
      <c r="B93" s="7" t="inlineStr">
        <is>
          <t>D00031</t>
        </is>
      </c>
      <c r="C93" s="7" t="inlineStr">
        <is>
          <t>20260521</t>
        </is>
      </c>
      <c r="D93" s="7" t="inlineStr">
        <is>
          <t>N°2026000031</t>
        </is>
      </c>
      <c r="E93" s="7" t="inlineStr">
        <is>
          <t>SARL BEJAIA LOGISTIQUE</t>
        </is>
      </c>
      <c r="F93" s="7" t="inlineStr">
        <is>
          <t>15001</t>
        </is>
      </c>
      <c r="G93" s="7" t="inlineStr">
        <is>
          <t>70003</t>
        </is>
      </c>
      <c r="H93" s="7" t="inlineStr"/>
      <c r="I93" s="7" t="inlineStr"/>
      <c r="J93" s="7" t="inlineStr"/>
      <c r="K93" s="7" t="inlineStr">
        <is>
          <t>FEN</t>
        </is>
      </c>
      <c r="L93" s="8" t="n">
        <v>0</v>
      </c>
      <c r="M93" s="8" t="n">
        <v>105000</v>
      </c>
      <c r="N93" s="7" t="inlineStr"/>
      <c r="O93" s="7" t="inlineStr"/>
      <c r="P93" s="7" t="inlineStr"/>
      <c r="Q93" s="7" t="inlineStr"/>
      <c r="R93" s="7" t="inlineStr"/>
    </row>
    <row r="94">
      <c r="A94" s="7" t="inlineStr">
        <is>
          <t>1</t>
        </is>
      </c>
      <c r="B94" s="7" t="inlineStr">
        <is>
          <t>D00031</t>
        </is>
      </c>
      <c r="C94" s="7" t="inlineStr">
        <is>
          <t>20260521</t>
        </is>
      </c>
      <c r="D94" s="7" t="inlineStr">
        <is>
          <t>N°2026000031</t>
        </is>
      </c>
      <c r="E94" s="7" t="inlineStr">
        <is>
          <t>SARL BEJAIA LOGISTIQUE</t>
        </is>
      </c>
      <c r="F94" s="7" t="inlineStr">
        <is>
          <t>15001</t>
        </is>
      </c>
      <c r="G94" s="7" t="inlineStr">
        <is>
          <t>44519</t>
        </is>
      </c>
      <c r="H94" s="7" t="inlineStr"/>
      <c r="I94" s="7" t="inlineStr"/>
      <c r="J94" s="7" t="inlineStr"/>
      <c r="K94" s="7" t="inlineStr">
        <is>
          <t>FEN</t>
        </is>
      </c>
      <c r="L94" s="8" t="n">
        <v>0</v>
      </c>
      <c r="M94" s="8" t="n">
        <v>19950</v>
      </c>
      <c r="N94" s="7" t="inlineStr"/>
      <c r="O94" s="7" t="inlineStr"/>
      <c r="P94" s="7" t="inlineStr"/>
      <c r="Q94" s="7" t="inlineStr"/>
      <c r="R94" s="7" t="inlineStr"/>
    </row>
    <row r="95">
      <c r="A95" s="7" t="inlineStr">
        <is>
          <t>1</t>
        </is>
      </c>
      <c r="B95" s="7" t="inlineStr">
        <is>
          <t>D00032</t>
        </is>
      </c>
      <c r="C95" s="7" t="inlineStr">
        <is>
          <t>20260521</t>
        </is>
      </c>
      <c r="D95" s="7" t="inlineStr">
        <is>
          <t>N°2026000032</t>
        </is>
      </c>
      <c r="E95" s="7" t="inlineStr">
        <is>
          <t>SARL BEJAIA LOGISTIQUE</t>
        </is>
      </c>
      <c r="F95" s="7" t="inlineStr">
        <is>
          <t>15001</t>
        </is>
      </c>
      <c r="G95" s="7" t="inlineStr">
        <is>
          <t>41100</t>
        </is>
      </c>
      <c r="H95" s="7" t="inlineStr">
        <is>
          <t>C708</t>
        </is>
      </c>
      <c r="I95" s="7" t="inlineStr"/>
      <c r="J95" s="7" t="inlineStr"/>
      <c r="K95" s="7" t="inlineStr">
        <is>
          <t>FEN</t>
        </is>
      </c>
      <c r="L95" s="8" t="n">
        <v>214795</v>
      </c>
      <c r="M95" s="8" t="n">
        <v>0</v>
      </c>
      <c r="N95" s="7" t="inlineStr"/>
      <c r="O95" s="7" t="inlineStr"/>
      <c r="P95" s="7" t="inlineStr"/>
      <c r="Q95" s="7" t="inlineStr"/>
      <c r="R95" s="7" t="inlineStr"/>
    </row>
    <row r="96">
      <c r="A96" s="7" t="inlineStr">
        <is>
          <t>1</t>
        </is>
      </c>
      <c r="B96" s="7" t="inlineStr">
        <is>
          <t>D00032</t>
        </is>
      </c>
      <c r="C96" s="7" t="inlineStr">
        <is>
          <t>20260521</t>
        </is>
      </c>
      <c r="D96" s="7" t="inlineStr">
        <is>
          <t>N°2026000032</t>
        </is>
      </c>
      <c r="E96" s="7" t="inlineStr">
        <is>
          <t>SARL BEJAIA LOGISTIQUE</t>
        </is>
      </c>
      <c r="F96" s="7" t="inlineStr">
        <is>
          <t>15001</t>
        </is>
      </c>
      <c r="G96" s="7" t="inlineStr">
        <is>
          <t>70003</t>
        </is>
      </c>
      <c r="H96" s="7" t="inlineStr"/>
      <c r="I96" s="7" t="inlineStr"/>
      <c r="J96" s="7" t="inlineStr"/>
      <c r="K96" s="7" t="inlineStr">
        <is>
          <t>FEN</t>
        </is>
      </c>
      <c r="L96" s="8" t="n">
        <v>0</v>
      </c>
      <c r="M96" s="8" t="n">
        <v>180500</v>
      </c>
      <c r="N96" s="7" t="inlineStr"/>
      <c r="O96" s="7" t="inlineStr"/>
      <c r="P96" s="7" t="inlineStr"/>
      <c r="Q96" s="7" t="inlineStr"/>
      <c r="R96" s="7" t="inlineStr"/>
    </row>
    <row r="97">
      <c r="A97" s="7" t="inlineStr">
        <is>
          <t>1</t>
        </is>
      </c>
      <c r="B97" s="7" t="inlineStr">
        <is>
          <t>D00032</t>
        </is>
      </c>
      <c r="C97" s="7" t="inlineStr">
        <is>
          <t>20260521</t>
        </is>
      </c>
      <c r="D97" s="7" t="inlineStr">
        <is>
          <t>N°2026000032</t>
        </is>
      </c>
      <c r="E97" s="7" t="inlineStr">
        <is>
          <t>SARL BEJAIA LOGISTIQUE</t>
        </is>
      </c>
      <c r="F97" s="7" t="inlineStr">
        <is>
          <t>15001</t>
        </is>
      </c>
      <c r="G97" s="7" t="inlineStr">
        <is>
          <t>44519</t>
        </is>
      </c>
      <c r="H97" s="7" t="inlineStr"/>
      <c r="I97" s="7" t="inlineStr"/>
      <c r="J97" s="7" t="inlineStr"/>
      <c r="K97" s="7" t="inlineStr">
        <is>
          <t>FEN</t>
        </is>
      </c>
      <c r="L97" s="8" t="n">
        <v>0</v>
      </c>
      <c r="M97" s="8" t="n">
        <v>34295</v>
      </c>
      <c r="N97" s="7" t="inlineStr"/>
      <c r="O97" s="7" t="inlineStr"/>
      <c r="P97" s="7" t="inlineStr"/>
      <c r="Q97" s="7" t="inlineStr"/>
      <c r="R97" s="7" t="inlineStr"/>
    </row>
    <row r="98">
      <c r="A98" s="7" t="inlineStr">
        <is>
          <t>1</t>
        </is>
      </c>
      <c r="B98" s="7" t="inlineStr">
        <is>
          <t>D00033</t>
        </is>
      </c>
      <c r="C98" s="7" t="inlineStr">
        <is>
          <t>20260521</t>
        </is>
      </c>
      <c r="D98" s="7" t="inlineStr">
        <is>
          <t>N°2026000033</t>
        </is>
      </c>
      <c r="E98" s="7" t="inlineStr">
        <is>
          <t>SARL BEJAIA LOGISTIQUE</t>
        </is>
      </c>
      <c r="F98" s="7" t="inlineStr">
        <is>
          <t>15001</t>
        </is>
      </c>
      <c r="G98" s="7" t="inlineStr">
        <is>
          <t>41100</t>
        </is>
      </c>
      <c r="H98" s="7" t="inlineStr">
        <is>
          <t>C708</t>
        </is>
      </c>
      <c r="I98" s="7" t="inlineStr"/>
      <c r="J98" s="7" t="inlineStr"/>
      <c r="K98" s="7" t="inlineStr">
        <is>
          <t>FEN</t>
        </is>
      </c>
      <c r="L98" s="8" t="n">
        <v>29750</v>
      </c>
      <c r="M98" s="8" t="n">
        <v>0</v>
      </c>
      <c r="N98" s="7" t="inlineStr"/>
      <c r="O98" s="7" t="inlineStr"/>
      <c r="P98" s="7" t="inlineStr"/>
      <c r="Q98" s="7" t="inlineStr"/>
      <c r="R98" s="7" t="inlineStr"/>
    </row>
    <row r="99">
      <c r="A99" s="7" t="inlineStr">
        <is>
          <t>1</t>
        </is>
      </c>
      <c r="B99" s="7" t="inlineStr">
        <is>
          <t>D00033</t>
        </is>
      </c>
      <c r="C99" s="7" t="inlineStr">
        <is>
          <t>20260521</t>
        </is>
      </c>
      <c r="D99" s="7" t="inlineStr">
        <is>
          <t>N°2026000033</t>
        </is>
      </c>
      <c r="E99" s="7" t="inlineStr">
        <is>
          <t>SARL BEJAIA LOGISTIQUE</t>
        </is>
      </c>
      <c r="F99" s="7" t="inlineStr">
        <is>
          <t>15001</t>
        </is>
      </c>
      <c r="G99" s="7" t="inlineStr">
        <is>
          <t>70003</t>
        </is>
      </c>
      <c r="H99" s="7" t="inlineStr"/>
      <c r="I99" s="7" t="inlineStr"/>
      <c r="J99" s="7" t="inlineStr"/>
      <c r="K99" s="7" t="inlineStr">
        <is>
          <t>FEN</t>
        </is>
      </c>
      <c r="L99" s="8" t="n">
        <v>0</v>
      </c>
      <c r="M99" s="8" t="n">
        <v>25000</v>
      </c>
      <c r="N99" s="7" t="inlineStr"/>
      <c r="O99" s="7" t="inlineStr"/>
      <c r="P99" s="7" t="inlineStr"/>
      <c r="Q99" s="7" t="inlineStr"/>
      <c r="R99" s="7" t="inlineStr"/>
    </row>
    <row r="100">
      <c r="A100" s="7" t="inlineStr">
        <is>
          <t>1</t>
        </is>
      </c>
      <c r="B100" s="7" t="inlineStr">
        <is>
          <t>D00033</t>
        </is>
      </c>
      <c r="C100" s="7" t="inlineStr">
        <is>
          <t>20260521</t>
        </is>
      </c>
      <c r="D100" s="7" t="inlineStr">
        <is>
          <t>N°2026000033</t>
        </is>
      </c>
      <c r="E100" s="7" t="inlineStr">
        <is>
          <t>SARL BEJAIA LOGISTIQUE</t>
        </is>
      </c>
      <c r="F100" s="7" t="inlineStr">
        <is>
          <t>15001</t>
        </is>
      </c>
      <c r="G100" s="7" t="inlineStr">
        <is>
          <t>44519</t>
        </is>
      </c>
      <c r="H100" s="7" t="inlineStr"/>
      <c r="I100" s="7" t="inlineStr"/>
      <c r="J100" s="7" t="inlineStr"/>
      <c r="K100" s="7" t="inlineStr">
        <is>
          <t>FEN</t>
        </is>
      </c>
      <c r="L100" s="8" t="n">
        <v>0</v>
      </c>
      <c r="M100" s="8" t="n">
        <v>4750</v>
      </c>
      <c r="N100" s="7" t="inlineStr"/>
      <c r="O100" s="7" t="inlineStr"/>
      <c r="P100" s="7" t="inlineStr"/>
      <c r="Q100" s="7" t="inlineStr"/>
      <c r="R100" s="7" t="inlineStr"/>
    </row>
    <row r="101">
      <c r="A101" s="7" t="inlineStr">
        <is>
          <t>1</t>
        </is>
      </c>
      <c r="B101" s="7" t="inlineStr">
        <is>
          <t>D00034</t>
        </is>
      </c>
      <c r="C101" s="7" t="inlineStr">
        <is>
          <t>20260521</t>
        </is>
      </c>
      <c r="D101" s="7" t="inlineStr">
        <is>
          <t>N°2026000034</t>
        </is>
      </c>
      <c r="E101" s="7" t="inlineStr">
        <is>
          <t>AVOIR SARL BEJAIA LOGISTIQUE</t>
        </is>
      </c>
      <c r="F101" s="7" t="inlineStr">
        <is>
          <t>15001</t>
        </is>
      </c>
      <c r="G101" s="7" t="inlineStr">
        <is>
          <t>41100</t>
        </is>
      </c>
      <c r="H101" s="7" t="inlineStr">
        <is>
          <t>C708</t>
        </is>
      </c>
      <c r="I101" s="7" t="inlineStr"/>
      <c r="J101" s="7" t="inlineStr"/>
      <c r="K101" s="7" t="inlineStr">
        <is>
          <t>FEN</t>
        </is>
      </c>
      <c r="L101" s="8" t="n">
        <v>-0</v>
      </c>
      <c r="M101" s="8" t="n">
        <v>29750</v>
      </c>
      <c r="N101" s="7" t="inlineStr"/>
      <c r="O101" s="7" t="inlineStr"/>
      <c r="P101" s="7" t="inlineStr"/>
      <c r="Q101" s="7" t="inlineStr"/>
      <c r="R101" s="7" t="inlineStr"/>
    </row>
    <row r="102">
      <c r="A102" s="7" t="inlineStr">
        <is>
          <t>1</t>
        </is>
      </c>
      <c r="B102" s="7" t="inlineStr">
        <is>
          <t>D00034</t>
        </is>
      </c>
      <c r="C102" s="7" t="inlineStr">
        <is>
          <t>20260521</t>
        </is>
      </c>
      <c r="D102" s="7" t="inlineStr">
        <is>
          <t>N°2026000034</t>
        </is>
      </c>
      <c r="E102" s="7" t="inlineStr">
        <is>
          <t>AVOIR SARL BEJAIA LOGISTIQUE</t>
        </is>
      </c>
      <c r="F102" s="7" t="inlineStr">
        <is>
          <t>15001</t>
        </is>
      </c>
      <c r="G102" s="7" t="inlineStr">
        <is>
          <t>70003</t>
        </is>
      </c>
      <c r="H102" s="7" t="inlineStr"/>
      <c r="I102" s="7" t="inlineStr"/>
      <c r="J102" s="7" t="inlineStr"/>
      <c r="K102" s="7" t="inlineStr">
        <is>
          <t>FEN</t>
        </is>
      </c>
      <c r="L102" s="8" t="n">
        <v>25000</v>
      </c>
      <c r="M102" s="8" t="n">
        <v>-0</v>
      </c>
      <c r="N102" s="7" t="inlineStr"/>
      <c r="O102" s="7" t="inlineStr"/>
      <c r="P102" s="7" t="inlineStr"/>
      <c r="Q102" s="7" t="inlineStr"/>
      <c r="R102" s="7" t="inlineStr"/>
    </row>
    <row r="103">
      <c r="A103" s="7" t="inlineStr">
        <is>
          <t>1</t>
        </is>
      </c>
      <c r="B103" s="7" t="inlineStr">
        <is>
          <t>D00034</t>
        </is>
      </c>
      <c r="C103" s="7" t="inlineStr">
        <is>
          <t>20260521</t>
        </is>
      </c>
      <c r="D103" s="7" t="inlineStr">
        <is>
          <t>N°2026000034</t>
        </is>
      </c>
      <c r="E103" s="7" t="inlineStr">
        <is>
          <t>AVOIR SARL BEJAIA LOGISTIQUE</t>
        </is>
      </c>
      <c r="F103" s="7" t="inlineStr">
        <is>
          <t>15001</t>
        </is>
      </c>
      <c r="G103" s="7" t="inlineStr">
        <is>
          <t>44519</t>
        </is>
      </c>
      <c r="H103" s="7" t="inlineStr"/>
      <c r="I103" s="7" t="inlineStr"/>
      <c r="J103" s="7" t="inlineStr"/>
      <c r="K103" s="7" t="inlineStr">
        <is>
          <t>FEN</t>
        </is>
      </c>
      <c r="L103" s="8" t="n">
        <v>4750</v>
      </c>
      <c r="M103" s="8" t="n">
        <v>-0</v>
      </c>
      <c r="N103" s="7" t="inlineStr"/>
      <c r="O103" s="7" t="inlineStr"/>
      <c r="P103" s="7" t="inlineStr"/>
      <c r="Q103" s="7" t="inlineStr"/>
      <c r="R103" s="7" t="inlineStr"/>
    </row>
    <row r="104">
      <c r="A104" s="7" t="inlineStr">
        <is>
          <t>1</t>
        </is>
      </c>
      <c r="B104" s="7" t="inlineStr">
        <is>
          <t>D00035</t>
        </is>
      </c>
      <c r="C104" s="7" t="inlineStr">
        <is>
          <t>20260607</t>
        </is>
      </c>
      <c r="D104" s="7" t="inlineStr">
        <is>
          <t>N°2026000035</t>
        </is>
      </c>
      <c r="E104" s="7" t="inlineStr">
        <is>
          <t>SARL GUERROUF AUTO</t>
        </is>
      </c>
      <c r="F104" s="7" t="inlineStr">
        <is>
          <t>15001</t>
        </is>
      </c>
      <c r="G104" s="7" t="inlineStr">
        <is>
          <t>41100</t>
        </is>
      </c>
      <c r="H104" s="7" t="inlineStr">
        <is>
          <t>C1099</t>
        </is>
      </c>
      <c r="I104" s="7" t="inlineStr"/>
      <c r="J104" s="7" t="inlineStr"/>
      <c r="K104" s="7" t="inlineStr">
        <is>
          <t>FEN</t>
        </is>
      </c>
      <c r="L104" s="8" t="n">
        <v>291550</v>
      </c>
      <c r="M104" s="8" t="n">
        <v>0</v>
      </c>
      <c r="N104" s="7" t="inlineStr"/>
      <c r="O104" s="7" t="inlineStr"/>
      <c r="P104" s="7" t="inlineStr"/>
      <c r="Q104" s="7" t="inlineStr"/>
      <c r="R104" s="7" t="inlineStr"/>
    </row>
    <row r="105">
      <c r="A105" s="7" t="inlineStr">
        <is>
          <t>1</t>
        </is>
      </c>
      <c r="B105" s="7" t="inlineStr">
        <is>
          <t>D00035</t>
        </is>
      </c>
      <c r="C105" s="7" t="inlineStr">
        <is>
          <t>20260607</t>
        </is>
      </c>
      <c r="D105" s="7" t="inlineStr">
        <is>
          <t>N°2026000035</t>
        </is>
      </c>
      <c r="E105" s="7" t="inlineStr">
        <is>
          <t>SARL GUERROUF AUTO</t>
        </is>
      </c>
      <c r="F105" s="7" t="inlineStr">
        <is>
          <t>15001</t>
        </is>
      </c>
      <c r="G105" s="7" t="inlineStr">
        <is>
          <t>70003</t>
        </is>
      </c>
      <c r="H105" s="7" t="inlineStr"/>
      <c r="I105" s="7" t="inlineStr"/>
      <c r="J105" s="7" t="inlineStr"/>
      <c r="K105" s="7" t="inlineStr">
        <is>
          <t>FEN</t>
        </is>
      </c>
      <c r="L105" s="8" t="n">
        <v>0</v>
      </c>
      <c r="M105" s="8" t="n">
        <v>245000</v>
      </c>
      <c r="N105" s="7" t="inlineStr"/>
      <c r="O105" s="7" t="inlineStr"/>
      <c r="P105" s="7" t="inlineStr"/>
      <c r="Q105" s="7" t="inlineStr"/>
      <c r="R105" s="7" t="inlineStr"/>
    </row>
    <row r="106">
      <c r="A106" s="7" t="inlineStr">
        <is>
          <t>1</t>
        </is>
      </c>
      <c r="B106" s="7" t="inlineStr">
        <is>
          <t>D00035</t>
        </is>
      </c>
      <c r="C106" s="7" t="inlineStr">
        <is>
          <t>20260607</t>
        </is>
      </c>
      <c r="D106" s="7" t="inlineStr">
        <is>
          <t>N°2026000035</t>
        </is>
      </c>
      <c r="E106" s="7" t="inlineStr">
        <is>
          <t>SARL GUERROUF AUTO</t>
        </is>
      </c>
      <c r="F106" s="7" t="inlineStr">
        <is>
          <t>15001</t>
        </is>
      </c>
      <c r="G106" s="7" t="inlineStr">
        <is>
          <t>44519</t>
        </is>
      </c>
      <c r="H106" s="7" t="inlineStr"/>
      <c r="I106" s="7" t="inlineStr"/>
      <c r="J106" s="7" t="inlineStr"/>
      <c r="K106" s="7" t="inlineStr">
        <is>
          <t>FEN</t>
        </is>
      </c>
      <c r="L106" s="8" t="n">
        <v>0</v>
      </c>
      <c r="M106" s="8" t="n">
        <v>46550</v>
      </c>
      <c r="N106" s="7" t="inlineStr"/>
      <c r="O106" s="7" t="inlineStr"/>
      <c r="P106" s="7" t="inlineStr"/>
      <c r="Q106" s="7" t="inlineStr"/>
      <c r="R106" s="7" t="inlineStr"/>
    </row>
    <row r="107">
      <c r="A107" s="7" t="inlineStr">
        <is>
          <t>1</t>
        </is>
      </c>
      <c r="B107" s="7" t="inlineStr">
        <is>
          <t>D00036</t>
        </is>
      </c>
      <c r="C107" s="7" t="inlineStr">
        <is>
          <t>20260607</t>
        </is>
      </c>
      <c r="D107" s="7" t="inlineStr">
        <is>
          <t>N°2026000036</t>
        </is>
      </c>
      <c r="E107" s="7" t="inlineStr">
        <is>
          <t>EURL TERRENO TRANS</t>
        </is>
      </c>
      <c r="F107" s="7" t="inlineStr">
        <is>
          <t>15001</t>
        </is>
      </c>
      <c r="G107" s="7" t="inlineStr">
        <is>
          <t>41100</t>
        </is>
      </c>
      <c r="H107" s="7" t="inlineStr">
        <is>
          <t>C959</t>
        </is>
      </c>
      <c r="I107" s="7" t="inlineStr"/>
      <c r="J107" s="7" t="inlineStr"/>
      <c r="K107" s="7" t="inlineStr">
        <is>
          <t>FEN</t>
        </is>
      </c>
      <c r="L107" s="8" t="n">
        <v>2962862</v>
      </c>
      <c r="M107" s="8" t="n">
        <v>0</v>
      </c>
      <c r="N107" s="7" t="inlineStr"/>
      <c r="O107" s="7" t="inlineStr"/>
      <c r="P107" s="7" t="inlineStr"/>
      <c r="Q107" s="7" t="inlineStr"/>
      <c r="R107" s="7" t="inlineStr"/>
    </row>
    <row r="108">
      <c r="A108" s="7" t="inlineStr">
        <is>
          <t>1</t>
        </is>
      </c>
      <c r="B108" s="7" t="inlineStr">
        <is>
          <t>D00036</t>
        </is>
      </c>
      <c r="C108" s="7" t="inlineStr">
        <is>
          <t>20260607</t>
        </is>
      </c>
      <c r="D108" s="7" t="inlineStr">
        <is>
          <t>N°2026000036</t>
        </is>
      </c>
      <c r="E108" s="7" t="inlineStr">
        <is>
          <t>EURL TERRENO TRANS</t>
        </is>
      </c>
      <c r="F108" s="7" t="inlineStr">
        <is>
          <t>15001</t>
        </is>
      </c>
      <c r="G108" s="7" t="inlineStr">
        <is>
          <t>70003</t>
        </is>
      </c>
      <c r="H108" s="7" t="inlineStr"/>
      <c r="I108" s="7" t="inlineStr"/>
      <c r="J108" s="7" t="inlineStr"/>
      <c r="K108" s="7" t="inlineStr">
        <is>
          <t>FEN</t>
        </is>
      </c>
      <c r="L108" s="8" t="n">
        <v>0</v>
      </c>
      <c r="M108" s="8" t="n">
        <v>2489800</v>
      </c>
      <c r="N108" s="7" t="inlineStr"/>
      <c r="O108" s="7" t="inlineStr"/>
      <c r="P108" s="7" t="inlineStr"/>
      <c r="Q108" s="7" t="inlineStr"/>
      <c r="R108" s="7" t="inlineStr"/>
    </row>
    <row r="109">
      <c r="A109" s="7" t="inlineStr">
        <is>
          <t>1</t>
        </is>
      </c>
      <c r="B109" s="7" t="inlineStr">
        <is>
          <t>D00036</t>
        </is>
      </c>
      <c r="C109" s="7" t="inlineStr">
        <is>
          <t>20260607</t>
        </is>
      </c>
      <c r="D109" s="7" t="inlineStr">
        <is>
          <t>N°2026000036</t>
        </is>
      </c>
      <c r="E109" s="7" t="inlineStr">
        <is>
          <t>EURL TERRENO TRANS</t>
        </is>
      </c>
      <c r="F109" s="7" t="inlineStr">
        <is>
          <t>15001</t>
        </is>
      </c>
      <c r="G109" s="7" t="inlineStr">
        <is>
          <t>44519</t>
        </is>
      </c>
      <c r="H109" s="7" t="inlineStr"/>
      <c r="I109" s="7" t="inlineStr"/>
      <c r="J109" s="7" t="inlineStr"/>
      <c r="K109" s="7" t="inlineStr">
        <is>
          <t>FEN</t>
        </is>
      </c>
      <c r="L109" s="8" t="n">
        <v>0</v>
      </c>
      <c r="M109" s="8" t="n">
        <v>473062</v>
      </c>
      <c r="N109" s="7" t="inlineStr"/>
      <c r="O109" s="7" t="inlineStr"/>
      <c r="P109" s="7" t="inlineStr"/>
      <c r="Q109" s="7" t="inlineStr"/>
      <c r="R109" s="7" t="inlineStr"/>
    </row>
    <row r="110">
      <c r="A110" s="7" t="inlineStr">
        <is>
          <t>1</t>
        </is>
      </c>
      <c r="B110" s="7" t="inlineStr">
        <is>
          <t>D00037</t>
        </is>
      </c>
      <c r="C110" s="7" t="inlineStr">
        <is>
          <t>20260608</t>
        </is>
      </c>
      <c r="D110" s="7" t="inlineStr">
        <is>
          <t>N°2026000037</t>
        </is>
      </c>
      <c r="E110" s="7" t="inlineStr">
        <is>
          <t>SARL BEJAIA LOGISTIQUE</t>
        </is>
      </c>
      <c r="F110" s="7" t="inlineStr">
        <is>
          <t>15001</t>
        </is>
      </c>
      <c r="G110" s="7" t="inlineStr">
        <is>
          <t>41100</t>
        </is>
      </c>
      <c r="H110" s="7" t="inlineStr">
        <is>
          <t>C708</t>
        </is>
      </c>
      <c r="I110" s="7" t="inlineStr"/>
      <c r="J110" s="7" t="inlineStr"/>
      <c r="K110" s="7" t="inlineStr">
        <is>
          <t>FEN</t>
        </is>
      </c>
      <c r="L110" s="8" t="n">
        <v>17850</v>
      </c>
      <c r="M110" s="8" t="n">
        <v>0</v>
      </c>
      <c r="N110" s="7" t="inlineStr"/>
      <c r="O110" s="7" t="inlineStr"/>
      <c r="P110" s="7" t="inlineStr"/>
      <c r="Q110" s="7" t="inlineStr"/>
      <c r="R110" s="7" t="inlineStr"/>
    </row>
    <row r="111">
      <c r="A111" s="7" t="inlineStr">
        <is>
          <t>1</t>
        </is>
      </c>
      <c r="B111" s="7" t="inlineStr">
        <is>
          <t>D00037</t>
        </is>
      </c>
      <c r="C111" s="7" t="inlineStr">
        <is>
          <t>20260608</t>
        </is>
      </c>
      <c r="D111" s="7" t="inlineStr">
        <is>
          <t>N°2026000037</t>
        </is>
      </c>
      <c r="E111" s="7" t="inlineStr">
        <is>
          <t>SARL BEJAIA LOGISTIQUE</t>
        </is>
      </c>
      <c r="F111" s="7" t="inlineStr">
        <is>
          <t>15001</t>
        </is>
      </c>
      <c r="G111" s="7" t="inlineStr">
        <is>
          <t>70003</t>
        </is>
      </c>
      <c r="H111" s="7" t="inlineStr"/>
      <c r="I111" s="7" t="inlineStr"/>
      <c r="J111" s="7" t="inlineStr"/>
      <c r="K111" s="7" t="inlineStr">
        <is>
          <t>FEN</t>
        </is>
      </c>
      <c r="L111" s="8" t="n">
        <v>0</v>
      </c>
      <c r="M111" s="8" t="n">
        <v>15000</v>
      </c>
      <c r="N111" s="7" t="inlineStr"/>
      <c r="O111" s="7" t="inlineStr"/>
      <c r="P111" s="7" t="inlineStr"/>
      <c r="Q111" s="7" t="inlineStr"/>
      <c r="R111" s="7" t="inlineStr"/>
    </row>
    <row r="112">
      <c r="A112" s="7" t="inlineStr">
        <is>
          <t>1</t>
        </is>
      </c>
      <c r="B112" s="7" t="inlineStr">
        <is>
          <t>D00037</t>
        </is>
      </c>
      <c r="C112" s="7" t="inlineStr">
        <is>
          <t>20260608</t>
        </is>
      </c>
      <c r="D112" s="7" t="inlineStr">
        <is>
          <t>N°2026000037</t>
        </is>
      </c>
      <c r="E112" s="7" t="inlineStr">
        <is>
          <t>SARL BEJAIA LOGISTIQUE</t>
        </is>
      </c>
      <c r="F112" s="7" t="inlineStr">
        <is>
          <t>15001</t>
        </is>
      </c>
      <c r="G112" s="7" t="inlineStr">
        <is>
          <t>44519</t>
        </is>
      </c>
      <c r="H112" s="7" t="inlineStr"/>
      <c r="I112" s="7" t="inlineStr"/>
      <c r="J112" s="7" t="inlineStr"/>
      <c r="K112" s="7" t="inlineStr">
        <is>
          <t>FEN</t>
        </is>
      </c>
      <c r="L112" s="8" t="n">
        <v>0</v>
      </c>
      <c r="M112" s="8" t="n">
        <v>2850</v>
      </c>
      <c r="N112" s="7" t="inlineStr"/>
      <c r="O112" s="7" t="inlineStr"/>
      <c r="P112" s="7" t="inlineStr"/>
      <c r="Q112" s="7" t="inlineStr"/>
      <c r="R112" s="7" t="inlineStr"/>
    </row>
    <row r="113">
      <c r="A113" s="7" t="inlineStr">
        <is>
          <t>1</t>
        </is>
      </c>
      <c r="B113" s="7" t="inlineStr">
        <is>
          <t>D00038</t>
        </is>
      </c>
      <c r="C113" s="7" t="inlineStr">
        <is>
          <t>20260611</t>
        </is>
      </c>
      <c r="D113" s="7" t="inlineStr">
        <is>
          <t>N°2026000038</t>
        </is>
      </c>
      <c r="E113" s="7" t="inlineStr">
        <is>
          <t>SPA AGGLOMERES DE L'ESTE</t>
        </is>
      </c>
      <c r="F113" s="7" t="inlineStr">
        <is>
          <t>15001</t>
        </is>
      </c>
      <c r="G113" s="7" t="inlineStr">
        <is>
          <t>41100</t>
        </is>
      </c>
      <c r="H113" s="7" t="inlineStr">
        <is>
          <t>C978</t>
        </is>
      </c>
      <c r="I113" s="7" t="inlineStr"/>
      <c r="J113" s="7" t="inlineStr"/>
      <c r="K113" s="7" t="inlineStr">
        <is>
          <t>FEN</t>
        </is>
      </c>
      <c r="L113" s="8" t="n">
        <v>111860</v>
      </c>
      <c r="M113" s="8" t="n">
        <v>0</v>
      </c>
      <c r="N113" s="7" t="inlineStr"/>
      <c r="O113" s="7" t="inlineStr"/>
      <c r="P113" s="7" t="inlineStr"/>
      <c r="Q113" s="7" t="inlineStr"/>
      <c r="R113" s="7" t="inlineStr"/>
    </row>
    <row r="114">
      <c r="A114" s="7" t="inlineStr">
        <is>
          <t>1</t>
        </is>
      </c>
      <c r="B114" s="7" t="inlineStr">
        <is>
          <t>D00038</t>
        </is>
      </c>
      <c r="C114" s="7" t="inlineStr">
        <is>
          <t>20260611</t>
        </is>
      </c>
      <c r="D114" s="7" t="inlineStr">
        <is>
          <t>N°2026000038</t>
        </is>
      </c>
      <c r="E114" s="7" t="inlineStr">
        <is>
          <t>SPA AGGLOMERES DE L'ESTE</t>
        </is>
      </c>
      <c r="F114" s="7" t="inlineStr">
        <is>
          <t>15001</t>
        </is>
      </c>
      <c r="G114" s="7" t="inlineStr">
        <is>
          <t>70003</t>
        </is>
      </c>
      <c r="H114" s="7" t="inlineStr"/>
      <c r="I114" s="7" t="inlineStr"/>
      <c r="J114" s="7" t="inlineStr"/>
      <c r="K114" s="7" t="inlineStr">
        <is>
          <t>FEN</t>
        </is>
      </c>
      <c r="L114" s="8" t="n">
        <v>0</v>
      </c>
      <c r="M114" s="8" t="n">
        <v>94000</v>
      </c>
      <c r="N114" s="7" t="inlineStr"/>
      <c r="O114" s="7" t="inlineStr"/>
      <c r="P114" s="7" t="inlineStr"/>
      <c r="Q114" s="7" t="inlineStr"/>
      <c r="R114" s="7" t="inlineStr"/>
    </row>
    <row r="115">
      <c r="A115" s="7" t="inlineStr">
        <is>
          <t>1</t>
        </is>
      </c>
      <c r="B115" s="7" t="inlineStr">
        <is>
          <t>D00038</t>
        </is>
      </c>
      <c r="C115" s="7" t="inlineStr">
        <is>
          <t>20260611</t>
        </is>
      </c>
      <c r="D115" s="7" t="inlineStr">
        <is>
          <t>N°2026000038</t>
        </is>
      </c>
      <c r="E115" s="7" t="inlineStr">
        <is>
          <t>SPA AGGLOMERES DE L'ESTE</t>
        </is>
      </c>
      <c r="F115" s="7" t="inlineStr">
        <is>
          <t>15001</t>
        </is>
      </c>
      <c r="G115" s="7" t="inlineStr">
        <is>
          <t>44519</t>
        </is>
      </c>
      <c r="H115" s="7" t="inlineStr"/>
      <c r="I115" s="7" t="inlineStr"/>
      <c r="J115" s="7" t="inlineStr"/>
      <c r="K115" s="7" t="inlineStr">
        <is>
          <t>FEN</t>
        </is>
      </c>
      <c r="L115" s="8" t="n">
        <v>0</v>
      </c>
      <c r="M115" s="8" t="n">
        <v>17860</v>
      </c>
      <c r="N115" s="7" t="inlineStr"/>
      <c r="O115" s="7" t="inlineStr"/>
      <c r="P115" s="7" t="inlineStr"/>
      <c r="Q115" s="7" t="inlineStr"/>
      <c r="R115" s="7" t="inlineStr"/>
    </row>
    <row r="116">
      <c r="A116" s="7" t="inlineStr">
        <is>
          <t>1</t>
        </is>
      </c>
      <c r="B116" s="7" t="inlineStr">
        <is>
          <t>D00039</t>
        </is>
      </c>
      <c r="C116" s="7" t="inlineStr">
        <is>
          <t>20260616</t>
        </is>
      </c>
      <c r="D116" s="7" t="inlineStr">
        <is>
          <t>N°2026000039</t>
        </is>
      </c>
      <c r="E116" s="7" t="inlineStr">
        <is>
          <t>SPA BRASSERIE STAR D'ALGERIE</t>
        </is>
      </c>
      <c r="F116" s="7" t="inlineStr">
        <is>
          <t>15001</t>
        </is>
      </c>
      <c r="G116" s="7" t="inlineStr">
        <is>
          <t>41100</t>
        </is>
      </c>
      <c r="H116" s="7" t="inlineStr">
        <is>
          <t>C1053</t>
        </is>
      </c>
      <c r="I116" s="7" t="inlineStr"/>
      <c r="J116" s="7" t="inlineStr"/>
      <c r="K116" s="7" t="inlineStr">
        <is>
          <t>FEN</t>
        </is>
      </c>
      <c r="L116" s="8" t="n">
        <v>157080</v>
      </c>
      <c r="M116" s="8" t="n">
        <v>0</v>
      </c>
      <c r="N116" s="7" t="inlineStr"/>
      <c r="O116" s="7" t="inlineStr"/>
      <c r="P116" s="7" t="inlineStr"/>
      <c r="Q116" s="7" t="inlineStr"/>
      <c r="R116" s="7" t="inlineStr"/>
    </row>
    <row r="117">
      <c r="A117" s="7" t="inlineStr">
        <is>
          <t>1</t>
        </is>
      </c>
      <c r="B117" s="7" t="inlineStr">
        <is>
          <t>D00039</t>
        </is>
      </c>
      <c r="C117" s="7" t="inlineStr">
        <is>
          <t>20260616</t>
        </is>
      </c>
      <c r="D117" s="7" t="inlineStr">
        <is>
          <t>N°2026000039</t>
        </is>
      </c>
      <c r="E117" s="7" t="inlineStr">
        <is>
          <t>SPA BRASSERIE STAR D'ALGERIE</t>
        </is>
      </c>
      <c r="F117" s="7" t="inlineStr">
        <is>
          <t>15001</t>
        </is>
      </c>
      <c r="G117" s="7" t="inlineStr">
        <is>
          <t>70003</t>
        </is>
      </c>
      <c r="H117" s="7" t="inlineStr"/>
      <c r="I117" s="7" t="inlineStr"/>
      <c r="J117" s="7" t="inlineStr"/>
      <c r="K117" s="7" t="inlineStr">
        <is>
          <t>FEN</t>
        </is>
      </c>
      <c r="L117" s="8" t="n">
        <v>0</v>
      </c>
      <c r="M117" s="8" t="n">
        <v>132000</v>
      </c>
      <c r="N117" s="7" t="inlineStr"/>
      <c r="O117" s="7" t="inlineStr"/>
      <c r="P117" s="7" t="inlineStr"/>
      <c r="Q117" s="7" t="inlineStr"/>
      <c r="R117" s="7" t="inlineStr"/>
    </row>
    <row r="118">
      <c r="A118" s="7" t="inlineStr">
        <is>
          <t>1</t>
        </is>
      </c>
      <c r="B118" s="7" t="inlineStr">
        <is>
          <t>D00039</t>
        </is>
      </c>
      <c r="C118" s="7" t="inlineStr">
        <is>
          <t>20260616</t>
        </is>
      </c>
      <c r="D118" s="7" t="inlineStr">
        <is>
          <t>N°2026000039</t>
        </is>
      </c>
      <c r="E118" s="7" t="inlineStr">
        <is>
          <t>SPA BRASSERIE STAR D'ALGERIE</t>
        </is>
      </c>
      <c r="F118" s="7" t="inlineStr">
        <is>
          <t>15001</t>
        </is>
      </c>
      <c r="G118" s="7" t="inlineStr">
        <is>
          <t>44519</t>
        </is>
      </c>
      <c r="H118" s="7" t="inlineStr"/>
      <c r="I118" s="7" t="inlineStr"/>
      <c r="J118" s="7" t="inlineStr"/>
      <c r="K118" s="7" t="inlineStr">
        <is>
          <t>FEN</t>
        </is>
      </c>
      <c r="L118" s="8" t="n">
        <v>0</v>
      </c>
      <c r="M118" s="8" t="n">
        <v>25080</v>
      </c>
      <c r="N118" s="7" t="inlineStr"/>
      <c r="O118" s="7" t="inlineStr"/>
      <c r="P118" s="7" t="inlineStr"/>
      <c r="Q118" s="7" t="inlineStr"/>
      <c r="R118" s="7" t="inlineStr"/>
    </row>
    <row r="119">
      <c r="A119" s="7" t="inlineStr">
        <is>
          <t>1</t>
        </is>
      </c>
      <c r="B119" s="7" t="inlineStr">
        <is>
          <t>D00040</t>
        </is>
      </c>
      <c r="C119" s="7" t="inlineStr">
        <is>
          <t>20260618</t>
        </is>
      </c>
      <c r="D119" s="7" t="inlineStr">
        <is>
          <t>N°2026000040</t>
        </is>
      </c>
      <c r="E119" s="7" t="inlineStr">
        <is>
          <t>SPA TMF LOGISTICS</t>
        </is>
      </c>
      <c r="F119" s="7" t="inlineStr">
        <is>
          <t>15001</t>
        </is>
      </c>
      <c r="G119" s="7" t="inlineStr">
        <is>
          <t>41100</t>
        </is>
      </c>
      <c r="H119" s="7" t="inlineStr">
        <is>
          <t>C671</t>
        </is>
      </c>
      <c r="I119" s="7" t="inlineStr"/>
      <c r="J119" s="7" t="inlineStr"/>
      <c r="K119" s="7" t="inlineStr">
        <is>
          <t>FEN</t>
        </is>
      </c>
      <c r="L119" s="8" t="n">
        <v>55930</v>
      </c>
      <c r="M119" s="8" t="n">
        <v>0</v>
      </c>
      <c r="N119" s="7" t="inlineStr"/>
      <c r="O119" s="7" t="inlineStr"/>
      <c r="P119" s="7" t="inlineStr"/>
      <c r="Q119" s="7" t="inlineStr"/>
      <c r="R119" s="7" t="inlineStr"/>
    </row>
    <row r="120">
      <c r="A120" s="7" t="inlineStr">
        <is>
          <t>1</t>
        </is>
      </c>
      <c r="B120" s="7" t="inlineStr">
        <is>
          <t>D00040</t>
        </is>
      </c>
      <c r="C120" s="7" t="inlineStr">
        <is>
          <t>20260618</t>
        </is>
      </c>
      <c r="D120" s="7" t="inlineStr">
        <is>
          <t>N°2026000040</t>
        </is>
      </c>
      <c r="E120" s="7" t="inlineStr">
        <is>
          <t>SPA TMF LOGISTICS</t>
        </is>
      </c>
      <c r="F120" s="7" t="inlineStr">
        <is>
          <t>15001</t>
        </is>
      </c>
      <c r="G120" s="7" t="inlineStr">
        <is>
          <t>70003</t>
        </is>
      </c>
      <c r="H120" s="7" t="inlineStr"/>
      <c r="I120" s="7" t="inlineStr"/>
      <c r="J120" s="7" t="inlineStr"/>
      <c r="K120" s="7" t="inlineStr">
        <is>
          <t>FEN</t>
        </is>
      </c>
      <c r="L120" s="8" t="n">
        <v>0</v>
      </c>
      <c r="M120" s="8" t="n">
        <v>47000</v>
      </c>
      <c r="N120" s="7" t="inlineStr"/>
      <c r="O120" s="7" t="inlineStr"/>
      <c r="P120" s="7" t="inlineStr"/>
      <c r="Q120" s="7" t="inlineStr"/>
      <c r="R120" s="7" t="inlineStr"/>
    </row>
    <row r="121">
      <c r="A121" s="7" t="inlineStr">
        <is>
          <t>1</t>
        </is>
      </c>
      <c r="B121" s="7" t="inlineStr">
        <is>
          <t>D00040</t>
        </is>
      </c>
      <c r="C121" s="7" t="inlineStr">
        <is>
          <t>20260618</t>
        </is>
      </c>
      <c r="D121" s="7" t="inlineStr">
        <is>
          <t>N°2026000040</t>
        </is>
      </c>
      <c r="E121" s="7" t="inlineStr">
        <is>
          <t>SPA TMF LOGISTICS</t>
        </is>
      </c>
      <c r="F121" s="7" t="inlineStr">
        <is>
          <t>15001</t>
        </is>
      </c>
      <c r="G121" s="7" t="inlineStr">
        <is>
          <t>44519</t>
        </is>
      </c>
      <c r="H121" s="7" t="inlineStr"/>
      <c r="I121" s="7" t="inlineStr"/>
      <c r="J121" s="7" t="inlineStr"/>
      <c r="K121" s="7" t="inlineStr">
        <is>
          <t>FEN</t>
        </is>
      </c>
      <c r="L121" s="8" t="n">
        <v>0</v>
      </c>
      <c r="M121" s="8" t="n">
        <v>8930</v>
      </c>
      <c r="N121" s="7" t="inlineStr"/>
      <c r="O121" s="7" t="inlineStr"/>
      <c r="P121" s="7" t="inlineStr"/>
      <c r="Q121" s="7" t="inlineStr"/>
      <c r="R121" s="7" t="inlineStr"/>
    </row>
    <row r="122">
      <c r="A122" s="7" t="inlineStr">
        <is>
          <t>1</t>
        </is>
      </c>
      <c r="B122" s="7" t="inlineStr">
        <is>
          <t>D00041</t>
        </is>
      </c>
      <c r="C122" s="7" t="inlineStr">
        <is>
          <t>20260623</t>
        </is>
      </c>
      <c r="D122" s="7" t="inlineStr">
        <is>
          <t>N°2026000041</t>
        </is>
      </c>
      <c r="E122" s="7" t="inlineStr">
        <is>
          <t>SARL ZIBANE</t>
        </is>
      </c>
      <c r="F122" s="7" t="inlineStr">
        <is>
          <t>15001</t>
        </is>
      </c>
      <c r="G122" s="7" t="inlineStr">
        <is>
          <t>41100</t>
        </is>
      </c>
      <c r="H122" s="7" t="inlineStr">
        <is>
          <t>C1100</t>
        </is>
      </c>
      <c r="I122" s="7" t="inlineStr"/>
      <c r="J122" s="7" t="inlineStr"/>
      <c r="K122" s="7" t="inlineStr">
        <is>
          <t>FEN</t>
        </is>
      </c>
      <c r="L122" s="8" t="n">
        <v>404600</v>
      </c>
      <c r="M122" s="8" t="n">
        <v>0</v>
      </c>
      <c r="N122" s="7" t="inlineStr"/>
      <c r="O122" s="7" t="inlineStr"/>
      <c r="P122" s="7" t="inlineStr"/>
      <c r="Q122" s="7" t="inlineStr"/>
      <c r="R122" s="7" t="inlineStr"/>
    </row>
    <row r="123">
      <c r="A123" s="7" t="inlineStr">
        <is>
          <t>1</t>
        </is>
      </c>
      <c r="B123" s="7" t="inlineStr">
        <is>
          <t>D00041</t>
        </is>
      </c>
      <c r="C123" s="7" t="inlineStr">
        <is>
          <t>20260623</t>
        </is>
      </c>
      <c r="D123" s="7" t="inlineStr">
        <is>
          <t>N°2026000041</t>
        </is>
      </c>
      <c r="E123" s="7" t="inlineStr">
        <is>
          <t>SARL ZIBANE</t>
        </is>
      </c>
      <c r="F123" s="7" t="inlineStr">
        <is>
          <t>15001</t>
        </is>
      </c>
      <c r="G123" s="7" t="inlineStr">
        <is>
          <t>70003</t>
        </is>
      </c>
      <c r="H123" s="7" t="inlineStr"/>
      <c r="I123" s="7" t="inlineStr"/>
      <c r="J123" s="7" t="inlineStr"/>
      <c r="K123" s="7" t="inlineStr">
        <is>
          <t>FEN</t>
        </is>
      </c>
      <c r="L123" s="8" t="n">
        <v>0</v>
      </c>
      <c r="M123" s="8" t="n">
        <v>340000</v>
      </c>
      <c r="N123" s="7" t="inlineStr"/>
      <c r="O123" s="7" t="inlineStr"/>
      <c r="P123" s="7" t="inlineStr"/>
      <c r="Q123" s="7" t="inlineStr"/>
      <c r="R123" s="7" t="inlineStr"/>
    </row>
    <row r="124">
      <c r="A124" s="7" t="inlineStr">
        <is>
          <t>1</t>
        </is>
      </c>
      <c r="B124" s="7" t="inlineStr">
        <is>
          <t>D00041</t>
        </is>
      </c>
      <c r="C124" s="7" t="inlineStr">
        <is>
          <t>20260623</t>
        </is>
      </c>
      <c r="D124" s="7" t="inlineStr">
        <is>
          <t>N°2026000041</t>
        </is>
      </c>
      <c r="E124" s="7" t="inlineStr">
        <is>
          <t>SARL ZIBANE</t>
        </is>
      </c>
      <c r="F124" s="7" t="inlineStr">
        <is>
          <t>15001</t>
        </is>
      </c>
      <c r="G124" s="7" t="inlineStr">
        <is>
          <t>44519</t>
        </is>
      </c>
      <c r="H124" s="7" t="inlineStr"/>
      <c r="I124" s="7" t="inlineStr"/>
      <c r="J124" s="7" t="inlineStr"/>
      <c r="K124" s="7" t="inlineStr">
        <is>
          <t>FEN</t>
        </is>
      </c>
      <c r="L124" s="8" t="n">
        <v>0</v>
      </c>
      <c r="M124" s="8" t="n">
        <v>64600</v>
      </c>
      <c r="N124" s="7" t="inlineStr"/>
      <c r="O124" s="7" t="inlineStr"/>
      <c r="P124" s="7" t="inlineStr"/>
      <c r="Q124" s="7" t="inlineStr"/>
      <c r="R124" s="7" t="inlineStr"/>
    </row>
    <row r="125">
      <c r="A125" s="7" t="inlineStr">
        <is>
          <t>1</t>
        </is>
      </c>
      <c r="B125" s="7" t="inlineStr">
        <is>
          <t>D00042</t>
        </is>
      </c>
      <c r="C125" s="7" t="inlineStr">
        <is>
          <t>20260628</t>
        </is>
      </c>
      <c r="D125" s="7" t="inlineStr">
        <is>
          <t>N°2026000042</t>
        </is>
      </c>
      <c r="E125" s="7" t="inlineStr">
        <is>
          <t>SPA AGGLOMERES DE L'ESTE</t>
        </is>
      </c>
      <c r="F125" s="7" t="inlineStr">
        <is>
          <t>15001</t>
        </is>
      </c>
      <c r="G125" s="7" t="inlineStr">
        <is>
          <t>41100</t>
        </is>
      </c>
      <c r="H125" s="7" t="inlineStr">
        <is>
          <t>C978</t>
        </is>
      </c>
      <c r="I125" s="7" t="inlineStr"/>
      <c r="J125" s="7" t="inlineStr"/>
      <c r="K125" s="7" t="inlineStr">
        <is>
          <t>FEN</t>
        </is>
      </c>
      <c r="L125" s="8" t="n">
        <v>21420</v>
      </c>
      <c r="M125" s="8" t="n">
        <v>0</v>
      </c>
      <c r="N125" s="7" t="inlineStr"/>
      <c r="O125" s="7" t="inlineStr"/>
      <c r="P125" s="7" t="inlineStr"/>
      <c r="Q125" s="7" t="inlineStr"/>
      <c r="R125" s="7" t="inlineStr"/>
    </row>
    <row r="126">
      <c r="A126" s="7" t="inlineStr">
        <is>
          <t>1</t>
        </is>
      </c>
      <c r="B126" s="7" t="inlineStr">
        <is>
          <t>D00042</t>
        </is>
      </c>
      <c r="C126" s="7" t="inlineStr">
        <is>
          <t>20260628</t>
        </is>
      </c>
      <c r="D126" s="7" t="inlineStr">
        <is>
          <t>N°2026000042</t>
        </is>
      </c>
      <c r="E126" s="7" t="inlineStr">
        <is>
          <t>SPA AGGLOMERES DE L'ESTE</t>
        </is>
      </c>
      <c r="F126" s="7" t="inlineStr">
        <is>
          <t>15001</t>
        </is>
      </c>
      <c r="G126" s="7" t="inlineStr">
        <is>
          <t>70003</t>
        </is>
      </c>
      <c r="H126" s="7" t="inlineStr"/>
      <c r="I126" s="7" t="inlineStr"/>
      <c r="J126" s="7" t="inlineStr"/>
      <c r="K126" s="7" t="inlineStr">
        <is>
          <t>FEN</t>
        </is>
      </c>
      <c r="L126" s="8" t="n">
        <v>0</v>
      </c>
      <c r="M126" s="8" t="n">
        <v>18000</v>
      </c>
      <c r="N126" s="7" t="inlineStr"/>
      <c r="O126" s="7" t="inlineStr"/>
      <c r="P126" s="7" t="inlineStr"/>
      <c r="Q126" s="7" t="inlineStr"/>
      <c r="R126" s="7" t="inlineStr"/>
    </row>
    <row r="127">
      <c r="A127" s="7" t="inlineStr">
        <is>
          <t>1</t>
        </is>
      </c>
      <c r="B127" s="7" t="inlineStr">
        <is>
          <t>D00042</t>
        </is>
      </c>
      <c r="C127" s="7" t="inlineStr">
        <is>
          <t>20260628</t>
        </is>
      </c>
      <c r="D127" s="7" t="inlineStr">
        <is>
          <t>N°2026000042</t>
        </is>
      </c>
      <c r="E127" s="7" t="inlineStr">
        <is>
          <t>SPA AGGLOMERES DE L'ESTE</t>
        </is>
      </c>
      <c r="F127" s="7" t="inlineStr">
        <is>
          <t>15001</t>
        </is>
      </c>
      <c r="G127" s="7" t="inlineStr">
        <is>
          <t>44519</t>
        </is>
      </c>
      <c r="H127" s="7" t="inlineStr"/>
      <c r="I127" s="7" t="inlineStr"/>
      <c r="J127" s="7" t="inlineStr"/>
      <c r="K127" s="7" t="inlineStr">
        <is>
          <t>FEN</t>
        </is>
      </c>
      <c r="L127" s="8" t="n">
        <v>0</v>
      </c>
      <c r="M127" s="8" t="n">
        <v>3420</v>
      </c>
      <c r="N127" s="7" t="inlineStr"/>
      <c r="O127" s="7" t="inlineStr"/>
      <c r="P127" s="7" t="inlineStr"/>
      <c r="Q127" s="7" t="inlineStr"/>
      <c r="R127" s="7" t="inlineStr"/>
    </row>
    <row r="128">
      <c r="A128" s="7" t="inlineStr">
        <is>
          <t>1</t>
        </is>
      </c>
      <c r="B128" s="7" t="inlineStr">
        <is>
          <t>D00043</t>
        </is>
      </c>
      <c r="C128" s="7" t="inlineStr">
        <is>
          <t>20260628</t>
        </is>
      </c>
      <c r="D128" s="7" t="inlineStr">
        <is>
          <t>N°2026000043</t>
        </is>
      </c>
      <c r="E128" s="7" t="inlineStr">
        <is>
          <t>EURL TERRENO TRANS</t>
        </is>
      </c>
      <c r="F128" s="7" t="inlineStr">
        <is>
          <t>15001</t>
        </is>
      </c>
      <c r="G128" s="7" t="inlineStr">
        <is>
          <t>41100</t>
        </is>
      </c>
      <c r="H128" s="7" t="inlineStr">
        <is>
          <t>C959</t>
        </is>
      </c>
      <c r="I128" s="7" t="inlineStr"/>
      <c r="J128" s="7" t="inlineStr"/>
      <c r="K128" s="7" t="inlineStr">
        <is>
          <t>FEN</t>
        </is>
      </c>
      <c r="L128" s="8" t="n">
        <v>407218</v>
      </c>
      <c r="M128" s="8" t="n">
        <v>0</v>
      </c>
      <c r="N128" s="7" t="inlineStr"/>
      <c r="O128" s="7" t="inlineStr"/>
      <c r="P128" s="7" t="inlineStr"/>
      <c r="Q128" s="7" t="inlineStr"/>
      <c r="R128" s="7" t="inlineStr"/>
    </row>
    <row r="129">
      <c r="A129" s="7" t="inlineStr">
        <is>
          <t>1</t>
        </is>
      </c>
      <c r="B129" s="7" t="inlineStr">
        <is>
          <t>D00043</t>
        </is>
      </c>
      <c r="C129" s="7" t="inlineStr">
        <is>
          <t>20260628</t>
        </is>
      </c>
      <c r="D129" s="7" t="inlineStr">
        <is>
          <t>N°2026000043</t>
        </is>
      </c>
      <c r="E129" s="7" t="inlineStr">
        <is>
          <t>EURL TERRENO TRANS</t>
        </is>
      </c>
      <c r="F129" s="7" t="inlineStr">
        <is>
          <t>15001</t>
        </is>
      </c>
      <c r="G129" s="7" t="inlineStr">
        <is>
          <t>70003</t>
        </is>
      </c>
      <c r="H129" s="7" t="inlineStr"/>
      <c r="I129" s="7" t="inlineStr"/>
      <c r="J129" s="7" t="inlineStr"/>
      <c r="K129" s="7" t="inlineStr">
        <is>
          <t>FEN</t>
        </is>
      </c>
      <c r="L129" s="8" t="n">
        <v>0</v>
      </c>
      <c r="M129" s="8" t="n">
        <v>342200</v>
      </c>
      <c r="N129" s="7" t="inlineStr"/>
      <c r="O129" s="7" t="inlineStr"/>
      <c r="P129" s="7" t="inlineStr"/>
      <c r="Q129" s="7" t="inlineStr"/>
      <c r="R129" s="7" t="inlineStr"/>
    </row>
    <row r="130">
      <c r="A130" s="7" t="inlineStr">
        <is>
          <t>1</t>
        </is>
      </c>
      <c r="B130" s="7" t="inlineStr">
        <is>
          <t>D00043</t>
        </is>
      </c>
      <c r="C130" s="7" t="inlineStr">
        <is>
          <t>20260628</t>
        </is>
      </c>
      <c r="D130" s="7" t="inlineStr">
        <is>
          <t>N°2026000043</t>
        </is>
      </c>
      <c r="E130" s="7" t="inlineStr">
        <is>
          <t>EURL TERRENO TRANS</t>
        </is>
      </c>
      <c r="F130" s="7" t="inlineStr">
        <is>
          <t>15001</t>
        </is>
      </c>
      <c r="G130" s="7" t="inlineStr">
        <is>
          <t>44519</t>
        </is>
      </c>
      <c r="H130" s="7" t="inlineStr"/>
      <c r="I130" s="7" t="inlineStr"/>
      <c r="J130" s="7" t="inlineStr"/>
      <c r="K130" s="7" t="inlineStr">
        <is>
          <t>FEN</t>
        </is>
      </c>
      <c r="L130" s="8" t="n">
        <v>0</v>
      </c>
      <c r="M130" s="8" t="n">
        <v>65018</v>
      </c>
      <c r="N130" s="7" t="inlineStr"/>
      <c r="O130" s="7" t="inlineStr"/>
      <c r="P130" s="7" t="inlineStr"/>
      <c r="Q130" s="7" t="inlineStr"/>
      <c r="R130" s="7" t="inlineStr"/>
    </row>
    <row r="131">
      <c r="A131" s="7" t="inlineStr">
        <is>
          <t>1</t>
        </is>
      </c>
      <c r="B131" s="7" t="inlineStr">
        <is>
          <t>D00044</t>
        </is>
      </c>
      <c r="C131" s="7" t="inlineStr">
        <is>
          <t>20260628</t>
        </is>
      </c>
      <c r="D131" s="7" t="inlineStr">
        <is>
          <t>N°2026000044</t>
        </is>
      </c>
      <c r="E131" s="7" t="inlineStr">
        <is>
          <t>SARL BEJAIA LOGISTIQUE</t>
        </is>
      </c>
      <c r="F131" s="7" t="inlineStr">
        <is>
          <t>15001</t>
        </is>
      </c>
      <c r="G131" s="7" t="inlineStr">
        <is>
          <t>41100</t>
        </is>
      </c>
      <c r="H131" s="7" t="inlineStr">
        <is>
          <t>C708</t>
        </is>
      </c>
      <c r="I131" s="7" t="inlineStr"/>
      <c r="J131" s="7" t="inlineStr"/>
      <c r="K131" s="7" t="inlineStr">
        <is>
          <t>FEN</t>
        </is>
      </c>
      <c r="L131" s="8" t="n">
        <v>53550</v>
      </c>
      <c r="M131" s="8" t="n">
        <v>0</v>
      </c>
      <c r="N131" s="7" t="inlineStr"/>
      <c r="O131" s="7" t="inlineStr"/>
      <c r="P131" s="7" t="inlineStr"/>
      <c r="Q131" s="7" t="inlineStr"/>
      <c r="R131" s="7" t="inlineStr"/>
    </row>
    <row r="132">
      <c r="A132" s="7" t="inlineStr">
        <is>
          <t>1</t>
        </is>
      </c>
      <c r="B132" s="7" t="inlineStr">
        <is>
          <t>D00044</t>
        </is>
      </c>
      <c r="C132" s="7" t="inlineStr">
        <is>
          <t>20260628</t>
        </is>
      </c>
      <c r="D132" s="7" t="inlineStr">
        <is>
          <t>N°2026000044</t>
        </is>
      </c>
      <c r="E132" s="7" t="inlineStr">
        <is>
          <t>SARL BEJAIA LOGISTIQUE</t>
        </is>
      </c>
      <c r="F132" s="7" t="inlineStr">
        <is>
          <t>15001</t>
        </is>
      </c>
      <c r="G132" s="7" t="inlineStr">
        <is>
          <t>70003</t>
        </is>
      </c>
      <c r="H132" s="7" t="inlineStr"/>
      <c r="I132" s="7" t="inlineStr"/>
      <c r="J132" s="7" t="inlineStr"/>
      <c r="K132" s="7" t="inlineStr">
        <is>
          <t>FEN</t>
        </is>
      </c>
      <c r="L132" s="8" t="n">
        <v>0</v>
      </c>
      <c r="M132" s="8" t="n">
        <v>45000</v>
      </c>
      <c r="N132" s="7" t="inlineStr"/>
      <c r="O132" s="7" t="inlineStr"/>
      <c r="P132" s="7" t="inlineStr"/>
      <c r="Q132" s="7" t="inlineStr"/>
      <c r="R132" s="7" t="inlineStr"/>
    </row>
    <row r="133">
      <c r="A133" s="7" t="inlineStr">
        <is>
          <t>1</t>
        </is>
      </c>
      <c r="B133" s="7" t="inlineStr">
        <is>
          <t>D00044</t>
        </is>
      </c>
      <c r="C133" s="7" t="inlineStr">
        <is>
          <t>20260628</t>
        </is>
      </c>
      <c r="D133" s="7" t="inlineStr">
        <is>
          <t>N°2026000044</t>
        </is>
      </c>
      <c r="E133" s="7" t="inlineStr">
        <is>
          <t>SARL BEJAIA LOGISTIQUE</t>
        </is>
      </c>
      <c r="F133" s="7" t="inlineStr">
        <is>
          <t>15001</t>
        </is>
      </c>
      <c r="G133" s="7" t="inlineStr">
        <is>
          <t>44519</t>
        </is>
      </c>
      <c r="H133" s="7" t="inlineStr"/>
      <c r="I133" s="7" t="inlineStr"/>
      <c r="J133" s="7" t="inlineStr"/>
      <c r="K133" s="7" t="inlineStr">
        <is>
          <t>FEN</t>
        </is>
      </c>
      <c r="L133" s="8" t="n">
        <v>0</v>
      </c>
      <c r="M133" s="8" t="n">
        <v>8550</v>
      </c>
      <c r="N133" s="7" t="inlineStr"/>
      <c r="O133" s="7" t="inlineStr"/>
      <c r="P133" s="7" t="inlineStr"/>
      <c r="Q133" s="7" t="inlineStr"/>
      <c r="R133" s="7" t="inlineStr"/>
    </row>
    <row r="134">
      <c r="A134" s="7" t="inlineStr">
        <is>
          <t>1</t>
        </is>
      </c>
      <c r="B134" s="7" t="inlineStr">
        <is>
          <t>D00045</t>
        </is>
      </c>
      <c r="C134" s="7" t="inlineStr">
        <is>
          <t>20260701</t>
        </is>
      </c>
      <c r="D134" s="7" t="inlineStr">
        <is>
          <t>N°2026000045</t>
        </is>
      </c>
      <c r="E134" s="7" t="inlineStr">
        <is>
          <t>COSIDER TP</t>
        </is>
      </c>
      <c r="F134" s="7" t="inlineStr">
        <is>
          <t>15001</t>
        </is>
      </c>
      <c r="G134" s="7" t="inlineStr">
        <is>
          <t>41100</t>
        </is>
      </c>
      <c r="H134" s="7" t="inlineStr">
        <is>
          <t>C1101</t>
        </is>
      </c>
      <c r="I134" s="7" t="inlineStr"/>
      <c r="J134" s="7" t="inlineStr"/>
      <c r="K134" s="7" t="inlineStr">
        <is>
          <t>FEN</t>
        </is>
      </c>
      <c r="L134" s="8" t="n">
        <v>41650</v>
      </c>
      <c r="M134" s="8" t="n">
        <v>0</v>
      </c>
      <c r="N134" s="7" t="inlineStr"/>
      <c r="O134" s="7" t="inlineStr"/>
      <c r="P134" s="7" t="inlineStr"/>
      <c r="Q134" s="7" t="inlineStr"/>
      <c r="R134" s="7" t="inlineStr"/>
    </row>
    <row r="135">
      <c r="A135" s="7" t="inlineStr">
        <is>
          <t>1</t>
        </is>
      </c>
      <c r="B135" s="7" t="inlineStr">
        <is>
          <t>D00045</t>
        </is>
      </c>
      <c r="C135" s="7" t="inlineStr">
        <is>
          <t>20260701</t>
        </is>
      </c>
      <c r="D135" s="7" t="inlineStr">
        <is>
          <t>N°2026000045</t>
        </is>
      </c>
      <c r="E135" s="7" t="inlineStr">
        <is>
          <t>COSIDER TP</t>
        </is>
      </c>
      <c r="F135" s="7" t="inlineStr">
        <is>
          <t>15001</t>
        </is>
      </c>
      <c r="G135" s="7" t="inlineStr">
        <is>
          <t>70003</t>
        </is>
      </c>
      <c r="H135" s="7" t="inlineStr"/>
      <c r="I135" s="7" t="inlineStr"/>
      <c r="J135" s="7" t="inlineStr"/>
      <c r="K135" s="7" t="inlineStr">
        <is>
          <t>FEN</t>
        </is>
      </c>
      <c r="L135" s="8" t="n">
        <v>0</v>
      </c>
      <c r="M135" s="8" t="n">
        <v>35000</v>
      </c>
      <c r="N135" s="7" t="inlineStr"/>
      <c r="O135" s="7" t="inlineStr"/>
      <c r="P135" s="7" t="inlineStr"/>
      <c r="Q135" s="7" t="inlineStr"/>
      <c r="R135" s="7" t="inlineStr"/>
    </row>
    <row r="136">
      <c r="A136" s="7" t="inlineStr">
        <is>
          <t>1</t>
        </is>
      </c>
      <c r="B136" s="7" t="inlineStr">
        <is>
          <t>D00045</t>
        </is>
      </c>
      <c r="C136" s="7" t="inlineStr">
        <is>
          <t>20260701</t>
        </is>
      </c>
      <c r="D136" s="7" t="inlineStr">
        <is>
          <t>N°2026000045</t>
        </is>
      </c>
      <c r="E136" s="7" t="inlineStr">
        <is>
          <t>COSIDER TP</t>
        </is>
      </c>
      <c r="F136" s="7" t="inlineStr">
        <is>
          <t>15001</t>
        </is>
      </c>
      <c r="G136" s="7" t="inlineStr">
        <is>
          <t>44519</t>
        </is>
      </c>
      <c r="H136" s="7" t="inlineStr"/>
      <c r="I136" s="7" t="inlineStr"/>
      <c r="J136" s="7" t="inlineStr"/>
      <c r="K136" s="7" t="inlineStr">
        <is>
          <t>FEN</t>
        </is>
      </c>
      <c r="L136" s="8" t="n">
        <v>0</v>
      </c>
      <c r="M136" s="8" t="n">
        <v>6650</v>
      </c>
      <c r="N136" s="7" t="inlineStr"/>
      <c r="O136" s="7" t="inlineStr"/>
      <c r="P136" s="7" t="inlineStr"/>
      <c r="Q136" s="7" t="inlineStr"/>
      <c r="R136" s="7" t="inlineStr"/>
    </row>
    <row r="137">
      <c r="A137" s="7" t="inlineStr">
        <is>
          <t>1</t>
        </is>
      </c>
      <c r="B137" s="7" t="inlineStr">
        <is>
          <t>D00046</t>
        </is>
      </c>
      <c r="C137" s="7" t="inlineStr">
        <is>
          <t>20260707</t>
        </is>
      </c>
      <c r="D137" s="7" t="inlineStr">
        <is>
          <t>N°2026000046</t>
        </is>
      </c>
      <c r="E137" s="7" t="inlineStr">
        <is>
          <t>SPA TMF LOGISTICS</t>
        </is>
      </c>
      <c r="F137" s="7" t="inlineStr">
        <is>
          <t>15001</t>
        </is>
      </c>
      <c r="G137" s="7" t="inlineStr">
        <is>
          <t>41100</t>
        </is>
      </c>
      <c r="H137" s="7" t="inlineStr">
        <is>
          <t>C671</t>
        </is>
      </c>
      <c r="I137" s="7" t="inlineStr"/>
      <c r="J137" s="7" t="inlineStr"/>
      <c r="K137" s="7" t="inlineStr">
        <is>
          <t>FEN</t>
        </is>
      </c>
      <c r="L137" s="8" t="n">
        <v>773500</v>
      </c>
      <c r="M137" s="8" t="n">
        <v>0</v>
      </c>
      <c r="N137" s="7" t="inlineStr"/>
      <c r="O137" s="7" t="inlineStr"/>
      <c r="P137" s="7" t="inlineStr"/>
      <c r="Q137" s="7" t="inlineStr"/>
      <c r="R137" s="7" t="inlineStr"/>
    </row>
    <row r="138">
      <c r="A138" s="7" t="inlineStr">
        <is>
          <t>1</t>
        </is>
      </c>
      <c r="B138" s="7" t="inlineStr">
        <is>
          <t>D00046</t>
        </is>
      </c>
      <c r="C138" s="7" t="inlineStr">
        <is>
          <t>20260707</t>
        </is>
      </c>
      <c r="D138" s="7" t="inlineStr">
        <is>
          <t>N°2026000046</t>
        </is>
      </c>
      <c r="E138" s="7" t="inlineStr">
        <is>
          <t>SPA TMF LOGISTICS</t>
        </is>
      </c>
      <c r="F138" s="7" t="inlineStr">
        <is>
          <t>15001</t>
        </is>
      </c>
      <c r="G138" s="7" t="inlineStr">
        <is>
          <t>70003</t>
        </is>
      </c>
      <c r="H138" s="7" t="inlineStr"/>
      <c r="I138" s="7" t="inlineStr"/>
      <c r="J138" s="7" t="inlineStr"/>
      <c r="K138" s="7" t="inlineStr">
        <is>
          <t>FEN</t>
        </is>
      </c>
      <c r="L138" s="8" t="n">
        <v>0</v>
      </c>
      <c r="M138" s="8" t="n">
        <v>650000</v>
      </c>
      <c r="N138" s="7" t="inlineStr"/>
      <c r="O138" s="7" t="inlineStr"/>
      <c r="P138" s="7" t="inlineStr"/>
      <c r="Q138" s="7" t="inlineStr"/>
      <c r="R138" s="7" t="inlineStr"/>
    </row>
    <row r="139">
      <c r="A139" s="7" t="inlineStr">
        <is>
          <t>1</t>
        </is>
      </c>
      <c r="B139" s="7" t="inlineStr">
        <is>
          <t>D00046</t>
        </is>
      </c>
      <c r="C139" s="7" t="inlineStr">
        <is>
          <t>20260707</t>
        </is>
      </c>
      <c r="D139" s="7" t="inlineStr">
        <is>
          <t>N°2026000046</t>
        </is>
      </c>
      <c r="E139" s="7" t="inlineStr">
        <is>
          <t>SPA TMF LOGISTICS</t>
        </is>
      </c>
      <c r="F139" s="7" t="inlineStr">
        <is>
          <t>15001</t>
        </is>
      </c>
      <c r="G139" s="7" t="inlineStr">
        <is>
          <t>44519</t>
        </is>
      </c>
      <c r="H139" s="7" t="inlineStr"/>
      <c r="I139" s="7" t="inlineStr"/>
      <c r="J139" s="7" t="inlineStr"/>
      <c r="K139" s="7" t="inlineStr">
        <is>
          <t>FEN</t>
        </is>
      </c>
      <c r="L139" s="8" t="n">
        <v>0</v>
      </c>
      <c r="M139" s="8" t="n">
        <v>123500</v>
      </c>
      <c r="N139" s="7" t="inlineStr"/>
      <c r="O139" s="7" t="inlineStr"/>
      <c r="P139" s="7" t="inlineStr"/>
      <c r="Q139" s="7" t="inlineStr"/>
      <c r="R139" s="7" t="inlineStr"/>
    </row>
    <row r="140">
      <c r="A140" s="7" t="inlineStr">
        <is>
          <t>1</t>
        </is>
      </c>
      <c r="B140" s="7" t="inlineStr">
        <is>
          <t>D00047</t>
        </is>
      </c>
      <c r="C140" s="7" t="inlineStr">
        <is>
          <t>20260708</t>
        </is>
      </c>
      <c r="D140" s="7" t="inlineStr">
        <is>
          <t>N°2026000047</t>
        </is>
      </c>
      <c r="E140" s="7" t="inlineStr">
        <is>
          <t>SNC ECOTP MOUHALI ET FRERES</t>
        </is>
      </c>
      <c r="F140" s="7" t="inlineStr">
        <is>
          <t>15001</t>
        </is>
      </c>
      <c r="G140" s="7" t="inlineStr">
        <is>
          <t>41100</t>
        </is>
      </c>
      <c r="H140" s="7" t="inlineStr">
        <is>
          <t>C248</t>
        </is>
      </c>
      <c r="I140" s="7" t="inlineStr"/>
      <c r="J140" s="7" t="inlineStr"/>
      <c r="K140" s="7" t="inlineStr">
        <is>
          <t>FEN</t>
        </is>
      </c>
      <c r="L140" s="8" t="n">
        <v>123760</v>
      </c>
      <c r="M140" s="8" t="n">
        <v>0</v>
      </c>
      <c r="N140" s="7" t="inlineStr"/>
      <c r="O140" s="7" t="inlineStr"/>
      <c r="P140" s="7" t="inlineStr"/>
      <c r="Q140" s="7" t="inlineStr"/>
      <c r="R140" s="7" t="inlineStr"/>
    </row>
    <row r="141">
      <c r="A141" s="7" t="inlineStr">
        <is>
          <t>1</t>
        </is>
      </c>
      <c r="B141" s="7" t="inlineStr">
        <is>
          <t>D00047</t>
        </is>
      </c>
      <c r="C141" s="7" t="inlineStr">
        <is>
          <t>20260708</t>
        </is>
      </c>
      <c r="D141" s="7" t="inlineStr">
        <is>
          <t>N°2026000047</t>
        </is>
      </c>
      <c r="E141" s="7" t="inlineStr">
        <is>
          <t>SNC ECOTP MOUHALI ET FRERES</t>
        </is>
      </c>
      <c r="F141" s="7" t="inlineStr">
        <is>
          <t>15001</t>
        </is>
      </c>
      <c r="G141" s="7" t="inlineStr">
        <is>
          <t>70003</t>
        </is>
      </c>
      <c r="H141" s="7" t="inlineStr"/>
      <c r="I141" s="7" t="inlineStr"/>
      <c r="J141" s="7" t="inlineStr"/>
      <c r="K141" s="7" t="inlineStr">
        <is>
          <t>FEN</t>
        </is>
      </c>
      <c r="L141" s="8" t="n">
        <v>0</v>
      </c>
      <c r="M141" s="8" t="n">
        <v>104000</v>
      </c>
      <c r="N141" s="7" t="inlineStr"/>
      <c r="O141" s="7" t="inlineStr"/>
      <c r="P141" s="7" t="inlineStr"/>
      <c r="Q141" s="7" t="inlineStr"/>
      <c r="R141" s="7" t="inlineStr"/>
    </row>
    <row r="142">
      <c r="A142" s="7" t="inlineStr">
        <is>
          <t>1</t>
        </is>
      </c>
      <c r="B142" s="7" t="inlineStr">
        <is>
          <t>D00047</t>
        </is>
      </c>
      <c r="C142" s="7" t="inlineStr">
        <is>
          <t>20260708</t>
        </is>
      </c>
      <c r="D142" s="7" t="inlineStr">
        <is>
          <t>N°2026000047</t>
        </is>
      </c>
      <c r="E142" s="7" t="inlineStr">
        <is>
          <t>SNC ECOTP MOUHALI ET FRERES</t>
        </is>
      </c>
      <c r="F142" s="7" t="inlineStr">
        <is>
          <t>15001</t>
        </is>
      </c>
      <c r="G142" s="7" t="inlineStr">
        <is>
          <t>44519</t>
        </is>
      </c>
      <c r="H142" s="7" t="inlineStr"/>
      <c r="I142" s="7" t="inlineStr"/>
      <c r="J142" s="7" t="inlineStr"/>
      <c r="K142" s="7" t="inlineStr">
        <is>
          <t>FEN</t>
        </is>
      </c>
      <c r="L142" s="8" t="n">
        <v>0</v>
      </c>
      <c r="M142" s="8" t="n">
        <v>19760</v>
      </c>
      <c r="N142" s="7" t="inlineStr"/>
      <c r="O142" s="7" t="inlineStr"/>
      <c r="P142" s="7" t="inlineStr"/>
      <c r="Q142" s="7" t="inlineStr"/>
      <c r="R142" s="7" t="inlineStr"/>
    </row>
    <row r="143">
      <c r="A143" s="7" t="inlineStr">
        <is>
          <t>1</t>
        </is>
      </c>
      <c r="B143" s="7" t="inlineStr">
        <is>
          <t>D00048</t>
        </is>
      </c>
      <c r="C143" s="7" t="inlineStr">
        <is>
          <t>20260714</t>
        </is>
      </c>
      <c r="D143" s="7" t="inlineStr">
        <is>
          <t>N°2026000048</t>
        </is>
      </c>
      <c r="E143" s="7" t="inlineStr">
        <is>
          <t>SARL BEJAIA LOGISTIQUE</t>
        </is>
      </c>
      <c r="F143" s="7" t="inlineStr">
        <is>
          <t>15001</t>
        </is>
      </c>
      <c r="G143" s="7" t="inlineStr">
        <is>
          <t>41100</t>
        </is>
      </c>
      <c r="H143" s="7" t="inlineStr">
        <is>
          <t>C708</t>
        </is>
      </c>
      <c r="I143" s="7" t="inlineStr"/>
      <c r="J143" s="7" t="inlineStr"/>
      <c r="K143" s="7" t="inlineStr">
        <is>
          <t>FEN</t>
        </is>
      </c>
      <c r="L143" s="8" t="n">
        <v>357000</v>
      </c>
      <c r="M143" s="8" t="n">
        <v>0</v>
      </c>
      <c r="N143" s="7" t="inlineStr"/>
      <c r="O143" s="7" t="inlineStr"/>
      <c r="P143" s="7" t="inlineStr"/>
      <c r="Q143" s="7" t="inlineStr"/>
      <c r="R143" s="7" t="inlineStr"/>
    </row>
    <row r="144">
      <c r="A144" s="7" t="inlineStr">
        <is>
          <t>1</t>
        </is>
      </c>
      <c r="B144" s="7" t="inlineStr">
        <is>
          <t>D00048</t>
        </is>
      </c>
      <c r="C144" s="7" t="inlineStr">
        <is>
          <t>20260714</t>
        </is>
      </c>
      <c r="D144" s="7" t="inlineStr">
        <is>
          <t>N°2026000048</t>
        </is>
      </c>
      <c r="E144" s="7" t="inlineStr">
        <is>
          <t>SARL BEJAIA LOGISTIQUE</t>
        </is>
      </c>
      <c r="F144" s="7" t="inlineStr">
        <is>
          <t>15001</t>
        </is>
      </c>
      <c r="G144" s="7" t="inlineStr">
        <is>
          <t>70003</t>
        </is>
      </c>
      <c r="H144" s="7" t="inlineStr"/>
      <c r="I144" s="7" t="inlineStr"/>
      <c r="J144" s="7" t="inlineStr"/>
      <c r="K144" s="7" t="inlineStr">
        <is>
          <t>FEN</t>
        </is>
      </c>
      <c r="L144" s="8" t="n">
        <v>0</v>
      </c>
      <c r="M144" s="8" t="n">
        <v>300000</v>
      </c>
      <c r="N144" s="7" t="inlineStr"/>
      <c r="O144" s="7" t="inlineStr"/>
      <c r="P144" s="7" t="inlineStr"/>
      <c r="Q144" s="7" t="inlineStr"/>
      <c r="R144" s="7" t="inlineStr"/>
    </row>
    <row r="145">
      <c r="A145" s="7" t="inlineStr">
        <is>
          <t>1</t>
        </is>
      </c>
      <c r="B145" s="7" t="inlineStr">
        <is>
          <t>D00048</t>
        </is>
      </c>
      <c r="C145" s="7" t="inlineStr">
        <is>
          <t>20260714</t>
        </is>
      </c>
      <c r="D145" s="7" t="inlineStr">
        <is>
          <t>N°2026000048</t>
        </is>
      </c>
      <c r="E145" s="7" t="inlineStr">
        <is>
          <t>SARL BEJAIA LOGISTIQUE</t>
        </is>
      </c>
      <c r="F145" s="7" t="inlineStr">
        <is>
          <t>15001</t>
        </is>
      </c>
      <c r="G145" s="7" t="inlineStr">
        <is>
          <t>44519</t>
        </is>
      </c>
      <c r="H145" s="7" t="inlineStr"/>
      <c r="I145" s="7" t="inlineStr"/>
      <c r="J145" s="7" t="inlineStr"/>
      <c r="K145" s="7" t="inlineStr">
        <is>
          <t>FEN</t>
        </is>
      </c>
      <c r="L145" s="8" t="n">
        <v>0</v>
      </c>
      <c r="M145" s="8" t="n">
        <v>57000</v>
      </c>
      <c r="N145" s="7" t="inlineStr"/>
      <c r="O145" s="7" t="inlineStr"/>
      <c r="P145" s="7" t="inlineStr"/>
      <c r="Q145" s="7" t="inlineStr"/>
      <c r="R145" s="7" t="inlineStr"/>
    </row>
    <row r="146">
      <c r="A146" s="7" t="inlineStr">
        <is>
          <t>1</t>
        </is>
      </c>
      <c r="B146" s="7" t="inlineStr">
        <is>
          <t>D00049</t>
        </is>
      </c>
      <c r="C146" s="7" t="inlineStr">
        <is>
          <t>20260715</t>
        </is>
      </c>
      <c r="D146" s="7" t="inlineStr">
        <is>
          <t>N°2026000049</t>
        </is>
      </c>
      <c r="E146" s="7" t="inlineStr">
        <is>
          <t>AVOIR SNC ECOTP MOUHALI ET FRE</t>
        </is>
      </c>
      <c r="F146" s="7" t="inlineStr">
        <is>
          <t>15001</t>
        </is>
      </c>
      <c r="G146" s="7" t="inlineStr">
        <is>
          <t>41100</t>
        </is>
      </c>
      <c r="H146" s="7" t="inlineStr">
        <is>
          <t>C248</t>
        </is>
      </c>
      <c r="I146" s="7" t="inlineStr"/>
      <c r="J146" s="7" t="inlineStr"/>
      <c r="K146" s="7" t="inlineStr">
        <is>
          <t>FEN</t>
        </is>
      </c>
      <c r="L146" s="8" t="n">
        <v>-0</v>
      </c>
      <c r="M146" s="8" t="n">
        <v>123760</v>
      </c>
      <c r="N146" s="7" t="inlineStr"/>
      <c r="O146" s="7" t="inlineStr"/>
      <c r="P146" s="7" t="inlineStr"/>
      <c r="Q146" s="7" t="inlineStr"/>
      <c r="R146" s="7" t="inlineStr"/>
    </row>
    <row r="147">
      <c r="A147" s="7" t="inlineStr">
        <is>
          <t>1</t>
        </is>
      </c>
      <c r="B147" s="7" t="inlineStr">
        <is>
          <t>D00049</t>
        </is>
      </c>
      <c r="C147" s="7" t="inlineStr">
        <is>
          <t>20260715</t>
        </is>
      </c>
      <c r="D147" s="7" t="inlineStr">
        <is>
          <t>N°2026000049</t>
        </is>
      </c>
      <c r="E147" s="7" t="inlineStr">
        <is>
          <t>AVOIR SNC ECOTP MOUHALI ET FRE</t>
        </is>
      </c>
      <c r="F147" s="7" t="inlineStr">
        <is>
          <t>15001</t>
        </is>
      </c>
      <c r="G147" s="7" t="inlineStr">
        <is>
          <t>70003</t>
        </is>
      </c>
      <c r="H147" s="7" t="inlineStr"/>
      <c r="I147" s="7" t="inlineStr"/>
      <c r="J147" s="7" t="inlineStr"/>
      <c r="K147" s="7" t="inlineStr">
        <is>
          <t>FEN</t>
        </is>
      </c>
      <c r="L147" s="8" t="n">
        <v>104000</v>
      </c>
      <c r="M147" s="8" t="n">
        <v>-0</v>
      </c>
      <c r="N147" s="7" t="inlineStr"/>
      <c r="O147" s="7" t="inlineStr"/>
      <c r="P147" s="7" t="inlineStr"/>
      <c r="Q147" s="7" t="inlineStr"/>
      <c r="R147" s="7" t="inlineStr"/>
    </row>
    <row r="148">
      <c r="A148" s="7" t="inlineStr">
        <is>
          <t>1</t>
        </is>
      </c>
      <c r="B148" s="7" t="inlineStr">
        <is>
          <t>D00049</t>
        </is>
      </c>
      <c r="C148" s="7" t="inlineStr">
        <is>
          <t>20260715</t>
        </is>
      </c>
      <c r="D148" s="7" t="inlineStr">
        <is>
          <t>N°2026000049</t>
        </is>
      </c>
      <c r="E148" s="7" t="inlineStr">
        <is>
          <t>AVOIR SNC ECOTP MOUHALI ET FRE</t>
        </is>
      </c>
      <c r="F148" s="7" t="inlineStr">
        <is>
          <t>15001</t>
        </is>
      </c>
      <c r="G148" s="7" t="inlineStr">
        <is>
          <t>44519</t>
        </is>
      </c>
      <c r="H148" s="7" t="inlineStr"/>
      <c r="I148" s="7" t="inlineStr"/>
      <c r="J148" s="7" t="inlineStr"/>
      <c r="K148" s="7" t="inlineStr">
        <is>
          <t>FEN</t>
        </is>
      </c>
      <c r="L148" s="8" t="n">
        <v>19760</v>
      </c>
      <c r="M148" s="8" t="n">
        <v>-0</v>
      </c>
      <c r="N148" s="7" t="inlineStr"/>
      <c r="O148" s="7" t="inlineStr"/>
      <c r="P148" s="7" t="inlineStr"/>
      <c r="Q148" s="7" t="inlineStr"/>
      <c r="R148" s="7" t="inlineStr"/>
    </row>
    <row r="149">
      <c r="A149" s="7" t="inlineStr">
        <is>
          <t>1</t>
        </is>
      </c>
      <c r="B149" s="7" t="inlineStr">
        <is>
          <t>D00050</t>
        </is>
      </c>
      <c r="C149" s="7" t="inlineStr">
        <is>
          <t>20260715</t>
        </is>
      </c>
      <c r="D149" s="7" t="inlineStr">
        <is>
          <t>N°2026000050</t>
        </is>
      </c>
      <c r="E149" s="7" t="inlineStr">
        <is>
          <t>SPA AGGLOMERES DE L'ESTE</t>
        </is>
      </c>
      <c r="F149" s="7" t="inlineStr">
        <is>
          <t>15001</t>
        </is>
      </c>
      <c r="G149" s="7" t="inlineStr">
        <is>
          <t>41100</t>
        </is>
      </c>
      <c r="H149" s="7" t="inlineStr">
        <is>
          <t>C978</t>
        </is>
      </c>
      <c r="I149" s="7" t="inlineStr"/>
      <c r="J149" s="7" t="inlineStr"/>
      <c r="K149" s="7" t="inlineStr">
        <is>
          <t>FEN</t>
        </is>
      </c>
      <c r="L149" s="8" t="n">
        <v>185640</v>
      </c>
      <c r="M149" s="8" t="n">
        <v>0</v>
      </c>
      <c r="N149" s="7" t="inlineStr"/>
      <c r="O149" s="7" t="inlineStr"/>
      <c r="P149" s="7" t="inlineStr"/>
      <c r="Q149" s="7" t="inlineStr"/>
      <c r="R149" s="7" t="inlineStr"/>
    </row>
    <row r="150">
      <c r="A150" s="7" t="inlineStr">
        <is>
          <t>1</t>
        </is>
      </c>
      <c r="B150" s="7" t="inlineStr">
        <is>
          <t>D00050</t>
        </is>
      </c>
      <c r="C150" s="7" t="inlineStr">
        <is>
          <t>20260715</t>
        </is>
      </c>
      <c r="D150" s="7" t="inlineStr">
        <is>
          <t>N°2026000050</t>
        </is>
      </c>
      <c r="E150" s="7" t="inlineStr">
        <is>
          <t>SPA AGGLOMERES DE L'ESTE</t>
        </is>
      </c>
      <c r="F150" s="7" t="inlineStr">
        <is>
          <t>15001</t>
        </is>
      </c>
      <c r="G150" s="7" t="inlineStr">
        <is>
          <t>70003</t>
        </is>
      </c>
      <c r="H150" s="7" t="inlineStr"/>
      <c r="I150" s="7" t="inlineStr"/>
      <c r="J150" s="7" t="inlineStr"/>
      <c r="K150" s="7" t="inlineStr">
        <is>
          <t>FEN</t>
        </is>
      </c>
      <c r="L150" s="8" t="n">
        <v>0</v>
      </c>
      <c r="M150" s="8" t="n">
        <v>156000</v>
      </c>
      <c r="N150" s="7" t="inlineStr"/>
      <c r="O150" s="7" t="inlineStr"/>
      <c r="P150" s="7" t="inlineStr"/>
      <c r="Q150" s="7" t="inlineStr"/>
      <c r="R150" s="7" t="inlineStr"/>
    </row>
    <row r="151">
      <c r="A151" s="7" t="inlineStr">
        <is>
          <t>1</t>
        </is>
      </c>
      <c r="B151" s="7" t="inlineStr">
        <is>
          <t>D00050</t>
        </is>
      </c>
      <c r="C151" s="7" t="inlineStr">
        <is>
          <t>20260715</t>
        </is>
      </c>
      <c r="D151" s="7" t="inlineStr">
        <is>
          <t>N°2026000050</t>
        </is>
      </c>
      <c r="E151" s="7" t="inlineStr">
        <is>
          <t>SPA AGGLOMERES DE L'ESTE</t>
        </is>
      </c>
      <c r="F151" s="7" t="inlineStr">
        <is>
          <t>15001</t>
        </is>
      </c>
      <c r="G151" s="7" t="inlineStr">
        <is>
          <t>44519</t>
        </is>
      </c>
      <c r="H151" s="7" t="inlineStr"/>
      <c r="I151" s="7" t="inlineStr"/>
      <c r="J151" s="7" t="inlineStr"/>
      <c r="K151" s="7" t="inlineStr">
        <is>
          <t>FEN</t>
        </is>
      </c>
      <c r="L151" s="8" t="n">
        <v>0</v>
      </c>
      <c r="M151" s="8" t="n">
        <v>29640</v>
      </c>
      <c r="N151" s="7" t="inlineStr"/>
      <c r="O151" s="7" t="inlineStr"/>
      <c r="P151" s="7" t="inlineStr"/>
      <c r="Q151" s="7" t="inlineStr"/>
      <c r="R151" s="7" t="inlineStr"/>
    </row>
    <row r="152">
      <c r="A152" s="7" t="inlineStr">
        <is>
          <t>1</t>
        </is>
      </c>
      <c r="B152" s="7" t="inlineStr">
        <is>
          <t>D00051</t>
        </is>
      </c>
      <c r="C152" s="7" t="inlineStr">
        <is>
          <t>20260716</t>
        </is>
      </c>
      <c r="D152" s="7" t="inlineStr">
        <is>
          <t>N°2026000051</t>
        </is>
      </c>
      <c r="E152" s="7" t="inlineStr">
        <is>
          <t>SARL BEJAIA LOGISTIQUE</t>
        </is>
      </c>
      <c r="F152" s="7" t="inlineStr">
        <is>
          <t>15001</t>
        </is>
      </c>
      <c r="G152" s="7" t="inlineStr">
        <is>
          <t>41100</t>
        </is>
      </c>
      <c r="H152" s="7" t="inlineStr">
        <is>
          <t>C708</t>
        </is>
      </c>
      <c r="I152" s="7" t="inlineStr"/>
      <c r="J152" s="7" t="inlineStr"/>
      <c r="K152" s="7" t="inlineStr">
        <is>
          <t>FEN</t>
        </is>
      </c>
      <c r="L152" s="8" t="n">
        <v>240499</v>
      </c>
      <c r="M152" s="8" t="n">
        <v>0</v>
      </c>
      <c r="N152" s="7" t="inlineStr"/>
      <c r="O152" s="7" t="inlineStr"/>
      <c r="P152" s="7" t="inlineStr"/>
      <c r="Q152" s="7" t="inlineStr"/>
      <c r="R152" s="7" t="inlineStr"/>
    </row>
    <row r="153">
      <c r="A153" s="7" t="inlineStr">
        <is>
          <t>1</t>
        </is>
      </c>
      <c r="B153" s="7" t="inlineStr">
        <is>
          <t>D00051</t>
        </is>
      </c>
      <c r="C153" s="7" t="inlineStr">
        <is>
          <t>20260716</t>
        </is>
      </c>
      <c r="D153" s="7" t="inlineStr">
        <is>
          <t>N°2026000051</t>
        </is>
      </c>
      <c r="E153" s="7" t="inlineStr">
        <is>
          <t>SARL BEJAIA LOGISTIQUE</t>
        </is>
      </c>
      <c r="F153" s="7" t="inlineStr">
        <is>
          <t>15001</t>
        </is>
      </c>
      <c r="G153" s="7" t="inlineStr">
        <is>
          <t>70003</t>
        </is>
      </c>
      <c r="H153" s="7" t="inlineStr"/>
      <c r="I153" s="7" t="inlineStr"/>
      <c r="J153" s="7" t="inlineStr"/>
      <c r="K153" s="7" t="inlineStr">
        <is>
          <t>FEN</t>
        </is>
      </c>
      <c r="L153" s="8" t="n">
        <v>0</v>
      </c>
      <c r="M153" s="8" t="n">
        <v>202100</v>
      </c>
      <c r="N153" s="7" t="inlineStr"/>
      <c r="O153" s="7" t="inlineStr"/>
      <c r="P153" s="7" t="inlineStr"/>
      <c r="Q153" s="7" t="inlineStr"/>
      <c r="R153" s="7" t="inlineStr"/>
    </row>
    <row r="154">
      <c r="A154" s="7" t="inlineStr">
        <is>
          <t>1</t>
        </is>
      </c>
      <c r="B154" s="7" t="inlineStr">
        <is>
          <t>D00051</t>
        </is>
      </c>
      <c r="C154" s="7" t="inlineStr">
        <is>
          <t>20260716</t>
        </is>
      </c>
      <c r="D154" s="7" t="inlineStr">
        <is>
          <t>N°2026000051</t>
        </is>
      </c>
      <c r="E154" s="7" t="inlineStr">
        <is>
          <t>SARL BEJAIA LOGISTIQUE</t>
        </is>
      </c>
      <c r="F154" s="7" t="inlineStr">
        <is>
          <t>15001</t>
        </is>
      </c>
      <c r="G154" s="7" t="inlineStr">
        <is>
          <t>44519</t>
        </is>
      </c>
      <c r="H154" s="7" t="inlineStr"/>
      <c r="I154" s="7" t="inlineStr"/>
      <c r="J154" s="7" t="inlineStr"/>
      <c r="K154" s="7" t="inlineStr">
        <is>
          <t>FEN</t>
        </is>
      </c>
      <c r="L154" s="8" t="n">
        <v>0</v>
      </c>
      <c r="M154" s="8" t="n">
        <v>38399</v>
      </c>
      <c r="N154" s="7" t="inlineStr"/>
      <c r="O154" s="7" t="inlineStr"/>
      <c r="P154" s="7" t="inlineStr"/>
      <c r="Q154" s="7" t="inlineStr"/>
      <c r="R154" s="7" t="inlineStr"/>
    </row>
    <row r="155">
      <c r="A155" s="7" t="inlineStr">
        <is>
          <t>1</t>
        </is>
      </c>
      <c r="B155" s="7" t="inlineStr">
        <is>
          <t>D00052</t>
        </is>
      </c>
      <c r="C155" s="7" t="inlineStr">
        <is>
          <t>20260720</t>
        </is>
      </c>
      <c r="D155" s="7" t="inlineStr">
        <is>
          <t>N°2026000052</t>
        </is>
      </c>
      <c r="E155" s="7" t="inlineStr">
        <is>
          <t>SPA TMF LOGISTICS</t>
        </is>
      </c>
      <c r="F155" s="7" t="inlineStr">
        <is>
          <t>15001</t>
        </is>
      </c>
      <c r="G155" s="7" t="inlineStr">
        <is>
          <t>41100</t>
        </is>
      </c>
      <c r="H155" s="7" t="inlineStr">
        <is>
          <t>C671</t>
        </is>
      </c>
      <c r="I155" s="7" t="inlineStr"/>
      <c r="J155" s="7" t="inlineStr"/>
      <c r="K155" s="7" t="inlineStr">
        <is>
          <t>FEN</t>
        </is>
      </c>
      <c r="L155" s="8" t="n">
        <v>1154300</v>
      </c>
      <c r="M155" s="8" t="n">
        <v>0</v>
      </c>
      <c r="N155" s="7" t="inlineStr"/>
      <c r="O155" s="7" t="inlineStr"/>
      <c r="P155" s="7" t="inlineStr"/>
      <c r="Q155" s="7" t="inlineStr"/>
      <c r="R155" s="7" t="inlineStr"/>
    </row>
    <row r="156">
      <c r="A156" s="7" t="inlineStr">
        <is>
          <t>1</t>
        </is>
      </c>
      <c r="B156" s="7" t="inlineStr">
        <is>
          <t>D00052</t>
        </is>
      </c>
      <c r="C156" s="7" t="inlineStr">
        <is>
          <t>20260720</t>
        </is>
      </c>
      <c r="D156" s="7" t="inlineStr">
        <is>
          <t>N°2026000052</t>
        </is>
      </c>
      <c r="E156" s="7" t="inlineStr">
        <is>
          <t>SPA TMF LOGISTICS</t>
        </is>
      </c>
      <c r="F156" s="7" t="inlineStr">
        <is>
          <t>15001</t>
        </is>
      </c>
      <c r="G156" s="7" t="inlineStr">
        <is>
          <t>70003</t>
        </is>
      </c>
      <c r="H156" s="7" t="inlineStr"/>
      <c r="I156" s="7" t="inlineStr"/>
      <c r="J156" s="7" t="inlineStr"/>
      <c r="K156" s="7" t="inlineStr">
        <is>
          <t>FEN</t>
        </is>
      </c>
      <c r="L156" s="8" t="n">
        <v>0</v>
      </c>
      <c r="M156" s="8" t="n">
        <v>970000</v>
      </c>
      <c r="N156" s="7" t="inlineStr"/>
      <c r="O156" s="7" t="inlineStr"/>
      <c r="P156" s="7" t="inlineStr"/>
      <c r="Q156" s="7" t="inlineStr"/>
      <c r="R156" s="7" t="inlineStr"/>
    </row>
    <row r="157">
      <c r="A157" s="7" t="inlineStr">
        <is>
          <t>1</t>
        </is>
      </c>
      <c r="B157" s="7" t="inlineStr">
        <is>
          <t>D00052</t>
        </is>
      </c>
      <c r="C157" s="7" t="inlineStr">
        <is>
          <t>20260720</t>
        </is>
      </c>
      <c r="D157" s="7" t="inlineStr">
        <is>
          <t>N°2026000052</t>
        </is>
      </c>
      <c r="E157" s="7" t="inlineStr">
        <is>
          <t>SPA TMF LOGISTICS</t>
        </is>
      </c>
      <c r="F157" s="7" t="inlineStr">
        <is>
          <t>15001</t>
        </is>
      </c>
      <c r="G157" s="7" t="inlineStr">
        <is>
          <t>44519</t>
        </is>
      </c>
      <c r="H157" s="7" t="inlineStr"/>
      <c r="I157" s="7" t="inlineStr"/>
      <c r="J157" s="7" t="inlineStr"/>
      <c r="K157" s="7" t="inlineStr">
        <is>
          <t>FEN</t>
        </is>
      </c>
      <c r="L157" s="8" t="n">
        <v>0</v>
      </c>
      <c r="M157" s="8" t="n">
        <v>184300</v>
      </c>
      <c r="N157" s="7" t="inlineStr"/>
      <c r="O157" s="7" t="inlineStr"/>
      <c r="P157" s="7" t="inlineStr"/>
      <c r="Q157" s="7" t="inlineStr"/>
      <c r="R157" s="7" t="inlineStr"/>
    </row>
    <row r="158">
      <c r="A158" s="7" t="inlineStr">
        <is>
          <t>1</t>
        </is>
      </c>
      <c r="B158" s="7" t="inlineStr">
        <is>
          <t>D00053</t>
        </is>
      </c>
      <c r="C158" s="7" t="inlineStr">
        <is>
          <t>20260722</t>
        </is>
      </c>
      <c r="D158" s="7" t="inlineStr">
        <is>
          <t>N°2026000053</t>
        </is>
      </c>
      <c r="E158" s="7" t="inlineStr">
        <is>
          <t>SARL BEJAIA LOGISTIQUE</t>
        </is>
      </c>
      <c r="F158" s="7" t="inlineStr">
        <is>
          <t>15001</t>
        </is>
      </c>
      <c r="G158" s="7" t="inlineStr">
        <is>
          <t>41100</t>
        </is>
      </c>
      <c r="H158" s="7" t="inlineStr">
        <is>
          <t>C708</t>
        </is>
      </c>
      <c r="I158" s="7" t="inlineStr"/>
      <c r="J158" s="7" t="inlineStr"/>
      <c r="K158" s="7" t="inlineStr">
        <is>
          <t>FEN</t>
        </is>
      </c>
      <c r="L158" s="8" t="n">
        <v>226100</v>
      </c>
      <c r="M158" s="8" t="n">
        <v>0</v>
      </c>
      <c r="N158" s="7" t="inlineStr"/>
      <c r="O158" s="7" t="inlineStr"/>
      <c r="P158" s="7" t="inlineStr"/>
      <c r="Q158" s="7" t="inlineStr"/>
      <c r="R158" s="7" t="inlineStr"/>
    </row>
    <row r="159">
      <c r="A159" s="7" t="inlineStr">
        <is>
          <t>1</t>
        </is>
      </c>
      <c r="B159" s="7" t="inlineStr">
        <is>
          <t>D00053</t>
        </is>
      </c>
      <c r="C159" s="7" t="inlineStr">
        <is>
          <t>20260722</t>
        </is>
      </c>
      <c r="D159" s="7" t="inlineStr">
        <is>
          <t>N°2026000053</t>
        </is>
      </c>
      <c r="E159" s="7" t="inlineStr">
        <is>
          <t>SARL BEJAIA LOGISTIQUE</t>
        </is>
      </c>
      <c r="F159" s="7" t="inlineStr">
        <is>
          <t>15001</t>
        </is>
      </c>
      <c r="G159" s="7" t="inlineStr">
        <is>
          <t>70003</t>
        </is>
      </c>
      <c r="H159" s="7" t="inlineStr"/>
      <c r="I159" s="7" t="inlineStr"/>
      <c r="J159" s="7" t="inlineStr"/>
      <c r="K159" s="7" t="inlineStr">
        <is>
          <t>FEN</t>
        </is>
      </c>
      <c r="L159" s="8" t="n">
        <v>0</v>
      </c>
      <c r="M159" s="8" t="n">
        <v>190000</v>
      </c>
      <c r="N159" s="7" t="inlineStr"/>
      <c r="O159" s="7" t="inlineStr"/>
      <c r="P159" s="7" t="inlineStr"/>
      <c r="Q159" s="7" t="inlineStr"/>
      <c r="R159" s="7" t="inlineStr"/>
    </row>
    <row r="160">
      <c r="A160" s="7" t="inlineStr">
        <is>
          <t>1</t>
        </is>
      </c>
      <c r="B160" s="7" t="inlineStr">
        <is>
          <t>D00053</t>
        </is>
      </c>
      <c r="C160" s="7" t="inlineStr">
        <is>
          <t>20260722</t>
        </is>
      </c>
      <c r="D160" s="7" t="inlineStr">
        <is>
          <t>N°2026000053</t>
        </is>
      </c>
      <c r="E160" s="7" t="inlineStr">
        <is>
          <t>SARL BEJAIA LOGISTIQUE</t>
        </is>
      </c>
      <c r="F160" s="7" t="inlineStr">
        <is>
          <t>15001</t>
        </is>
      </c>
      <c r="G160" s="7" t="inlineStr">
        <is>
          <t>44519</t>
        </is>
      </c>
      <c r="H160" s="7" t="inlineStr"/>
      <c r="I160" s="7" t="inlineStr"/>
      <c r="J160" s="7" t="inlineStr"/>
      <c r="K160" s="7" t="inlineStr">
        <is>
          <t>FEN</t>
        </is>
      </c>
      <c r="L160" s="8" t="n">
        <v>0</v>
      </c>
      <c r="M160" s="8" t="n">
        <v>36100</v>
      </c>
      <c r="N160" s="7" t="inlineStr"/>
      <c r="O160" s="7" t="inlineStr"/>
      <c r="P160" s="7" t="inlineStr"/>
      <c r="Q160" s="7" t="inlineStr"/>
      <c r="R160" s="7" t="inlineStr"/>
    </row>
    <row r="161">
      <c r="A161" s="7" t="inlineStr">
        <is>
          <t>1</t>
        </is>
      </c>
      <c r="B161" s="7" t="inlineStr">
        <is>
          <t>D00054</t>
        </is>
      </c>
      <c r="C161" s="7" t="inlineStr">
        <is>
          <t>20260726</t>
        </is>
      </c>
      <c r="D161" s="7" t="inlineStr">
        <is>
          <t>N°2026000054</t>
        </is>
      </c>
      <c r="E161" s="7" t="inlineStr">
        <is>
          <t>SPA BRASSERIE STAR D'ALGERIE</t>
        </is>
      </c>
      <c r="F161" s="7" t="inlineStr">
        <is>
          <t>15001</t>
        </is>
      </c>
      <c r="G161" s="7" t="inlineStr">
        <is>
          <t>41100</t>
        </is>
      </c>
      <c r="H161" s="7" t="inlineStr">
        <is>
          <t>C1053</t>
        </is>
      </c>
      <c r="I161" s="7" t="inlineStr"/>
      <c r="J161" s="7" t="inlineStr"/>
      <c r="K161" s="7" t="inlineStr">
        <is>
          <t>FEN</t>
        </is>
      </c>
      <c r="L161" s="8" t="n">
        <v>14280</v>
      </c>
      <c r="M161" s="8" t="n">
        <v>0</v>
      </c>
      <c r="N161" s="7" t="inlineStr"/>
      <c r="O161" s="7" t="inlineStr"/>
      <c r="P161" s="7" t="inlineStr"/>
      <c r="Q161" s="7" t="inlineStr"/>
      <c r="R161" s="7" t="inlineStr"/>
    </row>
    <row r="162">
      <c r="A162" s="7" t="inlineStr">
        <is>
          <t>1</t>
        </is>
      </c>
      <c r="B162" s="7" t="inlineStr">
        <is>
          <t>D00054</t>
        </is>
      </c>
      <c r="C162" s="7" t="inlineStr">
        <is>
          <t>20260726</t>
        </is>
      </c>
      <c r="D162" s="7" t="inlineStr">
        <is>
          <t>N°2026000054</t>
        </is>
      </c>
      <c r="E162" s="7" t="inlineStr">
        <is>
          <t>SPA BRASSERIE STAR D'ALGERIE</t>
        </is>
      </c>
      <c r="F162" s="7" t="inlineStr">
        <is>
          <t>15001</t>
        </is>
      </c>
      <c r="G162" s="7" t="inlineStr">
        <is>
          <t>70003</t>
        </is>
      </c>
      <c r="H162" s="7" t="inlineStr"/>
      <c r="I162" s="7" t="inlineStr"/>
      <c r="J162" s="7" t="inlineStr"/>
      <c r="K162" s="7" t="inlineStr">
        <is>
          <t>FEN</t>
        </is>
      </c>
      <c r="L162" s="8" t="n">
        <v>0</v>
      </c>
      <c r="M162" s="8" t="n">
        <v>12000</v>
      </c>
      <c r="N162" s="7" t="inlineStr"/>
      <c r="O162" s="7" t="inlineStr"/>
      <c r="P162" s="7" t="inlineStr"/>
      <c r="Q162" s="7" t="inlineStr"/>
      <c r="R162" s="7" t="inlineStr"/>
    </row>
    <row r="163">
      <c r="A163" s="7" t="inlineStr">
        <is>
          <t>1</t>
        </is>
      </c>
      <c r="B163" s="7" t="inlineStr">
        <is>
          <t>D00054</t>
        </is>
      </c>
      <c r="C163" s="7" t="inlineStr">
        <is>
          <t>20260726</t>
        </is>
      </c>
      <c r="D163" s="7" t="inlineStr">
        <is>
          <t>N°2026000054</t>
        </is>
      </c>
      <c r="E163" s="7" t="inlineStr">
        <is>
          <t>SPA BRASSERIE STAR D'ALGERIE</t>
        </is>
      </c>
      <c r="F163" s="7" t="inlineStr">
        <is>
          <t>15001</t>
        </is>
      </c>
      <c r="G163" s="7" t="inlineStr">
        <is>
          <t>44519</t>
        </is>
      </c>
      <c r="H163" s="7" t="inlineStr"/>
      <c r="I163" s="7" t="inlineStr"/>
      <c r="J163" s="7" t="inlineStr"/>
      <c r="K163" s="7" t="inlineStr">
        <is>
          <t>FEN</t>
        </is>
      </c>
      <c r="L163" s="8" t="n">
        <v>0</v>
      </c>
      <c r="M163" s="8" t="n">
        <v>2280</v>
      </c>
      <c r="N163" s="7" t="inlineStr"/>
      <c r="O163" s="7" t="inlineStr"/>
      <c r="P163" s="7" t="inlineStr"/>
      <c r="Q163" s="7" t="inlineStr"/>
      <c r="R163" s="7" t="inlineStr"/>
    </row>
    <row r="164">
      <c r="A164" s="7" t="inlineStr">
        <is>
          <t>1</t>
        </is>
      </c>
      <c r="B164" s="7" t="inlineStr">
        <is>
          <t>D00055</t>
        </is>
      </c>
      <c r="C164" s="7" t="inlineStr">
        <is>
          <t>20260727</t>
        </is>
      </c>
      <c r="D164" s="7" t="inlineStr">
        <is>
          <t>N°2026000055</t>
        </is>
      </c>
      <c r="E164" s="7" t="inlineStr">
        <is>
          <t>SARL LAITRIE SOUMMAM</t>
        </is>
      </c>
      <c r="F164" s="7" t="inlineStr">
        <is>
          <t>15001</t>
        </is>
      </c>
      <c r="G164" s="7" t="inlineStr">
        <is>
          <t>41100</t>
        </is>
      </c>
      <c r="H164" s="7" t="inlineStr">
        <is>
          <t>C986</t>
        </is>
      </c>
      <c r="I164" s="7" t="inlineStr"/>
      <c r="J164" s="7" t="inlineStr"/>
      <c r="K164" s="7" t="inlineStr">
        <is>
          <t>FEN</t>
        </is>
      </c>
      <c r="L164" s="8" t="n">
        <v>218960</v>
      </c>
      <c r="M164" s="8" t="n">
        <v>0</v>
      </c>
      <c r="N164" s="7" t="inlineStr"/>
      <c r="O164" s="7" t="inlineStr"/>
      <c r="P164" s="7" t="inlineStr"/>
      <c r="Q164" s="7" t="inlineStr"/>
      <c r="R164" s="7" t="inlineStr"/>
    </row>
    <row r="165">
      <c r="A165" s="7" t="inlineStr">
        <is>
          <t>1</t>
        </is>
      </c>
      <c r="B165" s="7" t="inlineStr">
        <is>
          <t>D00055</t>
        </is>
      </c>
      <c r="C165" s="7" t="inlineStr">
        <is>
          <t>20260727</t>
        </is>
      </c>
      <c r="D165" s="7" t="inlineStr">
        <is>
          <t>N°2026000055</t>
        </is>
      </c>
      <c r="E165" s="7" t="inlineStr">
        <is>
          <t>SARL LAITRIE SOUMMAM</t>
        </is>
      </c>
      <c r="F165" s="7" t="inlineStr">
        <is>
          <t>15001</t>
        </is>
      </c>
      <c r="G165" s="7" t="inlineStr">
        <is>
          <t>70003</t>
        </is>
      </c>
      <c r="H165" s="7" t="inlineStr"/>
      <c r="I165" s="7" t="inlineStr"/>
      <c r="J165" s="7" t="inlineStr"/>
      <c r="K165" s="7" t="inlineStr">
        <is>
          <t>FEN</t>
        </is>
      </c>
      <c r="L165" s="8" t="n">
        <v>0</v>
      </c>
      <c r="M165" s="8" t="n">
        <v>184000</v>
      </c>
      <c r="N165" s="7" t="inlineStr"/>
      <c r="O165" s="7" t="inlineStr"/>
      <c r="P165" s="7" t="inlineStr"/>
      <c r="Q165" s="7" t="inlineStr"/>
      <c r="R165" s="7" t="inlineStr"/>
    </row>
    <row r="166">
      <c r="A166" s="7" t="inlineStr">
        <is>
          <t>1</t>
        </is>
      </c>
      <c r="B166" s="7" t="inlineStr">
        <is>
          <t>D00055</t>
        </is>
      </c>
      <c r="C166" s="7" t="inlineStr">
        <is>
          <t>20260727</t>
        </is>
      </c>
      <c r="D166" s="7" t="inlineStr">
        <is>
          <t>N°2026000055</t>
        </is>
      </c>
      <c r="E166" s="7" t="inlineStr">
        <is>
          <t>SARL LAITRIE SOUMMAM</t>
        </is>
      </c>
      <c r="F166" s="7" t="inlineStr">
        <is>
          <t>15001</t>
        </is>
      </c>
      <c r="G166" s="7" t="inlineStr">
        <is>
          <t>44519</t>
        </is>
      </c>
      <c r="H166" s="7" t="inlineStr"/>
      <c r="I166" s="7" t="inlineStr"/>
      <c r="J166" s="7" t="inlineStr"/>
      <c r="K166" s="7" t="inlineStr">
        <is>
          <t>FEN</t>
        </is>
      </c>
      <c r="L166" s="8" t="n">
        <v>0</v>
      </c>
      <c r="M166" s="8" t="n">
        <v>34960</v>
      </c>
      <c r="N166" s="7" t="inlineStr"/>
      <c r="O166" s="7" t="inlineStr"/>
      <c r="P166" s="7" t="inlineStr"/>
      <c r="Q166" s="7" t="inlineStr"/>
      <c r="R166" s="7" t="inlineStr"/>
    </row>
    <row r="167">
      <c r="A167" s="7" t="inlineStr">
        <is>
          <t>1</t>
        </is>
      </c>
      <c r="B167" s="7" t="inlineStr">
        <is>
          <t>D00056</t>
        </is>
      </c>
      <c r="C167" s="7" t="inlineStr">
        <is>
          <t>20260727</t>
        </is>
      </c>
      <c r="D167" s="7" t="inlineStr">
        <is>
          <t>N°2026000056</t>
        </is>
      </c>
      <c r="E167" s="7" t="inlineStr">
        <is>
          <t>SARL TRANS BAOUCHI</t>
        </is>
      </c>
      <c r="F167" s="7" t="inlineStr">
        <is>
          <t>15001</t>
        </is>
      </c>
      <c r="G167" s="7" t="inlineStr">
        <is>
          <t>41100</t>
        </is>
      </c>
      <c r="H167" s="7" t="inlineStr">
        <is>
          <t>C1071</t>
        </is>
      </c>
      <c r="I167" s="7" t="inlineStr"/>
      <c r="J167" s="7" t="inlineStr"/>
      <c r="K167" s="7" t="inlineStr">
        <is>
          <t>FEN</t>
        </is>
      </c>
      <c r="L167" s="8" t="n">
        <v>424116</v>
      </c>
      <c r="M167" s="8" t="n">
        <v>0</v>
      </c>
      <c r="N167" s="7" t="inlineStr"/>
      <c r="O167" s="7" t="inlineStr"/>
      <c r="P167" s="7" t="inlineStr"/>
      <c r="Q167" s="7" t="inlineStr"/>
      <c r="R167" s="7" t="inlineStr"/>
    </row>
    <row r="168">
      <c r="A168" s="7" t="inlineStr">
        <is>
          <t>1</t>
        </is>
      </c>
      <c r="B168" s="7" t="inlineStr">
        <is>
          <t>D00056</t>
        </is>
      </c>
      <c r="C168" s="7" t="inlineStr">
        <is>
          <t>20260727</t>
        </is>
      </c>
      <c r="D168" s="7" t="inlineStr">
        <is>
          <t>N°2026000056</t>
        </is>
      </c>
      <c r="E168" s="7" t="inlineStr">
        <is>
          <t>SARL TRANS BAOUCHI</t>
        </is>
      </c>
      <c r="F168" s="7" t="inlineStr">
        <is>
          <t>15001</t>
        </is>
      </c>
      <c r="G168" s="7" t="inlineStr">
        <is>
          <t>70003</t>
        </is>
      </c>
      <c r="H168" s="7" t="inlineStr"/>
      <c r="I168" s="7" t="inlineStr"/>
      <c r="J168" s="7" t="inlineStr"/>
      <c r="K168" s="7" t="inlineStr">
        <is>
          <t>FEN</t>
        </is>
      </c>
      <c r="L168" s="8" t="n">
        <v>0</v>
      </c>
      <c r="M168" s="8" t="n">
        <v>356400</v>
      </c>
      <c r="N168" s="7" t="inlineStr"/>
      <c r="O168" s="7" t="inlineStr"/>
      <c r="P168" s="7" t="inlineStr"/>
      <c r="Q168" s="7" t="inlineStr"/>
      <c r="R168" s="7" t="inlineStr"/>
    </row>
    <row r="169">
      <c r="A169" s="7" t="inlineStr">
        <is>
          <t>1</t>
        </is>
      </c>
      <c r="B169" s="7" t="inlineStr">
        <is>
          <t>D00056</t>
        </is>
      </c>
      <c r="C169" s="7" t="inlineStr">
        <is>
          <t>20260727</t>
        </is>
      </c>
      <c r="D169" s="7" t="inlineStr">
        <is>
          <t>N°2026000056</t>
        </is>
      </c>
      <c r="E169" s="7" t="inlineStr">
        <is>
          <t>SARL TRANS BAOUCHI</t>
        </is>
      </c>
      <c r="F169" s="7" t="inlineStr">
        <is>
          <t>15001</t>
        </is>
      </c>
      <c r="G169" s="7" t="inlineStr">
        <is>
          <t>44519</t>
        </is>
      </c>
      <c r="H169" s="7" t="inlineStr"/>
      <c r="I169" s="7" t="inlineStr"/>
      <c r="J169" s="7" t="inlineStr"/>
      <c r="K169" s="7" t="inlineStr">
        <is>
          <t>FEN</t>
        </is>
      </c>
      <c r="L169" s="8" t="n">
        <v>0</v>
      </c>
      <c r="M169" s="8" t="n">
        <v>67716</v>
      </c>
      <c r="N169" s="7" t="inlineStr"/>
      <c r="O169" s="7" t="inlineStr"/>
      <c r="P169" s="7" t="inlineStr"/>
      <c r="Q169" s="7" t="inlineStr"/>
      <c r="R169" s="7" t="inlineStr"/>
    </row>
    <row r="170">
      <c r="A170" s="7" t="inlineStr">
        <is>
          <t>1</t>
        </is>
      </c>
      <c r="B170" s="7" t="inlineStr">
        <is>
          <t>D00057</t>
        </is>
      </c>
      <c r="C170" s="7" t="inlineStr">
        <is>
          <t>20260730</t>
        </is>
      </c>
      <c r="D170" s="7" t="inlineStr">
        <is>
          <t>N°2026000057</t>
        </is>
      </c>
      <c r="E170" s="7" t="inlineStr">
        <is>
          <t>COSIDER T131/DTF HELLOUANE BEJ</t>
        </is>
      </c>
      <c r="F170" s="7" t="inlineStr">
        <is>
          <t>15001</t>
        </is>
      </c>
      <c r="G170" s="7" t="inlineStr">
        <is>
          <t>41100</t>
        </is>
      </c>
      <c r="H170" s="7" t="inlineStr">
        <is>
          <t>C1102</t>
        </is>
      </c>
      <c r="I170" s="7" t="inlineStr"/>
      <c r="J170" s="7" t="inlineStr"/>
      <c r="K170" s="7" t="inlineStr">
        <is>
          <t>FEN</t>
        </is>
      </c>
      <c r="L170" s="8" t="n">
        <v>114240</v>
      </c>
      <c r="M170" s="8" t="n">
        <v>0</v>
      </c>
      <c r="N170" s="7" t="inlineStr"/>
      <c r="O170" s="7" t="inlineStr"/>
      <c r="P170" s="7" t="inlineStr"/>
      <c r="Q170" s="7" t="inlineStr"/>
      <c r="R170" s="7" t="inlineStr"/>
    </row>
    <row r="171">
      <c r="A171" s="7" t="inlineStr">
        <is>
          <t>1</t>
        </is>
      </c>
      <c r="B171" s="7" t="inlineStr">
        <is>
          <t>D00057</t>
        </is>
      </c>
      <c r="C171" s="7" t="inlineStr">
        <is>
          <t>20260730</t>
        </is>
      </c>
      <c r="D171" s="7" t="inlineStr">
        <is>
          <t>N°2026000057</t>
        </is>
      </c>
      <c r="E171" s="7" t="inlineStr">
        <is>
          <t>COSIDER T131/DTF HELLOUANE BEJ</t>
        </is>
      </c>
      <c r="F171" s="7" t="inlineStr">
        <is>
          <t>15001</t>
        </is>
      </c>
      <c r="G171" s="7" t="inlineStr">
        <is>
          <t>70003</t>
        </is>
      </c>
      <c r="H171" s="7" t="inlineStr"/>
      <c r="I171" s="7" t="inlineStr"/>
      <c r="J171" s="7" t="inlineStr"/>
      <c r="K171" s="7" t="inlineStr">
        <is>
          <t>FEN</t>
        </is>
      </c>
      <c r="L171" s="8" t="n">
        <v>0</v>
      </c>
      <c r="M171" s="8" t="n">
        <v>96000</v>
      </c>
      <c r="N171" s="7" t="inlineStr"/>
      <c r="O171" s="7" t="inlineStr"/>
      <c r="P171" s="7" t="inlineStr"/>
      <c r="Q171" s="7" t="inlineStr"/>
      <c r="R171" s="7" t="inlineStr"/>
    </row>
    <row r="172">
      <c r="A172" s="7" t="inlineStr">
        <is>
          <t>1</t>
        </is>
      </c>
      <c r="B172" s="7" t="inlineStr">
        <is>
          <t>D00057</t>
        </is>
      </c>
      <c r="C172" s="7" t="inlineStr">
        <is>
          <t>20260730</t>
        </is>
      </c>
      <c r="D172" s="7" t="inlineStr">
        <is>
          <t>N°2026000057</t>
        </is>
      </c>
      <c r="E172" s="7" t="inlineStr">
        <is>
          <t>COSIDER T131/DTF HELLOUANE BEJ</t>
        </is>
      </c>
      <c r="F172" s="7" t="inlineStr">
        <is>
          <t>15001</t>
        </is>
      </c>
      <c r="G172" s="7" t="inlineStr">
        <is>
          <t>44519</t>
        </is>
      </c>
      <c r="H172" s="7" t="inlineStr"/>
      <c r="I172" s="7" t="inlineStr"/>
      <c r="J172" s="7" t="inlineStr"/>
      <c r="K172" s="7" t="inlineStr">
        <is>
          <t>FEN</t>
        </is>
      </c>
      <c r="L172" s="8" t="n">
        <v>0</v>
      </c>
      <c r="M172" s="8" t="n">
        <v>18240</v>
      </c>
      <c r="N172" s="7" t="inlineStr"/>
      <c r="O172" s="7" t="inlineStr"/>
      <c r="P172" s="7" t="inlineStr"/>
      <c r="Q172" s="7" t="inlineStr"/>
      <c r="R172" s="7" t="inlineStr"/>
    </row>
    <row r="173">
      <c r="A173" s="7" t="inlineStr">
        <is>
          <t>1</t>
        </is>
      </c>
      <c r="B173" s="7" t="inlineStr">
        <is>
          <t>D00058</t>
        </is>
      </c>
      <c r="C173" s="7" t="inlineStr">
        <is>
          <t>20260804</t>
        </is>
      </c>
      <c r="D173" s="7" t="inlineStr">
        <is>
          <t>N°2026000058</t>
        </is>
      </c>
      <c r="E173" s="7" t="inlineStr">
        <is>
          <t>SPA BRASSERIE STAR D'ALGERIE</t>
        </is>
      </c>
      <c r="F173" s="7" t="inlineStr">
        <is>
          <t>15001</t>
        </is>
      </c>
      <c r="G173" s="7" t="inlineStr">
        <is>
          <t>41100</t>
        </is>
      </c>
      <c r="H173" s="7" t="inlineStr">
        <is>
          <t>C1053</t>
        </is>
      </c>
      <c r="I173" s="7" t="inlineStr"/>
      <c r="J173" s="7" t="inlineStr"/>
      <c r="K173" s="7" t="inlineStr">
        <is>
          <t>FEN</t>
        </is>
      </c>
      <c r="L173" s="8" t="n">
        <v>26180</v>
      </c>
      <c r="M173" s="8" t="n">
        <v>0</v>
      </c>
      <c r="N173" s="7" t="inlineStr"/>
      <c r="O173" s="7" t="inlineStr"/>
      <c r="P173" s="7" t="inlineStr"/>
      <c r="Q173" s="7" t="inlineStr"/>
      <c r="R173" s="7" t="inlineStr"/>
    </row>
    <row r="174">
      <c r="A174" s="7" t="inlineStr">
        <is>
          <t>1</t>
        </is>
      </c>
      <c r="B174" s="7" t="inlineStr">
        <is>
          <t>D00058</t>
        </is>
      </c>
      <c r="C174" s="7" t="inlineStr">
        <is>
          <t>20260804</t>
        </is>
      </c>
      <c r="D174" s="7" t="inlineStr">
        <is>
          <t>N°2026000058</t>
        </is>
      </c>
      <c r="E174" s="7" t="inlineStr">
        <is>
          <t>SPA BRASSERIE STAR D'ALGERIE</t>
        </is>
      </c>
      <c r="F174" s="7" t="inlineStr">
        <is>
          <t>15001</t>
        </is>
      </c>
      <c r="G174" s="7" t="inlineStr">
        <is>
          <t>70003</t>
        </is>
      </c>
      <c r="H174" s="7" t="inlineStr"/>
      <c r="I174" s="7" t="inlineStr"/>
      <c r="J174" s="7" t="inlineStr"/>
      <c r="K174" s="7" t="inlineStr">
        <is>
          <t>FEN</t>
        </is>
      </c>
      <c r="L174" s="8" t="n">
        <v>0</v>
      </c>
      <c r="M174" s="8" t="n">
        <v>22000</v>
      </c>
      <c r="N174" s="7" t="inlineStr"/>
      <c r="O174" s="7" t="inlineStr"/>
      <c r="P174" s="7" t="inlineStr"/>
      <c r="Q174" s="7" t="inlineStr"/>
      <c r="R174" s="7" t="inlineStr"/>
    </row>
    <row r="175">
      <c r="A175" s="7" t="inlineStr">
        <is>
          <t>1</t>
        </is>
      </c>
      <c r="B175" s="7" t="inlineStr">
        <is>
          <t>D00058</t>
        </is>
      </c>
      <c r="C175" s="7" t="inlineStr">
        <is>
          <t>20260804</t>
        </is>
      </c>
      <c r="D175" s="7" t="inlineStr">
        <is>
          <t>N°2026000058</t>
        </is>
      </c>
      <c r="E175" s="7" t="inlineStr">
        <is>
          <t>SPA BRASSERIE STAR D'ALGERIE</t>
        </is>
      </c>
      <c r="F175" s="7" t="inlineStr">
        <is>
          <t>15001</t>
        </is>
      </c>
      <c r="G175" s="7" t="inlineStr">
        <is>
          <t>44519</t>
        </is>
      </c>
      <c r="H175" s="7" t="inlineStr"/>
      <c r="I175" s="7" t="inlineStr"/>
      <c r="J175" s="7" t="inlineStr"/>
      <c r="K175" s="7" t="inlineStr">
        <is>
          <t>FEN</t>
        </is>
      </c>
      <c r="L175" s="8" t="n">
        <v>0</v>
      </c>
      <c r="M175" s="8" t="n">
        <v>4180</v>
      </c>
      <c r="N175" s="7" t="inlineStr"/>
      <c r="O175" s="7" t="inlineStr"/>
      <c r="P175" s="7" t="inlineStr"/>
      <c r="Q175" s="7" t="inlineStr"/>
      <c r="R175" s="7" t="inlineStr"/>
    </row>
    <row r="176">
      <c r="A176" s="7" t="inlineStr">
        <is>
          <t>1</t>
        </is>
      </c>
      <c r="B176" s="7" t="inlineStr">
        <is>
          <t>D00059</t>
        </is>
      </c>
      <c r="C176" s="7" t="inlineStr">
        <is>
          <t>20260806</t>
        </is>
      </c>
      <c r="D176" s="7" t="inlineStr">
        <is>
          <t>N°2026000059</t>
        </is>
      </c>
      <c r="E176" s="7" t="inlineStr">
        <is>
          <t>SPA BRASSERIE STAR D'ALGERIE</t>
        </is>
      </c>
      <c r="F176" s="7" t="inlineStr">
        <is>
          <t>15001</t>
        </is>
      </c>
      <c r="G176" s="7" t="inlineStr">
        <is>
          <t>41100</t>
        </is>
      </c>
      <c r="H176" s="7" t="inlineStr">
        <is>
          <t>C1053</t>
        </is>
      </c>
      <c r="I176" s="7" t="inlineStr"/>
      <c r="J176" s="7" t="inlineStr"/>
      <c r="K176" s="7" t="inlineStr">
        <is>
          <t>FEN</t>
        </is>
      </c>
      <c r="L176" s="8" t="n">
        <v>20230</v>
      </c>
      <c r="M176" s="8" t="n">
        <v>0</v>
      </c>
      <c r="N176" s="7" t="inlineStr"/>
      <c r="O176" s="7" t="inlineStr"/>
      <c r="P176" s="7" t="inlineStr"/>
      <c r="Q176" s="7" t="inlineStr"/>
      <c r="R176" s="7" t="inlineStr"/>
    </row>
    <row r="177">
      <c r="A177" s="7" t="inlineStr">
        <is>
          <t>1</t>
        </is>
      </c>
      <c r="B177" s="7" t="inlineStr">
        <is>
          <t>D00059</t>
        </is>
      </c>
      <c r="C177" s="7" t="inlineStr">
        <is>
          <t>20260806</t>
        </is>
      </c>
      <c r="D177" s="7" t="inlineStr">
        <is>
          <t>N°2026000059</t>
        </is>
      </c>
      <c r="E177" s="7" t="inlineStr">
        <is>
          <t>SPA BRASSERIE STAR D'ALGERIE</t>
        </is>
      </c>
      <c r="F177" s="7" t="inlineStr">
        <is>
          <t>15001</t>
        </is>
      </c>
      <c r="G177" s="7" t="inlineStr">
        <is>
          <t>70003</t>
        </is>
      </c>
      <c r="H177" s="7" t="inlineStr"/>
      <c r="I177" s="7" t="inlineStr"/>
      <c r="J177" s="7" t="inlineStr"/>
      <c r="K177" s="7" t="inlineStr">
        <is>
          <t>FEN</t>
        </is>
      </c>
      <c r="L177" s="8" t="n">
        <v>0</v>
      </c>
      <c r="M177" s="8" t="n">
        <v>17000</v>
      </c>
      <c r="N177" s="7" t="inlineStr"/>
      <c r="O177" s="7" t="inlineStr"/>
      <c r="P177" s="7" t="inlineStr"/>
      <c r="Q177" s="7" t="inlineStr"/>
      <c r="R177" s="7" t="inlineStr"/>
    </row>
    <row r="178">
      <c r="A178" s="7" t="inlineStr">
        <is>
          <t>1</t>
        </is>
      </c>
      <c r="B178" s="7" t="inlineStr">
        <is>
          <t>D00059</t>
        </is>
      </c>
      <c r="C178" s="7" t="inlineStr">
        <is>
          <t>20260806</t>
        </is>
      </c>
      <c r="D178" s="7" t="inlineStr">
        <is>
          <t>N°2026000059</t>
        </is>
      </c>
      <c r="E178" s="7" t="inlineStr">
        <is>
          <t>SPA BRASSERIE STAR D'ALGERIE</t>
        </is>
      </c>
      <c r="F178" s="7" t="inlineStr">
        <is>
          <t>15001</t>
        </is>
      </c>
      <c r="G178" s="7" t="inlineStr">
        <is>
          <t>44519</t>
        </is>
      </c>
      <c r="H178" s="7" t="inlineStr"/>
      <c r="I178" s="7" t="inlineStr"/>
      <c r="J178" s="7" t="inlineStr"/>
      <c r="K178" s="7" t="inlineStr">
        <is>
          <t>FEN</t>
        </is>
      </c>
      <c r="L178" s="8" t="n">
        <v>0</v>
      </c>
      <c r="M178" s="8" t="n">
        <v>3230</v>
      </c>
      <c r="N178" s="7" t="inlineStr"/>
      <c r="O178" s="7" t="inlineStr"/>
      <c r="P178" s="7" t="inlineStr"/>
      <c r="Q178" s="7" t="inlineStr"/>
      <c r="R178" s="7" t="inlineStr"/>
    </row>
    <row r="179">
      <c r="A179" s="7" t="inlineStr">
        <is>
          <t>1</t>
        </is>
      </c>
      <c r="B179" s="7" t="inlineStr">
        <is>
          <t>D00060</t>
        </is>
      </c>
      <c r="C179" s="7" t="inlineStr">
        <is>
          <t>20260806</t>
        </is>
      </c>
      <c r="D179" s="7" t="inlineStr">
        <is>
          <t>N°2026000060</t>
        </is>
      </c>
      <c r="E179" s="7" t="inlineStr">
        <is>
          <t>TILKOUT AHCEN</t>
        </is>
      </c>
      <c r="F179" s="7" t="inlineStr">
        <is>
          <t>15001</t>
        </is>
      </c>
      <c r="G179" s="7" t="inlineStr">
        <is>
          <t>41100</t>
        </is>
      </c>
      <c r="H179" s="7" t="inlineStr">
        <is>
          <t>C918</t>
        </is>
      </c>
      <c r="I179" s="7" t="inlineStr"/>
      <c r="J179" s="7" t="inlineStr"/>
      <c r="K179" s="7" t="inlineStr">
        <is>
          <t>FEN</t>
        </is>
      </c>
      <c r="L179" s="8" t="n">
        <v>476000</v>
      </c>
      <c r="M179" s="8" t="n">
        <v>0</v>
      </c>
      <c r="N179" s="7" t="inlineStr"/>
      <c r="O179" s="7" t="inlineStr"/>
      <c r="P179" s="7" t="inlineStr"/>
      <c r="Q179" s="7" t="inlineStr"/>
      <c r="R179" s="7" t="inlineStr"/>
    </row>
    <row r="180">
      <c r="A180" s="7" t="inlineStr">
        <is>
          <t>1</t>
        </is>
      </c>
      <c r="B180" s="7" t="inlineStr">
        <is>
          <t>D00060</t>
        </is>
      </c>
      <c r="C180" s="7" t="inlineStr">
        <is>
          <t>20260806</t>
        </is>
      </c>
      <c r="D180" s="7" t="inlineStr">
        <is>
          <t>N°2026000060</t>
        </is>
      </c>
      <c r="E180" s="7" t="inlineStr">
        <is>
          <t>TILKOUT AHCEN</t>
        </is>
      </c>
      <c r="F180" s="7" t="inlineStr">
        <is>
          <t>15001</t>
        </is>
      </c>
      <c r="G180" s="7" t="inlineStr">
        <is>
          <t>70003</t>
        </is>
      </c>
      <c r="H180" s="7" t="inlineStr"/>
      <c r="I180" s="7" t="inlineStr"/>
      <c r="J180" s="7" t="inlineStr"/>
      <c r="K180" s="7" t="inlineStr">
        <is>
          <t>FEN</t>
        </is>
      </c>
      <c r="L180" s="8" t="n">
        <v>0</v>
      </c>
      <c r="M180" s="8" t="n">
        <v>400000</v>
      </c>
      <c r="N180" s="7" t="inlineStr"/>
      <c r="O180" s="7" t="inlineStr"/>
      <c r="P180" s="7" t="inlineStr"/>
      <c r="Q180" s="7" t="inlineStr"/>
      <c r="R180" s="7" t="inlineStr"/>
    </row>
    <row r="181">
      <c r="A181" s="7" t="inlineStr">
        <is>
          <t>1</t>
        </is>
      </c>
      <c r="B181" s="7" t="inlineStr">
        <is>
          <t>D00060</t>
        </is>
      </c>
      <c r="C181" s="7" t="inlineStr">
        <is>
          <t>20260806</t>
        </is>
      </c>
      <c r="D181" s="7" t="inlineStr">
        <is>
          <t>N°2026000060</t>
        </is>
      </c>
      <c r="E181" s="7" t="inlineStr">
        <is>
          <t>TILKOUT AHCEN</t>
        </is>
      </c>
      <c r="F181" s="7" t="inlineStr">
        <is>
          <t>15001</t>
        </is>
      </c>
      <c r="G181" s="7" t="inlineStr">
        <is>
          <t>44519</t>
        </is>
      </c>
      <c r="H181" s="7" t="inlineStr"/>
      <c r="I181" s="7" t="inlineStr"/>
      <c r="J181" s="7" t="inlineStr"/>
      <c r="K181" s="7" t="inlineStr">
        <is>
          <t>FEN</t>
        </is>
      </c>
      <c r="L181" s="8" t="n">
        <v>0</v>
      </c>
      <c r="M181" s="8" t="n">
        <v>76000</v>
      </c>
      <c r="N181" s="7" t="inlineStr"/>
      <c r="O181" s="7" t="inlineStr"/>
      <c r="P181" s="7" t="inlineStr"/>
      <c r="Q181" s="7" t="inlineStr"/>
      <c r="R181" s="7" t="inlineStr"/>
    </row>
    <row r="182">
      <c r="A182" s="7" t="inlineStr">
        <is>
          <t>1</t>
        </is>
      </c>
      <c r="B182" s="7" t="inlineStr">
        <is>
          <t>D00061</t>
        </is>
      </c>
      <c r="C182" s="7" t="inlineStr">
        <is>
          <t>20260806</t>
        </is>
      </c>
      <c r="D182" s="7" t="inlineStr">
        <is>
          <t>N°2026000061</t>
        </is>
      </c>
      <c r="E182" s="7" t="inlineStr">
        <is>
          <t>SPA TMF LOGISTICS</t>
        </is>
      </c>
      <c r="F182" s="7" t="inlineStr">
        <is>
          <t>15001</t>
        </is>
      </c>
      <c r="G182" s="7" t="inlineStr">
        <is>
          <t>41100</t>
        </is>
      </c>
      <c r="H182" s="7" t="inlineStr">
        <is>
          <t>C671</t>
        </is>
      </c>
      <c r="I182" s="7" t="inlineStr"/>
      <c r="J182" s="7" t="inlineStr"/>
      <c r="K182" s="7" t="inlineStr">
        <is>
          <t>FEN</t>
        </is>
      </c>
      <c r="L182" s="8" t="n">
        <v>92106</v>
      </c>
      <c r="M182" s="8" t="n">
        <v>0</v>
      </c>
      <c r="N182" s="7" t="inlineStr"/>
      <c r="O182" s="7" t="inlineStr"/>
      <c r="P182" s="7" t="inlineStr"/>
      <c r="Q182" s="7" t="inlineStr"/>
      <c r="R182" s="7" t="inlineStr"/>
    </row>
    <row r="183">
      <c r="A183" s="7" t="inlineStr">
        <is>
          <t>1</t>
        </is>
      </c>
      <c r="B183" s="7" t="inlineStr">
        <is>
          <t>D00061</t>
        </is>
      </c>
      <c r="C183" s="7" t="inlineStr">
        <is>
          <t>20260806</t>
        </is>
      </c>
      <c r="D183" s="7" t="inlineStr">
        <is>
          <t>N°2026000061</t>
        </is>
      </c>
      <c r="E183" s="7" t="inlineStr">
        <is>
          <t>SPA TMF LOGISTICS</t>
        </is>
      </c>
      <c r="F183" s="7" t="inlineStr">
        <is>
          <t>15001</t>
        </is>
      </c>
      <c r="G183" s="7" t="inlineStr">
        <is>
          <t>70003</t>
        </is>
      </c>
      <c r="H183" s="7" t="inlineStr"/>
      <c r="I183" s="7" t="inlineStr"/>
      <c r="J183" s="7" t="inlineStr"/>
      <c r="K183" s="7" t="inlineStr">
        <is>
          <t>FEN</t>
        </is>
      </c>
      <c r="L183" s="8" t="n">
        <v>0</v>
      </c>
      <c r="M183" s="8" t="n">
        <v>77400</v>
      </c>
      <c r="N183" s="7" t="inlineStr"/>
      <c r="O183" s="7" t="inlineStr"/>
      <c r="P183" s="7" t="inlineStr"/>
      <c r="Q183" s="7" t="inlineStr"/>
      <c r="R183" s="7" t="inlineStr"/>
    </row>
    <row r="184">
      <c r="A184" s="7" t="inlineStr">
        <is>
          <t>1</t>
        </is>
      </c>
      <c r="B184" s="7" t="inlineStr">
        <is>
          <t>D00061</t>
        </is>
      </c>
      <c r="C184" s="7" t="inlineStr">
        <is>
          <t>20260806</t>
        </is>
      </c>
      <c r="D184" s="7" t="inlineStr">
        <is>
          <t>N°2026000061</t>
        </is>
      </c>
      <c r="E184" s="7" t="inlineStr">
        <is>
          <t>SPA TMF LOGISTICS</t>
        </is>
      </c>
      <c r="F184" s="7" t="inlineStr">
        <is>
          <t>15001</t>
        </is>
      </c>
      <c r="G184" s="7" t="inlineStr">
        <is>
          <t>44519</t>
        </is>
      </c>
      <c r="H184" s="7" t="inlineStr"/>
      <c r="I184" s="7" t="inlineStr"/>
      <c r="J184" s="7" t="inlineStr"/>
      <c r="K184" s="7" t="inlineStr">
        <is>
          <t>FEN</t>
        </is>
      </c>
      <c r="L184" s="8" t="n">
        <v>0</v>
      </c>
      <c r="M184" s="8" t="n">
        <v>14706</v>
      </c>
      <c r="N184" s="7" t="inlineStr"/>
      <c r="O184" s="7" t="inlineStr"/>
      <c r="P184" s="7" t="inlineStr"/>
      <c r="Q184" s="7" t="inlineStr"/>
      <c r="R184" s="7" t="inlineStr"/>
    </row>
    <row r="185">
      <c r="A185" s="7" t="inlineStr">
        <is>
          <t>1</t>
        </is>
      </c>
      <c r="B185" s="7" t="inlineStr">
        <is>
          <t>D00062</t>
        </is>
      </c>
      <c r="C185" s="7" t="inlineStr">
        <is>
          <t>20260819</t>
        </is>
      </c>
      <c r="D185" s="7" t="inlineStr">
        <is>
          <t>N°2026000062</t>
        </is>
      </c>
      <c r="E185" s="7" t="inlineStr">
        <is>
          <t>SARL LAITRIE SOUMMAM</t>
        </is>
      </c>
      <c r="F185" s="7" t="inlineStr">
        <is>
          <t>15001</t>
        </is>
      </c>
      <c r="G185" s="7" t="inlineStr">
        <is>
          <t>41100</t>
        </is>
      </c>
      <c r="H185" s="7" t="inlineStr">
        <is>
          <t>C986</t>
        </is>
      </c>
      <c r="I185" s="7" t="inlineStr"/>
      <c r="J185" s="7" t="inlineStr"/>
      <c r="K185" s="7" t="inlineStr">
        <is>
          <t>FEN</t>
        </is>
      </c>
      <c r="L185" s="8" t="n">
        <v>592620</v>
      </c>
      <c r="M185" s="8" t="n">
        <v>0</v>
      </c>
      <c r="N185" s="7" t="inlineStr"/>
      <c r="O185" s="7" t="inlineStr"/>
      <c r="P185" s="7" t="inlineStr"/>
      <c r="Q185" s="7" t="inlineStr"/>
      <c r="R185" s="7" t="inlineStr"/>
    </row>
    <row r="186">
      <c r="A186" s="7" t="inlineStr">
        <is>
          <t>1</t>
        </is>
      </c>
      <c r="B186" s="7" t="inlineStr">
        <is>
          <t>D00062</t>
        </is>
      </c>
      <c r="C186" s="7" t="inlineStr">
        <is>
          <t>20260819</t>
        </is>
      </c>
      <c r="D186" s="7" t="inlineStr">
        <is>
          <t>N°2026000062</t>
        </is>
      </c>
      <c r="E186" s="7" t="inlineStr">
        <is>
          <t>SARL LAITRIE SOUMMAM</t>
        </is>
      </c>
      <c r="F186" s="7" t="inlineStr">
        <is>
          <t>15001</t>
        </is>
      </c>
      <c r="G186" s="7" t="inlineStr">
        <is>
          <t>70003</t>
        </is>
      </c>
      <c r="H186" s="7" t="inlineStr"/>
      <c r="I186" s="7" t="inlineStr"/>
      <c r="J186" s="7" t="inlineStr"/>
      <c r="K186" s="7" t="inlineStr">
        <is>
          <t>FEN</t>
        </is>
      </c>
      <c r="L186" s="8" t="n">
        <v>0</v>
      </c>
      <c r="M186" s="8" t="n">
        <v>498000</v>
      </c>
      <c r="N186" s="7" t="inlineStr"/>
      <c r="O186" s="7" t="inlineStr"/>
      <c r="P186" s="7" t="inlineStr"/>
      <c r="Q186" s="7" t="inlineStr"/>
      <c r="R186" s="7" t="inlineStr"/>
    </row>
    <row r="187">
      <c r="A187" s="7" t="inlineStr">
        <is>
          <t>1</t>
        </is>
      </c>
      <c r="B187" s="7" t="inlineStr">
        <is>
          <t>D00062</t>
        </is>
      </c>
      <c r="C187" s="7" t="inlineStr">
        <is>
          <t>20260819</t>
        </is>
      </c>
      <c r="D187" s="7" t="inlineStr">
        <is>
          <t>N°2026000062</t>
        </is>
      </c>
      <c r="E187" s="7" t="inlineStr">
        <is>
          <t>SARL LAITRIE SOUMMAM</t>
        </is>
      </c>
      <c r="F187" s="7" t="inlineStr">
        <is>
          <t>15001</t>
        </is>
      </c>
      <c r="G187" s="7" t="inlineStr">
        <is>
          <t>44519</t>
        </is>
      </c>
      <c r="H187" s="7" t="inlineStr"/>
      <c r="I187" s="7" t="inlineStr"/>
      <c r="J187" s="7" t="inlineStr"/>
      <c r="K187" s="7" t="inlineStr">
        <is>
          <t>FEN</t>
        </is>
      </c>
      <c r="L187" s="8" t="n">
        <v>0</v>
      </c>
      <c r="M187" s="8" t="n">
        <v>94620</v>
      </c>
      <c r="N187" s="7" t="inlineStr"/>
      <c r="O187" s="7" t="inlineStr"/>
      <c r="P187" s="7" t="inlineStr"/>
      <c r="Q187" s="7" t="inlineStr"/>
      <c r="R187" s="7" t="inlineStr"/>
    </row>
    <row r="188">
      <c r="A188" s="7" t="inlineStr">
        <is>
          <t>1</t>
        </is>
      </c>
      <c r="B188" s="7" t="inlineStr">
        <is>
          <t>D00063</t>
        </is>
      </c>
      <c r="C188" s="7" t="inlineStr">
        <is>
          <t>20260830</t>
        </is>
      </c>
      <c r="D188" s="7" t="inlineStr">
        <is>
          <t>N°2026000063</t>
        </is>
      </c>
      <c r="E188" s="7" t="inlineStr">
        <is>
          <t>COSIDER T131/DTF HELLOUANE BEJ</t>
        </is>
      </c>
      <c r="F188" s="7" t="inlineStr">
        <is>
          <t>15001</t>
        </is>
      </c>
      <c r="G188" s="7" t="inlineStr">
        <is>
          <t>41100</t>
        </is>
      </c>
      <c r="H188" s="7" t="inlineStr">
        <is>
          <t>C1102</t>
        </is>
      </c>
      <c r="I188" s="7" t="inlineStr"/>
      <c r="J188" s="7" t="inlineStr"/>
      <c r="K188" s="7" t="inlineStr">
        <is>
          <t>FEN</t>
        </is>
      </c>
      <c r="L188" s="8" t="n">
        <v>88060</v>
      </c>
      <c r="M188" s="8" t="n">
        <v>0</v>
      </c>
      <c r="N188" s="7" t="inlineStr"/>
      <c r="O188" s="7" t="inlineStr"/>
      <c r="P188" s="7" t="inlineStr"/>
      <c r="Q188" s="7" t="inlineStr"/>
      <c r="R188" s="7" t="inlineStr"/>
    </row>
    <row r="189">
      <c r="A189" s="7" t="inlineStr">
        <is>
          <t>1</t>
        </is>
      </c>
      <c r="B189" s="7" t="inlineStr">
        <is>
          <t>D00063</t>
        </is>
      </c>
      <c r="C189" s="7" t="inlineStr">
        <is>
          <t>20260830</t>
        </is>
      </c>
      <c r="D189" s="7" t="inlineStr">
        <is>
          <t>N°2026000063</t>
        </is>
      </c>
      <c r="E189" s="7" t="inlineStr">
        <is>
          <t>COSIDER T131/DTF HELLOUANE BEJ</t>
        </is>
      </c>
      <c r="F189" s="7" t="inlineStr">
        <is>
          <t>15001</t>
        </is>
      </c>
      <c r="G189" s="7" t="inlineStr">
        <is>
          <t>70003</t>
        </is>
      </c>
      <c r="H189" s="7" t="inlineStr"/>
      <c r="I189" s="7" t="inlineStr"/>
      <c r="J189" s="7" t="inlineStr"/>
      <c r="K189" s="7" t="inlineStr">
        <is>
          <t>FEN</t>
        </is>
      </c>
      <c r="L189" s="8" t="n">
        <v>0</v>
      </c>
      <c r="M189" s="8" t="n">
        <v>74000</v>
      </c>
      <c r="N189" s="7" t="inlineStr"/>
      <c r="O189" s="7" t="inlineStr"/>
      <c r="P189" s="7" t="inlineStr"/>
      <c r="Q189" s="7" t="inlineStr"/>
      <c r="R189" s="7" t="inlineStr"/>
    </row>
    <row r="190">
      <c r="A190" s="7" t="inlineStr">
        <is>
          <t>1</t>
        </is>
      </c>
      <c r="B190" s="7" t="inlineStr">
        <is>
          <t>D00063</t>
        </is>
      </c>
      <c r="C190" s="7" t="inlineStr">
        <is>
          <t>20260830</t>
        </is>
      </c>
      <c r="D190" s="7" t="inlineStr">
        <is>
          <t>N°2026000063</t>
        </is>
      </c>
      <c r="E190" s="7" t="inlineStr">
        <is>
          <t>COSIDER T131/DTF HELLOUANE BEJ</t>
        </is>
      </c>
      <c r="F190" s="7" t="inlineStr">
        <is>
          <t>15001</t>
        </is>
      </c>
      <c r="G190" s="7" t="inlineStr">
        <is>
          <t>44519</t>
        </is>
      </c>
      <c r="H190" s="7" t="inlineStr"/>
      <c r="I190" s="7" t="inlineStr"/>
      <c r="J190" s="7" t="inlineStr"/>
      <c r="K190" s="7" t="inlineStr">
        <is>
          <t>FEN</t>
        </is>
      </c>
      <c r="L190" s="8" t="n">
        <v>0</v>
      </c>
      <c r="M190" s="8" t="n">
        <v>14060</v>
      </c>
      <c r="N190" s="7" t="inlineStr"/>
      <c r="O190" s="7" t="inlineStr"/>
      <c r="P190" s="7" t="inlineStr"/>
      <c r="Q190" s="7" t="inlineStr"/>
      <c r="R190" s="7" t="inlineStr"/>
    </row>
    <row r="191">
      <c r="A191" s="7" t="inlineStr">
        <is>
          <t>1</t>
        </is>
      </c>
      <c r="B191" s="7" t="inlineStr">
        <is>
          <t>D00064</t>
        </is>
      </c>
      <c r="C191" s="7" t="inlineStr">
        <is>
          <t>20260830</t>
        </is>
      </c>
      <c r="D191" s="7" t="inlineStr">
        <is>
          <t>N°2026000064</t>
        </is>
      </c>
      <c r="E191" s="7" t="inlineStr">
        <is>
          <t>NAFTAL LP 206G BEJAIA</t>
        </is>
      </c>
      <c r="F191" s="7" t="inlineStr">
        <is>
          <t>15001</t>
        </is>
      </c>
      <c r="G191" s="7" t="inlineStr">
        <is>
          <t>41100</t>
        </is>
      </c>
      <c r="H191" s="7" t="inlineStr">
        <is>
          <t>C1103</t>
        </is>
      </c>
      <c r="I191" s="7" t="inlineStr"/>
      <c r="J191" s="7" t="inlineStr"/>
      <c r="K191" s="7" t="inlineStr">
        <is>
          <t>FEN</t>
        </is>
      </c>
      <c r="L191" s="8" t="n">
        <v>54750</v>
      </c>
      <c r="M191" s="8" t="n">
        <v>0</v>
      </c>
      <c r="N191" s="7" t="inlineStr"/>
      <c r="O191" s="7" t="inlineStr"/>
      <c r="P191" s="7" t="inlineStr"/>
      <c r="Q191" s="7" t="inlineStr"/>
      <c r="R191" s="7" t="inlineStr"/>
    </row>
    <row r="192">
      <c r="A192" s="7" t="inlineStr">
        <is>
          <t>1</t>
        </is>
      </c>
      <c r="B192" s="7" t="inlineStr">
        <is>
          <t>D00064</t>
        </is>
      </c>
      <c r="C192" s="7" t="inlineStr">
        <is>
          <t>20260830</t>
        </is>
      </c>
      <c r="D192" s="7" t="inlineStr">
        <is>
          <t>N°2026000064</t>
        </is>
      </c>
      <c r="E192" s="7" t="inlineStr">
        <is>
          <t>NAFTAL LP 206G BEJAIA</t>
        </is>
      </c>
      <c r="F192" s="7" t="inlineStr">
        <is>
          <t>15001</t>
        </is>
      </c>
      <c r="G192" s="7" t="inlineStr">
        <is>
          <t>70003</t>
        </is>
      </c>
      <c r="H192" s="7" t="inlineStr"/>
      <c r="I192" s="7" t="inlineStr"/>
      <c r="J192" s="7" t="inlineStr"/>
      <c r="K192" s="7" t="inlineStr">
        <is>
          <t>FEN</t>
        </is>
      </c>
      <c r="L192" s="8" t="n">
        <v>0</v>
      </c>
      <c r="M192" s="8" t="n">
        <v>25000</v>
      </c>
      <c r="N192" s="7" t="inlineStr"/>
      <c r="O192" s="7" t="inlineStr"/>
      <c r="P192" s="7" t="inlineStr"/>
      <c r="Q192" s="7" t="inlineStr"/>
      <c r="R192" s="7" t="inlineStr"/>
    </row>
    <row r="193">
      <c r="A193" s="7" t="inlineStr">
        <is>
          <t>1</t>
        </is>
      </c>
      <c r="B193" s="7" t="inlineStr">
        <is>
          <t>D00064</t>
        </is>
      </c>
      <c r="C193" s="7" t="inlineStr">
        <is>
          <t>20260830</t>
        </is>
      </c>
      <c r="D193" s="7" t="inlineStr">
        <is>
          <t>N°2026000064</t>
        </is>
      </c>
      <c r="E193" s="7" t="inlineStr">
        <is>
          <t>NAFTAL LP 206G BEJAIA</t>
        </is>
      </c>
      <c r="F193" s="7" t="inlineStr">
        <is>
          <t>15001</t>
        </is>
      </c>
      <c r="G193" s="7" t="inlineStr">
        <is>
          <t>70003</t>
        </is>
      </c>
      <c r="H193" s="7" t="inlineStr"/>
      <c r="I193" s="7" t="inlineStr"/>
      <c r="J193" s="7" t="inlineStr"/>
      <c r="K193" s="7" t="inlineStr">
        <is>
          <t>FEN</t>
        </is>
      </c>
      <c r="L193" s="8" t="n">
        <v>0</v>
      </c>
      <c r="M193" s="8" t="n">
        <v>25000</v>
      </c>
      <c r="N193" s="7" t="inlineStr"/>
      <c r="O193" s="7" t="inlineStr"/>
      <c r="P193" s="7" t="inlineStr"/>
      <c r="Q193" s="7" t="inlineStr"/>
      <c r="R193" s="7" t="inlineStr"/>
    </row>
    <row r="194">
      <c r="A194" s="7" t="inlineStr">
        <is>
          <t>1</t>
        </is>
      </c>
      <c r="B194" s="7" t="inlineStr">
        <is>
          <t>D00064</t>
        </is>
      </c>
      <c r="C194" s="7" t="inlineStr">
        <is>
          <t>20260830</t>
        </is>
      </c>
      <c r="D194" s="7" t="inlineStr">
        <is>
          <t>N°2026000064</t>
        </is>
      </c>
      <c r="E194" s="7" t="inlineStr">
        <is>
          <t>NAFTAL LP 206G BEJAIA</t>
        </is>
      </c>
      <c r="F194" s="7" t="inlineStr">
        <is>
          <t>15001</t>
        </is>
      </c>
      <c r="G194" s="7" t="inlineStr">
        <is>
          <t>44519</t>
        </is>
      </c>
      <c r="H194" s="7" t="inlineStr"/>
      <c r="I194" s="7" t="inlineStr"/>
      <c r="J194" s="7" t="inlineStr"/>
      <c r="K194" s="7" t="inlineStr">
        <is>
          <t>FEN</t>
        </is>
      </c>
      <c r="L194" s="8" t="n">
        <v>0</v>
      </c>
      <c r="M194" s="8" t="n">
        <v>4750</v>
      </c>
      <c r="N194" s="7" t="inlineStr"/>
      <c r="O194" s="7" t="inlineStr"/>
      <c r="P194" s="7" t="inlineStr"/>
      <c r="Q194" s="7" t="inlineStr"/>
      <c r="R194" s="7" t="inlineStr"/>
    </row>
    <row r="195">
      <c r="A195" s="7" t="inlineStr">
        <is>
          <t>1</t>
        </is>
      </c>
      <c r="B195" s="7" t="inlineStr">
        <is>
          <t>D00065</t>
        </is>
      </c>
      <c r="C195" s="7" t="inlineStr">
        <is>
          <t>20260902</t>
        </is>
      </c>
      <c r="D195" s="7" t="inlineStr">
        <is>
          <t>N°2026000065</t>
        </is>
      </c>
      <c r="E195" s="7" t="inlineStr">
        <is>
          <t>SPA BRASSERIE STAR D'ALGERIE</t>
        </is>
      </c>
      <c r="F195" s="7" t="inlineStr">
        <is>
          <t>15001</t>
        </is>
      </c>
      <c r="G195" s="7" t="inlineStr">
        <is>
          <t>41100</t>
        </is>
      </c>
      <c r="H195" s="7" t="inlineStr">
        <is>
          <t>C1053</t>
        </is>
      </c>
      <c r="I195" s="7" t="inlineStr"/>
      <c r="J195" s="7" t="inlineStr"/>
      <c r="K195" s="7" t="inlineStr">
        <is>
          <t>FEN</t>
        </is>
      </c>
      <c r="L195" s="8" t="n">
        <v>83300</v>
      </c>
      <c r="M195" s="8" t="n">
        <v>0</v>
      </c>
      <c r="N195" s="7" t="inlineStr"/>
      <c r="O195" s="7" t="inlineStr"/>
      <c r="P195" s="7" t="inlineStr"/>
      <c r="Q195" s="7" t="inlineStr"/>
      <c r="R195" s="7" t="inlineStr"/>
    </row>
    <row r="196">
      <c r="A196" s="7" t="inlineStr">
        <is>
          <t>1</t>
        </is>
      </c>
      <c r="B196" s="7" t="inlineStr">
        <is>
          <t>D00065</t>
        </is>
      </c>
      <c r="C196" s="7" t="inlineStr">
        <is>
          <t>20260902</t>
        </is>
      </c>
      <c r="D196" s="7" t="inlineStr">
        <is>
          <t>N°2026000065</t>
        </is>
      </c>
      <c r="E196" s="7" t="inlineStr">
        <is>
          <t>SPA BRASSERIE STAR D'ALGERIE</t>
        </is>
      </c>
      <c r="F196" s="7" t="inlineStr">
        <is>
          <t>15001</t>
        </is>
      </c>
      <c r="G196" s="7" t="inlineStr">
        <is>
          <t>70003</t>
        </is>
      </c>
      <c r="H196" s="7" t="inlineStr"/>
      <c r="I196" s="7" t="inlineStr"/>
      <c r="J196" s="7" t="inlineStr"/>
      <c r="K196" s="7" t="inlineStr">
        <is>
          <t>FEN</t>
        </is>
      </c>
      <c r="L196" s="8" t="n">
        <v>0</v>
      </c>
      <c r="M196" s="8" t="n">
        <v>70000</v>
      </c>
      <c r="N196" s="7" t="inlineStr"/>
      <c r="O196" s="7" t="inlineStr"/>
      <c r="P196" s="7" t="inlineStr"/>
      <c r="Q196" s="7" t="inlineStr"/>
      <c r="R196" s="7" t="inlineStr"/>
    </row>
    <row r="197">
      <c r="A197" s="7" t="inlineStr">
        <is>
          <t>1</t>
        </is>
      </c>
      <c r="B197" s="7" t="inlineStr">
        <is>
          <t>D00065</t>
        </is>
      </c>
      <c r="C197" s="7" t="inlineStr">
        <is>
          <t>20260902</t>
        </is>
      </c>
      <c r="D197" s="7" t="inlineStr">
        <is>
          <t>N°2026000065</t>
        </is>
      </c>
      <c r="E197" s="7" t="inlineStr">
        <is>
          <t>SPA BRASSERIE STAR D'ALGERIE</t>
        </is>
      </c>
      <c r="F197" s="7" t="inlineStr">
        <is>
          <t>15001</t>
        </is>
      </c>
      <c r="G197" s="7" t="inlineStr">
        <is>
          <t>44519</t>
        </is>
      </c>
      <c r="H197" s="7" t="inlineStr"/>
      <c r="I197" s="7" t="inlineStr"/>
      <c r="J197" s="7" t="inlineStr"/>
      <c r="K197" s="7" t="inlineStr">
        <is>
          <t>FEN</t>
        </is>
      </c>
      <c r="L197" s="8" t="n">
        <v>0</v>
      </c>
      <c r="M197" s="8" t="n">
        <v>13300</v>
      </c>
      <c r="N197" s="7" t="inlineStr"/>
      <c r="O197" s="7" t="inlineStr"/>
      <c r="P197" s="7" t="inlineStr"/>
      <c r="Q197" s="7" t="inlineStr"/>
      <c r="R197" s="7" t="inlineStr"/>
    </row>
    <row r="198">
      <c r="A198" s="7" t="inlineStr">
        <is>
          <t>1</t>
        </is>
      </c>
      <c r="B198" s="7" t="inlineStr">
        <is>
          <t>D00066</t>
        </is>
      </c>
      <c r="C198" s="7" t="inlineStr">
        <is>
          <t>20260902</t>
        </is>
      </c>
      <c r="D198" s="7" t="inlineStr">
        <is>
          <t>N°2026000066</t>
        </is>
      </c>
      <c r="E198" s="7" t="inlineStr">
        <is>
          <t>SPA BRASSERIE STAR D'ALGERIE</t>
        </is>
      </c>
      <c r="F198" s="7" t="inlineStr">
        <is>
          <t>15001</t>
        </is>
      </c>
      <c r="G198" s="7" t="inlineStr">
        <is>
          <t>41100</t>
        </is>
      </c>
      <c r="H198" s="7" t="inlineStr">
        <is>
          <t>C1053</t>
        </is>
      </c>
      <c r="I198" s="7" t="inlineStr"/>
      <c r="J198" s="7" t="inlineStr"/>
      <c r="K198" s="7" t="inlineStr">
        <is>
          <t>FEN</t>
        </is>
      </c>
      <c r="L198" s="8" t="n">
        <v>53550</v>
      </c>
      <c r="M198" s="8" t="n">
        <v>0</v>
      </c>
      <c r="N198" s="7" t="inlineStr"/>
      <c r="O198" s="7" t="inlineStr"/>
      <c r="P198" s="7" t="inlineStr"/>
      <c r="Q198" s="7" t="inlineStr"/>
      <c r="R198" s="7" t="inlineStr"/>
    </row>
    <row r="199">
      <c r="A199" s="7" t="inlineStr">
        <is>
          <t>1</t>
        </is>
      </c>
      <c r="B199" s="7" t="inlineStr">
        <is>
          <t>D00066</t>
        </is>
      </c>
      <c r="C199" s="7" t="inlineStr">
        <is>
          <t>20260902</t>
        </is>
      </c>
      <c r="D199" s="7" t="inlineStr">
        <is>
          <t>N°2026000066</t>
        </is>
      </c>
      <c r="E199" s="7" t="inlineStr">
        <is>
          <t>SPA BRASSERIE STAR D'ALGERIE</t>
        </is>
      </c>
      <c r="F199" s="7" t="inlineStr">
        <is>
          <t>15001</t>
        </is>
      </c>
      <c r="G199" s="7" t="inlineStr">
        <is>
          <t>70003</t>
        </is>
      </c>
      <c r="H199" s="7" t="inlineStr"/>
      <c r="I199" s="7" t="inlineStr"/>
      <c r="J199" s="7" t="inlineStr"/>
      <c r="K199" s="7" t="inlineStr">
        <is>
          <t>FEN</t>
        </is>
      </c>
      <c r="L199" s="8" t="n">
        <v>0</v>
      </c>
      <c r="M199" s="8" t="n">
        <v>45000</v>
      </c>
      <c r="N199" s="7" t="inlineStr"/>
      <c r="O199" s="7" t="inlineStr"/>
      <c r="P199" s="7" t="inlineStr"/>
      <c r="Q199" s="7" t="inlineStr"/>
      <c r="R199" s="7" t="inlineStr"/>
    </row>
    <row r="200">
      <c r="A200" s="7" t="inlineStr">
        <is>
          <t>1</t>
        </is>
      </c>
      <c r="B200" s="7" t="inlineStr">
        <is>
          <t>D00066</t>
        </is>
      </c>
      <c r="C200" s="7" t="inlineStr">
        <is>
          <t>20260902</t>
        </is>
      </c>
      <c r="D200" s="7" t="inlineStr">
        <is>
          <t>N°2026000066</t>
        </is>
      </c>
      <c r="E200" s="7" t="inlineStr">
        <is>
          <t>SPA BRASSERIE STAR D'ALGERIE</t>
        </is>
      </c>
      <c r="F200" s="7" t="inlineStr">
        <is>
          <t>15001</t>
        </is>
      </c>
      <c r="G200" s="7" t="inlineStr">
        <is>
          <t>44519</t>
        </is>
      </c>
      <c r="H200" s="7" t="inlineStr"/>
      <c r="I200" s="7" t="inlineStr"/>
      <c r="J200" s="7" t="inlineStr"/>
      <c r="K200" s="7" t="inlineStr">
        <is>
          <t>FEN</t>
        </is>
      </c>
      <c r="L200" s="8" t="n">
        <v>0</v>
      </c>
      <c r="M200" s="8" t="n">
        <v>8550</v>
      </c>
      <c r="N200" s="7" t="inlineStr"/>
      <c r="O200" s="7" t="inlineStr"/>
      <c r="P200" s="7" t="inlineStr"/>
      <c r="Q200" s="7" t="inlineStr"/>
      <c r="R200" s="7" t="inlineStr"/>
    </row>
    <row r="201">
      <c r="A201" s="7" t="inlineStr">
        <is>
          <t>1</t>
        </is>
      </c>
      <c r="B201" s="7" t="inlineStr">
        <is>
          <t>D00067</t>
        </is>
      </c>
      <c r="C201" s="7" t="inlineStr">
        <is>
          <t>20260902</t>
        </is>
      </c>
      <c r="D201" s="7" t="inlineStr">
        <is>
          <t>N°2026000067</t>
        </is>
      </c>
      <c r="E201" s="7" t="inlineStr">
        <is>
          <t>SPA BRASSERIE STAR D'ALGERIE</t>
        </is>
      </c>
      <c r="F201" s="7" t="inlineStr">
        <is>
          <t>15001</t>
        </is>
      </c>
      <c r="G201" s="7" t="inlineStr">
        <is>
          <t>41100</t>
        </is>
      </c>
      <c r="H201" s="7" t="inlineStr">
        <is>
          <t>C1053</t>
        </is>
      </c>
      <c r="I201" s="7" t="inlineStr"/>
      <c r="J201" s="7" t="inlineStr"/>
      <c r="K201" s="7" t="inlineStr">
        <is>
          <t>FEN</t>
        </is>
      </c>
      <c r="L201" s="8" t="n">
        <v>64855</v>
      </c>
      <c r="M201" s="8" t="n">
        <v>0</v>
      </c>
      <c r="N201" s="7" t="inlineStr"/>
      <c r="O201" s="7" t="inlineStr"/>
      <c r="P201" s="7" t="inlineStr"/>
      <c r="Q201" s="7" t="inlineStr"/>
      <c r="R201" s="7" t="inlineStr"/>
    </row>
    <row r="202">
      <c r="A202" s="7" t="inlineStr">
        <is>
          <t>1</t>
        </is>
      </c>
      <c r="B202" s="7" t="inlineStr">
        <is>
          <t>D00067</t>
        </is>
      </c>
      <c r="C202" s="7" t="inlineStr">
        <is>
          <t>20260902</t>
        </is>
      </c>
      <c r="D202" s="7" t="inlineStr">
        <is>
          <t>N°2026000067</t>
        </is>
      </c>
      <c r="E202" s="7" t="inlineStr">
        <is>
          <t>SPA BRASSERIE STAR D'ALGERIE</t>
        </is>
      </c>
      <c r="F202" s="7" t="inlineStr">
        <is>
          <t>15001</t>
        </is>
      </c>
      <c r="G202" s="7" t="inlineStr">
        <is>
          <t>70003</t>
        </is>
      </c>
      <c r="H202" s="7" t="inlineStr"/>
      <c r="I202" s="7" t="inlineStr"/>
      <c r="J202" s="7" t="inlineStr"/>
      <c r="K202" s="7" t="inlineStr">
        <is>
          <t>FEN</t>
        </is>
      </c>
      <c r="L202" s="8" t="n">
        <v>0</v>
      </c>
      <c r="M202" s="8" t="n">
        <v>54500</v>
      </c>
      <c r="N202" s="7" t="inlineStr"/>
      <c r="O202" s="7" t="inlineStr"/>
      <c r="P202" s="7" t="inlineStr"/>
      <c r="Q202" s="7" t="inlineStr"/>
      <c r="R202" s="7" t="inlineStr"/>
    </row>
    <row r="203">
      <c r="A203" s="7" t="inlineStr">
        <is>
          <t>1</t>
        </is>
      </c>
      <c r="B203" s="7" t="inlineStr">
        <is>
          <t>D00067</t>
        </is>
      </c>
      <c r="C203" s="7" t="inlineStr">
        <is>
          <t>20260902</t>
        </is>
      </c>
      <c r="D203" s="7" t="inlineStr">
        <is>
          <t>N°2026000067</t>
        </is>
      </c>
      <c r="E203" s="7" t="inlineStr">
        <is>
          <t>SPA BRASSERIE STAR D'ALGERIE</t>
        </is>
      </c>
      <c r="F203" s="7" t="inlineStr">
        <is>
          <t>15001</t>
        </is>
      </c>
      <c r="G203" s="7" t="inlineStr">
        <is>
          <t>44519</t>
        </is>
      </c>
      <c r="H203" s="7" t="inlineStr"/>
      <c r="I203" s="7" t="inlineStr"/>
      <c r="J203" s="7" t="inlineStr"/>
      <c r="K203" s="7" t="inlineStr">
        <is>
          <t>FEN</t>
        </is>
      </c>
      <c r="L203" s="8" t="n">
        <v>0</v>
      </c>
      <c r="M203" s="8" t="n">
        <v>10355</v>
      </c>
      <c r="N203" s="7" t="inlineStr"/>
      <c r="O203" s="7" t="inlineStr"/>
      <c r="P203" s="7" t="inlineStr"/>
      <c r="Q203" s="7" t="inlineStr"/>
      <c r="R203" s="7" t="inlineStr"/>
    </row>
    <row r="204">
      <c r="A204" s="7" t="inlineStr">
        <is>
          <t>1</t>
        </is>
      </c>
      <c r="B204" s="7" t="inlineStr">
        <is>
          <t>D00068</t>
        </is>
      </c>
      <c r="C204" s="7" t="inlineStr">
        <is>
          <t>20260910</t>
        </is>
      </c>
      <c r="D204" s="7" t="inlineStr">
        <is>
          <t>N°2026000068</t>
        </is>
      </c>
      <c r="E204" s="7" t="inlineStr">
        <is>
          <t>SARL LAITRIE SOUMMAM</t>
        </is>
      </c>
      <c r="F204" s="7" t="inlineStr">
        <is>
          <t>15001</t>
        </is>
      </c>
      <c r="G204" s="7" t="inlineStr">
        <is>
          <t>41100</t>
        </is>
      </c>
      <c r="H204" s="7" t="inlineStr">
        <is>
          <t>C986</t>
        </is>
      </c>
      <c r="I204" s="7" t="inlineStr"/>
      <c r="J204" s="7" t="inlineStr"/>
      <c r="K204" s="7" t="inlineStr">
        <is>
          <t>FEN</t>
        </is>
      </c>
      <c r="L204" s="8" t="n">
        <v>32130</v>
      </c>
      <c r="M204" s="8" t="n">
        <v>0</v>
      </c>
      <c r="N204" s="7" t="inlineStr"/>
      <c r="O204" s="7" t="inlineStr"/>
      <c r="P204" s="7" t="inlineStr"/>
      <c r="Q204" s="7" t="inlineStr"/>
      <c r="R204" s="7" t="inlineStr"/>
    </row>
    <row r="205">
      <c r="A205" s="7" t="inlineStr">
        <is>
          <t>1</t>
        </is>
      </c>
      <c r="B205" s="7" t="inlineStr">
        <is>
          <t>D00068</t>
        </is>
      </c>
      <c r="C205" s="7" t="inlineStr">
        <is>
          <t>20260910</t>
        </is>
      </c>
      <c r="D205" s="7" t="inlineStr">
        <is>
          <t>N°2026000068</t>
        </is>
      </c>
      <c r="E205" s="7" t="inlineStr">
        <is>
          <t>SARL LAITRIE SOUMMAM</t>
        </is>
      </c>
      <c r="F205" s="7" t="inlineStr">
        <is>
          <t>15001</t>
        </is>
      </c>
      <c r="G205" s="7" t="inlineStr">
        <is>
          <t>70003</t>
        </is>
      </c>
      <c r="H205" s="7" t="inlineStr"/>
      <c r="I205" s="7" t="inlineStr"/>
      <c r="J205" s="7" t="inlineStr"/>
      <c r="K205" s="7" t="inlineStr">
        <is>
          <t>FEN</t>
        </is>
      </c>
      <c r="L205" s="8" t="n">
        <v>0</v>
      </c>
      <c r="M205" s="8" t="n">
        <v>27000</v>
      </c>
      <c r="N205" s="7" t="inlineStr"/>
      <c r="O205" s="7" t="inlineStr"/>
      <c r="P205" s="7" t="inlineStr"/>
      <c r="Q205" s="7" t="inlineStr"/>
      <c r="R205" s="7" t="inlineStr"/>
    </row>
    <row r="206">
      <c r="A206" s="7" t="inlineStr">
        <is>
          <t>1</t>
        </is>
      </c>
      <c r="B206" s="7" t="inlineStr">
        <is>
          <t>D00068</t>
        </is>
      </c>
      <c r="C206" s="7" t="inlineStr">
        <is>
          <t>20260910</t>
        </is>
      </c>
      <c r="D206" s="7" t="inlineStr">
        <is>
          <t>N°2026000068</t>
        </is>
      </c>
      <c r="E206" s="7" t="inlineStr">
        <is>
          <t>SARL LAITRIE SOUMMAM</t>
        </is>
      </c>
      <c r="F206" s="7" t="inlineStr">
        <is>
          <t>15001</t>
        </is>
      </c>
      <c r="G206" s="7" t="inlineStr">
        <is>
          <t>44519</t>
        </is>
      </c>
      <c r="H206" s="7" t="inlineStr"/>
      <c r="I206" s="7" t="inlineStr"/>
      <c r="J206" s="7" t="inlineStr"/>
      <c r="K206" s="7" t="inlineStr">
        <is>
          <t>FEN</t>
        </is>
      </c>
      <c r="L206" s="8" t="n">
        <v>0</v>
      </c>
      <c r="M206" s="8" t="n">
        <v>5130</v>
      </c>
      <c r="N206" s="7" t="inlineStr"/>
      <c r="O206" s="7" t="inlineStr"/>
      <c r="P206" s="7" t="inlineStr"/>
      <c r="Q206" s="7" t="inlineStr"/>
      <c r="R206" s="7" t="inlineStr"/>
    </row>
    <row r="207">
      <c r="A207" s="7" t="inlineStr">
        <is>
          <t>1</t>
        </is>
      </c>
      <c r="B207" s="7" t="inlineStr">
        <is>
          <t>D00069</t>
        </is>
      </c>
      <c r="C207" s="7" t="inlineStr">
        <is>
          <t>20260915</t>
        </is>
      </c>
      <c r="D207" s="7" t="inlineStr">
        <is>
          <t>N°2026000069</t>
        </is>
      </c>
      <c r="E207" s="7" t="inlineStr">
        <is>
          <t>SARL BEJAIA LOGISTIQUE</t>
        </is>
      </c>
      <c r="F207" s="7" t="inlineStr">
        <is>
          <t>15001</t>
        </is>
      </c>
      <c r="G207" s="7" t="inlineStr">
        <is>
          <t>41100</t>
        </is>
      </c>
      <c r="H207" s="7" t="inlineStr">
        <is>
          <t>C708</t>
        </is>
      </c>
      <c r="I207" s="7" t="inlineStr"/>
      <c r="J207" s="7" t="inlineStr"/>
      <c r="K207" s="7" t="inlineStr">
        <is>
          <t>FEN</t>
        </is>
      </c>
      <c r="L207" s="8" t="n">
        <v>1203328</v>
      </c>
      <c r="M207" s="8" t="n">
        <v>0</v>
      </c>
      <c r="N207" s="7" t="inlineStr"/>
      <c r="O207" s="7" t="inlineStr"/>
      <c r="P207" s="7" t="inlineStr"/>
      <c r="Q207" s="7" t="inlineStr"/>
      <c r="R207" s="7" t="inlineStr"/>
    </row>
    <row r="208">
      <c r="A208" s="7" t="inlineStr">
        <is>
          <t>1</t>
        </is>
      </c>
      <c r="B208" s="7" t="inlineStr">
        <is>
          <t>D00069</t>
        </is>
      </c>
      <c r="C208" s="7" t="inlineStr">
        <is>
          <t>20260915</t>
        </is>
      </c>
      <c r="D208" s="7" t="inlineStr">
        <is>
          <t>N°2026000069</t>
        </is>
      </c>
      <c r="E208" s="7" t="inlineStr">
        <is>
          <t>SARL BEJAIA LOGISTIQUE</t>
        </is>
      </c>
      <c r="F208" s="7" t="inlineStr">
        <is>
          <t>15001</t>
        </is>
      </c>
      <c r="G208" s="7" t="inlineStr">
        <is>
          <t>70003</t>
        </is>
      </c>
      <c r="H208" s="7" t="inlineStr"/>
      <c r="I208" s="7" t="inlineStr"/>
      <c r="J208" s="7" t="inlineStr"/>
      <c r="K208" s="7" t="inlineStr">
        <is>
          <t>FEN</t>
        </is>
      </c>
      <c r="L208" s="8" t="n">
        <v>0</v>
      </c>
      <c r="M208" s="8" t="n">
        <v>1011200</v>
      </c>
      <c r="N208" s="7" t="inlineStr"/>
      <c r="O208" s="7" t="inlineStr"/>
      <c r="P208" s="7" t="inlineStr"/>
      <c r="Q208" s="7" t="inlineStr"/>
      <c r="R208" s="7" t="inlineStr"/>
    </row>
    <row r="209">
      <c r="A209" s="7" t="inlineStr">
        <is>
          <t>1</t>
        </is>
      </c>
      <c r="B209" s="7" t="inlineStr">
        <is>
          <t>D00069</t>
        </is>
      </c>
      <c r="C209" s="7" t="inlineStr">
        <is>
          <t>20260915</t>
        </is>
      </c>
      <c r="D209" s="7" t="inlineStr">
        <is>
          <t>N°2026000069</t>
        </is>
      </c>
      <c r="E209" s="7" t="inlineStr">
        <is>
          <t>SARL BEJAIA LOGISTIQUE</t>
        </is>
      </c>
      <c r="F209" s="7" t="inlineStr">
        <is>
          <t>15001</t>
        </is>
      </c>
      <c r="G209" s="7" t="inlineStr">
        <is>
          <t>44519</t>
        </is>
      </c>
      <c r="H209" s="7" t="inlineStr"/>
      <c r="I209" s="7" t="inlineStr"/>
      <c r="J209" s="7" t="inlineStr"/>
      <c r="K209" s="7" t="inlineStr">
        <is>
          <t>FEN</t>
        </is>
      </c>
      <c r="L209" s="8" t="n">
        <v>0</v>
      </c>
      <c r="M209" s="8" t="n">
        <v>192128</v>
      </c>
      <c r="N209" s="7" t="inlineStr"/>
      <c r="O209" s="7" t="inlineStr"/>
      <c r="P209" s="7" t="inlineStr"/>
      <c r="Q209" s="7" t="inlineStr"/>
      <c r="R209" s="7" t="inlineStr"/>
    </row>
    <row r="210">
      <c r="A210" s="7" t="inlineStr">
        <is>
          <t>1</t>
        </is>
      </c>
      <c r="B210" s="7" t="inlineStr">
        <is>
          <t>D00070</t>
        </is>
      </c>
      <c r="C210" s="7" t="inlineStr">
        <is>
          <t>20260920</t>
        </is>
      </c>
      <c r="D210" s="7" t="inlineStr">
        <is>
          <t>N°2026000070</t>
        </is>
      </c>
      <c r="E210" s="7" t="inlineStr">
        <is>
          <t>EURL TERRENO TRANS</t>
        </is>
      </c>
      <c r="F210" s="7" t="inlineStr">
        <is>
          <t>15001</t>
        </is>
      </c>
      <c r="G210" s="7" t="inlineStr">
        <is>
          <t>41100</t>
        </is>
      </c>
      <c r="H210" s="7" t="inlineStr">
        <is>
          <t>C959</t>
        </is>
      </c>
      <c r="I210" s="7" t="inlineStr"/>
      <c r="J210" s="7" t="inlineStr"/>
      <c r="K210" s="7" t="inlineStr">
        <is>
          <t>FEN</t>
        </is>
      </c>
      <c r="L210" s="8" t="n">
        <v>392700</v>
      </c>
      <c r="M210" s="8" t="n">
        <v>0</v>
      </c>
      <c r="N210" s="7" t="inlineStr"/>
      <c r="O210" s="7" t="inlineStr"/>
      <c r="P210" s="7" t="inlineStr"/>
      <c r="Q210" s="7" t="inlineStr"/>
      <c r="R210" s="7" t="inlineStr"/>
    </row>
    <row r="211">
      <c r="A211" s="7" t="inlineStr">
        <is>
          <t>1</t>
        </is>
      </c>
      <c r="B211" s="7" t="inlineStr">
        <is>
          <t>D00070</t>
        </is>
      </c>
      <c r="C211" s="7" t="inlineStr">
        <is>
          <t>20260920</t>
        </is>
      </c>
      <c r="D211" s="7" t="inlineStr">
        <is>
          <t>N°2026000070</t>
        </is>
      </c>
      <c r="E211" s="7" t="inlineStr">
        <is>
          <t>EURL TERRENO TRANS</t>
        </is>
      </c>
      <c r="F211" s="7" t="inlineStr">
        <is>
          <t>15001</t>
        </is>
      </c>
      <c r="G211" s="7" t="inlineStr">
        <is>
          <t>70003</t>
        </is>
      </c>
      <c r="H211" s="7" t="inlineStr"/>
      <c r="I211" s="7" t="inlineStr"/>
      <c r="J211" s="7" t="inlineStr"/>
      <c r="K211" s="7" t="inlineStr">
        <is>
          <t>FEN</t>
        </is>
      </c>
      <c r="L211" s="8" t="n">
        <v>0</v>
      </c>
      <c r="M211" s="8" t="n">
        <v>330000</v>
      </c>
      <c r="N211" s="7" t="inlineStr"/>
      <c r="O211" s="7" t="inlineStr"/>
      <c r="P211" s="7" t="inlineStr"/>
      <c r="Q211" s="7" t="inlineStr"/>
      <c r="R211" s="7" t="inlineStr"/>
    </row>
    <row r="212">
      <c r="A212" s="7" t="inlineStr">
        <is>
          <t>1</t>
        </is>
      </c>
      <c r="B212" s="7" t="inlineStr">
        <is>
          <t>D00070</t>
        </is>
      </c>
      <c r="C212" s="7" t="inlineStr">
        <is>
          <t>20260920</t>
        </is>
      </c>
      <c r="D212" s="7" t="inlineStr">
        <is>
          <t>N°2026000070</t>
        </is>
      </c>
      <c r="E212" s="7" t="inlineStr">
        <is>
          <t>EURL TERRENO TRANS</t>
        </is>
      </c>
      <c r="F212" s="7" t="inlineStr">
        <is>
          <t>15001</t>
        </is>
      </c>
      <c r="G212" s="7" t="inlineStr">
        <is>
          <t>44519</t>
        </is>
      </c>
      <c r="H212" s="7" t="inlineStr"/>
      <c r="I212" s="7" t="inlineStr"/>
      <c r="J212" s="7" t="inlineStr"/>
      <c r="K212" s="7" t="inlineStr">
        <is>
          <t>FEN</t>
        </is>
      </c>
      <c r="L212" s="8" t="n">
        <v>0</v>
      </c>
      <c r="M212" s="8" t="n">
        <v>62700</v>
      </c>
      <c r="N212" s="7" t="inlineStr"/>
      <c r="O212" s="7" t="inlineStr"/>
      <c r="P212" s="7" t="inlineStr"/>
      <c r="Q212" s="7" t="inlineStr"/>
      <c r="R212" s="7" t="inlineStr"/>
    </row>
    <row r="213">
      <c r="A213" s="7" t="inlineStr">
        <is>
          <t>1</t>
        </is>
      </c>
      <c r="B213" s="7" t="inlineStr">
        <is>
          <t>D00071</t>
        </is>
      </c>
      <c r="C213" s="7" t="inlineStr">
        <is>
          <t>20260923</t>
        </is>
      </c>
      <c r="D213" s="7" t="inlineStr">
        <is>
          <t>N°2026000071</t>
        </is>
      </c>
      <c r="E213" s="7" t="inlineStr">
        <is>
          <t>EURL TERRENO TRANS</t>
        </is>
      </c>
      <c r="F213" s="7" t="inlineStr">
        <is>
          <t>15001</t>
        </is>
      </c>
      <c r="G213" s="7" t="inlineStr">
        <is>
          <t>41100</t>
        </is>
      </c>
      <c r="H213" s="7" t="inlineStr">
        <is>
          <t>C959</t>
        </is>
      </c>
      <c r="I213" s="7" t="inlineStr"/>
      <c r="J213" s="7" t="inlineStr"/>
      <c r="K213" s="7" t="inlineStr">
        <is>
          <t>FEN</t>
        </is>
      </c>
      <c r="L213" s="8" t="n">
        <v>1249500</v>
      </c>
      <c r="M213" s="8" t="n">
        <v>0</v>
      </c>
      <c r="N213" s="7" t="inlineStr"/>
      <c r="O213" s="7" t="inlineStr"/>
      <c r="P213" s="7" t="inlineStr"/>
      <c r="Q213" s="7" t="inlineStr"/>
      <c r="R213" s="7" t="inlineStr"/>
    </row>
    <row r="214">
      <c r="A214" s="7" t="inlineStr">
        <is>
          <t>1</t>
        </is>
      </c>
      <c r="B214" s="7" t="inlineStr">
        <is>
          <t>D00071</t>
        </is>
      </c>
      <c r="C214" s="7" t="inlineStr">
        <is>
          <t>20260923</t>
        </is>
      </c>
      <c r="D214" s="7" t="inlineStr">
        <is>
          <t>N°2026000071</t>
        </is>
      </c>
      <c r="E214" s="7" t="inlineStr">
        <is>
          <t>EURL TERRENO TRANS</t>
        </is>
      </c>
      <c r="F214" s="7" t="inlineStr">
        <is>
          <t>15001</t>
        </is>
      </c>
      <c r="G214" s="7" t="inlineStr">
        <is>
          <t>70003</t>
        </is>
      </c>
      <c r="H214" s="7" t="inlineStr"/>
      <c r="I214" s="7" t="inlineStr"/>
      <c r="J214" s="7" t="inlineStr"/>
      <c r="K214" s="7" t="inlineStr">
        <is>
          <t>FEN</t>
        </is>
      </c>
      <c r="L214" s="8" t="n">
        <v>0</v>
      </c>
      <c r="M214" s="8" t="n">
        <v>1050000</v>
      </c>
      <c r="N214" s="7" t="inlineStr"/>
      <c r="O214" s="7" t="inlineStr"/>
      <c r="P214" s="7" t="inlineStr"/>
      <c r="Q214" s="7" t="inlineStr"/>
      <c r="R214" s="7" t="inlineStr"/>
    </row>
    <row r="215">
      <c r="A215" s="7" t="inlineStr">
        <is>
          <t>1</t>
        </is>
      </c>
      <c r="B215" s="7" t="inlineStr">
        <is>
          <t>D00071</t>
        </is>
      </c>
      <c r="C215" s="7" t="inlineStr">
        <is>
          <t>20260923</t>
        </is>
      </c>
      <c r="D215" s="7" t="inlineStr">
        <is>
          <t>N°2026000071</t>
        </is>
      </c>
      <c r="E215" s="7" t="inlineStr">
        <is>
          <t>EURL TERRENO TRANS</t>
        </is>
      </c>
      <c r="F215" s="7" t="inlineStr">
        <is>
          <t>15001</t>
        </is>
      </c>
      <c r="G215" s="7" t="inlineStr">
        <is>
          <t>44519</t>
        </is>
      </c>
      <c r="H215" s="7" t="inlineStr"/>
      <c r="I215" s="7" t="inlineStr"/>
      <c r="J215" s="7" t="inlineStr"/>
      <c r="K215" s="7" t="inlineStr">
        <is>
          <t>FEN</t>
        </is>
      </c>
      <c r="L215" s="8" t="n">
        <v>0</v>
      </c>
      <c r="M215" s="8" t="n">
        <v>199500</v>
      </c>
      <c r="N215" s="7" t="inlineStr"/>
      <c r="O215" s="7" t="inlineStr"/>
      <c r="P215" s="7" t="inlineStr"/>
      <c r="Q215" s="7" t="inlineStr"/>
      <c r="R215" s="7" t="inlineStr"/>
    </row>
    <row r="216">
      <c r="A216" s="7" t="inlineStr">
        <is>
          <t>1</t>
        </is>
      </c>
      <c r="B216" s="7" t="inlineStr">
        <is>
          <t>D00072</t>
        </is>
      </c>
      <c r="C216" s="7" t="inlineStr">
        <is>
          <t>20260923</t>
        </is>
      </c>
      <c r="D216" s="7" t="inlineStr">
        <is>
          <t>N°2026000072</t>
        </is>
      </c>
      <c r="E216" s="7" t="inlineStr">
        <is>
          <t>SARL BEJAIA LOGISTIQUE</t>
        </is>
      </c>
      <c r="F216" s="7" t="inlineStr">
        <is>
          <t>15001</t>
        </is>
      </c>
      <c r="G216" s="7" t="inlineStr">
        <is>
          <t>41100</t>
        </is>
      </c>
      <c r="H216" s="7" t="inlineStr">
        <is>
          <t>C708</t>
        </is>
      </c>
      <c r="I216" s="7" t="inlineStr"/>
      <c r="J216" s="7" t="inlineStr"/>
      <c r="K216" s="7" t="inlineStr">
        <is>
          <t>FEN</t>
        </is>
      </c>
      <c r="L216" s="8" t="n">
        <v>148750</v>
      </c>
      <c r="M216" s="8" t="n">
        <v>0</v>
      </c>
      <c r="N216" s="7" t="inlineStr"/>
      <c r="O216" s="7" t="inlineStr"/>
      <c r="P216" s="7" t="inlineStr"/>
      <c r="Q216" s="7" t="inlineStr"/>
      <c r="R216" s="7" t="inlineStr"/>
    </row>
    <row r="217">
      <c r="A217" s="7" t="inlineStr">
        <is>
          <t>1</t>
        </is>
      </c>
      <c r="B217" s="7" t="inlineStr">
        <is>
          <t>D00072</t>
        </is>
      </c>
      <c r="C217" s="7" t="inlineStr">
        <is>
          <t>20260923</t>
        </is>
      </c>
      <c r="D217" s="7" t="inlineStr">
        <is>
          <t>N°2026000072</t>
        </is>
      </c>
      <c r="E217" s="7" t="inlineStr">
        <is>
          <t>SARL BEJAIA LOGISTIQUE</t>
        </is>
      </c>
      <c r="F217" s="7" t="inlineStr">
        <is>
          <t>15001</t>
        </is>
      </c>
      <c r="G217" s="7" t="inlineStr">
        <is>
          <t>70003</t>
        </is>
      </c>
      <c r="H217" s="7" t="inlineStr"/>
      <c r="I217" s="7" t="inlineStr"/>
      <c r="J217" s="7" t="inlineStr"/>
      <c r="K217" s="7" t="inlineStr">
        <is>
          <t>FEN</t>
        </is>
      </c>
      <c r="L217" s="8" t="n">
        <v>0</v>
      </c>
      <c r="M217" s="8" t="n">
        <v>125000</v>
      </c>
      <c r="N217" s="7" t="inlineStr"/>
      <c r="O217" s="7" t="inlineStr"/>
      <c r="P217" s="7" t="inlineStr"/>
      <c r="Q217" s="7" t="inlineStr"/>
      <c r="R217" s="7" t="inlineStr"/>
    </row>
    <row r="218">
      <c r="A218" s="7" t="inlineStr">
        <is>
          <t>1</t>
        </is>
      </c>
      <c r="B218" s="7" t="inlineStr">
        <is>
          <t>D00072</t>
        </is>
      </c>
      <c r="C218" s="7" t="inlineStr">
        <is>
          <t>20260923</t>
        </is>
      </c>
      <c r="D218" s="7" t="inlineStr">
        <is>
          <t>N°2026000072</t>
        </is>
      </c>
      <c r="E218" s="7" t="inlineStr">
        <is>
          <t>SARL BEJAIA LOGISTIQUE</t>
        </is>
      </c>
      <c r="F218" s="7" t="inlineStr">
        <is>
          <t>15001</t>
        </is>
      </c>
      <c r="G218" s="7" t="inlineStr">
        <is>
          <t>44519</t>
        </is>
      </c>
      <c r="H218" s="7" t="inlineStr"/>
      <c r="I218" s="7" t="inlineStr"/>
      <c r="J218" s="7" t="inlineStr"/>
      <c r="K218" s="7" t="inlineStr">
        <is>
          <t>FEN</t>
        </is>
      </c>
      <c r="L218" s="8" t="n">
        <v>0</v>
      </c>
      <c r="M218" s="8" t="n">
        <v>23750</v>
      </c>
      <c r="N218" s="7" t="inlineStr"/>
      <c r="O218" s="7" t="inlineStr"/>
      <c r="P218" s="7" t="inlineStr"/>
      <c r="Q218" s="7" t="inlineStr"/>
      <c r="R218" s="7" t="inlineStr"/>
    </row>
    <row r="219">
      <c r="A219" s="7" t="inlineStr">
        <is>
          <t>1</t>
        </is>
      </c>
      <c r="B219" s="7" t="inlineStr">
        <is>
          <t>D00073</t>
        </is>
      </c>
      <c r="C219" s="7" t="inlineStr">
        <is>
          <t>20260925</t>
        </is>
      </c>
      <c r="D219" s="7" t="inlineStr">
        <is>
          <t>N°2026000073</t>
        </is>
      </c>
      <c r="E219" s="7" t="inlineStr">
        <is>
          <t>SARL BEJAIA LOGISTIQUE</t>
        </is>
      </c>
      <c r="F219" s="7" t="inlineStr">
        <is>
          <t>15001</t>
        </is>
      </c>
      <c r="G219" s="7" t="inlineStr">
        <is>
          <t>41100</t>
        </is>
      </c>
      <c r="H219" s="7" t="inlineStr">
        <is>
          <t>C708</t>
        </is>
      </c>
      <c r="I219" s="7" t="inlineStr"/>
      <c r="J219" s="7" t="inlineStr"/>
      <c r="K219" s="7" t="inlineStr">
        <is>
          <t>FEN</t>
        </is>
      </c>
      <c r="L219" s="8" t="n">
        <v>982940</v>
      </c>
      <c r="M219" s="8" t="n">
        <v>0</v>
      </c>
      <c r="N219" s="7" t="inlineStr"/>
      <c r="O219" s="7" t="inlineStr"/>
      <c r="P219" s="7" t="inlineStr"/>
      <c r="Q219" s="7" t="inlineStr"/>
      <c r="R219" s="7" t="inlineStr"/>
    </row>
    <row r="220">
      <c r="A220" s="7" t="inlineStr">
        <is>
          <t>1</t>
        </is>
      </c>
      <c r="B220" s="7" t="inlineStr">
        <is>
          <t>D00073</t>
        </is>
      </c>
      <c r="C220" s="7" t="inlineStr">
        <is>
          <t>20260925</t>
        </is>
      </c>
      <c r="D220" s="7" t="inlineStr">
        <is>
          <t>N°2026000073</t>
        </is>
      </c>
      <c r="E220" s="7" t="inlineStr">
        <is>
          <t>SARL BEJAIA LOGISTIQUE</t>
        </is>
      </c>
      <c r="F220" s="7" t="inlineStr">
        <is>
          <t>15001</t>
        </is>
      </c>
      <c r="G220" s="7" t="inlineStr">
        <is>
          <t>70003</t>
        </is>
      </c>
      <c r="H220" s="7" t="inlineStr"/>
      <c r="I220" s="7" t="inlineStr"/>
      <c r="J220" s="7" t="inlineStr"/>
      <c r="K220" s="7" t="inlineStr">
        <is>
          <t>FEN</t>
        </is>
      </c>
      <c r="L220" s="8" t="n">
        <v>0</v>
      </c>
      <c r="M220" s="8" t="n">
        <v>826000</v>
      </c>
      <c r="N220" s="7" t="inlineStr"/>
      <c r="O220" s="7" t="inlineStr"/>
      <c r="P220" s="7" t="inlineStr"/>
      <c r="Q220" s="7" t="inlineStr"/>
      <c r="R220" s="7" t="inlineStr"/>
    </row>
    <row r="221">
      <c r="A221" s="7" t="inlineStr">
        <is>
          <t>1</t>
        </is>
      </c>
      <c r="B221" s="7" t="inlineStr">
        <is>
          <t>D00073</t>
        </is>
      </c>
      <c r="C221" s="7" t="inlineStr">
        <is>
          <t>20260925</t>
        </is>
      </c>
      <c r="D221" s="7" t="inlineStr">
        <is>
          <t>N°2026000073</t>
        </is>
      </c>
      <c r="E221" s="7" t="inlineStr">
        <is>
          <t>SARL BEJAIA LOGISTIQUE</t>
        </is>
      </c>
      <c r="F221" s="7" t="inlineStr">
        <is>
          <t>15001</t>
        </is>
      </c>
      <c r="G221" s="7" t="inlineStr">
        <is>
          <t>44519</t>
        </is>
      </c>
      <c r="H221" s="7" t="inlineStr"/>
      <c r="I221" s="7" t="inlineStr"/>
      <c r="J221" s="7" t="inlineStr"/>
      <c r="K221" s="7" t="inlineStr">
        <is>
          <t>FEN</t>
        </is>
      </c>
      <c r="L221" s="8" t="n">
        <v>0</v>
      </c>
      <c r="M221" s="8" t="n">
        <v>156940</v>
      </c>
      <c r="N221" s="7" t="inlineStr"/>
      <c r="O221" s="7" t="inlineStr"/>
      <c r="P221" s="7" t="inlineStr"/>
      <c r="Q221" s="7" t="inlineStr"/>
      <c r="R221" s="7" t="inlineStr"/>
    </row>
    <row r="222">
      <c r="A222" s="7" t="inlineStr">
        <is>
          <t>1</t>
        </is>
      </c>
      <c r="B222" s="7" t="inlineStr">
        <is>
          <t>D00074</t>
        </is>
      </c>
      <c r="C222" s="7" t="inlineStr">
        <is>
          <t>20260928</t>
        </is>
      </c>
      <c r="D222" s="7" t="inlineStr">
        <is>
          <t>N°2026000074</t>
        </is>
      </c>
      <c r="E222" s="7" t="inlineStr">
        <is>
          <t>SARL BEJAIA LOGISTIQUE</t>
        </is>
      </c>
      <c r="F222" s="7" t="inlineStr">
        <is>
          <t>15001</t>
        </is>
      </c>
      <c r="G222" s="7" t="inlineStr">
        <is>
          <t>41100</t>
        </is>
      </c>
      <c r="H222" s="7" t="inlineStr">
        <is>
          <t>C708</t>
        </is>
      </c>
      <c r="I222" s="7" t="inlineStr"/>
      <c r="J222" s="7" t="inlineStr"/>
      <c r="K222" s="7" t="inlineStr">
        <is>
          <t>FEN</t>
        </is>
      </c>
      <c r="L222" s="8" t="n">
        <v>168980</v>
      </c>
      <c r="M222" s="8" t="n">
        <v>0</v>
      </c>
      <c r="N222" s="7" t="inlineStr"/>
      <c r="O222" s="7" t="inlineStr"/>
      <c r="P222" s="7" t="inlineStr"/>
      <c r="Q222" s="7" t="inlineStr"/>
      <c r="R222" s="7" t="inlineStr"/>
    </row>
    <row r="223">
      <c r="A223" s="7" t="inlineStr">
        <is>
          <t>1</t>
        </is>
      </c>
      <c r="B223" s="7" t="inlineStr">
        <is>
          <t>D00074</t>
        </is>
      </c>
      <c r="C223" s="7" t="inlineStr">
        <is>
          <t>20260928</t>
        </is>
      </c>
      <c r="D223" s="7" t="inlineStr">
        <is>
          <t>N°2026000074</t>
        </is>
      </c>
      <c r="E223" s="7" t="inlineStr">
        <is>
          <t>SARL BEJAIA LOGISTIQUE</t>
        </is>
      </c>
      <c r="F223" s="7" t="inlineStr">
        <is>
          <t>15001</t>
        </is>
      </c>
      <c r="G223" s="7" t="inlineStr">
        <is>
          <t>70003</t>
        </is>
      </c>
      <c r="H223" s="7" t="inlineStr"/>
      <c r="I223" s="7" t="inlineStr"/>
      <c r="J223" s="7" t="inlineStr"/>
      <c r="K223" s="7" t="inlineStr">
        <is>
          <t>FEN</t>
        </is>
      </c>
      <c r="L223" s="8" t="n">
        <v>0</v>
      </c>
      <c r="M223" s="8" t="n">
        <v>142000</v>
      </c>
      <c r="N223" s="7" t="inlineStr"/>
      <c r="O223" s="7" t="inlineStr"/>
      <c r="P223" s="7" t="inlineStr"/>
      <c r="Q223" s="7" t="inlineStr"/>
      <c r="R223" s="7" t="inlineStr"/>
    </row>
    <row r="224">
      <c r="A224" s="7" t="inlineStr">
        <is>
          <t>1</t>
        </is>
      </c>
      <c r="B224" s="7" t="inlineStr">
        <is>
          <t>D00074</t>
        </is>
      </c>
      <c r="C224" s="7" t="inlineStr">
        <is>
          <t>20260928</t>
        </is>
      </c>
      <c r="D224" s="7" t="inlineStr">
        <is>
          <t>N°2026000074</t>
        </is>
      </c>
      <c r="E224" s="7" t="inlineStr">
        <is>
          <t>SARL BEJAIA LOGISTIQUE</t>
        </is>
      </c>
      <c r="F224" s="7" t="inlineStr">
        <is>
          <t>15001</t>
        </is>
      </c>
      <c r="G224" s="7" t="inlineStr">
        <is>
          <t>44519</t>
        </is>
      </c>
      <c r="H224" s="7" t="inlineStr"/>
      <c r="I224" s="7" t="inlineStr"/>
      <c r="J224" s="7" t="inlineStr"/>
      <c r="K224" s="7" t="inlineStr">
        <is>
          <t>FEN</t>
        </is>
      </c>
      <c r="L224" s="8" t="n">
        <v>0</v>
      </c>
      <c r="M224" s="8" t="n">
        <v>26980</v>
      </c>
      <c r="N224" s="7" t="inlineStr"/>
      <c r="O224" s="7" t="inlineStr"/>
      <c r="P224" s="7" t="inlineStr"/>
      <c r="Q224" s="7" t="inlineStr"/>
      <c r="R224" s="7" t="inlineStr"/>
    </row>
    <row r="225">
      <c r="A225" s="7" t="inlineStr">
        <is>
          <t>1</t>
        </is>
      </c>
      <c r="B225" s="7" t="inlineStr">
        <is>
          <t>D00075</t>
        </is>
      </c>
      <c r="C225" s="7" t="inlineStr">
        <is>
          <t>20260928</t>
        </is>
      </c>
      <c r="D225" s="7" t="inlineStr">
        <is>
          <t>N°2026000075</t>
        </is>
      </c>
      <c r="E225" s="7" t="inlineStr">
        <is>
          <t>SARL TRANS BAOUCHI</t>
        </is>
      </c>
      <c r="F225" s="7" t="inlineStr">
        <is>
          <t>15001</t>
        </is>
      </c>
      <c r="G225" s="7" t="inlineStr">
        <is>
          <t>41100</t>
        </is>
      </c>
      <c r="H225" s="7" t="inlineStr">
        <is>
          <t>C1071</t>
        </is>
      </c>
      <c r="I225" s="7" t="inlineStr"/>
      <c r="J225" s="7" t="inlineStr"/>
      <c r="K225" s="7" t="inlineStr">
        <is>
          <t>FEN</t>
        </is>
      </c>
      <c r="L225" s="8" t="n">
        <v>120428</v>
      </c>
      <c r="M225" s="8" t="n">
        <v>0</v>
      </c>
      <c r="N225" s="7" t="inlineStr"/>
      <c r="O225" s="7" t="inlineStr"/>
      <c r="P225" s="7" t="inlineStr"/>
      <c r="Q225" s="7" t="inlineStr"/>
      <c r="R225" s="7" t="inlineStr"/>
    </row>
    <row r="226">
      <c r="A226" s="7" t="inlineStr">
        <is>
          <t>1</t>
        </is>
      </c>
      <c r="B226" s="7" t="inlineStr">
        <is>
          <t>D00075</t>
        </is>
      </c>
      <c r="C226" s="7" t="inlineStr">
        <is>
          <t>20260928</t>
        </is>
      </c>
      <c r="D226" s="7" t="inlineStr">
        <is>
          <t>N°2026000075</t>
        </is>
      </c>
      <c r="E226" s="7" t="inlineStr">
        <is>
          <t>SARL TRANS BAOUCHI</t>
        </is>
      </c>
      <c r="F226" s="7" t="inlineStr">
        <is>
          <t>15001</t>
        </is>
      </c>
      <c r="G226" s="7" t="inlineStr">
        <is>
          <t>70003</t>
        </is>
      </c>
      <c r="H226" s="7" t="inlineStr"/>
      <c r="I226" s="7" t="inlineStr"/>
      <c r="J226" s="7" t="inlineStr"/>
      <c r="K226" s="7" t="inlineStr">
        <is>
          <t>FEN</t>
        </is>
      </c>
      <c r="L226" s="8" t="n">
        <v>0</v>
      </c>
      <c r="M226" s="8" t="n">
        <v>101200</v>
      </c>
      <c r="N226" s="7" t="inlineStr"/>
      <c r="O226" s="7" t="inlineStr"/>
      <c r="P226" s="7" t="inlineStr"/>
      <c r="Q226" s="7" t="inlineStr"/>
      <c r="R226" s="7" t="inlineStr"/>
    </row>
    <row r="227">
      <c r="A227" s="7" t="inlineStr">
        <is>
          <t>1</t>
        </is>
      </c>
      <c r="B227" s="7" t="inlineStr">
        <is>
          <t>D00075</t>
        </is>
      </c>
      <c r="C227" s="7" t="inlineStr">
        <is>
          <t>20260928</t>
        </is>
      </c>
      <c r="D227" s="7" t="inlineStr">
        <is>
          <t>N°2026000075</t>
        </is>
      </c>
      <c r="E227" s="7" t="inlineStr">
        <is>
          <t>SARL TRANS BAOUCHI</t>
        </is>
      </c>
      <c r="F227" s="7" t="inlineStr">
        <is>
          <t>15001</t>
        </is>
      </c>
      <c r="G227" s="7" t="inlineStr">
        <is>
          <t>44519</t>
        </is>
      </c>
      <c r="H227" s="7" t="inlineStr"/>
      <c r="I227" s="7" t="inlineStr"/>
      <c r="J227" s="7" t="inlineStr"/>
      <c r="K227" s="7" t="inlineStr">
        <is>
          <t>FEN</t>
        </is>
      </c>
      <c r="L227" s="8" t="n">
        <v>0</v>
      </c>
      <c r="M227" s="8" t="n">
        <v>19228</v>
      </c>
      <c r="N227" s="7" t="inlineStr"/>
      <c r="O227" s="7" t="inlineStr"/>
      <c r="P227" s="7" t="inlineStr"/>
      <c r="Q227" s="7" t="inlineStr"/>
      <c r="R227" s="7" t="inlineStr"/>
    </row>
    <row r="228">
      <c r="A228" s="7" t="inlineStr">
        <is>
          <t>1</t>
        </is>
      </c>
      <c r="B228" s="7" t="inlineStr">
        <is>
          <t>D00076</t>
        </is>
      </c>
      <c r="C228" s="7" t="inlineStr">
        <is>
          <t>20260928</t>
        </is>
      </c>
      <c r="D228" s="7" t="inlineStr">
        <is>
          <t>N°2026000076</t>
        </is>
      </c>
      <c r="E228" s="7" t="inlineStr">
        <is>
          <t>SPA TMF LOGISTICS</t>
        </is>
      </c>
      <c r="F228" s="7" t="inlineStr">
        <is>
          <t>15001</t>
        </is>
      </c>
      <c r="G228" s="7" t="inlineStr">
        <is>
          <t>41100</t>
        </is>
      </c>
      <c r="H228" s="7" t="inlineStr">
        <is>
          <t>C671</t>
        </is>
      </c>
      <c r="I228" s="7" t="inlineStr"/>
      <c r="J228" s="7" t="inlineStr"/>
      <c r="K228" s="7" t="inlineStr">
        <is>
          <t>FEN</t>
        </is>
      </c>
      <c r="L228" s="8" t="n">
        <v>41650</v>
      </c>
      <c r="M228" s="8" t="n">
        <v>0</v>
      </c>
      <c r="N228" s="7" t="inlineStr"/>
      <c r="O228" s="7" t="inlineStr"/>
      <c r="P228" s="7" t="inlineStr"/>
      <c r="Q228" s="7" t="inlineStr"/>
      <c r="R228" s="7" t="inlineStr"/>
    </row>
    <row r="229">
      <c r="A229" s="7" t="inlineStr">
        <is>
          <t>1</t>
        </is>
      </c>
      <c r="B229" s="7" t="inlineStr">
        <is>
          <t>D00076</t>
        </is>
      </c>
      <c r="C229" s="7" t="inlineStr">
        <is>
          <t>20260928</t>
        </is>
      </c>
      <c r="D229" s="7" t="inlineStr">
        <is>
          <t>N°2026000076</t>
        </is>
      </c>
      <c r="E229" s="7" t="inlineStr">
        <is>
          <t>SPA TMF LOGISTICS</t>
        </is>
      </c>
      <c r="F229" s="7" t="inlineStr">
        <is>
          <t>15001</t>
        </is>
      </c>
      <c r="G229" s="7" t="inlineStr">
        <is>
          <t>70003</t>
        </is>
      </c>
      <c r="H229" s="7" t="inlineStr"/>
      <c r="I229" s="7" t="inlineStr"/>
      <c r="J229" s="7" t="inlineStr"/>
      <c r="K229" s="7" t="inlineStr">
        <is>
          <t>FEN</t>
        </is>
      </c>
      <c r="L229" s="8" t="n">
        <v>0</v>
      </c>
      <c r="M229" s="8" t="n">
        <v>35000</v>
      </c>
      <c r="N229" s="7" t="inlineStr"/>
      <c r="O229" s="7" t="inlineStr"/>
      <c r="P229" s="7" t="inlineStr"/>
      <c r="Q229" s="7" t="inlineStr"/>
      <c r="R229" s="7" t="inlineStr"/>
    </row>
    <row r="230">
      <c r="A230" s="7" t="inlineStr">
        <is>
          <t>1</t>
        </is>
      </c>
      <c r="B230" s="7" t="inlineStr">
        <is>
          <t>D00076</t>
        </is>
      </c>
      <c r="C230" s="7" t="inlineStr">
        <is>
          <t>20260928</t>
        </is>
      </c>
      <c r="D230" s="7" t="inlineStr">
        <is>
          <t>N°2026000076</t>
        </is>
      </c>
      <c r="E230" s="7" t="inlineStr">
        <is>
          <t>SPA TMF LOGISTICS</t>
        </is>
      </c>
      <c r="F230" s="7" t="inlineStr">
        <is>
          <t>15001</t>
        </is>
      </c>
      <c r="G230" s="7" t="inlineStr">
        <is>
          <t>44519</t>
        </is>
      </c>
      <c r="H230" s="7" t="inlineStr"/>
      <c r="I230" s="7" t="inlineStr"/>
      <c r="J230" s="7" t="inlineStr"/>
      <c r="K230" s="7" t="inlineStr">
        <is>
          <t>FEN</t>
        </is>
      </c>
      <c r="L230" s="8" t="n">
        <v>0</v>
      </c>
      <c r="M230" s="8" t="n">
        <v>6650</v>
      </c>
      <c r="N230" s="7" t="inlineStr"/>
      <c r="O230" s="7" t="inlineStr"/>
      <c r="P230" s="7" t="inlineStr"/>
      <c r="Q230" s="7" t="inlineStr"/>
      <c r="R230" s="7" t="inlineStr"/>
    </row>
    <row r="231">
      <c r="A231" s="7" t="inlineStr">
        <is>
          <t>1</t>
        </is>
      </c>
      <c r="B231" s="7" t="inlineStr">
        <is>
          <t>D00077</t>
        </is>
      </c>
      <c r="C231" s="7" t="inlineStr">
        <is>
          <t>20261001</t>
        </is>
      </c>
      <c r="D231" s="7" t="inlineStr">
        <is>
          <t>N°2026000077</t>
        </is>
      </c>
      <c r="E231" s="7" t="inlineStr">
        <is>
          <t>SPA TMF LOGISTICS</t>
        </is>
      </c>
      <c r="F231" s="7" t="inlineStr">
        <is>
          <t>15001</t>
        </is>
      </c>
      <c r="G231" s="7" t="inlineStr">
        <is>
          <t>41100</t>
        </is>
      </c>
      <c r="H231" s="7" t="inlineStr">
        <is>
          <t>C671</t>
        </is>
      </c>
      <c r="I231" s="7" t="inlineStr"/>
      <c r="J231" s="7" t="inlineStr"/>
      <c r="K231" s="7" t="inlineStr">
        <is>
          <t>FEN</t>
        </is>
      </c>
      <c r="L231" s="8" t="n">
        <v>773500</v>
      </c>
      <c r="M231" s="8" t="n">
        <v>0</v>
      </c>
      <c r="N231" s="7" t="inlineStr"/>
      <c r="O231" s="7" t="inlineStr"/>
      <c r="P231" s="7" t="inlineStr"/>
      <c r="Q231" s="7" t="inlineStr"/>
      <c r="R231" s="7" t="inlineStr"/>
    </row>
    <row r="232">
      <c r="A232" s="7" t="inlineStr">
        <is>
          <t>1</t>
        </is>
      </c>
      <c r="B232" s="7" t="inlineStr">
        <is>
          <t>D00077</t>
        </is>
      </c>
      <c r="C232" s="7" t="inlineStr">
        <is>
          <t>20261001</t>
        </is>
      </c>
      <c r="D232" s="7" t="inlineStr">
        <is>
          <t>N°2026000077</t>
        </is>
      </c>
      <c r="E232" s="7" t="inlineStr">
        <is>
          <t>SPA TMF LOGISTICS</t>
        </is>
      </c>
      <c r="F232" s="7" t="inlineStr">
        <is>
          <t>15001</t>
        </is>
      </c>
      <c r="G232" s="7" t="inlineStr">
        <is>
          <t>70003</t>
        </is>
      </c>
      <c r="H232" s="7" t="inlineStr"/>
      <c r="I232" s="7" t="inlineStr"/>
      <c r="J232" s="7" t="inlineStr"/>
      <c r="K232" s="7" t="inlineStr">
        <is>
          <t>FEN</t>
        </is>
      </c>
      <c r="L232" s="8" t="n">
        <v>0</v>
      </c>
      <c r="M232" s="8" t="n">
        <v>650000</v>
      </c>
      <c r="N232" s="7" t="inlineStr"/>
      <c r="O232" s="7" t="inlineStr"/>
      <c r="P232" s="7" t="inlineStr"/>
      <c r="Q232" s="7" t="inlineStr"/>
      <c r="R232" s="7" t="inlineStr"/>
    </row>
    <row r="233">
      <c r="A233" s="7" t="inlineStr">
        <is>
          <t>1</t>
        </is>
      </c>
      <c r="B233" s="7" t="inlineStr">
        <is>
          <t>D00077</t>
        </is>
      </c>
      <c r="C233" s="7" t="inlineStr">
        <is>
          <t>20261001</t>
        </is>
      </c>
      <c r="D233" s="7" t="inlineStr">
        <is>
          <t>N°2026000077</t>
        </is>
      </c>
      <c r="E233" s="7" t="inlineStr">
        <is>
          <t>SPA TMF LOGISTICS</t>
        </is>
      </c>
      <c r="F233" s="7" t="inlineStr">
        <is>
          <t>15001</t>
        </is>
      </c>
      <c r="G233" s="7" t="inlineStr">
        <is>
          <t>44519</t>
        </is>
      </c>
      <c r="H233" s="7" t="inlineStr"/>
      <c r="I233" s="7" t="inlineStr"/>
      <c r="J233" s="7" t="inlineStr"/>
      <c r="K233" s="7" t="inlineStr">
        <is>
          <t>FEN</t>
        </is>
      </c>
      <c r="L233" s="8" t="n">
        <v>0</v>
      </c>
      <c r="M233" s="8" t="n">
        <v>123500</v>
      </c>
      <c r="N233" s="7" t="inlineStr"/>
      <c r="O233" s="7" t="inlineStr"/>
      <c r="P233" s="7" t="inlineStr"/>
      <c r="Q233" s="7" t="inlineStr"/>
      <c r="R233" s="7" t="inlineStr"/>
    </row>
    <row r="234">
      <c r="A234" s="7" t="inlineStr">
        <is>
          <t>1</t>
        </is>
      </c>
      <c r="B234" s="7" t="inlineStr">
        <is>
          <t>D00078</t>
        </is>
      </c>
      <c r="C234" s="7" t="inlineStr">
        <is>
          <t>20261001</t>
        </is>
      </c>
      <c r="D234" s="7" t="inlineStr">
        <is>
          <t>N°2026000078</t>
        </is>
      </c>
      <c r="E234" s="7" t="inlineStr">
        <is>
          <t>SPA TMF LOGISTICS</t>
        </is>
      </c>
      <c r="F234" s="7" t="inlineStr">
        <is>
          <t>15001</t>
        </is>
      </c>
      <c r="G234" s="7" t="inlineStr">
        <is>
          <t>41100</t>
        </is>
      </c>
      <c r="H234" s="7" t="inlineStr">
        <is>
          <t>C671</t>
        </is>
      </c>
      <c r="I234" s="7" t="inlineStr"/>
      <c r="J234" s="7" t="inlineStr"/>
      <c r="K234" s="7" t="inlineStr">
        <is>
          <t>FEN</t>
        </is>
      </c>
      <c r="L234" s="8" t="n">
        <v>1920660</v>
      </c>
      <c r="M234" s="8" t="n">
        <v>0</v>
      </c>
      <c r="N234" s="7" t="inlineStr"/>
      <c r="O234" s="7" t="inlineStr"/>
      <c r="P234" s="7" t="inlineStr"/>
      <c r="Q234" s="7" t="inlineStr"/>
      <c r="R234" s="7" t="inlineStr"/>
    </row>
    <row r="235">
      <c r="A235" s="7" t="inlineStr">
        <is>
          <t>1</t>
        </is>
      </c>
      <c r="B235" s="7" t="inlineStr">
        <is>
          <t>D00078</t>
        </is>
      </c>
      <c r="C235" s="7" t="inlineStr">
        <is>
          <t>20261001</t>
        </is>
      </c>
      <c r="D235" s="7" t="inlineStr">
        <is>
          <t>N°2026000078</t>
        </is>
      </c>
      <c r="E235" s="7" t="inlineStr">
        <is>
          <t>SPA TMF LOGISTICS</t>
        </is>
      </c>
      <c r="F235" s="7" t="inlineStr">
        <is>
          <t>15001</t>
        </is>
      </c>
      <c r="G235" s="7" t="inlineStr">
        <is>
          <t>70003</t>
        </is>
      </c>
      <c r="H235" s="7" t="inlineStr"/>
      <c r="I235" s="7" t="inlineStr"/>
      <c r="J235" s="7" t="inlineStr"/>
      <c r="K235" s="7" t="inlineStr">
        <is>
          <t>FEN</t>
        </is>
      </c>
      <c r="L235" s="8" t="n">
        <v>0</v>
      </c>
      <c r="M235" s="8" t="n">
        <v>1614000</v>
      </c>
      <c r="N235" s="7" t="inlineStr"/>
      <c r="O235" s="7" t="inlineStr"/>
      <c r="P235" s="7" t="inlineStr"/>
      <c r="Q235" s="7" t="inlineStr"/>
      <c r="R235" s="7" t="inlineStr"/>
    </row>
    <row r="236">
      <c r="A236" s="7" t="inlineStr">
        <is>
          <t>1</t>
        </is>
      </c>
      <c r="B236" s="7" t="inlineStr">
        <is>
          <t>D00078</t>
        </is>
      </c>
      <c r="C236" s="7" t="inlineStr">
        <is>
          <t>20261001</t>
        </is>
      </c>
      <c r="D236" s="7" t="inlineStr">
        <is>
          <t>N°2026000078</t>
        </is>
      </c>
      <c r="E236" s="7" t="inlineStr">
        <is>
          <t>SPA TMF LOGISTICS</t>
        </is>
      </c>
      <c r="F236" s="7" t="inlineStr">
        <is>
          <t>15001</t>
        </is>
      </c>
      <c r="G236" s="7" t="inlineStr">
        <is>
          <t>44519</t>
        </is>
      </c>
      <c r="H236" s="7" t="inlineStr"/>
      <c r="I236" s="7" t="inlineStr"/>
      <c r="J236" s="7" t="inlineStr"/>
      <c r="K236" s="7" t="inlineStr">
        <is>
          <t>FEN</t>
        </is>
      </c>
      <c r="L236" s="8" t="n">
        <v>0</v>
      </c>
      <c r="M236" s="8" t="n">
        <v>306660</v>
      </c>
      <c r="N236" s="7" t="inlineStr"/>
      <c r="O236" s="7" t="inlineStr"/>
      <c r="P236" s="7" t="inlineStr"/>
      <c r="Q236" s="7" t="inlineStr"/>
      <c r="R236" s="7" t="inlineStr"/>
    </row>
    <row r="237">
      <c r="A237" s="7" t="inlineStr">
        <is>
          <t>1</t>
        </is>
      </c>
      <c r="B237" s="7" t="inlineStr">
        <is>
          <t>D00079</t>
        </is>
      </c>
      <c r="C237" s="7" t="inlineStr">
        <is>
          <t>20261001</t>
        </is>
      </c>
      <c r="D237" s="7" t="inlineStr">
        <is>
          <t>N°2026000079</t>
        </is>
      </c>
      <c r="E237" s="7" t="inlineStr">
        <is>
          <t>SARL POIDS LOURDS SERVICE</t>
        </is>
      </c>
      <c r="F237" s="7" t="inlineStr">
        <is>
          <t>15001</t>
        </is>
      </c>
      <c r="G237" s="7" t="inlineStr">
        <is>
          <t>41100</t>
        </is>
      </c>
      <c r="H237" s="7" t="inlineStr">
        <is>
          <t>C1084</t>
        </is>
      </c>
      <c r="I237" s="7" t="inlineStr"/>
      <c r="J237" s="7" t="inlineStr"/>
      <c r="K237" s="7" t="inlineStr">
        <is>
          <t>FEN</t>
        </is>
      </c>
      <c r="L237" s="8" t="n">
        <v>89250</v>
      </c>
      <c r="M237" s="8" t="n">
        <v>0</v>
      </c>
      <c r="N237" s="7" t="inlineStr"/>
      <c r="O237" s="7" t="inlineStr"/>
      <c r="P237" s="7" t="inlineStr"/>
      <c r="Q237" s="7" t="inlineStr"/>
      <c r="R237" s="7" t="inlineStr"/>
    </row>
    <row r="238">
      <c r="A238" s="7" t="inlineStr">
        <is>
          <t>1</t>
        </is>
      </c>
      <c r="B238" s="7" t="inlineStr">
        <is>
          <t>D00079</t>
        </is>
      </c>
      <c r="C238" s="7" t="inlineStr">
        <is>
          <t>20261001</t>
        </is>
      </c>
      <c r="D238" s="7" t="inlineStr">
        <is>
          <t>N°2026000079</t>
        </is>
      </c>
      <c r="E238" s="7" t="inlineStr">
        <is>
          <t>SARL POIDS LOURDS SERVICE</t>
        </is>
      </c>
      <c r="F238" s="7" t="inlineStr">
        <is>
          <t>15001</t>
        </is>
      </c>
      <c r="G238" s="7" t="inlineStr">
        <is>
          <t>70003</t>
        </is>
      </c>
      <c r="H238" s="7" t="inlineStr"/>
      <c r="I238" s="7" t="inlineStr"/>
      <c r="J238" s="7" t="inlineStr"/>
      <c r="K238" s="7" t="inlineStr">
        <is>
          <t>FEN</t>
        </is>
      </c>
      <c r="L238" s="8" t="n">
        <v>0</v>
      </c>
      <c r="M238" s="8" t="n">
        <v>75000</v>
      </c>
      <c r="N238" s="7" t="inlineStr"/>
      <c r="O238" s="7" t="inlineStr"/>
      <c r="P238" s="7" t="inlineStr"/>
      <c r="Q238" s="7" t="inlineStr"/>
      <c r="R238" s="7" t="inlineStr"/>
    </row>
    <row r="239">
      <c r="A239" s="7" t="inlineStr">
        <is>
          <t>1</t>
        </is>
      </c>
      <c r="B239" s="7" t="inlineStr">
        <is>
          <t>D00079</t>
        </is>
      </c>
      <c r="C239" s="7" t="inlineStr">
        <is>
          <t>20261001</t>
        </is>
      </c>
      <c r="D239" s="7" t="inlineStr">
        <is>
          <t>N°2026000079</t>
        </is>
      </c>
      <c r="E239" s="7" t="inlineStr">
        <is>
          <t>SARL POIDS LOURDS SERVICE</t>
        </is>
      </c>
      <c r="F239" s="7" t="inlineStr">
        <is>
          <t>15001</t>
        </is>
      </c>
      <c r="G239" s="7" t="inlineStr">
        <is>
          <t>44519</t>
        </is>
      </c>
      <c r="H239" s="7" t="inlineStr"/>
      <c r="I239" s="7" t="inlineStr"/>
      <c r="J239" s="7" t="inlineStr"/>
      <c r="K239" s="7" t="inlineStr">
        <is>
          <t>FEN</t>
        </is>
      </c>
      <c r="L239" s="8" t="n">
        <v>0</v>
      </c>
      <c r="M239" s="8" t="n">
        <v>14250</v>
      </c>
      <c r="N239" s="7" t="inlineStr"/>
      <c r="O239" s="7" t="inlineStr"/>
      <c r="P239" s="7" t="inlineStr"/>
      <c r="Q239" s="7" t="inlineStr"/>
      <c r="R239" s="7" t="inlineStr"/>
    </row>
    <row r="241">
      <c r="E241" s="4" t="inlineStr">
        <is>
          <t>TOTAL</t>
        </is>
      </c>
      <c r="L241" s="5">
        <f>SUM(L2:L239)</f>
        <v/>
      </c>
      <c r="M241" s="5">
        <f>SUM(M2:M239)</f>
        <v/>
      </c>
    </row>
    <row r="242">
      <c r="E242" s="9" t="inlineStr">
        <is>
          <t>Écart débit − crédit (doit être 0)</t>
        </is>
      </c>
      <c r="L242" s="5">
        <f>ROUND(L241-M241,2)</f>
        <v/>
      </c>
    </row>
  </sheetData>
  <autoFilter ref="A1:R23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1" customWidth="1" min="4" max="4"/>
    <col width="8" customWidth="1" min="5" max="5"/>
    <col width="8" customWidth="1" min="6" max="6"/>
    <col width="34" customWidth="1" min="7" max="7"/>
    <col width="9" customWidth="1" min="8" max="8"/>
    <col width="22" customWidth="1" min="9" max="9"/>
    <col width="6" customWidth="1" min="10" max="10"/>
    <col width="15" customWidth="1" min="11" max="11"/>
    <col width="12" customWidth="1" min="12" max="12"/>
    <col width="14" customWidth="1" min="13" max="13"/>
    <col width="15" customWidth="1" min="14" max="14"/>
    <col width="7" customWidth="1" min="15" max="15"/>
    <col width="10" customWidth="1" min="16" max="16"/>
    <col width="8" customWidth="1" min="17" max="17"/>
  </cols>
  <sheetData>
    <row r="1">
      <c r="A1" s="3" t="inlineStr">
        <is>
          <t>Établissement</t>
        </is>
      </c>
      <c r="B1" s="3" t="inlineStr">
        <is>
          <t>N° facture</t>
        </is>
      </c>
      <c r="C1" s="3" t="inlineStr">
        <is>
          <t>Pièce</t>
        </is>
      </c>
      <c r="D1" s="3" t="inlineStr">
        <is>
          <t>Date</t>
        </is>
      </c>
      <c r="E1" s="3" t="inlineStr">
        <is>
          <t>Mois</t>
        </is>
      </c>
      <c r="F1" s="3" t="inlineStr">
        <is>
          <t>Type</t>
        </is>
      </c>
      <c r="G1" s="3" t="inlineStr">
        <is>
          <t>Client</t>
        </is>
      </c>
      <c r="H1" s="3" t="inlineStr">
        <is>
          <t>Code auxiliaire</t>
        </is>
      </c>
      <c r="I1" s="3" t="inlineStr">
        <is>
          <t>Statut du code</t>
        </is>
      </c>
      <c r="J1" s="3" t="inlineStr">
        <is>
          <t>Lignes</t>
        </is>
      </c>
      <c r="K1" s="3" t="inlineStr">
        <is>
          <t>HT taxable</t>
        </is>
      </c>
      <c r="L1" s="3" t="inlineStr">
        <is>
          <t>HT exonéré</t>
        </is>
      </c>
      <c r="M1" s="3" t="inlineStr">
        <is>
          <t>TVA</t>
        </is>
      </c>
      <c r="N1" s="3" t="inlineStr">
        <is>
          <t>TTC</t>
        </is>
      </c>
      <c r="O1" s="3" t="inlineStr">
        <is>
          <t>Journal</t>
        </is>
      </c>
      <c r="P1" s="3" t="inlineStr">
        <is>
          <t>Contrôle TVA 19 %</t>
        </is>
      </c>
      <c r="Q1" s="3" t="inlineStr">
        <is>
          <t>Associé ?</t>
        </is>
      </c>
    </row>
    <row r="2">
      <c r="A2" s="10" t="inlineStr">
        <is>
          <t>Siège (gros / import)</t>
        </is>
      </c>
      <c r="B2" s="7" t="inlineStr">
        <is>
          <t>2026000001</t>
        </is>
      </c>
      <c r="C2" s="10" t="inlineStr">
        <is>
          <t>G00001</t>
        </is>
      </c>
      <c r="D2" s="11" t="n">
        <v>46026</v>
      </c>
      <c r="E2" s="7" t="inlineStr">
        <is>
          <t>2026-01</t>
        </is>
      </c>
      <c r="F2" s="10" t="inlineStr">
        <is>
          <t>Vente</t>
        </is>
      </c>
      <c r="G2" s="10" t="inlineStr">
        <is>
          <t>DJENNADI ABDELKRIM</t>
        </is>
      </c>
      <c r="H2" s="7" t="inlineStr">
        <is>
          <t>C004</t>
        </is>
      </c>
      <c r="I2" s="10" t="inlineStr">
        <is>
          <t>Code existant</t>
        </is>
      </c>
      <c r="J2" s="10" t="n">
        <v>24</v>
      </c>
      <c r="K2" s="12" t="n">
        <v>1680672.27</v>
      </c>
      <c r="L2" s="12" t="n">
        <v>0</v>
      </c>
      <c r="M2" s="12" t="n">
        <v>319327.73</v>
      </c>
      <c r="N2" s="12" t="n">
        <v>2000000</v>
      </c>
      <c r="O2" s="7" t="inlineStr">
        <is>
          <t>06002</t>
        </is>
      </c>
      <c r="P2" s="5">
        <f>ROUND(M2-K2*0.19,2)</f>
        <v/>
      </c>
      <c r="Q2">
        <f>IF(ISNUMBER(SEARCH("DJENNADI",G2)),"OUI","")</f>
        <v/>
      </c>
    </row>
    <row r="3">
      <c r="A3" s="10" t="inlineStr">
        <is>
          <t>Siège (gros / import)</t>
        </is>
      </c>
      <c r="B3" s="7" t="inlineStr">
        <is>
          <t>2026000002</t>
        </is>
      </c>
      <c r="C3" s="10" t="inlineStr">
        <is>
          <t>G00002</t>
        </is>
      </c>
      <c r="D3" s="11" t="n">
        <v>46026</v>
      </c>
      <c r="E3" s="7" t="inlineStr">
        <is>
          <t>2026-01</t>
        </is>
      </c>
      <c r="F3" s="10" t="inlineStr">
        <is>
          <t>Vente</t>
        </is>
      </c>
      <c r="G3" s="10" t="inlineStr">
        <is>
          <t>SNC AVI BOUDEDJA ET CIE</t>
        </is>
      </c>
      <c r="H3" s="7" t="inlineStr">
        <is>
          <t>C1041</t>
        </is>
      </c>
      <c r="I3" s="10" t="inlineStr">
        <is>
          <t>Code existant</t>
        </is>
      </c>
      <c r="J3" s="10" t="n">
        <v>12</v>
      </c>
      <c r="K3" s="12" t="n">
        <v>630252.1</v>
      </c>
      <c r="L3" s="12" t="n">
        <v>0</v>
      </c>
      <c r="M3" s="12" t="n">
        <v>119747.9</v>
      </c>
      <c r="N3" s="12" t="n">
        <v>750000</v>
      </c>
      <c r="O3" s="7" t="inlineStr">
        <is>
          <t>06002</t>
        </is>
      </c>
      <c r="P3" s="5">
        <f>ROUND(M3-K3*0.19,2)</f>
        <v/>
      </c>
      <c r="Q3">
        <f>IF(ISNUMBER(SEARCH("DJENNADI",G3)),"OUI","")</f>
        <v/>
      </c>
    </row>
    <row r="4">
      <c r="A4" s="10" t="inlineStr">
        <is>
          <t>Siège (gros / import)</t>
        </is>
      </c>
      <c r="B4" s="7" t="inlineStr">
        <is>
          <t>2026000003</t>
        </is>
      </c>
      <c r="C4" s="10" t="inlineStr">
        <is>
          <t>G00003</t>
        </is>
      </c>
      <c r="D4" s="11" t="n">
        <v>46027</v>
      </c>
      <c r="E4" s="7" t="inlineStr">
        <is>
          <t>2026-01</t>
        </is>
      </c>
      <c r="F4" s="10" t="inlineStr">
        <is>
          <t>Vente</t>
        </is>
      </c>
      <c r="G4" s="10" t="inlineStr">
        <is>
          <t>SNC AVI BOUDEDJA ET CIE</t>
        </is>
      </c>
      <c r="H4" s="7" t="inlineStr">
        <is>
          <t>C1041</t>
        </is>
      </c>
      <c r="I4" s="10" t="inlineStr">
        <is>
          <t>Code existant</t>
        </is>
      </c>
      <c r="J4" s="10" t="n">
        <v>14</v>
      </c>
      <c r="K4" s="12" t="n">
        <v>513613.45</v>
      </c>
      <c r="L4" s="12" t="n">
        <v>0</v>
      </c>
      <c r="M4" s="12" t="n">
        <v>97586.56</v>
      </c>
      <c r="N4" s="12" t="n">
        <v>611200.01</v>
      </c>
      <c r="O4" s="7" t="inlineStr">
        <is>
          <t>06002</t>
        </is>
      </c>
      <c r="P4" s="5">
        <f>ROUND(M4-K4*0.19,2)</f>
        <v/>
      </c>
      <c r="Q4">
        <f>IF(ISNUMBER(SEARCH("DJENNADI",G4)),"OUI","")</f>
        <v/>
      </c>
    </row>
    <row r="5">
      <c r="A5" s="10" t="inlineStr">
        <is>
          <t>Siège (gros / import)</t>
        </is>
      </c>
      <c r="B5" s="7" t="inlineStr">
        <is>
          <t>2026000004</t>
        </is>
      </c>
      <c r="C5" s="10" t="inlineStr">
        <is>
          <t>G00004</t>
        </is>
      </c>
      <c r="D5" s="11" t="n">
        <v>46027</v>
      </c>
      <c r="E5" s="7" t="inlineStr">
        <is>
          <t>2026-01</t>
        </is>
      </c>
      <c r="F5" s="10" t="inlineStr">
        <is>
          <t>Vente</t>
        </is>
      </c>
      <c r="G5" s="10" t="inlineStr">
        <is>
          <t>EURL B.S. COMMERCE</t>
        </is>
      </c>
      <c r="H5" s="7" t="inlineStr">
        <is>
          <t>C740</t>
        </is>
      </c>
      <c r="I5" s="10" t="inlineStr">
        <is>
          <t>Code existant</t>
        </is>
      </c>
      <c r="J5" s="10" t="n">
        <v>12</v>
      </c>
      <c r="K5" s="12" t="n">
        <v>380504.2</v>
      </c>
      <c r="L5" s="12" t="n">
        <v>0</v>
      </c>
      <c r="M5" s="12" t="n">
        <v>72295.8</v>
      </c>
      <c r="N5" s="12" t="n">
        <v>452800</v>
      </c>
      <c r="O5" s="7" t="inlineStr">
        <is>
          <t>06002</t>
        </is>
      </c>
      <c r="P5" s="5">
        <f>ROUND(M5-K5*0.19,2)</f>
        <v/>
      </c>
      <c r="Q5">
        <f>IF(ISNUMBER(SEARCH("DJENNADI",G5)),"OUI","")</f>
        <v/>
      </c>
    </row>
    <row r="6">
      <c r="A6" s="10" t="inlineStr">
        <is>
          <t>Siège (gros / import)</t>
        </is>
      </c>
      <c r="B6" s="7" t="inlineStr">
        <is>
          <t>2026000005</t>
        </is>
      </c>
      <c r="C6" s="10" t="inlineStr">
        <is>
          <t>G00005</t>
        </is>
      </c>
      <c r="D6" s="11" t="n">
        <v>46027</v>
      </c>
      <c r="E6" s="7" t="inlineStr">
        <is>
          <t>2026-01</t>
        </is>
      </c>
      <c r="F6" s="10" t="inlineStr">
        <is>
          <t>Vente</t>
        </is>
      </c>
      <c r="G6" s="10" t="inlineStr">
        <is>
          <t>ENTREPRISE NAFTAL AGENCE COM ORAN</t>
        </is>
      </c>
      <c r="H6" s="7" t="inlineStr">
        <is>
          <t>C1079</t>
        </is>
      </c>
      <c r="I6" s="10" t="inlineStr">
        <is>
          <t>Nouveau code à créer</t>
        </is>
      </c>
      <c r="J6" s="10" t="n">
        <v>1</v>
      </c>
      <c r="K6" s="12" t="n">
        <v>102252.1</v>
      </c>
      <c r="L6" s="12" t="n">
        <v>0</v>
      </c>
      <c r="M6" s="12" t="n">
        <v>19427.9</v>
      </c>
      <c r="N6" s="12" t="n">
        <v>121680</v>
      </c>
      <c r="O6" s="7" t="inlineStr">
        <is>
          <t>06002</t>
        </is>
      </c>
      <c r="P6" s="5">
        <f>ROUND(M6-K6*0.19,2)</f>
        <v/>
      </c>
      <c r="Q6">
        <f>IF(ISNUMBER(SEARCH("DJENNADI",G6)),"OUI","")</f>
        <v/>
      </c>
    </row>
    <row r="7">
      <c r="A7" s="10" t="inlineStr">
        <is>
          <t>Siège (gros / import)</t>
        </is>
      </c>
      <c r="B7" s="7" t="inlineStr">
        <is>
          <t>2026000006</t>
        </is>
      </c>
      <c r="C7" s="10" t="inlineStr">
        <is>
          <t>G00006</t>
        </is>
      </c>
      <c r="D7" s="11" t="n">
        <v>46028</v>
      </c>
      <c r="E7" s="7" t="inlineStr">
        <is>
          <t>2026-01</t>
        </is>
      </c>
      <c r="F7" s="10" t="inlineStr">
        <is>
          <t>Vente</t>
        </is>
      </c>
      <c r="G7" s="10" t="inlineStr">
        <is>
          <t>EURL MEHTAR SERVICES</t>
        </is>
      </c>
      <c r="H7" s="7" t="inlineStr">
        <is>
          <t>C1050</t>
        </is>
      </c>
      <c r="I7" s="10" t="inlineStr">
        <is>
          <t>Code existant</t>
        </is>
      </c>
      <c r="J7" s="10" t="n">
        <v>7</v>
      </c>
      <c r="K7" s="12" t="n">
        <v>294117.65</v>
      </c>
      <c r="L7" s="12" t="n">
        <v>0</v>
      </c>
      <c r="M7" s="12" t="n">
        <v>55882.35</v>
      </c>
      <c r="N7" s="12" t="n">
        <v>350000</v>
      </c>
      <c r="O7" s="7" t="inlineStr">
        <is>
          <t>06002</t>
        </is>
      </c>
      <c r="P7" s="5">
        <f>ROUND(M7-K7*0.19,2)</f>
        <v/>
      </c>
      <c r="Q7">
        <f>IF(ISNUMBER(SEARCH("DJENNADI",G7)),"OUI","")</f>
        <v/>
      </c>
    </row>
    <row r="8">
      <c r="A8" s="10" t="inlineStr">
        <is>
          <t>Siège (gros / import)</t>
        </is>
      </c>
      <c r="B8" s="7" t="inlineStr">
        <is>
          <t>2026000007</t>
        </is>
      </c>
      <c r="C8" s="10" t="inlineStr">
        <is>
          <t>G00007</t>
        </is>
      </c>
      <c r="D8" s="11" t="n">
        <v>46029</v>
      </c>
      <c r="E8" s="7" t="inlineStr">
        <is>
          <t>2026-01</t>
        </is>
      </c>
      <c r="F8" s="10" t="inlineStr">
        <is>
          <t>Vente</t>
        </is>
      </c>
      <c r="G8" s="10" t="inlineStr">
        <is>
          <t>EURL MEHTAR SERVICES</t>
        </is>
      </c>
      <c r="H8" s="7" t="inlineStr">
        <is>
          <t>C1050</t>
        </is>
      </c>
      <c r="I8" s="10" t="inlineStr">
        <is>
          <t>Code existant</t>
        </is>
      </c>
      <c r="J8" s="10" t="n">
        <v>7</v>
      </c>
      <c r="K8" s="12" t="n">
        <v>168067.23</v>
      </c>
      <c r="L8" s="12" t="n">
        <v>0</v>
      </c>
      <c r="M8" s="12" t="n">
        <v>31932.77</v>
      </c>
      <c r="N8" s="12" t="n">
        <v>200000</v>
      </c>
      <c r="O8" s="7" t="inlineStr">
        <is>
          <t>06002</t>
        </is>
      </c>
      <c r="P8" s="5">
        <f>ROUND(M8-K8*0.19,2)</f>
        <v/>
      </c>
      <c r="Q8">
        <f>IF(ISNUMBER(SEARCH("DJENNADI",G8)),"OUI","")</f>
        <v/>
      </c>
    </row>
    <row r="9">
      <c r="A9" s="10" t="inlineStr">
        <is>
          <t>Siège (gros / import)</t>
        </is>
      </c>
      <c r="B9" s="7" t="inlineStr">
        <is>
          <t>2026000008</t>
        </is>
      </c>
      <c r="C9" s="10" t="inlineStr">
        <is>
          <t>G00008</t>
        </is>
      </c>
      <c r="D9" s="11" t="n">
        <v>46030</v>
      </c>
      <c r="E9" s="7" t="inlineStr">
        <is>
          <t>2026-01</t>
        </is>
      </c>
      <c r="F9" s="10" t="inlineStr">
        <is>
          <t>Vente</t>
        </is>
      </c>
      <c r="G9" s="10" t="inlineStr">
        <is>
          <t>SAHRAOUI BECHAGHA</t>
        </is>
      </c>
      <c r="H9" s="7" t="inlineStr">
        <is>
          <t>C975</t>
        </is>
      </c>
      <c r="I9" s="10" t="inlineStr">
        <is>
          <t>Code existant</t>
        </is>
      </c>
      <c r="J9" s="10" t="n">
        <v>5</v>
      </c>
      <c r="K9" s="12" t="n">
        <v>133529.41</v>
      </c>
      <c r="L9" s="12" t="n">
        <v>0</v>
      </c>
      <c r="M9" s="12" t="n">
        <v>25370.59</v>
      </c>
      <c r="N9" s="12" t="n">
        <v>158900</v>
      </c>
      <c r="O9" s="7" t="inlineStr">
        <is>
          <t>06002</t>
        </is>
      </c>
      <c r="P9" s="5">
        <f>ROUND(M9-K9*0.19,2)</f>
        <v/>
      </c>
      <c r="Q9">
        <f>IF(ISNUMBER(SEARCH("DJENNADI",G9)),"OUI","")</f>
        <v/>
      </c>
    </row>
    <row r="10">
      <c r="A10" s="10" t="inlineStr">
        <is>
          <t>Siège (gros / import)</t>
        </is>
      </c>
      <c r="B10" s="7" t="inlineStr">
        <is>
          <t>2026000009</t>
        </is>
      </c>
      <c r="C10" s="10" t="inlineStr">
        <is>
          <t>G00009</t>
        </is>
      </c>
      <c r="D10" s="11" t="n">
        <v>46030</v>
      </c>
      <c r="E10" s="7" t="inlineStr">
        <is>
          <t>2026-01</t>
        </is>
      </c>
      <c r="F10" s="10" t="inlineStr">
        <is>
          <t>Vente</t>
        </is>
      </c>
      <c r="G10" s="10" t="inlineStr">
        <is>
          <t>SARL ECI  BOUDIAB</t>
        </is>
      </c>
      <c r="H10" s="7" t="inlineStr">
        <is>
          <t>C1076</t>
        </is>
      </c>
      <c r="I10" s="10" t="inlineStr">
        <is>
          <t>Code existant</t>
        </is>
      </c>
      <c r="J10" s="10" t="n">
        <v>2</v>
      </c>
      <c r="K10" s="12" t="n">
        <v>213000</v>
      </c>
      <c r="L10" s="12" t="n">
        <v>0</v>
      </c>
      <c r="M10" s="12" t="n">
        <v>40470</v>
      </c>
      <c r="N10" s="12" t="n">
        <v>253470</v>
      </c>
      <c r="O10" s="7" t="inlineStr">
        <is>
          <t>06002</t>
        </is>
      </c>
      <c r="P10" s="5">
        <f>ROUND(M10-K10*0.19,2)</f>
        <v/>
      </c>
      <c r="Q10">
        <f>IF(ISNUMBER(SEARCH("DJENNADI",G10)),"OUI","")</f>
        <v/>
      </c>
    </row>
    <row r="11">
      <c r="A11" s="10" t="inlineStr">
        <is>
          <t>Siège (gros / import)</t>
        </is>
      </c>
      <c r="B11" s="7" t="inlineStr">
        <is>
          <t>2026000010</t>
        </is>
      </c>
      <c r="C11" s="10" t="inlineStr">
        <is>
          <t>G00010</t>
        </is>
      </c>
      <c r="D11" s="11" t="n">
        <v>46033</v>
      </c>
      <c r="E11" s="7" t="inlineStr">
        <is>
          <t>2026-01</t>
        </is>
      </c>
      <c r="F11" s="10" t="inlineStr">
        <is>
          <t>Vente</t>
        </is>
      </c>
      <c r="G11" s="10" t="inlineStr">
        <is>
          <t>MOHELLEBI MOHAMMED</t>
        </is>
      </c>
      <c r="H11" s="7" t="inlineStr">
        <is>
          <t>C599</t>
        </is>
      </c>
      <c r="I11" s="10" t="inlineStr">
        <is>
          <t>Code existant (nom proche)</t>
        </is>
      </c>
      <c r="J11" s="10" t="n">
        <v>12</v>
      </c>
      <c r="K11" s="12" t="n">
        <v>681969.75</v>
      </c>
      <c r="L11" s="12" t="n">
        <v>0</v>
      </c>
      <c r="M11" s="12" t="n">
        <v>129574.25</v>
      </c>
      <c r="N11" s="12" t="n">
        <v>811544</v>
      </c>
      <c r="O11" s="7" t="inlineStr">
        <is>
          <t>06002</t>
        </is>
      </c>
      <c r="P11" s="5">
        <f>ROUND(M11-K11*0.19,2)</f>
        <v/>
      </c>
      <c r="Q11">
        <f>IF(ISNUMBER(SEARCH("DJENNADI",G11)),"OUI","")</f>
        <v/>
      </c>
    </row>
    <row r="12">
      <c r="A12" s="10" t="inlineStr">
        <is>
          <t>Siège (gros / import)</t>
        </is>
      </c>
      <c r="B12" s="7" t="inlineStr">
        <is>
          <t>2026000011</t>
        </is>
      </c>
      <c r="C12" s="10" t="inlineStr">
        <is>
          <t>G00011</t>
        </is>
      </c>
      <c r="D12" s="11" t="n">
        <v>46033</v>
      </c>
      <c r="E12" s="7" t="inlineStr">
        <is>
          <t>2026-01</t>
        </is>
      </c>
      <c r="F12" s="10" t="inlineStr">
        <is>
          <t>Vente</t>
        </is>
      </c>
      <c r="G12" s="10" t="inlineStr">
        <is>
          <t>SARL ROYAL MATERIAUX  DE CONSTRUCTION</t>
        </is>
      </c>
      <c r="H12" s="7" t="inlineStr">
        <is>
          <t>C934</t>
        </is>
      </c>
      <c r="I12" s="10" t="inlineStr">
        <is>
          <t>Code existant (nom proche)</t>
        </is>
      </c>
      <c r="J12" s="10" t="n">
        <v>4</v>
      </c>
      <c r="K12" s="12" t="n">
        <v>107872.27</v>
      </c>
      <c r="L12" s="12" t="n">
        <v>0</v>
      </c>
      <c r="M12" s="12" t="n">
        <v>20495.73</v>
      </c>
      <c r="N12" s="12" t="n">
        <v>128368</v>
      </c>
      <c r="O12" s="7" t="inlineStr">
        <is>
          <t>06002</t>
        </is>
      </c>
      <c r="P12" s="5">
        <f>ROUND(M12-K12*0.19,2)</f>
        <v/>
      </c>
      <c r="Q12">
        <f>IF(ISNUMBER(SEARCH("DJENNADI",G12)),"OUI","")</f>
        <v/>
      </c>
    </row>
    <row r="13">
      <c r="A13" s="10" t="inlineStr">
        <is>
          <t>Siège (gros / import)</t>
        </is>
      </c>
      <c r="B13" s="7" t="inlineStr">
        <is>
          <t>2026000012</t>
        </is>
      </c>
      <c r="C13" s="10" t="inlineStr">
        <is>
          <t>G00012</t>
        </is>
      </c>
      <c r="D13" s="11" t="n">
        <v>46035</v>
      </c>
      <c r="E13" s="7" t="inlineStr">
        <is>
          <t>2026-01</t>
        </is>
      </c>
      <c r="F13" s="10" t="inlineStr">
        <is>
          <t>Vente</t>
        </is>
      </c>
      <c r="G13" s="10" t="inlineStr">
        <is>
          <t>SARL ROYAL MATERIAUX  DE CONSTRUCTION</t>
        </is>
      </c>
      <c r="H13" s="7" t="inlineStr">
        <is>
          <t>C934</t>
        </is>
      </c>
      <c r="I13" s="10" t="inlineStr">
        <is>
          <t>Code existant (nom proche)</t>
        </is>
      </c>
      <c r="J13" s="10" t="n">
        <v>6</v>
      </c>
      <c r="K13" s="12" t="n">
        <v>96844.53999999999</v>
      </c>
      <c r="L13" s="12" t="n">
        <v>0</v>
      </c>
      <c r="M13" s="12" t="n">
        <v>18400.46</v>
      </c>
      <c r="N13" s="12" t="n">
        <v>115245</v>
      </c>
      <c r="O13" s="7" t="inlineStr">
        <is>
          <t>06002</t>
        </is>
      </c>
      <c r="P13" s="5">
        <f>ROUND(M13-K13*0.19,2)</f>
        <v/>
      </c>
      <c r="Q13">
        <f>IF(ISNUMBER(SEARCH("DJENNADI",G13)),"OUI","")</f>
        <v/>
      </c>
    </row>
    <row r="14">
      <c r="A14" s="10" t="inlineStr">
        <is>
          <t>Siège (gros / import)</t>
        </is>
      </c>
      <c r="B14" s="7" t="inlineStr">
        <is>
          <t>2026000013</t>
        </is>
      </c>
      <c r="C14" s="10" t="inlineStr">
        <is>
          <t>G00013</t>
        </is>
      </c>
      <c r="D14" s="11" t="n">
        <v>46035</v>
      </c>
      <c r="E14" s="7" t="inlineStr">
        <is>
          <t>2026-01</t>
        </is>
      </c>
      <c r="F14" s="10" t="inlineStr">
        <is>
          <t>Vente</t>
        </is>
      </c>
      <c r="G14" s="10" t="inlineStr">
        <is>
          <t>SARL ROYAL MATERIAUX  DE CONSTRUCTION</t>
        </is>
      </c>
      <c r="H14" s="7" t="inlineStr">
        <is>
          <t>C934</t>
        </is>
      </c>
      <c r="I14" s="10" t="inlineStr">
        <is>
          <t>Code existant (nom proche)</t>
        </is>
      </c>
      <c r="J14" s="10" t="n">
        <v>6</v>
      </c>
      <c r="K14" s="12" t="n">
        <v>91368.07000000001</v>
      </c>
      <c r="L14" s="12" t="n">
        <v>0</v>
      </c>
      <c r="M14" s="12" t="n">
        <v>17359.93</v>
      </c>
      <c r="N14" s="12" t="n">
        <v>108728</v>
      </c>
      <c r="O14" s="7" t="inlineStr">
        <is>
          <t>06002</t>
        </is>
      </c>
      <c r="P14" s="5">
        <f>ROUND(M14-K14*0.19,2)</f>
        <v/>
      </c>
      <c r="Q14">
        <f>IF(ISNUMBER(SEARCH("DJENNADI",G14)),"OUI","")</f>
        <v/>
      </c>
    </row>
    <row r="15">
      <c r="A15" s="10" t="inlineStr">
        <is>
          <t>Siège (gros / import)</t>
        </is>
      </c>
      <c r="B15" s="7" t="inlineStr">
        <is>
          <t>2026000014</t>
        </is>
      </c>
      <c r="C15" s="10" t="inlineStr">
        <is>
          <t>G00014</t>
        </is>
      </c>
      <c r="D15" s="11" t="n">
        <v>46036</v>
      </c>
      <c r="E15" s="7" t="inlineStr">
        <is>
          <t>2026-01</t>
        </is>
      </c>
      <c r="F15" s="10" t="inlineStr">
        <is>
          <t>Vente</t>
        </is>
      </c>
      <c r="G15" s="10" t="inlineStr">
        <is>
          <t>BOUAMARA HICHAM</t>
        </is>
      </c>
      <c r="H15" s="7" t="inlineStr">
        <is>
          <t>C1080</t>
        </is>
      </c>
      <c r="I15" s="10" t="inlineStr">
        <is>
          <t>Nouveau code à créer</t>
        </is>
      </c>
      <c r="J15" s="10" t="n">
        <v>4</v>
      </c>
      <c r="K15" s="12" t="n">
        <v>108254.62</v>
      </c>
      <c r="L15" s="12" t="n">
        <v>0</v>
      </c>
      <c r="M15" s="12" t="n">
        <v>20568.38</v>
      </c>
      <c r="N15" s="12" t="n">
        <v>128823</v>
      </c>
      <c r="O15" s="7" t="inlineStr">
        <is>
          <t>06002</t>
        </is>
      </c>
      <c r="P15" s="5">
        <f>ROUND(M15-K15*0.19,2)</f>
        <v/>
      </c>
      <c r="Q15">
        <f>IF(ISNUMBER(SEARCH("DJENNADI",G15)),"OUI","")</f>
        <v/>
      </c>
    </row>
    <row r="16">
      <c r="A16" s="10" t="inlineStr">
        <is>
          <t>Siège (gros / import)</t>
        </is>
      </c>
      <c r="B16" s="7" t="inlineStr">
        <is>
          <t>2026000015</t>
        </is>
      </c>
      <c r="C16" s="10" t="inlineStr">
        <is>
          <t>G00015</t>
        </is>
      </c>
      <c r="D16" s="11" t="n">
        <v>46037</v>
      </c>
      <c r="E16" s="7" t="inlineStr">
        <is>
          <t>2026-01</t>
        </is>
      </c>
      <c r="F16" s="10" t="inlineStr">
        <is>
          <t>Vente</t>
        </is>
      </c>
      <c r="G16" s="10" t="inlineStr">
        <is>
          <t>BOUAMARA HICHAM</t>
        </is>
      </c>
      <c r="H16" s="7" t="inlineStr">
        <is>
          <t>C1080</t>
        </is>
      </c>
      <c r="I16" s="10" t="inlineStr">
        <is>
          <t>Nouveau code à créer</t>
        </is>
      </c>
      <c r="J16" s="10" t="n">
        <v>3</v>
      </c>
      <c r="K16" s="12" t="n">
        <v>107636.98</v>
      </c>
      <c r="L16" s="12" t="n">
        <v>0</v>
      </c>
      <c r="M16" s="12" t="n">
        <v>20451.03</v>
      </c>
      <c r="N16" s="12" t="n">
        <v>128088.01</v>
      </c>
      <c r="O16" s="7" t="inlineStr">
        <is>
          <t>06002</t>
        </is>
      </c>
      <c r="P16" s="5">
        <f>ROUND(M16-K16*0.19,2)</f>
        <v/>
      </c>
      <c r="Q16">
        <f>IF(ISNUMBER(SEARCH("DJENNADI",G16)),"OUI","")</f>
        <v/>
      </c>
    </row>
    <row r="17">
      <c r="A17" s="10" t="inlineStr">
        <is>
          <t>Siège (gros / import)</t>
        </is>
      </c>
      <c r="B17" s="7" t="inlineStr">
        <is>
          <t>2026000016</t>
        </is>
      </c>
      <c r="C17" s="10" t="inlineStr">
        <is>
          <t>G00016</t>
        </is>
      </c>
      <c r="D17" s="11" t="n">
        <v>46040</v>
      </c>
      <c r="E17" s="7" t="inlineStr">
        <is>
          <t>2026-01</t>
        </is>
      </c>
      <c r="F17" s="10" t="inlineStr">
        <is>
          <t>Vente</t>
        </is>
      </c>
      <c r="G17" s="10" t="inlineStr">
        <is>
          <t>BOUAMARA HICHAM</t>
        </is>
      </c>
      <c r="H17" s="7" t="inlineStr">
        <is>
          <t>C1080</t>
        </is>
      </c>
      <c r="I17" s="10" t="inlineStr">
        <is>
          <t>Nouveau code à créer</t>
        </is>
      </c>
      <c r="J17" s="10" t="n">
        <v>6</v>
      </c>
      <c r="K17" s="12" t="n">
        <v>88515.97</v>
      </c>
      <c r="L17" s="12" t="n">
        <v>0</v>
      </c>
      <c r="M17" s="12" t="n">
        <v>16818.03</v>
      </c>
      <c r="N17" s="12" t="n">
        <v>105334</v>
      </c>
      <c r="O17" s="7" t="inlineStr">
        <is>
          <t>06002</t>
        </is>
      </c>
      <c r="P17" s="5">
        <f>ROUND(M17-K17*0.19,2)</f>
        <v/>
      </c>
      <c r="Q17">
        <f>IF(ISNUMBER(SEARCH("DJENNADI",G17)),"OUI","")</f>
        <v/>
      </c>
    </row>
    <row r="18">
      <c r="A18" s="10" t="inlineStr">
        <is>
          <t>Siège (gros / import)</t>
        </is>
      </c>
      <c r="B18" s="7" t="inlineStr">
        <is>
          <t>2026000017</t>
        </is>
      </c>
      <c r="C18" s="10" t="inlineStr">
        <is>
          <t>G00017</t>
        </is>
      </c>
      <c r="D18" s="11" t="n">
        <v>46040</v>
      </c>
      <c r="E18" s="7" t="inlineStr">
        <is>
          <t>2026-01</t>
        </is>
      </c>
      <c r="F18" s="10" t="inlineStr">
        <is>
          <t>Vente</t>
        </is>
      </c>
      <c r="G18" s="10" t="inlineStr">
        <is>
          <t>MOHELLEBI MOHAMMED</t>
        </is>
      </c>
      <c r="H18" s="7" t="inlineStr">
        <is>
          <t>C599</t>
        </is>
      </c>
      <c r="I18" s="10" t="inlineStr">
        <is>
          <t>Code existant (nom proche)</t>
        </is>
      </c>
      <c r="J18" s="10" t="n">
        <v>3</v>
      </c>
      <c r="K18" s="12" t="n">
        <v>36414</v>
      </c>
      <c r="L18" s="12" t="n">
        <v>0</v>
      </c>
      <c r="M18" s="12" t="n">
        <v>6918.66</v>
      </c>
      <c r="N18" s="12" t="n">
        <v>43332.66</v>
      </c>
      <c r="O18" s="7" t="inlineStr">
        <is>
          <t>06002</t>
        </is>
      </c>
      <c r="P18" s="5">
        <f>ROUND(M18-K18*0.19,2)</f>
        <v/>
      </c>
      <c r="Q18">
        <f>IF(ISNUMBER(SEARCH("DJENNADI",G18)),"OUI","")</f>
        <v/>
      </c>
    </row>
    <row r="19">
      <c r="A19" s="10" t="inlineStr">
        <is>
          <t>Siège (gros / import)</t>
        </is>
      </c>
      <c r="B19" s="7" t="inlineStr">
        <is>
          <t>2026000018</t>
        </is>
      </c>
      <c r="C19" s="10" t="inlineStr">
        <is>
          <t>G00018</t>
        </is>
      </c>
      <c r="D19" s="11" t="n">
        <v>46041</v>
      </c>
      <c r="E19" s="7" t="inlineStr">
        <is>
          <t>2026-01</t>
        </is>
      </c>
      <c r="F19" s="10" t="inlineStr">
        <is>
          <t>Vente</t>
        </is>
      </c>
      <c r="G19" s="10" t="inlineStr">
        <is>
          <t>EURL TRANSPORT DE MARCHANDISES SERIR</t>
        </is>
      </c>
      <c r="H19" s="7" t="inlineStr">
        <is>
          <t>C1081</t>
        </is>
      </c>
      <c r="I19" s="10" t="inlineStr">
        <is>
          <t>Nouveau code à créer</t>
        </is>
      </c>
      <c r="J19" s="10" t="n">
        <v>4</v>
      </c>
      <c r="K19" s="12" t="n">
        <v>43375.5</v>
      </c>
      <c r="L19" s="12" t="n">
        <v>0</v>
      </c>
      <c r="M19" s="12" t="n">
        <v>8241.35</v>
      </c>
      <c r="N19" s="12" t="n">
        <v>51616.85</v>
      </c>
      <c r="O19" s="7" t="inlineStr">
        <is>
          <t>06002</t>
        </is>
      </c>
      <c r="P19" s="5">
        <f>ROUND(M19-K19*0.19,2)</f>
        <v/>
      </c>
      <c r="Q19">
        <f>IF(ISNUMBER(SEARCH("DJENNADI",G19)),"OUI","")</f>
        <v/>
      </c>
    </row>
    <row r="20">
      <c r="A20" s="10" t="inlineStr">
        <is>
          <t>Siège (gros / import)</t>
        </is>
      </c>
      <c r="B20" s="7" t="inlineStr">
        <is>
          <t>2026000019</t>
        </is>
      </c>
      <c r="C20" s="10" t="inlineStr">
        <is>
          <t>G00019</t>
        </is>
      </c>
      <c r="D20" s="11" t="n">
        <v>46042</v>
      </c>
      <c r="E20" s="7" t="inlineStr">
        <is>
          <t>2026-01</t>
        </is>
      </c>
      <c r="F20" s="10" t="inlineStr">
        <is>
          <t>Vente</t>
        </is>
      </c>
      <c r="G20" s="10" t="inlineStr">
        <is>
          <t>SARL SERVICES POIDS LOURDS</t>
        </is>
      </c>
      <c r="H20" s="7" t="inlineStr">
        <is>
          <t>C668</t>
        </is>
      </c>
      <c r="I20" s="10" t="inlineStr">
        <is>
          <t>Code existant</t>
        </is>
      </c>
      <c r="J20" s="10" t="n">
        <v>13</v>
      </c>
      <c r="K20" s="12" t="n">
        <v>840336.14</v>
      </c>
      <c r="L20" s="12" t="n">
        <v>0</v>
      </c>
      <c r="M20" s="12" t="n">
        <v>159663.87</v>
      </c>
      <c r="N20" s="12" t="n">
        <v>1000000.01</v>
      </c>
      <c r="O20" s="7" t="inlineStr">
        <is>
          <t>06002</t>
        </is>
      </c>
      <c r="P20" s="5">
        <f>ROUND(M20-K20*0.19,2)</f>
        <v/>
      </c>
      <c r="Q20">
        <f>IF(ISNUMBER(SEARCH("DJENNADI",G20)),"OUI","")</f>
        <v/>
      </c>
    </row>
    <row r="21">
      <c r="A21" s="10" t="inlineStr">
        <is>
          <t>Siège (gros / import)</t>
        </is>
      </c>
      <c r="B21" s="7" t="inlineStr">
        <is>
          <t>2026000020</t>
        </is>
      </c>
      <c r="C21" s="10" t="inlineStr">
        <is>
          <t>G00020</t>
        </is>
      </c>
      <c r="D21" s="11" t="n">
        <v>46043</v>
      </c>
      <c r="E21" s="7" t="inlineStr">
        <is>
          <t>2026-01</t>
        </is>
      </c>
      <c r="F21" s="10" t="inlineStr">
        <is>
          <t>Vente</t>
        </is>
      </c>
      <c r="G21" s="10" t="inlineStr">
        <is>
          <t>SARL SERVICES POIDS LOURDS</t>
        </is>
      </c>
      <c r="H21" s="7" t="inlineStr">
        <is>
          <t>C668</t>
        </is>
      </c>
      <c r="I21" s="10" t="inlineStr">
        <is>
          <t>Code existant</t>
        </is>
      </c>
      <c r="J21" s="10" t="n">
        <v>22</v>
      </c>
      <c r="K21" s="12" t="n">
        <v>2100840.34</v>
      </c>
      <c r="L21" s="12" t="n">
        <v>0</v>
      </c>
      <c r="M21" s="12" t="n">
        <v>399159.66</v>
      </c>
      <c r="N21" s="12" t="n">
        <v>2500000</v>
      </c>
      <c r="O21" s="7" t="inlineStr">
        <is>
          <t>06002</t>
        </is>
      </c>
      <c r="P21" s="5">
        <f>ROUND(M21-K21*0.19,2)</f>
        <v/>
      </c>
      <c r="Q21">
        <f>IF(ISNUMBER(SEARCH("DJENNADI",G21)),"OUI","")</f>
        <v/>
      </c>
    </row>
    <row r="22">
      <c r="A22" s="10" t="inlineStr">
        <is>
          <t>Siège (gros / import)</t>
        </is>
      </c>
      <c r="B22" s="7" t="inlineStr">
        <is>
          <t>2026000021</t>
        </is>
      </c>
      <c r="C22" s="10" t="inlineStr">
        <is>
          <t>G00021</t>
        </is>
      </c>
      <c r="D22" s="11" t="n">
        <v>46043</v>
      </c>
      <c r="E22" s="7" t="inlineStr">
        <is>
          <t>2026-01</t>
        </is>
      </c>
      <c r="F22" s="10" t="inlineStr">
        <is>
          <t>Vente</t>
        </is>
      </c>
      <c r="G22" s="10" t="inlineStr">
        <is>
          <t>ZIANI LAKHDAR</t>
        </is>
      </c>
      <c r="H22" s="7" t="inlineStr">
        <is>
          <t>C916</t>
        </is>
      </c>
      <c r="I22" s="10" t="inlineStr">
        <is>
          <t>Code existant</t>
        </is>
      </c>
      <c r="J22" s="10" t="n">
        <v>13</v>
      </c>
      <c r="K22" s="12" t="n">
        <v>1262184.87</v>
      </c>
      <c r="L22" s="12" t="n">
        <v>0</v>
      </c>
      <c r="M22" s="12" t="n">
        <v>239815.13</v>
      </c>
      <c r="N22" s="12" t="n">
        <v>1502000</v>
      </c>
      <c r="O22" s="7" t="inlineStr">
        <is>
          <t>06002</t>
        </is>
      </c>
      <c r="P22" s="5">
        <f>ROUND(M22-K22*0.19,2)</f>
        <v/>
      </c>
      <c r="Q22">
        <f>IF(ISNUMBER(SEARCH("DJENNADI",G22)),"OUI","")</f>
        <v/>
      </c>
    </row>
    <row r="23">
      <c r="A23" s="10" t="inlineStr">
        <is>
          <t>Siège (gros / import)</t>
        </is>
      </c>
      <c r="B23" s="7" t="inlineStr">
        <is>
          <t>2026000022</t>
        </is>
      </c>
      <c r="C23" s="10" t="inlineStr">
        <is>
          <t>G00022</t>
        </is>
      </c>
      <c r="D23" s="11" t="n">
        <v>46044</v>
      </c>
      <c r="E23" s="7" t="inlineStr">
        <is>
          <t>2026-01</t>
        </is>
      </c>
      <c r="F23" s="10" t="inlineStr">
        <is>
          <t>Vente</t>
        </is>
      </c>
      <c r="G23" s="10" t="inlineStr">
        <is>
          <t>HENNOUNI ALI</t>
        </is>
      </c>
      <c r="H23" s="7" t="inlineStr">
        <is>
          <t>C051</t>
        </is>
      </c>
      <c r="I23" s="10" t="inlineStr">
        <is>
          <t>Code existant</t>
        </is>
      </c>
      <c r="J23" s="10" t="n">
        <v>7</v>
      </c>
      <c r="K23" s="12" t="n">
        <v>117647.06</v>
      </c>
      <c r="L23" s="12" t="n">
        <v>0</v>
      </c>
      <c r="M23" s="12" t="n">
        <v>22352.94</v>
      </c>
      <c r="N23" s="12" t="n">
        <v>140000</v>
      </c>
      <c r="O23" s="7" t="inlineStr">
        <is>
          <t>06002</t>
        </is>
      </c>
      <c r="P23" s="5">
        <f>ROUND(M23-K23*0.19,2)</f>
        <v/>
      </c>
      <c r="Q23">
        <f>IF(ISNUMBER(SEARCH("DJENNADI",G23)),"OUI","")</f>
        <v/>
      </c>
    </row>
    <row r="24">
      <c r="A24" s="10" t="inlineStr">
        <is>
          <t>Siège (gros / import)</t>
        </is>
      </c>
      <c r="B24" s="7" t="inlineStr">
        <is>
          <t>2026000023</t>
        </is>
      </c>
      <c r="C24" s="10" t="inlineStr">
        <is>
          <t>G00023</t>
        </is>
      </c>
      <c r="D24" s="11" t="n">
        <v>46044</v>
      </c>
      <c r="E24" s="7" t="inlineStr">
        <is>
          <t>2026-01</t>
        </is>
      </c>
      <c r="F24" s="10" t="inlineStr">
        <is>
          <t>Vente</t>
        </is>
      </c>
      <c r="G24" s="10" t="inlineStr">
        <is>
          <t>SARL ECI  BOUDIAB</t>
        </is>
      </c>
      <c r="H24" s="7" t="inlineStr">
        <is>
          <t>C1076</t>
        </is>
      </c>
      <c r="I24" s="10" t="inlineStr">
        <is>
          <t>Code existant</t>
        </is>
      </c>
      <c r="J24" s="10" t="n">
        <v>2</v>
      </c>
      <c r="K24" s="12" t="n">
        <v>176000</v>
      </c>
      <c r="L24" s="12" t="n">
        <v>0</v>
      </c>
      <c r="M24" s="12" t="n">
        <v>33440</v>
      </c>
      <c r="N24" s="12" t="n">
        <v>209440</v>
      </c>
      <c r="O24" s="7" t="inlineStr">
        <is>
          <t>06002</t>
        </is>
      </c>
      <c r="P24" s="5">
        <f>ROUND(M24-K24*0.19,2)</f>
        <v/>
      </c>
      <c r="Q24">
        <f>IF(ISNUMBER(SEARCH("DJENNADI",G24)),"OUI","")</f>
        <v/>
      </c>
    </row>
    <row r="25">
      <c r="A25" s="10" t="inlineStr">
        <is>
          <t>Siège (gros / import)</t>
        </is>
      </c>
      <c r="B25" s="7" t="inlineStr">
        <is>
          <t>2026000024</t>
        </is>
      </c>
      <c r="C25" s="10" t="inlineStr">
        <is>
          <t>G00024</t>
        </is>
      </c>
      <c r="D25" s="11" t="n">
        <v>46047</v>
      </c>
      <c r="E25" s="7" t="inlineStr">
        <is>
          <t>2026-01</t>
        </is>
      </c>
      <c r="F25" s="10" t="inlineStr">
        <is>
          <t>Vente</t>
        </is>
      </c>
      <c r="G25" s="10" t="inlineStr">
        <is>
          <t>SARL BEJAIA LOGISTIQUE</t>
        </is>
      </c>
      <c r="H25" s="7" t="inlineStr">
        <is>
          <t>C708</t>
        </is>
      </c>
      <c r="I25" s="10" t="inlineStr">
        <is>
          <t>Code existant</t>
        </is>
      </c>
      <c r="J25" s="10" t="n">
        <v>2</v>
      </c>
      <c r="K25" s="12" t="n">
        <v>147000</v>
      </c>
      <c r="L25" s="12" t="n">
        <v>0</v>
      </c>
      <c r="M25" s="12" t="n">
        <v>27930</v>
      </c>
      <c r="N25" s="12" t="n">
        <v>174930</v>
      </c>
      <c r="O25" s="7" t="inlineStr">
        <is>
          <t>06002</t>
        </is>
      </c>
      <c r="P25" s="5">
        <f>ROUND(M25-K25*0.19,2)</f>
        <v/>
      </c>
      <c r="Q25">
        <f>IF(ISNUMBER(SEARCH("DJENNADI",G25)),"OUI","")</f>
        <v/>
      </c>
    </row>
    <row r="26">
      <c r="A26" s="10" t="inlineStr">
        <is>
          <t>Siège (gros / import)</t>
        </is>
      </c>
      <c r="B26" s="7" t="inlineStr">
        <is>
          <t>2026000025</t>
        </is>
      </c>
      <c r="C26" s="10" t="inlineStr">
        <is>
          <t>G00025</t>
        </is>
      </c>
      <c r="D26" s="11" t="n">
        <v>46048</v>
      </c>
      <c r="E26" s="7" t="inlineStr">
        <is>
          <t>2026-01</t>
        </is>
      </c>
      <c r="F26" s="10" t="inlineStr">
        <is>
          <t>Vente</t>
        </is>
      </c>
      <c r="G26" s="10" t="inlineStr">
        <is>
          <t>SARL BEJAIA LOGISTIQUE</t>
        </is>
      </c>
      <c r="H26" s="7" t="inlineStr">
        <is>
          <t>C708</t>
        </is>
      </c>
      <c r="I26" s="10" t="inlineStr">
        <is>
          <t>Code existant</t>
        </is>
      </c>
      <c r="J26" s="10" t="n">
        <v>2</v>
      </c>
      <c r="K26" s="12" t="n">
        <v>247000</v>
      </c>
      <c r="L26" s="12" t="n">
        <v>0</v>
      </c>
      <c r="M26" s="12" t="n">
        <v>46930</v>
      </c>
      <c r="N26" s="12" t="n">
        <v>293930</v>
      </c>
      <c r="O26" s="7" t="inlineStr">
        <is>
          <t>06002</t>
        </is>
      </c>
      <c r="P26" s="5">
        <f>ROUND(M26-K26*0.19,2)</f>
        <v/>
      </c>
      <c r="Q26">
        <f>IF(ISNUMBER(SEARCH("DJENNADI",G26)),"OUI","")</f>
        <v/>
      </c>
    </row>
    <row r="27">
      <c r="A27" s="10" t="inlineStr">
        <is>
          <t>Siège (gros / import)</t>
        </is>
      </c>
      <c r="B27" s="7" t="inlineStr">
        <is>
          <t>2026000026</t>
        </is>
      </c>
      <c r="C27" s="10" t="inlineStr">
        <is>
          <t>G00026</t>
        </is>
      </c>
      <c r="D27" s="11" t="n">
        <v>46049</v>
      </c>
      <c r="E27" s="7" t="inlineStr">
        <is>
          <t>2026-01</t>
        </is>
      </c>
      <c r="F27" s="10" t="inlineStr">
        <is>
          <t>Vente</t>
        </is>
      </c>
      <c r="G27" s="10" t="inlineStr">
        <is>
          <t>SARL BEJAIA LOGISTIQUE</t>
        </is>
      </c>
      <c r="H27" s="7" t="inlineStr">
        <is>
          <t>C708</t>
        </is>
      </c>
      <c r="I27" s="10" t="inlineStr">
        <is>
          <t>Code existant</t>
        </is>
      </c>
      <c r="J27" s="10" t="n">
        <v>4</v>
      </c>
      <c r="K27" s="12" t="n">
        <v>141600</v>
      </c>
      <c r="L27" s="12" t="n">
        <v>0</v>
      </c>
      <c r="M27" s="12" t="n">
        <v>26904</v>
      </c>
      <c r="N27" s="12" t="n">
        <v>168504</v>
      </c>
      <c r="O27" s="7" t="inlineStr">
        <is>
          <t>06002</t>
        </is>
      </c>
      <c r="P27" s="5">
        <f>ROUND(M27-K27*0.19,2)</f>
        <v/>
      </c>
      <c r="Q27">
        <f>IF(ISNUMBER(SEARCH("DJENNADI",G27)),"OUI","")</f>
        <v/>
      </c>
    </row>
    <row r="28">
      <c r="A28" s="10" t="inlineStr">
        <is>
          <t>Siège (gros / import)</t>
        </is>
      </c>
      <c r="B28" s="7" t="inlineStr">
        <is>
          <t>2026000027</t>
        </is>
      </c>
      <c r="C28" s="10" t="inlineStr">
        <is>
          <t>G00027</t>
        </is>
      </c>
      <c r="D28" s="11" t="n">
        <v>46049</v>
      </c>
      <c r="E28" s="7" t="inlineStr">
        <is>
          <t>2026-01</t>
        </is>
      </c>
      <c r="F28" s="10" t="inlineStr">
        <is>
          <t>Vente</t>
        </is>
      </c>
      <c r="G28" s="10" t="inlineStr">
        <is>
          <t>CO.MA.PH</t>
        </is>
      </c>
      <c r="H28" s="7" t="inlineStr">
        <is>
          <t>C1082</t>
        </is>
      </c>
      <c r="I28" s="10" t="inlineStr">
        <is>
          <t>Nouveau code à créer</t>
        </is>
      </c>
      <c r="J28" s="10" t="n">
        <v>1</v>
      </c>
      <c r="K28" s="12" t="n">
        <v>134453.84</v>
      </c>
      <c r="L28" s="12" t="n">
        <v>0</v>
      </c>
      <c r="M28" s="12" t="n">
        <v>25546.23</v>
      </c>
      <c r="N28" s="12" t="n">
        <v>160000.07</v>
      </c>
      <c r="O28" s="7" t="inlineStr">
        <is>
          <t>06002</t>
        </is>
      </c>
      <c r="P28" s="5">
        <f>ROUND(M28-K28*0.19,2)</f>
        <v/>
      </c>
      <c r="Q28">
        <f>IF(ISNUMBER(SEARCH("DJENNADI",G28)),"OUI","")</f>
        <v/>
      </c>
    </row>
    <row r="29">
      <c r="A29" s="10" t="inlineStr">
        <is>
          <t>Siège (gros / import)</t>
        </is>
      </c>
      <c r="B29" s="7" t="inlineStr">
        <is>
          <t>2026000028</t>
        </is>
      </c>
      <c r="C29" s="10" t="inlineStr">
        <is>
          <t>G00028</t>
        </is>
      </c>
      <c r="D29" s="11" t="n">
        <v>46050</v>
      </c>
      <c r="E29" s="7" t="inlineStr">
        <is>
          <t>2026-01</t>
        </is>
      </c>
      <c r="F29" s="10" t="inlineStr">
        <is>
          <t>Vente</t>
        </is>
      </c>
      <c r="G29" s="10" t="inlineStr">
        <is>
          <t>SARL CAPROMET</t>
        </is>
      </c>
      <c r="H29" s="7" t="inlineStr">
        <is>
          <t>C1083</t>
        </is>
      </c>
      <c r="I29" s="10" t="inlineStr">
        <is>
          <t>Nouveau code à créer</t>
        </is>
      </c>
      <c r="J29" s="10" t="n">
        <v>1</v>
      </c>
      <c r="K29" s="12" t="n">
        <v>56000</v>
      </c>
      <c r="L29" s="12" t="n">
        <v>0</v>
      </c>
      <c r="M29" s="12" t="n">
        <v>10640</v>
      </c>
      <c r="N29" s="12" t="n">
        <v>66640</v>
      </c>
      <c r="O29" s="7" t="inlineStr">
        <is>
          <t>06002</t>
        </is>
      </c>
      <c r="P29" s="5">
        <f>ROUND(M29-K29*0.19,2)</f>
        <v/>
      </c>
      <c r="Q29">
        <f>IF(ISNUMBER(SEARCH("DJENNADI",G29)),"OUI","")</f>
        <v/>
      </c>
    </row>
    <row r="30">
      <c r="A30" s="10" t="inlineStr">
        <is>
          <t>Siège (gros / import)</t>
        </is>
      </c>
      <c r="B30" s="7" t="inlineStr">
        <is>
          <t>2026000029</t>
        </is>
      </c>
      <c r="C30" s="10" t="inlineStr">
        <is>
          <t>G00029</t>
        </is>
      </c>
      <c r="D30" s="11" t="n">
        <v>46051</v>
      </c>
      <c r="E30" s="7" t="inlineStr">
        <is>
          <t>2026-01</t>
        </is>
      </c>
      <c r="F30" s="10" t="inlineStr">
        <is>
          <t>Vente</t>
        </is>
      </c>
      <c r="G30" s="10" t="inlineStr">
        <is>
          <t>EURL TERRENO TRANS</t>
        </is>
      </c>
      <c r="H30" s="7" t="inlineStr">
        <is>
          <t>C959</t>
        </is>
      </c>
      <c r="I30" s="10" t="inlineStr">
        <is>
          <t>Code existant</t>
        </is>
      </c>
      <c r="J30" s="10" t="n">
        <v>3</v>
      </c>
      <c r="K30" s="12" t="n">
        <v>945000</v>
      </c>
      <c r="L30" s="12" t="n">
        <v>0</v>
      </c>
      <c r="M30" s="12" t="n">
        <v>179550</v>
      </c>
      <c r="N30" s="12" t="n">
        <v>1124550</v>
      </c>
      <c r="O30" s="7" t="inlineStr">
        <is>
          <t>06002</t>
        </is>
      </c>
      <c r="P30" s="5">
        <f>ROUND(M30-K30*0.19,2)</f>
        <v/>
      </c>
      <c r="Q30">
        <f>IF(ISNUMBER(SEARCH("DJENNADI",G30)),"OUI","")</f>
        <v/>
      </c>
    </row>
    <row r="31">
      <c r="A31" s="10" t="inlineStr">
        <is>
          <t>Siège (gros / import)</t>
        </is>
      </c>
      <c r="B31" s="7" t="inlineStr">
        <is>
          <t>2026000030</t>
        </is>
      </c>
      <c r="C31" s="10" t="inlineStr">
        <is>
          <t>G00030</t>
        </is>
      </c>
      <c r="D31" s="11" t="n">
        <v>46051</v>
      </c>
      <c r="E31" s="7" t="inlineStr">
        <is>
          <t>2026-01</t>
        </is>
      </c>
      <c r="F31" s="10" t="inlineStr">
        <is>
          <t>Vente</t>
        </is>
      </c>
      <c r="G31" s="10" t="inlineStr">
        <is>
          <t>SARL ECI  BOUDIAB</t>
        </is>
      </c>
      <c r="H31" s="7" t="inlineStr">
        <is>
          <t>C1076</t>
        </is>
      </c>
      <c r="I31" s="10" t="inlineStr">
        <is>
          <t>Code existant</t>
        </is>
      </c>
      <c r="J31" s="10" t="n">
        <v>4</v>
      </c>
      <c r="K31" s="12" t="n">
        <v>133200</v>
      </c>
      <c r="L31" s="12" t="n">
        <v>0</v>
      </c>
      <c r="M31" s="12" t="n">
        <v>25308</v>
      </c>
      <c r="N31" s="12" t="n">
        <v>158508</v>
      </c>
      <c r="O31" s="7" t="inlineStr">
        <is>
          <t>06002</t>
        </is>
      </c>
      <c r="P31" s="5">
        <f>ROUND(M31-K31*0.19,2)</f>
        <v/>
      </c>
      <c r="Q31">
        <f>IF(ISNUMBER(SEARCH("DJENNADI",G31)),"OUI","")</f>
        <v/>
      </c>
    </row>
    <row r="32">
      <c r="A32" s="10" t="inlineStr">
        <is>
          <t>Siège (gros / import)</t>
        </is>
      </c>
      <c r="B32" s="7" t="inlineStr">
        <is>
          <t>2026000031</t>
        </is>
      </c>
      <c r="C32" s="10" t="inlineStr">
        <is>
          <t>G00031</t>
        </is>
      </c>
      <c r="D32" s="11" t="n">
        <v>46051</v>
      </c>
      <c r="E32" s="7" t="inlineStr">
        <is>
          <t>2026-01</t>
        </is>
      </c>
      <c r="F32" s="10" t="inlineStr">
        <is>
          <t>Vente</t>
        </is>
      </c>
      <c r="G32" s="10" t="inlineStr">
        <is>
          <t>SARL LAITERIE SOUMMAM</t>
        </is>
      </c>
      <c r="H32" s="7" t="inlineStr">
        <is>
          <t>C986</t>
        </is>
      </c>
      <c r="I32" s="10" t="inlineStr">
        <is>
          <t>Code existant</t>
        </is>
      </c>
      <c r="J32" s="10" t="n">
        <v>2</v>
      </c>
      <c r="K32" s="12" t="n">
        <v>215000</v>
      </c>
      <c r="L32" s="12" t="n">
        <v>0</v>
      </c>
      <c r="M32" s="12" t="n">
        <v>40850</v>
      </c>
      <c r="N32" s="12" t="n">
        <v>255850</v>
      </c>
      <c r="O32" s="7" t="inlineStr">
        <is>
          <t>06002</t>
        </is>
      </c>
      <c r="P32" s="5">
        <f>ROUND(M32-K32*0.19,2)</f>
        <v/>
      </c>
      <c r="Q32">
        <f>IF(ISNUMBER(SEARCH("DJENNADI",G32)),"OUI","")</f>
        <v/>
      </c>
    </row>
    <row r="33">
      <c r="A33" s="10" t="inlineStr">
        <is>
          <t>Siège (gros / import)</t>
        </is>
      </c>
      <c r="B33" s="7" t="inlineStr">
        <is>
          <t>2026000032</t>
        </is>
      </c>
      <c r="C33" s="10" t="inlineStr">
        <is>
          <t>G00032</t>
        </is>
      </c>
      <c r="D33" s="11" t="n">
        <v>46054</v>
      </c>
      <c r="E33" s="7" t="inlineStr">
        <is>
          <t>2026-02</t>
        </is>
      </c>
      <c r="F33" s="10" t="inlineStr">
        <is>
          <t>Vente</t>
        </is>
      </c>
      <c r="G33" s="10" t="inlineStr">
        <is>
          <t>DERDOURI FAROUK AFAK AUTO PARTS</t>
        </is>
      </c>
      <c r="H33" s="7" t="inlineStr">
        <is>
          <t>C831</t>
        </is>
      </c>
      <c r="I33" s="10" t="inlineStr">
        <is>
          <t>Code existant (nom proche)</t>
        </is>
      </c>
      <c r="J33" s="10" t="n">
        <v>14</v>
      </c>
      <c r="K33" s="12" t="n">
        <v>822184.87</v>
      </c>
      <c r="L33" s="12" t="n">
        <v>0</v>
      </c>
      <c r="M33" s="12" t="n">
        <v>156215.13</v>
      </c>
      <c r="N33" s="12" t="n">
        <v>978400</v>
      </c>
      <c r="O33" s="7" t="inlineStr">
        <is>
          <t>06002</t>
        </is>
      </c>
      <c r="P33" s="5">
        <f>ROUND(M33-K33*0.19,2)</f>
        <v/>
      </c>
      <c r="Q33">
        <f>IF(ISNUMBER(SEARCH("DJENNADI",G33)),"OUI","")</f>
        <v/>
      </c>
    </row>
    <row r="34">
      <c r="A34" s="10" t="inlineStr">
        <is>
          <t>Siège (gros / import)</t>
        </is>
      </c>
      <c r="B34" s="7" t="inlineStr">
        <is>
          <t>2026000033</t>
        </is>
      </c>
      <c r="C34" s="10" t="inlineStr">
        <is>
          <t>G00033</t>
        </is>
      </c>
      <c r="D34" s="11" t="n">
        <v>46054</v>
      </c>
      <c r="E34" s="7" t="inlineStr">
        <is>
          <t>2026-02</t>
        </is>
      </c>
      <c r="F34" s="10" t="inlineStr">
        <is>
          <t>Vente</t>
        </is>
      </c>
      <c r="G34" s="10" t="inlineStr">
        <is>
          <t>ZIANI LAKHDAR</t>
        </is>
      </c>
      <c r="H34" s="7" t="inlineStr">
        <is>
          <t>C916</t>
        </is>
      </c>
      <c r="I34" s="10" t="inlineStr">
        <is>
          <t>Code existant</t>
        </is>
      </c>
      <c r="J34" s="10" t="n">
        <v>8</v>
      </c>
      <c r="K34" s="12" t="n">
        <v>420168.07</v>
      </c>
      <c r="L34" s="12" t="n">
        <v>0</v>
      </c>
      <c r="M34" s="12" t="n">
        <v>79831.92999999999</v>
      </c>
      <c r="N34" s="12" t="n">
        <v>500000</v>
      </c>
      <c r="O34" s="7" t="inlineStr">
        <is>
          <t>06002</t>
        </is>
      </c>
      <c r="P34" s="5">
        <f>ROUND(M34-K34*0.19,2)</f>
        <v/>
      </c>
      <c r="Q34">
        <f>IF(ISNUMBER(SEARCH("DJENNADI",G34)),"OUI","")</f>
        <v/>
      </c>
    </row>
    <row r="35">
      <c r="A35" s="10" t="inlineStr">
        <is>
          <t>Siège (gros / import)</t>
        </is>
      </c>
      <c r="B35" s="7" t="inlineStr">
        <is>
          <t>2026000034</t>
        </is>
      </c>
      <c r="C35" s="10" t="inlineStr">
        <is>
          <t>G00034</t>
        </is>
      </c>
      <c r="D35" s="11" t="n">
        <v>46054</v>
      </c>
      <c r="E35" s="7" t="inlineStr">
        <is>
          <t>2026-02</t>
        </is>
      </c>
      <c r="F35" s="10" t="inlineStr">
        <is>
          <t>Vente</t>
        </is>
      </c>
      <c r="G35" s="10" t="inlineStr">
        <is>
          <t>SARL ROYAL MATERIAUX  DE CONSTRUCTION</t>
        </is>
      </c>
      <c r="H35" s="7" t="inlineStr">
        <is>
          <t>C934</t>
        </is>
      </c>
      <c r="I35" s="10" t="inlineStr">
        <is>
          <t>Code existant (nom proche)</t>
        </is>
      </c>
      <c r="J35" s="10" t="n">
        <v>5</v>
      </c>
      <c r="K35" s="12" t="n">
        <v>115769.75</v>
      </c>
      <c r="L35" s="12" t="n">
        <v>0</v>
      </c>
      <c r="M35" s="12" t="n">
        <v>21996.25</v>
      </c>
      <c r="N35" s="12" t="n">
        <v>137766</v>
      </c>
      <c r="O35" s="7" t="inlineStr">
        <is>
          <t>06002</t>
        </is>
      </c>
      <c r="P35" s="5">
        <f>ROUND(M35-K35*0.19,2)</f>
        <v/>
      </c>
      <c r="Q35">
        <f>IF(ISNUMBER(SEARCH("DJENNADI",G35)),"OUI","")</f>
        <v/>
      </c>
    </row>
    <row r="36">
      <c r="A36" s="10" t="inlineStr">
        <is>
          <t>Siège (gros / import)</t>
        </is>
      </c>
      <c r="B36" s="7" t="inlineStr">
        <is>
          <t>2026000035</t>
        </is>
      </c>
      <c r="C36" s="10" t="inlineStr">
        <is>
          <t>G00035</t>
        </is>
      </c>
      <c r="D36" s="11" t="n">
        <v>46055</v>
      </c>
      <c r="E36" s="7" t="inlineStr">
        <is>
          <t>2026-02</t>
        </is>
      </c>
      <c r="F36" s="10" t="inlineStr">
        <is>
          <t>Vente</t>
        </is>
      </c>
      <c r="G36" s="10" t="inlineStr">
        <is>
          <t>SARL ROYAL MATERIAUX  DE CONSTRUCTION</t>
        </is>
      </c>
      <c r="H36" s="7" t="inlineStr">
        <is>
          <t>C934</t>
        </is>
      </c>
      <c r="I36" s="10" t="inlineStr">
        <is>
          <t>Code existant (nom proche)</t>
        </is>
      </c>
      <c r="J36" s="10" t="n">
        <v>2</v>
      </c>
      <c r="K36" s="12" t="n">
        <v>111340.34</v>
      </c>
      <c r="L36" s="12" t="n">
        <v>0</v>
      </c>
      <c r="M36" s="12" t="n">
        <v>21154.66</v>
      </c>
      <c r="N36" s="12" t="n">
        <v>132495</v>
      </c>
      <c r="O36" s="7" t="inlineStr">
        <is>
          <t>06002</t>
        </is>
      </c>
      <c r="P36" s="5">
        <f>ROUND(M36-K36*0.19,2)</f>
        <v/>
      </c>
      <c r="Q36">
        <f>IF(ISNUMBER(SEARCH("DJENNADI",G36)),"OUI","")</f>
        <v/>
      </c>
    </row>
    <row r="37">
      <c r="A37" s="10" t="inlineStr">
        <is>
          <t>Siège (gros / import)</t>
        </is>
      </c>
      <c r="B37" s="7" t="inlineStr">
        <is>
          <t>2026000036</t>
        </is>
      </c>
      <c r="C37" s="10" t="inlineStr">
        <is>
          <t>G00036</t>
        </is>
      </c>
      <c r="D37" s="11" t="n">
        <v>46055</v>
      </c>
      <c r="E37" s="7" t="inlineStr">
        <is>
          <t>2026-02</t>
        </is>
      </c>
      <c r="F37" s="10" t="inlineStr">
        <is>
          <t>Vente</t>
        </is>
      </c>
      <c r="G37" s="10" t="inlineStr">
        <is>
          <t>DERDOURI FAROUK EL FAROUK PARTS</t>
        </is>
      </c>
      <c r="H37" s="7" t="inlineStr">
        <is>
          <t>C831</t>
        </is>
      </c>
      <c r="I37" s="10" t="inlineStr">
        <is>
          <t>Code existant (nom proche)</t>
        </is>
      </c>
      <c r="J37" s="10" t="n">
        <v>7</v>
      </c>
      <c r="K37" s="12" t="n">
        <v>150000</v>
      </c>
      <c r="L37" s="12" t="n">
        <v>0</v>
      </c>
      <c r="M37" s="12" t="n">
        <v>28500</v>
      </c>
      <c r="N37" s="12" t="n">
        <v>178500</v>
      </c>
      <c r="O37" s="7" t="inlineStr">
        <is>
          <t>06002</t>
        </is>
      </c>
      <c r="P37" s="5">
        <f>ROUND(M37-K37*0.19,2)</f>
        <v/>
      </c>
      <c r="Q37">
        <f>IF(ISNUMBER(SEARCH("DJENNADI",G37)),"OUI","")</f>
        <v/>
      </c>
    </row>
    <row r="38">
      <c r="A38" s="10" t="inlineStr">
        <is>
          <t>Siège (gros / import)</t>
        </is>
      </c>
      <c r="B38" s="7" t="inlineStr">
        <is>
          <t>2026000037</t>
        </is>
      </c>
      <c r="C38" s="10" t="inlineStr">
        <is>
          <t>G00037</t>
        </is>
      </c>
      <c r="D38" s="11" t="n">
        <v>46055</v>
      </c>
      <c r="E38" s="7" t="inlineStr">
        <is>
          <t>2026-02</t>
        </is>
      </c>
      <c r="F38" s="10" t="inlineStr">
        <is>
          <t>Vente</t>
        </is>
      </c>
      <c r="G38" s="10" t="inlineStr">
        <is>
          <t>DJENNADI ABDELKRIM</t>
        </is>
      </c>
      <c r="H38" s="7" t="inlineStr">
        <is>
          <t>C004</t>
        </is>
      </c>
      <c r="I38" s="10" t="inlineStr">
        <is>
          <t>Code existant</t>
        </is>
      </c>
      <c r="J38" s="10" t="n">
        <v>21</v>
      </c>
      <c r="K38" s="12" t="n">
        <v>1722689.08</v>
      </c>
      <c r="L38" s="12" t="n">
        <v>0</v>
      </c>
      <c r="M38" s="12" t="n">
        <v>327310.93</v>
      </c>
      <c r="N38" s="12" t="n">
        <v>2050000.01</v>
      </c>
      <c r="O38" s="7" t="inlineStr">
        <is>
          <t>06002</t>
        </is>
      </c>
      <c r="P38" s="5">
        <f>ROUND(M38-K38*0.19,2)</f>
        <v/>
      </c>
      <c r="Q38">
        <f>IF(ISNUMBER(SEARCH("DJENNADI",G38)),"OUI","")</f>
        <v/>
      </c>
    </row>
    <row r="39">
      <c r="A39" s="10" t="inlineStr">
        <is>
          <t>Siège (gros / import)</t>
        </is>
      </c>
      <c r="B39" s="7" t="inlineStr">
        <is>
          <t>2026000038</t>
        </is>
      </c>
      <c r="C39" s="10" t="inlineStr">
        <is>
          <t>G00038</t>
        </is>
      </c>
      <c r="D39" s="11" t="n">
        <v>46055</v>
      </c>
      <c r="E39" s="7" t="inlineStr">
        <is>
          <t>2026-02</t>
        </is>
      </c>
      <c r="F39" s="10" t="inlineStr">
        <is>
          <t>Vente</t>
        </is>
      </c>
      <c r="G39" s="10" t="inlineStr">
        <is>
          <t>BENAMARA AYOUB</t>
        </is>
      </c>
      <c r="H39" s="7" t="inlineStr">
        <is>
          <t>C278</t>
        </is>
      </c>
      <c r="I39" s="10" t="inlineStr">
        <is>
          <t>Code existant (nom proche)</t>
        </is>
      </c>
      <c r="J39" s="10" t="n">
        <v>12</v>
      </c>
      <c r="K39" s="12" t="n">
        <v>823623.49</v>
      </c>
      <c r="L39" s="12" t="n">
        <v>0</v>
      </c>
      <c r="M39" s="12" t="n">
        <v>156488.46</v>
      </c>
      <c r="N39" s="12" t="n">
        <v>980111.95</v>
      </c>
      <c r="O39" s="7" t="inlineStr">
        <is>
          <t>06002</t>
        </is>
      </c>
      <c r="P39" s="5">
        <f>ROUND(M39-K39*0.19,2)</f>
        <v/>
      </c>
      <c r="Q39">
        <f>IF(ISNUMBER(SEARCH("DJENNADI",G39)),"OUI","")</f>
        <v/>
      </c>
    </row>
    <row r="40">
      <c r="A40" s="10" t="inlineStr">
        <is>
          <t>Siège (gros / import)</t>
        </is>
      </c>
      <c r="B40" s="7" t="inlineStr">
        <is>
          <t>2026000039</t>
        </is>
      </c>
      <c r="C40" s="10" t="inlineStr">
        <is>
          <t>G00039</t>
        </is>
      </c>
      <c r="D40" s="11" t="n">
        <v>46056</v>
      </c>
      <c r="E40" s="7" t="inlineStr">
        <is>
          <t>2026-02</t>
        </is>
      </c>
      <c r="F40" s="10" t="inlineStr">
        <is>
          <t>Vente</t>
        </is>
      </c>
      <c r="G40" s="10" t="inlineStr">
        <is>
          <t>EURL TERRENO TRANS</t>
        </is>
      </c>
      <c r="H40" s="7" t="inlineStr">
        <is>
          <t>C959</t>
        </is>
      </c>
      <c r="I40" s="10" t="inlineStr">
        <is>
          <t>Code existant</t>
        </is>
      </c>
      <c r="J40" s="10" t="n">
        <v>2</v>
      </c>
      <c r="K40" s="12" t="n">
        <v>250000</v>
      </c>
      <c r="L40" s="12" t="n">
        <v>0</v>
      </c>
      <c r="M40" s="12" t="n">
        <v>47500</v>
      </c>
      <c r="N40" s="12" t="n">
        <v>297500</v>
      </c>
      <c r="O40" s="7" t="inlineStr">
        <is>
          <t>06002</t>
        </is>
      </c>
      <c r="P40" s="5">
        <f>ROUND(M40-K40*0.19,2)</f>
        <v/>
      </c>
      <c r="Q40">
        <f>IF(ISNUMBER(SEARCH("DJENNADI",G40)),"OUI","")</f>
        <v/>
      </c>
    </row>
    <row r="41">
      <c r="A41" s="10" t="inlineStr">
        <is>
          <t>Siège (gros / import)</t>
        </is>
      </c>
      <c r="B41" s="7" t="inlineStr">
        <is>
          <t>2026000040</t>
        </is>
      </c>
      <c r="C41" s="10" t="inlineStr">
        <is>
          <t>G00040</t>
        </is>
      </c>
      <c r="D41" s="11" t="n">
        <v>46056</v>
      </c>
      <c r="E41" s="7" t="inlineStr">
        <is>
          <t>2026-02</t>
        </is>
      </c>
      <c r="F41" s="10" t="inlineStr">
        <is>
          <t>Vente</t>
        </is>
      </c>
      <c r="G41" s="10" t="inlineStr">
        <is>
          <t>SARL BEJAIA LOGISTIQUE</t>
        </is>
      </c>
      <c r="H41" s="7" t="inlineStr">
        <is>
          <t>C708</t>
        </is>
      </c>
      <c r="I41" s="10" t="inlineStr">
        <is>
          <t>Code existant</t>
        </is>
      </c>
      <c r="J41" s="10" t="n">
        <v>2</v>
      </c>
      <c r="K41" s="12" t="n">
        <v>422400</v>
      </c>
      <c r="L41" s="12" t="n">
        <v>0</v>
      </c>
      <c r="M41" s="12" t="n">
        <v>80256</v>
      </c>
      <c r="N41" s="12" t="n">
        <v>502656</v>
      </c>
      <c r="O41" s="7" t="inlineStr">
        <is>
          <t>06002</t>
        </is>
      </c>
      <c r="P41" s="5">
        <f>ROUND(M41-K41*0.19,2)</f>
        <v/>
      </c>
      <c r="Q41">
        <f>IF(ISNUMBER(SEARCH("DJENNADI",G41)),"OUI","")</f>
        <v/>
      </c>
    </row>
    <row r="42">
      <c r="A42" s="10" t="inlineStr">
        <is>
          <t>Siège (gros / import)</t>
        </is>
      </c>
      <c r="B42" s="7" t="inlineStr">
        <is>
          <t>2026000041</t>
        </is>
      </c>
      <c r="C42" s="10" t="inlineStr">
        <is>
          <t>G00041</t>
        </is>
      </c>
      <c r="D42" s="11" t="n">
        <v>46056</v>
      </c>
      <c r="E42" s="7" t="inlineStr">
        <is>
          <t>2026-02</t>
        </is>
      </c>
      <c r="F42" s="10" t="inlineStr">
        <is>
          <t>Vente</t>
        </is>
      </c>
      <c r="G42" s="10" t="inlineStr">
        <is>
          <t>SARL BEJAIA LOGISTIQUE</t>
        </is>
      </c>
      <c r="H42" s="7" t="inlineStr">
        <is>
          <t>C708</t>
        </is>
      </c>
      <c r="I42" s="10" t="inlineStr">
        <is>
          <t>Code existant</t>
        </is>
      </c>
      <c r="J42" s="10" t="n">
        <v>1</v>
      </c>
      <c r="K42" s="12" t="n">
        <v>5100000</v>
      </c>
      <c r="L42" s="12" t="n">
        <v>0</v>
      </c>
      <c r="M42" s="12" t="n">
        <v>969000</v>
      </c>
      <c r="N42" s="12" t="n">
        <v>6069000</v>
      </c>
      <c r="O42" s="7" t="inlineStr">
        <is>
          <t>06002</t>
        </is>
      </c>
      <c r="P42" s="5">
        <f>ROUND(M42-K42*0.19,2)</f>
        <v/>
      </c>
      <c r="Q42">
        <f>IF(ISNUMBER(SEARCH("DJENNADI",G42)),"OUI","")</f>
        <v/>
      </c>
    </row>
    <row r="43">
      <c r="A43" s="10" t="inlineStr">
        <is>
          <t>Siège (gros / import)</t>
        </is>
      </c>
      <c r="B43" s="7" t="inlineStr">
        <is>
          <t>2026000042</t>
        </is>
      </c>
      <c r="C43" s="10" t="inlineStr">
        <is>
          <t>G00042</t>
        </is>
      </c>
      <c r="D43" s="11" t="n">
        <v>46057</v>
      </c>
      <c r="E43" s="7" t="inlineStr">
        <is>
          <t>2026-02</t>
        </is>
      </c>
      <c r="F43" s="10" t="inlineStr">
        <is>
          <t>Vente</t>
        </is>
      </c>
      <c r="G43" s="10" t="inlineStr">
        <is>
          <t>SPA TMF LOGISTICS</t>
        </is>
      </c>
      <c r="H43" s="7" t="inlineStr">
        <is>
          <t>C671</t>
        </is>
      </c>
      <c r="I43" s="10" t="inlineStr">
        <is>
          <t>Code existant</t>
        </is>
      </c>
      <c r="J43" s="10" t="n">
        <v>13</v>
      </c>
      <c r="K43" s="12" t="n">
        <v>1286000</v>
      </c>
      <c r="L43" s="12" t="n">
        <v>0</v>
      </c>
      <c r="M43" s="12" t="n">
        <v>244340</v>
      </c>
      <c r="N43" s="12" t="n">
        <v>1530340</v>
      </c>
      <c r="O43" s="7" t="inlineStr">
        <is>
          <t>06002</t>
        </is>
      </c>
      <c r="P43" s="5">
        <f>ROUND(M43-K43*0.19,2)</f>
        <v/>
      </c>
      <c r="Q43">
        <f>IF(ISNUMBER(SEARCH("DJENNADI",G43)),"OUI","")</f>
        <v/>
      </c>
    </row>
    <row r="44">
      <c r="A44" s="10" t="inlineStr">
        <is>
          <t>Siège (gros / import)</t>
        </is>
      </c>
      <c r="B44" s="7" t="inlineStr">
        <is>
          <t>2026000043</t>
        </is>
      </c>
      <c r="C44" s="10" t="inlineStr">
        <is>
          <t>G00043</t>
        </is>
      </c>
      <c r="D44" s="11" t="n">
        <v>46059</v>
      </c>
      <c r="E44" s="7" t="inlineStr">
        <is>
          <t>2026-02</t>
        </is>
      </c>
      <c r="F44" s="10" t="inlineStr">
        <is>
          <t>Vente</t>
        </is>
      </c>
      <c r="G44" s="10" t="inlineStr">
        <is>
          <t>SARL PETRO BARAKA</t>
        </is>
      </c>
      <c r="H44" s="7" t="inlineStr">
        <is>
          <t>C1075</t>
        </is>
      </c>
      <c r="I44" s="10" t="inlineStr">
        <is>
          <t>Code existant</t>
        </is>
      </c>
      <c r="J44" s="10" t="n">
        <v>6</v>
      </c>
      <c r="K44" s="12" t="n">
        <v>894000</v>
      </c>
      <c r="L44" s="12" t="n">
        <v>0</v>
      </c>
      <c r="M44" s="12" t="n">
        <v>169860</v>
      </c>
      <c r="N44" s="12" t="n">
        <v>1063860</v>
      </c>
      <c r="O44" s="7" t="inlineStr">
        <is>
          <t>06002</t>
        </is>
      </c>
      <c r="P44" s="5">
        <f>ROUND(M44-K44*0.19,2)</f>
        <v/>
      </c>
      <c r="Q44">
        <f>IF(ISNUMBER(SEARCH("DJENNADI",G44)),"OUI","")</f>
        <v/>
      </c>
    </row>
    <row r="45">
      <c r="A45" s="10" t="inlineStr">
        <is>
          <t>Siège (gros / import)</t>
        </is>
      </c>
      <c r="B45" s="7" t="inlineStr">
        <is>
          <t>2026000044</t>
        </is>
      </c>
      <c r="C45" s="10" t="inlineStr">
        <is>
          <t>G00044</t>
        </is>
      </c>
      <c r="D45" s="11" t="n">
        <v>46061</v>
      </c>
      <c r="E45" s="7" t="inlineStr">
        <is>
          <t>2026-02</t>
        </is>
      </c>
      <c r="F45" s="10" t="inlineStr">
        <is>
          <t>Vente</t>
        </is>
      </c>
      <c r="G45" s="10" t="inlineStr">
        <is>
          <t>BENAMARA MOHAMMED</t>
        </is>
      </c>
      <c r="H45" s="7" t="inlineStr">
        <is>
          <t>C900</t>
        </is>
      </c>
      <c r="I45" s="10" t="inlineStr">
        <is>
          <t>Code existant</t>
        </is>
      </c>
      <c r="J45" s="10" t="n">
        <v>12</v>
      </c>
      <c r="K45" s="12" t="n">
        <v>836191.16</v>
      </c>
      <c r="L45" s="12" t="n">
        <v>0</v>
      </c>
      <c r="M45" s="12" t="n">
        <v>158876.32</v>
      </c>
      <c r="N45" s="12" t="n">
        <v>995067.48</v>
      </c>
      <c r="O45" s="7" t="inlineStr">
        <is>
          <t>06002</t>
        </is>
      </c>
      <c r="P45" s="5">
        <f>ROUND(M45-K45*0.19,2)</f>
        <v/>
      </c>
      <c r="Q45">
        <f>IF(ISNUMBER(SEARCH("DJENNADI",G45)),"OUI","")</f>
        <v/>
      </c>
    </row>
    <row r="46">
      <c r="A46" s="10" t="inlineStr">
        <is>
          <t>Siège (gros / import)</t>
        </is>
      </c>
      <c r="B46" s="7" t="inlineStr">
        <is>
          <t>2026000045</t>
        </is>
      </c>
      <c r="C46" s="10" t="inlineStr">
        <is>
          <t>G00045</t>
        </is>
      </c>
      <c r="D46" s="11" t="n">
        <v>46062</v>
      </c>
      <c r="E46" s="7" t="inlineStr">
        <is>
          <t>2026-02</t>
        </is>
      </c>
      <c r="F46" s="10" t="inlineStr">
        <is>
          <t>Vente</t>
        </is>
      </c>
      <c r="G46" s="10" t="inlineStr">
        <is>
          <t>BENAMARA SOFIANE</t>
        </is>
      </c>
      <c r="H46" s="7" t="inlineStr">
        <is>
          <t>C631</t>
        </is>
      </c>
      <c r="I46" s="10" t="inlineStr">
        <is>
          <t>Code existant (nom proche)</t>
        </is>
      </c>
      <c r="J46" s="10" t="n">
        <v>16</v>
      </c>
      <c r="K46" s="12" t="n">
        <v>838871.99</v>
      </c>
      <c r="L46" s="12" t="n">
        <v>0</v>
      </c>
      <c r="M46" s="12" t="n">
        <v>159385.68</v>
      </c>
      <c r="N46" s="12" t="n">
        <v>998257.67</v>
      </c>
      <c r="O46" s="7" t="inlineStr">
        <is>
          <t>06002</t>
        </is>
      </c>
      <c r="P46" s="5">
        <f>ROUND(M46-K46*0.19,2)</f>
        <v/>
      </c>
      <c r="Q46">
        <f>IF(ISNUMBER(SEARCH("DJENNADI",G46)),"OUI","")</f>
        <v/>
      </c>
    </row>
    <row r="47">
      <c r="A47" s="10" t="inlineStr">
        <is>
          <t>Siège (gros / import)</t>
        </is>
      </c>
      <c r="B47" s="7" t="inlineStr">
        <is>
          <t>2026000046</t>
        </is>
      </c>
      <c r="C47" s="10" t="inlineStr">
        <is>
          <t>G00046</t>
        </is>
      </c>
      <c r="D47" s="11" t="n">
        <v>46063</v>
      </c>
      <c r="E47" s="7" t="inlineStr">
        <is>
          <t>2026-02</t>
        </is>
      </c>
      <c r="F47" s="10" t="inlineStr">
        <is>
          <t>Vente</t>
        </is>
      </c>
      <c r="G47" s="10" t="inlineStr">
        <is>
          <t>MOHELLEBI MOHAMMED</t>
        </is>
      </c>
      <c r="H47" s="7" t="inlineStr">
        <is>
          <t>C599</t>
        </is>
      </c>
      <c r="I47" s="10" t="inlineStr">
        <is>
          <t>Code existant (nom proche)</t>
        </is>
      </c>
      <c r="J47" s="10" t="n">
        <v>3</v>
      </c>
      <c r="K47" s="12" t="n">
        <v>36519.48</v>
      </c>
      <c r="L47" s="12" t="n">
        <v>0</v>
      </c>
      <c r="M47" s="12" t="n">
        <v>6938.7</v>
      </c>
      <c r="N47" s="12" t="n">
        <v>43458.18</v>
      </c>
      <c r="O47" s="7" t="inlineStr">
        <is>
          <t>06002</t>
        </is>
      </c>
      <c r="P47" s="5">
        <f>ROUND(M47-K47*0.19,2)</f>
        <v/>
      </c>
      <c r="Q47">
        <f>IF(ISNUMBER(SEARCH("DJENNADI",G47)),"OUI","")</f>
        <v/>
      </c>
    </row>
    <row r="48">
      <c r="A48" s="10" t="inlineStr">
        <is>
          <t>Siège (gros / import)</t>
        </is>
      </c>
      <c r="B48" s="7" t="inlineStr">
        <is>
          <t>2026000047</t>
        </is>
      </c>
      <c r="C48" s="10" t="inlineStr">
        <is>
          <t>G00047</t>
        </is>
      </c>
      <c r="D48" s="11" t="n">
        <v>46064</v>
      </c>
      <c r="E48" s="7" t="inlineStr">
        <is>
          <t>2026-02</t>
        </is>
      </c>
      <c r="F48" s="10" t="inlineStr">
        <is>
          <t>Vente</t>
        </is>
      </c>
      <c r="G48" s="10" t="inlineStr">
        <is>
          <t>EURL TERRENO TRANS</t>
        </is>
      </c>
      <c r="H48" s="7" t="inlineStr">
        <is>
          <t>C959</t>
        </is>
      </c>
      <c r="I48" s="10" t="inlineStr">
        <is>
          <t>Code existant</t>
        </is>
      </c>
      <c r="J48" s="10" t="n">
        <v>1</v>
      </c>
      <c r="K48" s="12" t="n">
        <v>1100000</v>
      </c>
      <c r="L48" s="12" t="n">
        <v>0</v>
      </c>
      <c r="M48" s="12" t="n">
        <v>209000</v>
      </c>
      <c r="N48" s="12" t="n">
        <v>1309000</v>
      </c>
      <c r="O48" s="7" t="inlineStr">
        <is>
          <t>06002</t>
        </is>
      </c>
      <c r="P48" s="5">
        <f>ROUND(M48-K48*0.19,2)</f>
        <v/>
      </c>
      <c r="Q48">
        <f>IF(ISNUMBER(SEARCH("DJENNADI",G48)),"OUI","")</f>
        <v/>
      </c>
    </row>
    <row r="49">
      <c r="A49" s="10" t="inlineStr">
        <is>
          <t>Siège (gros / import)</t>
        </is>
      </c>
      <c r="B49" s="7" t="inlineStr">
        <is>
          <t>2026000048</t>
        </is>
      </c>
      <c r="C49" s="10" t="inlineStr">
        <is>
          <t>G00048</t>
        </is>
      </c>
      <c r="D49" s="11" t="n">
        <v>46065</v>
      </c>
      <c r="E49" s="7" t="inlineStr">
        <is>
          <t>2026-02</t>
        </is>
      </c>
      <c r="F49" s="10" t="inlineStr">
        <is>
          <t>Vente</t>
        </is>
      </c>
      <c r="G49" s="10" t="inlineStr">
        <is>
          <t>SARL BEJAIA LOGISTIQUE</t>
        </is>
      </c>
      <c r="H49" s="7" t="inlineStr">
        <is>
          <t>C708</t>
        </is>
      </c>
      <c r="I49" s="10" t="inlineStr">
        <is>
          <t>Code existant</t>
        </is>
      </c>
      <c r="J49" s="10" t="n">
        <v>1</v>
      </c>
      <c r="K49" s="12" t="n">
        <v>110000</v>
      </c>
      <c r="L49" s="12" t="n">
        <v>0</v>
      </c>
      <c r="M49" s="12" t="n">
        <v>20900</v>
      </c>
      <c r="N49" s="12" t="n">
        <v>130900</v>
      </c>
      <c r="O49" s="7" t="inlineStr">
        <is>
          <t>06002</t>
        </is>
      </c>
      <c r="P49" s="5">
        <f>ROUND(M49-K49*0.19,2)</f>
        <v/>
      </c>
      <c r="Q49">
        <f>IF(ISNUMBER(SEARCH("DJENNADI",G49)),"OUI","")</f>
        <v/>
      </c>
    </row>
    <row r="50">
      <c r="A50" s="10" t="inlineStr">
        <is>
          <t>Siège (gros / import)</t>
        </is>
      </c>
      <c r="B50" s="7" t="inlineStr">
        <is>
          <t>2026000049</t>
        </is>
      </c>
      <c r="C50" s="10" t="inlineStr">
        <is>
          <t>G00049</t>
        </is>
      </c>
      <c r="D50" s="11" t="n">
        <v>46069</v>
      </c>
      <c r="E50" s="7" t="inlineStr">
        <is>
          <t>2026-02</t>
        </is>
      </c>
      <c r="F50" s="10" t="inlineStr">
        <is>
          <t>Vente</t>
        </is>
      </c>
      <c r="G50" s="10" t="inlineStr">
        <is>
          <t>SARL ECI  BOUDIAB</t>
        </is>
      </c>
      <c r="H50" s="7" t="inlineStr">
        <is>
          <t>C1076</t>
        </is>
      </c>
      <c r="I50" s="10" t="inlineStr">
        <is>
          <t>Code existant</t>
        </is>
      </c>
      <c r="J50" s="10" t="n">
        <v>4</v>
      </c>
      <c r="K50" s="12" t="n">
        <v>178000</v>
      </c>
      <c r="L50" s="12" t="n">
        <v>0</v>
      </c>
      <c r="M50" s="12" t="n">
        <v>33820</v>
      </c>
      <c r="N50" s="12" t="n">
        <v>211820</v>
      </c>
      <c r="O50" s="7" t="inlineStr">
        <is>
          <t>06002</t>
        </is>
      </c>
      <c r="P50" s="5">
        <f>ROUND(M50-K50*0.19,2)</f>
        <v/>
      </c>
      <c r="Q50">
        <f>IF(ISNUMBER(SEARCH("DJENNADI",G50)),"OUI","")</f>
        <v/>
      </c>
    </row>
    <row r="51">
      <c r="A51" s="10" t="inlineStr">
        <is>
          <t>Siège (gros / import)</t>
        </is>
      </c>
      <c r="B51" s="7" t="inlineStr">
        <is>
          <t>2026000050</t>
        </is>
      </c>
      <c r="C51" s="10" t="inlineStr">
        <is>
          <t>G00050</t>
        </is>
      </c>
      <c r="D51" s="11" t="n">
        <v>46071</v>
      </c>
      <c r="E51" s="7" t="inlineStr">
        <is>
          <t>2026-02</t>
        </is>
      </c>
      <c r="F51" s="10" t="inlineStr">
        <is>
          <t>Vente</t>
        </is>
      </c>
      <c r="G51" s="10" t="inlineStr">
        <is>
          <t>SARL ECI  BOUDIAB</t>
        </is>
      </c>
      <c r="H51" s="7" t="inlineStr">
        <is>
          <t>C1076</t>
        </is>
      </c>
      <c r="I51" s="10" t="inlineStr">
        <is>
          <t>Code existant</t>
        </is>
      </c>
      <c r="J51" s="10" t="n">
        <v>4</v>
      </c>
      <c r="K51" s="12" t="n">
        <v>400000</v>
      </c>
      <c r="L51" s="12" t="n">
        <v>0</v>
      </c>
      <c r="M51" s="12" t="n">
        <v>76000</v>
      </c>
      <c r="N51" s="12" t="n">
        <v>476000</v>
      </c>
      <c r="O51" s="7" t="inlineStr">
        <is>
          <t>06002</t>
        </is>
      </c>
      <c r="P51" s="5">
        <f>ROUND(M51-K51*0.19,2)</f>
        <v/>
      </c>
      <c r="Q51">
        <f>IF(ISNUMBER(SEARCH("DJENNADI",G51)),"OUI","")</f>
        <v/>
      </c>
    </row>
    <row r="52">
      <c r="A52" s="10" t="inlineStr">
        <is>
          <t>Siège (gros / import)</t>
        </is>
      </c>
      <c r="B52" s="7" t="inlineStr">
        <is>
          <t>2026000051</t>
        </is>
      </c>
      <c r="C52" s="10" t="inlineStr">
        <is>
          <t>G00051</t>
        </is>
      </c>
      <c r="D52" s="11" t="n">
        <v>46075</v>
      </c>
      <c r="E52" s="7" t="inlineStr">
        <is>
          <t>2026-02</t>
        </is>
      </c>
      <c r="F52" s="10" t="inlineStr">
        <is>
          <t>Vente</t>
        </is>
      </c>
      <c r="G52" s="10" t="inlineStr">
        <is>
          <t>SARL BEJAIA LOGISTIQUE</t>
        </is>
      </c>
      <c r="H52" s="7" t="inlineStr">
        <is>
          <t>C708</t>
        </is>
      </c>
      <c r="I52" s="10" t="inlineStr">
        <is>
          <t>Code existant</t>
        </is>
      </c>
      <c r="J52" s="10" t="n">
        <v>3</v>
      </c>
      <c r="K52" s="12" t="n">
        <v>133000</v>
      </c>
      <c r="L52" s="12" t="n">
        <v>0</v>
      </c>
      <c r="M52" s="12" t="n">
        <v>25270</v>
      </c>
      <c r="N52" s="12" t="n">
        <v>158270</v>
      </c>
      <c r="O52" s="7" t="inlineStr">
        <is>
          <t>06002</t>
        </is>
      </c>
      <c r="P52" s="5">
        <f>ROUND(M52-K52*0.19,2)</f>
        <v/>
      </c>
      <c r="Q52">
        <f>IF(ISNUMBER(SEARCH("DJENNADI",G52)),"OUI","")</f>
        <v/>
      </c>
    </row>
    <row r="53">
      <c r="A53" s="10" t="inlineStr">
        <is>
          <t>Siège (gros / import)</t>
        </is>
      </c>
      <c r="B53" s="7" t="inlineStr">
        <is>
          <t>2026000052</t>
        </is>
      </c>
      <c r="C53" s="10" t="inlineStr">
        <is>
          <t>G00052</t>
        </is>
      </c>
      <c r="D53" s="11" t="n">
        <v>46075</v>
      </c>
      <c r="E53" s="7" t="inlineStr">
        <is>
          <t>2026-02</t>
        </is>
      </c>
      <c r="F53" s="10" t="inlineStr">
        <is>
          <t>Vente</t>
        </is>
      </c>
      <c r="G53" s="10" t="inlineStr">
        <is>
          <t>SARL POIDS LOURDS SERVICE</t>
        </is>
      </c>
      <c r="H53" s="7" t="inlineStr">
        <is>
          <t>C1084</t>
        </is>
      </c>
      <c r="I53" s="10" t="inlineStr">
        <is>
          <t>Nouveau code à créer</t>
        </is>
      </c>
      <c r="J53" s="10" t="n">
        <v>1</v>
      </c>
      <c r="K53" s="12" t="n">
        <v>320000</v>
      </c>
      <c r="L53" s="12" t="n">
        <v>0</v>
      </c>
      <c r="M53" s="12" t="n">
        <v>60800</v>
      </c>
      <c r="N53" s="12" t="n">
        <v>380800</v>
      </c>
      <c r="O53" s="7" t="inlineStr">
        <is>
          <t>06002</t>
        </is>
      </c>
      <c r="P53" s="5">
        <f>ROUND(M53-K53*0.19,2)</f>
        <v/>
      </c>
      <c r="Q53">
        <f>IF(ISNUMBER(SEARCH("DJENNADI",G53)),"OUI","")</f>
        <v/>
      </c>
    </row>
    <row r="54">
      <c r="A54" s="10" t="inlineStr">
        <is>
          <t>Siège (gros / import)</t>
        </is>
      </c>
      <c r="B54" s="7" t="inlineStr">
        <is>
          <t>2026000053</t>
        </is>
      </c>
      <c r="C54" s="10" t="inlineStr">
        <is>
          <t>G00053</t>
        </is>
      </c>
      <c r="D54" s="11" t="n">
        <v>46076</v>
      </c>
      <c r="E54" s="7" t="inlineStr">
        <is>
          <t>2026-02</t>
        </is>
      </c>
      <c r="F54" s="10" t="inlineStr">
        <is>
          <t>Vente</t>
        </is>
      </c>
      <c r="G54" s="10" t="inlineStr">
        <is>
          <t>SARL POIDS LOURDS SERVICE</t>
        </is>
      </c>
      <c r="H54" s="7" t="inlineStr">
        <is>
          <t>C1084</t>
        </is>
      </c>
      <c r="I54" s="10" t="inlineStr">
        <is>
          <t>Nouveau code à créer</t>
        </is>
      </c>
      <c r="J54" s="10" t="n">
        <v>1</v>
      </c>
      <c r="K54" s="12" t="n">
        <v>1240000</v>
      </c>
      <c r="L54" s="12" t="n">
        <v>0</v>
      </c>
      <c r="M54" s="12" t="n">
        <v>235600</v>
      </c>
      <c r="N54" s="12" t="n">
        <v>1475600</v>
      </c>
      <c r="O54" s="7" t="inlineStr">
        <is>
          <t>06002</t>
        </is>
      </c>
      <c r="P54" s="5">
        <f>ROUND(M54-K54*0.19,2)</f>
        <v/>
      </c>
      <c r="Q54">
        <f>IF(ISNUMBER(SEARCH("DJENNADI",G54)),"OUI","")</f>
        <v/>
      </c>
    </row>
    <row r="55">
      <c r="A55" s="10" t="inlineStr">
        <is>
          <t>Siège (gros / import)</t>
        </is>
      </c>
      <c r="B55" s="7" t="inlineStr">
        <is>
          <t>2026000054</t>
        </is>
      </c>
      <c r="C55" s="10" t="inlineStr">
        <is>
          <t>G00054</t>
        </is>
      </c>
      <c r="D55" s="11" t="n">
        <v>46076</v>
      </c>
      <c r="E55" s="7" t="inlineStr">
        <is>
          <t>2026-02</t>
        </is>
      </c>
      <c r="F55" s="10" t="inlineStr">
        <is>
          <t>Vente</t>
        </is>
      </c>
      <c r="G55" s="10" t="inlineStr">
        <is>
          <t>SARL BEJAIA LOGISTIQUE</t>
        </is>
      </c>
      <c r="H55" s="7" t="inlineStr">
        <is>
          <t>C708</t>
        </is>
      </c>
      <c r="I55" s="10" t="inlineStr">
        <is>
          <t>Code existant</t>
        </is>
      </c>
      <c r="J55" s="10" t="n">
        <v>2</v>
      </c>
      <c r="K55" s="12" t="n">
        <v>153000</v>
      </c>
      <c r="L55" s="12" t="n">
        <v>0</v>
      </c>
      <c r="M55" s="12" t="n">
        <v>29070</v>
      </c>
      <c r="N55" s="12" t="n">
        <v>182070</v>
      </c>
      <c r="O55" s="7" t="inlineStr">
        <is>
          <t>06002</t>
        </is>
      </c>
      <c r="P55" s="5">
        <f>ROUND(M55-K55*0.19,2)</f>
        <v/>
      </c>
      <c r="Q55">
        <f>IF(ISNUMBER(SEARCH("DJENNADI",G55)),"OUI","")</f>
        <v/>
      </c>
    </row>
    <row r="56">
      <c r="A56" s="10" t="inlineStr">
        <is>
          <t>Siège (gros / import)</t>
        </is>
      </c>
      <c r="B56" s="7" t="inlineStr">
        <is>
          <t>2026000055</t>
        </is>
      </c>
      <c r="C56" s="10" t="inlineStr">
        <is>
          <t>G00055</t>
        </is>
      </c>
      <c r="D56" s="11" t="n">
        <v>46076</v>
      </c>
      <c r="E56" s="7" t="inlineStr">
        <is>
          <t>2026-02</t>
        </is>
      </c>
      <c r="F56" s="10" t="inlineStr">
        <is>
          <t>Vente</t>
        </is>
      </c>
      <c r="G56" s="10" t="inlineStr">
        <is>
          <t>SARL BEJAIA LOGISTIQUE</t>
        </is>
      </c>
      <c r="H56" s="7" t="inlineStr">
        <is>
          <t>C708</t>
        </is>
      </c>
      <c r="I56" s="10" t="inlineStr">
        <is>
          <t>Code existant</t>
        </is>
      </c>
      <c r="J56" s="10" t="n">
        <v>3</v>
      </c>
      <c r="K56" s="12" t="n">
        <v>529500</v>
      </c>
      <c r="L56" s="12" t="n">
        <v>0</v>
      </c>
      <c r="M56" s="12" t="n">
        <v>100605</v>
      </c>
      <c r="N56" s="12" t="n">
        <v>630105</v>
      </c>
      <c r="O56" s="7" t="inlineStr">
        <is>
          <t>06002</t>
        </is>
      </c>
      <c r="P56" s="5">
        <f>ROUND(M56-K56*0.19,2)</f>
        <v/>
      </c>
      <c r="Q56">
        <f>IF(ISNUMBER(SEARCH("DJENNADI",G56)),"OUI","")</f>
        <v/>
      </c>
    </row>
    <row r="57">
      <c r="A57" s="10" t="inlineStr">
        <is>
          <t>Siège (gros / import)</t>
        </is>
      </c>
      <c r="B57" s="7" t="inlineStr">
        <is>
          <t>2026000056</t>
        </is>
      </c>
      <c r="C57" s="10" t="inlineStr">
        <is>
          <t>G00056</t>
        </is>
      </c>
      <c r="D57" s="11" t="n">
        <v>46077</v>
      </c>
      <c r="E57" s="7" t="inlineStr">
        <is>
          <t>2026-02</t>
        </is>
      </c>
      <c r="F57" s="10" t="inlineStr">
        <is>
          <t>Vente</t>
        </is>
      </c>
      <c r="G57" s="10" t="inlineStr">
        <is>
          <t>EURL TERRENO TRANS</t>
        </is>
      </c>
      <c r="H57" s="7" t="inlineStr">
        <is>
          <t>C959</t>
        </is>
      </c>
      <c r="I57" s="10" t="inlineStr">
        <is>
          <t>Code existant</t>
        </is>
      </c>
      <c r="J57" s="10" t="n">
        <v>2</v>
      </c>
      <c r="K57" s="12" t="n">
        <v>747500</v>
      </c>
      <c r="L57" s="12" t="n">
        <v>0</v>
      </c>
      <c r="M57" s="12" t="n">
        <v>142025</v>
      </c>
      <c r="N57" s="12" t="n">
        <v>889525</v>
      </c>
      <c r="O57" s="7" t="inlineStr">
        <is>
          <t>06002</t>
        </is>
      </c>
      <c r="P57" s="5">
        <f>ROUND(M57-K57*0.19,2)</f>
        <v/>
      </c>
      <c r="Q57">
        <f>IF(ISNUMBER(SEARCH("DJENNADI",G57)),"OUI","")</f>
        <v/>
      </c>
    </row>
    <row r="58">
      <c r="A58" s="10" t="inlineStr">
        <is>
          <t>Siège (gros / import)</t>
        </is>
      </c>
      <c r="B58" s="7" t="inlineStr">
        <is>
          <t>2026000057</t>
        </is>
      </c>
      <c r="C58" s="10" t="inlineStr">
        <is>
          <t>G00057</t>
        </is>
      </c>
      <c r="D58" s="11" t="n">
        <v>46077</v>
      </c>
      <c r="E58" s="7" t="inlineStr">
        <is>
          <t>2026-02</t>
        </is>
      </c>
      <c r="F58" s="10" t="inlineStr">
        <is>
          <t>Vente</t>
        </is>
      </c>
      <c r="G58" s="10" t="inlineStr">
        <is>
          <t>EURL TERRENO TRANS</t>
        </is>
      </c>
      <c r="H58" s="7" t="inlineStr">
        <is>
          <t>C959</t>
        </is>
      </c>
      <c r="I58" s="10" t="inlineStr">
        <is>
          <t>Code existant</t>
        </is>
      </c>
      <c r="J58" s="10" t="n">
        <v>1</v>
      </c>
      <c r="K58" s="12" t="n">
        <v>96000</v>
      </c>
      <c r="L58" s="12" t="n">
        <v>0</v>
      </c>
      <c r="M58" s="12" t="n">
        <v>18240</v>
      </c>
      <c r="N58" s="12" t="n">
        <v>114240</v>
      </c>
      <c r="O58" s="7" t="inlineStr">
        <is>
          <t>06002</t>
        </is>
      </c>
      <c r="P58" s="5">
        <f>ROUND(M58-K58*0.19,2)</f>
        <v/>
      </c>
      <c r="Q58">
        <f>IF(ISNUMBER(SEARCH("DJENNADI",G58)),"OUI","")</f>
        <v/>
      </c>
    </row>
    <row r="59">
      <c r="A59" s="10" t="inlineStr">
        <is>
          <t>Siège (gros / import)</t>
        </is>
      </c>
      <c r="B59" s="7" t="inlineStr">
        <is>
          <t>2026000058</t>
        </is>
      </c>
      <c r="C59" s="10" t="inlineStr">
        <is>
          <t>G00058</t>
        </is>
      </c>
      <c r="D59" s="11" t="n">
        <v>46078</v>
      </c>
      <c r="E59" s="7" t="inlineStr">
        <is>
          <t>2026-02</t>
        </is>
      </c>
      <c r="F59" s="10" t="inlineStr">
        <is>
          <t>Vente</t>
        </is>
      </c>
      <c r="G59" s="10" t="inlineStr">
        <is>
          <t>SARL POIDS LOURDS SERVICE</t>
        </is>
      </c>
      <c r="H59" s="7" t="inlineStr">
        <is>
          <t>C1084</t>
        </is>
      </c>
      <c r="I59" s="10" t="inlineStr">
        <is>
          <t>Nouveau code à créer</t>
        </is>
      </c>
      <c r="J59" s="10" t="n">
        <v>1</v>
      </c>
      <c r="K59" s="12" t="n">
        <v>476000</v>
      </c>
      <c r="L59" s="12" t="n">
        <v>0</v>
      </c>
      <c r="M59" s="12" t="n">
        <v>90440</v>
      </c>
      <c r="N59" s="12" t="n">
        <v>566440</v>
      </c>
      <c r="O59" s="7" t="inlineStr">
        <is>
          <t>06002</t>
        </is>
      </c>
      <c r="P59" s="5">
        <f>ROUND(M59-K59*0.19,2)</f>
        <v/>
      </c>
      <c r="Q59">
        <f>IF(ISNUMBER(SEARCH("DJENNADI",G59)),"OUI","")</f>
        <v/>
      </c>
    </row>
    <row r="60">
      <c r="A60" s="10" t="inlineStr">
        <is>
          <t>Siège (gros / import)</t>
        </is>
      </c>
      <c r="B60" s="7" t="inlineStr">
        <is>
          <t>2026000059</t>
        </is>
      </c>
      <c r="C60" s="10" t="inlineStr">
        <is>
          <t>G00059</t>
        </is>
      </c>
      <c r="D60" s="11" t="n">
        <v>46078</v>
      </c>
      <c r="E60" s="7" t="inlineStr">
        <is>
          <t>2026-02</t>
        </is>
      </c>
      <c r="F60" s="10" t="inlineStr">
        <is>
          <t>Vente</t>
        </is>
      </c>
      <c r="G60" s="10" t="inlineStr">
        <is>
          <t>CHERRAHI ABDELKAMEL</t>
        </is>
      </c>
      <c r="H60" s="7" t="inlineStr">
        <is>
          <t>C1085</t>
        </is>
      </c>
      <c r="I60" s="10" t="inlineStr">
        <is>
          <t>Nouveau code à créer</t>
        </is>
      </c>
      <c r="J60" s="10" t="n">
        <v>13</v>
      </c>
      <c r="K60" s="12" t="n">
        <v>588235.29</v>
      </c>
      <c r="L60" s="12" t="n">
        <v>0</v>
      </c>
      <c r="M60" s="12" t="n">
        <v>111764.71</v>
      </c>
      <c r="N60" s="12" t="n">
        <v>700000</v>
      </c>
      <c r="O60" s="7" t="inlineStr">
        <is>
          <t>06002</t>
        </is>
      </c>
      <c r="P60" s="5">
        <f>ROUND(M60-K60*0.19,2)</f>
        <v/>
      </c>
      <c r="Q60">
        <f>IF(ISNUMBER(SEARCH("DJENNADI",G60)),"OUI","")</f>
        <v/>
      </c>
    </row>
    <row r="61">
      <c r="A61" s="10" t="inlineStr">
        <is>
          <t>Siège (gros / import)</t>
        </is>
      </c>
      <c r="B61" s="7" t="inlineStr">
        <is>
          <t>2026000060</t>
        </is>
      </c>
      <c r="C61" s="10" t="inlineStr">
        <is>
          <t>G00060</t>
        </is>
      </c>
      <c r="D61" s="11" t="n">
        <v>46078</v>
      </c>
      <c r="E61" s="7" t="inlineStr">
        <is>
          <t>2026-02</t>
        </is>
      </c>
      <c r="F61" s="10" t="inlineStr">
        <is>
          <t>Vente</t>
        </is>
      </c>
      <c r="G61" s="10" t="inlineStr">
        <is>
          <t>BAHI RIDHA</t>
        </is>
      </c>
      <c r="H61" s="7" t="inlineStr">
        <is>
          <t>C1086</t>
        </is>
      </c>
      <c r="I61" s="10" t="inlineStr">
        <is>
          <t>Nouveau code à créer</t>
        </is>
      </c>
      <c r="J61" s="10" t="n">
        <v>8</v>
      </c>
      <c r="K61" s="12" t="n">
        <v>453781.51</v>
      </c>
      <c r="L61" s="12" t="n">
        <v>0</v>
      </c>
      <c r="M61" s="12" t="n">
        <v>86218.49000000001</v>
      </c>
      <c r="N61" s="12" t="n">
        <v>540000</v>
      </c>
      <c r="O61" s="7" t="inlineStr">
        <is>
          <t>06002</t>
        </is>
      </c>
      <c r="P61" s="5">
        <f>ROUND(M61-K61*0.19,2)</f>
        <v/>
      </c>
      <c r="Q61">
        <f>IF(ISNUMBER(SEARCH("DJENNADI",G61)),"OUI","")</f>
        <v/>
      </c>
    </row>
    <row r="62">
      <c r="A62" s="10" t="inlineStr">
        <is>
          <t>Siège (gros / import)</t>
        </is>
      </c>
      <c r="B62" s="7" t="inlineStr">
        <is>
          <t>2026000061</t>
        </is>
      </c>
      <c r="C62" s="10" t="inlineStr">
        <is>
          <t>G00061</t>
        </is>
      </c>
      <c r="D62" s="11" t="n">
        <v>46078</v>
      </c>
      <c r="E62" s="7" t="inlineStr">
        <is>
          <t>2026-02</t>
        </is>
      </c>
      <c r="F62" s="10" t="inlineStr">
        <is>
          <t>Vente</t>
        </is>
      </c>
      <c r="G62" s="10" t="inlineStr">
        <is>
          <t>SARL META GRAIN</t>
        </is>
      </c>
      <c r="H62" s="7" t="inlineStr">
        <is>
          <t>C1012</t>
        </is>
      </c>
      <c r="I62" s="10" t="inlineStr">
        <is>
          <t>Code existant</t>
        </is>
      </c>
      <c r="J62" s="10" t="n">
        <v>7</v>
      </c>
      <c r="K62" s="12" t="n">
        <v>705882.35</v>
      </c>
      <c r="L62" s="12" t="n">
        <v>0</v>
      </c>
      <c r="M62" s="12" t="n">
        <v>134117.65</v>
      </c>
      <c r="N62" s="12" t="n">
        <v>840000</v>
      </c>
      <c r="O62" s="7" t="inlineStr">
        <is>
          <t>06002</t>
        </is>
      </c>
      <c r="P62" s="5">
        <f>ROUND(M62-K62*0.19,2)</f>
        <v/>
      </c>
      <c r="Q62">
        <f>IF(ISNUMBER(SEARCH("DJENNADI",G62)),"OUI","")</f>
        <v/>
      </c>
    </row>
    <row r="63">
      <c r="A63" s="10" t="inlineStr">
        <is>
          <t>Siège (gros / import)</t>
        </is>
      </c>
      <c r="B63" s="7" t="inlineStr">
        <is>
          <t>2026000062</t>
        </is>
      </c>
      <c r="C63" s="10" t="inlineStr">
        <is>
          <t>G00062</t>
        </is>
      </c>
      <c r="D63" s="11" t="n">
        <v>46078</v>
      </c>
      <c r="E63" s="7" t="inlineStr">
        <is>
          <t>2026-02</t>
        </is>
      </c>
      <c r="F63" s="10" t="inlineStr">
        <is>
          <t>Vente</t>
        </is>
      </c>
      <c r="G63" s="10" t="inlineStr">
        <is>
          <t>MADI AHMED</t>
        </is>
      </c>
      <c r="H63" s="7" t="inlineStr">
        <is>
          <t>C676</t>
        </is>
      </c>
      <c r="I63" s="10" t="inlineStr">
        <is>
          <t>Code existant</t>
        </is>
      </c>
      <c r="J63" s="10" t="n">
        <v>5</v>
      </c>
      <c r="K63" s="12" t="n">
        <v>118639.97</v>
      </c>
      <c r="L63" s="12" t="n">
        <v>0</v>
      </c>
      <c r="M63" s="12" t="n">
        <v>22541.59</v>
      </c>
      <c r="N63" s="12" t="n">
        <v>141181.56</v>
      </c>
      <c r="O63" s="7" t="inlineStr">
        <is>
          <t>06002</t>
        </is>
      </c>
      <c r="P63" s="5">
        <f>ROUND(M63-K63*0.19,2)</f>
        <v/>
      </c>
      <c r="Q63">
        <f>IF(ISNUMBER(SEARCH("DJENNADI",G63)),"OUI","")</f>
        <v/>
      </c>
    </row>
    <row r="64">
      <c r="A64" s="10" t="inlineStr">
        <is>
          <t>Siège (gros / import)</t>
        </is>
      </c>
      <c r="B64" s="7" t="inlineStr">
        <is>
          <t>2026000063</t>
        </is>
      </c>
      <c r="C64" s="10" t="inlineStr">
        <is>
          <t>G00063</t>
        </is>
      </c>
      <c r="D64" s="11" t="n">
        <v>46078</v>
      </c>
      <c r="E64" s="7" t="inlineStr">
        <is>
          <t>2026-02</t>
        </is>
      </c>
      <c r="F64" s="10" t="inlineStr">
        <is>
          <t>Vente</t>
        </is>
      </c>
      <c r="G64" s="10" t="inlineStr">
        <is>
          <t>SARL ROYAL MATERIAUX  DE CONSTRUCTION</t>
        </is>
      </c>
      <c r="H64" s="7" t="inlineStr">
        <is>
          <t>C934</t>
        </is>
      </c>
      <c r="I64" s="10" t="inlineStr">
        <is>
          <t>Code existant (nom proche)</t>
        </is>
      </c>
      <c r="J64" s="10" t="n">
        <v>6</v>
      </c>
      <c r="K64" s="12" t="n">
        <v>94236.98</v>
      </c>
      <c r="L64" s="12" t="n">
        <v>0</v>
      </c>
      <c r="M64" s="12" t="n">
        <v>17905.03</v>
      </c>
      <c r="N64" s="12" t="n">
        <v>112142.01</v>
      </c>
      <c r="O64" s="7" t="inlineStr">
        <is>
          <t>06002</t>
        </is>
      </c>
      <c r="P64" s="5">
        <f>ROUND(M64-K64*0.19,2)</f>
        <v/>
      </c>
      <c r="Q64">
        <f>IF(ISNUMBER(SEARCH("DJENNADI",G64)),"OUI","")</f>
        <v/>
      </c>
    </row>
    <row r="65">
      <c r="A65" s="10" t="inlineStr">
        <is>
          <t>Siège (gros / import)</t>
        </is>
      </c>
      <c r="B65" s="7" t="inlineStr">
        <is>
          <t>2026000064</t>
        </is>
      </c>
      <c r="C65" s="10" t="inlineStr">
        <is>
          <t>G00064</t>
        </is>
      </c>
      <c r="D65" s="11" t="n">
        <v>46078</v>
      </c>
      <c r="E65" s="7" t="inlineStr">
        <is>
          <t>2026-02</t>
        </is>
      </c>
      <c r="F65" s="10" t="inlineStr">
        <is>
          <t>Vente</t>
        </is>
      </c>
      <c r="G65" s="10" t="inlineStr">
        <is>
          <t>SARL ROYAL MATERIAUX  DE CONSTRUCTION</t>
        </is>
      </c>
      <c r="H65" s="7" t="inlineStr">
        <is>
          <t>C934</t>
        </is>
      </c>
      <c r="I65" s="10" t="inlineStr">
        <is>
          <t>Code existant (nom proche)</t>
        </is>
      </c>
      <c r="J65" s="10" t="n">
        <v>5</v>
      </c>
      <c r="K65" s="12" t="n">
        <v>87687.39999999999</v>
      </c>
      <c r="L65" s="12" t="n">
        <v>0</v>
      </c>
      <c r="M65" s="12" t="n">
        <v>16660.61</v>
      </c>
      <c r="N65" s="12" t="n">
        <v>104348.01</v>
      </c>
      <c r="O65" s="7" t="inlineStr">
        <is>
          <t>06002</t>
        </is>
      </c>
      <c r="P65" s="5">
        <f>ROUND(M65-K65*0.19,2)</f>
        <v/>
      </c>
      <c r="Q65">
        <f>IF(ISNUMBER(SEARCH("DJENNADI",G65)),"OUI","")</f>
        <v/>
      </c>
    </row>
    <row r="66">
      <c r="A66" s="10" t="inlineStr">
        <is>
          <t>Siège (gros / import)</t>
        </is>
      </c>
      <c r="B66" s="7" t="inlineStr">
        <is>
          <t>2026000065</t>
        </is>
      </c>
      <c r="C66" s="10" t="inlineStr">
        <is>
          <t>G00065</t>
        </is>
      </c>
      <c r="D66" s="11" t="n">
        <v>46078</v>
      </c>
      <c r="E66" s="7" t="inlineStr">
        <is>
          <t>2026-02</t>
        </is>
      </c>
      <c r="F66" s="10" t="inlineStr">
        <is>
          <t>Vente</t>
        </is>
      </c>
      <c r="G66" s="10" t="inlineStr">
        <is>
          <t>SARL ROYAL MATERIAUX  DE CONSTRUCTION</t>
        </is>
      </c>
      <c r="H66" s="7" t="inlineStr">
        <is>
          <t>C934</t>
        </is>
      </c>
      <c r="I66" s="10" t="inlineStr">
        <is>
          <t>Code existant (nom proche)</t>
        </is>
      </c>
      <c r="J66" s="10" t="n">
        <v>4</v>
      </c>
      <c r="K66" s="12" t="n">
        <v>89153.78</v>
      </c>
      <c r="L66" s="12" t="n">
        <v>0</v>
      </c>
      <c r="M66" s="12" t="n">
        <v>16939.22</v>
      </c>
      <c r="N66" s="12" t="n">
        <v>106093</v>
      </c>
      <c r="O66" s="7" t="inlineStr">
        <is>
          <t>06002</t>
        </is>
      </c>
      <c r="P66" s="5">
        <f>ROUND(M66-K66*0.19,2)</f>
        <v/>
      </c>
      <c r="Q66">
        <f>IF(ISNUMBER(SEARCH("DJENNADI",G66)),"OUI","")</f>
        <v/>
      </c>
    </row>
    <row r="67">
      <c r="A67" s="10" t="inlineStr">
        <is>
          <t>Siège (gros / import)</t>
        </is>
      </c>
      <c r="B67" s="7" t="inlineStr">
        <is>
          <t>2026000066</t>
        </is>
      </c>
      <c r="C67" s="10" t="inlineStr">
        <is>
          <t>G00066</t>
        </is>
      </c>
      <c r="D67" s="11" t="n">
        <v>46078</v>
      </c>
      <c r="E67" s="7" t="inlineStr">
        <is>
          <t>2026-02</t>
        </is>
      </c>
      <c r="F67" s="10" t="inlineStr">
        <is>
          <t>Vente</t>
        </is>
      </c>
      <c r="G67" s="10" t="inlineStr">
        <is>
          <t>SARL ROYAL MATERIAUX  DE CONSTRUCTION</t>
        </is>
      </c>
      <c r="H67" s="7" t="inlineStr">
        <is>
          <t>C934</t>
        </is>
      </c>
      <c r="I67" s="10" t="inlineStr">
        <is>
          <t>Code existant (nom proche)</t>
        </is>
      </c>
      <c r="J67" s="10" t="n">
        <v>1</v>
      </c>
      <c r="K67" s="12" t="n">
        <v>56298.32</v>
      </c>
      <c r="L67" s="12" t="n">
        <v>0</v>
      </c>
      <c r="M67" s="12" t="n">
        <v>10696.68</v>
      </c>
      <c r="N67" s="12" t="n">
        <v>66995</v>
      </c>
      <c r="O67" s="7" t="inlineStr">
        <is>
          <t>06002</t>
        </is>
      </c>
      <c r="P67" s="5">
        <f>ROUND(M67-K67*0.19,2)</f>
        <v/>
      </c>
      <c r="Q67">
        <f>IF(ISNUMBER(SEARCH("DJENNADI",G67)),"OUI","")</f>
        <v/>
      </c>
    </row>
    <row r="68">
      <c r="A68" s="10" t="inlineStr">
        <is>
          <t>Siège (gros / import)</t>
        </is>
      </c>
      <c r="B68" s="7" t="inlineStr">
        <is>
          <t>2026000067</t>
        </is>
      </c>
      <c r="C68" s="10" t="inlineStr">
        <is>
          <t>G00067</t>
        </is>
      </c>
      <c r="D68" s="11" t="n">
        <v>46078</v>
      </c>
      <c r="E68" s="7" t="inlineStr">
        <is>
          <t>2026-02</t>
        </is>
      </c>
      <c r="F68" s="10" t="inlineStr">
        <is>
          <t>Vente</t>
        </is>
      </c>
      <c r="G68" s="10" t="inlineStr">
        <is>
          <t>SARL ROYAL MATERIAUX  DE CONSTRUCTION</t>
        </is>
      </c>
      <c r="H68" s="7" t="inlineStr">
        <is>
          <t>C934</t>
        </is>
      </c>
      <c r="I68" s="10" t="inlineStr">
        <is>
          <t>Code existant (nom proche)</t>
        </is>
      </c>
      <c r="J68" s="10" t="n">
        <v>1</v>
      </c>
      <c r="K68" s="12" t="n">
        <v>52191.6</v>
      </c>
      <c r="L68" s="12" t="n">
        <v>0</v>
      </c>
      <c r="M68" s="12" t="n">
        <v>9916.4</v>
      </c>
      <c r="N68" s="12" t="n">
        <v>62108</v>
      </c>
      <c r="O68" s="7" t="inlineStr">
        <is>
          <t>06002</t>
        </is>
      </c>
      <c r="P68" s="5">
        <f>ROUND(M68-K68*0.19,2)</f>
        <v/>
      </c>
      <c r="Q68">
        <f>IF(ISNUMBER(SEARCH("DJENNADI",G68)),"OUI","")</f>
        <v/>
      </c>
    </row>
    <row r="69">
      <c r="A69" s="10" t="inlineStr">
        <is>
          <t>Siège (gros / import)</t>
        </is>
      </c>
      <c r="B69" s="7" t="inlineStr">
        <is>
          <t>2026000068</t>
        </is>
      </c>
      <c r="C69" s="10" t="inlineStr">
        <is>
          <t>G00068</t>
        </is>
      </c>
      <c r="D69" s="11" t="n">
        <v>46078</v>
      </c>
      <c r="E69" s="7" t="inlineStr">
        <is>
          <t>2026-02</t>
        </is>
      </c>
      <c r="F69" s="10" t="inlineStr">
        <is>
          <t>Vente</t>
        </is>
      </c>
      <c r="G69" s="10" t="inlineStr">
        <is>
          <t>DJENNADI REYAD</t>
        </is>
      </c>
      <c r="H69" s="7" t="inlineStr">
        <is>
          <t>C164</t>
        </is>
      </c>
      <c r="I69" s="10" t="inlineStr">
        <is>
          <t>Code existant</t>
        </is>
      </c>
      <c r="J69" s="10" t="n">
        <v>1</v>
      </c>
      <c r="K69" s="12" t="n">
        <v>99360.5</v>
      </c>
      <c r="L69" s="12" t="n">
        <v>0</v>
      </c>
      <c r="M69" s="12" t="n">
        <v>18878.5</v>
      </c>
      <c r="N69" s="12" t="n">
        <v>118239</v>
      </c>
      <c r="O69" s="7" t="inlineStr">
        <is>
          <t>06002</t>
        </is>
      </c>
      <c r="P69" s="5">
        <f>ROUND(M69-K69*0.19,2)</f>
        <v/>
      </c>
      <c r="Q69">
        <f>IF(ISNUMBER(SEARCH("DJENNADI",G69)),"OUI","")</f>
        <v/>
      </c>
    </row>
    <row r="70">
      <c r="A70" s="10" t="inlineStr">
        <is>
          <t>Siège (gros / import)</t>
        </is>
      </c>
      <c r="B70" s="7" t="inlineStr">
        <is>
          <t>2026000069</t>
        </is>
      </c>
      <c r="C70" s="10" t="inlineStr">
        <is>
          <t>G00069</t>
        </is>
      </c>
      <c r="D70" s="11" t="n">
        <v>46078</v>
      </c>
      <c r="E70" s="7" t="inlineStr">
        <is>
          <t>2026-02</t>
        </is>
      </c>
      <c r="F70" s="10" t="inlineStr">
        <is>
          <t>Vente</t>
        </is>
      </c>
      <c r="G70" s="10" t="inlineStr">
        <is>
          <t>SELLAH FARID</t>
        </is>
      </c>
      <c r="H70" s="7" t="inlineStr">
        <is>
          <t>C549</t>
        </is>
      </c>
      <c r="I70" s="10" t="inlineStr">
        <is>
          <t>Code existant</t>
        </is>
      </c>
      <c r="J70" s="10" t="n">
        <v>3</v>
      </c>
      <c r="K70" s="12" t="n">
        <v>46603.36</v>
      </c>
      <c r="L70" s="12" t="n">
        <v>0</v>
      </c>
      <c r="M70" s="12" t="n">
        <v>8854.639999999999</v>
      </c>
      <c r="N70" s="12" t="n">
        <v>55458</v>
      </c>
      <c r="O70" s="7" t="inlineStr">
        <is>
          <t>06002</t>
        </is>
      </c>
      <c r="P70" s="5">
        <f>ROUND(M70-K70*0.19,2)</f>
        <v/>
      </c>
      <c r="Q70">
        <f>IF(ISNUMBER(SEARCH("DJENNADI",G70)),"OUI","")</f>
        <v/>
      </c>
    </row>
    <row r="71">
      <c r="A71" s="10" t="inlineStr">
        <is>
          <t>Siège (gros / import)</t>
        </is>
      </c>
      <c r="B71" s="7" t="inlineStr">
        <is>
          <t>2026000070</t>
        </is>
      </c>
      <c r="C71" s="10" t="inlineStr">
        <is>
          <t>G00070</t>
        </is>
      </c>
      <c r="D71" s="11" t="n">
        <v>46078</v>
      </c>
      <c r="E71" s="7" t="inlineStr">
        <is>
          <t>2026-02</t>
        </is>
      </c>
      <c r="F71" s="10" t="inlineStr">
        <is>
          <t>Vente</t>
        </is>
      </c>
      <c r="G71" s="10" t="inlineStr">
        <is>
          <t>DIVERS</t>
        </is>
      </c>
      <c r="H71" s="7" t="inlineStr">
        <is>
          <t>C1087</t>
        </is>
      </c>
      <c r="I71" s="10" t="inlineStr">
        <is>
          <t>Nouveau code à créer</t>
        </is>
      </c>
      <c r="J71" s="10" t="n">
        <v>2</v>
      </c>
      <c r="K71" s="12" t="n">
        <v>69531.92999999999</v>
      </c>
      <c r="L71" s="12" t="n">
        <v>0</v>
      </c>
      <c r="M71" s="12" t="n">
        <v>13211.07</v>
      </c>
      <c r="N71" s="12" t="n">
        <v>82743</v>
      </c>
      <c r="O71" s="7" t="inlineStr">
        <is>
          <t>06002</t>
        </is>
      </c>
      <c r="P71" s="5">
        <f>ROUND(M71-K71*0.19,2)</f>
        <v/>
      </c>
      <c r="Q71">
        <f>IF(ISNUMBER(SEARCH("DJENNADI",G71)),"OUI","")</f>
        <v/>
      </c>
    </row>
    <row r="72">
      <c r="A72" s="10" t="inlineStr">
        <is>
          <t>Siège (gros / import)</t>
        </is>
      </c>
      <c r="B72" s="7" t="inlineStr">
        <is>
          <t>2026000071</t>
        </is>
      </c>
      <c r="C72" s="10" t="inlineStr">
        <is>
          <t>G00071</t>
        </is>
      </c>
      <c r="D72" s="11" t="n">
        <v>46078</v>
      </c>
      <c r="E72" s="7" t="inlineStr">
        <is>
          <t>2026-02</t>
        </is>
      </c>
      <c r="F72" s="10" t="inlineStr">
        <is>
          <t>Vente</t>
        </is>
      </c>
      <c r="G72" s="10" t="inlineStr">
        <is>
          <t>DIVERS</t>
        </is>
      </c>
      <c r="H72" s="7" t="inlineStr">
        <is>
          <t>C1087</t>
        </is>
      </c>
      <c r="I72" s="10" t="inlineStr">
        <is>
          <t>Nouveau code à créer</t>
        </is>
      </c>
      <c r="J72" s="10" t="n">
        <v>2</v>
      </c>
      <c r="K72" s="12" t="n">
        <v>73222.69</v>
      </c>
      <c r="L72" s="12" t="n">
        <v>0</v>
      </c>
      <c r="M72" s="12" t="n">
        <v>13912.31</v>
      </c>
      <c r="N72" s="12" t="n">
        <v>87135</v>
      </c>
      <c r="O72" s="7" t="inlineStr">
        <is>
          <t>06002</t>
        </is>
      </c>
      <c r="P72" s="5">
        <f>ROUND(M72-K72*0.19,2)</f>
        <v/>
      </c>
      <c r="Q72">
        <f>IF(ISNUMBER(SEARCH("DJENNADI",G72)),"OUI","")</f>
        <v/>
      </c>
    </row>
    <row r="73">
      <c r="A73" s="10" t="inlineStr">
        <is>
          <t>Siège (gros / import)</t>
        </is>
      </c>
      <c r="B73" s="7" t="inlineStr">
        <is>
          <t>2026000072</t>
        </is>
      </c>
      <c r="C73" s="10" t="inlineStr">
        <is>
          <t>G00072</t>
        </is>
      </c>
      <c r="D73" s="11" t="n">
        <v>46078</v>
      </c>
      <c r="E73" s="7" t="inlineStr">
        <is>
          <t>2026-02</t>
        </is>
      </c>
      <c r="F73" s="10" t="inlineStr">
        <is>
          <t>Vente</t>
        </is>
      </c>
      <c r="G73" s="10" t="inlineStr">
        <is>
          <t>SASSANE RAMDANE</t>
        </is>
      </c>
      <c r="H73" s="7" t="inlineStr">
        <is>
          <t>C910</t>
        </is>
      </c>
      <c r="I73" s="10" t="inlineStr">
        <is>
          <t>Code existant</t>
        </is>
      </c>
      <c r="J73" s="10" t="n">
        <v>3</v>
      </c>
      <c r="K73" s="12" t="n">
        <v>59915.13</v>
      </c>
      <c r="L73" s="12" t="n">
        <v>0</v>
      </c>
      <c r="M73" s="12" t="n">
        <v>11383.87</v>
      </c>
      <c r="N73" s="12" t="n">
        <v>71299</v>
      </c>
      <c r="O73" s="7" t="inlineStr">
        <is>
          <t>06002</t>
        </is>
      </c>
      <c r="P73" s="5">
        <f>ROUND(M73-K73*0.19,2)</f>
        <v/>
      </c>
      <c r="Q73">
        <f>IF(ISNUMBER(SEARCH("DJENNADI",G73)),"OUI","")</f>
        <v/>
      </c>
    </row>
    <row r="74">
      <c r="A74" s="10" t="inlineStr">
        <is>
          <t>Siège (gros / import)</t>
        </is>
      </c>
      <c r="B74" s="7" t="inlineStr">
        <is>
          <t>2026000073</t>
        </is>
      </c>
      <c r="C74" s="10" t="inlineStr">
        <is>
          <t>G00073</t>
        </is>
      </c>
      <c r="D74" s="11" t="n">
        <v>46078</v>
      </c>
      <c r="E74" s="7" t="inlineStr">
        <is>
          <t>2026-02</t>
        </is>
      </c>
      <c r="F74" s="10" t="inlineStr">
        <is>
          <t>Vente</t>
        </is>
      </c>
      <c r="G74" s="10" t="inlineStr">
        <is>
          <t>DJENNADI REYAD</t>
        </is>
      </c>
      <c r="H74" s="7" t="inlineStr">
        <is>
          <t>C164</t>
        </is>
      </c>
      <c r="I74" s="10" t="inlineStr">
        <is>
          <t>Code existant</t>
        </is>
      </c>
      <c r="J74" s="10" t="n">
        <v>4</v>
      </c>
      <c r="K74" s="12" t="n">
        <v>56052.1</v>
      </c>
      <c r="L74" s="12" t="n">
        <v>0</v>
      </c>
      <c r="M74" s="12" t="n">
        <v>10649.9</v>
      </c>
      <c r="N74" s="12" t="n">
        <v>66702</v>
      </c>
      <c r="O74" s="7" t="inlineStr">
        <is>
          <t>06002</t>
        </is>
      </c>
      <c r="P74" s="5">
        <f>ROUND(M74-K74*0.19,2)</f>
        <v/>
      </c>
      <c r="Q74">
        <f>IF(ISNUMBER(SEARCH("DJENNADI",G74)),"OUI","")</f>
        <v/>
      </c>
    </row>
    <row r="75">
      <c r="A75" s="10" t="inlineStr">
        <is>
          <t>Siège (gros / import)</t>
        </is>
      </c>
      <c r="B75" s="7" t="inlineStr">
        <is>
          <t>2026000074</t>
        </is>
      </c>
      <c r="C75" s="10" t="inlineStr">
        <is>
          <t>G00074</t>
        </is>
      </c>
      <c r="D75" s="11" t="n">
        <v>46078</v>
      </c>
      <c r="E75" s="7" t="inlineStr">
        <is>
          <t>2026-02</t>
        </is>
      </c>
      <c r="F75" s="10" t="inlineStr">
        <is>
          <t>Vente</t>
        </is>
      </c>
      <c r="G75" s="10" t="inlineStr">
        <is>
          <t>DJENNADI REYAD</t>
        </is>
      </c>
      <c r="H75" s="7" t="inlineStr">
        <is>
          <t>C164</t>
        </is>
      </c>
      <c r="I75" s="10" t="inlineStr">
        <is>
          <t>Code existant</t>
        </is>
      </c>
      <c r="J75" s="10" t="n">
        <v>3</v>
      </c>
      <c r="K75" s="12" t="n">
        <v>46542.86</v>
      </c>
      <c r="L75" s="12" t="n">
        <v>0</v>
      </c>
      <c r="M75" s="12" t="n">
        <v>8843.139999999999</v>
      </c>
      <c r="N75" s="12" t="n">
        <v>55386</v>
      </c>
      <c r="O75" s="7" t="inlineStr">
        <is>
          <t>06002</t>
        </is>
      </c>
      <c r="P75" s="5">
        <f>ROUND(M75-K75*0.19,2)</f>
        <v/>
      </c>
      <c r="Q75">
        <f>IF(ISNUMBER(SEARCH("DJENNADI",G75)),"OUI","")</f>
        <v/>
      </c>
    </row>
    <row r="76">
      <c r="A76" s="10" t="inlineStr">
        <is>
          <t>Siège (gros / import)</t>
        </is>
      </c>
      <c r="B76" s="7" t="inlineStr">
        <is>
          <t>2026000075</t>
        </is>
      </c>
      <c r="C76" s="10" t="inlineStr">
        <is>
          <t>G00075</t>
        </is>
      </c>
      <c r="D76" s="11" t="n">
        <v>46078</v>
      </c>
      <c r="E76" s="7" t="inlineStr">
        <is>
          <t>2026-02</t>
        </is>
      </c>
      <c r="F76" s="10" t="inlineStr">
        <is>
          <t>Vente</t>
        </is>
      </c>
      <c r="G76" s="10" t="inlineStr">
        <is>
          <t>DJENNADI REYAD</t>
        </is>
      </c>
      <c r="H76" s="7" t="inlineStr">
        <is>
          <t>C164</t>
        </is>
      </c>
      <c r="I76" s="10" t="inlineStr">
        <is>
          <t>Code existant</t>
        </is>
      </c>
      <c r="J76" s="10" t="n">
        <v>3</v>
      </c>
      <c r="K76" s="12" t="n">
        <v>60829.41</v>
      </c>
      <c r="L76" s="12" t="n">
        <v>0</v>
      </c>
      <c r="M76" s="12" t="n">
        <v>11557.59</v>
      </c>
      <c r="N76" s="12" t="n">
        <v>72387</v>
      </c>
      <c r="O76" s="7" t="inlineStr">
        <is>
          <t>06002</t>
        </is>
      </c>
      <c r="P76" s="5">
        <f>ROUND(M76-K76*0.19,2)</f>
        <v/>
      </c>
      <c r="Q76">
        <f>IF(ISNUMBER(SEARCH("DJENNADI",G76)),"OUI","")</f>
        <v/>
      </c>
    </row>
    <row r="77">
      <c r="A77" s="10" t="inlineStr">
        <is>
          <t>Siège (gros / import)</t>
        </is>
      </c>
      <c r="B77" s="7" t="inlineStr">
        <is>
          <t>2026000076</t>
        </is>
      </c>
      <c r="C77" s="10" t="inlineStr">
        <is>
          <t>G00076</t>
        </is>
      </c>
      <c r="D77" s="11" t="n">
        <v>46078</v>
      </c>
      <c r="E77" s="7" t="inlineStr">
        <is>
          <t>2026-02</t>
        </is>
      </c>
      <c r="F77" s="10" t="inlineStr">
        <is>
          <t>Vente</t>
        </is>
      </c>
      <c r="G77" s="10" t="inlineStr">
        <is>
          <t>DJENNADI REYAD</t>
        </is>
      </c>
      <c r="H77" s="7" t="inlineStr">
        <is>
          <t>C164</t>
        </is>
      </c>
      <c r="I77" s="10" t="inlineStr">
        <is>
          <t>Code existant</t>
        </is>
      </c>
      <c r="J77" s="10" t="n">
        <v>3</v>
      </c>
      <c r="K77" s="12" t="n">
        <v>48531.93</v>
      </c>
      <c r="L77" s="12" t="n">
        <v>0</v>
      </c>
      <c r="M77" s="12" t="n">
        <v>9221.07</v>
      </c>
      <c r="N77" s="12" t="n">
        <v>57753</v>
      </c>
      <c r="O77" s="7" t="inlineStr">
        <is>
          <t>06002</t>
        </is>
      </c>
      <c r="P77" s="5">
        <f>ROUND(M77-K77*0.19,2)</f>
        <v/>
      </c>
      <c r="Q77">
        <f>IF(ISNUMBER(SEARCH("DJENNADI",G77)),"OUI","")</f>
        <v/>
      </c>
    </row>
    <row r="78">
      <c r="A78" s="10" t="inlineStr">
        <is>
          <t>Siège (gros / import)</t>
        </is>
      </c>
      <c r="B78" s="7" t="inlineStr">
        <is>
          <t>2026000077</t>
        </is>
      </c>
      <c r="C78" s="10" t="inlineStr">
        <is>
          <t>G00077</t>
        </is>
      </c>
      <c r="D78" s="11" t="n">
        <v>46078</v>
      </c>
      <c r="E78" s="7" t="inlineStr">
        <is>
          <t>2026-02</t>
        </is>
      </c>
      <c r="F78" s="10" t="inlineStr">
        <is>
          <t>Vente</t>
        </is>
      </c>
      <c r="G78" s="10" t="inlineStr">
        <is>
          <t>DJENNADI REYAD</t>
        </is>
      </c>
      <c r="H78" s="7" t="inlineStr">
        <is>
          <t>C164</t>
        </is>
      </c>
      <c r="I78" s="10" t="inlineStr">
        <is>
          <t>Code existant</t>
        </is>
      </c>
      <c r="J78" s="10" t="n">
        <v>2</v>
      </c>
      <c r="K78" s="12" t="n">
        <v>63965.55</v>
      </c>
      <c r="L78" s="12" t="n">
        <v>0</v>
      </c>
      <c r="M78" s="12" t="n">
        <v>12153.45</v>
      </c>
      <c r="N78" s="12" t="n">
        <v>76119</v>
      </c>
      <c r="O78" s="7" t="inlineStr">
        <is>
          <t>06002</t>
        </is>
      </c>
      <c r="P78" s="5">
        <f>ROUND(M78-K78*0.19,2)</f>
        <v/>
      </c>
      <c r="Q78">
        <f>IF(ISNUMBER(SEARCH("DJENNADI",G78)),"OUI","")</f>
        <v/>
      </c>
    </row>
    <row r="79">
      <c r="A79" s="10" t="inlineStr">
        <is>
          <t>Siège (gros / import)</t>
        </is>
      </c>
      <c r="B79" s="7" t="inlineStr">
        <is>
          <t>2026000078</t>
        </is>
      </c>
      <c r="C79" s="10" t="inlineStr">
        <is>
          <t>G00078</t>
        </is>
      </c>
      <c r="D79" s="11" t="n">
        <v>46078</v>
      </c>
      <c r="E79" s="7" t="inlineStr">
        <is>
          <t>2026-02</t>
        </is>
      </c>
      <c r="F79" s="10" t="inlineStr">
        <is>
          <t>Vente</t>
        </is>
      </c>
      <c r="G79" s="10" t="inlineStr">
        <is>
          <t>DJOUDI SMAIL</t>
        </is>
      </c>
      <c r="H79" s="7" t="inlineStr">
        <is>
          <t>C186</t>
        </is>
      </c>
      <c r="I79" s="10" t="inlineStr">
        <is>
          <t>Code existant</t>
        </is>
      </c>
      <c r="J79" s="10" t="n">
        <v>1</v>
      </c>
      <c r="K79" s="12" t="n">
        <v>96000</v>
      </c>
      <c r="L79" s="12" t="n">
        <v>0</v>
      </c>
      <c r="M79" s="12" t="n">
        <v>18240</v>
      </c>
      <c r="N79" s="12" t="n">
        <v>114240</v>
      </c>
      <c r="O79" s="7" t="inlineStr">
        <is>
          <t>06002</t>
        </is>
      </c>
      <c r="P79" s="5">
        <f>ROUND(M79-K79*0.19,2)</f>
        <v/>
      </c>
      <c r="Q79">
        <f>IF(ISNUMBER(SEARCH("DJENNADI",G79)),"OUI","")</f>
        <v/>
      </c>
    </row>
    <row r="80">
      <c r="A80" s="10" t="inlineStr">
        <is>
          <t>Siège (gros / import)</t>
        </is>
      </c>
      <c r="B80" s="7" t="inlineStr">
        <is>
          <t>2026000079</t>
        </is>
      </c>
      <c r="C80" s="10" t="inlineStr">
        <is>
          <t>G00079</t>
        </is>
      </c>
      <c r="D80" s="11" t="n">
        <v>46078</v>
      </c>
      <c r="E80" s="7" t="inlineStr">
        <is>
          <t>2026-02</t>
        </is>
      </c>
      <c r="F80" s="10" t="inlineStr">
        <is>
          <t>Vente</t>
        </is>
      </c>
      <c r="G80" s="10" t="inlineStr">
        <is>
          <t>DJENNADI REYAD</t>
        </is>
      </c>
      <c r="H80" s="7" t="inlineStr">
        <is>
          <t>C164</t>
        </is>
      </c>
      <c r="I80" s="10" t="inlineStr">
        <is>
          <t>Code existant</t>
        </is>
      </c>
      <c r="J80" s="10" t="n">
        <v>2</v>
      </c>
      <c r="K80" s="12" t="n">
        <v>60568.07</v>
      </c>
      <c r="L80" s="12" t="n">
        <v>0</v>
      </c>
      <c r="M80" s="12" t="n">
        <v>11507.93</v>
      </c>
      <c r="N80" s="12" t="n">
        <v>72076</v>
      </c>
      <c r="O80" s="7" t="inlineStr">
        <is>
          <t>06002</t>
        </is>
      </c>
      <c r="P80" s="5">
        <f>ROUND(M80-K80*0.19,2)</f>
        <v/>
      </c>
      <c r="Q80">
        <f>IF(ISNUMBER(SEARCH("DJENNADI",G80)),"OUI","")</f>
        <v/>
      </c>
    </row>
    <row r="81">
      <c r="A81" s="10" t="inlineStr">
        <is>
          <t>Siège (gros / import)</t>
        </is>
      </c>
      <c r="B81" s="7" t="inlineStr">
        <is>
          <t>2026000080</t>
        </is>
      </c>
      <c r="C81" s="10" t="inlineStr">
        <is>
          <t>G00080</t>
        </is>
      </c>
      <c r="D81" s="11" t="n">
        <v>46078</v>
      </c>
      <c r="E81" s="7" t="inlineStr">
        <is>
          <t>2026-02</t>
        </is>
      </c>
      <c r="F81" s="10" t="inlineStr">
        <is>
          <t>Vente</t>
        </is>
      </c>
      <c r="G81" s="10" t="inlineStr">
        <is>
          <t>DJENNADI REYAD</t>
        </is>
      </c>
      <c r="H81" s="7" t="inlineStr">
        <is>
          <t>C164</t>
        </is>
      </c>
      <c r="I81" s="10" t="inlineStr">
        <is>
          <t>Code existant</t>
        </is>
      </c>
      <c r="J81" s="10" t="n">
        <v>2</v>
      </c>
      <c r="K81" s="12" t="n">
        <v>63026.89</v>
      </c>
      <c r="L81" s="12" t="n">
        <v>0</v>
      </c>
      <c r="M81" s="12" t="n">
        <v>11975.11</v>
      </c>
      <c r="N81" s="12" t="n">
        <v>75002</v>
      </c>
      <c r="O81" s="7" t="inlineStr">
        <is>
          <t>06002</t>
        </is>
      </c>
      <c r="P81" s="5">
        <f>ROUND(M81-K81*0.19,2)</f>
        <v/>
      </c>
      <c r="Q81">
        <f>IF(ISNUMBER(SEARCH("DJENNADI",G81)),"OUI","")</f>
        <v/>
      </c>
    </row>
    <row r="82">
      <c r="A82" s="10" t="inlineStr">
        <is>
          <t>Siège (gros / import)</t>
        </is>
      </c>
      <c r="B82" s="7" t="inlineStr">
        <is>
          <t>2026000081</t>
        </is>
      </c>
      <c r="C82" s="10" t="inlineStr">
        <is>
          <t>G00081</t>
        </is>
      </c>
      <c r="D82" s="11" t="n">
        <v>46078</v>
      </c>
      <c r="E82" s="7" t="inlineStr">
        <is>
          <t>2026-02</t>
        </is>
      </c>
      <c r="F82" s="10" t="inlineStr">
        <is>
          <t>Vente</t>
        </is>
      </c>
      <c r="G82" s="10" t="inlineStr">
        <is>
          <t>DJENNADI REYAD</t>
        </is>
      </c>
      <c r="H82" s="7" t="inlineStr">
        <is>
          <t>C164</t>
        </is>
      </c>
      <c r="I82" s="10" t="inlineStr">
        <is>
          <t>Code existant</t>
        </is>
      </c>
      <c r="J82" s="10" t="n">
        <v>3</v>
      </c>
      <c r="K82" s="12" t="n">
        <v>57905.88</v>
      </c>
      <c r="L82" s="12" t="n">
        <v>0</v>
      </c>
      <c r="M82" s="12" t="n">
        <v>11002.12</v>
      </c>
      <c r="N82" s="12" t="n">
        <v>68908</v>
      </c>
      <c r="O82" s="7" t="inlineStr">
        <is>
          <t>06002</t>
        </is>
      </c>
      <c r="P82" s="5">
        <f>ROUND(M82-K82*0.19,2)</f>
        <v/>
      </c>
      <c r="Q82">
        <f>IF(ISNUMBER(SEARCH("DJENNADI",G82)),"OUI","")</f>
        <v/>
      </c>
    </row>
    <row r="83">
      <c r="A83" s="10" t="inlineStr">
        <is>
          <t>Siège (gros / import)</t>
        </is>
      </c>
      <c r="B83" s="7" t="inlineStr">
        <is>
          <t>2026000082</t>
        </is>
      </c>
      <c r="C83" s="10" t="inlineStr">
        <is>
          <t>G00082</t>
        </is>
      </c>
      <c r="D83" s="11" t="n">
        <v>46078</v>
      </c>
      <c r="E83" s="7" t="inlineStr">
        <is>
          <t>2026-02</t>
        </is>
      </c>
      <c r="F83" s="10" t="inlineStr">
        <is>
          <t>Vente</t>
        </is>
      </c>
      <c r="G83" s="10" t="inlineStr">
        <is>
          <t>DJOUDI SMAIL</t>
        </is>
      </c>
      <c r="H83" s="7" t="inlineStr">
        <is>
          <t>C186</t>
        </is>
      </c>
      <c r="I83" s="10" t="inlineStr">
        <is>
          <t>Code existant</t>
        </is>
      </c>
      <c r="J83" s="10" t="n">
        <v>6</v>
      </c>
      <c r="K83" s="12" t="n">
        <v>99360.5</v>
      </c>
      <c r="L83" s="12" t="n">
        <v>0</v>
      </c>
      <c r="M83" s="12" t="n">
        <v>18878.5</v>
      </c>
      <c r="N83" s="12" t="n">
        <v>118239</v>
      </c>
      <c r="O83" s="7" t="inlineStr">
        <is>
          <t>06002</t>
        </is>
      </c>
      <c r="P83" s="5">
        <f>ROUND(M83-K83*0.19,2)</f>
        <v/>
      </c>
      <c r="Q83">
        <f>IF(ISNUMBER(SEARCH("DJENNADI",G83)),"OUI","")</f>
        <v/>
      </c>
    </row>
    <row r="84">
      <c r="A84" s="10" t="inlineStr">
        <is>
          <t>Siège (gros / import)</t>
        </is>
      </c>
      <c r="B84" s="7" t="inlineStr">
        <is>
          <t>2026000083</t>
        </is>
      </c>
      <c r="C84" s="10" t="inlineStr">
        <is>
          <t>G00083</t>
        </is>
      </c>
      <c r="D84" s="11" t="n">
        <v>46078</v>
      </c>
      <c r="E84" s="7" t="inlineStr">
        <is>
          <t>2026-02</t>
        </is>
      </c>
      <c r="F84" s="10" t="inlineStr">
        <is>
          <t>Vente</t>
        </is>
      </c>
      <c r="G84" s="10" t="inlineStr">
        <is>
          <t>DJENNADI REYAD</t>
        </is>
      </c>
      <c r="H84" s="7" t="inlineStr">
        <is>
          <t>C164</t>
        </is>
      </c>
      <c r="I84" s="10" t="inlineStr">
        <is>
          <t>Code existant</t>
        </is>
      </c>
      <c r="J84" s="10" t="n">
        <v>2</v>
      </c>
      <c r="K84" s="12" t="n">
        <v>65207.56</v>
      </c>
      <c r="L84" s="12" t="n">
        <v>0</v>
      </c>
      <c r="M84" s="12" t="n">
        <v>12389.44</v>
      </c>
      <c r="N84" s="12" t="n">
        <v>77597</v>
      </c>
      <c r="O84" s="7" t="inlineStr">
        <is>
          <t>06002</t>
        </is>
      </c>
      <c r="P84" s="5">
        <f>ROUND(M84-K84*0.19,2)</f>
        <v/>
      </c>
      <c r="Q84">
        <f>IF(ISNUMBER(SEARCH("DJENNADI",G84)),"OUI","")</f>
        <v/>
      </c>
    </row>
    <row r="85">
      <c r="A85" s="10" t="inlineStr">
        <is>
          <t>Siège (gros / import)</t>
        </is>
      </c>
      <c r="B85" s="7" t="inlineStr">
        <is>
          <t>2026000084</t>
        </is>
      </c>
      <c r="C85" s="10" t="inlineStr">
        <is>
          <t>G00084</t>
        </is>
      </c>
      <c r="D85" s="11" t="n">
        <v>46078</v>
      </c>
      <c r="E85" s="7" t="inlineStr">
        <is>
          <t>2026-02</t>
        </is>
      </c>
      <c r="F85" s="10" t="inlineStr">
        <is>
          <t>Vente</t>
        </is>
      </c>
      <c r="G85" s="10" t="inlineStr">
        <is>
          <t>DJENNADI REYAD</t>
        </is>
      </c>
      <c r="H85" s="7" t="inlineStr">
        <is>
          <t>C164</t>
        </is>
      </c>
      <c r="I85" s="10" t="inlineStr">
        <is>
          <t>Code existant</t>
        </is>
      </c>
      <c r="J85" s="10" t="n">
        <v>3</v>
      </c>
      <c r="K85" s="12" t="n">
        <v>65069.75</v>
      </c>
      <c r="L85" s="12" t="n">
        <v>0</v>
      </c>
      <c r="M85" s="12" t="n">
        <v>12363.25</v>
      </c>
      <c r="N85" s="12" t="n">
        <v>77433</v>
      </c>
      <c r="O85" s="7" t="inlineStr">
        <is>
          <t>06002</t>
        </is>
      </c>
      <c r="P85" s="5">
        <f>ROUND(M85-K85*0.19,2)</f>
        <v/>
      </c>
      <c r="Q85">
        <f>IF(ISNUMBER(SEARCH("DJENNADI",G85)),"OUI","")</f>
        <v/>
      </c>
    </row>
    <row r="86">
      <c r="A86" s="10" t="inlineStr">
        <is>
          <t>Siège (gros / import)</t>
        </is>
      </c>
      <c r="B86" s="7" t="inlineStr">
        <is>
          <t>2026000085</t>
        </is>
      </c>
      <c r="C86" s="10" t="inlineStr">
        <is>
          <t>G00085</t>
        </is>
      </c>
      <c r="D86" s="11" t="n">
        <v>46078</v>
      </c>
      <c r="E86" s="7" t="inlineStr">
        <is>
          <t>2026-02</t>
        </is>
      </c>
      <c r="F86" s="10" t="inlineStr">
        <is>
          <t>Vente</t>
        </is>
      </c>
      <c r="G86" s="10" t="inlineStr">
        <is>
          <t>DJENNADI REYAD</t>
        </is>
      </c>
      <c r="H86" s="7" t="inlineStr">
        <is>
          <t>C164</t>
        </is>
      </c>
      <c r="I86" s="10" t="inlineStr">
        <is>
          <t>Code existant</t>
        </is>
      </c>
      <c r="J86" s="10" t="n">
        <v>2</v>
      </c>
      <c r="K86" s="12" t="n">
        <v>49683.19</v>
      </c>
      <c r="L86" s="12" t="n">
        <v>0</v>
      </c>
      <c r="M86" s="12" t="n">
        <v>9439.809999999999</v>
      </c>
      <c r="N86" s="12" t="n">
        <v>59123</v>
      </c>
      <c r="O86" s="7" t="inlineStr">
        <is>
          <t>06002</t>
        </is>
      </c>
      <c r="P86" s="5">
        <f>ROUND(M86-K86*0.19,2)</f>
        <v/>
      </c>
      <c r="Q86">
        <f>IF(ISNUMBER(SEARCH("DJENNADI",G86)),"OUI","")</f>
        <v/>
      </c>
    </row>
    <row r="87">
      <c r="A87" s="10" t="inlineStr">
        <is>
          <t>Siège (gros / import)</t>
        </is>
      </c>
      <c r="B87" s="7" t="inlineStr">
        <is>
          <t>2026000086</t>
        </is>
      </c>
      <c r="C87" s="10" t="inlineStr">
        <is>
          <t>G00086</t>
        </is>
      </c>
      <c r="D87" s="11" t="n">
        <v>46078</v>
      </c>
      <c r="E87" s="7" t="inlineStr">
        <is>
          <t>2026-02</t>
        </is>
      </c>
      <c r="F87" s="10" t="inlineStr">
        <is>
          <t>Vente</t>
        </is>
      </c>
      <c r="G87" s="10" t="inlineStr">
        <is>
          <t>SASSANE RAMDANE</t>
        </is>
      </c>
      <c r="H87" s="7" t="inlineStr">
        <is>
          <t>C910</t>
        </is>
      </c>
      <c r="I87" s="10" t="inlineStr">
        <is>
          <t>Code existant</t>
        </is>
      </c>
      <c r="J87" s="10" t="n">
        <v>2</v>
      </c>
      <c r="K87" s="12" t="n">
        <v>88813.45</v>
      </c>
      <c r="L87" s="12" t="n">
        <v>0</v>
      </c>
      <c r="M87" s="12" t="n">
        <v>16874.56</v>
      </c>
      <c r="N87" s="12" t="n">
        <v>105688.01</v>
      </c>
      <c r="O87" s="7" t="inlineStr">
        <is>
          <t>06002</t>
        </is>
      </c>
      <c r="P87" s="5">
        <f>ROUND(M87-K87*0.19,2)</f>
        <v/>
      </c>
      <c r="Q87">
        <f>IF(ISNUMBER(SEARCH("DJENNADI",G87)),"OUI","")</f>
        <v/>
      </c>
    </row>
    <row r="88">
      <c r="A88" s="10" t="inlineStr">
        <is>
          <t>Siège (gros / import)</t>
        </is>
      </c>
      <c r="B88" s="7" t="inlineStr">
        <is>
          <t>2026000087</t>
        </is>
      </c>
      <c r="C88" s="10" t="inlineStr">
        <is>
          <t>G00087</t>
        </is>
      </c>
      <c r="D88" s="11" t="n">
        <v>46078</v>
      </c>
      <c r="E88" s="7" t="inlineStr">
        <is>
          <t>2026-02</t>
        </is>
      </c>
      <c r="F88" s="10" t="inlineStr">
        <is>
          <t>Vente</t>
        </is>
      </c>
      <c r="G88" s="10" t="inlineStr">
        <is>
          <t>DJENNADI REYAD</t>
        </is>
      </c>
      <c r="H88" s="7" t="inlineStr">
        <is>
          <t>C164</t>
        </is>
      </c>
      <c r="I88" s="10" t="inlineStr">
        <is>
          <t>Code existant</t>
        </is>
      </c>
      <c r="J88" s="10" t="n">
        <v>4</v>
      </c>
      <c r="K88" s="12" t="n">
        <v>64775.63</v>
      </c>
      <c r="L88" s="12" t="n">
        <v>0</v>
      </c>
      <c r="M88" s="12" t="n">
        <v>12307.37</v>
      </c>
      <c r="N88" s="12" t="n">
        <v>77083</v>
      </c>
      <c r="O88" s="7" t="inlineStr">
        <is>
          <t>06002</t>
        </is>
      </c>
      <c r="P88" s="5">
        <f>ROUND(M88-K88*0.19,2)</f>
        <v/>
      </c>
      <c r="Q88">
        <f>IF(ISNUMBER(SEARCH("DJENNADI",G88)),"OUI","")</f>
        <v/>
      </c>
    </row>
    <row r="89">
      <c r="A89" s="10" t="inlineStr">
        <is>
          <t>Siège (gros / import)</t>
        </is>
      </c>
      <c r="B89" s="7" t="inlineStr">
        <is>
          <t>2026000088</t>
        </is>
      </c>
      <c r="C89" s="10" t="inlineStr">
        <is>
          <t>G00088</t>
        </is>
      </c>
      <c r="D89" s="11" t="n">
        <v>46078</v>
      </c>
      <c r="E89" s="7" t="inlineStr">
        <is>
          <t>2026-02</t>
        </is>
      </c>
      <c r="F89" s="10" t="inlineStr">
        <is>
          <t>Vente</t>
        </is>
      </c>
      <c r="G89" s="10" t="inlineStr">
        <is>
          <t>DJENNADI REYAD</t>
        </is>
      </c>
      <c r="H89" s="7" t="inlineStr">
        <is>
          <t>C164</t>
        </is>
      </c>
      <c r="I89" s="10" t="inlineStr">
        <is>
          <t>Code existant</t>
        </is>
      </c>
      <c r="J89" s="10" t="n">
        <v>2</v>
      </c>
      <c r="K89" s="12" t="n">
        <v>51265.55</v>
      </c>
      <c r="L89" s="12" t="n">
        <v>0</v>
      </c>
      <c r="M89" s="12" t="n">
        <v>9740.450000000001</v>
      </c>
      <c r="N89" s="12" t="n">
        <v>61006</v>
      </c>
      <c r="O89" s="7" t="inlineStr">
        <is>
          <t>06002</t>
        </is>
      </c>
      <c r="P89" s="5">
        <f>ROUND(M89-K89*0.19,2)</f>
        <v/>
      </c>
      <c r="Q89">
        <f>IF(ISNUMBER(SEARCH("DJENNADI",G89)),"OUI","")</f>
        <v/>
      </c>
    </row>
    <row r="90">
      <c r="A90" s="10" t="inlineStr">
        <is>
          <t>Siège (gros / import)</t>
        </is>
      </c>
      <c r="B90" s="7" t="inlineStr">
        <is>
          <t>2026000089</t>
        </is>
      </c>
      <c r="C90" s="10" t="inlineStr">
        <is>
          <t>G00089</t>
        </is>
      </c>
      <c r="D90" s="11" t="n">
        <v>46078</v>
      </c>
      <c r="E90" s="7" t="inlineStr">
        <is>
          <t>2026-02</t>
        </is>
      </c>
      <c r="F90" s="10" t="inlineStr">
        <is>
          <t>Vente</t>
        </is>
      </c>
      <c r="G90" s="10" t="inlineStr">
        <is>
          <t>SARL ROYAL MATERIAUX  DE CONSTRUCTION</t>
        </is>
      </c>
      <c r="H90" s="7" t="inlineStr">
        <is>
          <t>C934</t>
        </is>
      </c>
      <c r="I90" s="10" t="inlineStr">
        <is>
          <t>Code existant (nom proche)</t>
        </is>
      </c>
      <c r="J90" s="10" t="n">
        <v>3</v>
      </c>
      <c r="K90" s="12" t="n">
        <v>54631.93</v>
      </c>
      <c r="L90" s="12" t="n">
        <v>0</v>
      </c>
      <c r="M90" s="12" t="n">
        <v>10380.07</v>
      </c>
      <c r="N90" s="12" t="n">
        <v>65012</v>
      </c>
      <c r="O90" s="7" t="inlineStr">
        <is>
          <t>06002</t>
        </is>
      </c>
      <c r="P90" s="5">
        <f>ROUND(M90-K90*0.19,2)</f>
        <v/>
      </c>
      <c r="Q90">
        <f>IF(ISNUMBER(SEARCH("DJENNADI",G90)),"OUI","")</f>
        <v/>
      </c>
    </row>
    <row r="91">
      <c r="A91" s="10" t="inlineStr">
        <is>
          <t>Siège (gros / import)</t>
        </is>
      </c>
      <c r="B91" s="7" t="inlineStr">
        <is>
          <t>2026000090</t>
        </is>
      </c>
      <c r="C91" s="10" t="inlineStr">
        <is>
          <t>G00090</t>
        </is>
      </c>
      <c r="D91" s="11" t="n">
        <v>46078</v>
      </c>
      <c r="E91" s="7" t="inlineStr">
        <is>
          <t>2026-02</t>
        </is>
      </c>
      <c r="F91" s="10" t="inlineStr">
        <is>
          <t>Vente</t>
        </is>
      </c>
      <c r="G91" s="10" t="inlineStr">
        <is>
          <t>DJENNADI REYAD</t>
        </is>
      </c>
      <c r="H91" s="7" t="inlineStr">
        <is>
          <t>C164</t>
        </is>
      </c>
      <c r="I91" s="10" t="inlineStr">
        <is>
          <t>Code existant</t>
        </is>
      </c>
      <c r="J91" s="10" t="n">
        <v>2</v>
      </c>
      <c r="K91" s="12" t="n">
        <v>69402.52</v>
      </c>
      <c r="L91" s="12" t="n">
        <v>0</v>
      </c>
      <c r="M91" s="12" t="n">
        <v>13186.48</v>
      </c>
      <c r="N91" s="12" t="n">
        <v>82589</v>
      </c>
      <c r="O91" s="7" t="inlineStr">
        <is>
          <t>06002</t>
        </is>
      </c>
      <c r="P91" s="5">
        <f>ROUND(M91-K91*0.19,2)</f>
        <v/>
      </c>
      <c r="Q91">
        <f>IF(ISNUMBER(SEARCH("DJENNADI",G91)),"OUI","")</f>
        <v/>
      </c>
    </row>
    <row r="92">
      <c r="A92" s="10" t="inlineStr">
        <is>
          <t>Siège (gros / import)</t>
        </is>
      </c>
      <c r="B92" s="7" t="inlineStr">
        <is>
          <t>2026000091</t>
        </is>
      </c>
      <c r="C92" s="10" t="inlineStr">
        <is>
          <t>G00091</t>
        </is>
      </c>
      <c r="D92" s="11" t="n">
        <v>46078</v>
      </c>
      <c r="E92" s="7" t="inlineStr">
        <is>
          <t>2026-02</t>
        </is>
      </c>
      <c r="F92" s="10" t="inlineStr">
        <is>
          <t>Vente</t>
        </is>
      </c>
      <c r="G92" s="10" t="inlineStr">
        <is>
          <t>DJENNADI REYAD</t>
        </is>
      </c>
      <c r="H92" s="7" t="inlineStr">
        <is>
          <t>C164</t>
        </is>
      </c>
      <c r="I92" s="10" t="inlineStr">
        <is>
          <t>Code existant</t>
        </is>
      </c>
      <c r="J92" s="10" t="n">
        <v>3</v>
      </c>
      <c r="K92" s="12" t="n">
        <v>63341.18</v>
      </c>
      <c r="L92" s="12" t="n">
        <v>0</v>
      </c>
      <c r="M92" s="12" t="n">
        <v>12034.82</v>
      </c>
      <c r="N92" s="12" t="n">
        <v>75376</v>
      </c>
      <c r="O92" s="7" t="inlineStr">
        <is>
          <t>06002</t>
        </is>
      </c>
      <c r="P92" s="5">
        <f>ROUND(M92-K92*0.19,2)</f>
        <v/>
      </c>
      <c r="Q92">
        <f>IF(ISNUMBER(SEARCH("DJENNADI",G92)),"OUI","")</f>
        <v/>
      </c>
    </row>
    <row r="93">
      <c r="A93" s="10" t="inlineStr">
        <is>
          <t>Siège (gros / import)</t>
        </is>
      </c>
      <c r="B93" s="7" t="inlineStr">
        <is>
          <t>2026000092</t>
        </is>
      </c>
      <c r="C93" s="10" t="inlineStr">
        <is>
          <t>G00092</t>
        </is>
      </c>
      <c r="D93" s="11" t="n">
        <v>46078</v>
      </c>
      <c r="E93" s="7" t="inlineStr">
        <is>
          <t>2026-02</t>
        </is>
      </c>
      <c r="F93" s="10" t="inlineStr">
        <is>
          <t>Vente</t>
        </is>
      </c>
      <c r="G93" s="10" t="inlineStr">
        <is>
          <t>BOUAICHI HANAFI</t>
        </is>
      </c>
      <c r="H93" s="7" t="inlineStr">
        <is>
          <t>C1028</t>
        </is>
      </c>
      <c r="I93" s="10" t="inlineStr">
        <is>
          <t>Code existant</t>
        </is>
      </c>
      <c r="J93" s="10" t="n">
        <v>3</v>
      </c>
      <c r="K93" s="12" t="n">
        <v>74480.67</v>
      </c>
      <c r="L93" s="12" t="n">
        <v>0</v>
      </c>
      <c r="M93" s="12" t="n">
        <v>14151.33</v>
      </c>
      <c r="N93" s="12" t="n">
        <v>88632</v>
      </c>
      <c r="O93" s="7" t="inlineStr">
        <is>
          <t>06002</t>
        </is>
      </c>
      <c r="P93" s="5">
        <f>ROUND(M93-K93*0.19,2)</f>
        <v/>
      </c>
      <c r="Q93">
        <f>IF(ISNUMBER(SEARCH("DJENNADI",G93)),"OUI","")</f>
        <v/>
      </c>
    </row>
    <row r="94">
      <c r="A94" s="10" t="inlineStr">
        <is>
          <t>Siège (gros / import)</t>
        </is>
      </c>
      <c r="B94" s="7" t="inlineStr">
        <is>
          <t>2026000093</t>
        </is>
      </c>
      <c r="C94" s="10" t="inlineStr">
        <is>
          <t>G00093</t>
        </is>
      </c>
      <c r="D94" s="11" t="n">
        <v>46078</v>
      </c>
      <c r="E94" s="7" t="inlineStr">
        <is>
          <t>2026-02</t>
        </is>
      </c>
      <c r="F94" s="10" t="inlineStr">
        <is>
          <t>Vente</t>
        </is>
      </c>
      <c r="G94" s="10" t="inlineStr">
        <is>
          <t>DJENNADI REYAD</t>
        </is>
      </c>
      <c r="H94" s="7" t="inlineStr">
        <is>
          <t>C164</t>
        </is>
      </c>
      <c r="I94" s="10" t="inlineStr">
        <is>
          <t>Code existant</t>
        </is>
      </c>
      <c r="J94" s="10" t="n">
        <v>2</v>
      </c>
      <c r="K94" s="12" t="n">
        <v>65867.23</v>
      </c>
      <c r="L94" s="12" t="n">
        <v>0</v>
      </c>
      <c r="M94" s="12" t="n">
        <v>12514.77</v>
      </c>
      <c r="N94" s="12" t="n">
        <v>78382</v>
      </c>
      <c r="O94" s="7" t="inlineStr">
        <is>
          <t>06002</t>
        </is>
      </c>
      <c r="P94" s="5">
        <f>ROUND(M94-K94*0.19,2)</f>
        <v/>
      </c>
      <c r="Q94">
        <f>IF(ISNUMBER(SEARCH("DJENNADI",G94)),"OUI","")</f>
        <v/>
      </c>
    </row>
    <row r="95">
      <c r="A95" s="10" t="inlineStr">
        <is>
          <t>Siège (gros / import)</t>
        </is>
      </c>
      <c r="B95" s="7" t="inlineStr">
        <is>
          <t>2026000094</t>
        </is>
      </c>
      <c r="C95" s="10" t="inlineStr">
        <is>
          <t>G00094</t>
        </is>
      </c>
      <c r="D95" s="11" t="n">
        <v>46078</v>
      </c>
      <c r="E95" s="7" t="inlineStr">
        <is>
          <t>2026-02</t>
        </is>
      </c>
      <c r="F95" s="10" t="inlineStr">
        <is>
          <t>Vente</t>
        </is>
      </c>
      <c r="G95" s="10" t="inlineStr">
        <is>
          <t>DJENNADI REYAD</t>
        </is>
      </c>
      <c r="H95" s="7" t="inlineStr">
        <is>
          <t>C164</t>
        </is>
      </c>
      <c r="I95" s="10" t="inlineStr">
        <is>
          <t>Code existant</t>
        </is>
      </c>
      <c r="J95" s="10" t="n">
        <v>3</v>
      </c>
      <c r="K95" s="12" t="n">
        <v>78668.07000000001</v>
      </c>
      <c r="L95" s="12" t="n">
        <v>0</v>
      </c>
      <c r="M95" s="12" t="n">
        <v>14946.93</v>
      </c>
      <c r="N95" s="12" t="n">
        <v>93615</v>
      </c>
      <c r="O95" s="7" t="inlineStr">
        <is>
          <t>06002</t>
        </is>
      </c>
      <c r="P95" s="5">
        <f>ROUND(M95-K95*0.19,2)</f>
        <v/>
      </c>
      <c r="Q95">
        <f>IF(ISNUMBER(SEARCH("DJENNADI",G95)),"OUI","")</f>
        <v/>
      </c>
    </row>
    <row r="96">
      <c r="A96" s="10" t="inlineStr">
        <is>
          <t>Siège (gros / import)</t>
        </is>
      </c>
      <c r="B96" s="7" t="inlineStr">
        <is>
          <t>2026000095</t>
        </is>
      </c>
      <c r="C96" s="10" t="inlineStr">
        <is>
          <t>G00095</t>
        </is>
      </c>
      <c r="D96" s="11" t="n">
        <v>46078</v>
      </c>
      <c r="E96" s="7" t="inlineStr">
        <is>
          <t>2026-02</t>
        </is>
      </c>
      <c r="F96" s="10" t="inlineStr">
        <is>
          <t>Vente</t>
        </is>
      </c>
      <c r="G96" s="10" t="inlineStr">
        <is>
          <t>DJENNADI REYAD</t>
        </is>
      </c>
      <c r="H96" s="7" t="inlineStr">
        <is>
          <t>C164</t>
        </is>
      </c>
      <c r="I96" s="10" t="inlineStr">
        <is>
          <t>Code existant</t>
        </is>
      </c>
      <c r="J96" s="10" t="n">
        <v>3</v>
      </c>
      <c r="K96" s="12" t="n">
        <v>70530.25</v>
      </c>
      <c r="L96" s="12" t="n">
        <v>0</v>
      </c>
      <c r="M96" s="12" t="n">
        <v>13400.75</v>
      </c>
      <c r="N96" s="12" t="n">
        <v>83931</v>
      </c>
      <c r="O96" s="7" t="inlineStr">
        <is>
          <t>06002</t>
        </is>
      </c>
      <c r="P96" s="5">
        <f>ROUND(M96-K96*0.19,2)</f>
        <v/>
      </c>
      <c r="Q96">
        <f>IF(ISNUMBER(SEARCH("DJENNADI",G96)),"OUI","")</f>
        <v/>
      </c>
    </row>
    <row r="97">
      <c r="A97" s="10" t="inlineStr">
        <is>
          <t>Siège (gros / import)</t>
        </is>
      </c>
      <c r="B97" s="7" t="inlineStr">
        <is>
          <t>2026000096</t>
        </is>
      </c>
      <c r="C97" s="10" t="inlineStr">
        <is>
          <t>G00096</t>
        </is>
      </c>
      <c r="D97" s="11" t="n">
        <v>46078</v>
      </c>
      <c r="E97" s="7" t="inlineStr">
        <is>
          <t>2026-02</t>
        </is>
      </c>
      <c r="F97" s="10" t="inlineStr">
        <is>
          <t>Vente</t>
        </is>
      </c>
      <c r="G97" s="10" t="inlineStr">
        <is>
          <t>DJENNADI REYAD</t>
        </is>
      </c>
      <c r="H97" s="7" t="inlineStr">
        <is>
          <t>C164</t>
        </is>
      </c>
      <c r="I97" s="10" t="inlineStr">
        <is>
          <t>Code existant</t>
        </is>
      </c>
      <c r="J97" s="10" t="n">
        <v>4</v>
      </c>
      <c r="K97" s="12" t="n">
        <v>79180.67</v>
      </c>
      <c r="L97" s="12" t="n">
        <v>0</v>
      </c>
      <c r="M97" s="12" t="n">
        <v>15044.33</v>
      </c>
      <c r="N97" s="12" t="n">
        <v>94225</v>
      </c>
      <c r="O97" s="7" t="inlineStr">
        <is>
          <t>06002</t>
        </is>
      </c>
      <c r="P97" s="5">
        <f>ROUND(M97-K97*0.19,2)</f>
        <v/>
      </c>
      <c r="Q97">
        <f>IF(ISNUMBER(SEARCH("DJENNADI",G97)),"OUI","")</f>
        <v/>
      </c>
    </row>
    <row r="98">
      <c r="A98" s="10" t="inlineStr">
        <is>
          <t>Siège (gros / import)</t>
        </is>
      </c>
      <c r="B98" s="7" t="inlineStr">
        <is>
          <t>2026000097</t>
        </is>
      </c>
      <c r="C98" s="10" t="inlineStr">
        <is>
          <t>G00097</t>
        </is>
      </c>
      <c r="D98" s="11" t="n">
        <v>46078</v>
      </c>
      <c r="E98" s="7" t="inlineStr">
        <is>
          <t>2026-02</t>
        </is>
      </c>
      <c r="F98" s="10" t="inlineStr">
        <is>
          <t>Vente</t>
        </is>
      </c>
      <c r="G98" s="10" t="inlineStr">
        <is>
          <t>DJENNADI REYAD</t>
        </is>
      </c>
      <c r="H98" s="7" t="inlineStr">
        <is>
          <t>C164</t>
        </is>
      </c>
      <c r="I98" s="10" t="inlineStr">
        <is>
          <t>Code existant</t>
        </is>
      </c>
      <c r="J98" s="10" t="n">
        <v>3</v>
      </c>
      <c r="K98" s="12" t="n">
        <v>76396.64</v>
      </c>
      <c r="L98" s="12" t="n">
        <v>0</v>
      </c>
      <c r="M98" s="12" t="n">
        <v>14515.36</v>
      </c>
      <c r="N98" s="12" t="n">
        <v>90912</v>
      </c>
      <c r="O98" s="7" t="inlineStr">
        <is>
          <t>06002</t>
        </is>
      </c>
      <c r="P98" s="5">
        <f>ROUND(M98-K98*0.19,2)</f>
        <v/>
      </c>
      <c r="Q98">
        <f>IF(ISNUMBER(SEARCH("DJENNADI",G98)),"OUI","")</f>
        <v/>
      </c>
    </row>
    <row r="99">
      <c r="A99" s="10" t="inlineStr">
        <is>
          <t>Siège (gros / import)</t>
        </is>
      </c>
      <c r="B99" s="7" t="inlineStr">
        <is>
          <t>2026000098</t>
        </is>
      </c>
      <c r="C99" s="10" t="inlineStr">
        <is>
          <t>G00098</t>
        </is>
      </c>
      <c r="D99" s="11" t="n">
        <v>46078</v>
      </c>
      <c r="E99" s="7" t="inlineStr">
        <is>
          <t>2026-02</t>
        </is>
      </c>
      <c r="F99" s="10" t="inlineStr">
        <is>
          <t>Vente</t>
        </is>
      </c>
      <c r="G99" s="10" t="inlineStr">
        <is>
          <t>BOUAICHI HANAFI</t>
        </is>
      </c>
      <c r="H99" s="7" t="inlineStr">
        <is>
          <t>C1028</t>
        </is>
      </c>
      <c r="I99" s="10" t="inlineStr">
        <is>
          <t>Code existant</t>
        </is>
      </c>
      <c r="J99" s="10" t="n">
        <v>5</v>
      </c>
      <c r="K99" s="12" t="n">
        <v>81408.39999999999</v>
      </c>
      <c r="L99" s="12" t="n">
        <v>0</v>
      </c>
      <c r="M99" s="12" t="n">
        <v>15467.6</v>
      </c>
      <c r="N99" s="12" t="n">
        <v>96876</v>
      </c>
      <c r="O99" s="7" t="inlineStr">
        <is>
          <t>06002</t>
        </is>
      </c>
      <c r="P99" s="5">
        <f>ROUND(M99-K99*0.19,2)</f>
        <v/>
      </c>
      <c r="Q99">
        <f>IF(ISNUMBER(SEARCH("DJENNADI",G99)),"OUI","")</f>
        <v/>
      </c>
    </row>
    <row r="100">
      <c r="A100" s="10" t="inlineStr">
        <is>
          <t>Siège (gros / import)</t>
        </is>
      </c>
      <c r="B100" s="7" t="inlineStr">
        <is>
          <t>2026000099</t>
        </is>
      </c>
      <c r="C100" s="10" t="inlineStr">
        <is>
          <t>G00099</t>
        </is>
      </c>
      <c r="D100" s="11" t="n">
        <v>46078</v>
      </c>
      <c r="E100" s="7" t="inlineStr">
        <is>
          <t>2026-02</t>
        </is>
      </c>
      <c r="F100" s="10" t="inlineStr">
        <is>
          <t>Vente</t>
        </is>
      </c>
      <c r="G100" s="10" t="inlineStr">
        <is>
          <t>DJENNADI REYAD</t>
        </is>
      </c>
      <c r="H100" s="7" t="inlineStr">
        <is>
          <t>C164</t>
        </is>
      </c>
      <c r="I100" s="10" t="inlineStr">
        <is>
          <t>Code existant</t>
        </is>
      </c>
      <c r="J100" s="10" t="n">
        <v>4</v>
      </c>
      <c r="K100" s="12" t="n">
        <v>60406.72</v>
      </c>
      <c r="L100" s="12" t="n">
        <v>0</v>
      </c>
      <c r="M100" s="12" t="n">
        <v>11477.28</v>
      </c>
      <c r="N100" s="12" t="n">
        <v>71884</v>
      </c>
      <c r="O100" s="7" t="inlineStr">
        <is>
          <t>06002</t>
        </is>
      </c>
      <c r="P100" s="5">
        <f>ROUND(M100-K100*0.19,2)</f>
        <v/>
      </c>
      <c r="Q100">
        <f>IF(ISNUMBER(SEARCH("DJENNADI",G100)),"OUI","")</f>
        <v/>
      </c>
    </row>
    <row r="101">
      <c r="A101" s="10" t="inlineStr">
        <is>
          <t>Siège (gros / import)</t>
        </is>
      </c>
      <c r="B101" s="7" t="inlineStr">
        <is>
          <t>2026000100</t>
        </is>
      </c>
      <c r="C101" s="10" t="inlineStr">
        <is>
          <t>G00100</t>
        </is>
      </c>
      <c r="D101" s="11" t="n">
        <v>46078</v>
      </c>
      <c r="E101" s="7" t="inlineStr">
        <is>
          <t>2026-02</t>
        </is>
      </c>
      <c r="F101" s="10" t="inlineStr">
        <is>
          <t>Vente</t>
        </is>
      </c>
      <c r="G101" s="10" t="inlineStr">
        <is>
          <t>DJENNADI REYAD</t>
        </is>
      </c>
      <c r="H101" s="7" t="inlineStr">
        <is>
          <t>C164</t>
        </is>
      </c>
      <c r="I101" s="10" t="inlineStr">
        <is>
          <t>Code existant</t>
        </is>
      </c>
      <c r="J101" s="10" t="n">
        <v>5</v>
      </c>
      <c r="K101" s="12" t="n">
        <v>68205.03999999999</v>
      </c>
      <c r="L101" s="12" t="n">
        <v>0</v>
      </c>
      <c r="M101" s="12" t="n">
        <v>12958.96</v>
      </c>
      <c r="N101" s="12" t="n">
        <v>81164</v>
      </c>
      <c r="O101" s="7" t="inlineStr">
        <is>
          <t>06002</t>
        </is>
      </c>
      <c r="P101" s="5">
        <f>ROUND(M101-K101*0.19,2)</f>
        <v/>
      </c>
      <c r="Q101">
        <f>IF(ISNUMBER(SEARCH("DJENNADI",G101)),"OUI","")</f>
        <v/>
      </c>
    </row>
    <row r="102">
      <c r="A102" s="10" t="inlineStr">
        <is>
          <t>Siège (gros / import)</t>
        </is>
      </c>
      <c r="B102" s="7" t="inlineStr">
        <is>
          <t>2026000101</t>
        </is>
      </c>
      <c r="C102" s="10" t="inlineStr">
        <is>
          <t>G00101</t>
        </is>
      </c>
      <c r="D102" s="11" t="n">
        <v>46078</v>
      </c>
      <c r="E102" s="7" t="inlineStr">
        <is>
          <t>2026-02</t>
        </is>
      </c>
      <c r="F102" s="10" t="inlineStr">
        <is>
          <t>Vente</t>
        </is>
      </c>
      <c r="G102" s="10" t="inlineStr">
        <is>
          <t>DJENNADI REYAD</t>
        </is>
      </c>
      <c r="H102" s="7" t="inlineStr">
        <is>
          <t>C164</t>
        </is>
      </c>
      <c r="I102" s="10" t="inlineStr">
        <is>
          <t>Code existant</t>
        </is>
      </c>
      <c r="J102" s="10" t="n">
        <v>4</v>
      </c>
      <c r="K102" s="12" t="n">
        <v>124178.99</v>
      </c>
      <c r="L102" s="12" t="n">
        <v>0</v>
      </c>
      <c r="M102" s="12" t="n">
        <v>23594.01</v>
      </c>
      <c r="N102" s="12" t="n">
        <v>147773</v>
      </c>
      <c r="O102" s="7" t="inlineStr">
        <is>
          <t>06002</t>
        </is>
      </c>
      <c r="P102" s="5">
        <f>ROUND(M102-K102*0.19,2)</f>
        <v/>
      </c>
      <c r="Q102">
        <f>IF(ISNUMBER(SEARCH("DJENNADI",G102)),"OUI","")</f>
        <v/>
      </c>
    </row>
    <row r="103">
      <c r="A103" s="10" t="inlineStr">
        <is>
          <t>Siège (gros / import)</t>
        </is>
      </c>
      <c r="B103" s="7" t="inlineStr">
        <is>
          <t>2026000102</t>
        </is>
      </c>
      <c r="C103" s="10" t="inlineStr">
        <is>
          <t>G00102</t>
        </is>
      </c>
      <c r="D103" s="11" t="n">
        <v>46078</v>
      </c>
      <c r="E103" s="7" t="inlineStr">
        <is>
          <t>2026-02</t>
        </is>
      </c>
      <c r="F103" s="10" t="inlineStr">
        <is>
          <t>Vente</t>
        </is>
      </c>
      <c r="G103" s="10" t="inlineStr">
        <is>
          <t>DJENNADI REYAD</t>
        </is>
      </c>
      <c r="H103" s="7" t="inlineStr">
        <is>
          <t>C164</t>
        </is>
      </c>
      <c r="I103" s="10" t="inlineStr">
        <is>
          <t>Code existant</t>
        </is>
      </c>
      <c r="J103" s="10" t="n">
        <v>5</v>
      </c>
      <c r="K103" s="12" t="n">
        <v>59697.48</v>
      </c>
      <c r="L103" s="12" t="n">
        <v>0</v>
      </c>
      <c r="M103" s="12" t="n">
        <v>11342.52</v>
      </c>
      <c r="N103" s="12" t="n">
        <v>71040</v>
      </c>
      <c r="O103" s="7" t="inlineStr">
        <is>
          <t>06002</t>
        </is>
      </c>
      <c r="P103" s="5">
        <f>ROUND(M103-K103*0.19,2)</f>
        <v/>
      </c>
      <c r="Q103">
        <f>IF(ISNUMBER(SEARCH("DJENNADI",G103)),"OUI","")</f>
        <v/>
      </c>
    </row>
    <row r="104">
      <c r="A104" s="10" t="inlineStr">
        <is>
          <t>Siège (gros / import)</t>
        </is>
      </c>
      <c r="B104" s="7" t="inlineStr">
        <is>
          <t>2026000103</t>
        </is>
      </c>
      <c r="C104" s="10" t="inlineStr">
        <is>
          <t>G00103</t>
        </is>
      </c>
      <c r="D104" s="11" t="n">
        <v>46078</v>
      </c>
      <c r="E104" s="7" t="inlineStr">
        <is>
          <t>2026-02</t>
        </is>
      </c>
      <c r="F104" s="10" t="inlineStr">
        <is>
          <t>Vente</t>
        </is>
      </c>
      <c r="G104" s="10" t="inlineStr">
        <is>
          <t>SASSANE RAMDANE</t>
        </is>
      </c>
      <c r="H104" s="7" t="inlineStr">
        <is>
          <t>C910</t>
        </is>
      </c>
      <c r="I104" s="10" t="inlineStr">
        <is>
          <t>Code existant</t>
        </is>
      </c>
      <c r="J104" s="10" t="n">
        <v>4</v>
      </c>
      <c r="K104" s="12" t="n">
        <v>78419.33</v>
      </c>
      <c r="L104" s="12" t="n">
        <v>0</v>
      </c>
      <c r="M104" s="12" t="n">
        <v>14899.67</v>
      </c>
      <c r="N104" s="12" t="n">
        <v>93319</v>
      </c>
      <c r="O104" s="7" t="inlineStr">
        <is>
          <t>06002</t>
        </is>
      </c>
      <c r="P104" s="5">
        <f>ROUND(M104-K104*0.19,2)</f>
        <v/>
      </c>
      <c r="Q104">
        <f>IF(ISNUMBER(SEARCH("DJENNADI",G104)),"OUI","")</f>
        <v/>
      </c>
    </row>
    <row r="105">
      <c r="A105" s="10" t="inlineStr">
        <is>
          <t>Siège (gros / import)</t>
        </is>
      </c>
      <c r="B105" s="7" t="inlineStr">
        <is>
          <t>2026000104</t>
        </is>
      </c>
      <c r="C105" s="10" t="inlineStr">
        <is>
          <t>G00104</t>
        </is>
      </c>
      <c r="D105" s="11" t="n">
        <v>46078</v>
      </c>
      <c r="E105" s="7" t="inlineStr">
        <is>
          <t>2026-02</t>
        </is>
      </c>
      <c r="F105" s="10" t="inlineStr">
        <is>
          <t>Vente</t>
        </is>
      </c>
      <c r="G105" s="10" t="inlineStr">
        <is>
          <t>SASSANE RAMDANE</t>
        </is>
      </c>
      <c r="H105" s="7" t="inlineStr">
        <is>
          <t>C910</t>
        </is>
      </c>
      <c r="I105" s="10" t="inlineStr">
        <is>
          <t>Code existant</t>
        </is>
      </c>
      <c r="J105" s="10" t="n">
        <v>4</v>
      </c>
      <c r="K105" s="12" t="n">
        <v>101724.37</v>
      </c>
      <c r="L105" s="12" t="n">
        <v>0</v>
      </c>
      <c r="M105" s="12" t="n">
        <v>19327.63</v>
      </c>
      <c r="N105" s="12" t="n">
        <v>121052</v>
      </c>
      <c r="O105" s="7" t="inlineStr">
        <is>
          <t>06002</t>
        </is>
      </c>
      <c r="P105" s="5">
        <f>ROUND(M105-K105*0.19,2)</f>
        <v/>
      </c>
      <c r="Q105">
        <f>IF(ISNUMBER(SEARCH("DJENNADI",G105)),"OUI","")</f>
        <v/>
      </c>
    </row>
    <row r="106">
      <c r="A106" s="10" t="inlineStr">
        <is>
          <t>Siège (gros / import)</t>
        </is>
      </c>
      <c r="B106" s="7" t="inlineStr">
        <is>
          <t>2026000105</t>
        </is>
      </c>
      <c r="C106" s="10" t="inlineStr">
        <is>
          <t>G00105</t>
        </is>
      </c>
      <c r="D106" s="11" t="n">
        <v>46078</v>
      </c>
      <c r="E106" s="7" t="inlineStr">
        <is>
          <t>2026-02</t>
        </is>
      </c>
      <c r="F106" s="10" t="inlineStr">
        <is>
          <t>Vente</t>
        </is>
      </c>
      <c r="G106" s="10" t="inlineStr">
        <is>
          <t>DJENNADI ABDELKRIM</t>
        </is>
      </c>
      <c r="H106" s="7" t="inlineStr">
        <is>
          <t>C004</t>
        </is>
      </c>
      <c r="I106" s="10" t="inlineStr">
        <is>
          <t>Code existant</t>
        </is>
      </c>
      <c r="J106" s="10" t="n">
        <v>55</v>
      </c>
      <c r="K106" s="12" t="n">
        <v>2942640</v>
      </c>
      <c r="L106" s="12" t="n">
        <v>0</v>
      </c>
      <c r="M106" s="12" t="n">
        <v>559101.6</v>
      </c>
      <c r="N106" s="12" t="n">
        <v>3501741.6</v>
      </c>
      <c r="O106" s="7" t="inlineStr">
        <is>
          <t>06002</t>
        </is>
      </c>
      <c r="P106" s="5">
        <f>ROUND(M106-K106*0.19,2)</f>
        <v/>
      </c>
      <c r="Q106">
        <f>IF(ISNUMBER(SEARCH("DJENNADI",G106)),"OUI","")</f>
        <v/>
      </c>
    </row>
    <row r="107">
      <c r="A107" s="10" t="inlineStr">
        <is>
          <t>Siège (gros / import)</t>
        </is>
      </c>
      <c r="B107" s="7" t="inlineStr">
        <is>
          <t>2026000106</t>
        </is>
      </c>
      <c r="C107" s="10" t="inlineStr">
        <is>
          <t>G00106</t>
        </is>
      </c>
      <c r="D107" s="11" t="n">
        <v>46079</v>
      </c>
      <c r="E107" s="7" t="inlineStr">
        <is>
          <t>2026-02</t>
        </is>
      </c>
      <c r="F107" s="10" t="inlineStr">
        <is>
          <t>Vente</t>
        </is>
      </c>
      <c r="G107" s="10" t="inlineStr">
        <is>
          <t>LAOUEDJ MOHAMMED SALAH</t>
        </is>
      </c>
      <c r="H107" s="7" t="inlineStr">
        <is>
          <t>C556</t>
        </is>
      </c>
      <c r="I107" s="10" t="inlineStr">
        <is>
          <t>Code existant (nom proche)</t>
        </is>
      </c>
      <c r="J107" s="10" t="n">
        <v>10</v>
      </c>
      <c r="K107" s="12" t="n">
        <v>801962.35</v>
      </c>
      <c r="L107" s="12" t="n">
        <v>0</v>
      </c>
      <c r="M107" s="12" t="n">
        <v>152372.85</v>
      </c>
      <c r="N107" s="12" t="n">
        <v>954335.2</v>
      </c>
      <c r="O107" s="7" t="inlineStr">
        <is>
          <t>06002</t>
        </is>
      </c>
      <c r="P107" s="5">
        <f>ROUND(M107-K107*0.19,2)</f>
        <v/>
      </c>
      <c r="Q107">
        <f>IF(ISNUMBER(SEARCH("DJENNADI",G107)),"OUI","")</f>
        <v/>
      </c>
    </row>
    <row r="108">
      <c r="A108" s="10" t="inlineStr">
        <is>
          <t>Siège (gros / import)</t>
        </is>
      </c>
      <c r="B108" s="7" t="inlineStr">
        <is>
          <t>2026000107</t>
        </is>
      </c>
      <c r="C108" s="10" t="inlineStr">
        <is>
          <t>G00107</t>
        </is>
      </c>
      <c r="D108" s="11" t="n">
        <v>46082</v>
      </c>
      <c r="E108" s="7" t="inlineStr">
        <is>
          <t>2026-03</t>
        </is>
      </c>
      <c r="F108" s="10" t="inlineStr">
        <is>
          <t>Vente</t>
        </is>
      </c>
      <c r="G108" s="10" t="inlineStr">
        <is>
          <t>LAOUEDJ MOHAMMED SALAH</t>
        </is>
      </c>
      <c r="H108" s="7" t="inlineStr">
        <is>
          <t>C556</t>
        </is>
      </c>
      <c r="I108" s="10" t="inlineStr">
        <is>
          <t>Code existant (nom proche)</t>
        </is>
      </c>
      <c r="J108" s="10" t="n">
        <v>11</v>
      </c>
      <c r="K108" s="12" t="n">
        <v>1069625.5</v>
      </c>
      <c r="L108" s="12" t="n">
        <v>0</v>
      </c>
      <c r="M108" s="12" t="n">
        <v>203228.84</v>
      </c>
      <c r="N108" s="12" t="n">
        <v>1272854.34</v>
      </c>
      <c r="O108" s="7" t="inlineStr">
        <is>
          <t>06002</t>
        </is>
      </c>
      <c r="P108" s="5">
        <f>ROUND(M108-K108*0.19,2)</f>
        <v/>
      </c>
      <c r="Q108">
        <f>IF(ISNUMBER(SEARCH("DJENNADI",G108)),"OUI","")</f>
        <v/>
      </c>
    </row>
    <row r="109">
      <c r="A109" s="10" t="inlineStr">
        <is>
          <t>Siège (gros / import)</t>
        </is>
      </c>
      <c r="B109" s="7" t="inlineStr">
        <is>
          <t>2026000108</t>
        </is>
      </c>
      <c r="C109" s="10" t="inlineStr">
        <is>
          <t>G00108</t>
        </is>
      </c>
      <c r="D109" s="11" t="n">
        <v>46082</v>
      </c>
      <c r="E109" s="7" t="inlineStr">
        <is>
          <t>2026-03</t>
        </is>
      </c>
      <c r="F109" s="10" t="inlineStr">
        <is>
          <t>Vente</t>
        </is>
      </c>
      <c r="G109" s="10" t="inlineStr">
        <is>
          <t>DJENNADI ABDELKRIM</t>
        </is>
      </c>
      <c r="H109" s="7" t="inlineStr">
        <is>
          <t>C004</t>
        </is>
      </c>
      <c r="I109" s="10" t="inlineStr">
        <is>
          <t>Code existant</t>
        </is>
      </c>
      <c r="J109" s="10" t="n">
        <v>24</v>
      </c>
      <c r="K109" s="12" t="n">
        <v>1848739.5</v>
      </c>
      <c r="L109" s="12" t="n">
        <v>0</v>
      </c>
      <c r="M109" s="12" t="n">
        <v>351260.5</v>
      </c>
      <c r="N109" s="12" t="n">
        <v>2200000</v>
      </c>
      <c r="O109" s="7" t="inlineStr">
        <is>
          <t>06002</t>
        </is>
      </c>
      <c r="P109" s="5">
        <f>ROUND(M109-K109*0.19,2)</f>
        <v/>
      </c>
      <c r="Q109">
        <f>IF(ISNUMBER(SEARCH("DJENNADI",G109)),"OUI","")</f>
        <v/>
      </c>
    </row>
    <row r="110">
      <c r="A110" s="10" t="inlineStr">
        <is>
          <t>Siège (gros / import)</t>
        </is>
      </c>
      <c r="B110" s="7" t="inlineStr">
        <is>
          <t>2026000109</t>
        </is>
      </c>
      <c r="C110" s="10" t="inlineStr">
        <is>
          <t>G00109</t>
        </is>
      </c>
      <c r="D110" s="11" t="n">
        <v>46083</v>
      </c>
      <c r="E110" s="7" t="inlineStr">
        <is>
          <t>2026-03</t>
        </is>
      </c>
      <c r="F110" s="10" t="inlineStr">
        <is>
          <t>Vente</t>
        </is>
      </c>
      <c r="G110" s="10" t="inlineStr">
        <is>
          <t>SARL PROVIDING ARPRO</t>
        </is>
      </c>
      <c r="H110" s="7" t="inlineStr">
        <is>
          <t>C1088</t>
        </is>
      </c>
      <c r="I110" s="10" t="inlineStr">
        <is>
          <t>Nouveau code à créer</t>
        </is>
      </c>
      <c r="J110" s="10" t="n">
        <v>13</v>
      </c>
      <c r="K110" s="12" t="n">
        <v>466386.56</v>
      </c>
      <c r="L110" s="12" t="n">
        <v>0</v>
      </c>
      <c r="M110" s="12" t="n">
        <v>88613.45</v>
      </c>
      <c r="N110" s="12" t="n">
        <v>555000.01</v>
      </c>
      <c r="O110" s="7" t="inlineStr">
        <is>
          <t>06002</t>
        </is>
      </c>
      <c r="P110" s="5">
        <f>ROUND(M110-K110*0.19,2)</f>
        <v/>
      </c>
      <c r="Q110">
        <f>IF(ISNUMBER(SEARCH("DJENNADI",G110)),"OUI","")</f>
        <v/>
      </c>
    </row>
    <row r="111">
      <c r="A111" s="10" t="inlineStr">
        <is>
          <t>Siège (gros / import)</t>
        </is>
      </c>
      <c r="B111" s="7" t="inlineStr">
        <is>
          <t>2026000110</t>
        </is>
      </c>
      <c r="C111" s="10" t="inlineStr">
        <is>
          <t>G00110</t>
        </is>
      </c>
      <c r="D111" s="11" t="n">
        <v>46084</v>
      </c>
      <c r="E111" s="7" t="inlineStr">
        <is>
          <t>2026-03</t>
        </is>
      </c>
      <c r="F111" s="10" t="inlineStr">
        <is>
          <t>Vente</t>
        </is>
      </c>
      <c r="G111" s="10" t="inlineStr">
        <is>
          <t>HEMMAR ABDELHAMID</t>
        </is>
      </c>
      <c r="H111" s="7" t="inlineStr">
        <is>
          <t>C098</t>
        </is>
      </c>
      <c r="I111" s="10" t="inlineStr">
        <is>
          <t>Code existant</t>
        </is>
      </c>
      <c r="J111" s="10" t="n">
        <v>19</v>
      </c>
      <c r="K111" s="12" t="n">
        <v>2352941.18</v>
      </c>
      <c r="L111" s="12" t="n">
        <v>0</v>
      </c>
      <c r="M111" s="12" t="n">
        <v>447058.82</v>
      </c>
      <c r="N111" s="12" t="n">
        <v>2800000</v>
      </c>
      <c r="O111" s="7" t="inlineStr">
        <is>
          <t>06002</t>
        </is>
      </c>
      <c r="P111" s="5">
        <f>ROUND(M111-K111*0.19,2)</f>
        <v/>
      </c>
      <c r="Q111">
        <f>IF(ISNUMBER(SEARCH("DJENNADI",G111)),"OUI","")</f>
        <v/>
      </c>
    </row>
    <row r="112">
      <c r="A112" s="10" t="inlineStr">
        <is>
          <t>Siège (gros / import)</t>
        </is>
      </c>
      <c r="B112" s="7" t="inlineStr">
        <is>
          <t>2026000111</t>
        </is>
      </c>
      <c r="C112" s="10" t="inlineStr">
        <is>
          <t>G00111</t>
        </is>
      </c>
      <c r="D112" s="11" t="n">
        <v>46085</v>
      </c>
      <c r="E112" s="7" t="inlineStr">
        <is>
          <t>2026-03</t>
        </is>
      </c>
      <c r="F112" s="10" t="inlineStr">
        <is>
          <t>Vente</t>
        </is>
      </c>
      <c r="G112" s="10" t="inlineStr">
        <is>
          <t>EURL MEHTAR SERVICES</t>
        </is>
      </c>
      <c r="H112" s="7" t="inlineStr">
        <is>
          <t>C1050</t>
        </is>
      </c>
      <c r="I112" s="10" t="inlineStr">
        <is>
          <t>Code existant</t>
        </is>
      </c>
      <c r="J112" s="10" t="n">
        <v>8</v>
      </c>
      <c r="K112" s="12" t="n">
        <v>252100.84</v>
      </c>
      <c r="L112" s="12" t="n">
        <v>0</v>
      </c>
      <c r="M112" s="12" t="n">
        <v>47899.16</v>
      </c>
      <c r="N112" s="12" t="n">
        <v>300000</v>
      </c>
      <c r="O112" s="7" t="inlineStr">
        <is>
          <t>06002</t>
        </is>
      </c>
      <c r="P112" s="5">
        <f>ROUND(M112-K112*0.19,2)</f>
        <v/>
      </c>
      <c r="Q112">
        <f>IF(ISNUMBER(SEARCH("DJENNADI",G112)),"OUI","")</f>
        <v/>
      </c>
    </row>
    <row r="113">
      <c r="A113" s="10" t="inlineStr">
        <is>
          <t>Siège (gros / import)</t>
        </is>
      </c>
      <c r="B113" s="7" t="inlineStr">
        <is>
          <t>2026000112</t>
        </is>
      </c>
      <c r="C113" s="10" t="inlineStr">
        <is>
          <t>G00112</t>
        </is>
      </c>
      <c r="D113" s="11" t="n">
        <v>46086</v>
      </c>
      <c r="E113" s="7" t="inlineStr">
        <is>
          <t>2026-03</t>
        </is>
      </c>
      <c r="F113" s="10" t="inlineStr">
        <is>
          <t>Vente</t>
        </is>
      </c>
      <c r="G113" s="10" t="inlineStr">
        <is>
          <t>LAOUEDJ MOHAMMED SALAH</t>
        </is>
      </c>
      <c r="H113" s="7" t="inlineStr">
        <is>
          <t>C556</t>
        </is>
      </c>
      <c r="I113" s="10" t="inlineStr">
        <is>
          <t>Code existant (nom proche)</t>
        </is>
      </c>
      <c r="J113" s="10" t="n">
        <v>6</v>
      </c>
      <c r="K113" s="12" t="n">
        <v>741028.74</v>
      </c>
      <c r="L113" s="12" t="n">
        <v>0</v>
      </c>
      <c r="M113" s="12" t="n">
        <v>140795.46</v>
      </c>
      <c r="N113" s="12" t="n">
        <v>881824.2</v>
      </c>
      <c r="O113" s="7" t="inlineStr">
        <is>
          <t>06002</t>
        </is>
      </c>
      <c r="P113" s="5">
        <f>ROUND(M113-K113*0.19,2)</f>
        <v/>
      </c>
      <c r="Q113">
        <f>IF(ISNUMBER(SEARCH("DJENNADI",G113)),"OUI","")</f>
        <v/>
      </c>
    </row>
    <row r="114">
      <c r="A114" s="10" t="inlineStr">
        <is>
          <t>Siège (gros / import)</t>
        </is>
      </c>
      <c r="B114" s="7" t="inlineStr">
        <is>
          <t>2026000113</t>
        </is>
      </c>
      <c r="C114" s="10" t="inlineStr">
        <is>
          <t>G00113</t>
        </is>
      </c>
      <c r="D114" s="11" t="n">
        <v>46090</v>
      </c>
      <c r="E114" s="7" t="inlineStr">
        <is>
          <t>2026-03</t>
        </is>
      </c>
      <c r="F114" s="10" t="inlineStr">
        <is>
          <t>Vente</t>
        </is>
      </c>
      <c r="G114" s="10" t="inlineStr">
        <is>
          <t>LAOUEDJ MOHAMMED SALAH</t>
        </is>
      </c>
      <c r="H114" s="7" t="inlineStr">
        <is>
          <t>C556</t>
        </is>
      </c>
      <c r="I114" s="10" t="inlineStr">
        <is>
          <t>Code existant (nom proche)</t>
        </is>
      </c>
      <c r="J114" s="10" t="n">
        <v>13</v>
      </c>
      <c r="K114" s="12" t="n">
        <v>806916.01</v>
      </c>
      <c r="L114" s="12" t="n">
        <v>0</v>
      </c>
      <c r="M114" s="12" t="n">
        <v>153314.04</v>
      </c>
      <c r="N114" s="12" t="n">
        <v>960230.05</v>
      </c>
      <c r="O114" s="7" t="inlineStr">
        <is>
          <t>06002</t>
        </is>
      </c>
      <c r="P114" s="5">
        <f>ROUND(M114-K114*0.19,2)</f>
        <v/>
      </c>
      <c r="Q114">
        <f>IF(ISNUMBER(SEARCH("DJENNADI",G114)),"OUI","")</f>
        <v/>
      </c>
    </row>
    <row r="115">
      <c r="A115" s="10" t="inlineStr">
        <is>
          <t>Siège (gros / import)</t>
        </is>
      </c>
      <c r="B115" s="7" t="inlineStr">
        <is>
          <t>2026000114</t>
        </is>
      </c>
      <c r="C115" s="10" t="inlineStr">
        <is>
          <t>G00114</t>
        </is>
      </c>
      <c r="D115" s="11" t="n">
        <v>46091</v>
      </c>
      <c r="E115" s="7" t="inlineStr">
        <is>
          <t>2026-03</t>
        </is>
      </c>
      <c r="F115" s="10" t="inlineStr">
        <is>
          <t>Vente</t>
        </is>
      </c>
      <c r="G115" s="10" t="inlineStr">
        <is>
          <t>SARL ATELIER SERVICES TRUCKS</t>
        </is>
      </c>
      <c r="H115" s="7" t="inlineStr">
        <is>
          <t>C1047</t>
        </is>
      </c>
      <c r="I115" s="10" t="inlineStr">
        <is>
          <t>Code existant</t>
        </is>
      </c>
      <c r="J115" s="10" t="n">
        <v>34</v>
      </c>
      <c r="K115" s="12" t="n">
        <v>3128235.29</v>
      </c>
      <c r="L115" s="12" t="n">
        <v>0</v>
      </c>
      <c r="M115" s="12" t="n">
        <v>594364.71</v>
      </c>
      <c r="N115" s="12" t="n">
        <v>3722600</v>
      </c>
      <c r="O115" s="7" t="inlineStr">
        <is>
          <t>06002</t>
        </is>
      </c>
      <c r="P115" s="5">
        <f>ROUND(M115-K115*0.19,2)</f>
        <v/>
      </c>
      <c r="Q115">
        <f>IF(ISNUMBER(SEARCH("DJENNADI",G115)),"OUI","")</f>
        <v/>
      </c>
    </row>
    <row r="116">
      <c r="A116" s="10" t="inlineStr">
        <is>
          <t>Siège (gros / import)</t>
        </is>
      </c>
      <c r="B116" s="7" t="inlineStr">
        <is>
          <t>2026000115</t>
        </is>
      </c>
      <c r="C116" s="10" t="inlineStr">
        <is>
          <t>G00115</t>
        </is>
      </c>
      <c r="D116" s="11" t="n">
        <v>46092</v>
      </c>
      <c r="E116" s="7" t="inlineStr">
        <is>
          <t>2026-03</t>
        </is>
      </c>
      <c r="F116" s="10" t="inlineStr">
        <is>
          <t>Vente</t>
        </is>
      </c>
      <c r="G116" s="10" t="inlineStr">
        <is>
          <t>SELLAH LYES</t>
        </is>
      </c>
      <c r="H116" s="7" t="inlineStr">
        <is>
          <t>C359</t>
        </is>
      </c>
      <c r="I116" s="10" t="inlineStr">
        <is>
          <t>Code existant</t>
        </is>
      </c>
      <c r="J116" s="10" t="n">
        <v>7</v>
      </c>
      <c r="K116" s="12" t="n">
        <v>181008.4</v>
      </c>
      <c r="L116" s="12" t="n">
        <v>0</v>
      </c>
      <c r="M116" s="12" t="n">
        <v>34391.6</v>
      </c>
      <c r="N116" s="12" t="n">
        <v>215400</v>
      </c>
      <c r="O116" s="7" t="inlineStr">
        <is>
          <t>06002</t>
        </is>
      </c>
      <c r="P116" s="5">
        <f>ROUND(M116-K116*0.19,2)</f>
        <v/>
      </c>
      <c r="Q116">
        <f>IF(ISNUMBER(SEARCH("DJENNADI",G116)),"OUI","")</f>
        <v/>
      </c>
    </row>
    <row r="117">
      <c r="A117" s="10" t="inlineStr">
        <is>
          <t>Siège (gros / import)</t>
        </is>
      </c>
      <c r="B117" s="7" t="inlineStr">
        <is>
          <t>2026000116</t>
        </is>
      </c>
      <c r="C117" s="10" t="inlineStr">
        <is>
          <t>G00116</t>
        </is>
      </c>
      <c r="D117" s="11" t="n">
        <v>46093</v>
      </c>
      <c r="E117" s="7" t="inlineStr">
        <is>
          <t>2026-03</t>
        </is>
      </c>
      <c r="F117" s="10" t="inlineStr">
        <is>
          <t>Vente</t>
        </is>
      </c>
      <c r="G117" s="10" t="inlineStr">
        <is>
          <t>SELLAH LYES</t>
        </is>
      </c>
      <c r="H117" s="7" t="inlineStr">
        <is>
          <t>C359</t>
        </is>
      </c>
      <c r="I117" s="10" t="inlineStr">
        <is>
          <t>Code existant</t>
        </is>
      </c>
      <c r="J117" s="10" t="n">
        <v>6</v>
      </c>
      <c r="K117" s="12" t="n">
        <v>136521.01</v>
      </c>
      <c r="L117" s="12" t="n">
        <v>0</v>
      </c>
      <c r="M117" s="12" t="n">
        <v>25938.99</v>
      </c>
      <c r="N117" s="12" t="n">
        <v>162460</v>
      </c>
      <c r="O117" s="7" t="inlineStr">
        <is>
          <t>06002</t>
        </is>
      </c>
      <c r="P117" s="5">
        <f>ROUND(M117-K117*0.19,2)</f>
        <v/>
      </c>
      <c r="Q117">
        <f>IF(ISNUMBER(SEARCH("DJENNADI",G117)),"OUI","")</f>
        <v/>
      </c>
    </row>
    <row r="118">
      <c r="A118" s="10" t="inlineStr">
        <is>
          <t>Siège (gros / import)</t>
        </is>
      </c>
      <c r="B118" s="7" t="inlineStr">
        <is>
          <t>2026000117</t>
        </is>
      </c>
      <c r="C118" s="10" t="inlineStr">
        <is>
          <t>G00117</t>
        </is>
      </c>
      <c r="D118" s="11" t="n">
        <v>46096</v>
      </c>
      <c r="E118" s="7" t="inlineStr">
        <is>
          <t>2026-03</t>
        </is>
      </c>
      <c r="F118" s="10" t="inlineStr">
        <is>
          <t>Vente</t>
        </is>
      </c>
      <c r="G118" s="10" t="inlineStr">
        <is>
          <t>BEKHOUS RABAH</t>
        </is>
      </c>
      <c r="H118" s="7" t="inlineStr">
        <is>
          <t>C1089</t>
        </is>
      </c>
      <c r="I118" s="10" t="inlineStr">
        <is>
          <t>Nouveau code à créer</t>
        </is>
      </c>
      <c r="J118" s="10" t="n">
        <v>4</v>
      </c>
      <c r="K118" s="12" t="n">
        <v>59663.87</v>
      </c>
      <c r="L118" s="12" t="n">
        <v>0</v>
      </c>
      <c r="M118" s="12" t="n">
        <v>11336.14</v>
      </c>
      <c r="N118" s="12" t="n">
        <v>71000.00999999999</v>
      </c>
      <c r="O118" s="7" t="inlineStr">
        <is>
          <t>06002</t>
        </is>
      </c>
      <c r="P118" s="5">
        <f>ROUND(M118-K118*0.19,2)</f>
        <v/>
      </c>
      <c r="Q118">
        <f>IF(ISNUMBER(SEARCH("DJENNADI",G118)),"OUI","")</f>
        <v/>
      </c>
    </row>
    <row r="119">
      <c r="A119" s="10" t="inlineStr">
        <is>
          <t>Siège (gros / import)</t>
        </is>
      </c>
      <c r="B119" s="7" t="inlineStr">
        <is>
          <t>2026000118</t>
        </is>
      </c>
      <c r="C119" s="10" t="inlineStr">
        <is>
          <t>G00118</t>
        </is>
      </c>
      <c r="D119" s="11" t="n">
        <v>46096</v>
      </c>
      <c r="E119" s="7" t="inlineStr">
        <is>
          <t>2026-03</t>
        </is>
      </c>
      <c r="F119" s="10" t="inlineStr">
        <is>
          <t>Vente</t>
        </is>
      </c>
      <c r="G119" s="10" t="inlineStr">
        <is>
          <t>LASSAKEUR RIAD GPROS</t>
        </is>
      </c>
      <c r="H119" s="7" t="inlineStr">
        <is>
          <t>C1090</t>
        </is>
      </c>
      <c r="I119" s="10" t="inlineStr">
        <is>
          <t>Nouveau code à créer</t>
        </is>
      </c>
      <c r="J119" s="10" t="n">
        <v>4</v>
      </c>
      <c r="K119" s="12" t="n">
        <v>101680.67</v>
      </c>
      <c r="L119" s="12" t="n">
        <v>0</v>
      </c>
      <c r="M119" s="12" t="n">
        <v>19319.33</v>
      </c>
      <c r="N119" s="12" t="n">
        <v>121000</v>
      </c>
      <c r="O119" s="7" t="inlineStr">
        <is>
          <t>06002</t>
        </is>
      </c>
      <c r="P119" s="5">
        <f>ROUND(M119-K119*0.19,2)</f>
        <v/>
      </c>
      <c r="Q119">
        <f>IF(ISNUMBER(SEARCH("DJENNADI",G119)),"OUI","")</f>
        <v/>
      </c>
    </row>
    <row r="120">
      <c r="A120" s="10" t="inlineStr">
        <is>
          <t>Siège (gros / import)</t>
        </is>
      </c>
      <c r="B120" s="7" t="inlineStr">
        <is>
          <t>2026000119</t>
        </is>
      </c>
      <c r="C120" s="10" t="inlineStr">
        <is>
          <t>G00119</t>
        </is>
      </c>
      <c r="D120" s="11" t="n">
        <v>46097</v>
      </c>
      <c r="E120" s="7" t="inlineStr">
        <is>
          <t>2026-03</t>
        </is>
      </c>
      <c r="F120" s="10" t="inlineStr">
        <is>
          <t>Vente</t>
        </is>
      </c>
      <c r="G120" s="10" t="inlineStr">
        <is>
          <t>CHELDA BELKACEM</t>
        </is>
      </c>
      <c r="H120" s="7" t="inlineStr">
        <is>
          <t>C1034</t>
        </is>
      </c>
      <c r="I120" s="10" t="inlineStr">
        <is>
          <t>Code existant</t>
        </is>
      </c>
      <c r="J120" s="10" t="n">
        <v>8</v>
      </c>
      <c r="K120" s="12" t="n">
        <v>126050.42</v>
      </c>
      <c r="L120" s="12" t="n">
        <v>0</v>
      </c>
      <c r="M120" s="12" t="n">
        <v>23949.58</v>
      </c>
      <c r="N120" s="12" t="n">
        <v>150000</v>
      </c>
      <c r="O120" s="7" t="inlineStr">
        <is>
          <t>06002</t>
        </is>
      </c>
      <c r="P120" s="5">
        <f>ROUND(M120-K120*0.19,2)</f>
        <v/>
      </c>
      <c r="Q120">
        <f>IF(ISNUMBER(SEARCH("DJENNADI",G120)),"OUI","")</f>
        <v/>
      </c>
    </row>
    <row r="121">
      <c r="A121" s="10" t="inlineStr">
        <is>
          <t>Siège (gros / import)</t>
        </is>
      </c>
      <c r="B121" s="7" t="inlineStr">
        <is>
          <t>2026000120</t>
        </is>
      </c>
      <c r="C121" s="10" t="inlineStr">
        <is>
          <t>G00120</t>
        </is>
      </c>
      <c r="D121" s="11" t="n">
        <v>46098</v>
      </c>
      <c r="E121" s="7" t="inlineStr">
        <is>
          <t>2026-03</t>
        </is>
      </c>
      <c r="F121" s="10" t="inlineStr">
        <is>
          <t>Vente</t>
        </is>
      </c>
      <c r="G121" s="10" t="inlineStr">
        <is>
          <t>BOUHAMED ABDERRAHIM</t>
        </is>
      </c>
      <c r="H121" s="7" t="inlineStr">
        <is>
          <t>C980</t>
        </is>
      </c>
      <c r="I121" s="10" t="inlineStr">
        <is>
          <t>Code existant</t>
        </is>
      </c>
      <c r="J121" s="10" t="n">
        <v>7</v>
      </c>
      <c r="K121" s="12" t="n">
        <v>293945.38</v>
      </c>
      <c r="L121" s="12" t="n">
        <v>0</v>
      </c>
      <c r="M121" s="12" t="n">
        <v>55849.62</v>
      </c>
      <c r="N121" s="12" t="n">
        <v>349795</v>
      </c>
      <c r="O121" s="7" t="inlineStr">
        <is>
          <t>06002</t>
        </is>
      </c>
      <c r="P121" s="5">
        <f>ROUND(M121-K121*0.19,2)</f>
        <v/>
      </c>
      <c r="Q121">
        <f>IF(ISNUMBER(SEARCH("DJENNADI",G121)),"OUI","")</f>
        <v/>
      </c>
    </row>
    <row r="122">
      <c r="A122" s="10" t="inlineStr">
        <is>
          <t>Siège (gros / import)</t>
        </is>
      </c>
      <c r="B122" s="7" t="inlineStr">
        <is>
          <t>2026000121</t>
        </is>
      </c>
      <c r="C122" s="10" t="inlineStr">
        <is>
          <t>G00121</t>
        </is>
      </c>
      <c r="D122" s="11" t="n">
        <v>46099</v>
      </c>
      <c r="E122" s="7" t="inlineStr">
        <is>
          <t>2026-03</t>
        </is>
      </c>
      <c r="F122" s="10" t="inlineStr">
        <is>
          <t>Vente</t>
        </is>
      </c>
      <c r="G122" s="10" t="inlineStr">
        <is>
          <t>HANIFI SALAH</t>
        </is>
      </c>
      <c r="H122" s="7" t="inlineStr">
        <is>
          <t>C759</t>
        </is>
      </c>
      <c r="I122" s="10" t="inlineStr">
        <is>
          <t>Code existant</t>
        </is>
      </c>
      <c r="J122" s="10" t="n">
        <v>5</v>
      </c>
      <c r="K122" s="12" t="n">
        <v>71428.57000000001</v>
      </c>
      <c r="L122" s="12" t="n">
        <v>0</v>
      </c>
      <c r="M122" s="12" t="n">
        <v>13571.43</v>
      </c>
      <c r="N122" s="12" t="n">
        <v>85000</v>
      </c>
      <c r="O122" s="7" t="inlineStr">
        <is>
          <t>06002</t>
        </is>
      </c>
      <c r="P122" s="5">
        <f>ROUND(M122-K122*0.19,2)</f>
        <v/>
      </c>
      <c r="Q122">
        <f>IF(ISNUMBER(SEARCH("DJENNADI",G122)),"OUI","")</f>
        <v/>
      </c>
    </row>
    <row r="123">
      <c r="A123" s="10" t="inlineStr">
        <is>
          <t>Siège (gros / import)</t>
        </is>
      </c>
      <c r="B123" s="7" t="inlineStr">
        <is>
          <t>2026000122</t>
        </is>
      </c>
      <c r="C123" s="10" t="inlineStr">
        <is>
          <t>G00122</t>
        </is>
      </c>
      <c r="D123" s="11" t="n">
        <v>46100</v>
      </c>
      <c r="E123" s="7" t="inlineStr">
        <is>
          <t>2026-03</t>
        </is>
      </c>
      <c r="F123" s="10" t="inlineStr">
        <is>
          <t>Vente</t>
        </is>
      </c>
      <c r="G123" s="10" t="inlineStr">
        <is>
          <t>SARL SERVICES POIDS LOURDS</t>
        </is>
      </c>
      <c r="H123" s="7" t="inlineStr">
        <is>
          <t>C668</t>
        </is>
      </c>
      <c r="I123" s="10" t="inlineStr">
        <is>
          <t>Code existant</t>
        </is>
      </c>
      <c r="J123" s="10" t="n">
        <v>12</v>
      </c>
      <c r="K123" s="12" t="n">
        <v>1555924.37</v>
      </c>
      <c r="L123" s="12" t="n">
        <v>0</v>
      </c>
      <c r="M123" s="12" t="n">
        <v>295625.63</v>
      </c>
      <c r="N123" s="12" t="n">
        <v>1851550</v>
      </c>
      <c r="O123" s="7" t="inlineStr">
        <is>
          <t>06002</t>
        </is>
      </c>
      <c r="P123" s="5">
        <f>ROUND(M123-K123*0.19,2)</f>
        <v/>
      </c>
      <c r="Q123">
        <f>IF(ISNUMBER(SEARCH("DJENNADI",G123)),"OUI","")</f>
        <v/>
      </c>
    </row>
    <row r="124">
      <c r="A124" s="10" t="inlineStr">
        <is>
          <t>Siège (gros / import)</t>
        </is>
      </c>
      <c r="B124" s="7" t="inlineStr">
        <is>
          <t>2026000123</t>
        </is>
      </c>
      <c r="C124" s="10" t="inlineStr">
        <is>
          <t>G00123</t>
        </is>
      </c>
      <c r="D124" s="11" t="n">
        <v>46103</v>
      </c>
      <c r="E124" s="7" t="inlineStr">
        <is>
          <t>2026-03</t>
        </is>
      </c>
      <c r="F124" s="10" t="inlineStr">
        <is>
          <t>Vente</t>
        </is>
      </c>
      <c r="G124" s="10" t="inlineStr">
        <is>
          <t>ZIANI AMIR</t>
        </is>
      </c>
      <c r="H124" s="7" t="inlineStr">
        <is>
          <t>C612</t>
        </is>
      </c>
      <c r="I124" s="10" t="inlineStr">
        <is>
          <t>Code existant</t>
        </is>
      </c>
      <c r="J124" s="10" t="n">
        <v>18</v>
      </c>
      <c r="K124" s="12" t="n">
        <v>1260504.2</v>
      </c>
      <c r="L124" s="12" t="n">
        <v>0</v>
      </c>
      <c r="M124" s="12" t="n">
        <v>239495.8</v>
      </c>
      <c r="N124" s="12" t="n">
        <v>1500000</v>
      </c>
      <c r="O124" s="7" t="inlineStr">
        <is>
          <t>06002</t>
        </is>
      </c>
      <c r="P124" s="5">
        <f>ROUND(M124-K124*0.19,2)</f>
        <v/>
      </c>
      <c r="Q124">
        <f>IF(ISNUMBER(SEARCH("DJENNADI",G124)),"OUI","")</f>
        <v/>
      </c>
    </row>
    <row r="125">
      <c r="A125" s="10" t="inlineStr">
        <is>
          <t>Siège (gros / import)</t>
        </is>
      </c>
      <c r="B125" s="7" t="inlineStr">
        <is>
          <t>2026000124</t>
        </is>
      </c>
      <c r="C125" s="10" t="inlineStr">
        <is>
          <t>G00124</t>
        </is>
      </c>
      <c r="D125" s="11" t="n">
        <v>46105</v>
      </c>
      <c r="E125" s="7" t="inlineStr">
        <is>
          <t>2026-03</t>
        </is>
      </c>
      <c r="F125" s="10" t="inlineStr">
        <is>
          <t>Vente</t>
        </is>
      </c>
      <c r="G125" s="10" t="inlineStr">
        <is>
          <t>SAHRAOUI BECHAGHA</t>
        </is>
      </c>
      <c r="H125" s="7" t="inlineStr">
        <is>
          <t>C975</t>
        </is>
      </c>
      <c r="I125" s="10" t="inlineStr">
        <is>
          <t>Code existant</t>
        </is>
      </c>
      <c r="J125" s="10" t="n">
        <v>17</v>
      </c>
      <c r="K125" s="12" t="n">
        <v>596974.79</v>
      </c>
      <c r="L125" s="12" t="n">
        <v>0</v>
      </c>
      <c r="M125" s="12" t="n">
        <v>113425.21</v>
      </c>
      <c r="N125" s="12" t="n">
        <v>710400</v>
      </c>
      <c r="O125" s="7" t="inlineStr">
        <is>
          <t>06002</t>
        </is>
      </c>
      <c r="P125" s="5">
        <f>ROUND(M125-K125*0.19,2)</f>
        <v/>
      </c>
      <c r="Q125">
        <f>IF(ISNUMBER(SEARCH("DJENNADI",G125)),"OUI","")</f>
        <v/>
      </c>
    </row>
    <row r="126">
      <c r="A126" s="10" t="inlineStr">
        <is>
          <t>Siège (gros / import)</t>
        </is>
      </c>
      <c r="B126" s="7" t="inlineStr">
        <is>
          <t>2026000125</t>
        </is>
      </c>
      <c r="C126" s="10" t="inlineStr">
        <is>
          <t>G00125</t>
        </is>
      </c>
      <c r="D126" s="11" t="n">
        <v>46106</v>
      </c>
      <c r="E126" s="7" t="inlineStr">
        <is>
          <t>2026-03</t>
        </is>
      </c>
      <c r="F126" s="10" t="inlineStr">
        <is>
          <t>Vente</t>
        </is>
      </c>
      <c r="G126" s="10" t="inlineStr">
        <is>
          <t>EURL TRANSPORT FLY</t>
        </is>
      </c>
      <c r="H126" s="7" t="inlineStr">
        <is>
          <t>C505</t>
        </is>
      </c>
      <c r="I126" s="10" t="inlineStr">
        <is>
          <t>Code existant</t>
        </is>
      </c>
      <c r="J126" s="10" t="n">
        <v>17</v>
      </c>
      <c r="K126" s="12" t="n">
        <v>892819.33</v>
      </c>
      <c r="L126" s="12" t="n">
        <v>0</v>
      </c>
      <c r="M126" s="12" t="n">
        <v>169635.67</v>
      </c>
      <c r="N126" s="12" t="n">
        <v>1062455</v>
      </c>
      <c r="O126" s="7" t="inlineStr">
        <is>
          <t>06002</t>
        </is>
      </c>
      <c r="P126" s="5">
        <f>ROUND(M126-K126*0.19,2)</f>
        <v/>
      </c>
      <c r="Q126">
        <f>IF(ISNUMBER(SEARCH("DJENNADI",G126)),"OUI","")</f>
        <v/>
      </c>
    </row>
    <row r="127">
      <c r="A127" s="10" t="inlineStr">
        <is>
          <t>Siège (gros / import)</t>
        </is>
      </c>
      <c r="B127" s="7" t="inlineStr">
        <is>
          <t>2026000126</t>
        </is>
      </c>
      <c r="C127" s="10" t="inlineStr">
        <is>
          <t>G00126</t>
        </is>
      </c>
      <c r="D127" s="11" t="n">
        <v>46107</v>
      </c>
      <c r="E127" s="7" t="inlineStr">
        <is>
          <t>2026-03</t>
        </is>
      </c>
      <c r="F127" s="10" t="inlineStr">
        <is>
          <t>Vente</t>
        </is>
      </c>
      <c r="G127" s="10" t="inlineStr">
        <is>
          <t>SAHRAOUI BECHAGHA</t>
        </is>
      </c>
      <c r="H127" s="7" t="inlineStr">
        <is>
          <t>C975</t>
        </is>
      </c>
      <c r="I127" s="10" t="inlineStr">
        <is>
          <t>Code existant</t>
        </is>
      </c>
      <c r="J127" s="10" t="n">
        <v>5</v>
      </c>
      <c r="K127" s="12" t="n">
        <v>171008.41</v>
      </c>
      <c r="L127" s="12" t="n">
        <v>0</v>
      </c>
      <c r="M127" s="12" t="n">
        <v>32491.6</v>
      </c>
      <c r="N127" s="12" t="n">
        <v>203500.01</v>
      </c>
      <c r="O127" s="7" t="inlineStr">
        <is>
          <t>06002</t>
        </is>
      </c>
      <c r="P127" s="5">
        <f>ROUND(M127-K127*0.19,2)</f>
        <v/>
      </c>
      <c r="Q127">
        <f>IF(ISNUMBER(SEARCH("DJENNADI",G127)),"OUI","")</f>
        <v/>
      </c>
    </row>
    <row r="128">
      <c r="A128" s="10" t="inlineStr">
        <is>
          <t>Siège (gros / import)</t>
        </is>
      </c>
      <c r="B128" s="7" t="inlineStr">
        <is>
          <t>2026000127</t>
        </is>
      </c>
      <c r="C128" s="10" t="inlineStr">
        <is>
          <t>G00127</t>
        </is>
      </c>
      <c r="D128" s="11" t="n">
        <v>46110</v>
      </c>
      <c r="E128" s="7" t="inlineStr">
        <is>
          <t>2026-03</t>
        </is>
      </c>
      <c r="F128" s="10" t="inlineStr">
        <is>
          <t>Vente</t>
        </is>
      </c>
      <c r="G128" s="10" t="inlineStr">
        <is>
          <t>ZIANI LAKHDAR</t>
        </is>
      </c>
      <c r="H128" s="7" t="inlineStr">
        <is>
          <t>C916</t>
        </is>
      </c>
      <c r="I128" s="10" t="inlineStr">
        <is>
          <t>Code existant</t>
        </is>
      </c>
      <c r="J128" s="10" t="n">
        <v>5</v>
      </c>
      <c r="K128" s="12" t="n">
        <v>168067.23</v>
      </c>
      <c r="L128" s="12" t="n">
        <v>0</v>
      </c>
      <c r="M128" s="12" t="n">
        <v>31932.77</v>
      </c>
      <c r="N128" s="12" t="n">
        <v>200000</v>
      </c>
      <c r="O128" s="7" t="inlineStr">
        <is>
          <t>06002</t>
        </is>
      </c>
      <c r="P128" s="5">
        <f>ROUND(M128-K128*0.19,2)</f>
        <v/>
      </c>
      <c r="Q128">
        <f>IF(ISNUMBER(SEARCH("DJENNADI",G128)),"OUI","")</f>
        <v/>
      </c>
    </row>
    <row r="129">
      <c r="A129" s="10" t="inlineStr">
        <is>
          <t>Siège (gros / import)</t>
        </is>
      </c>
      <c r="B129" s="7" t="inlineStr">
        <is>
          <t>2026000130</t>
        </is>
      </c>
      <c r="C129" s="10" t="inlineStr">
        <is>
          <t>G00130</t>
        </is>
      </c>
      <c r="D129" s="11" t="n">
        <v>46114</v>
      </c>
      <c r="E129" s="7" t="inlineStr">
        <is>
          <t>2026-04</t>
        </is>
      </c>
      <c r="F129" s="10" t="inlineStr">
        <is>
          <t>Vente</t>
        </is>
      </c>
      <c r="G129" s="10" t="inlineStr">
        <is>
          <t>EURL B.S. COMMERCE</t>
        </is>
      </c>
      <c r="H129" s="7" t="inlineStr">
        <is>
          <t>C740</t>
        </is>
      </c>
      <c r="I129" s="10" t="inlineStr">
        <is>
          <t>Code existant</t>
        </is>
      </c>
      <c r="J129" s="10" t="n">
        <v>19</v>
      </c>
      <c r="K129" s="12" t="n">
        <v>1468739.5</v>
      </c>
      <c r="L129" s="12" t="n">
        <v>0</v>
      </c>
      <c r="M129" s="12" t="n">
        <v>279060.5</v>
      </c>
      <c r="N129" s="12" t="n">
        <v>1747800</v>
      </c>
      <c r="O129" s="7" t="inlineStr">
        <is>
          <t>06002</t>
        </is>
      </c>
      <c r="P129" s="5">
        <f>ROUND(M129-K129*0.19,2)</f>
        <v/>
      </c>
      <c r="Q129">
        <f>IF(ISNUMBER(SEARCH("DJENNADI",G129)),"OUI","")</f>
        <v/>
      </c>
    </row>
    <row r="130">
      <c r="A130" s="10" t="inlineStr">
        <is>
          <t>Siège (gros / import)</t>
        </is>
      </c>
      <c r="B130" s="7" t="inlineStr">
        <is>
          <t>2026000131</t>
        </is>
      </c>
      <c r="C130" s="10" t="inlineStr">
        <is>
          <t>G00131</t>
        </is>
      </c>
      <c r="D130" s="11" t="n">
        <v>46114</v>
      </c>
      <c r="E130" s="7" t="inlineStr">
        <is>
          <t>2026-04</t>
        </is>
      </c>
      <c r="F130" s="10" t="inlineStr">
        <is>
          <t>Vente</t>
        </is>
      </c>
      <c r="G130" s="10" t="inlineStr">
        <is>
          <t>EURL B.S. COMMERCE</t>
        </is>
      </c>
      <c r="H130" s="7" t="inlineStr">
        <is>
          <t>C740</t>
        </is>
      </c>
      <c r="I130" s="10" t="inlineStr">
        <is>
          <t>Code existant</t>
        </is>
      </c>
      <c r="J130" s="10" t="n">
        <v>25</v>
      </c>
      <c r="K130" s="12" t="n">
        <v>1685680.25</v>
      </c>
      <c r="L130" s="12" t="n">
        <v>0</v>
      </c>
      <c r="M130" s="12" t="n">
        <v>320279.25</v>
      </c>
      <c r="N130" s="12" t="n">
        <v>2005959.5</v>
      </c>
      <c r="O130" s="7" t="inlineStr">
        <is>
          <t>06002</t>
        </is>
      </c>
      <c r="P130" s="5">
        <f>ROUND(M130-K130*0.19,2)</f>
        <v/>
      </c>
      <c r="Q130">
        <f>IF(ISNUMBER(SEARCH("DJENNADI",G130)),"OUI","")</f>
        <v/>
      </c>
    </row>
    <row r="131">
      <c r="A131" s="10" t="inlineStr">
        <is>
          <t>Siège (gros / import)</t>
        </is>
      </c>
      <c r="B131" s="7" t="inlineStr">
        <is>
          <t>2026000132</t>
        </is>
      </c>
      <c r="C131" s="10" t="inlineStr">
        <is>
          <t>G00132</t>
        </is>
      </c>
      <c r="D131" s="11" t="n">
        <v>46114</v>
      </c>
      <c r="E131" s="7" t="inlineStr">
        <is>
          <t>2026-04</t>
        </is>
      </c>
      <c r="F131" s="10" t="inlineStr">
        <is>
          <t>Vente</t>
        </is>
      </c>
      <c r="G131" s="10" t="inlineStr">
        <is>
          <t>MANSOURI ZOUHEYR</t>
        </is>
      </c>
      <c r="H131" s="7" t="inlineStr">
        <is>
          <t>C1091</t>
        </is>
      </c>
      <c r="I131" s="10" t="inlineStr">
        <is>
          <t>Nouveau code à créer</t>
        </is>
      </c>
      <c r="J131" s="10" t="n">
        <v>16</v>
      </c>
      <c r="K131" s="12" t="n">
        <v>393421.88</v>
      </c>
      <c r="L131" s="12" t="n">
        <v>42327.96</v>
      </c>
      <c r="M131" s="12" t="n">
        <v>74750.16</v>
      </c>
      <c r="N131" s="12" t="n">
        <v>510500</v>
      </c>
      <c r="O131" s="7" t="inlineStr">
        <is>
          <t>06002</t>
        </is>
      </c>
      <c r="P131" s="5">
        <f>ROUND(M131-K131*0.19,2)</f>
        <v/>
      </c>
      <c r="Q131">
        <f>IF(ISNUMBER(SEARCH("DJENNADI",G131)),"OUI","")</f>
        <v/>
      </c>
    </row>
    <row r="132">
      <c r="A132" s="10" t="inlineStr">
        <is>
          <t>Siège (gros / import)</t>
        </is>
      </c>
      <c r="B132" s="7" t="inlineStr">
        <is>
          <t>2026000133</t>
        </is>
      </c>
      <c r="C132" s="10" t="inlineStr">
        <is>
          <t>G00133</t>
        </is>
      </c>
      <c r="D132" s="11" t="n">
        <v>46114</v>
      </c>
      <c r="E132" s="7" t="inlineStr">
        <is>
          <t>2026-04</t>
        </is>
      </c>
      <c r="F132" s="10" t="inlineStr">
        <is>
          <t>Vente</t>
        </is>
      </c>
      <c r="G132" s="10" t="inlineStr">
        <is>
          <t>SARL PETRO BARAKA</t>
        </is>
      </c>
      <c r="H132" s="7" t="inlineStr">
        <is>
          <t>C1075</t>
        </is>
      </c>
      <c r="I132" s="10" t="inlineStr">
        <is>
          <t>Code existant</t>
        </is>
      </c>
      <c r="J132" s="10" t="n">
        <v>1</v>
      </c>
      <c r="K132" s="12" t="n">
        <v>57000</v>
      </c>
      <c r="L132" s="12" t="n">
        <v>0</v>
      </c>
      <c r="M132" s="12" t="n">
        <v>10830</v>
      </c>
      <c r="N132" s="12" t="n">
        <v>67830</v>
      </c>
      <c r="O132" s="7" t="inlineStr">
        <is>
          <t>06002</t>
        </is>
      </c>
      <c r="P132" s="5">
        <f>ROUND(M132-K132*0.19,2)</f>
        <v/>
      </c>
      <c r="Q132">
        <f>IF(ISNUMBER(SEARCH("DJENNADI",G132)),"OUI","")</f>
        <v/>
      </c>
    </row>
    <row r="133">
      <c r="A133" s="10" t="inlineStr">
        <is>
          <t>Siège (gros / import)</t>
        </is>
      </c>
      <c r="B133" s="7" t="inlineStr">
        <is>
          <t>2026000134</t>
        </is>
      </c>
      <c r="C133" s="10" t="inlineStr">
        <is>
          <t>G00134</t>
        </is>
      </c>
      <c r="D133" s="11" t="n">
        <v>46114</v>
      </c>
      <c r="E133" s="7" t="inlineStr">
        <is>
          <t>2026-04</t>
        </is>
      </c>
      <c r="F133" s="10" t="inlineStr">
        <is>
          <t>Vente</t>
        </is>
      </c>
      <c r="G133" s="10" t="inlineStr">
        <is>
          <t>DJENNADI REYAD</t>
        </is>
      </c>
      <c r="H133" s="7" t="inlineStr">
        <is>
          <t>C164</t>
        </is>
      </c>
      <c r="I133" s="10" t="inlineStr">
        <is>
          <t>Code existant</t>
        </is>
      </c>
      <c r="J133" s="10" t="n">
        <v>3</v>
      </c>
      <c r="K133" s="12" t="n">
        <v>126050.43</v>
      </c>
      <c r="L133" s="12" t="n">
        <v>0</v>
      </c>
      <c r="M133" s="12" t="n">
        <v>23949.58</v>
      </c>
      <c r="N133" s="12" t="n">
        <v>150000.01</v>
      </c>
      <c r="O133" s="7" t="inlineStr">
        <is>
          <t>06002</t>
        </is>
      </c>
      <c r="P133" s="5">
        <f>ROUND(M133-K133*0.19,2)</f>
        <v/>
      </c>
      <c r="Q133">
        <f>IF(ISNUMBER(SEARCH("DJENNADI",G133)),"OUI","")</f>
        <v/>
      </c>
    </row>
    <row r="134">
      <c r="A134" s="10" t="inlineStr">
        <is>
          <t>Siège (gros / import)</t>
        </is>
      </c>
      <c r="B134" s="7" t="inlineStr">
        <is>
          <t>2026000135</t>
        </is>
      </c>
      <c r="C134" s="10" t="inlineStr">
        <is>
          <t>G00135</t>
        </is>
      </c>
      <c r="D134" s="11" t="n">
        <v>46115</v>
      </c>
      <c r="E134" s="7" t="inlineStr">
        <is>
          <t>2026-04</t>
        </is>
      </c>
      <c r="F134" s="10" t="inlineStr">
        <is>
          <t>Vente</t>
        </is>
      </c>
      <c r="G134" s="10" t="inlineStr">
        <is>
          <t>BOUAICHI HANAFI</t>
        </is>
      </c>
      <c r="H134" s="7" t="inlineStr">
        <is>
          <t>C1028</t>
        </is>
      </c>
      <c r="I134" s="10" t="inlineStr">
        <is>
          <t>Code existant</t>
        </is>
      </c>
      <c r="J134" s="10" t="n">
        <v>3</v>
      </c>
      <c r="K134" s="12" t="n">
        <v>126050.45</v>
      </c>
      <c r="L134" s="12" t="n">
        <v>0</v>
      </c>
      <c r="M134" s="12" t="n">
        <v>23949.59</v>
      </c>
      <c r="N134" s="12" t="n">
        <v>150000.04</v>
      </c>
      <c r="O134" s="7" t="inlineStr">
        <is>
          <t>06002</t>
        </is>
      </c>
      <c r="P134" s="5">
        <f>ROUND(M134-K134*0.19,2)</f>
        <v/>
      </c>
      <c r="Q134">
        <f>IF(ISNUMBER(SEARCH("DJENNADI",G134)),"OUI","")</f>
        <v/>
      </c>
    </row>
    <row r="135">
      <c r="A135" s="10" t="inlineStr">
        <is>
          <t>Siège (gros / import)</t>
        </is>
      </c>
      <c r="B135" s="7" t="inlineStr">
        <is>
          <t>2026000136</t>
        </is>
      </c>
      <c r="C135" s="10" t="inlineStr">
        <is>
          <t>G00136</t>
        </is>
      </c>
      <c r="D135" s="11" t="n">
        <v>46115</v>
      </c>
      <c r="E135" s="7" t="inlineStr">
        <is>
          <t>2026-04</t>
        </is>
      </c>
      <c r="F135" s="10" t="inlineStr">
        <is>
          <t>Vente</t>
        </is>
      </c>
      <c r="G135" s="10" t="inlineStr">
        <is>
          <t>MEZGHICH YOUCEF</t>
        </is>
      </c>
      <c r="H135" s="7" t="inlineStr">
        <is>
          <t>C023</t>
        </is>
      </c>
      <c r="I135" s="10" t="inlineStr">
        <is>
          <t>Code existant (nom proche)</t>
        </is>
      </c>
      <c r="J135" s="10" t="n">
        <v>4</v>
      </c>
      <c r="K135" s="12" t="n">
        <v>118487.4</v>
      </c>
      <c r="L135" s="12" t="n">
        <v>0</v>
      </c>
      <c r="M135" s="12" t="n">
        <v>22512.61</v>
      </c>
      <c r="N135" s="12" t="n">
        <v>141000.01</v>
      </c>
      <c r="O135" s="7" t="inlineStr">
        <is>
          <t>06002</t>
        </is>
      </c>
      <c r="P135" s="5">
        <f>ROUND(M135-K135*0.19,2)</f>
        <v/>
      </c>
      <c r="Q135">
        <f>IF(ISNUMBER(SEARCH("DJENNADI",G135)),"OUI","")</f>
        <v/>
      </c>
    </row>
    <row r="136">
      <c r="A136" s="10" t="inlineStr">
        <is>
          <t>Siège (gros / import)</t>
        </is>
      </c>
      <c r="B136" s="7" t="inlineStr">
        <is>
          <t>2026000137</t>
        </is>
      </c>
      <c r="C136" s="10" t="inlineStr">
        <is>
          <t>G00137</t>
        </is>
      </c>
      <c r="D136" s="11" t="n">
        <v>46116</v>
      </c>
      <c r="E136" s="7" t="inlineStr">
        <is>
          <t>2026-04</t>
        </is>
      </c>
      <c r="F136" s="10" t="inlineStr">
        <is>
          <t>Vente</t>
        </is>
      </c>
      <c r="G136" s="10" t="inlineStr">
        <is>
          <t>SARL GEURROUF AUTO</t>
        </is>
      </c>
      <c r="H136" s="7" t="inlineStr">
        <is>
          <t>C1092</t>
        </is>
      </c>
      <c r="I136" s="10" t="inlineStr">
        <is>
          <t>Nouveau code à créer</t>
        </is>
      </c>
      <c r="J136" s="10" t="n">
        <v>6</v>
      </c>
      <c r="K136" s="12" t="n">
        <v>292000</v>
      </c>
      <c r="L136" s="12" t="n">
        <v>0</v>
      </c>
      <c r="M136" s="12" t="n">
        <v>55480</v>
      </c>
      <c r="N136" s="12" t="n">
        <v>347480</v>
      </c>
      <c r="O136" s="7" t="inlineStr">
        <is>
          <t>06002</t>
        </is>
      </c>
      <c r="P136" s="5">
        <f>ROUND(M136-K136*0.19,2)</f>
        <v/>
      </c>
      <c r="Q136">
        <f>IF(ISNUMBER(SEARCH("DJENNADI",G136)),"OUI","")</f>
        <v/>
      </c>
    </row>
    <row r="137">
      <c r="A137" s="10" t="inlineStr">
        <is>
          <t>Siège (gros / import)</t>
        </is>
      </c>
      <c r="B137" s="7" t="inlineStr">
        <is>
          <t>2026000138</t>
        </is>
      </c>
      <c r="C137" s="10" t="inlineStr">
        <is>
          <t>G00138</t>
        </is>
      </c>
      <c r="D137" s="11" t="n">
        <v>46116</v>
      </c>
      <c r="E137" s="7" t="inlineStr">
        <is>
          <t>2026-04</t>
        </is>
      </c>
      <c r="F137" s="10" t="inlineStr">
        <is>
          <t>Vente</t>
        </is>
      </c>
      <c r="G137" s="10" t="inlineStr">
        <is>
          <t>DJENNADI REYAD</t>
        </is>
      </c>
      <c r="H137" s="7" t="inlineStr">
        <is>
          <t>C164</t>
        </is>
      </c>
      <c r="I137" s="10" t="inlineStr">
        <is>
          <t>Code existant</t>
        </is>
      </c>
      <c r="J137" s="10" t="n">
        <v>3</v>
      </c>
      <c r="K137" s="12" t="n">
        <v>123578.17</v>
      </c>
      <c r="L137" s="12" t="n">
        <v>0</v>
      </c>
      <c r="M137" s="12" t="n">
        <v>23479.85</v>
      </c>
      <c r="N137" s="12" t="n">
        <v>147058.02</v>
      </c>
      <c r="O137" s="7" t="inlineStr">
        <is>
          <t>06002</t>
        </is>
      </c>
      <c r="P137" s="5">
        <f>ROUND(M137-K137*0.19,2)</f>
        <v/>
      </c>
      <c r="Q137">
        <f>IF(ISNUMBER(SEARCH("DJENNADI",G137)),"OUI","")</f>
        <v/>
      </c>
    </row>
    <row r="138">
      <c r="A138" s="10" t="inlineStr">
        <is>
          <t>Siège (gros / import)</t>
        </is>
      </c>
      <c r="B138" s="7" t="inlineStr">
        <is>
          <t>2026000139</t>
        </is>
      </c>
      <c r="C138" s="10" t="inlineStr">
        <is>
          <t>G00139</t>
        </is>
      </c>
      <c r="D138" s="11" t="n">
        <v>46117</v>
      </c>
      <c r="E138" s="7" t="inlineStr">
        <is>
          <t>2026-04</t>
        </is>
      </c>
      <c r="F138" s="10" t="inlineStr">
        <is>
          <t>Vente</t>
        </is>
      </c>
      <c r="G138" s="10" t="inlineStr">
        <is>
          <t>TICHAT HALIM</t>
        </is>
      </c>
      <c r="H138" s="7" t="inlineStr">
        <is>
          <t>C441</t>
        </is>
      </c>
      <c r="I138" s="10" t="inlineStr">
        <is>
          <t>Code existant</t>
        </is>
      </c>
      <c r="J138" s="10" t="n">
        <v>20</v>
      </c>
      <c r="K138" s="12" t="n">
        <v>966386.64</v>
      </c>
      <c r="L138" s="12" t="n">
        <v>0</v>
      </c>
      <c r="M138" s="12" t="n">
        <v>183613.46</v>
      </c>
      <c r="N138" s="12" t="n">
        <v>1150000.1</v>
      </c>
      <c r="O138" s="7" t="inlineStr">
        <is>
          <t>06002</t>
        </is>
      </c>
      <c r="P138" s="5">
        <f>ROUND(M138-K138*0.19,2)</f>
        <v/>
      </c>
      <c r="Q138">
        <f>IF(ISNUMBER(SEARCH("DJENNADI",G138)),"OUI","")</f>
        <v/>
      </c>
    </row>
    <row r="139">
      <c r="A139" s="10" t="inlineStr">
        <is>
          <t>Siège (gros / import)</t>
        </is>
      </c>
      <c r="B139" s="7" t="inlineStr">
        <is>
          <t>2026000140</t>
        </is>
      </c>
      <c r="C139" s="10" t="inlineStr">
        <is>
          <t>G00140</t>
        </is>
      </c>
      <c r="D139" s="11" t="n">
        <v>46117</v>
      </c>
      <c r="E139" s="7" t="inlineStr">
        <is>
          <t>2026-04</t>
        </is>
      </c>
      <c r="F139" s="10" t="inlineStr">
        <is>
          <t>Vente</t>
        </is>
      </c>
      <c r="G139" s="10" t="inlineStr">
        <is>
          <t>FAROUKHI KAMAL</t>
        </is>
      </c>
      <c r="H139" s="7" t="inlineStr">
        <is>
          <t>C1093</t>
        </is>
      </c>
      <c r="I139" s="10" t="inlineStr">
        <is>
          <t>Nouveau code à créer</t>
        </is>
      </c>
      <c r="J139" s="10" t="n">
        <v>14</v>
      </c>
      <c r="K139" s="12" t="n">
        <v>882353.01</v>
      </c>
      <c r="L139" s="12" t="n">
        <v>0</v>
      </c>
      <c r="M139" s="12" t="n">
        <v>167647.07</v>
      </c>
      <c r="N139" s="12" t="n">
        <v>1050000.08</v>
      </c>
      <c r="O139" s="7" t="inlineStr">
        <is>
          <t>06002</t>
        </is>
      </c>
      <c r="P139" s="5">
        <f>ROUND(M139-K139*0.19,2)</f>
        <v/>
      </c>
      <c r="Q139">
        <f>IF(ISNUMBER(SEARCH("DJENNADI",G139)),"OUI","")</f>
        <v/>
      </c>
    </row>
    <row r="140">
      <c r="A140" s="10" t="inlineStr">
        <is>
          <t>Siège (gros / import)</t>
        </is>
      </c>
      <c r="B140" s="7" t="inlineStr">
        <is>
          <t>2026000142</t>
        </is>
      </c>
      <c r="C140" s="10" t="inlineStr">
        <is>
          <t>G00142</t>
        </is>
      </c>
      <c r="D140" s="11" t="n">
        <v>46118</v>
      </c>
      <c r="E140" s="7" t="inlineStr">
        <is>
          <t>2026-04</t>
        </is>
      </c>
      <c r="F140" s="10" t="inlineStr">
        <is>
          <t>Vente</t>
        </is>
      </c>
      <c r="G140" s="10" t="inlineStr">
        <is>
          <t>DERDOURI FAROUK AFAK AUTO PARTS</t>
        </is>
      </c>
      <c r="H140" s="7" t="inlineStr">
        <is>
          <t>C831</t>
        </is>
      </c>
      <c r="I140" s="10" t="inlineStr">
        <is>
          <t>Code existant (nom proche)</t>
        </is>
      </c>
      <c r="J140" s="10" t="n">
        <v>14</v>
      </c>
      <c r="K140" s="12" t="n">
        <v>793613.52</v>
      </c>
      <c r="L140" s="12" t="n">
        <v>0</v>
      </c>
      <c r="M140" s="12" t="n">
        <v>150786.57</v>
      </c>
      <c r="N140" s="12" t="n">
        <v>944400.09</v>
      </c>
      <c r="O140" s="7" t="inlineStr">
        <is>
          <t>06002</t>
        </is>
      </c>
      <c r="P140" s="5">
        <f>ROUND(M140-K140*0.19,2)</f>
        <v/>
      </c>
      <c r="Q140">
        <f>IF(ISNUMBER(SEARCH("DJENNADI",G140)),"OUI","")</f>
        <v/>
      </c>
    </row>
    <row r="141">
      <c r="A141" s="10" t="inlineStr">
        <is>
          <t>Siège (gros / import)</t>
        </is>
      </c>
      <c r="B141" s="7" t="inlineStr">
        <is>
          <t>2026000143</t>
        </is>
      </c>
      <c r="C141" s="10" t="inlineStr">
        <is>
          <t>G00143</t>
        </is>
      </c>
      <c r="D141" s="11" t="n">
        <v>46118</v>
      </c>
      <c r="E141" s="7" t="inlineStr">
        <is>
          <t>2026-04</t>
        </is>
      </c>
      <c r="F141" s="10" t="inlineStr">
        <is>
          <t>Vente</t>
        </is>
      </c>
      <c r="G141" s="10" t="inlineStr">
        <is>
          <t>SARL EL ZIBANE TRANSPORT</t>
        </is>
      </c>
      <c r="H141" s="7" t="inlineStr">
        <is>
          <t>C1094</t>
        </is>
      </c>
      <c r="I141" s="10" t="inlineStr">
        <is>
          <t>Nouveau code à créer</t>
        </is>
      </c>
      <c r="J141" s="10" t="n">
        <v>2</v>
      </c>
      <c r="K141" s="12" t="n">
        <v>275500</v>
      </c>
      <c r="L141" s="12" t="n">
        <v>0</v>
      </c>
      <c r="M141" s="12" t="n">
        <v>52345</v>
      </c>
      <c r="N141" s="12" t="n">
        <v>327845</v>
      </c>
      <c r="O141" s="7" t="inlineStr">
        <is>
          <t>06002</t>
        </is>
      </c>
      <c r="P141" s="5">
        <f>ROUND(M141-K141*0.19,2)</f>
        <v/>
      </c>
      <c r="Q141">
        <f>IF(ISNUMBER(SEARCH("DJENNADI",G141)),"OUI","")</f>
        <v/>
      </c>
    </row>
    <row r="142">
      <c r="A142" s="10" t="inlineStr">
        <is>
          <t>Siège (gros / import)</t>
        </is>
      </c>
      <c r="B142" s="7" t="inlineStr">
        <is>
          <t>2026000144</t>
        </is>
      </c>
      <c r="C142" s="10" t="inlineStr">
        <is>
          <t>G00144</t>
        </is>
      </c>
      <c r="D142" s="11" t="n">
        <v>46118</v>
      </c>
      <c r="E142" s="7" t="inlineStr">
        <is>
          <t>2026-04</t>
        </is>
      </c>
      <c r="F142" s="10" t="inlineStr">
        <is>
          <t>Vente</t>
        </is>
      </c>
      <c r="G142" s="10" t="inlineStr">
        <is>
          <t>BEKHOUS RABAH</t>
        </is>
      </c>
      <c r="H142" s="7" t="inlineStr">
        <is>
          <t>C1089</t>
        </is>
      </c>
      <c r="I142" s="10" t="inlineStr">
        <is>
          <t>Nouveau code à créer</t>
        </is>
      </c>
      <c r="J142" s="10" t="n">
        <v>4</v>
      </c>
      <c r="K142" s="12" t="n">
        <v>70588.24000000001</v>
      </c>
      <c r="L142" s="12" t="n">
        <v>0</v>
      </c>
      <c r="M142" s="12" t="n">
        <v>13411.77</v>
      </c>
      <c r="N142" s="12" t="n">
        <v>84000.00999999999</v>
      </c>
      <c r="O142" s="7" t="inlineStr">
        <is>
          <t>06002</t>
        </is>
      </c>
      <c r="P142" s="5">
        <f>ROUND(M142-K142*0.19,2)</f>
        <v/>
      </c>
      <c r="Q142">
        <f>IF(ISNUMBER(SEARCH("DJENNADI",G142)),"OUI","")</f>
        <v/>
      </c>
    </row>
    <row r="143">
      <c r="A143" s="10" t="inlineStr">
        <is>
          <t>Siège (gros / import)</t>
        </is>
      </c>
      <c r="B143" s="7" t="inlineStr">
        <is>
          <t>2026000145</t>
        </is>
      </c>
      <c r="C143" s="10" t="inlineStr">
        <is>
          <t>G00145</t>
        </is>
      </c>
      <c r="D143" s="11" t="n">
        <v>46119</v>
      </c>
      <c r="E143" s="7" t="inlineStr">
        <is>
          <t>2026-04</t>
        </is>
      </c>
      <c r="F143" s="10" t="inlineStr">
        <is>
          <t>Vente</t>
        </is>
      </c>
      <c r="G143" s="10" t="inlineStr">
        <is>
          <t>MANSOURI ZOUHEYR</t>
        </is>
      </c>
      <c r="H143" s="7" t="inlineStr">
        <is>
          <t>C1091</t>
        </is>
      </c>
      <c r="I143" s="10" t="inlineStr">
        <is>
          <t>Nouveau code à créer</t>
        </is>
      </c>
      <c r="J143" s="10" t="n">
        <v>9</v>
      </c>
      <c r="K143" s="12" t="n">
        <v>538235.3</v>
      </c>
      <c r="L143" s="12" t="n">
        <v>0</v>
      </c>
      <c r="M143" s="12" t="n">
        <v>102264.71</v>
      </c>
      <c r="N143" s="12" t="n">
        <v>640500.01</v>
      </c>
      <c r="O143" s="7" t="inlineStr">
        <is>
          <t>06002</t>
        </is>
      </c>
      <c r="P143" s="5">
        <f>ROUND(M143-K143*0.19,2)</f>
        <v/>
      </c>
      <c r="Q143">
        <f>IF(ISNUMBER(SEARCH("DJENNADI",G143)),"OUI","")</f>
        <v/>
      </c>
    </row>
    <row r="144">
      <c r="A144" s="10" t="inlineStr">
        <is>
          <t>Siège (gros / import)</t>
        </is>
      </c>
      <c r="B144" s="7" t="inlineStr">
        <is>
          <t>2026000146</t>
        </is>
      </c>
      <c r="C144" s="10" t="inlineStr">
        <is>
          <t>G00146</t>
        </is>
      </c>
      <c r="D144" s="11" t="n">
        <v>46149</v>
      </c>
      <c r="E144" s="7" t="inlineStr">
        <is>
          <t>2026-05</t>
        </is>
      </c>
      <c r="F144" s="10" t="inlineStr">
        <is>
          <t>Vente</t>
        </is>
      </c>
      <c r="G144" s="10" t="inlineStr">
        <is>
          <t>LAOUEDJ MOHAMMED SALAH</t>
        </is>
      </c>
      <c r="H144" s="7" t="inlineStr">
        <is>
          <t>C556</t>
        </is>
      </c>
      <c r="I144" s="10" t="inlineStr">
        <is>
          <t>Code existant (nom proche)</t>
        </is>
      </c>
      <c r="J144" s="10" t="n">
        <v>10</v>
      </c>
      <c r="K144" s="12" t="n">
        <v>788314.52</v>
      </c>
      <c r="L144" s="12" t="n">
        <v>0</v>
      </c>
      <c r="M144" s="12" t="n">
        <v>149779.76</v>
      </c>
      <c r="N144" s="12" t="n">
        <v>938094.28</v>
      </c>
      <c r="O144" s="7" t="inlineStr">
        <is>
          <t>06002</t>
        </is>
      </c>
      <c r="P144" s="5">
        <f>ROUND(M144-K144*0.19,2)</f>
        <v/>
      </c>
      <c r="Q144">
        <f>IF(ISNUMBER(SEARCH("DJENNADI",G144)),"OUI","")</f>
        <v/>
      </c>
    </row>
    <row r="145">
      <c r="A145" s="10" t="inlineStr">
        <is>
          <t>Siège (gros / import)</t>
        </is>
      </c>
      <c r="B145" s="7" t="inlineStr">
        <is>
          <t>2026000147</t>
        </is>
      </c>
      <c r="C145" s="10" t="inlineStr">
        <is>
          <t>G00147</t>
        </is>
      </c>
      <c r="D145" s="11" t="n">
        <v>46149</v>
      </c>
      <c r="E145" s="7" t="inlineStr">
        <is>
          <t>2026-05</t>
        </is>
      </c>
      <c r="F145" s="10" t="inlineStr">
        <is>
          <t>Vente</t>
        </is>
      </c>
      <c r="G145" s="10" t="inlineStr">
        <is>
          <t>DJENNADI REYAD</t>
        </is>
      </c>
      <c r="H145" s="7" t="inlineStr">
        <is>
          <t>C164</t>
        </is>
      </c>
      <c r="I145" s="10" t="inlineStr">
        <is>
          <t>Code existant</t>
        </is>
      </c>
      <c r="J145" s="10" t="n">
        <v>5</v>
      </c>
      <c r="K145" s="12" t="n">
        <v>133300.71</v>
      </c>
      <c r="L145" s="12" t="n">
        <v>0</v>
      </c>
      <c r="M145" s="12" t="n">
        <v>25327.13</v>
      </c>
      <c r="N145" s="12" t="n">
        <v>158627.84</v>
      </c>
      <c r="O145" s="7" t="inlineStr">
        <is>
          <t>06002</t>
        </is>
      </c>
      <c r="P145" s="5">
        <f>ROUND(M145-K145*0.19,2)</f>
        <v/>
      </c>
      <c r="Q145">
        <f>IF(ISNUMBER(SEARCH("DJENNADI",G145)),"OUI","")</f>
        <v/>
      </c>
    </row>
    <row r="146">
      <c r="A146" s="10" t="inlineStr">
        <is>
          <t>Siège (gros / import)</t>
        </is>
      </c>
      <c r="B146" s="7" t="inlineStr">
        <is>
          <t>2026000148</t>
        </is>
      </c>
      <c r="C146" s="10" t="inlineStr">
        <is>
          <t>G00148</t>
        </is>
      </c>
      <c r="D146" s="11" t="n">
        <v>46149</v>
      </c>
      <c r="E146" s="7" t="inlineStr">
        <is>
          <t>2026-05</t>
        </is>
      </c>
      <c r="F146" s="10" t="inlineStr">
        <is>
          <t>Vente</t>
        </is>
      </c>
      <c r="G146" s="10" t="inlineStr">
        <is>
          <t>HANIFI SALAH</t>
        </is>
      </c>
      <c r="H146" s="7" t="inlineStr">
        <is>
          <t>C759</t>
        </is>
      </c>
      <c r="I146" s="10" t="inlineStr">
        <is>
          <t>Code existant</t>
        </is>
      </c>
      <c r="J146" s="10" t="n">
        <v>1</v>
      </c>
      <c r="K146" s="12" t="n">
        <v>23000</v>
      </c>
      <c r="L146" s="12" t="n">
        <v>0</v>
      </c>
      <c r="M146" s="12" t="n">
        <v>4370</v>
      </c>
      <c r="N146" s="12" t="n">
        <v>27370</v>
      </c>
      <c r="O146" s="7" t="inlineStr">
        <is>
          <t>06002</t>
        </is>
      </c>
      <c r="P146" s="5">
        <f>ROUND(M146-K146*0.19,2)</f>
        <v/>
      </c>
      <c r="Q146">
        <f>IF(ISNUMBER(SEARCH("DJENNADI",G146)),"OUI","")</f>
        <v/>
      </c>
    </row>
    <row r="147">
      <c r="A147" s="10" t="inlineStr">
        <is>
          <t>Siège (gros / import)</t>
        </is>
      </c>
      <c r="B147" s="7" t="inlineStr">
        <is>
          <t>2026000149</t>
        </is>
      </c>
      <c r="C147" s="10" t="inlineStr">
        <is>
          <t>G00149</t>
        </is>
      </c>
      <c r="D147" s="11" t="n">
        <v>46152</v>
      </c>
      <c r="E147" s="7" t="inlineStr">
        <is>
          <t>2026-05</t>
        </is>
      </c>
      <c r="F147" s="10" t="inlineStr">
        <is>
          <t>Vente</t>
        </is>
      </c>
      <c r="G147" s="10" t="inlineStr">
        <is>
          <t>LAOUEDJ MOHAMMED SALAH</t>
        </is>
      </c>
      <c r="H147" s="7" t="inlineStr">
        <is>
          <t>C556</t>
        </is>
      </c>
      <c r="I147" s="10" t="inlineStr">
        <is>
          <t>Code existant (nom proche)</t>
        </is>
      </c>
      <c r="J147" s="10" t="n">
        <v>5</v>
      </c>
      <c r="K147" s="12" t="n">
        <v>827913.9399999999</v>
      </c>
      <c r="L147" s="12" t="n">
        <v>0</v>
      </c>
      <c r="M147" s="12" t="n">
        <v>157303.65</v>
      </c>
      <c r="N147" s="12" t="n">
        <v>985217.59</v>
      </c>
      <c r="O147" s="7" t="inlineStr">
        <is>
          <t>06002</t>
        </is>
      </c>
      <c r="P147" s="5">
        <f>ROUND(M147-K147*0.19,2)</f>
        <v/>
      </c>
      <c r="Q147">
        <f>IF(ISNUMBER(SEARCH("DJENNADI",G147)),"OUI","")</f>
        <v/>
      </c>
    </row>
    <row r="148">
      <c r="A148" s="10" t="inlineStr">
        <is>
          <t>Siège (gros / import)</t>
        </is>
      </c>
      <c r="B148" s="7" t="inlineStr">
        <is>
          <t>2026000150</t>
        </is>
      </c>
      <c r="C148" s="10" t="inlineStr">
        <is>
          <t>G00150</t>
        </is>
      </c>
      <c r="D148" s="11" t="n">
        <v>46153</v>
      </c>
      <c r="E148" s="7" t="inlineStr">
        <is>
          <t>2026-05</t>
        </is>
      </c>
      <c r="F148" s="10" t="inlineStr">
        <is>
          <t>Vente</t>
        </is>
      </c>
      <c r="G148" s="10" t="inlineStr">
        <is>
          <t>LAOUEDJ MOHAMMED SALAH</t>
        </is>
      </c>
      <c r="H148" s="7" t="inlineStr">
        <is>
          <t>C556</t>
        </is>
      </c>
      <c r="I148" s="10" t="inlineStr">
        <is>
          <t>Code existant (nom proche)</t>
        </is>
      </c>
      <c r="J148" s="10" t="n">
        <v>6</v>
      </c>
      <c r="K148" s="12" t="n">
        <v>904779.96</v>
      </c>
      <c r="L148" s="12" t="n">
        <v>0</v>
      </c>
      <c r="M148" s="12" t="n">
        <v>171908.19</v>
      </c>
      <c r="N148" s="12" t="n">
        <v>1076688.15</v>
      </c>
      <c r="O148" s="7" t="inlineStr">
        <is>
          <t>06002</t>
        </is>
      </c>
      <c r="P148" s="5">
        <f>ROUND(M148-K148*0.19,2)</f>
        <v/>
      </c>
      <c r="Q148">
        <f>IF(ISNUMBER(SEARCH("DJENNADI",G148)),"OUI","")</f>
        <v/>
      </c>
    </row>
    <row r="149">
      <c r="A149" s="10" t="inlineStr">
        <is>
          <t>Siège (gros / import)</t>
        </is>
      </c>
      <c r="B149" s="7" t="inlineStr">
        <is>
          <t>2026000151</t>
        </is>
      </c>
      <c r="C149" s="10" t="inlineStr">
        <is>
          <t>G00151</t>
        </is>
      </c>
      <c r="D149" s="11" t="n">
        <v>46154</v>
      </c>
      <c r="E149" s="7" t="inlineStr">
        <is>
          <t>2026-05</t>
        </is>
      </c>
      <c r="F149" s="10" t="inlineStr">
        <is>
          <t>Vente</t>
        </is>
      </c>
      <c r="G149" s="10" t="inlineStr">
        <is>
          <t>DJENNADI ABDELKRIM</t>
        </is>
      </c>
      <c r="H149" s="7" t="inlineStr">
        <is>
          <t>C004</t>
        </is>
      </c>
      <c r="I149" s="10" t="inlineStr">
        <is>
          <t>Code existant</t>
        </is>
      </c>
      <c r="J149" s="10" t="n">
        <v>9</v>
      </c>
      <c r="K149" s="12" t="n">
        <v>2764713.19</v>
      </c>
      <c r="L149" s="12" t="n">
        <v>0</v>
      </c>
      <c r="M149" s="12" t="n">
        <v>525295.51</v>
      </c>
      <c r="N149" s="12" t="n">
        <v>3290008.7</v>
      </c>
      <c r="O149" s="7" t="inlineStr">
        <is>
          <t>06002</t>
        </is>
      </c>
      <c r="P149" s="5">
        <f>ROUND(M149-K149*0.19,2)</f>
        <v/>
      </c>
      <c r="Q149">
        <f>IF(ISNUMBER(SEARCH("DJENNADI",G149)),"OUI","")</f>
        <v/>
      </c>
    </row>
    <row r="150">
      <c r="A150" s="10" t="inlineStr">
        <is>
          <t>Siège (gros / import)</t>
        </is>
      </c>
      <c r="B150" s="7" t="inlineStr">
        <is>
          <t>2026000152</t>
        </is>
      </c>
      <c r="C150" s="10" t="inlineStr">
        <is>
          <t>G00152</t>
        </is>
      </c>
      <c r="D150" s="11" t="n">
        <v>46174</v>
      </c>
      <c r="E150" s="7" t="inlineStr">
        <is>
          <t>2026-06</t>
        </is>
      </c>
      <c r="F150" s="10" t="inlineStr">
        <is>
          <t>Vente</t>
        </is>
      </c>
      <c r="G150" s="10" t="inlineStr">
        <is>
          <t>BOUHAMMA DJAMEL EDDINE</t>
        </is>
      </c>
      <c r="H150" s="7" t="inlineStr">
        <is>
          <t>C1039</t>
        </is>
      </c>
      <c r="I150" s="10" t="inlineStr">
        <is>
          <t>Code existant</t>
        </is>
      </c>
      <c r="J150" s="10" t="n">
        <v>8</v>
      </c>
      <c r="K150" s="12" t="n">
        <v>840336.15</v>
      </c>
      <c r="L150" s="12" t="n">
        <v>0</v>
      </c>
      <c r="M150" s="12" t="n">
        <v>159663.87</v>
      </c>
      <c r="N150" s="12" t="n">
        <v>1000000.02</v>
      </c>
      <c r="O150" s="7" t="inlineStr">
        <is>
          <t>06002</t>
        </is>
      </c>
      <c r="P150" s="5">
        <f>ROUND(M150-K150*0.19,2)</f>
        <v/>
      </c>
      <c r="Q150">
        <f>IF(ISNUMBER(SEARCH("DJENNADI",G150)),"OUI","")</f>
        <v/>
      </c>
    </row>
    <row r="151">
      <c r="A151" s="10" t="inlineStr">
        <is>
          <t>Siège (gros / import)</t>
        </is>
      </c>
      <c r="B151" s="7" t="inlineStr">
        <is>
          <t>2026000153</t>
        </is>
      </c>
      <c r="C151" s="10" t="inlineStr">
        <is>
          <t>G00153</t>
        </is>
      </c>
      <c r="D151" s="11" t="n">
        <v>46175</v>
      </c>
      <c r="E151" s="7" t="inlineStr">
        <is>
          <t>2026-06</t>
        </is>
      </c>
      <c r="F151" s="10" t="inlineStr">
        <is>
          <t>Vente</t>
        </is>
      </c>
      <c r="G151" s="10" t="inlineStr">
        <is>
          <t>HEMMAR ABDELHAMID</t>
        </is>
      </c>
      <c r="H151" s="7" t="inlineStr">
        <is>
          <t>C098</t>
        </is>
      </c>
      <c r="I151" s="10" t="inlineStr">
        <is>
          <t>Code existant</t>
        </is>
      </c>
      <c r="J151" s="10" t="n">
        <v>12</v>
      </c>
      <c r="K151" s="12" t="n">
        <v>1008403.36</v>
      </c>
      <c r="L151" s="12" t="n">
        <v>0</v>
      </c>
      <c r="M151" s="12" t="n">
        <v>191596.64</v>
      </c>
      <c r="N151" s="12" t="n">
        <v>1200000</v>
      </c>
      <c r="O151" s="7" t="inlineStr">
        <is>
          <t>06002</t>
        </is>
      </c>
      <c r="P151" s="5">
        <f>ROUND(M151-K151*0.19,2)</f>
        <v/>
      </c>
      <c r="Q151">
        <f>IF(ISNUMBER(SEARCH("DJENNADI",G151)),"OUI","")</f>
        <v/>
      </c>
    </row>
    <row r="152">
      <c r="A152" s="10" t="inlineStr">
        <is>
          <t>Siège (gros / import)</t>
        </is>
      </c>
      <c r="B152" s="7" t="inlineStr">
        <is>
          <t>2026000154</t>
        </is>
      </c>
      <c r="C152" s="10" t="inlineStr">
        <is>
          <t>G00154</t>
        </is>
      </c>
      <c r="D152" s="11" t="n">
        <v>46178</v>
      </c>
      <c r="E152" s="7" t="inlineStr">
        <is>
          <t>2026-06</t>
        </is>
      </c>
      <c r="F152" s="10" t="inlineStr">
        <is>
          <t>Vente</t>
        </is>
      </c>
      <c r="G152" s="10" t="inlineStr">
        <is>
          <t>SACI MOUSSA</t>
        </is>
      </c>
      <c r="H152" s="7" t="inlineStr">
        <is>
          <t>C891</t>
        </is>
      </c>
      <c r="I152" s="10" t="inlineStr">
        <is>
          <t>Code existant</t>
        </is>
      </c>
      <c r="J152" s="10" t="n">
        <v>2</v>
      </c>
      <c r="K152" s="12" t="n">
        <v>161764.7</v>
      </c>
      <c r="L152" s="12" t="n">
        <v>0</v>
      </c>
      <c r="M152" s="12" t="n">
        <v>30735.29</v>
      </c>
      <c r="N152" s="12" t="n">
        <v>192499.99</v>
      </c>
      <c r="O152" s="7" t="inlineStr">
        <is>
          <t>06002</t>
        </is>
      </c>
      <c r="P152" s="5">
        <f>ROUND(M152-K152*0.19,2)</f>
        <v/>
      </c>
      <c r="Q152">
        <f>IF(ISNUMBER(SEARCH("DJENNADI",G152)),"OUI","")</f>
        <v/>
      </c>
    </row>
    <row r="153">
      <c r="A153" s="10" t="inlineStr">
        <is>
          <t>Siège (gros / import)</t>
        </is>
      </c>
      <c r="B153" s="7" t="inlineStr">
        <is>
          <t>2026000155</t>
        </is>
      </c>
      <c r="C153" s="10" t="inlineStr">
        <is>
          <t>G00155</t>
        </is>
      </c>
      <c r="D153" s="11" t="n">
        <v>46179</v>
      </c>
      <c r="E153" s="7" t="inlineStr">
        <is>
          <t>2026-06</t>
        </is>
      </c>
      <c r="F153" s="10" t="inlineStr">
        <is>
          <t>Vente</t>
        </is>
      </c>
      <c r="G153" s="10" t="inlineStr">
        <is>
          <t>TILKOUT AHCEN</t>
        </is>
      </c>
      <c r="H153" s="7" t="inlineStr">
        <is>
          <t>C918</t>
        </is>
      </c>
      <c r="I153" s="10" t="inlineStr">
        <is>
          <t>Code existant (nom proche)</t>
        </is>
      </c>
      <c r="J153" s="10" t="n">
        <v>5</v>
      </c>
      <c r="K153" s="12" t="n">
        <v>155042.02</v>
      </c>
      <c r="L153" s="12" t="n">
        <v>0</v>
      </c>
      <c r="M153" s="12" t="n">
        <v>29457.98</v>
      </c>
      <c r="N153" s="12" t="n">
        <v>184500</v>
      </c>
      <c r="O153" s="7" t="inlineStr">
        <is>
          <t>06002</t>
        </is>
      </c>
      <c r="P153" s="5">
        <f>ROUND(M153-K153*0.19,2)</f>
        <v/>
      </c>
      <c r="Q153">
        <f>IF(ISNUMBER(SEARCH("DJENNADI",G153)),"OUI","")</f>
        <v/>
      </c>
    </row>
    <row r="154">
      <c r="A154" s="10" t="inlineStr">
        <is>
          <t>Siège (gros / import)</t>
        </is>
      </c>
      <c r="B154" s="7" t="inlineStr">
        <is>
          <t>2026000156</t>
        </is>
      </c>
      <c r="C154" s="10" t="inlineStr">
        <is>
          <t>G00156</t>
        </is>
      </c>
      <c r="D154" s="11" t="n">
        <v>46180</v>
      </c>
      <c r="E154" s="7" t="inlineStr">
        <is>
          <t>2026-06</t>
        </is>
      </c>
      <c r="F154" s="10" t="inlineStr">
        <is>
          <t>Vente</t>
        </is>
      </c>
      <c r="G154" s="10" t="inlineStr">
        <is>
          <t>SARL GEURROUF AUTO</t>
        </is>
      </c>
      <c r="H154" s="7" t="inlineStr">
        <is>
          <t>C1092</t>
        </is>
      </c>
      <c r="I154" s="10" t="inlineStr">
        <is>
          <t>Nouveau code à créer</t>
        </is>
      </c>
      <c r="J154" s="10" t="n">
        <v>13</v>
      </c>
      <c r="K154" s="12" t="n">
        <v>245000</v>
      </c>
      <c r="L154" s="12" t="n">
        <v>0</v>
      </c>
      <c r="M154" s="12" t="n">
        <v>46550</v>
      </c>
      <c r="N154" s="12" t="n">
        <v>291550</v>
      </c>
      <c r="O154" s="7" t="inlineStr">
        <is>
          <t>06002</t>
        </is>
      </c>
      <c r="P154" s="5">
        <f>ROUND(M154-K154*0.19,2)</f>
        <v/>
      </c>
      <c r="Q154">
        <f>IF(ISNUMBER(SEARCH("DJENNADI",G154)),"OUI","")</f>
        <v/>
      </c>
    </row>
    <row r="155">
      <c r="A155" s="10" t="inlineStr">
        <is>
          <t>Siège (gros / import)</t>
        </is>
      </c>
      <c r="B155" s="7" t="inlineStr">
        <is>
          <t>2026000157</t>
        </is>
      </c>
      <c r="C155" s="10" t="inlineStr">
        <is>
          <t>G00157</t>
        </is>
      </c>
      <c r="D155" s="11" t="n">
        <v>46181</v>
      </c>
      <c r="E155" s="7" t="inlineStr">
        <is>
          <t>2026-06</t>
        </is>
      </c>
      <c r="F155" s="10" t="inlineStr">
        <is>
          <t>Vente</t>
        </is>
      </c>
      <c r="G155" s="10" t="inlineStr">
        <is>
          <t>SAHRAOUI BECHAGHA</t>
        </is>
      </c>
      <c r="H155" s="7" t="inlineStr">
        <is>
          <t>C975</t>
        </is>
      </c>
      <c r="I155" s="10" t="inlineStr">
        <is>
          <t>Code existant</t>
        </is>
      </c>
      <c r="J155" s="10" t="n">
        <v>11</v>
      </c>
      <c r="K155" s="12" t="n">
        <v>141344.54</v>
      </c>
      <c r="L155" s="12" t="n">
        <v>0</v>
      </c>
      <c r="M155" s="12" t="n">
        <v>26855.46</v>
      </c>
      <c r="N155" s="12" t="n">
        <v>168200</v>
      </c>
      <c r="O155" s="7" t="inlineStr">
        <is>
          <t>06002</t>
        </is>
      </c>
      <c r="P155" s="5">
        <f>ROUND(M155-K155*0.19,2)</f>
        <v/>
      </c>
      <c r="Q155">
        <f>IF(ISNUMBER(SEARCH("DJENNADI",G155)),"OUI","")</f>
        <v/>
      </c>
    </row>
    <row r="156">
      <c r="A156" s="10" t="inlineStr">
        <is>
          <t>Siège (gros / import)</t>
        </is>
      </c>
      <c r="B156" s="7" t="inlineStr">
        <is>
          <t>2026000158</t>
        </is>
      </c>
      <c r="C156" s="10" t="inlineStr">
        <is>
          <t>G00158</t>
        </is>
      </c>
      <c r="D156" s="11" t="n">
        <v>46182</v>
      </c>
      <c r="E156" s="7" t="inlineStr">
        <is>
          <t>2026-06</t>
        </is>
      </c>
      <c r="F156" s="10" t="inlineStr">
        <is>
          <t>Vente</t>
        </is>
      </c>
      <c r="G156" s="10" t="inlineStr">
        <is>
          <t>EURL MEHTAR SERVICES</t>
        </is>
      </c>
      <c r="H156" s="7" t="inlineStr">
        <is>
          <t>C1050</t>
        </is>
      </c>
      <c r="I156" s="10" t="inlineStr">
        <is>
          <t>Code existant</t>
        </is>
      </c>
      <c r="J156" s="10" t="n">
        <v>10</v>
      </c>
      <c r="K156" s="12" t="n">
        <v>336134.45</v>
      </c>
      <c r="L156" s="12" t="n">
        <v>0</v>
      </c>
      <c r="M156" s="12" t="n">
        <v>63865.55</v>
      </c>
      <c r="N156" s="12" t="n">
        <v>400000</v>
      </c>
      <c r="O156" s="7" t="inlineStr">
        <is>
          <t>06002</t>
        </is>
      </c>
      <c r="P156" s="5">
        <f>ROUND(M156-K156*0.19,2)</f>
        <v/>
      </c>
      <c r="Q156">
        <f>IF(ISNUMBER(SEARCH("DJENNADI",G156)),"OUI","")</f>
        <v/>
      </c>
    </row>
    <row r="157">
      <c r="A157" s="10" t="inlineStr">
        <is>
          <t>Siège (gros / import)</t>
        </is>
      </c>
      <c r="B157" s="7" t="inlineStr">
        <is>
          <t>2026000159</t>
        </is>
      </c>
      <c r="C157" s="10" t="inlineStr">
        <is>
          <t>G00159</t>
        </is>
      </c>
      <c r="D157" s="11" t="n">
        <v>46184</v>
      </c>
      <c r="E157" s="7" t="inlineStr">
        <is>
          <t>2026-06</t>
        </is>
      </c>
      <c r="F157" s="10" t="inlineStr">
        <is>
          <t>Vente</t>
        </is>
      </c>
      <c r="G157" s="10" t="inlineStr">
        <is>
          <t>BOUHAMED ABDERRAHIM</t>
        </is>
      </c>
      <c r="H157" s="7" t="inlineStr">
        <is>
          <t>C980</t>
        </is>
      </c>
      <c r="I157" s="10" t="inlineStr">
        <is>
          <t>Code existant</t>
        </is>
      </c>
      <c r="J157" s="10" t="n">
        <v>6</v>
      </c>
      <c r="K157" s="12" t="n">
        <v>378319.33</v>
      </c>
      <c r="L157" s="12" t="n">
        <v>0</v>
      </c>
      <c r="M157" s="12" t="n">
        <v>71880.67</v>
      </c>
      <c r="N157" s="12" t="n">
        <v>450200</v>
      </c>
      <c r="O157" s="7" t="inlineStr">
        <is>
          <t>06002</t>
        </is>
      </c>
      <c r="P157" s="5">
        <f>ROUND(M157-K157*0.19,2)</f>
        <v/>
      </c>
      <c r="Q157">
        <f>IF(ISNUMBER(SEARCH("DJENNADI",G157)),"OUI","")</f>
        <v/>
      </c>
    </row>
    <row r="158">
      <c r="A158" s="10" t="inlineStr">
        <is>
          <t>Siège (gros / import)</t>
        </is>
      </c>
      <c r="B158" s="7" t="inlineStr">
        <is>
          <t>2026000160</t>
        </is>
      </c>
      <c r="C158" s="10" t="inlineStr">
        <is>
          <t>G00160</t>
        </is>
      </c>
      <c r="D158" s="11" t="n">
        <v>46184</v>
      </c>
      <c r="E158" s="7" t="inlineStr">
        <is>
          <t>2026-06</t>
        </is>
      </c>
      <c r="F158" s="10" t="inlineStr">
        <is>
          <t>Vente</t>
        </is>
      </c>
      <c r="G158" s="10" t="inlineStr">
        <is>
          <t>SARL GEURROUF AUTO</t>
        </is>
      </c>
      <c r="H158" s="7" t="inlineStr">
        <is>
          <t>C1092</t>
        </is>
      </c>
      <c r="I158" s="10" t="inlineStr">
        <is>
          <t>Nouveau code à créer</t>
        </is>
      </c>
      <c r="J158" s="10" t="n">
        <v>3</v>
      </c>
      <c r="K158" s="12" t="n">
        <v>368000</v>
      </c>
      <c r="L158" s="12" t="n">
        <v>0</v>
      </c>
      <c r="M158" s="12" t="n">
        <v>69920</v>
      </c>
      <c r="N158" s="12" t="n">
        <v>437920</v>
      </c>
      <c r="O158" s="7" t="inlineStr">
        <is>
          <t>06002</t>
        </is>
      </c>
      <c r="P158" s="5">
        <f>ROUND(M158-K158*0.19,2)</f>
        <v/>
      </c>
      <c r="Q158">
        <f>IF(ISNUMBER(SEARCH("DJENNADI",G158)),"OUI","")</f>
        <v/>
      </c>
    </row>
    <row r="159">
      <c r="A159" s="10" t="inlineStr">
        <is>
          <t>Siège (gros / import)</t>
        </is>
      </c>
      <c r="B159" s="7" t="inlineStr">
        <is>
          <t>2026000161</t>
        </is>
      </c>
      <c r="C159" s="10" t="inlineStr">
        <is>
          <t>G00161</t>
        </is>
      </c>
      <c r="D159" s="11" t="n">
        <v>46187</v>
      </c>
      <c r="E159" s="7" t="inlineStr">
        <is>
          <t>2026-06</t>
        </is>
      </c>
      <c r="F159" s="10" t="inlineStr">
        <is>
          <t>Vente</t>
        </is>
      </c>
      <c r="G159" s="10" t="inlineStr">
        <is>
          <t>EURL MEHTAR SERVICES</t>
        </is>
      </c>
      <c r="H159" s="7" t="inlineStr">
        <is>
          <t>C1050</t>
        </is>
      </c>
      <c r="I159" s="10" t="inlineStr">
        <is>
          <t>Code existant</t>
        </is>
      </c>
      <c r="J159" s="10" t="n">
        <v>6</v>
      </c>
      <c r="K159" s="12" t="n">
        <v>252100.84</v>
      </c>
      <c r="L159" s="12" t="n">
        <v>0</v>
      </c>
      <c r="M159" s="12" t="n">
        <v>47899.16</v>
      </c>
      <c r="N159" s="12" t="n">
        <v>300000</v>
      </c>
      <c r="O159" s="7" t="inlineStr">
        <is>
          <t>06002</t>
        </is>
      </c>
      <c r="P159" s="5">
        <f>ROUND(M159-K159*0.19,2)</f>
        <v/>
      </c>
      <c r="Q159">
        <f>IF(ISNUMBER(SEARCH("DJENNADI",G159)),"OUI","")</f>
        <v/>
      </c>
    </row>
    <row r="160">
      <c r="A160" s="10" t="inlineStr">
        <is>
          <t>Siège (gros / import)</t>
        </is>
      </c>
      <c r="B160" s="7" t="inlineStr">
        <is>
          <t>2026000162</t>
        </is>
      </c>
      <c r="C160" s="10" t="inlineStr">
        <is>
          <t>G00162</t>
        </is>
      </c>
      <c r="D160" s="11" t="n">
        <v>46187</v>
      </c>
      <c r="E160" s="7" t="inlineStr">
        <is>
          <t>2026-06</t>
        </is>
      </c>
      <c r="F160" s="10" t="inlineStr">
        <is>
          <t>Vente</t>
        </is>
      </c>
      <c r="G160" s="10" t="inlineStr">
        <is>
          <t>EURL MEHTAR SERVICES</t>
        </is>
      </c>
      <c r="H160" s="7" t="inlineStr">
        <is>
          <t>C1050</t>
        </is>
      </c>
      <c r="I160" s="10" t="inlineStr">
        <is>
          <t>Code existant</t>
        </is>
      </c>
      <c r="J160" s="10" t="n">
        <v>4</v>
      </c>
      <c r="K160" s="12" t="n">
        <v>336134.45</v>
      </c>
      <c r="L160" s="12" t="n">
        <v>0</v>
      </c>
      <c r="M160" s="12" t="n">
        <v>63865.55</v>
      </c>
      <c r="N160" s="12" t="n">
        <v>400000</v>
      </c>
      <c r="O160" s="7" t="inlineStr">
        <is>
          <t>06002</t>
        </is>
      </c>
      <c r="P160" s="5">
        <f>ROUND(M160-K160*0.19,2)</f>
        <v/>
      </c>
      <c r="Q160">
        <f>IF(ISNUMBER(SEARCH("DJENNADI",G160)),"OUI","")</f>
        <v/>
      </c>
    </row>
    <row r="161">
      <c r="A161" s="10" t="inlineStr">
        <is>
          <t>Siège (gros / import)</t>
        </is>
      </c>
      <c r="B161" s="7" t="inlineStr">
        <is>
          <t>2026000163</t>
        </is>
      </c>
      <c r="C161" s="10" t="inlineStr">
        <is>
          <t>G00163</t>
        </is>
      </c>
      <c r="D161" s="11" t="n">
        <v>46188</v>
      </c>
      <c r="E161" s="7" t="inlineStr">
        <is>
          <t>2026-06</t>
        </is>
      </c>
      <c r="F161" s="10" t="inlineStr">
        <is>
          <t>Vente</t>
        </is>
      </c>
      <c r="G161" s="10" t="inlineStr">
        <is>
          <t>BOUHAMED ABDERRAHIM</t>
        </is>
      </c>
      <c r="H161" s="7" t="inlineStr">
        <is>
          <t>C980</t>
        </is>
      </c>
      <c r="I161" s="10" t="inlineStr">
        <is>
          <t>Code existant</t>
        </is>
      </c>
      <c r="J161" s="10" t="n">
        <v>2</v>
      </c>
      <c r="K161" s="12" t="n">
        <v>48146.22</v>
      </c>
      <c r="L161" s="12" t="n">
        <v>0</v>
      </c>
      <c r="M161" s="12" t="n">
        <v>9147.780000000001</v>
      </c>
      <c r="N161" s="12" t="n">
        <v>57294</v>
      </c>
      <c r="O161" s="7" t="inlineStr">
        <is>
          <t>06002</t>
        </is>
      </c>
      <c r="P161" s="5">
        <f>ROUND(M161-K161*0.19,2)</f>
        <v/>
      </c>
      <c r="Q161">
        <f>IF(ISNUMBER(SEARCH("DJENNADI",G161)),"OUI","")</f>
        <v/>
      </c>
    </row>
    <row r="162">
      <c r="A162" s="10" t="inlineStr">
        <is>
          <t>Siège (gros / import)</t>
        </is>
      </c>
      <c r="B162" s="7" t="inlineStr">
        <is>
          <t>2026000164</t>
        </is>
      </c>
      <c r="C162" s="10" t="inlineStr">
        <is>
          <t>G00164</t>
        </is>
      </c>
      <c r="D162" s="11" t="n">
        <v>46188</v>
      </c>
      <c r="E162" s="7" t="inlineStr">
        <is>
          <t>2026-06</t>
        </is>
      </c>
      <c r="F162" s="10" t="inlineStr">
        <is>
          <t>Vente</t>
        </is>
      </c>
      <c r="G162" s="10" t="inlineStr">
        <is>
          <t>EURL MEHTAR SERVICES</t>
        </is>
      </c>
      <c r="H162" s="7" t="inlineStr">
        <is>
          <t>C1050</t>
        </is>
      </c>
      <c r="I162" s="10" t="inlineStr">
        <is>
          <t>Code existant</t>
        </is>
      </c>
      <c r="J162" s="10" t="n">
        <v>3</v>
      </c>
      <c r="K162" s="12" t="n">
        <v>252100.86</v>
      </c>
      <c r="L162" s="12" t="n">
        <v>0</v>
      </c>
      <c r="M162" s="12" t="n">
        <v>47899.16</v>
      </c>
      <c r="N162" s="12" t="n">
        <v>300000.02</v>
      </c>
      <c r="O162" s="7" t="inlineStr">
        <is>
          <t>06002</t>
        </is>
      </c>
      <c r="P162" s="5">
        <f>ROUND(M162-K162*0.19,2)</f>
        <v/>
      </c>
      <c r="Q162">
        <f>IF(ISNUMBER(SEARCH("DJENNADI",G162)),"OUI","")</f>
        <v/>
      </c>
    </row>
    <row r="163">
      <c r="A163" s="10" t="inlineStr">
        <is>
          <t>Siège (gros / import)</t>
        </is>
      </c>
      <c r="B163" s="7" t="inlineStr">
        <is>
          <t>2026000165</t>
        </is>
      </c>
      <c r="C163" s="10" t="inlineStr">
        <is>
          <t>G00165</t>
        </is>
      </c>
      <c r="D163" s="11" t="n">
        <v>46189</v>
      </c>
      <c r="E163" s="7" t="inlineStr">
        <is>
          <t>2026-06</t>
        </is>
      </c>
      <c r="F163" s="10" t="inlineStr">
        <is>
          <t>Vente</t>
        </is>
      </c>
      <c r="G163" s="10" t="inlineStr">
        <is>
          <t>HANIFI SALAH</t>
        </is>
      </c>
      <c r="H163" s="7" t="inlineStr">
        <is>
          <t>C759</t>
        </is>
      </c>
      <c r="I163" s="10" t="inlineStr">
        <is>
          <t>Code existant</t>
        </is>
      </c>
      <c r="J163" s="10" t="n">
        <v>3</v>
      </c>
      <c r="K163" s="12" t="n">
        <v>23000</v>
      </c>
      <c r="L163" s="12" t="n">
        <v>0</v>
      </c>
      <c r="M163" s="12" t="n">
        <v>4370</v>
      </c>
      <c r="N163" s="12" t="n">
        <v>27370</v>
      </c>
      <c r="O163" s="7" t="inlineStr">
        <is>
          <t>06002</t>
        </is>
      </c>
      <c r="P163" s="5">
        <f>ROUND(M163-K163*0.19,2)</f>
        <v/>
      </c>
      <c r="Q163">
        <f>IF(ISNUMBER(SEARCH("DJENNADI",G163)),"OUI","")</f>
        <v/>
      </c>
    </row>
    <row r="164">
      <c r="A164" s="10" t="inlineStr">
        <is>
          <t>Siège (gros / import)</t>
        </is>
      </c>
      <c r="B164" s="7" t="inlineStr">
        <is>
          <t>2026000166</t>
        </is>
      </c>
      <c r="C164" s="10" t="inlineStr">
        <is>
          <t>G00166</t>
        </is>
      </c>
      <c r="D164" s="11" t="n">
        <v>46189</v>
      </c>
      <c r="E164" s="7" t="inlineStr">
        <is>
          <t>2026-06</t>
        </is>
      </c>
      <c r="F164" s="10" t="inlineStr">
        <is>
          <t>Vente</t>
        </is>
      </c>
      <c r="G164" s="10" t="inlineStr">
        <is>
          <t>ZIANI LAKHDAR</t>
        </is>
      </c>
      <c r="H164" s="7" t="inlineStr">
        <is>
          <t>C916</t>
        </is>
      </c>
      <c r="I164" s="10" t="inlineStr">
        <is>
          <t>Code existant</t>
        </is>
      </c>
      <c r="J164" s="10" t="n">
        <v>11</v>
      </c>
      <c r="K164" s="12" t="n">
        <v>1680672.27</v>
      </c>
      <c r="L164" s="12" t="n">
        <v>0</v>
      </c>
      <c r="M164" s="12" t="n">
        <v>319327.73</v>
      </c>
      <c r="N164" s="12" t="n">
        <v>2000000</v>
      </c>
      <c r="O164" s="7" t="inlineStr">
        <is>
          <t>06002</t>
        </is>
      </c>
      <c r="P164" s="5">
        <f>ROUND(M164-K164*0.19,2)</f>
        <v/>
      </c>
      <c r="Q164">
        <f>IF(ISNUMBER(SEARCH("DJENNADI",G164)),"OUI","")</f>
        <v/>
      </c>
    </row>
    <row r="165">
      <c r="A165" s="10" t="inlineStr">
        <is>
          <t>Siège (gros / import)</t>
        </is>
      </c>
      <c r="B165" s="7" t="inlineStr">
        <is>
          <t>2026000167</t>
        </is>
      </c>
      <c r="C165" s="10" t="inlineStr">
        <is>
          <t>G00167</t>
        </is>
      </c>
      <c r="D165" s="11" t="n">
        <v>46190</v>
      </c>
      <c r="E165" s="7" t="inlineStr">
        <is>
          <t>2026-06</t>
        </is>
      </c>
      <c r="F165" s="10" t="inlineStr">
        <is>
          <t>Vente</t>
        </is>
      </c>
      <c r="G165" s="10" t="inlineStr">
        <is>
          <t>DERDOURI FAROUK AFAK AUTO PARTS</t>
        </is>
      </c>
      <c r="H165" s="7" t="inlineStr">
        <is>
          <t>C831</t>
        </is>
      </c>
      <c r="I165" s="10" t="inlineStr">
        <is>
          <t>Code existant (nom proche)</t>
        </is>
      </c>
      <c r="J165" s="10" t="n">
        <v>7</v>
      </c>
      <c r="K165" s="12" t="n">
        <v>487394.96</v>
      </c>
      <c r="L165" s="12" t="n">
        <v>0</v>
      </c>
      <c r="M165" s="12" t="n">
        <v>92605.03999999999</v>
      </c>
      <c r="N165" s="12" t="n">
        <v>580000</v>
      </c>
      <c r="O165" s="7" t="inlineStr">
        <is>
          <t>06002</t>
        </is>
      </c>
      <c r="P165" s="5">
        <f>ROUND(M165-K165*0.19,2)</f>
        <v/>
      </c>
      <c r="Q165">
        <f>IF(ISNUMBER(SEARCH("DJENNADI",G165)),"OUI","")</f>
        <v/>
      </c>
    </row>
    <row r="166">
      <c r="A166" s="10" t="inlineStr">
        <is>
          <t>Siège (gros / import)</t>
        </is>
      </c>
      <c r="B166" s="7" t="inlineStr">
        <is>
          <t>2026000169</t>
        </is>
      </c>
      <c r="C166" s="10" t="inlineStr">
        <is>
          <t>G00169</t>
        </is>
      </c>
      <c r="D166" s="11" t="n">
        <v>46204</v>
      </c>
      <c r="E166" s="7" t="inlineStr">
        <is>
          <t>2026-07</t>
        </is>
      </c>
      <c r="F166" s="10" t="inlineStr">
        <is>
          <t>Vente</t>
        </is>
      </c>
      <c r="G166" s="10" t="inlineStr">
        <is>
          <t>EURL B.S. COMMERCE</t>
        </is>
      </c>
      <c r="H166" s="7" t="inlineStr">
        <is>
          <t>C740</t>
        </is>
      </c>
      <c r="I166" s="10" t="inlineStr">
        <is>
          <t>Code existant</t>
        </is>
      </c>
      <c r="J166" s="10" t="n">
        <v>9</v>
      </c>
      <c r="K166" s="12" t="n">
        <v>516764.71</v>
      </c>
      <c r="L166" s="12" t="n">
        <v>0</v>
      </c>
      <c r="M166" s="12" t="n">
        <v>98185.28999999999</v>
      </c>
      <c r="N166" s="12" t="n">
        <v>614950</v>
      </c>
      <c r="O166" s="7" t="inlineStr">
        <is>
          <t>06002</t>
        </is>
      </c>
      <c r="P166" s="5">
        <f>ROUND(M166-K166*0.19,2)</f>
        <v/>
      </c>
      <c r="Q166">
        <f>IF(ISNUMBER(SEARCH("DJENNADI",G166)),"OUI","")</f>
        <v/>
      </c>
    </row>
    <row r="167">
      <c r="A167" s="10" t="inlineStr">
        <is>
          <t>Siège (gros / import)</t>
        </is>
      </c>
      <c r="B167" s="7" t="inlineStr">
        <is>
          <t>2026000170</t>
        </is>
      </c>
      <c r="C167" s="10" t="inlineStr">
        <is>
          <t>G00170</t>
        </is>
      </c>
      <c r="D167" s="11" t="n">
        <v>46205</v>
      </c>
      <c r="E167" s="7" t="inlineStr">
        <is>
          <t>2026-07</t>
        </is>
      </c>
      <c r="F167" s="10" t="inlineStr">
        <is>
          <t>Vente</t>
        </is>
      </c>
      <c r="G167" s="10" t="inlineStr">
        <is>
          <t>EURL B.S. COMMERCE</t>
        </is>
      </c>
      <c r="H167" s="7" t="inlineStr">
        <is>
          <t>C740</t>
        </is>
      </c>
      <c r="I167" s="10" t="inlineStr">
        <is>
          <t>Code existant</t>
        </is>
      </c>
      <c r="J167" s="10" t="n">
        <v>7</v>
      </c>
      <c r="K167" s="12" t="n">
        <v>775000</v>
      </c>
      <c r="L167" s="12" t="n">
        <v>0</v>
      </c>
      <c r="M167" s="12" t="n">
        <v>147250</v>
      </c>
      <c r="N167" s="12" t="n">
        <v>922250</v>
      </c>
      <c r="O167" s="7" t="inlineStr">
        <is>
          <t>06002</t>
        </is>
      </c>
      <c r="P167" s="5">
        <f>ROUND(M167-K167*0.19,2)</f>
        <v/>
      </c>
      <c r="Q167">
        <f>IF(ISNUMBER(SEARCH("DJENNADI",G167)),"OUI","")</f>
        <v/>
      </c>
    </row>
    <row r="168">
      <c r="A168" s="10" t="inlineStr">
        <is>
          <t>Siège (gros / import)</t>
        </is>
      </c>
      <c r="B168" s="7" t="inlineStr">
        <is>
          <t>2026000171</t>
        </is>
      </c>
      <c r="C168" s="10" t="inlineStr">
        <is>
          <t>G00171</t>
        </is>
      </c>
      <c r="D168" s="11" t="n">
        <v>46205</v>
      </c>
      <c r="E168" s="7" t="inlineStr">
        <is>
          <t>2026-07</t>
        </is>
      </c>
      <c r="F168" s="10" t="inlineStr">
        <is>
          <t>Vente</t>
        </is>
      </c>
      <c r="G168" s="10" t="inlineStr">
        <is>
          <t>SARL EURODAX TRUCKS</t>
        </is>
      </c>
      <c r="H168" s="7" t="inlineStr">
        <is>
          <t>C907</t>
        </is>
      </c>
      <c r="I168" s="10" t="inlineStr">
        <is>
          <t>Code existant</t>
        </is>
      </c>
      <c r="J168" s="10" t="n">
        <v>7</v>
      </c>
      <c r="K168" s="12" t="n">
        <v>639159.6800000001</v>
      </c>
      <c r="L168" s="12" t="n">
        <v>0</v>
      </c>
      <c r="M168" s="12" t="n">
        <v>121440.34</v>
      </c>
      <c r="N168" s="12" t="n">
        <v>760600.02</v>
      </c>
      <c r="O168" s="7" t="inlineStr">
        <is>
          <t>06002</t>
        </is>
      </c>
      <c r="P168" s="5">
        <f>ROUND(M168-K168*0.19,2)</f>
        <v/>
      </c>
      <c r="Q168">
        <f>IF(ISNUMBER(SEARCH("DJENNADI",G168)),"OUI","")</f>
        <v/>
      </c>
    </row>
    <row r="169">
      <c r="A169" s="10" t="inlineStr">
        <is>
          <t>Siège (gros / import)</t>
        </is>
      </c>
      <c r="B169" s="7" t="inlineStr">
        <is>
          <t>2026000172</t>
        </is>
      </c>
      <c r="C169" s="10" t="inlineStr">
        <is>
          <t>G00172</t>
        </is>
      </c>
      <c r="D169" s="11" t="n">
        <v>46206</v>
      </c>
      <c r="E169" s="7" t="inlineStr">
        <is>
          <t>2026-07</t>
        </is>
      </c>
      <c r="F169" s="10" t="inlineStr">
        <is>
          <t>Vente</t>
        </is>
      </c>
      <c r="G169" s="10" t="inlineStr">
        <is>
          <t>MASSIOUN HAMZA</t>
        </is>
      </c>
      <c r="H169" s="7" t="inlineStr">
        <is>
          <t>C622</t>
        </is>
      </c>
      <c r="I169" s="10" t="inlineStr">
        <is>
          <t>Code existant</t>
        </is>
      </c>
      <c r="J169" s="10" t="n">
        <v>5</v>
      </c>
      <c r="K169" s="12" t="n">
        <v>52941.18</v>
      </c>
      <c r="L169" s="12" t="n">
        <v>0</v>
      </c>
      <c r="M169" s="12" t="n">
        <v>10058.82</v>
      </c>
      <c r="N169" s="12" t="n">
        <v>63000</v>
      </c>
      <c r="O169" s="7" t="inlineStr">
        <is>
          <t>06002</t>
        </is>
      </c>
      <c r="P169" s="5">
        <f>ROUND(M169-K169*0.19,2)</f>
        <v/>
      </c>
      <c r="Q169">
        <f>IF(ISNUMBER(SEARCH("DJENNADI",G169)),"OUI","")</f>
        <v/>
      </c>
    </row>
    <row r="170">
      <c r="A170" s="10" t="inlineStr">
        <is>
          <t>Siège (gros / import)</t>
        </is>
      </c>
      <c r="B170" s="7" t="inlineStr">
        <is>
          <t>2026000173</t>
        </is>
      </c>
      <c r="C170" s="10" t="inlineStr">
        <is>
          <t>G00173</t>
        </is>
      </c>
      <c r="D170" s="11" t="n">
        <v>46206</v>
      </c>
      <c r="E170" s="7" t="inlineStr">
        <is>
          <t>2026-07</t>
        </is>
      </c>
      <c r="F170" s="10" t="inlineStr">
        <is>
          <t>Vente</t>
        </is>
      </c>
      <c r="G170" s="10" t="inlineStr">
        <is>
          <t>KOUICI MILOUD</t>
        </is>
      </c>
      <c r="H170" s="7" t="inlineStr">
        <is>
          <t>C014</t>
        </is>
      </c>
      <c r="I170" s="10" t="inlineStr">
        <is>
          <t>Code existant</t>
        </is>
      </c>
      <c r="J170" s="10" t="n">
        <v>5</v>
      </c>
      <c r="K170" s="12" t="n">
        <v>756016.8199999999</v>
      </c>
      <c r="L170" s="12" t="n">
        <v>0</v>
      </c>
      <c r="M170" s="12" t="n">
        <v>143643.2</v>
      </c>
      <c r="N170" s="12" t="n">
        <v>899660.02</v>
      </c>
      <c r="O170" s="7" t="inlineStr">
        <is>
          <t>06002</t>
        </is>
      </c>
      <c r="P170" s="5">
        <f>ROUND(M170-K170*0.19,2)</f>
        <v/>
      </c>
      <c r="Q170">
        <f>IF(ISNUMBER(SEARCH("DJENNADI",G170)),"OUI","")</f>
        <v/>
      </c>
    </row>
    <row r="171">
      <c r="A171" s="10" t="inlineStr">
        <is>
          <t>Siège (gros / import)</t>
        </is>
      </c>
      <c r="B171" s="7" t="inlineStr">
        <is>
          <t>2026000174</t>
        </is>
      </c>
      <c r="C171" s="10" t="inlineStr">
        <is>
          <t>G00174</t>
        </is>
      </c>
      <c r="D171" s="11" t="n">
        <v>46206</v>
      </c>
      <c r="E171" s="7" t="inlineStr">
        <is>
          <t>2026-07</t>
        </is>
      </c>
      <c r="F171" s="10" t="inlineStr">
        <is>
          <t>Vente</t>
        </is>
      </c>
      <c r="G171" s="10" t="inlineStr">
        <is>
          <t>TILKOUT AHCEN</t>
        </is>
      </c>
      <c r="H171" s="7" t="inlineStr">
        <is>
          <t>C918</t>
        </is>
      </c>
      <c r="I171" s="10" t="inlineStr">
        <is>
          <t>Code existant (nom proche)</t>
        </is>
      </c>
      <c r="J171" s="10" t="n">
        <v>4</v>
      </c>
      <c r="K171" s="12" t="n">
        <v>60504.2</v>
      </c>
      <c r="L171" s="12" t="n">
        <v>0</v>
      </c>
      <c r="M171" s="12" t="n">
        <v>11495.8</v>
      </c>
      <c r="N171" s="12" t="n">
        <v>72000</v>
      </c>
      <c r="O171" s="7" t="inlineStr">
        <is>
          <t>06002</t>
        </is>
      </c>
      <c r="P171" s="5">
        <f>ROUND(M171-K171*0.19,2)</f>
        <v/>
      </c>
      <c r="Q171">
        <f>IF(ISNUMBER(SEARCH("DJENNADI",G171)),"OUI","")</f>
        <v/>
      </c>
    </row>
    <row r="172">
      <c r="A172" s="10" t="inlineStr">
        <is>
          <t>Siège (gros / import)</t>
        </is>
      </c>
      <c r="B172" s="7" t="inlineStr">
        <is>
          <t>2026000175</t>
        </is>
      </c>
      <c r="C172" s="10" t="inlineStr">
        <is>
          <t>G00175</t>
        </is>
      </c>
      <c r="D172" s="11" t="n">
        <v>46207</v>
      </c>
      <c r="E172" s="7" t="inlineStr">
        <is>
          <t>2026-07</t>
        </is>
      </c>
      <c r="F172" s="10" t="inlineStr">
        <is>
          <t>Vente</t>
        </is>
      </c>
      <c r="G172" s="10" t="inlineStr">
        <is>
          <t>MOUDJEB DJAFFAR</t>
        </is>
      </c>
      <c r="H172" s="7" t="inlineStr">
        <is>
          <t>C1095</t>
        </is>
      </c>
      <c r="I172" s="10" t="inlineStr">
        <is>
          <t>Nouveau code à créer</t>
        </is>
      </c>
      <c r="J172" s="10" t="n">
        <v>4</v>
      </c>
      <c r="K172" s="12" t="n">
        <v>77310.92999999999</v>
      </c>
      <c r="L172" s="12" t="n">
        <v>0</v>
      </c>
      <c r="M172" s="12" t="n">
        <v>14689.08</v>
      </c>
      <c r="N172" s="12" t="n">
        <v>92000.00999999999</v>
      </c>
      <c r="O172" s="7" t="inlineStr">
        <is>
          <t>06002</t>
        </is>
      </c>
      <c r="P172" s="5">
        <f>ROUND(M172-K172*0.19,2)</f>
        <v/>
      </c>
      <c r="Q172">
        <f>IF(ISNUMBER(SEARCH("DJENNADI",G172)),"OUI","")</f>
        <v/>
      </c>
    </row>
    <row r="173">
      <c r="A173" s="10" t="inlineStr">
        <is>
          <t>Siège (gros / import)</t>
        </is>
      </c>
      <c r="B173" s="7" t="inlineStr">
        <is>
          <t>2026000176</t>
        </is>
      </c>
      <c r="C173" s="10" t="inlineStr">
        <is>
          <t>G00176</t>
        </is>
      </c>
      <c r="D173" s="11" t="n">
        <v>46207</v>
      </c>
      <c r="E173" s="7" t="inlineStr">
        <is>
          <t>2026-07</t>
        </is>
      </c>
      <c r="F173" s="10" t="inlineStr">
        <is>
          <t>Vente</t>
        </is>
      </c>
      <c r="G173" s="10" t="inlineStr">
        <is>
          <t>EURL EZZAHRA LOCATION DE MATERIEL</t>
        </is>
      </c>
      <c r="H173" s="7" t="inlineStr">
        <is>
          <t>C1096</t>
        </is>
      </c>
      <c r="I173" s="10" t="inlineStr">
        <is>
          <t>Nouveau code à créer</t>
        </is>
      </c>
      <c r="J173" s="10" t="n">
        <v>7</v>
      </c>
      <c r="K173" s="12" t="n">
        <v>798319.33</v>
      </c>
      <c r="L173" s="12" t="n">
        <v>0</v>
      </c>
      <c r="M173" s="12" t="n">
        <v>151680.67</v>
      </c>
      <c r="N173" s="12" t="n">
        <v>950000</v>
      </c>
      <c r="O173" s="7" t="inlineStr">
        <is>
          <t>06002</t>
        </is>
      </c>
      <c r="P173" s="5">
        <f>ROUND(M173-K173*0.19,2)</f>
        <v/>
      </c>
      <c r="Q173">
        <f>IF(ISNUMBER(SEARCH("DJENNADI",G173)),"OUI","")</f>
        <v/>
      </c>
    </row>
    <row r="174">
      <c r="A174" s="10" t="inlineStr">
        <is>
          <t>Siège (gros / import)</t>
        </is>
      </c>
      <c r="B174" s="7" t="inlineStr">
        <is>
          <t>2026000177</t>
        </is>
      </c>
      <c r="C174" s="10" t="inlineStr">
        <is>
          <t>G00177</t>
        </is>
      </c>
      <c r="D174" s="11" t="n">
        <v>46210</v>
      </c>
      <c r="E174" s="7" t="inlineStr">
        <is>
          <t>2026-07</t>
        </is>
      </c>
      <c r="F174" s="10" t="inlineStr">
        <is>
          <t>Vente</t>
        </is>
      </c>
      <c r="G174" s="10" t="inlineStr">
        <is>
          <t>DOGGA TAHA</t>
        </is>
      </c>
      <c r="H174" s="7" t="inlineStr">
        <is>
          <t>C494</t>
        </is>
      </c>
      <c r="I174" s="10" t="inlineStr">
        <is>
          <t>Code existant</t>
        </is>
      </c>
      <c r="J174" s="10" t="n">
        <v>3</v>
      </c>
      <c r="K174" s="12" t="n">
        <v>252100.84</v>
      </c>
      <c r="L174" s="12" t="n">
        <v>0</v>
      </c>
      <c r="M174" s="12" t="n">
        <v>47899.16</v>
      </c>
      <c r="N174" s="12" t="n">
        <v>300000</v>
      </c>
      <c r="O174" s="7" t="inlineStr">
        <is>
          <t>06002</t>
        </is>
      </c>
      <c r="P174" s="5">
        <f>ROUND(M174-K174*0.19,2)</f>
        <v/>
      </c>
      <c r="Q174">
        <f>IF(ISNUMBER(SEARCH("DJENNADI",G174)),"OUI","")</f>
        <v/>
      </c>
    </row>
    <row r="175">
      <c r="A175" s="10" t="inlineStr">
        <is>
          <t>Siège (gros / import)</t>
        </is>
      </c>
      <c r="B175" s="7" t="inlineStr">
        <is>
          <t>2026000178</t>
        </is>
      </c>
      <c r="C175" s="10" t="inlineStr">
        <is>
          <t>G00178</t>
        </is>
      </c>
      <c r="D175" s="11" t="n">
        <v>46235</v>
      </c>
      <c r="E175" s="7" t="inlineStr">
        <is>
          <t>2026-08</t>
        </is>
      </c>
      <c r="F175" s="10" t="inlineStr">
        <is>
          <t>Vente</t>
        </is>
      </c>
      <c r="G175" s="10" t="inlineStr">
        <is>
          <t>SARL GENI MAT</t>
        </is>
      </c>
      <c r="H175" s="7" t="inlineStr">
        <is>
          <t>C1097</t>
        </is>
      </c>
      <c r="I175" s="10" t="inlineStr">
        <is>
          <t>Nouveau code à créer</t>
        </is>
      </c>
      <c r="J175" s="10" t="n">
        <v>1</v>
      </c>
      <c r="K175" s="12" t="n">
        <v>91428.57000000001</v>
      </c>
      <c r="L175" s="12" t="n">
        <v>0</v>
      </c>
      <c r="M175" s="12" t="n">
        <v>17371.43</v>
      </c>
      <c r="N175" s="12" t="n">
        <v>108800</v>
      </c>
      <c r="O175" s="7" t="inlineStr">
        <is>
          <t>06002</t>
        </is>
      </c>
      <c r="P175" s="5">
        <f>ROUND(M175-K175*0.19,2)</f>
        <v/>
      </c>
      <c r="Q175">
        <f>IF(ISNUMBER(SEARCH("DJENNADI",G175)),"OUI","")</f>
        <v/>
      </c>
    </row>
    <row r="176">
      <c r="A176" s="10" t="inlineStr">
        <is>
          <t>Siège (gros / import)</t>
        </is>
      </c>
      <c r="B176" s="7" t="inlineStr">
        <is>
          <t>2026000179</t>
        </is>
      </c>
      <c r="C176" s="10" t="inlineStr">
        <is>
          <t>G00179</t>
        </is>
      </c>
      <c r="D176" s="11" t="n">
        <v>46236</v>
      </c>
      <c r="E176" s="7" t="inlineStr">
        <is>
          <t>2026-08</t>
        </is>
      </c>
      <c r="F176" s="10" t="inlineStr">
        <is>
          <t>Vente</t>
        </is>
      </c>
      <c r="G176" s="10" t="inlineStr">
        <is>
          <t>SARL YAYA LOUNIS ET FRERES TRANSPORT</t>
        </is>
      </c>
      <c r="H176" s="7" t="inlineStr">
        <is>
          <t>C928</t>
        </is>
      </c>
      <c r="I176" s="10" t="inlineStr">
        <is>
          <t>Code existant (nom proche)</t>
        </is>
      </c>
      <c r="J176" s="10" t="n">
        <v>10</v>
      </c>
      <c r="K176" s="12" t="n">
        <v>142857.14</v>
      </c>
      <c r="L176" s="12" t="n">
        <v>0</v>
      </c>
      <c r="M176" s="12" t="n">
        <v>27142.86</v>
      </c>
      <c r="N176" s="12" t="n">
        <v>170000</v>
      </c>
      <c r="O176" s="7" t="inlineStr">
        <is>
          <t>06002</t>
        </is>
      </c>
      <c r="P176" s="5">
        <f>ROUND(M176-K176*0.19,2)</f>
        <v/>
      </c>
      <c r="Q176">
        <f>IF(ISNUMBER(SEARCH("DJENNADI",G176)),"OUI","")</f>
        <v/>
      </c>
    </row>
    <row r="177">
      <c r="A177" s="10" t="inlineStr">
        <is>
          <t>Siège (gros / import)</t>
        </is>
      </c>
      <c r="B177" s="7" t="inlineStr">
        <is>
          <t>2026000180</t>
        </is>
      </c>
      <c r="C177" s="10" t="inlineStr">
        <is>
          <t>G00180</t>
        </is>
      </c>
      <c r="D177" s="11" t="n">
        <v>46237</v>
      </c>
      <c r="E177" s="7" t="inlineStr">
        <is>
          <t>2026-08</t>
        </is>
      </c>
      <c r="F177" s="10" t="inlineStr">
        <is>
          <t>Vente</t>
        </is>
      </c>
      <c r="G177" s="10" t="inlineStr">
        <is>
          <t>DJENNADI ABDELKRIM</t>
        </is>
      </c>
      <c r="H177" s="7" t="inlineStr">
        <is>
          <t>C004</t>
        </is>
      </c>
      <c r="I177" s="10" t="inlineStr">
        <is>
          <t>Code existant</t>
        </is>
      </c>
      <c r="J177" s="10" t="n">
        <v>12</v>
      </c>
      <c r="K177" s="12" t="n">
        <v>1780494.2</v>
      </c>
      <c r="L177" s="12" t="n">
        <v>0</v>
      </c>
      <c r="M177" s="12" t="n">
        <v>338293.9</v>
      </c>
      <c r="N177" s="12" t="n">
        <v>2118788.1</v>
      </c>
      <c r="O177" s="7" t="inlineStr">
        <is>
          <t>06002</t>
        </is>
      </c>
      <c r="P177" s="5">
        <f>ROUND(M177-K177*0.19,2)</f>
        <v/>
      </c>
      <c r="Q177">
        <f>IF(ISNUMBER(SEARCH("DJENNADI",G177)),"OUI","")</f>
        <v/>
      </c>
    </row>
    <row r="178">
      <c r="A178" s="10" t="inlineStr">
        <is>
          <t>Siège (gros / import)</t>
        </is>
      </c>
      <c r="B178" s="7" t="inlineStr">
        <is>
          <t>2026000181</t>
        </is>
      </c>
      <c r="C178" s="10" t="inlineStr">
        <is>
          <t>G00181</t>
        </is>
      </c>
      <c r="D178" s="11" t="n">
        <v>46238</v>
      </c>
      <c r="E178" s="7" t="inlineStr">
        <is>
          <t>2026-08</t>
        </is>
      </c>
      <c r="F178" s="10" t="inlineStr">
        <is>
          <t>Vente</t>
        </is>
      </c>
      <c r="G178" s="10" t="inlineStr">
        <is>
          <t>EURL LOGISTIQUE TRANSPORT EL SALEM</t>
        </is>
      </c>
      <c r="H178" s="7" t="inlineStr">
        <is>
          <t>C1026</t>
        </is>
      </c>
      <c r="I178" s="10" t="inlineStr">
        <is>
          <t>Code existant (nom proche)</t>
        </is>
      </c>
      <c r="J178" s="10" t="n">
        <v>10</v>
      </c>
      <c r="K178" s="12" t="n">
        <v>1260504.2</v>
      </c>
      <c r="L178" s="12" t="n">
        <v>0</v>
      </c>
      <c r="M178" s="12" t="n">
        <v>239495.8</v>
      </c>
      <c r="N178" s="12" t="n">
        <v>1500000</v>
      </c>
      <c r="O178" s="7" t="inlineStr">
        <is>
          <t>06002</t>
        </is>
      </c>
      <c r="P178" s="5">
        <f>ROUND(M178-K178*0.19,2)</f>
        <v/>
      </c>
      <c r="Q178">
        <f>IF(ISNUMBER(SEARCH("DJENNADI",G178)),"OUI","")</f>
        <v/>
      </c>
    </row>
    <row r="179">
      <c r="A179" s="10" t="inlineStr">
        <is>
          <t>Siège (gros / import)</t>
        </is>
      </c>
      <c r="B179" s="7" t="inlineStr">
        <is>
          <t>2026000182</t>
        </is>
      </c>
      <c r="C179" s="10" t="inlineStr">
        <is>
          <t>G00182</t>
        </is>
      </c>
      <c r="D179" s="11" t="n">
        <v>46266</v>
      </c>
      <c r="E179" s="7" t="inlineStr">
        <is>
          <t>2026-09</t>
        </is>
      </c>
      <c r="F179" s="10" t="inlineStr">
        <is>
          <t>Vente</t>
        </is>
      </c>
      <c r="G179" s="10" t="inlineStr">
        <is>
          <t>BENLEDRA DJAHID</t>
        </is>
      </c>
      <c r="H179" s="7" t="inlineStr">
        <is>
          <t>C1040</t>
        </is>
      </c>
      <c r="I179" s="10" t="inlineStr">
        <is>
          <t>Code existant</t>
        </is>
      </c>
      <c r="J179" s="10" t="n">
        <v>4</v>
      </c>
      <c r="K179" s="12" t="n">
        <v>263361.38</v>
      </c>
      <c r="L179" s="12" t="n">
        <v>0</v>
      </c>
      <c r="M179" s="12" t="n">
        <v>50038.66</v>
      </c>
      <c r="N179" s="12" t="n">
        <v>313400.04</v>
      </c>
      <c r="O179" s="7" t="inlineStr">
        <is>
          <t>06002</t>
        </is>
      </c>
      <c r="P179" s="5">
        <f>ROUND(M179-K179*0.19,2)</f>
        <v/>
      </c>
      <c r="Q179">
        <f>IF(ISNUMBER(SEARCH("DJENNADI",G179)),"OUI","")</f>
        <v/>
      </c>
    </row>
    <row r="180">
      <c r="A180" s="10" t="inlineStr">
        <is>
          <t>Siège (gros / import)</t>
        </is>
      </c>
      <c r="B180" s="7" t="inlineStr">
        <is>
          <t>2026000183</t>
        </is>
      </c>
      <c r="C180" s="10" t="inlineStr">
        <is>
          <t>G00183</t>
        </is>
      </c>
      <c r="D180" s="11" t="n">
        <v>46267</v>
      </c>
      <c r="E180" s="7" t="inlineStr">
        <is>
          <t>2026-09</t>
        </is>
      </c>
      <c r="F180" s="10" t="inlineStr">
        <is>
          <t>Vente</t>
        </is>
      </c>
      <c r="G180" s="10" t="inlineStr">
        <is>
          <t>BENLEDRA DJAHID</t>
        </is>
      </c>
      <c r="H180" s="7" t="inlineStr">
        <is>
          <t>C1040</t>
        </is>
      </c>
      <c r="I180" s="10" t="inlineStr">
        <is>
          <t>Code existant</t>
        </is>
      </c>
      <c r="J180" s="10" t="n">
        <v>3</v>
      </c>
      <c r="K180" s="12" t="n">
        <v>104201.68</v>
      </c>
      <c r="L180" s="12" t="n">
        <v>0</v>
      </c>
      <c r="M180" s="12" t="n">
        <v>19798.32</v>
      </c>
      <c r="N180" s="12" t="n">
        <v>124000</v>
      </c>
      <c r="O180" s="7" t="inlineStr">
        <is>
          <t>06002</t>
        </is>
      </c>
      <c r="P180" s="5">
        <f>ROUND(M180-K180*0.19,2)</f>
        <v/>
      </c>
      <c r="Q180">
        <f>IF(ISNUMBER(SEARCH("DJENNADI",G180)),"OUI","")</f>
        <v/>
      </c>
    </row>
    <row r="181">
      <c r="A181" s="10" t="inlineStr">
        <is>
          <t>Siège (gros / import)</t>
        </is>
      </c>
      <c r="B181" s="7" t="inlineStr">
        <is>
          <t>2026000184</t>
        </is>
      </c>
      <c r="C181" s="10" t="inlineStr">
        <is>
          <t>G00184</t>
        </is>
      </c>
      <c r="D181" s="11" t="n">
        <v>46268</v>
      </c>
      <c r="E181" s="7" t="inlineStr">
        <is>
          <t>2026-09</t>
        </is>
      </c>
      <c r="F181" s="10" t="inlineStr">
        <is>
          <t>Vente</t>
        </is>
      </c>
      <c r="G181" s="10" t="inlineStr">
        <is>
          <t>EURL ULTRA TRADING SERVICES</t>
        </is>
      </c>
      <c r="H181" s="7" t="inlineStr">
        <is>
          <t>C1098</t>
        </is>
      </c>
      <c r="I181" s="10" t="inlineStr">
        <is>
          <t>Nouveau code à créer</t>
        </is>
      </c>
      <c r="J181" s="10" t="n">
        <v>4</v>
      </c>
      <c r="K181" s="12" t="n">
        <v>495798.33</v>
      </c>
      <c r="L181" s="12" t="n">
        <v>0</v>
      </c>
      <c r="M181" s="12" t="n">
        <v>94201.67999999999</v>
      </c>
      <c r="N181" s="12" t="n">
        <v>590000.01</v>
      </c>
      <c r="O181" s="7" t="inlineStr">
        <is>
          <t>06002</t>
        </is>
      </c>
      <c r="P181" s="5">
        <f>ROUND(M181-K181*0.19,2)</f>
        <v/>
      </c>
      <c r="Q181">
        <f>IF(ISNUMBER(SEARCH("DJENNADI",G181)),"OUI","")</f>
        <v/>
      </c>
    </row>
    <row r="182">
      <c r="A182" s="10" t="inlineStr">
        <is>
          <t>Fenaia (détail)</t>
        </is>
      </c>
      <c r="B182" s="7" t="inlineStr">
        <is>
          <t>2026000001</t>
        </is>
      </c>
      <c r="C182" s="10" t="inlineStr">
        <is>
          <t>D00001</t>
        </is>
      </c>
      <c r="D182" s="11" t="n">
        <v>46092</v>
      </c>
      <c r="E182" s="7" t="inlineStr">
        <is>
          <t>2026-03</t>
        </is>
      </c>
      <c r="F182" s="10" t="inlineStr">
        <is>
          <t>Vente</t>
        </is>
      </c>
      <c r="G182" s="10" t="inlineStr">
        <is>
          <t>EURL TERRENO TRANS</t>
        </is>
      </c>
      <c r="H182" s="7" t="inlineStr">
        <is>
          <t>C959</t>
        </is>
      </c>
      <c r="I182" s="10" t="inlineStr">
        <is>
          <t>Code existant</t>
        </is>
      </c>
      <c r="J182" s="10" t="n">
        <v>1</v>
      </c>
      <c r="K182" s="12" t="n">
        <v>300000</v>
      </c>
      <c r="L182" s="12" t="n">
        <v>0</v>
      </c>
      <c r="M182" s="12" t="n">
        <v>57000</v>
      </c>
      <c r="N182" s="12" t="n">
        <v>357000</v>
      </c>
      <c r="O182" s="7" t="inlineStr">
        <is>
          <t>15001</t>
        </is>
      </c>
      <c r="P182" s="5">
        <f>ROUND(M182-K182*0.19,2)</f>
        <v/>
      </c>
      <c r="Q182">
        <f>IF(ISNUMBER(SEARCH("DJENNADI",G182)),"OUI","")</f>
        <v/>
      </c>
    </row>
    <row r="183">
      <c r="A183" s="10" t="inlineStr">
        <is>
          <t>Fenaia (détail)</t>
        </is>
      </c>
      <c r="B183" s="7" t="inlineStr">
        <is>
          <t>2026000002</t>
        </is>
      </c>
      <c r="C183" s="10" t="inlineStr">
        <is>
          <t>D00002</t>
        </is>
      </c>
      <c r="D183" s="11" t="n">
        <v>46093</v>
      </c>
      <c r="E183" s="7" t="inlineStr">
        <is>
          <t>2026-03</t>
        </is>
      </c>
      <c r="F183" s="10" t="inlineStr">
        <is>
          <t>Vente</t>
        </is>
      </c>
      <c r="G183" s="10" t="inlineStr">
        <is>
          <t>SPA EPE FERROVIAL</t>
        </is>
      </c>
      <c r="H183" s="7" t="inlineStr">
        <is>
          <t>C816</t>
        </is>
      </c>
      <c r="I183" s="10" t="inlineStr">
        <is>
          <t>Code existant</t>
        </is>
      </c>
      <c r="J183" s="10" t="n">
        <v>1</v>
      </c>
      <c r="K183" s="12" t="n">
        <v>600000</v>
      </c>
      <c r="L183" s="12" t="n">
        <v>0</v>
      </c>
      <c r="M183" s="12" t="n">
        <v>114000</v>
      </c>
      <c r="N183" s="12" t="n">
        <v>714000</v>
      </c>
      <c r="O183" s="7" t="inlineStr">
        <is>
          <t>15001</t>
        </is>
      </c>
      <c r="P183" s="5">
        <f>ROUND(M183-K183*0.19,2)</f>
        <v/>
      </c>
      <c r="Q183">
        <f>IF(ISNUMBER(SEARCH("DJENNADI",G183)),"OUI","")</f>
        <v/>
      </c>
    </row>
    <row r="184">
      <c r="A184" s="10" t="inlineStr">
        <is>
          <t>Fenaia (détail)</t>
        </is>
      </c>
      <c r="B184" s="7" t="inlineStr">
        <is>
          <t>2026000003</t>
        </is>
      </c>
      <c r="C184" s="10" t="inlineStr">
        <is>
          <t>D00003</t>
        </is>
      </c>
      <c r="D184" s="11" t="n">
        <v>46096</v>
      </c>
      <c r="E184" s="7" t="inlineStr">
        <is>
          <t>2026-03</t>
        </is>
      </c>
      <c r="F184" s="10" t="inlineStr">
        <is>
          <t>Vente</t>
        </is>
      </c>
      <c r="G184" s="10" t="inlineStr">
        <is>
          <t>SARL LAITRIE SOUMMAM</t>
        </is>
      </c>
      <c r="H184" s="7" t="inlineStr">
        <is>
          <t>C986</t>
        </is>
      </c>
      <c r="I184" s="10" t="inlineStr">
        <is>
          <t>Code existant (nom proche)</t>
        </is>
      </c>
      <c r="J184" s="10" t="n">
        <v>1</v>
      </c>
      <c r="K184" s="12" t="n">
        <v>266000</v>
      </c>
      <c r="L184" s="12" t="n">
        <v>0</v>
      </c>
      <c r="M184" s="12" t="n">
        <v>50540</v>
      </c>
      <c r="N184" s="12" t="n">
        <v>316540</v>
      </c>
      <c r="O184" s="7" t="inlineStr">
        <is>
          <t>15001</t>
        </is>
      </c>
      <c r="P184" s="5">
        <f>ROUND(M184-K184*0.19,2)</f>
        <v/>
      </c>
      <c r="Q184">
        <f>IF(ISNUMBER(SEARCH("DJENNADI",G184)),"OUI","")</f>
        <v/>
      </c>
    </row>
    <row r="185">
      <c r="A185" s="10" t="inlineStr">
        <is>
          <t>Fenaia (détail)</t>
        </is>
      </c>
      <c r="B185" s="7" t="inlineStr">
        <is>
          <t>2026000004</t>
        </is>
      </c>
      <c r="C185" s="10" t="inlineStr">
        <is>
          <t>D00004</t>
        </is>
      </c>
      <c r="D185" s="11" t="n">
        <v>46097</v>
      </c>
      <c r="E185" s="7" t="inlineStr">
        <is>
          <t>2026-03</t>
        </is>
      </c>
      <c r="F185" s="10" t="inlineStr">
        <is>
          <t>Vente</t>
        </is>
      </c>
      <c r="G185" s="10" t="inlineStr">
        <is>
          <t>SPA TMF LOGISTICS</t>
        </is>
      </c>
      <c r="H185" s="7" t="inlineStr">
        <is>
          <t>C671</t>
        </is>
      </c>
      <c r="I185" s="10" t="inlineStr">
        <is>
          <t>Code existant</t>
        </is>
      </c>
      <c r="J185" s="10" t="n">
        <v>14</v>
      </c>
      <c r="K185" s="12" t="n">
        <v>2279200</v>
      </c>
      <c r="L185" s="12" t="n">
        <v>0</v>
      </c>
      <c r="M185" s="12" t="n">
        <v>433048</v>
      </c>
      <c r="N185" s="12" t="n">
        <v>2712248</v>
      </c>
      <c r="O185" s="7" t="inlineStr">
        <is>
          <t>15001</t>
        </is>
      </c>
      <c r="P185" s="5">
        <f>ROUND(M185-K185*0.19,2)</f>
        <v/>
      </c>
      <c r="Q185">
        <f>IF(ISNUMBER(SEARCH("DJENNADI",G185)),"OUI","")</f>
        <v/>
      </c>
    </row>
    <row r="186">
      <c r="A186" s="10" t="inlineStr">
        <is>
          <t>Fenaia (détail)</t>
        </is>
      </c>
      <c r="B186" s="7" t="inlineStr">
        <is>
          <t>2026000005</t>
        </is>
      </c>
      <c r="C186" s="10" t="inlineStr">
        <is>
          <t>D00005</t>
        </is>
      </c>
      <c r="D186" s="11" t="n">
        <v>46098</v>
      </c>
      <c r="E186" s="7" t="inlineStr">
        <is>
          <t>2026-03</t>
        </is>
      </c>
      <c r="F186" s="10" t="inlineStr">
        <is>
          <t>Vente</t>
        </is>
      </c>
      <c r="G186" s="10" t="inlineStr">
        <is>
          <t>EURL TERRENO TRANS</t>
        </is>
      </c>
      <c r="H186" s="7" t="inlineStr">
        <is>
          <t>C959</t>
        </is>
      </c>
      <c r="I186" s="10" t="inlineStr">
        <is>
          <t>Code existant</t>
        </is>
      </c>
      <c r="J186" s="10" t="n">
        <v>1</v>
      </c>
      <c r="K186" s="12" t="n">
        <v>475000</v>
      </c>
      <c r="L186" s="12" t="n">
        <v>0</v>
      </c>
      <c r="M186" s="12" t="n">
        <v>90250</v>
      </c>
      <c r="N186" s="12" t="n">
        <v>565250</v>
      </c>
      <c r="O186" s="7" t="inlineStr">
        <is>
          <t>15001</t>
        </is>
      </c>
      <c r="P186" s="5">
        <f>ROUND(M186-K186*0.19,2)</f>
        <v/>
      </c>
      <c r="Q186">
        <f>IF(ISNUMBER(SEARCH("DJENNADI",G186)),"OUI","")</f>
        <v/>
      </c>
    </row>
    <row r="187">
      <c r="A187" s="10" t="inlineStr">
        <is>
          <t>Fenaia (détail)</t>
        </is>
      </c>
      <c r="B187" s="7" t="inlineStr">
        <is>
          <t>2026000006</t>
        </is>
      </c>
      <c r="C187" s="10" t="inlineStr">
        <is>
          <t>D00006</t>
        </is>
      </c>
      <c r="D187" s="11" t="n">
        <v>46099</v>
      </c>
      <c r="E187" s="7" t="inlineStr">
        <is>
          <t>2026-03</t>
        </is>
      </c>
      <c r="F187" s="10" t="inlineStr">
        <is>
          <t>Vente</t>
        </is>
      </c>
      <c r="G187" s="10" t="inlineStr">
        <is>
          <t>SARL EL ZIBANE TRANSPORT</t>
        </is>
      </c>
      <c r="H187" s="7" t="inlineStr">
        <is>
          <t>C1094</t>
        </is>
      </c>
      <c r="I187" s="10" t="inlineStr">
        <is>
          <t>Nouveau code à créer</t>
        </is>
      </c>
      <c r="J187" s="10" t="n">
        <v>2</v>
      </c>
      <c r="K187" s="12" t="n">
        <v>275500</v>
      </c>
      <c r="L187" s="12" t="n">
        <v>0</v>
      </c>
      <c r="M187" s="12" t="n">
        <v>52345</v>
      </c>
      <c r="N187" s="12" t="n">
        <v>327845</v>
      </c>
      <c r="O187" s="7" t="inlineStr">
        <is>
          <t>15001</t>
        </is>
      </c>
      <c r="P187" s="5">
        <f>ROUND(M187-K187*0.19,2)</f>
        <v/>
      </c>
      <c r="Q187">
        <f>IF(ISNUMBER(SEARCH("DJENNADI",G187)),"OUI","")</f>
        <v/>
      </c>
    </row>
    <row r="188">
      <c r="A188" s="10" t="inlineStr">
        <is>
          <t>Fenaia (détail)</t>
        </is>
      </c>
      <c r="B188" s="7" t="inlineStr">
        <is>
          <t>2026000007</t>
        </is>
      </c>
      <c r="C188" s="10" t="inlineStr">
        <is>
          <t>D00007</t>
        </is>
      </c>
      <c r="D188" s="11" t="n">
        <v>46100</v>
      </c>
      <c r="E188" s="7" t="inlineStr">
        <is>
          <t>2026-03</t>
        </is>
      </c>
      <c r="F188" s="10" t="inlineStr">
        <is>
          <t>Vente</t>
        </is>
      </c>
      <c r="G188" s="10" t="inlineStr">
        <is>
          <t>SARL BEJAIA LOGISTIQUE</t>
        </is>
      </c>
      <c r="H188" s="7" t="inlineStr">
        <is>
          <t>C708</t>
        </is>
      </c>
      <c r="I188" s="10" t="inlineStr">
        <is>
          <t>Code existant</t>
        </is>
      </c>
      <c r="J188" s="10" t="n">
        <v>1</v>
      </c>
      <c r="K188" s="12" t="n">
        <v>3400000</v>
      </c>
      <c r="L188" s="12" t="n">
        <v>0</v>
      </c>
      <c r="M188" s="12" t="n">
        <v>646000</v>
      </c>
      <c r="N188" s="12" t="n">
        <v>4046000</v>
      </c>
      <c r="O188" s="7" t="inlineStr">
        <is>
          <t>15001</t>
        </is>
      </c>
      <c r="P188" s="5">
        <f>ROUND(M188-K188*0.19,2)</f>
        <v/>
      </c>
      <c r="Q188">
        <f>IF(ISNUMBER(SEARCH("DJENNADI",G188)),"OUI","")</f>
        <v/>
      </c>
    </row>
    <row r="189">
      <c r="A189" s="10" t="inlineStr">
        <is>
          <t>Fenaia (détail)</t>
        </is>
      </c>
      <c r="B189" s="7" t="inlineStr">
        <is>
          <t>2026000008</t>
        </is>
      </c>
      <c r="C189" s="10" t="inlineStr">
        <is>
          <t>D00008</t>
        </is>
      </c>
      <c r="D189" s="11" t="n">
        <v>46100</v>
      </c>
      <c r="E189" s="7" t="inlineStr">
        <is>
          <t>2026-03</t>
        </is>
      </c>
      <c r="F189" s="10" t="inlineStr">
        <is>
          <t>Vente</t>
        </is>
      </c>
      <c r="G189" s="10" t="inlineStr">
        <is>
          <t>SARL BEJAIA LOGISTIQUE</t>
        </is>
      </c>
      <c r="H189" s="7" t="inlineStr">
        <is>
          <t>C708</t>
        </is>
      </c>
      <c r="I189" s="10" t="inlineStr">
        <is>
          <t>Code existant</t>
        </is>
      </c>
      <c r="J189" s="10" t="n">
        <v>2</v>
      </c>
      <c r="K189" s="12" t="n">
        <v>330000</v>
      </c>
      <c r="L189" s="12" t="n">
        <v>0</v>
      </c>
      <c r="M189" s="12" t="n">
        <v>62700</v>
      </c>
      <c r="N189" s="12" t="n">
        <v>392700</v>
      </c>
      <c r="O189" s="7" t="inlineStr">
        <is>
          <t>15001</t>
        </is>
      </c>
      <c r="P189" s="5">
        <f>ROUND(M189-K189*0.19,2)</f>
        <v/>
      </c>
      <c r="Q189">
        <f>IF(ISNUMBER(SEARCH("DJENNADI",G189)),"OUI","")</f>
        <v/>
      </c>
    </row>
    <row r="190">
      <c r="A190" s="10" t="inlineStr">
        <is>
          <t>Fenaia (détail)</t>
        </is>
      </c>
      <c r="B190" s="7" t="inlineStr">
        <is>
          <t>2026000009</t>
        </is>
      </c>
      <c r="C190" s="10" t="inlineStr">
        <is>
          <t>D00009</t>
        </is>
      </c>
      <c r="D190" s="11" t="n">
        <v>46104</v>
      </c>
      <c r="E190" s="7" t="inlineStr">
        <is>
          <t>2026-03</t>
        </is>
      </c>
      <c r="F190" s="10" t="inlineStr">
        <is>
          <t>Vente</t>
        </is>
      </c>
      <c r="G190" s="10" t="inlineStr">
        <is>
          <t>EURL TERRENO TRANS</t>
        </is>
      </c>
      <c r="H190" s="7" t="inlineStr">
        <is>
          <t>C959</t>
        </is>
      </c>
      <c r="I190" s="10" t="inlineStr">
        <is>
          <t>Code existant</t>
        </is>
      </c>
      <c r="J190" s="10" t="n">
        <v>1</v>
      </c>
      <c r="K190" s="12" t="n">
        <v>1406000</v>
      </c>
      <c r="L190" s="12" t="n">
        <v>0</v>
      </c>
      <c r="M190" s="12" t="n">
        <v>267140</v>
      </c>
      <c r="N190" s="12" t="n">
        <v>1673140</v>
      </c>
      <c r="O190" s="7" t="inlineStr">
        <is>
          <t>15001</t>
        </is>
      </c>
      <c r="P190" s="5">
        <f>ROUND(M190-K190*0.19,2)</f>
        <v/>
      </c>
      <c r="Q190">
        <f>IF(ISNUMBER(SEARCH("DJENNADI",G190)),"OUI","")</f>
        <v/>
      </c>
    </row>
    <row r="191">
      <c r="A191" s="10" t="inlineStr">
        <is>
          <t>Fenaia (détail)</t>
        </is>
      </c>
      <c r="B191" s="7" t="inlineStr">
        <is>
          <t>2026000010</t>
        </is>
      </c>
      <c r="C191" s="10" t="inlineStr">
        <is>
          <t>D00010</t>
        </is>
      </c>
      <c r="D191" s="11" t="n">
        <v>46107</v>
      </c>
      <c r="E191" s="7" t="inlineStr">
        <is>
          <t>2026-03</t>
        </is>
      </c>
      <c r="F191" s="10" t="inlineStr">
        <is>
          <t>Vente</t>
        </is>
      </c>
      <c r="G191" s="10" t="inlineStr">
        <is>
          <t>SARL LAITRIE SOUMMAM</t>
        </is>
      </c>
      <c r="H191" s="7" t="inlineStr">
        <is>
          <t>C986</t>
        </is>
      </c>
      <c r="I191" s="10" t="inlineStr">
        <is>
          <t>Code existant (nom proche)</t>
        </is>
      </c>
      <c r="J191" s="10" t="n">
        <v>1</v>
      </c>
      <c r="K191" s="12" t="n">
        <v>570000</v>
      </c>
      <c r="L191" s="12" t="n">
        <v>0</v>
      </c>
      <c r="M191" s="12" t="n">
        <v>108300</v>
      </c>
      <c r="N191" s="12" t="n">
        <v>678300</v>
      </c>
      <c r="O191" s="7" t="inlineStr">
        <is>
          <t>15001</t>
        </is>
      </c>
      <c r="P191" s="5">
        <f>ROUND(M191-K191*0.19,2)</f>
        <v/>
      </c>
      <c r="Q191">
        <f>IF(ISNUMBER(SEARCH("DJENNADI",G191)),"OUI","")</f>
        <v/>
      </c>
    </row>
    <row r="192">
      <c r="A192" s="10" t="inlineStr">
        <is>
          <t>Fenaia (détail)</t>
        </is>
      </c>
      <c r="B192" s="7" t="inlineStr">
        <is>
          <t>2026000011</t>
        </is>
      </c>
      <c r="C192" s="10" t="inlineStr">
        <is>
          <t>D00011</t>
        </is>
      </c>
      <c r="D192" s="11" t="n">
        <v>46110</v>
      </c>
      <c r="E192" s="7" t="inlineStr">
        <is>
          <t>2026-03</t>
        </is>
      </c>
      <c r="F192" s="10" t="inlineStr">
        <is>
          <t>Vente</t>
        </is>
      </c>
      <c r="G192" s="10" t="inlineStr">
        <is>
          <t>SNC ECOTP MOUHALI ET FRERES</t>
        </is>
      </c>
      <c r="H192" s="7" t="inlineStr">
        <is>
          <t>C248</t>
        </is>
      </c>
      <c r="I192" s="10" t="inlineStr">
        <is>
          <t>Code existant (nom proche)</t>
        </is>
      </c>
      <c r="J192" s="10" t="n">
        <v>1</v>
      </c>
      <c r="K192" s="12" t="n">
        <v>288000</v>
      </c>
      <c r="L192" s="12" t="n">
        <v>0</v>
      </c>
      <c r="M192" s="12" t="n">
        <v>54720</v>
      </c>
      <c r="N192" s="12" t="n">
        <v>342720</v>
      </c>
      <c r="O192" s="7" t="inlineStr">
        <is>
          <t>15001</t>
        </is>
      </c>
      <c r="P192" s="5">
        <f>ROUND(M192-K192*0.19,2)</f>
        <v/>
      </c>
      <c r="Q192">
        <f>IF(ISNUMBER(SEARCH("DJENNADI",G192)),"OUI","")</f>
        <v/>
      </c>
    </row>
    <row r="193">
      <c r="A193" s="10" t="inlineStr">
        <is>
          <t>Fenaia (détail)</t>
        </is>
      </c>
      <c r="B193" s="7" t="inlineStr">
        <is>
          <t>2026000012</t>
        </is>
      </c>
      <c r="C193" s="10" t="inlineStr">
        <is>
          <t>D00012</t>
        </is>
      </c>
      <c r="D193" s="11" t="n">
        <v>46111</v>
      </c>
      <c r="E193" s="7" t="inlineStr">
        <is>
          <t>2026-03</t>
        </is>
      </c>
      <c r="F193" s="10" t="inlineStr">
        <is>
          <t>Vente</t>
        </is>
      </c>
      <c r="G193" s="10" t="inlineStr">
        <is>
          <t>EURL TRANSPORT FLY</t>
        </is>
      </c>
      <c r="H193" s="7" t="inlineStr">
        <is>
          <t>C505</t>
        </is>
      </c>
      <c r="I193" s="10" t="inlineStr">
        <is>
          <t>Code existant</t>
        </is>
      </c>
      <c r="J193" s="10" t="n">
        <v>1</v>
      </c>
      <c r="K193" s="12" t="n">
        <v>108000</v>
      </c>
      <c r="L193" s="12" t="n">
        <v>0</v>
      </c>
      <c r="M193" s="12" t="n">
        <v>20520</v>
      </c>
      <c r="N193" s="12" t="n">
        <v>128520</v>
      </c>
      <c r="O193" s="7" t="inlineStr">
        <is>
          <t>15001</t>
        </is>
      </c>
      <c r="P193" s="5">
        <f>ROUND(M193-K193*0.19,2)</f>
        <v/>
      </c>
      <c r="Q193">
        <f>IF(ISNUMBER(SEARCH("DJENNADI",G193)),"OUI","")</f>
        <v/>
      </c>
    </row>
    <row r="194">
      <c r="A194" s="10" t="inlineStr">
        <is>
          <t>Fenaia (détail)</t>
        </is>
      </c>
      <c r="B194" s="7" t="inlineStr">
        <is>
          <t>2026000013</t>
        </is>
      </c>
      <c r="C194" s="10" t="inlineStr">
        <is>
          <t>D00013</t>
        </is>
      </c>
      <c r="D194" s="11" t="n">
        <v>46112</v>
      </c>
      <c r="E194" s="7" t="inlineStr">
        <is>
          <t>2026-03</t>
        </is>
      </c>
      <c r="F194" s="10" t="inlineStr">
        <is>
          <t>Vente</t>
        </is>
      </c>
      <c r="G194" s="10" t="inlineStr">
        <is>
          <t>SARL ECI  BOUDIAB</t>
        </is>
      </c>
      <c r="H194" s="7" t="inlineStr">
        <is>
          <t>C1076</t>
        </is>
      </c>
      <c r="I194" s="10" t="inlineStr">
        <is>
          <t>Code existant</t>
        </is>
      </c>
      <c r="J194" s="10" t="n">
        <v>1</v>
      </c>
      <c r="K194" s="12" t="n">
        <v>156000</v>
      </c>
      <c r="L194" s="12" t="n">
        <v>0</v>
      </c>
      <c r="M194" s="12" t="n">
        <v>29640</v>
      </c>
      <c r="N194" s="12" t="n">
        <v>185640</v>
      </c>
      <c r="O194" s="7" t="inlineStr">
        <is>
          <t>15001</t>
        </is>
      </c>
      <c r="P194" s="5">
        <f>ROUND(M194-K194*0.19,2)</f>
        <v/>
      </c>
      <c r="Q194">
        <f>IF(ISNUMBER(SEARCH("DJENNADI",G194)),"OUI","")</f>
        <v/>
      </c>
    </row>
    <row r="195">
      <c r="A195" s="10" t="inlineStr">
        <is>
          <t>Fenaia (détail)</t>
        </is>
      </c>
      <c r="B195" s="7" t="inlineStr">
        <is>
          <t>2026000014</t>
        </is>
      </c>
      <c r="C195" s="10" t="inlineStr">
        <is>
          <t>D00014</t>
        </is>
      </c>
      <c r="D195" s="11" t="n">
        <v>46112</v>
      </c>
      <c r="E195" s="7" t="inlineStr">
        <is>
          <t>2026-03</t>
        </is>
      </c>
      <c r="F195" s="10" t="inlineStr">
        <is>
          <t>Vente</t>
        </is>
      </c>
      <c r="G195" s="10" t="inlineStr">
        <is>
          <t>EURL TERRENO TRANS</t>
        </is>
      </c>
      <c r="H195" s="7" t="inlineStr">
        <is>
          <t>C959</t>
        </is>
      </c>
      <c r="I195" s="10" t="inlineStr">
        <is>
          <t>Code existant</t>
        </is>
      </c>
      <c r="J195" s="10" t="n">
        <v>1</v>
      </c>
      <c r="K195" s="12" t="n">
        <v>81600</v>
      </c>
      <c r="L195" s="12" t="n">
        <v>0</v>
      </c>
      <c r="M195" s="12" t="n">
        <v>15504</v>
      </c>
      <c r="N195" s="12" t="n">
        <v>97104</v>
      </c>
      <c r="O195" s="7" t="inlineStr">
        <is>
          <t>15001</t>
        </is>
      </c>
      <c r="P195" s="5">
        <f>ROUND(M195-K195*0.19,2)</f>
        <v/>
      </c>
      <c r="Q195">
        <f>IF(ISNUMBER(SEARCH("DJENNADI",G195)),"OUI","")</f>
        <v/>
      </c>
    </row>
    <row r="196">
      <c r="A196" s="10" t="inlineStr">
        <is>
          <t>Fenaia (détail)</t>
        </is>
      </c>
      <c r="B196" s="7" t="inlineStr">
        <is>
          <t>2026000015</t>
        </is>
      </c>
      <c r="C196" s="10" t="inlineStr">
        <is>
          <t>D00015</t>
        </is>
      </c>
      <c r="D196" s="11" t="n">
        <v>46112</v>
      </c>
      <c r="E196" s="7" t="inlineStr">
        <is>
          <t>2026-03</t>
        </is>
      </c>
      <c r="F196" s="10" t="inlineStr">
        <is>
          <t>Vente</t>
        </is>
      </c>
      <c r="G196" s="10" t="inlineStr">
        <is>
          <t>SARL ECI  BOUDIAB</t>
        </is>
      </c>
      <c r="H196" s="7" t="inlineStr">
        <is>
          <t>C1076</t>
        </is>
      </c>
      <c r="I196" s="10" t="inlineStr">
        <is>
          <t>Code existant</t>
        </is>
      </c>
      <c r="J196" s="10" t="n">
        <v>1</v>
      </c>
      <c r="K196" s="12" t="n">
        <v>190000</v>
      </c>
      <c r="L196" s="12" t="n">
        <v>0</v>
      </c>
      <c r="M196" s="12" t="n">
        <v>36100</v>
      </c>
      <c r="N196" s="12" t="n">
        <v>226100</v>
      </c>
      <c r="O196" s="7" t="inlineStr">
        <is>
          <t>15001</t>
        </is>
      </c>
      <c r="P196" s="5">
        <f>ROUND(M196-K196*0.19,2)</f>
        <v/>
      </c>
      <c r="Q196">
        <f>IF(ISNUMBER(SEARCH("DJENNADI",G196)),"OUI","")</f>
        <v/>
      </c>
    </row>
    <row r="197">
      <c r="A197" s="10" t="inlineStr">
        <is>
          <t>Fenaia (détail)</t>
        </is>
      </c>
      <c r="B197" s="7" t="inlineStr">
        <is>
          <t>2026000016</t>
        </is>
      </c>
      <c r="C197" s="10" t="inlineStr">
        <is>
          <t>D00016</t>
        </is>
      </c>
      <c r="D197" s="11" t="n">
        <v>46117</v>
      </c>
      <c r="E197" s="7" t="inlineStr">
        <is>
          <t>2026-04</t>
        </is>
      </c>
      <c r="F197" s="10" t="inlineStr">
        <is>
          <t>Vente</t>
        </is>
      </c>
      <c r="G197" s="10" t="inlineStr">
        <is>
          <t>EURL TERRENO TRANS</t>
        </is>
      </c>
      <c r="H197" s="7" t="inlineStr">
        <is>
          <t>C959</t>
        </is>
      </c>
      <c r="I197" s="10" t="inlineStr">
        <is>
          <t>Code existant</t>
        </is>
      </c>
      <c r="J197" s="10" t="n">
        <v>1</v>
      </c>
      <c r="K197" s="12" t="n">
        <v>108000</v>
      </c>
      <c r="L197" s="12" t="n">
        <v>0</v>
      </c>
      <c r="M197" s="12" t="n">
        <v>20520</v>
      </c>
      <c r="N197" s="12" t="n">
        <v>128520</v>
      </c>
      <c r="O197" s="7" t="inlineStr">
        <is>
          <t>15001</t>
        </is>
      </c>
      <c r="P197" s="5">
        <f>ROUND(M197-K197*0.19,2)</f>
        <v/>
      </c>
      <c r="Q197">
        <f>IF(ISNUMBER(SEARCH("DJENNADI",G197)),"OUI","")</f>
        <v/>
      </c>
    </row>
    <row r="198">
      <c r="A198" s="10" t="inlineStr">
        <is>
          <t>Fenaia (détail)</t>
        </is>
      </c>
      <c r="B198" s="7" t="inlineStr">
        <is>
          <t>2026000017</t>
        </is>
      </c>
      <c r="C198" s="10" t="inlineStr">
        <is>
          <t>D00017</t>
        </is>
      </c>
      <c r="D198" s="11" t="n">
        <v>46118</v>
      </c>
      <c r="E198" s="7" t="inlineStr">
        <is>
          <t>2026-04</t>
        </is>
      </c>
      <c r="F198" s="10" t="inlineStr">
        <is>
          <t>Vente</t>
        </is>
      </c>
      <c r="G198" s="10" t="inlineStr">
        <is>
          <t>EURL TERRENO TRANS</t>
        </is>
      </c>
      <c r="H198" s="7" t="inlineStr">
        <is>
          <t>C959</t>
        </is>
      </c>
      <c r="I198" s="10" t="inlineStr">
        <is>
          <t>Code existant</t>
        </is>
      </c>
      <c r="J198" s="10" t="n">
        <v>1</v>
      </c>
      <c r="K198" s="12" t="n">
        <v>475000</v>
      </c>
      <c r="L198" s="12" t="n">
        <v>0</v>
      </c>
      <c r="M198" s="12" t="n">
        <v>90250</v>
      </c>
      <c r="N198" s="12" t="n">
        <v>565250</v>
      </c>
      <c r="O198" s="7" t="inlineStr">
        <is>
          <t>15001</t>
        </is>
      </c>
      <c r="P198" s="5">
        <f>ROUND(M198-K198*0.19,2)</f>
        <v/>
      </c>
      <c r="Q198">
        <f>IF(ISNUMBER(SEARCH("DJENNADI",G198)),"OUI","")</f>
        <v/>
      </c>
    </row>
    <row r="199">
      <c r="A199" s="10" t="inlineStr">
        <is>
          <t>Fenaia (détail)</t>
        </is>
      </c>
      <c r="B199" s="7" t="inlineStr">
        <is>
          <t>2026000018</t>
        </is>
      </c>
      <c r="C199" s="10" t="inlineStr">
        <is>
          <t>D00018</t>
        </is>
      </c>
      <c r="D199" s="11" t="n">
        <v>46120</v>
      </c>
      <c r="E199" s="7" t="inlineStr">
        <is>
          <t>2026-04</t>
        </is>
      </c>
      <c r="F199" s="10" t="inlineStr">
        <is>
          <t>Vente</t>
        </is>
      </c>
      <c r="G199" s="10" t="inlineStr">
        <is>
          <t>SARL BEJAIA LOGISTIQUE</t>
        </is>
      </c>
      <c r="H199" s="7" t="inlineStr">
        <is>
          <t>C708</t>
        </is>
      </c>
      <c r="I199" s="10" t="inlineStr">
        <is>
          <t>Code existant</t>
        </is>
      </c>
      <c r="J199" s="10" t="n">
        <v>5</v>
      </c>
      <c r="K199" s="12" t="n">
        <v>139500</v>
      </c>
      <c r="L199" s="12" t="n">
        <v>0</v>
      </c>
      <c r="M199" s="12" t="n">
        <v>26505</v>
      </c>
      <c r="N199" s="12" t="n">
        <v>166005</v>
      </c>
      <c r="O199" s="7" t="inlineStr">
        <is>
          <t>15001</t>
        </is>
      </c>
      <c r="P199" s="5">
        <f>ROUND(M199-K199*0.19,2)</f>
        <v/>
      </c>
      <c r="Q199">
        <f>IF(ISNUMBER(SEARCH("DJENNADI",G199)),"OUI","")</f>
        <v/>
      </c>
    </row>
    <row r="200">
      <c r="A200" s="10" t="inlineStr">
        <is>
          <t>Fenaia (détail)</t>
        </is>
      </c>
      <c r="B200" s="7" t="inlineStr">
        <is>
          <t>2026000019</t>
        </is>
      </c>
      <c r="C200" s="10" t="inlineStr">
        <is>
          <t>D00019</t>
        </is>
      </c>
      <c r="D200" s="11" t="n">
        <v>46125</v>
      </c>
      <c r="E200" s="7" t="inlineStr">
        <is>
          <t>2026-04</t>
        </is>
      </c>
      <c r="F200" s="10" t="inlineStr">
        <is>
          <t>Vente</t>
        </is>
      </c>
      <c r="G200" s="10" t="inlineStr">
        <is>
          <t>SNC ECOTP MOUHALI ET FRERES</t>
        </is>
      </c>
      <c r="H200" s="7" t="inlineStr">
        <is>
          <t>C248</t>
        </is>
      </c>
      <c r="I200" s="10" t="inlineStr">
        <is>
          <t>Code existant (nom proche)</t>
        </is>
      </c>
      <c r="J200" s="10" t="n">
        <v>3</v>
      </c>
      <c r="K200" s="12" t="n">
        <v>102000</v>
      </c>
      <c r="L200" s="12" t="n">
        <v>0</v>
      </c>
      <c r="M200" s="12" t="n">
        <v>19380</v>
      </c>
      <c r="N200" s="12" t="n">
        <v>121380</v>
      </c>
      <c r="O200" s="7" t="inlineStr">
        <is>
          <t>15001</t>
        </is>
      </c>
      <c r="P200" s="5">
        <f>ROUND(M200-K200*0.19,2)</f>
        <v/>
      </c>
      <c r="Q200">
        <f>IF(ISNUMBER(SEARCH("DJENNADI",G200)),"OUI","")</f>
        <v/>
      </c>
    </row>
    <row r="201">
      <c r="A201" s="10" t="inlineStr">
        <is>
          <t>Fenaia (détail)</t>
        </is>
      </c>
      <c r="B201" s="7" t="inlineStr">
        <is>
          <t>2026000020</t>
        </is>
      </c>
      <c r="C201" s="10" t="inlineStr">
        <is>
          <t>D00020</t>
        </is>
      </c>
      <c r="D201" s="11" t="n">
        <v>46127</v>
      </c>
      <c r="E201" s="7" t="inlineStr">
        <is>
          <t>2026-04</t>
        </is>
      </c>
      <c r="F201" s="10" t="inlineStr">
        <is>
          <t>Vente</t>
        </is>
      </c>
      <c r="G201" s="10" t="inlineStr">
        <is>
          <t>SARL LAITRIE SOUMMAM</t>
        </is>
      </c>
      <c r="H201" s="7" t="inlineStr">
        <is>
          <t>C986</t>
        </is>
      </c>
      <c r="I201" s="10" t="inlineStr">
        <is>
          <t>Code existant (nom proche)</t>
        </is>
      </c>
      <c r="J201" s="10" t="n">
        <v>2</v>
      </c>
      <c r="K201" s="12" t="n">
        <v>440000</v>
      </c>
      <c r="L201" s="12" t="n">
        <v>0</v>
      </c>
      <c r="M201" s="12" t="n">
        <v>83600</v>
      </c>
      <c r="N201" s="12" t="n">
        <v>523600</v>
      </c>
      <c r="O201" s="7" t="inlineStr">
        <is>
          <t>15001</t>
        </is>
      </c>
      <c r="P201" s="5">
        <f>ROUND(M201-K201*0.19,2)</f>
        <v/>
      </c>
      <c r="Q201">
        <f>IF(ISNUMBER(SEARCH("DJENNADI",G201)),"OUI","")</f>
        <v/>
      </c>
    </row>
    <row r="202">
      <c r="A202" s="10" t="inlineStr">
        <is>
          <t>Fenaia (détail)</t>
        </is>
      </c>
      <c r="B202" s="7" t="inlineStr">
        <is>
          <t>2026000021</t>
        </is>
      </c>
      <c r="C202" s="10" t="inlineStr">
        <is>
          <t>D00021</t>
        </is>
      </c>
      <c r="D202" s="11" t="n">
        <v>46127</v>
      </c>
      <c r="E202" s="7" t="inlineStr">
        <is>
          <t>2026-04</t>
        </is>
      </c>
      <c r="F202" s="10" t="inlineStr">
        <is>
          <t>Vente</t>
        </is>
      </c>
      <c r="G202" s="10" t="inlineStr">
        <is>
          <t>SARL BEJAIA LOGISTIQUE</t>
        </is>
      </c>
      <c r="H202" s="7" t="inlineStr">
        <is>
          <t>C708</t>
        </is>
      </c>
      <c r="I202" s="10" t="inlineStr">
        <is>
          <t>Code existant</t>
        </is>
      </c>
      <c r="J202" s="10" t="n">
        <v>4</v>
      </c>
      <c r="K202" s="12" t="n">
        <v>319400</v>
      </c>
      <c r="L202" s="12" t="n">
        <v>0</v>
      </c>
      <c r="M202" s="12" t="n">
        <v>60686</v>
      </c>
      <c r="N202" s="12" t="n">
        <v>380086</v>
      </c>
      <c r="O202" s="7" t="inlineStr">
        <is>
          <t>15001</t>
        </is>
      </c>
      <c r="P202" s="5">
        <f>ROUND(M202-K202*0.19,2)</f>
        <v/>
      </c>
      <c r="Q202">
        <f>IF(ISNUMBER(SEARCH("DJENNADI",G202)),"OUI","")</f>
        <v/>
      </c>
    </row>
    <row r="203">
      <c r="A203" s="10" t="inlineStr">
        <is>
          <t>Fenaia (détail)</t>
        </is>
      </c>
      <c r="B203" s="7" t="inlineStr">
        <is>
          <t>2026000022</t>
        </is>
      </c>
      <c r="C203" s="10" t="inlineStr">
        <is>
          <t>D00022</t>
        </is>
      </c>
      <c r="D203" s="11" t="n">
        <v>46128</v>
      </c>
      <c r="E203" s="7" t="inlineStr">
        <is>
          <t>2026-04</t>
        </is>
      </c>
      <c r="F203" s="10" t="inlineStr">
        <is>
          <t>Vente</t>
        </is>
      </c>
      <c r="G203" s="10" t="inlineStr">
        <is>
          <t>SPA NUMILOG</t>
        </is>
      </c>
      <c r="H203" s="7" t="inlineStr">
        <is>
          <t>C616</t>
        </is>
      </c>
      <c r="I203" s="10" t="inlineStr">
        <is>
          <t>Code existant (nom proche)</t>
        </is>
      </c>
      <c r="J203" s="10" t="n">
        <v>1</v>
      </c>
      <c r="K203" s="12" t="n">
        <v>280000</v>
      </c>
      <c r="L203" s="12" t="n">
        <v>0</v>
      </c>
      <c r="M203" s="12" t="n">
        <v>53200</v>
      </c>
      <c r="N203" s="12" t="n">
        <v>333200</v>
      </c>
      <c r="O203" s="7" t="inlineStr">
        <is>
          <t>15001</t>
        </is>
      </c>
      <c r="P203" s="5">
        <f>ROUND(M203-K203*0.19,2)</f>
        <v/>
      </c>
      <c r="Q203">
        <f>IF(ISNUMBER(SEARCH("DJENNADI",G203)),"OUI","")</f>
        <v/>
      </c>
    </row>
    <row r="204">
      <c r="A204" s="10" t="inlineStr">
        <is>
          <t>Fenaia (détail)</t>
        </is>
      </c>
      <c r="B204" s="7" t="inlineStr">
        <is>
          <t>2026000023</t>
        </is>
      </c>
      <c r="C204" s="10" t="inlineStr">
        <is>
          <t>D00023</t>
        </is>
      </c>
      <c r="D204" s="11" t="n">
        <v>46132</v>
      </c>
      <c r="E204" s="7" t="inlineStr">
        <is>
          <t>2026-04</t>
        </is>
      </c>
      <c r="F204" s="10" t="inlineStr">
        <is>
          <t>Vente</t>
        </is>
      </c>
      <c r="G204" s="10" t="inlineStr">
        <is>
          <t>SARL EL ZIBANE TRANSPORT</t>
        </is>
      </c>
      <c r="H204" s="7" t="inlineStr">
        <is>
          <t>C1094</t>
        </is>
      </c>
      <c r="I204" s="10" t="inlineStr">
        <is>
          <t>Nouveau code à créer</t>
        </is>
      </c>
      <c r="J204" s="10" t="n">
        <v>2</v>
      </c>
      <c r="K204" s="12" t="n">
        <v>90500</v>
      </c>
      <c r="L204" s="12" t="n">
        <v>0</v>
      </c>
      <c r="M204" s="12" t="n">
        <v>17195</v>
      </c>
      <c r="N204" s="12" t="n">
        <v>107695</v>
      </c>
      <c r="O204" s="7" t="inlineStr">
        <is>
          <t>15001</t>
        </is>
      </c>
      <c r="P204" s="5">
        <f>ROUND(M204-K204*0.19,2)</f>
        <v/>
      </c>
      <c r="Q204">
        <f>IF(ISNUMBER(SEARCH("DJENNADI",G204)),"OUI","")</f>
        <v/>
      </c>
    </row>
    <row r="205">
      <c r="A205" s="10" t="inlineStr">
        <is>
          <t>Fenaia (détail)</t>
        </is>
      </c>
      <c r="B205" s="7" t="inlineStr">
        <is>
          <t>2026000024</t>
        </is>
      </c>
      <c r="C205" s="10" t="inlineStr">
        <is>
          <t>D00024</t>
        </is>
      </c>
      <c r="D205" s="11" t="n">
        <v>46132</v>
      </c>
      <c r="E205" s="7" t="inlineStr">
        <is>
          <t>2026-04</t>
        </is>
      </c>
      <c r="F205" s="10" t="inlineStr">
        <is>
          <t>Vente</t>
        </is>
      </c>
      <c r="G205" s="10" t="inlineStr">
        <is>
          <t>COSIDER OUVRAGES D'ART SPA</t>
        </is>
      </c>
      <c r="H205" s="7" t="inlineStr">
        <is>
          <t>C596</t>
        </is>
      </c>
      <c r="I205" s="10" t="inlineStr">
        <is>
          <t>Code existant</t>
        </is>
      </c>
      <c r="J205" s="10" t="n">
        <v>1</v>
      </c>
      <c r="K205" s="12" t="n">
        <v>256000</v>
      </c>
      <c r="L205" s="12" t="n">
        <v>0</v>
      </c>
      <c r="M205" s="12" t="n">
        <v>48640</v>
      </c>
      <c r="N205" s="12" t="n">
        <v>304640</v>
      </c>
      <c r="O205" s="7" t="inlineStr">
        <is>
          <t>15001</t>
        </is>
      </c>
      <c r="P205" s="5">
        <f>ROUND(M205-K205*0.19,2)</f>
        <v/>
      </c>
      <c r="Q205">
        <f>IF(ISNUMBER(SEARCH("DJENNADI",G205)),"OUI","")</f>
        <v/>
      </c>
    </row>
    <row r="206">
      <c r="A206" s="10" t="inlineStr">
        <is>
          <t>Fenaia (détail)</t>
        </is>
      </c>
      <c r="B206" s="7" t="inlineStr">
        <is>
          <t>2026000025</t>
        </is>
      </c>
      <c r="C206" s="10" t="inlineStr">
        <is>
          <t>D00025</t>
        </is>
      </c>
      <c r="D206" s="11" t="n">
        <v>46134</v>
      </c>
      <c r="E206" s="7" t="inlineStr">
        <is>
          <t>2026-04</t>
        </is>
      </c>
      <c r="F206" s="10" t="inlineStr">
        <is>
          <t>Vente</t>
        </is>
      </c>
      <c r="G206" s="10" t="inlineStr">
        <is>
          <t>SARL GUERROUF AUTO</t>
        </is>
      </c>
      <c r="H206" s="7" t="inlineStr">
        <is>
          <t>C1099</t>
        </is>
      </c>
      <c r="I206" s="10" t="inlineStr">
        <is>
          <t>Nouveau code à créer</t>
        </is>
      </c>
      <c r="J206" s="10" t="n">
        <v>2</v>
      </c>
      <c r="K206" s="12" t="n">
        <v>292000</v>
      </c>
      <c r="L206" s="12" t="n">
        <v>0</v>
      </c>
      <c r="M206" s="12" t="n">
        <v>55480</v>
      </c>
      <c r="N206" s="12" t="n">
        <v>347480</v>
      </c>
      <c r="O206" s="7" t="inlineStr">
        <is>
          <t>15001</t>
        </is>
      </c>
      <c r="P206" s="5">
        <f>ROUND(M206-K206*0.19,2)</f>
        <v/>
      </c>
      <c r="Q206">
        <f>IF(ISNUMBER(SEARCH("DJENNADI",G206)),"OUI","")</f>
        <v/>
      </c>
    </row>
    <row r="207">
      <c r="A207" s="10" t="inlineStr">
        <is>
          <t>Fenaia (détail)</t>
        </is>
      </c>
      <c r="B207" s="7" t="inlineStr">
        <is>
          <t>2026000026</t>
        </is>
      </c>
      <c r="C207" s="10" t="inlineStr">
        <is>
          <t>D00026</t>
        </is>
      </c>
      <c r="D207" s="11" t="n">
        <v>46142</v>
      </c>
      <c r="E207" s="7" t="inlineStr">
        <is>
          <t>2026-04</t>
        </is>
      </c>
      <c r="F207" s="10" t="inlineStr">
        <is>
          <t>Vente</t>
        </is>
      </c>
      <c r="G207" s="10" t="inlineStr">
        <is>
          <t>SARL GUERROUF AUTO</t>
        </is>
      </c>
      <c r="H207" s="7" t="inlineStr">
        <is>
          <t>C1099</t>
        </is>
      </c>
      <c r="I207" s="10" t="inlineStr">
        <is>
          <t>Nouveau code à créer</t>
        </is>
      </c>
      <c r="J207" s="10" t="n">
        <v>2</v>
      </c>
      <c r="K207" s="12" t="n">
        <v>368000</v>
      </c>
      <c r="L207" s="12" t="n">
        <v>0</v>
      </c>
      <c r="M207" s="12" t="n">
        <v>69920</v>
      </c>
      <c r="N207" s="12" t="n">
        <v>437920</v>
      </c>
      <c r="O207" s="7" t="inlineStr">
        <is>
          <t>15001</t>
        </is>
      </c>
      <c r="P207" s="5">
        <f>ROUND(M207-K207*0.19,2)</f>
        <v/>
      </c>
      <c r="Q207">
        <f>IF(ISNUMBER(SEARCH("DJENNADI",G207)),"OUI","")</f>
        <v/>
      </c>
    </row>
    <row r="208">
      <c r="A208" s="10" t="inlineStr">
        <is>
          <t>Fenaia (détail)</t>
        </is>
      </c>
      <c r="B208" s="7" t="inlineStr">
        <is>
          <t>2026000027</t>
        </is>
      </c>
      <c r="C208" s="10" t="inlineStr">
        <is>
          <t>D00027</t>
        </is>
      </c>
      <c r="D208" s="11" t="n">
        <v>46147</v>
      </c>
      <c r="E208" s="7" t="inlineStr">
        <is>
          <t>2026-05</t>
        </is>
      </c>
      <c r="F208" s="10" t="inlineStr">
        <is>
          <t>Vente</t>
        </is>
      </c>
      <c r="G208" s="10" t="inlineStr">
        <is>
          <t>SARL LAITRIE SOUMMAM</t>
        </is>
      </c>
      <c r="H208" s="7" t="inlineStr">
        <is>
          <t>C986</t>
        </is>
      </c>
      <c r="I208" s="10" t="inlineStr">
        <is>
          <t>Code existant (nom proche)</t>
        </is>
      </c>
      <c r="J208" s="10" t="n">
        <v>1</v>
      </c>
      <c r="K208" s="12" t="n">
        <v>65000</v>
      </c>
      <c r="L208" s="12" t="n">
        <v>0</v>
      </c>
      <c r="M208" s="12" t="n">
        <v>12350</v>
      </c>
      <c r="N208" s="12" t="n">
        <v>77350</v>
      </c>
      <c r="O208" s="7" t="inlineStr">
        <is>
          <t>15001</t>
        </is>
      </c>
      <c r="P208" s="5">
        <f>ROUND(M208-K208*0.19,2)</f>
        <v/>
      </c>
      <c r="Q208">
        <f>IF(ISNUMBER(SEARCH("DJENNADI",G208)),"OUI","")</f>
        <v/>
      </c>
    </row>
    <row r="209">
      <c r="A209" s="10" t="inlineStr">
        <is>
          <t>Fenaia (détail)</t>
        </is>
      </c>
      <c r="B209" s="7" t="inlineStr">
        <is>
          <t>2026000028</t>
        </is>
      </c>
      <c r="C209" s="10" t="inlineStr">
        <is>
          <t>D00028</t>
        </is>
      </c>
      <c r="D209" s="11" t="n">
        <v>46148</v>
      </c>
      <c r="E209" s="7" t="inlineStr">
        <is>
          <t>2026-05</t>
        </is>
      </c>
      <c r="F209" s="10" t="inlineStr">
        <is>
          <t>Vente</t>
        </is>
      </c>
      <c r="G209" s="10" t="inlineStr">
        <is>
          <t>EURL TERRENO TRANS</t>
        </is>
      </c>
      <c r="H209" s="7" t="inlineStr">
        <is>
          <t>C959</t>
        </is>
      </c>
      <c r="I209" s="10" t="inlineStr">
        <is>
          <t>Code existant</t>
        </is>
      </c>
      <c r="J209" s="10" t="n">
        <v>2</v>
      </c>
      <c r="K209" s="12" t="n">
        <v>27000</v>
      </c>
      <c r="L209" s="12" t="n">
        <v>0</v>
      </c>
      <c r="M209" s="12" t="n">
        <v>5130</v>
      </c>
      <c r="N209" s="12" t="n">
        <v>32130</v>
      </c>
      <c r="O209" s="7" t="inlineStr">
        <is>
          <t>15001</t>
        </is>
      </c>
      <c r="P209" s="5">
        <f>ROUND(M209-K209*0.19,2)</f>
        <v/>
      </c>
      <c r="Q209">
        <f>IF(ISNUMBER(SEARCH("DJENNADI",G209)),"OUI","")</f>
        <v/>
      </c>
    </row>
    <row r="210">
      <c r="A210" s="10" t="inlineStr">
        <is>
          <t>Fenaia (détail)</t>
        </is>
      </c>
      <c r="B210" s="7" t="inlineStr">
        <is>
          <t>2026000029</t>
        </is>
      </c>
      <c r="C210" s="10" t="inlineStr">
        <is>
          <t>D00029</t>
        </is>
      </c>
      <c r="D210" s="11" t="n">
        <v>46160</v>
      </c>
      <c r="E210" s="7" t="inlineStr">
        <is>
          <t>2026-05</t>
        </is>
      </c>
      <c r="F210" s="10" t="inlineStr">
        <is>
          <t>Vente</t>
        </is>
      </c>
      <c r="G210" s="10" t="inlineStr">
        <is>
          <t>SARL LAITRIE SOUMMAM</t>
        </is>
      </c>
      <c r="H210" s="7" t="inlineStr">
        <is>
          <t>C986</t>
        </is>
      </c>
      <c r="I210" s="10" t="inlineStr">
        <is>
          <t>Code existant (nom proche)</t>
        </is>
      </c>
      <c r="J210" s="10" t="n">
        <v>1</v>
      </c>
      <c r="K210" s="12" t="n">
        <v>375000</v>
      </c>
      <c r="L210" s="12" t="n">
        <v>0</v>
      </c>
      <c r="M210" s="12" t="n">
        <v>71250</v>
      </c>
      <c r="N210" s="12" t="n">
        <v>446250</v>
      </c>
      <c r="O210" s="7" t="inlineStr">
        <is>
          <t>15001</t>
        </is>
      </c>
      <c r="P210" s="5">
        <f>ROUND(M210-K210*0.19,2)</f>
        <v/>
      </c>
      <c r="Q210">
        <f>IF(ISNUMBER(SEARCH("DJENNADI",G210)),"OUI","")</f>
        <v/>
      </c>
    </row>
    <row r="211">
      <c r="A211" s="10" t="inlineStr">
        <is>
          <t>Fenaia (détail)</t>
        </is>
      </c>
      <c r="B211" s="7" t="inlineStr">
        <is>
          <t>2026000030</t>
        </is>
      </c>
      <c r="C211" s="10" t="inlineStr">
        <is>
          <t>D00030</t>
        </is>
      </c>
      <c r="D211" s="11" t="n">
        <v>46162</v>
      </c>
      <c r="E211" s="7" t="inlineStr">
        <is>
          <t>2026-05</t>
        </is>
      </c>
      <c r="F211" s="10" t="inlineStr">
        <is>
          <t>Vente</t>
        </is>
      </c>
      <c r="G211" s="10" t="inlineStr">
        <is>
          <t>NAFTAL DMR ORAN</t>
        </is>
      </c>
      <c r="H211" s="7" t="inlineStr">
        <is>
          <t>C009</t>
        </is>
      </c>
      <c r="I211" s="10" t="inlineStr">
        <is>
          <t>Code existant</t>
        </is>
      </c>
      <c r="J211" s="10" t="n">
        <v>1</v>
      </c>
      <c r="K211" s="12" t="n">
        <v>73000</v>
      </c>
      <c r="L211" s="12" t="n">
        <v>0</v>
      </c>
      <c r="M211" s="12" t="n">
        <v>13870</v>
      </c>
      <c r="N211" s="12" t="n">
        <v>86870</v>
      </c>
      <c r="O211" s="7" t="inlineStr">
        <is>
          <t>15001</t>
        </is>
      </c>
      <c r="P211" s="5">
        <f>ROUND(M211-K211*0.19,2)</f>
        <v/>
      </c>
      <c r="Q211">
        <f>IF(ISNUMBER(SEARCH("DJENNADI",G211)),"OUI","")</f>
        <v/>
      </c>
    </row>
    <row r="212">
      <c r="A212" s="10" t="inlineStr">
        <is>
          <t>Fenaia (détail)</t>
        </is>
      </c>
      <c r="B212" s="7" t="inlineStr">
        <is>
          <t>2026000031</t>
        </is>
      </c>
      <c r="C212" s="10" t="inlineStr">
        <is>
          <t>D00031</t>
        </is>
      </c>
      <c r="D212" s="11" t="n">
        <v>46163</v>
      </c>
      <c r="E212" s="7" t="inlineStr">
        <is>
          <t>2026-05</t>
        </is>
      </c>
      <c r="F212" s="10" t="inlineStr">
        <is>
          <t>Vente</t>
        </is>
      </c>
      <c r="G212" s="10" t="inlineStr">
        <is>
          <t>SARL BEJAIA LOGISTIQUE</t>
        </is>
      </c>
      <c r="H212" s="7" t="inlineStr">
        <is>
          <t>C708</t>
        </is>
      </c>
      <c r="I212" s="10" t="inlineStr">
        <is>
          <t>Code existant</t>
        </is>
      </c>
      <c r="J212" s="10" t="n">
        <v>1</v>
      </c>
      <c r="K212" s="12" t="n">
        <v>105000</v>
      </c>
      <c r="L212" s="12" t="n">
        <v>0</v>
      </c>
      <c r="M212" s="12" t="n">
        <v>19950</v>
      </c>
      <c r="N212" s="12" t="n">
        <v>124950</v>
      </c>
      <c r="O212" s="7" t="inlineStr">
        <is>
          <t>15001</t>
        </is>
      </c>
      <c r="P212" s="5">
        <f>ROUND(M212-K212*0.19,2)</f>
        <v/>
      </c>
      <c r="Q212">
        <f>IF(ISNUMBER(SEARCH("DJENNADI",G212)),"OUI","")</f>
        <v/>
      </c>
    </row>
    <row r="213">
      <c r="A213" s="10" t="inlineStr">
        <is>
          <t>Fenaia (détail)</t>
        </is>
      </c>
      <c r="B213" s="7" t="inlineStr">
        <is>
          <t>2026000032</t>
        </is>
      </c>
      <c r="C213" s="10" t="inlineStr">
        <is>
          <t>D00032</t>
        </is>
      </c>
      <c r="D213" s="11" t="n">
        <v>46163</v>
      </c>
      <c r="E213" s="7" t="inlineStr">
        <is>
          <t>2026-05</t>
        </is>
      </c>
      <c r="F213" s="10" t="inlineStr">
        <is>
          <t>Vente</t>
        </is>
      </c>
      <c r="G213" s="10" t="inlineStr">
        <is>
          <t>SARL BEJAIA LOGISTIQUE</t>
        </is>
      </c>
      <c r="H213" s="7" t="inlineStr">
        <is>
          <t>C708</t>
        </is>
      </c>
      <c r="I213" s="10" t="inlineStr">
        <is>
          <t>Code existant</t>
        </is>
      </c>
      <c r="J213" s="10" t="n">
        <v>2</v>
      </c>
      <c r="K213" s="12" t="n">
        <v>180500</v>
      </c>
      <c r="L213" s="12" t="n">
        <v>0</v>
      </c>
      <c r="M213" s="12" t="n">
        <v>34295</v>
      </c>
      <c r="N213" s="12" t="n">
        <v>214795</v>
      </c>
      <c r="O213" s="7" t="inlineStr">
        <is>
          <t>15001</t>
        </is>
      </c>
      <c r="P213" s="5">
        <f>ROUND(M213-K213*0.19,2)</f>
        <v/>
      </c>
      <c r="Q213">
        <f>IF(ISNUMBER(SEARCH("DJENNADI",G213)),"OUI","")</f>
        <v/>
      </c>
    </row>
    <row r="214">
      <c r="A214" s="10" t="inlineStr">
        <is>
          <t>Fenaia (détail)</t>
        </is>
      </c>
      <c r="B214" s="7" t="inlineStr">
        <is>
          <t>2026000033</t>
        </is>
      </c>
      <c r="C214" s="10" t="inlineStr">
        <is>
          <t>D00033</t>
        </is>
      </c>
      <c r="D214" s="11" t="n">
        <v>46163</v>
      </c>
      <c r="E214" s="7" t="inlineStr">
        <is>
          <t>2026-05</t>
        </is>
      </c>
      <c r="F214" s="10" t="inlineStr">
        <is>
          <t>Vente</t>
        </is>
      </c>
      <c r="G214" s="10" t="inlineStr">
        <is>
          <t>SARL BEJAIA LOGISTIQUE</t>
        </is>
      </c>
      <c r="H214" s="7" t="inlineStr">
        <is>
          <t>C708</t>
        </is>
      </c>
      <c r="I214" s="10" t="inlineStr">
        <is>
          <t>Code existant</t>
        </is>
      </c>
      <c r="J214" s="10" t="n">
        <v>1</v>
      </c>
      <c r="K214" s="12" t="n">
        <v>25000</v>
      </c>
      <c r="L214" s="12" t="n">
        <v>0</v>
      </c>
      <c r="M214" s="12" t="n">
        <v>4750</v>
      </c>
      <c r="N214" s="12" t="n">
        <v>29750</v>
      </c>
      <c r="O214" s="7" t="inlineStr">
        <is>
          <t>15001</t>
        </is>
      </c>
      <c r="P214" s="5">
        <f>ROUND(M214-K214*0.19,2)</f>
        <v/>
      </c>
      <c r="Q214">
        <f>IF(ISNUMBER(SEARCH("DJENNADI",G214)),"OUI","")</f>
        <v/>
      </c>
    </row>
    <row r="215">
      <c r="A215" s="10" t="inlineStr">
        <is>
          <t>Fenaia (détail)</t>
        </is>
      </c>
      <c r="B215" s="7" t="inlineStr">
        <is>
          <t>2026000034</t>
        </is>
      </c>
      <c r="C215" s="10" t="inlineStr">
        <is>
          <t>D00034</t>
        </is>
      </c>
      <c r="D215" s="11" t="n">
        <v>46163</v>
      </c>
      <c r="E215" s="7" t="inlineStr">
        <is>
          <t>2026-05</t>
        </is>
      </c>
      <c r="F215" s="10" t="inlineStr">
        <is>
          <t>Retour</t>
        </is>
      </c>
      <c r="G215" s="10" t="inlineStr">
        <is>
          <t>SARL BEJAIA LOGISTIQUE</t>
        </is>
      </c>
      <c r="H215" s="7" t="inlineStr">
        <is>
          <t>C708</t>
        </is>
      </c>
      <c r="I215" s="10" t="inlineStr">
        <is>
          <t>Code existant</t>
        </is>
      </c>
      <c r="J215" s="10" t="n">
        <v>1</v>
      </c>
      <c r="K215" s="12" t="n">
        <v>-25000</v>
      </c>
      <c r="L215" s="12" t="n">
        <v>0</v>
      </c>
      <c r="M215" s="12" t="n">
        <v>-4750</v>
      </c>
      <c r="N215" s="12" t="n">
        <v>-29750</v>
      </c>
      <c r="O215" s="7" t="inlineStr">
        <is>
          <t>15001</t>
        </is>
      </c>
      <c r="P215" s="5">
        <f>ROUND(M215-K215*0.19,2)</f>
        <v/>
      </c>
      <c r="Q215">
        <f>IF(ISNUMBER(SEARCH("DJENNADI",G215)),"OUI","")</f>
        <v/>
      </c>
    </row>
    <row r="216">
      <c r="A216" s="10" t="inlineStr">
        <is>
          <t>Fenaia (détail)</t>
        </is>
      </c>
      <c r="B216" s="7" t="inlineStr">
        <is>
          <t>2026000035</t>
        </is>
      </c>
      <c r="C216" s="10" t="inlineStr">
        <is>
          <t>D00035</t>
        </is>
      </c>
      <c r="D216" s="11" t="n">
        <v>46180</v>
      </c>
      <c r="E216" s="7" t="inlineStr">
        <is>
          <t>2026-06</t>
        </is>
      </c>
      <c r="F216" s="10" t="inlineStr">
        <is>
          <t>Vente</t>
        </is>
      </c>
      <c r="G216" s="10" t="inlineStr">
        <is>
          <t>SARL GUERROUF AUTO</t>
        </is>
      </c>
      <c r="H216" s="7" t="inlineStr">
        <is>
          <t>C1099</t>
        </is>
      </c>
      <c r="I216" s="10" t="inlineStr">
        <is>
          <t>Nouveau code à créer</t>
        </is>
      </c>
      <c r="J216" s="10" t="n">
        <v>1</v>
      </c>
      <c r="K216" s="12" t="n">
        <v>245000</v>
      </c>
      <c r="L216" s="12" t="n">
        <v>0</v>
      </c>
      <c r="M216" s="12" t="n">
        <v>46550</v>
      </c>
      <c r="N216" s="12" t="n">
        <v>291550</v>
      </c>
      <c r="O216" s="7" t="inlineStr">
        <is>
          <t>15001</t>
        </is>
      </c>
      <c r="P216" s="5">
        <f>ROUND(M216-K216*0.19,2)</f>
        <v/>
      </c>
      <c r="Q216">
        <f>IF(ISNUMBER(SEARCH("DJENNADI",G216)),"OUI","")</f>
        <v/>
      </c>
    </row>
    <row r="217">
      <c r="A217" s="10" t="inlineStr">
        <is>
          <t>Fenaia (détail)</t>
        </is>
      </c>
      <c r="B217" s="7" t="inlineStr">
        <is>
          <t>2026000036</t>
        </is>
      </c>
      <c r="C217" s="10" t="inlineStr">
        <is>
          <t>D00036</t>
        </is>
      </c>
      <c r="D217" s="11" t="n">
        <v>46180</v>
      </c>
      <c r="E217" s="7" t="inlineStr">
        <is>
          <t>2026-06</t>
        </is>
      </c>
      <c r="F217" s="10" t="inlineStr">
        <is>
          <t>Vente</t>
        </is>
      </c>
      <c r="G217" s="10" t="inlineStr">
        <is>
          <t>EURL TERRENO TRANS</t>
        </is>
      </c>
      <c r="H217" s="7" t="inlineStr">
        <is>
          <t>C959</t>
        </is>
      </c>
      <c r="I217" s="10" t="inlineStr">
        <is>
          <t>Code existant</t>
        </is>
      </c>
      <c r="J217" s="10" t="n">
        <v>4</v>
      </c>
      <c r="K217" s="12" t="n">
        <v>2489800</v>
      </c>
      <c r="L217" s="12" t="n">
        <v>0</v>
      </c>
      <c r="M217" s="12" t="n">
        <v>473062</v>
      </c>
      <c r="N217" s="12" t="n">
        <v>2962862</v>
      </c>
      <c r="O217" s="7" t="inlineStr">
        <is>
          <t>15001</t>
        </is>
      </c>
      <c r="P217" s="5">
        <f>ROUND(M217-K217*0.19,2)</f>
        <v/>
      </c>
      <c r="Q217">
        <f>IF(ISNUMBER(SEARCH("DJENNADI",G217)),"OUI","")</f>
        <v/>
      </c>
    </row>
    <row r="218">
      <c r="A218" s="10" t="inlineStr">
        <is>
          <t>Fenaia (détail)</t>
        </is>
      </c>
      <c r="B218" s="7" t="inlineStr">
        <is>
          <t>2026000037</t>
        </is>
      </c>
      <c r="C218" s="10" t="inlineStr">
        <is>
          <t>D00037</t>
        </is>
      </c>
      <c r="D218" s="11" t="n">
        <v>46181</v>
      </c>
      <c r="E218" s="7" t="inlineStr">
        <is>
          <t>2026-06</t>
        </is>
      </c>
      <c r="F218" s="10" t="inlineStr">
        <is>
          <t>Vente</t>
        </is>
      </c>
      <c r="G218" s="10" t="inlineStr">
        <is>
          <t>SARL BEJAIA LOGISTIQUE</t>
        </is>
      </c>
      <c r="H218" s="7" t="inlineStr">
        <is>
          <t>C708</t>
        </is>
      </c>
      <c r="I218" s="10" t="inlineStr">
        <is>
          <t>Code existant</t>
        </is>
      </c>
      <c r="J218" s="10" t="n">
        <v>1</v>
      </c>
      <c r="K218" s="12" t="n">
        <v>15000</v>
      </c>
      <c r="L218" s="12" t="n">
        <v>0</v>
      </c>
      <c r="M218" s="12" t="n">
        <v>2850</v>
      </c>
      <c r="N218" s="12" t="n">
        <v>17850</v>
      </c>
      <c r="O218" s="7" t="inlineStr">
        <is>
          <t>15001</t>
        </is>
      </c>
      <c r="P218" s="5">
        <f>ROUND(M218-K218*0.19,2)</f>
        <v/>
      </c>
      <c r="Q218">
        <f>IF(ISNUMBER(SEARCH("DJENNADI",G218)),"OUI","")</f>
        <v/>
      </c>
    </row>
    <row r="219">
      <c r="A219" s="10" t="inlineStr">
        <is>
          <t>Fenaia (détail)</t>
        </is>
      </c>
      <c r="B219" s="7" t="inlineStr">
        <is>
          <t>2026000038</t>
        </is>
      </c>
      <c r="C219" s="10" t="inlineStr">
        <is>
          <t>D00038</t>
        </is>
      </c>
      <c r="D219" s="11" t="n">
        <v>46184</v>
      </c>
      <c r="E219" s="7" t="inlineStr">
        <is>
          <t>2026-06</t>
        </is>
      </c>
      <c r="F219" s="10" t="inlineStr">
        <is>
          <t>Vente</t>
        </is>
      </c>
      <c r="G219" s="10" t="inlineStr">
        <is>
          <t>SPA AGGLOMERES DE L'ESTE</t>
        </is>
      </c>
      <c r="H219" s="7" t="inlineStr">
        <is>
          <t>C978</t>
        </is>
      </c>
      <c r="I219" s="10" t="inlineStr">
        <is>
          <t>Code existant (nom proche)</t>
        </is>
      </c>
      <c r="J219" s="10" t="n">
        <v>2</v>
      </c>
      <c r="K219" s="12" t="n">
        <v>94000</v>
      </c>
      <c r="L219" s="12" t="n">
        <v>0</v>
      </c>
      <c r="M219" s="12" t="n">
        <v>17860</v>
      </c>
      <c r="N219" s="12" t="n">
        <v>111860</v>
      </c>
      <c r="O219" s="7" t="inlineStr">
        <is>
          <t>15001</t>
        </is>
      </c>
      <c r="P219" s="5">
        <f>ROUND(M219-K219*0.19,2)</f>
        <v/>
      </c>
      <c r="Q219">
        <f>IF(ISNUMBER(SEARCH("DJENNADI",G219)),"OUI","")</f>
        <v/>
      </c>
    </row>
    <row r="220">
      <c r="A220" s="10" t="inlineStr">
        <is>
          <t>Fenaia (détail)</t>
        </is>
      </c>
      <c r="B220" s="7" t="inlineStr">
        <is>
          <t>2026000039</t>
        </is>
      </c>
      <c r="C220" s="10" t="inlineStr">
        <is>
          <t>D00039</t>
        </is>
      </c>
      <c r="D220" s="11" t="n">
        <v>46189</v>
      </c>
      <c r="E220" s="7" t="inlineStr">
        <is>
          <t>2026-06</t>
        </is>
      </c>
      <c r="F220" s="10" t="inlineStr">
        <is>
          <t>Vente</t>
        </is>
      </c>
      <c r="G220" s="10" t="inlineStr">
        <is>
          <t>SPA BRASSERIE STAR D'ALGERIE</t>
        </is>
      </c>
      <c r="H220" s="7" t="inlineStr">
        <is>
          <t>C1053</t>
        </is>
      </c>
      <c r="I220" s="10" t="inlineStr">
        <is>
          <t>Code existant</t>
        </is>
      </c>
      <c r="J220" s="10" t="n">
        <v>4</v>
      </c>
      <c r="K220" s="12" t="n">
        <v>132000</v>
      </c>
      <c r="L220" s="12" t="n">
        <v>0</v>
      </c>
      <c r="M220" s="12" t="n">
        <v>25080</v>
      </c>
      <c r="N220" s="12" t="n">
        <v>157080</v>
      </c>
      <c r="O220" s="7" t="inlineStr">
        <is>
          <t>15001</t>
        </is>
      </c>
      <c r="P220" s="5">
        <f>ROUND(M220-K220*0.19,2)</f>
        <v/>
      </c>
      <c r="Q220">
        <f>IF(ISNUMBER(SEARCH("DJENNADI",G220)),"OUI","")</f>
        <v/>
      </c>
    </row>
    <row r="221">
      <c r="A221" s="10" t="inlineStr">
        <is>
          <t>Fenaia (détail)</t>
        </is>
      </c>
      <c r="B221" s="7" t="inlineStr">
        <is>
          <t>2026000040</t>
        </is>
      </c>
      <c r="C221" s="10" t="inlineStr">
        <is>
          <t>D00040</t>
        </is>
      </c>
      <c r="D221" s="11" t="n">
        <v>46191</v>
      </c>
      <c r="E221" s="7" t="inlineStr">
        <is>
          <t>2026-06</t>
        </is>
      </c>
      <c r="F221" s="10" t="inlineStr">
        <is>
          <t>Vente</t>
        </is>
      </c>
      <c r="G221" s="10" t="inlineStr">
        <is>
          <t>SPA TMF LOGISTICS</t>
        </is>
      </c>
      <c r="H221" s="7" t="inlineStr">
        <is>
          <t>C671</t>
        </is>
      </c>
      <c r="I221" s="10" t="inlineStr">
        <is>
          <t>Code existant</t>
        </is>
      </c>
      <c r="J221" s="10" t="n">
        <v>2</v>
      </c>
      <c r="K221" s="12" t="n">
        <v>47000</v>
      </c>
      <c r="L221" s="12" t="n">
        <v>0</v>
      </c>
      <c r="M221" s="12" t="n">
        <v>8930</v>
      </c>
      <c r="N221" s="12" t="n">
        <v>55930</v>
      </c>
      <c r="O221" s="7" t="inlineStr">
        <is>
          <t>15001</t>
        </is>
      </c>
      <c r="P221" s="5">
        <f>ROUND(M221-K221*0.19,2)</f>
        <v/>
      </c>
      <c r="Q221">
        <f>IF(ISNUMBER(SEARCH("DJENNADI",G221)),"OUI","")</f>
        <v/>
      </c>
    </row>
    <row r="222">
      <c r="A222" s="10" t="inlineStr">
        <is>
          <t>Fenaia (détail)</t>
        </is>
      </c>
      <c r="B222" s="7" t="inlineStr">
        <is>
          <t>2026000041</t>
        </is>
      </c>
      <c r="C222" s="10" t="inlineStr">
        <is>
          <t>D00041</t>
        </is>
      </c>
      <c r="D222" s="11" t="n">
        <v>46196</v>
      </c>
      <c r="E222" s="7" t="inlineStr">
        <is>
          <t>2026-06</t>
        </is>
      </c>
      <c r="F222" s="10" t="inlineStr">
        <is>
          <t>Vente</t>
        </is>
      </c>
      <c r="G222" s="10" t="inlineStr">
        <is>
          <t>SARL ZIBANE</t>
        </is>
      </c>
      <c r="H222" s="7" t="inlineStr">
        <is>
          <t>C1100</t>
        </is>
      </c>
      <c r="I222" s="10" t="inlineStr">
        <is>
          <t>Nouveau code à créer</t>
        </is>
      </c>
      <c r="J222" s="10" t="n">
        <v>1</v>
      </c>
      <c r="K222" s="12" t="n">
        <v>340000</v>
      </c>
      <c r="L222" s="12" t="n">
        <v>0</v>
      </c>
      <c r="M222" s="12" t="n">
        <v>64600</v>
      </c>
      <c r="N222" s="12" t="n">
        <v>404600</v>
      </c>
      <c r="O222" s="7" t="inlineStr">
        <is>
          <t>15001</t>
        </is>
      </c>
      <c r="P222" s="5">
        <f>ROUND(M222-K222*0.19,2)</f>
        <v/>
      </c>
      <c r="Q222">
        <f>IF(ISNUMBER(SEARCH("DJENNADI",G222)),"OUI","")</f>
        <v/>
      </c>
    </row>
    <row r="223">
      <c r="A223" s="10" t="inlineStr">
        <is>
          <t>Fenaia (détail)</t>
        </is>
      </c>
      <c r="B223" s="7" t="inlineStr">
        <is>
          <t>2026000042</t>
        </is>
      </c>
      <c r="C223" s="10" t="inlineStr">
        <is>
          <t>D00042</t>
        </is>
      </c>
      <c r="D223" s="11" t="n">
        <v>46201</v>
      </c>
      <c r="E223" s="7" t="inlineStr">
        <is>
          <t>2026-06</t>
        </is>
      </c>
      <c r="F223" s="10" t="inlineStr">
        <is>
          <t>Vente</t>
        </is>
      </c>
      <c r="G223" s="10" t="inlineStr">
        <is>
          <t>SPA AGGLOMERES DE L'ESTE</t>
        </is>
      </c>
      <c r="H223" s="7" t="inlineStr">
        <is>
          <t>C978</t>
        </is>
      </c>
      <c r="I223" s="10" t="inlineStr">
        <is>
          <t>Code existant (nom proche)</t>
        </is>
      </c>
      <c r="J223" s="10" t="n">
        <v>1</v>
      </c>
      <c r="K223" s="12" t="n">
        <v>18000</v>
      </c>
      <c r="L223" s="12" t="n">
        <v>0</v>
      </c>
      <c r="M223" s="12" t="n">
        <v>3420</v>
      </c>
      <c r="N223" s="12" t="n">
        <v>21420</v>
      </c>
      <c r="O223" s="7" t="inlineStr">
        <is>
          <t>15001</t>
        </is>
      </c>
      <c r="P223" s="5">
        <f>ROUND(M223-K223*0.19,2)</f>
        <v/>
      </c>
      <c r="Q223">
        <f>IF(ISNUMBER(SEARCH("DJENNADI",G223)),"OUI","")</f>
        <v/>
      </c>
    </row>
    <row r="224">
      <c r="A224" s="10" t="inlineStr">
        <is>
          <t>Fenaia (détail)</t>
        </is>
      </c>
      <c r="B224" s="7" t="inlineStr">
        <is>
          <t>2026000043</t>
        </is>
      </c>
      <c r="C224" s="10" t="inlineStr">
        <is>
          <t>D00043</t>
        </is>
      </c>
      <c r="D224" s="11" t="n">
        <v>46201</v>
      </c>
      <c r="E224" s="7" t="inlineStr">
        <is>
          <t>2026-06</t>
        </is>
      </c>
      <c r="F224" s="10" t="inlineStr">
        <is>
          <t>Vente</t>
        </is>
      </c>
      <c r="G224" s="10" t="inlineStr">
        <is>
          <t>EURL TERRENO TRANS</t>
        </is>
      </c>
      <c r="H224" s="7" t="inlineStr">
        <is>
          <t>C959</t>
        </is>
      </c>
      <c r="I224" s="10" t="inlineStr">
        <is>
          <t>Code existant</t>
        </is>
      </c>
      <c r="J224" s="10" t="n">
        <v>4</v>
      </c>
      <c r="K224" s="12" t="n">
        <v>342200</v>
      </c>
      <c r="L224" s="12" t="n">
        <v>0</v>
      </c>
      <c r="M224" s="12" t="n">
        <v>65018</v>
      </c>
      <c r="N224" s="12" t="n">
        <v>407218</v>
      </c>
      <c r="O224" s="7" t="inlineStr">
        <is>
          <t>15001</t>
        </is>
      </c>
      <c r="P224" s="5">
        <f>ROUND(M224-K224*0.19,2)</f>
        <v/>
      </c>
      <c r="Q224">
        <f>IF(ISNUMBER(SEARCH("DJENNADI",G224)),"OUI","")</f>
        <v/>
      </c>
    </row>
    <row r="225">
      <c r="A225" s="10" t="inlineStr">
        <is>
          <t>Fenaia (détail)</t>
        </is>
      </c>
      <c r="B225" s="7" t="inlineStr">
        <is>
          <t>2026000044</t>
        </is>
      </c>
      <c r="C225" s="10" t="inlineStr">
        <is>
          <t>D00044</t>
        </is>
      </c>
      <c r="D225" s="11" t="n">
        <v>46201</v>
      </c>
      <c r="E225" s="7" t="inlineStr">
        <is>
          <t>2026-06</t>
        </is>
      </c>
      <c r="F225" s="10" t="inlineStr">
        <is>
          <t>Vente</t>
        </is>
      </c>
      <c r="G225" s="10" t="inlineStr">
        <is>
          <t>SARL BEJAIA LOGISTIQUE</t>
        </is>
      </c>
      <c r="H225" s="7" t="inlineStr">
        <is>
          <t>C708</t>
        </is>
      </c>
      <c r="I225" s="10" t="inlineStr">
        <is>
          <t>Code existant</t>
        </is>
      </c>
      <c r="J225" s="10" t="n">
        <v>1</v>
      </c>
      <c r="K225" s="12" t="n">
        <v>45000</v>
      </c>
      <c r="L225" s="12" t="n">
        <v>0</v>
      </c>
      <c r="M225" s="12" t="n">
        <v>8550</v>
      </c>
      <c r="N225" s="12" t="n">
        <v>53550</v>
      </c>
      <c r="O225" s="7" t="inlineStr">
        <is>
          <t>15001</t>
        </is>
      </c>
      <c r="P225" s="5">
        <f>ROUND(M225-K225*0.19,2)</f>
        <v/>
      </c>
      <c r="Q225">
        <f>IF(ISNUMBER(SEARCH("DJENNADI",G225)),"OUI","")</f>
        <v/>
      </c>
    </row>
    <row r="226">
      <c r="A226" s="10" t="inlineStr">
        <is>
          <t>Fenaia (détail)</t>
        </is>
      </c>
      <c r="B226" s="7" t="inlineStr">
        <is>
          <t>2026000045</t>
        </is>
      </c>
      <c r="C226" s="10" t="inlineStr">
        <is>
          <t>D00045</t>
        </is>
      </c>
      <c r="D226" s="11" t="n">
        <v>46204</v>
      </c>
      <c r="E226" s="7" t="inlineStr">
        <is>
          <t>2026-07</t>
        </is>
      </c>
      <c r="F226" s="10" t="inlineStr">
        <is>
          <t>Vente</t>
        </is>
      </c>
      <c r="G226" s="10" t="inlineStr">
        <is>
          <t>COSIDER TP</t>
        </is>
      </c>
      <c r="H226" s="7" t="inlineStr">
        <is>
          <t>C1101</t>
        </is>
      </c>
      <c r="I226" s="10" t="inlineStr">
        <is>
          <t>Nouveau code à créer</t>
        </is>
      </c>
      <c r="J226" s="10" t="n">
        <v>1</v>
      </c>
      <c r="K226" s="12" t="n">
        <v>35000</v>
      </c>
      <c r="L226" s="12" t="n">
        <v>0</v>
      </c>
      <c r="M226" s="12" t="n">
        <v>6650</v>
      </c>
      <c r="N226" s="12" t="n">
        <v>41650</v>
      </c>
      <c r="O226" s="7" t="inlineStr">
        <is>
          <t>15001</t>
        </is>
      </c>
      <c r="P226" s="5">
        <f>ROUND(M226-K226*0.19,2)</f>
        <v/>
      </c>
      <c r="Q226">
        <f>IF(ISNUMBER(SEARCH("DJENNADI",G226)),"OUI","")</f>
        <v/>
      </c>
    </row>
    <row r="227">
      <c r="A227" s="10" t="inlineStr">
        <is>
          <t>Fenaia (détail)</t>
        </is>
      </c>
      <c r="B227" s="7" t="inlineStr">
        <is>
          <t>2026000046</t>
        </is>
      </c>
      <c r="C227" s="10" t="inlineStr">
        <is>
          <t>D00046</t>
        </is>
      </c>
      <c r="D227" s="11" t="n">
        <v>46210</v>
      </c>
      <c r="E227" s="7" t="inlineStr">
        <is>
          <t>2026-07</t>
        </is>
      </c>
      <c r="F227" s="10" t="inlineStr">
        <is>
          <t>Vente</t>
        </is>
      </c>
      <c r="G227" s="10" t="inlineStr">
        <is>
          <t>SPA TMF LOGISTICS</t>
        </is>
      </c>
      <c r="H227" s="7" t="inlineStr">
        <is>
          <t>C671</t>
        </is>
      </c>
      <c r="I227" s="10" t="inlineStr">
        <is>
          <t>Code existant</t>
        </is>
      </c>
      <c r="J227" s="10" t="n">
        <v>1</v>
      </c>
      <c r="K227" s="12" t="n">
        <v>650000</v>
      </c>
      <c r="L227" s="12" t="n">
        <v>0</v>
      </c>
      <c r="M227" s="12" t="n">
        <v>123500</v>
      </c>
      <c r="N227" s="12" t="n">
        <v>773500</v>
      </c>
      <c r="O227" s="7" t="inlineStr">
        <is>
          <t>15001</t>
        </is>
      </c>
      <c r="P227" s="5">
        <f>ROUND(M227-K227*0.19,2)</f>
        <v/>
      </c>
      <c r="Q227">
        <f>IF(ISNUMBER(SEARCH("DJENNADI",G227)),"OUI","")</f>
        <v/>
      </c>
    </row>
    <row r="228">
      <c r="A228" s="10" t="inlineStr">
        <is>
          <t>Fenaia (détail)</t>
        </is>
      </c>
      <c r="B228" s="7" t="inlineStr">
        <is>
          <t>2026000047</t>
        </is>
      </c>
      <c r="C228" s="10" t="inlineStr">
        <is>
          <t>D00047</t>
        </is>
      </c>
      <c r="D228" s="11" t="n">
        <v>46211</v>
      </c>
      <c r="E228" s="7" t="inlineStr">
        <is>
          <t>2026-07</t>
        </is>
      </c>
      <c r="F228" s="10" t="inlineStr">
        <is>
          <t>Vente</t>
        </is>
      </c>
      <c r="G228" s="10" t="inlineStr">
        <is>
          <t>SNC ECOTP MOUHALI ET FRERES</t>
        </is>
      </c>
      <c r="H228" s="7" t="inlineStr">
        <is>
          <t>C248</t>
        </is>
      </c>
      <c r="I228" s="10" t="inlineStr">
        <is>
          <t>Code existant (nom proche)</t>
        </is>
      </c>
      <c r="J228" s="10" t="n">
        <v>1</v>
      </c>
      <c r="K228" s="12" t="n">
        <v>104000</v>
      </c>
      <c r="L228" s="12" t="n">
        <v>0</v>
      </c>
      <c r="M228" s="12" t="n">
        <v>19760</v>
      </c>
      <c r="N228" s="12" t="n">
        <v>123760</v>
      </c>
      <c r="O228" s="7" t="inlineStr">
        <is>
          <t>15001</t>
        </is>
      </c>
      <c r="P228" s="5">
        <f>ROUND(M228-K228*0.19,2)</f>
        <v/>
      </c>
      <c r="Q228">
        <f>IF(ISNUMBER(SEARCH("DJENNADI",G228)),"OUI","")</f>
        <v/>
      </c>
    </row>
    <row r="229">
      <c r="A229" s="10" t="inlineStr">
        <is>
          <t>Fenaia (détail)</t>
        </is>
      </c>
      <c r="B229" s="7" t="inlineStr">
        <is>
          <t>2026000048</t>
        </is>
      </c>
      <c r="C229" s="10" t="inlineStr">
        <is>
          <t>D00048</t>
        </is>
      </c>
      <c r="D229" s="11" t="n">
        <v>46217</v>
      </c>
      <c r="E229" s="7" t="inlineStr">
        <is>
          <t>2026-07</t>
        </is>
      </c>
      <c r="F229" s="10" t="inlineStr">
        <is>
          <t>Vente</t>
        </is>
      </c>
      <c r="G229" s="10" t="inlineStr">
        <is>
          <t>SARL BEJAIA LOGISTIQUE</t>
        </is>
      </c>
      <c r="H229" s="7" t="inlineStr">
        <is>
          <t>C708</t>
        </is>
      </c>
      <c r="I229" s="10" t="inlineStr">
        <is>
          <t>Code existant</t>
        </is>
      </c>
      <c r="J229" s="10" t="n">
        <v>2</v>
      </c>
      <c r="K229" s="12" t="n">
        <v>300000</v>
      </c>
      <c r="L229" s="12" t="n">
        <v>0</v>
      </c>
      <c r="M229" s="12" t="n">
        <v>57000</v>
      </c>
      <c r="N229" s="12" t="n">
        <v>357000</v>
      </c>
      <c r="O229" s="7" t="inlineStr">
        <is>
          <t>15001</t>
        </is>
      </c>
      <c r="P229" s="5">
        <f>ROUND(M229-K229*0.19,2)</f>
        <v/>
      </c>
      <c r="Q229">
        <f>IF(ISNUMBER(SEARCH("DJENNADI",G229)),"OUI","")</f>
        <v/>
      </c>
    </row>
    <row r="230">
      <c r="A230" s="10" t="inlineStr">
        <is>
          <t>Fenaia (détail)</t>
        </is>
      </c>
      <c r="B230" s="7" t="inlineStr">
        <is>
          <t>2026000049</t>
        </is>
      </c>
      <c r="C230" s="10" t="inlineStr">
        <is>
          <t>D00049</t>
        </is>
      </c>
      <c r="D230" s="11" t="n">
        <v>46218</v>
      </c>
      <c r="E230" s="7" t="inlineStr">
        <is>
          <t>2026-07</t>
        </is>
      </c>
      <c r="F230" s="10" t="inlineStr">
        <is>
          <t>Retour</t>
        </is>
      </c>
      <c r="G230" s="10" t="inlineStr">
        <is>
          <t>SNC ECOTP MOUHALI ET FRERES</t>
        </is>
      </c>
      <c r="H230" s="7" t="inlineStr">
        <is>
          <t>C248</t>
        </is>
      </c>
      <c r="I230" s="10" t="inlineStr">
        <is>
          <t>Code existant (nom proche)</t>
        </is>
      </c>
      <c r="J230" s="10" t="n">
        <v>1</v>
      </c>
      <c r="K230" s="12" t="n">
        <v>-104000</v>
      </c>
      <c r="L230" s="12" t="n">
        <v>0</v>
      </c>
      <c r="M230" s="12" t="n">
        <v>-19760</v>
      </c>
      <c r="N230" s="12" t="n">
        <v>-123760</v>
      </c>
      <c r="O230" s="7" t="inlineStr">
        <is>
          <t>15001</t>
        </is>
      </c>
      <c r="P230" s="5">
        <f>ROUND(M230-K230*0.19,2)</f>
        <v/>
      </c>
      <c r="Q230">
        <f>IF(ISNUMBER(SEARCH("DJENNADI",G230)),"OUI","")</f>
        <v/>
      </c>
    </row>
    <row r="231">
      <c r="A231" s="10" t="inlineStr">
        <is>
          <t>Fenaia (détail)</t>
        </is>
      </c>
      <c r="B231" s="7" t="inlineStr">
        <is>
          <t>2026000050</t>
        </is>
      </c>
      <c r="C231" s="10" t="inlineStr">
        <is>
          <t>D00050</t>
        </is>
      </c>
      <c r="D231" s="11" t="n">
        <v>46218</v>
      </c>
      <c r="E231" s="7" t="inlineStr">
        <is>
          <t>2026-07</t>
        </is>
      </c>
      <c r="F231" s="10" t="inlineStr">
        <is>
          <t>Vente</t>
        </is>
      </c>
      <c r="G231" s="10" t="inlineStr">
        <is>
          <t>SPA AGGLOMERES DE L'ESTE</t>
        </is>
      </c>
      <c r="H231" s="7" t="inlineStr">
        <is>
          <t>C978</t>
        </is>
      </c>
      <c r="I231" s="10" t="inlineStr">
        <is>
          <t>Code existant (nom proche)</t>
        </is>
      </c>
      <c r="J231" s="10" t="n">
        <v>3</v>
      </c>
      <c r="K231" s="12" t="n">
        <v>156000</v>
      </c>
      <c r="L231" s="12" t="n">
        <v>0</v>
      </c>
      <c r="M231" s="12" t="n">
        <v>29640</v>
      </c>
      <c r="N231" s="12" t="n">
        <v>185640</v>
      </c>
      <c r="O231" s="7" t="inlineStr">
        <is>
          <t>15001</t>
        </is>
      </c>
      <c r="P231" s="5">
        <f>ROUND(M231-K231*0.19,2)</f>
        <v/>
      </c>
      <c r="Q231">
        <f>IF(ISNUMBER(SEARCH("DJENNADI",G231)),"OUI","")</f>
        <v/>
      </c>
    </row>
    <row r="232">
      <c r="A232" s="10" t="inlineStr">
        <is>
          <t>Fenaia (détail)</t>
        </is>
      </c>
      <c r="B232" s="7" t="inlineStr">
        <is>
          <t>2026000051</t>
        </is>
      </c>
      <c r="C232" s="10" t="inlineStr">
        <is>
          <t>D00051</t>
        </is>
      </c>
      <c r="D232" s="11" t="n">
        <v>46219</v>
      </c>
      <c r="E232" s="7" t="inlineStr">
        <is>
          <t>2026-07</t>
        </is>
      </c>
      <c r="F232" s="10" t="inlineStr">
        <is>
          <t>Vente</t>
        </is>
      </c>
      <c r="G232" s="10" t="inlineStr">
        <is>
          <t>SARL BEJAIA LOGISTIQUE</t>
        </is>
      </c>
      <c r="H232" s="7" t="inlineStr">
        <is>
          <t>C708</t>
        </is>
      </c>
      <c r="I232" s="10" t="inlineStr">
        <is>
          <t>Code existant</t>
        </is>
      </c>
      <c r="J232" s="10" t="n">
        <v>2</v>
      </c>
      <c r="K232" s="12" t="n">
        <v>202100</v>
      </c>
      <c r="L232" s="12" t="n">
        <v>0</v>
      </c>
      <c r="M232" s="12" t="n">
        <v>38399</v>
      </c>
      <c r="N232" s="12" t="n">
        <v>240499</v>
      </c>
      <c r="O232" s="7" t="inlineStr">
        <is>
          <t>15001</t>
        </is>
      </c>
      <c r="P232" s="5">
        <f>ROUND(M232-K232*0.19,2)</f>
        <v/>
      </c>
      <c r="Q232">
        <f>IF(ISNUMBER(SEARCH("DJENNADI",G232)),"OUI","")</f>
        <v/>
      </c>
    </row>
    <row r="233">
      <c r="A233" s="10" t="inlineStr">
        <is>
          <t>Fenaia (détail)</t>
        </is>
      </c>
      <c r="B233" s="7" t="inlineStr">
        <is>
          <t>2026000052</t>
        </is>
      </c>
      <c r="C233" s="10" t="inlineStr">
        <is>
          <t>D00052</t>
        </is>
      </c>
      <c r="D233" s="11" t="n">
        <v>46223</v>
      </c>
      <c r="E233" s="7" t="inlineStr">
        <is>
          <t>2026-07</t>
        </is>
      </c>
      <c r="F233" s="10" t="inlineStr">
        <is>
          <t>Vente</t>
        </is>
      </c>
      <c r="G233" s="10" t="inlineStr">
        <is>
          <t>SPA TMF LOGISTICS</t>
        </is>
      </c>
      <c r="H233" s="7" t="inlineStr">
        <is>
          <t>C671</t>
        </is>
      </c>
      <c r="I233" s="10" t="inlineStr">
        <is>
          <t>Code existant</t>
        </is>
      </c>
      <c r="J233" s="10" t="n">
        <v>5</v>
      </c>
      <c r="K233" s="12" t="n">
        <v>970000</v>
      </c>
      <c r="L233" s="12" t="n">
        <v>0</v>
      </c>
      <c r="M233" s="12" t="n">
        <v>184300</v>
      </c>
      <c r="N233" s="12" t="n">
        <v>1154300</v>
      </c>
      <c r="O233" s="7" t="inlineStr">
        <is>
          <t>15001</t>
        </is>
      </c>
      <c r="P233" s="5">
        <f>ROUND(M233-K233*0.19,2)</f>
        <v/>
      </c>
      <c r="Q233">
        <f>IF(ISNUMBER(SEARCH("DJENNADI",G233)),"OUI","")</f>
        <v/>
      </c>
    </row>
    <row r="234">
      <c r="A234" s="10" t="inlineStr">
        <is>
          <t>Fenaia (détail)</t>
        </is>
      </c>
      <c r="B234" s="7" t="inlineStr">
        <is>
          <t>2026000053</t>
        </is>
      </c>
      <c r="C234" s="10" t="inlineStr">
        <is>
          <t>D00053</t>
        </is>
      </c>
      <c r="D234" s="11" t="n">
        <v>46225</v>
      </c>
      <c r="E234" s="7" t="inlineStr">
        <is>
          <t>2026-07</t>
        </is>
      </c>
      <c r="F234" s="10" t="inlineStr">
        <is>
          <t>Vente</t>
        </is>
      </c>
      <c r="G234" s="10" t="inlineStr">
        <is>
          <t>SARL BEJAIA LOGISTIQUE</t>
        </is>
      </c>
      <c r="H234" s="7" t="inlineStr">
        <is>
          <t>C708</t>
        </is>
      </c>
      <c r="I234" s="10" t="inlineStr">
        <is>
          <t>Code existant</t>
        </is>
      </c>
      <c r="J234" s="10" t="n">
        <v>1</v>
      </c>
      <c r="K234" s="12" t="n">
        <v>190000</v>
      </c>
      <c r="L234" s="12" t="n">
        <v>0</v>
      </c>
      <c r="M234" s="12" t="n">
        <v>36100</v>
      </c>
      <c r="N234" s="12" t="n">
        <v>226100</v>
      </c>
      <c r="O234" s="7" t="inlineStr">
        <is>
          <t>15001</t>
        </is>
      </c>
      <c r="P234" s="5">
        <f>ROUND(M234-K234*0.19,2)</f>
        <v/>
      </c>
      <c r="Q234">
        <f>IF(ISNUMBER(SEARCH("DJENNADI",G234)),"OUI","")</f>
        <v/>
      </c>
    </row>
    <row r="235">
      <c r="A235" s="10" t="inlineStr">
        <is>
          <t>Fenaia (détail)</t>
        </is>
      </c>
      <c r="B235" s="7" t="inlineStr">
        <is>
          <t>2026000054</t>
        </is>
      </c>
      <c r="C235" s="10" t="inlineStr">
        <is>
          <t>D00054</t>
        </is>
      </c>
      <c r="D235" s="11" t="n">
        <v>46229</v>
      </c>
      <c r="E235" s="7" t="inlineStr">
        <is>
          <t>2026-07</t>
        </is>
      </c>
      <c r="F235" s="10" t="inlineStr">
        <is>
          <t>Vente</t>
        </is>
      </c>
      <c r="G235" s="10" t="inlineStr">
        <is>
          <t>SPA BRASSERIE STAR D'ALGERIE</t>
        </is>
      </c>
      <c r="H235" s="7" t="inlineStr">
        <is>
          <t>C1053</t>
        </is>
      </c>
      <c r="I235" s="10" t="inlineStr">
        <is>
          <t>Code existant</t>
        </is>
      </c>
      <c r="J235" s="10" t="n">
        <v>1</v>
      </c>
      <c r="K235" s="12" t="n">
        <v>12000</v>
      </c>
      <c r="L235" s="12" t="n">
        <v>0</v>
      </c>
      <c r="M235" s="12" t="n">
        <v>2280</v>
      </c>
      <c r="N235" s="12" t="n">
        <v>14280</v>
      </c>
      <c r="O235" s="7" t="inlineStr">
        <is>
          <t>15001</t>
        </is>
      </c>
      <c r="P235" s="5">
        <f>ROUND(M235-K235*0.19,2)</f>
        <v/>
      </c>
      <c r="Q235">
        <f>IF(ISNUMBER(SEARCH("DJENNADI",G235)),"OUI","")</f>
        <v/>
      </c>
    </row>
    <row r="236">
      <c r="A236" s="10" t="inlineStr">
        <is>
          <t>Fenaia (détail)</t>
        </is>
      </c>
      <c r="B236" s="7" t="inlineStr">
        <is>
          <t>2026000055</t>
        </is>
      </c>
      <c r="C236" s="10" t="inlineStr">
        <is>
          <t>D00055</t>
        </is>
      </c>
      <c r="D236" s="11" t="n">
        <v>46230</v>
      </c>
      <c r="E236" s="7" t="inlineStr">
        <is>
          <t>2026-07</t>
        </is>
      </c>
      <c r="F236" s="10" t="inlineStr">
        <is>
          <t>Vente</t>
        </is>
      </c>
      <c r="G236" s="10" t="inlineStr">
        <is>
          <t>SARL LAITRIE SOUMMAM</t>
        </is>
      </c>
      <c r="H236" s="7" t="inlineStr">
        <is>
          <t>C986</t>
        </is>
      </c>
      <c r="I236" s="10" t="inlineStr">
        <is>
          <t>Code existant (nom proche)</t>
        </is>
      </c>
      <c r="J236" s="10" t="n">
        <v>1</v>
      </c>
      <c r="K236" s="12" t="n">
        <v>184000</v>
      </c>
      <c r="L236" s="12" t="n">
        <v>0</v>
      </c>
      <c r="M236" s="12" t="n">
        <v>34960</v>
      </c>
      <c r="N236" s="12" t="n">
        <v>218960</v>
      </c>
      <c r="O236" s="7" t="inlineStr">
        <is>
          <t>15001</t>
        </is>
      </c>
      <c r="P236" s="5">
        <f>ROUND(M236-K236*0.19,2)</f>
        <v/>
      </c>
      <c r="Q236">
        <f>IF(ISNUMBER(SEARCH("DJENNADI",G236)),"OUI","")</f>
        <v/>
      </c>
    </row>
    <row r="237">
      <c r="A237" s="10" t="inlineStr">
        <is>
          <t>Fenaia (détail)</t>
        </is>
      </c>
      <c r="B237" s="7" t="inlineStr">
        <is>
          <t>2026000056</t>
        </is>
      </c>
      <c r="C237" s="10" t="inlineStr">
        <is>
          <t>D00056</t>
        </is>
      </c>
      <c r="D237" s="11" t="n">
        <v>46230</v>
      </c>
      <c r="E237" s="7" t="inlineStr">
        <is>
          <t>2026-07</t>
        </is>
      </c>
      <c r="F237" s="10" t="inlineStr">
        <is>
          <t>Vente</t>
        </is>
      </c>
      <c r="G237" s="10" t="inlineStr">
        <is>
          <t>SARL TRANS BAOUCHI</t>
        </is>
      </c>
      <c r="H237" s="7" t="inlineStr">
        <is>
          <t>C1071</t>
        </is>
      </c>
      <c r="I237" s="10" t="inlineStr">
        <is>
          <t>Code existant</t>
        </is>
      </c>
      <c r="J237" s="10" t="n">
        <v>2</v>
      </c>
      <c r="K237" s="12" t="n">
        <v>356400</v>
      </c>
      <c r="L237" s="12" t="n">
        <v>0</v>
      </c>
      <c r="M237" s="12" t="n">
        <v>67716</v>
      </c>
      <c r="N237" s="12" t="n">
        <v>424116</v>
      </c>
      <c r="O237" s="7" t="inlineStr">
        <is>
          <t>15001</t>
        </is>
      </c>
      <c r="P237" s="5">
        <f>ROUND(M237-K237*0.19,2)</f>
        <v/>
      </c>
      <c r="Q237">
        <f>IF(ISNUMBER(SEARCH("DJENNADI",G237)),"OUI","")</f>
        <v/>
      </c>
    </row>
    <row r="238">
      <c r="A238" s="10" t="inlineStr">
        <is>
          <t>Fenaia (détail)</t>
        </is>
      </c>
      <c r="B238" s="7" t="inlineStr">
        <is>
          <t>2026000057</t>
        </is>
      </c>
      <c r="C238" s="10" t="inlineStr">
        <is>
          <t>D00057</t>
        </is>
      </c>
      <c r="D238" s="11" t="n">
        <v>46233</v>
      </c>
      <c r="E238" s="7" t="inlineStr">
        <is>
          <t>2026-07</t>
        </is>
      </c>
      <c r="F238" s="10" t="inlineStr">
        <is>
          <t>Vente</t>
        </is>
      </c>
      <c r="G238" s="10" t="inlineStr">
        <is>
          <t>COSIDER T131/DTF HELLOUANE BEJAIA</t>
        </is>
      </c>
      <c r="H238" s="7" t="inlineStr">
        <is>
          <t>C1102</t>
        </is>
      </c>
      <c r="I238" s="10" t="inlineStr">
        <is>
          <t>Nouveau code à créer</t>
        </is>
      </c>
      <c r="J238" s="10" t="n">
        <v>1</v>
      </c>
      <c r="K238" s="12" t="n">
        <v>96000</v>
      </c>
      <c r="L238" s="12" t="n">
        <v>0</v>
      </c>
      <c r="M238" s="12" t="n">
        <v>18240</v>
      </c>
      <c r="N238" s="12" t="n">
        <v>114240</v>
      </c>
      <c r="O238" s="7" t="inlineStr">
        <is>
          <t>15001</t>
        </is>
      </c>
      <c r="P238" s="5">
        <f>ROUND(M238-K238*0.19,2)</f>
        <v/>
      </c>
      <c r="Q238">
        <f>IF(ISNUMBER(SEARCH("DJENNADI",G238)),"OUI","")</f>
        <v/>
      </c>
    </row>
    <row r="239">
      <c r="A239" s="10" t="inlineStr">
        <is>
          <t>Fenaia (détail)</t>
        </is>
      </c>
      <c r="B239" s="7" t="inlineStr">
        <is>
          <t>2026000058</t>
        </is>
      </c>
      <c r="C239" s="10" t="inlineStr">
        <is>
          <t>D00058</t>
        </is>
      </c>
      <c r="D239" s="11" t="n">
        <v>46238</v>
      </c>
      <c r="E239" s="7" t="inlineStr">
        <is>
          <t>2026-08</t>
        </is>
      </c>
      <c r="F239" s="10" t="inlineStr">
        <is>
          <t>Vente</t>
        </is>
      </c>
      <c r="G239" s="10" t="inlineStr">
        <is>
          <t>SPA BRASSERIE STAR D'ALGERIE</t>
        </is>
      </c>
      <c r="H239" s="7" t="inlineStr">
        <is>
          <t>C1053</t>
        </is>
      </c>
      <c r="I239" s="10" t="inlineStr">
        <is>
          <t>Code existant</t>
        </is>
      </c>
      <c r="J239" s="10" t="n">
        <v>1</v>
      </c>
      <c r="K239" s="12" t="n">
        <v>22000</v>
      </c>
      <c r="L239" s="12" t="n">
        <v>0</v>
      </c>
      <c r="M239" s="12" t="n">
        <v>4180</v>
      </c>
      <c r="N239" s="12" t="n">
        <v>26180</v>
      </c>
      <c r="O239" s="7" t="inlineStr">
        <is>
          <t>15001</t>
        </is>
      </c>
      <c r="P239" s="5">
        <f>ROUND(M239-K239*0.19,2)</f>
        <v/>
      </c>
      <c r="Q239">
        <f>IF(ISNUMBER(SEARCH("DJENNADI",G239)),"OUI","")</f>
        <v/>
      </c>
    </row>
    <row r="240">
      <c r="A240" s="10" t="inlineStr">
        <is>
          <t>Fenaia (détail)</t>
        </is>
      </c>
      <c r="B240" s="7" t="inlineStr">
        <is>
          <t>2026000059</t>
        </is>
      </c>
      <c r="C240" s="10" t="inlineStr">
        <is>
          <t>D00059</t>
        </is>
      </c>
      <c r="D240" s="11" t="n">
        <v>46240</v>
      </c>
      <c r="E240" s="7" t="inlineStr">
        <is>
          <t>2026-08</t>
        </is>
      </c>
      <c r="F240" s="10" t="inlineStr">
        <is>
          <t>Vente</t>
        </is>
      </c>
      <c r="G240" s="10" t="inlineStr">
        <is>
          <t>SPA BRASSERIE STAR D'ALGERIE</t>
        </is>
      </c>
      <c r="H240" s="7" t="inlineStr">
        <is>
          <t>C1053</t>
        </is>
      </c>
      <c r="I240" s="10" t="inlineStr">
        <is>
          <t>Code existant</t>
        </is>
      </c>
      <c r="J240" s="10" t="n">
        <v>1</v>
      </c>
      <c r="K240" s="12" t="n">
        <v>17000</v>
      </c>
      <c r="L240" s="12" t="n">
        <v>0</v>
      </c>
      <c r="M240" s="12" t="n">
        <v>3230</v>
      </c>
      <c r="N240" s="12" t="n">
        <v>20230</v>
      </c>
      <c r="O240" s="7" t="inlineStr">
        <is>
          <t>15001</t>
        </is>
      </c>
      <c r="P240" s="5">
        <f>ROUND(M240-K240*0.19,2)</f>
        <v/>
      </c>
      <c r="Q240">
        <f>IF(ISNUMBER(SEARCH("DJENNADI",G240)),"OUI","")</f>
        <v/>
      </c>
    </row>
    <row r="241">
      <c r="A241" s="10" t="inlineStr">
        <is>
          <t>Fenaia (détail)</t>
        </is>
      </c>
      <c r="B241" s="7" t="inlineStr">
        <is>
          <t>2026000060</t>
        </is>
      </c>
      <c r="C241" s="10" t="inlineStr">
        <is>
          <t>D00060</t>
        </is>
      </c>
      <c r="D241" s="11" t="n">
        <v>46240</v>
      </c>
      <c r="E241" s="7" t="inlineStr">
        <is>
          <t>2026-08</t>
        </is>
      </c>
      <c r="F241" s="10" t="inlineStr">
        <is>
          <t>Vente</t>
        </is>
      </c>
      <c r="G241" s="10" t="inlineStr">
        <is>
          <t>TILKOUT AHCEN</t>
        </is>
      </c>
      <c r="H241" s="7" t="inlineStr">
        <is>
          <t>C918</t>
        </is>
      </c>
      <c r="I241" s="10" t="inlineStr">
        <is>
          <t>Code existant (nom proche)</t>
        </is>
      </c>
      <c r="J241" s="10" t="n">
        <v>1</v>
      </c>
      <c r="K241" s="12" t="n">
        <v>400000</v>
      </c>
      <c r="L241" s="12" t="n">
        <v>0</v>
      </c>
      <c r="M241" s="12" t="n">
        <v>76000</v>
      </c>
      <c r="N241" s="12" t="n">
        <v>476000</v>
      </c>
      <c r="O241" s="7" t="inlineStr">
        <is>
          <t>15001</t>
        </is>
      </c>
      <c r="P241" s="5">
        <f>ROUND(M241-K241*0.19,2)</f>
        <v/>
      </c>
      <c r="Q241">
        <f>IF(ISNUMBER(SEARCH("DJENNADI",G241)),"OUI","")</f>
        <v/>
      </c>
    </row>
    <row r="242">
      <c r="A242" s="10" t="inlineStr">
        <is>
          <t>Fenaia (détail)</t>
        </is>
      </c>
      <c r="B242" s="7" t="inlineStr">
        <is>
          <t>2026000061</t>
        </is>
      </c>
      <c r="C242" s="10" t="inlineStr">
        <is>
          <t>D00061</t>
        </is>
      </c>
      <c r="D242" s="11" t="n">
        <v>46240</v>
      </c>
      <c r="E242" s="7" t="inlineStr">
        <is>
          <t>2026-08</t>
        </is>
      </c>
      <c r="F242" s="10" t="inlineStr">
        <is>
          <t>Vente</t>
        </is>
      </c>
      <c r="G242" s="10" t="inlineStr">
        <is>
          <t>SPA TMF LOGISTICS</t>
        </is>
      </c>
      <c r="H242" s="7" t="inlineStr">
        <is>
          <t>C671</t>
        </is>
      </c>
      <c r="I242" s="10" t="inlineStr">
        <is>
          <t>Code existant</t>
        </is>
      </c>
      <c r="J242" s="10" t="n">
        <v>1</v>
      </c>
      <c r="K242" s="12" t="n">
        <v>77400</v>
      </c>
      <c r="L242" s="12" t="n">
        <v>0</v>
      </c>
      <c r="M242" s="12" t="n">
        <v>14706</v>
      </c>
      <c r="N242" s="12" t="n">
        <v>92106</v>
      </c>
      <c r="O242" s="7" t="inlineStr">
        <is>
          <t>15001</t>
        </is>
      </c>
      <c r="P242" s="5">
        <f>ROUND(M242-K242*0.19,2)</f>
        <v/>
      </c>
      <c r="Q242">
        <f>IF(ISNUMBER(SEARCH("DJENNADI",G242)),"OUI","")</f>
        <v/>
      </c>
    </row>
    <row r="243">
      <c r="A243" s="10" t="inlineStr">
        <is>
          <t>Fenaia (détail)</t>
        </is>
      </c>
      <c r="B243" s="7" t="inlineStr">
        <is>
          <t>2026000062</t>
        </is>
      </c>
      <c r="C243" s="10" t="inlineStr">
        <is>
          <t>D00062</t>
        </is>
      </c>
      <c r="D243" s="11" t="n">
        <v>46253</v>
      </c>
      <c r="E243" s="7" t="inlineStr">
        <is>
          <t>2026-08</t>
        </is>
      </c>
      <c r="F243" s="10" t="inlineStr">
        <is>
          <t>Vente</t>
        </is>
      </c>
      <c r="G243" s="10" t="inlineStr">
        <is>
          <t>SARL LAITRIE SOUMMAM</t>
        </is>
      </c>
      <c r="H243" s="7" t="inlineStr">
        <is>
          <t>C986</t>
        </is>
      </c>
      <c r="I243" s="10" t="inlineStr">
        <is>
          <t>Code existant (nom proche)</t>
        </is>
      </c>
      <c r="J243" s="10" t="n">
        <v>2</v>
      </c>
      <c r="K243" s="12" t="n">
        <v>498000</v>
      </c>
      <c r="L243" s="12" t="n">
        <v>0</v>
      </c>
      <c r="M243" s="12" t="n">
        <v>94620</v>
      </c>
      <c r="N243" s="12" t="n">
        <v>592620</v>
      </c>
      <c r="O243" s="7" t="inlineStr">
        <is>
          <t>15001</t>
        </is>
      </c>
      <c r="P243" s="5">
        <f>ROUND(M243-K243*0.19,2)</f>
        <v/>
      </c>
      <c r="Q243">
        <f>IF(ISNUMBER(SEARCH("DJENNADI",G243)),"OUI","")</f>
        <v/>
      </c>
    </row>
    <row r="244">
      <c r="A244" s="10" t="inlineStr">
        <is>
          <t>Fenaia (détail)</t>
        </is>
      </c>
      <c r="B244" s="7" t="inlineStr">
        <is>
          <t>2026000063</t>
        </is>
      </c>
      <c r="C244" s="10" t="inlineStr">
        <is>
          <t>D00063</t>
        </is>
      </c>
      <c r="D244" s="11" t="n">
        <v>46264</v>
      </c>
      <c r="E244" s="7" t="inlineStr">
        <is>
          <t>2026-08</t>
        </is>
      </c>
      <c r="F244" s="10" t="inlineStr">
        <is>
          <t>Vente</t>
        </is>
      </c>
      <c r="G244" s="10" t="inlineStr">
        <is>
          <t>COSIDER T131/DTF HELLOUANE BEJAIA</t>
        </is>
      </c>
      <c r="H244" s="7" t="inlineStr">
        <is>
          <t>C1102</t>
        </is>
      </c>
      <c r="I244" s="10" t="inlineStr">
        <is>
          <t>Nouveau code à créer</t>
        </is>
      </c>
      <c r="J244" s="10" t="n">
        <v>2</v>
      </c>
      <c r="K244" s="12" t="n">
        <v>74000</v>
      </c>
      <c r="L244" s="12" t="n">
        <v>0</v>
      </c>
      <c r="M244" s="12" t="n">
        <v>14060</v>
      </c>
      <c r="N244" s="12" t="n">
        <v>88060</v>
      </c>
      <c r="O244" s="7" t="inlineStr">
        <is>
          <t>15001</t>
        </is>
      </c>
      <c r="P244" s="5">
        <f>ROUND(M244-K244*0.19,2)</f>
        <v/>
      </c>
      <c r="Q244">
        <f>IF(ISNUMBER(SEARCH("DJENNADI",G244)),"OUI","")</f>
        <v/>
      </c>
    </row>
    <row r="245">
      <c r="A245" s="10" t="inlineStr">
        <is>
          <t>Fenaia (détail)</t>
        </is>
      </c>
      <c r="B245" s="7" t="inlineStr">
        <is>
          <t>2026000064</t>
        </is>
      </c>
      <c r="C245" s="10" t="inlineStr">
        <is>
          <t>D00064</t>
        </is>
      </c>
      <c r="D245" s="11" t="n">
        <v>46264</v>
      </c>
      <c r="E245" s="7" t="inlineStr">
        <is>
          <t>2026-08</t>
        </is>
      </c>
      <c r="F245" s="10" t="inlineStr">
        <is>
          <t>Vente</t>
        </is>
      </c>
      <c r="G245" s="10" t="inlineStr">
        <is>
          <t>NAFTAL LP 206G BEJAIA</t>
        </is>
      </c>
      <c r="H245" s="7" t="inlineStr">
        <is>
          <t>C1103</t>
        </is>
      </c>
      <c r="I245" s="10" t="inlineStr">
        <is>
          <t>Nouveau code à créer</t>
        </is>
      </c>
      <c r="J245" s="10" t="n">
        <v>2</v>
      </c>
      <c r="K245" s="12" t="n">
        <v>25000</v>
      </c>
      <c r="L245" s="12" t="n">
        <v>25000</v>
      </c>
      <c r="M245" s="12" t="n">
        <v>4750</v>
      </c>
      <c r="N245" s="12" t="n">
        <v>54750</v>
      </c>
      <c r="O245" s="7" t="inlineStr">
        <is>
          <t>15001</t>
        </is>
      </c>
      <c r="P245" s="5">
        <f>ROUND(M245-K245*0.19,2)</f>
        <v/>
      </c>
      <c r="Q245">
        <f>IF(ISNUMBER(SEARCH("DJENNADI",G245)),"OUI","")</f>
        <v/>
      </c>
    </row>
    <row r="246">
      <c r="A246" s="10" t="inlineStr">
        <is>
          <t>Fenaia (détail)</t>
        </is>
      </c>
      <c r="B246" s="7" t="inlineStr">
        <is>
          <t>2026000065</t>
        </is>
      </c>
      <c r="C246" s="10" t="inlineStr">
        <is>
          <t>D00065</t>
        </is>
      </c>
      <c r="D246" s="11" t="n">
        <v>46267</v>
      </c>
      <c r="E246" s="7" t="inlineStr">
        <is>
          <t>2026-09</t>
        </is>
      </c>
      <c r="F246" s="10" t="inlineStr">
        <is>
          <t>Vente</t>
        </is>
      </c>
      <c r="G246" s="10" t="inlineStr">
        <is>
          <t>SPA BRASSERIE STAR D'ALGERIE</t>
        </is>
      </c>
      <c r="H246" s="7" t="inlineStr">
        <is>
          <t>C1053</t>
        </is>
      </c>
      <c r="I246" s="10" t="inlineStr">
        <is>
          <t>Code existant</t>
        </is>
      </c>
      <c r="J246" s="10" t="n">
        <v>2</v>
      </c>
      <c r="K246" s="12" t="n">
        <v>70000</v>
      </c>
      <c r="L246" s="12" t="n">
        <v>0</v>
      </c>
      <c r="M246" s="12" t="n">
        <v>13300</v>
      </c>
      <c r="N246" s="12" t="n">
        <v>83300</v>
      </c>
      <c r="O246" s="7" t="inlineStr">
        <is>
          <t>15001</t>
        </is>
      </c>
      <c r="P246" s="5">
        <f>ROUND(M246-K246*0.19,2)</f>
        <v/>
      </c>
      <c r="Q246">
        <f>IF(ISNUMBER(SEARCH("DJENNADI",G246)),"OUI","")</f>
        <v/>
      </c>
    </row>
    <row r="247">
      <c r="A247" s="10" t="inlineStr">
        <is>
          <t>Fenaia (détail)</t>
        </is>
      </c>
      <c r="B247" s="7" t="inlineStr">
        <is>
          <t>2026000066</t>
        </is>
      </c>
      <c r="C247" s="10" t="inlineStr">
        <is>
          <t>D00066</t>
        </is>
      </c>
      <c r="D247" s="11" t="n">
        <v>46267</v>
      </c>
      <c r="E247" s="7" t="inlineStr">
        <is>
          <t>2026-09</t>
        </is>
      </c>
      <c r="F247" s="10" t="inlineStr">
        <is>
          <t>Vente</t>
        </is>
      </c>
      <c r="G247" s="10" t="inlineStr">
        <is>
          <t>SPA BRASSERIE STAR D'ALGERIE</t>
        </is>
      </c>
      <c r="H247" s="7" t="inlineStr">
        <is>
          <t>C1053</t>
        </is>
      </c>
      <c r="I247" s="10" t="inlineStr">
        <is>
          <t>Code existant</t>
        </is>
      </c>
      <c r="J247" s="10" t="n">
        <v>1</v>
      </c>
      <c r="K247" s="12" t="n">
        <v>45000</v>
      </c>
      <c r="L247" s="12" t="n">
        <v>0</v>
      </c>
      <c r="M247" s="12" t="n">
        <v>8550</v>
      </c>
      <c r="N247" s="12" t="n">
        <v>53550</v>
      </c>
      <c r="O247" s="7" t="inlineStr">
        <is>
          <t>15001</t>
        </is>
      </c>
      <c r="P247" s="5">
        <f>ROUND(M247-K247*0.19,2)</f>
        <v/>
      </c>
      <c r="Q247">
        <f>IF(ISNUMBER(SEARCH("DJENNADI",G247)),"OUI","")</f>
        <v/>
      </c>
    </row>
    <row r="248">
      <c r="A248" s="10" t="inlineStr">
        <is>
          <t>Fenaia (détail)</t>
        </is>
      </c>
      <c r="B248" s="7" t="inlineStr">
        <is>
          <t>2026000067</t>
        </is>
      </c>
      <c r="C248" s="10" t="inlineStr">
        <is>
          <t>D00067</t>
        </is>
      </c>
      <c r="D248" s="11" t="n">
        <v>46267</v>
      </c>
      <c r="E248" s="7" t="inlineStr">
        <is>
          <t>2026-09</t>
        </is>
      </c>
      <c r="F248" s="10" t="inlineStr">
        <is>
          <t>Vente</t>
        </is>
      </c>
      <c r="G248" s="10" t="inlineStr">
        <is>
          <t>SPA BRASSERIE STAR D'ALGERIE</t>
        </is>
      </c>
      <c r="H248" s="7" t="inlineStr">
        <is>
          <t>C1053</t>
        </is>
      </c>
      <c r="I248" s="10" t="inlineStr">
        <is>
          <t>Code existant</t>
        </is>
      </c>
      <c r="J248" s="10" t="n">
        <v>2</v>
      </c>
      <c r="K248" s="12" t="n">
        <v>54500</v>
      </c>
      <c r="L248" s="12" t="n">
        <v>0</v>
      </c>
      <c r="M248" s="12" t="n">
        <v>10355</v>
      </c>
      <c r="N248" s="12" t="n">
        <v>64855</v>
      </c>
      <c r="O248" s="7" t="inlineStr">
        <is>
          <t>15001</t>
        </is>
      </c>
      <c r="P248" s="5">
        <f>ROUND(M248-K248*0.19,2)</f>
        <v/>
      </c>
      <c r="Q248">
        <f>IF(ISNUMBER(SEARCH("DJENNADI",G248)),"OUI","")</f>
        <v/>
      </c>
    </row>
    <row r="249">
      <c r="A249" s="10" t="inlineStr">
        <is>
          <t>Fenaia (détail)</t>
        </is>
      </c>
      <c r="B249" s="7" t="inlineStr">
        <is>
          <t>2026000068</t>
        </is>
      </c>
      <c r="C249" s="10" t="inlineStr">
        <is>
          <t>D00068</t>
        </is>
      </c>
      <c r="D249" s="11" t="n">
        <v>46275</v>
      </c>
      <c r="E249" s="7" t="inlineStr">
        <is>
          <t>2026-09</t>
        </is>
      </c>
      <c r="F249" s="10" t="inlineStr">
        <is>
          <t>Vente</t>
        </is>
      </c>
      <c r="G249" s="10" t="inlineStr">
        <is>
          <t>SARL LAITRIE SOUMMAM</t>
        </is>
      </c>
      <c r="H249" s="7" t="inlineStr">
        <is>
          <t>C986</t>
        </is>
      </c>
      <c r="I249" s="10" t="inlineStr">
        <is>
          <t>Code existant (nom proche)</t>
        </is>
      </c>
      <c r="J249" s="10" t="n">
        <v>1</v>
      </c>
      <c r="K249" s="12" t="n">
        <v>27000</v>
      </c>
      <c r="L249" s="12" t="n">
        <v>0</v>
      </c>
      <c r="M249" s="12" t="n">
        <v>5130</v>
      </c>
      <c r="N249" s="12" t="n">
        <v>32130</v>
      </c>
      <c r="O249" s="7" t="inlineStr">
        <is>
          <t>15001</t>
        </is>
      </c>
      <c r="P249" s="5">
        <f>ROUND(M249-K249*0.19,2)</f>
        <v/>
      </c>
      <c r="Q249">
        <f>IF(ISNUMBER(SEARCH("DJENNADI",G249)),"OUI","")</f>
        <v/>
      </c>
    </row>
    <row r="250">
      <c r="A250" s="10" t="inlineStr">
        <is>
          <t>Fenaia (détail)</t>
        </is>
      </c>
      <c r="B250" s="7" t="inlineStr">
        <is>
          <t>2026000069</t>
        </is>
      </c>
      <c r="C250" s="10" t="inlineStr">
        <is>
          <t>D00069</t>
        </is>
      </c>
      <c r="D250" s="11" t="n">
        <v>46280</v>
      </c>
      <c r="E250" s="7" t="inlineStr">
        <is>
          <t>2026-09</t>
        </is>
      </c>
      <c r="F250" s="10" t="inlineStr">
        <is>
          <t>Vente</t>
        </is>
      </c>
      <c r="G250" s="10" t="inlineStr">
        <is>
          <t>SARL BEJAIA LOGISTIQUE</t>
        </is>
      </c>
      <c r="H250" s="7" t="inlineStr">
        <is>
          <t>C708</t>
        </is>
      </c>
      <c r="I250" s="10" t="inlineStr">
        <is>
          <t>Code existant</t>
        </is>
      </c>
      <c r="J250" s="10" t="n">
        <v>2</v>
      </c>
      <c r="K250" s="12" t="n">
        <v>1011200</v>
      </c>
      <c r="L250" s="12" t="n">
        <v>0</v>
      </c>
      <c r="M250" s="12" t="n">
        <v>192128</v>
      </c>
      <c r="N250" s="12" t="n">
        <v>1203328</v>
      </c>
      <c r="O250" s="7" t="inlineStr">
        <is>
          <t>15001</t>
        </is>
      </c>
      <c r="P250" s="5">
        <f>ROUND(M250-K250*0.19,2)</f>
        <v/>
      </c>
      <c r="Q250">
        <f>IF(ISNUMBER(SEARCH("DJENNADI",G250)),"OUI","")</f>
        <v/>
      </c>
    </row>
    <row r="251">
      <c r="A251" s="10" t="inlineStr">
        <is>
          <t>Fenaia (détail)</t>
        </is>
      </c>
      <c r="B251" s="7" t="inlineStr">
        <is>
          <t>2026000070</t>
        </is>
      </c>
      <c r="C251" s="10" t="inlineStr">
        <is>
          <t>D00070</t>
        </is>
      </c>
      <c r="D251" s="11" t="n">
        <v>46285</v>
      </c>
      <c r="E251" s="7" t="inlineStr">
        <is>
          <t>2026-09</t>
        </is>
      </c>
      <c r="F251" s="10" t="inlineStr">
        <is>
          <t>Vente</t>
        </is>
      </c>
      <c r="G251" s="10" t="inlineStr">
        <is>
          <t>EURL TERRENO TRANS</t>
        </is>
      </c>
      <c r="H251" s="7" t="inlineStr">
        <is>
          <t>C959</t>
        </is>
      </c>
      <c r="I251" s="10" t="inlineStr">
        <is>
          <t>Code existant</t>
        </is>
      </c>
      <c r="J251" s="10" t="n">
        <v>2</v>
      </c>
      <c r="K251" s="12" t="n">
        <v>330000</v>
      </c>
      <c r="L251" s="12" t="n">
        <v>0</v>
      </c>
      <c r="M251" s="12" t="n">
        <v>62700</v>
      </c>
      <c r="N251" s="12" t="n">
        <v>392700</v>
      </c>
      <c r="O251" s="7" t="inlineStr">
        <is>
          <t>15001</t>
        </is>
      </c>
      <c r="P251" s="5">
        <f>ROUND(M251-K251*0.19,2)</f>
        <v/>
      </c>
      <c r="Q251">
        <f>IF(ISNUMBER(SEARCH("DJENNADI",G251)),"OUI","")</f>
        <v/>
      </c>
    </row>
    <row r="252">
      <c r="A252" s="10" t="inlineStr">
        <is>
          <t>Fenaia (détail)</t>
        </is>
      </c>
      <c r="B252" s="7" t="inlineStr">
        <is>
          <t>2026000071</t>
        </is>
      </c>
      <c r="C252" s="10" t="inlineStr">
        <is>
          <t>D00071</t>
        </is>
      </c>
      <c r="D252" s="11" t="n">
        <v>46288</v>
      </c>
      <c r="E252" s="7" t="inlineStr">
        <is>
          <t>2026-09</t>
        </is>
      </c>
      <c r="F252" s="10" t="inlineStr">
        <is>
          <t>Vente</t>
        </is>
      </c>
      <c r="G252" s="10" t="inlineStr">
        <is>
          <t>EURL TERRENO TRANS</t>
        </is>
      </c>
      <c r="H252" s="7" t="inlineStr">
        <is>
          <t>C959</t>
        </is>
      </c>
      <c r="I252" s="10" t="inlineStr">
        <is>
          <t>Code existant</t>
        </is>
      </c>
      <c r="J252" s="10" t="n">
        <v>1</v>
      </c>
      <c r="K252" s="12" t="n">
        <v>1050000</v>
      </c>
      <c r="L252" s="12" t="n">
        <v>0</v>
      </c>
      <c r="M252" s="12" t="n">
        <v>199500</v>
      </c>
      <c r="N252" s="12" t="n">
        <v>1249500</v>
      </c>
      <c r="O252" s="7" t="inlineStr">
        <is>
          <t>15001</t>
        </is>
      </c>
      <c r="P252" s="5">
        <f>ROUND(M252-K252*0.19,2)</f>
        <v/>
      </c>
      <c r="Q252">
        <f>IF(ISNUMBER(SEARCH("DJENNADI",G252)),"OUI","")</f>
        <v/>
      </c>
    </row>
    <row r="253">
      <c r="A253" s="10" t="inlineStr">
        <is>
          <t>Fenaia (détail)</t>
        </is>
      </c>
      <c r="B253" s="7" t="inlineStr">
        <is>
          <t>2026000072</t>
        </is>
      </c>
      <c r="C253" s="10" t="inlineStr">
        <is>
          <t>D00072</t>
        </is>
      </c>
      <c r="D253" s="11" t="n">
        <v>46288</v>
      </c>
      <c r="E253" s="7" t="inlineStr">
        <is>
          <t>2026-09</t>
        </is>
      </c>
      <c r="F253" s="10" t="inlineStr">
        <is>
          <t>Vente</t>
        </is>
      </c>
      <c r="G253" s="10" t="inlineStr">
        <is>
          <t>SARL BEJAIA LOGISTIQUE</t>
        </is>
      </c>
      <c r="H253" s="7" t="inlineStr">
        <is>
          <t>C708</t>
        </is>
      </c>
      <c r="I253" s="10" t="inlineStr">
        <is>
          <t>Code existant</t>
        </is>
      </c>
      <c r="J253" s="10" t="n">
        <v>1</v>
      </c>
      <c r="K253" s="12" t="n">
        <v>125000</v>
      </c>
      <c r="L253" s="12" t="n">
        <v>0</v>
      </c>
      <c r="M253" s="12" t="n">
        <v>23750</v>
      </c>
      <c r="N253" s="12" t="n">
        <v>148750</v>
      </c>
      <c r="O253" s="7" t="inlineStr">
        <is>
          <t>15001</t>
        </is>
      </c>
      <c r="P253" s="5">
        <f>ROUND(M253-K253*0.19,2)</f>
        <v/>
      </c>
      <c r="Q253">
        <f>IF(ISNUMBER(SEARCH("DJENNADI",G253)),"OUI","")</f>
        <v/>
      </c>
    </row>
    <row r="254">
      <c r="A254" s="10" t="inlineStr">
        <is>
          <t>Fenaia (détail)</t>
        </is>
      </c>
      <c r="B254" s="7" t="inlineStr">
        <is>
          <t>2026000073</t>
        </is>
      </c>
      <c r="C254" s="10" t="inlineStr">
        <is>
          <t>D00073</t>
        </is>
      </c>
      <c r="D254" s="11" t="n">
        <v>46290</v>
      </c>
      <c r="E254" s="7" t="inlineStr">
        <is>
          <t>2026-09</t>
        </is>
      </c>
      <c r="F254" s="10" t="inlineStr">
        <is>
          <t>Vente</t>
        </is>
      </c>
      <c r="G254" s="10" t="inlineStr">
        <is>
          <t>SARL BEJAIA LOGISTIQUE</t>
        </is>
      </c>
      <c r="H254" s="7" t="inlineStr">
        <is>
          <t>C708</t>
        </is>
      </c>
      <c r="I254" s="10" t="inlineStr">
        <is>
          <t>Code existant</t>
        </is>
      </c>
      <c r="J254" s="10" t="n">
        <v>1</v>
      </c>
      <c r="K254" s="12" t="n">
        <v>826000</v>
      </c>
      <c r="L254" s="12" t="n">
        <v>0</v>
      </c>
      <c r="M254" s="12" t="n">
        <v>156940</v>
      </c>
      <c r="N254" s="12" t="n">
        <v>982940</v>
      </c>
      <c r="O254" s="7" t="inlineStr">
        <is>
          <t>15001</t>
        </is>
      </c>
      <c r="P254" s="5">
        <f>ROUND(M254-K254*0.19,2)</f>
        <v/>
      </c>
      <c r="Q254">
        <f>IF(ISNUMBER(SEARCH("DJENNADI",G254)),"OUI","")</f>
        <v/>
      </c>
    </row>
    <row r="255">
      <c r="A255" s="10" t="inlineStr">
        <is>
          <t>Fenaia (détail)</t>
        </is>
      </c>
      <c r="B255" s="7" t="inlineStr">
        <is>
          <t>2026000074</t>
        </is>
      </c>
      <c r="C255" s="10" t="inlineStr">
        <is>
          <t>D00074</t>
        </is>
      </c>
      <c r="D255" s="11" t="n">
        <v>46293</v>
      </c>
      <c r="E255" s="7" t="inlineStr">
        <is>
          <t>2026-09</t>
        </is>
      </c>
      <c r="F255" s="10" t="inlineStr">
        <is>
          <t>Vente</t>
        </is>
      </c>
      <c r="G255" s="10" t="inlineStr">
        <is>
          <t>SARL BEJAIA LOGISTIQUE</t>
        </is>
      </c>
      <c r="H255" s="7" t="inlineStr">
        <is>
          <t>C708</t>
        </is>
      </c>
      <c r="I255" s="10" t="inlineStr">
        <is>
          <t>Code existant</t>
        </is>
      </c>
      <c r="J255" s="10" t="n">
        <v>2</v>
      </c>
      <c r="K255" s="12" t="n">
        <v>142000</v>
      </c>
      <c r="L255" s="12" t="n">
        <v>0</v>
      </c>
      <c r="M255" s="12" t="n">
        <v>26980</v>
      </c>
      <c r="N255" s="12" t="n">
        <v>168980</v>
      </c>
      <c r="O255" s="7" t="inlineStr">
        <is>
          <t>15001</t>
        </is>
      </c>
      <c r="P255" s="5">
        <f>ROUND(M255-K255*0.19,2)</f>
        <v/>
      </c>
      <c r="Q255">
        <f>IF(ISNUMBER(SEARCH("DJENNADI",G255)),"OUI","")</f>
        <v/>
      </c>
    </row>
    <row r="256">
      <c r="A256" s="10" t="inlineStr">
        <is>
          <t>Fenaia (détail)</t>
        </is>
      </c>
      <c r="B256" s="7" t="inlineStr">
        <is>
          <t>2026000075</t>
        </is>
      </c>
      <c r="C256" s="10" t="inlineStr">
        <is>
          <t>D00075</t>
        </is>
      </c>
      <c r="D256" s="11" t="n">
        <v>46293</v>
      </c>
      <c r="E256" s="7" t="inlineStr">
        <is>
          <t>2026-09</t>
        </is>
      </c>
      <c r="F256" s="10" t="inlineStr">
        <is>
          <t>Vente</t>
        </is>
      </c>
      <c r="G256" s="10" t="inlineStr">
        <is>
          <t>SARL TRANS BAOUCHI</t>
        </is>
      </c>
      <c r="H256" s="7" t="inlineStr">
        <is>
          <t>C1071</t>
        </is>
      </c>
      <c r="I256" s="10" t="inlineStr">
        <is>
          <t>Code existant</t>
        </is>
      </c>
      <c r="J256" s="10" t="n">
        <v>5</v>
      </c>
      <c r="K256" s="12" t="n">
        <v>101200</v>
      </c>
      <c r="L256" s="12" t="n">
        <v>0</v>
      </c>
      <c r="M256" s="12" t="n">
        <v>19228</v>
      </c>
      <c r="N256" s="12" t="n">
        <v>120428</v>
      </c>
      <c r="O256" s="7" t="inlineStr">
        <is>
          <t>15001</t>
        </is>
      </c>
      <c r="P256" s="5">
        <f>ROUND(M256-K256*0.19,2)</f>
        <v/>
      </c>
      <c r="Q256">
        <f>IF(ISNUMBER(SEARCH("DJENNADI",G256)),"OUI","")</f>
        <v/>
      </c>
    </row>
    <row r="257">
      <c r="A257" s="10" t="inlineStr">
        <is>
          <t>Fenaia (détail)</t>
        </is>
      </c>
      <c r="B257" s="7" t="inlineStr">
        <is>
          <t>2026000076</t>
        </is>
      </c>
      <c r="C257" s="10" t="inlineStr">
        <is>
          <t>D00076</t>
        </is>
      </c>
      <c r="D257" s="11" t="n">
        <v>46293</v>
      </c>
      <c r="E257" s="7" t="inlineStr">
        <is>
          <t>2026-09</t>
        </is>
      </c>
      <c r="F257" s="10" t="inlineStr">
        <is>
          <t>Vente</t>
        </is>
      </c>
      <c r="G257" s="10" t="inlineStr">
        <is>
          <t>SPA TMF LOGISTICS</t>
        </is>
      </c>
      <c r="H257" s="7" t="inlineStr">
        <is>
          <t>C671</t>
        </is>
      </c>
      <c r="I257" s="10" t="inlineStr">
        <is>
          <t>Code existant</t>
        </is>
      </c>
      <c r="J257" s="10" t="n">
        <v>1</v>
      </c>
      <c r="K257" s="12" t="n">
        <v>35000</v>
      </c>
      <c r="L257" s="12" t="n">
        <v>0</v>
      </c>
      <c r="M257" s="12" t="n">
        <v>6650</v>
      </c>
      <c r="N257" s="12" t="n">
        <v>41650</v>
      </c>
      <c r="O257" s="7" t="inlineStr">
        <is>
          <t>15001</t>
        </is>
      </c>
      <c r="P257" s="5">
        <f>ROUND(M257-K257*0.19,2)</f>
        <v/>
      </c>
      <c r="Q257">
        <f>IF(ISNUMBER(SEARCH("DJENNADI",G257)),"OUI","")</f>
        <v/>
      </c>
    </row>
    <row r="258">
      <c r="A258" s="10" t="inlineStr">
        <is>
          <t>Fenaia (détail)</t>
        </is>
      </c>
      <c r="B258" s="7" t="inlineStr">
        <is>
          <t>2026000077</t>
        </is>
      </c>
      <c r="C258" s="10" t="inlineStr">
        <is>
          <t>D00077</t>
        </is>
      </c>
      <c r="D258" s="11" t="n">
        <v>46296</v>
      </c>
      <c r="E258" s="7" t="inlineStr">
        <is>
          <t>2026-10</t>
        </is>
      </c>
      <c r="F258" s="10" t="inlineStr">
        <is>
          <t>Vente</t>
        </is>
      </c>
      <c r="G258" s="10" t="inlineStr">
        <is>
          <t>SPA TMF LOGISTICS</t>
        </is>
      </c>
      <c r="H258" s="7" t="inlineStr">
        <is>
          <t>C671</t>
        </is>
      </c>
      <c r="I258" s="10" t="inlineStr">
        <is>
          <t>Code existant</t>
        </is>
      </c>
      <c r="J258" s="10" t="n">
        <v>1</v>
      </c>
      <c r="K258" s="12" t="n">
        <v>650000</v>
      </c>
      <c r="L258" s="12" t="n">
        <v>0</v>
      </c>
      <c r="M258" s="12" t="n">
        <v>123500</v>
      </c>
      <c r="N258" s="12" t="n">
        <v>773500</v>
      </c>
      <c r="O258" s="7" t="inlineStr">
        <is>
          <t>15001</t>
        </is>
      </c>
      <c r="P258" s="5">
        <f>ROUND(M258-K258*0.19,2)</f>
        <v/>
      </c>
      <c r="Q258">
        <f>IF(ISNUMBER(SEARCH("DJENNADI",G258)),"OUI","")</f>
        <v/>
      </c>
    </row>
    <row r="259">
      <c r="A259" s="10" t="inlineStr">
        <is>
          <t>Fenaia (détail)</t>
        </is>
      </c>
      <c r="B259" s="7" t="inlineStr">
        <is>
          <t>2026000078</t>
        </is>
      </c>
      <c r="C259" s="10" t="inlineStr">
        <is>
          <t>D00078</t>
        </is>
      </c>
      <c r="D259" s="11" t="n">
        <v>46296</v>
      </c>
      <c r="E259" s="7" t="inlineStr">
        <is>
          <t>2026-10</t>
        </is>
      </c>
      <c r="F259" s="10" t="inlineStr">
        <is>
          <t>Vente</t>
        </is>
      </c>
      <c r="G259" s="10" t="inlineStr">
        <is>
          <t>SPA TMF LOGISTICS</t>
        </is>
      </c>
      <c r="H259" s="7" t="inlineStr">
        <is>
          <t>C671</t>
        </is>
      </c>
      <c r="I259" s="10" t="inlineStr">
        <is>
          <t>Code existant</t>
        </is>
      </c>
      <c r="J259" s="10" t="n">
        <v>4</v>
      </c>
      <c r="K259" s="12" t="n">
        <v>1614000</v>
      </c>
      <c r="L259" s="12" t="n">
        <v>0</v>
      </c>
      <c r="M259" s="12" t="n">
        <v>306660</v>
      </c>
      <c r="N259" s="12" t="n">
        <v>1920660</v>
      </c>
      <c r="O259" s="7" t="inlineStr">
        <is>
          <t>15001</t>
        </is>
      </c>
      <c r="P259" s="5">
        <f>ROUND(M259-K259*0.19,2)</f>
        <v/>
      </c>
      <c r="Q259">
        <f>IF(ISNUMBER(SEARCH("DJENNADI",G259)),"OUI","")</f>
        <v/>
      </c>
    </row>
    <row r="260">
      <c r="A260" s="10" t="inlineStr">
        <is>
          <t>Fenaia (détail)</t>
        </is>
      </c>
      <c r="B260" s="7" t="inlineStr">
        <is>
          <t>2026000079</t>
        </is>
      </c>
      <c r="C260" s="10" t="inlineStr">
        <is>
          <t>D00079</t>
        </is>
      </c>
      <c r="D260" s="11" t="n">
        <v>46296</v>
      </c>
      <c r="E260" s="7" t="inlineStr">
        <is>
          <t>2026-10</t>
        </is>
      </c>
      <c r="F260" s="10" t="inlineStr">
        <is>
          <t>Vente</t>
        </is>
      </c>
      <c r="G260" s="10" t="inlineStr">
        <is>
          <t>SARL POIDS LOURDS SERVICE</t>
        </is>
      </c>
      <c r="H260" s="7" t="inlineStr">
        <is>
          <t>C1084</t>
        </is>
      </c>
      <c r="I260" s="10" t="inlineStr">
        <is>
          <t>Nouveau code à créer</t>
        </is>
      </c>
      <c r="J260" s="10" t="n">
        <v>1</v>
      </c>
      <c r="K260" s="12" t="n">
        <v>75000</v>
      </c>
      <c r="L260" s="12" t="n">
        <v>0</v>
      </c>
      <c r="M260" s="12" t="n">
        <v>14250</v>
      </c>
      <c r="N260" s="12" t="n">
        <v>89250</v>
      </c>
      <c r="O260" s="7" t="inlineStr">
        <is>
          <t>15001</t>
        </is>
      </c>
      <c r="P260" s="5">
        <f>ROUND(M260-K260*0.19,2)</f>
        <v/>
      </c>
      <c r="Q260">
        <f>IF(ISNUMBER(SEARCH("DJENNADI",G260)),"OUI","")</f>
        <v/>
      </c>
    </row>
    <row r="261">
      <c r="G261" s="4" t="inlineStr">
        <is>
          <t>TOTAL</t>
        </is>
      </c>
      <c r="K261" s="13">
        <f>SUM(K2:K260)</f>
        <v/>
      </c>
      <c r="L261" s="13">
        <f>SUM(L2:L260)</f>
        <v/>
      </c>
      <c r="M261" s="13">
        <f>SUM(M2:M260)</f>
        <v/>
      </c>
      <c r="N261" s="13">
        <f>SUM(N2:N260)</f>
        <v/>
      </c>
    </row>
  </sheetData>
  <autoFilter ref="A1:Q260"/>
  <conditionalFormatting sqref="I2:I260">
    <cfRule type="cellIs" priority="1" operator="equal" dxfId="0">
      <formula>"Nouveau code à créer"</formula>
    </cfRule>
  </conditionalFormatting>
  <conditionalFormatting sqref="Q2:Q260">
    <cfRule type="cellIs" priority="2" operator="equal" dxfId="1">
      <formula>"OUI"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12" customWidth="1" min="3" max="3"/>
    <col width="16" customWidth="1" min="4" max="4"/>
  </cols>
  <sheetData>
    <row r="1">
      <c r="A1" s="3" t="inlineStr">
        <is>
          <t>Code proposé</t>
        </is>
      </c>
      <c r="B1" s="3" t="inlineStr">
        <is>
          <t>Nom du client (facture)</t>
        </is>
      </c>
      <c r="C1" s="3" t="inlineStr">
        <is>
          <t>Nombre de factures</t>
        </is>
      </c>
      <c r="D1" s="3" t="inlineStr">
        <is>
          <t>TTC facturé</t>
        </is>
      </c>
    </row>
    <row r="2">
      <c r="A2" s="4" t="inlineStr">
        <is>
          <t>C1079</t>
        </is>
      </c>
      <c r="B2" t="inlineStr">
        <is>
          <t>ENTREPRISE NAFTAL AGENCE COM ORAN</t>
        </is>
      </c>
      <c r="C2">
        <f>COUNTIF(Factures!G2:G260,B2)</f>
        <v/>
      </c>
      <c r="D2" s="5">
        <f>SUMIFS(Factures!N2:N260,Factures!G2:G260,B2)</f>
        <v/>
      </c>
    </row>
    <row r="3">
      <c r="A3" s="4" t="inlineStr">
        <is>
          <t>C1080</t>
        </is>
      </c>
      <c r="B3" t="inlineStr">
        <is>
          <t>BOUAMARA HICHAM</t>
        </is>
      </c>
      <c r="C3">
        <f>COUNTIF(Factures!G2:G260,B3)</f>
        <v/>
      </c>
      <c r="D3" s="5">
        <f>SUMIFS(Factures!N2:N260,Factures!G2:G260,B3)</f>
        <v/>
      </c>
    </row>
    <row r="4">
      <c r="A4" s="4" t="inlineStr">
        <is>
          <t>C1081</t>
        </is>
      </c>
      <c r="B4" t="inlineStr">
        <is>
          <t>EURL TRANSPORT DE MARCHANDISES SERIR</t>
        </is>
      </c>
      <c r="C4">
        <f>COUNTIF(Factures!G2:G260,B4)</f>
        <v/>
      </c>
      <c r="D4" s="5">
        <f>SUMIFS(Factures!N2:N260,Factures!G2:G260,B4)</f>
        <v/>
      </c>
    </row>
    <row r="5">
      <c r="A5" s="4" t="inlineStr">
        <is>
          <t>C1082</t>
        </is>
      </c>
      <c r="B5" t="inlineStr">
        <is>
          <t>CO.MA.PH</t>
        </is>
      </c>
      <c r="C5">
        <f>COUNTIF(Factures!G2:G260,B5)</f>
        <v/>
      </c>
      <c r="D5" s="5">
        <f>SUMIFS(Factures!N2:N260,Factures!G2:G260,B5)</f>
        <v/>
      </c>
    </row>
    <row r="6">
      <c r="A6" s="4" t="inlineStr">
        <is>
          <t>C1083</t>
        </is>
      </c>
      <c r="B6" t="inlineStr">
        <is>
          <t>SARL CAPROMET</t>
        </is>
      </c>
      <c r="C6">
        <f>COUNTIF(Factures!G2:G260,B6)</f>
        <v/>
      </c>
      <c r="D6" s="5">
        <f>SUMIFS(Factures!N2:N260,Factures!G2:G260,B6)</f>
        <v/>
      </c>
    </row>
    <row r="7">
      <c r="A7" s="4" t="inlineStr">
        <is>
          <t>C1084</t>
        </is>
      </c>
      <c r="B7" t="inlineStr">
        <is>
          <t>SARL POIDS LOURDS SERVICE</t>
        </is>
      </c>
      <c r="C7">
        <f>COUNTIF(Factures!G2:G260,B7)</f>
        <v/>
      </c>
      <c r="D7" s="5">
        <f>SUMIFS(Factures!N2:N260,Factures!G2:G260,B7)</f>
        <v/>
      </c>
    </row>
    <row r="8">
      <c r="A8" s="4" t="inlineStr">
        <is>
          <t>C1085</t>
        </is>
      </c>
      <c r="B8" t="inlineStr">
        <is>
          <t>CHERRAHI ABDELKAMEL</t>
        </is>
      </c>
      <c r="C8">
        <f>COUNTIF(Factures!G2:G260,B8)</f>
        <v/>
      </c>
      <c r="D8" s="5">
        <f>SUMIFS(Factures!N2:N260,Factures!G2:G260,B8)</f>
        <v/>
      </c>
    </row>
    <row r="9">
      <c r="A9" s="4" t="inlineStr">
        <is>
          <t>C1086</t>
        </is>
      </c>
      <c r="B9" t="inlineStr">
        <is>
          <t>BAHI RIDHA</t>
        </is>
      </c>
      <c r="C9">
        <f>COUNTIF(Factures!G2:G260,B9)</f>
        <v/>
      </c>
      <c r="D9" s="5">
        <f>SUMIFS(Factures!N2:N260,Factures!G2:G260,B9)</f>
        <v/>
      </c>
    </row>
    <row r="10">
      <c r="A10" s="4" t="inlineStr">
        <is>
          <t>C1087</t>
        </is>
      </c>
      <c r="B10" t="inlineStr">
        <is>
          <t>DIVERS</t>
        </is>
      </c>
      <c r="C10">
        <f>COUNTIF(Factures!G2:G260,B10)</f>
        <v/>
      </c>
      <c r="D10" s="5">
        <f>SUMIFS(Factures!N2:N260,Factures!G2:G260,B10)</f>
        <v/>
      </c>
    </row>
    <row r="11">
      <c r="A11" s="4" t="inlineStr">
        <is>
          <t>C1088</t>
        </is>
      </c>
      <c r="B11" t="inlineStr">
        <is>
          <t>SARL PROVIDING ARPRO</t>
        </is>
      </c>
      <c r="C11">
        <f>COUNTIF(Factures!G2:G260,B11)</f>
        <v/>
      </c>
      <c r="D11" s="5">
        <f>SUMIFS(Factures!N2:N260,Factures!G2:G260,B11)</f>
        <v/>
      </c>
    </row>
    <row r="12">
      <c r="A12" s="4" t="inlineStr">
        <is>
          <t>C1089</t>
        </is>
      </c>
      <c r="B12" t="inlineStr">
        <is>
          <t>BEKHOUS RABAH</t>
        </is>
      </c>
      <c r="C12">
        <f>COUNTIF(Factures!G2:G260,B12)</f>
        <v/>
      </c>
      <c r="D12" s="5">
        <f>SUMIFS(Factures!N2:N260,Factures!G2:G260,B12)</f>
        <v/>
      </c>
    </row>
    <row r="13">
      <c r="A13" s="4" t="inlineStr">
        <is>
          <t>C1090</t>
        </is>
      </c>
      <c r="B13" t="inlineStr">
        <is>
          <t>LASSAKEUR RIAD GPROS</t>
        </is>
      </c>
      <c r="C13">
        <f>COUNTIF(Factures!G2:G260,B13)</f>
        <v/>
      </c>
      <c r="D13" s="5">
        <f>SUMIFS(Factures!N2:N260,Factures!G2:G260,B13)</f>
        <v/>
      </c>
    </row>
    <row r="14">
      <c r="A14" s="4" t="inlineStr">
        <is>
          <t>C1091</t>
        </is>
      </c>
      <c r="B14" t="inlineStr">
        <is>
          <t>MANSOURI ZOUHEYR</t>
        </is>
      </c>
      <c r="C14">
        <f>COUNTIF(Factures!G2:G260,B14)</f>
        <v/>
      </c>
      <c r="D14" s="5">
        <f>SUMIFS(Factures!N2:N260,Factures!G2:G260,B14)</f>
        <v/>
      </c>
    </row>
    <row r="15">
      <c r="A15" s="4" t="inlineStr">
        <is>
          <t>C1092</t>
        </is>
      </c>
      <c r="B15" t="inlineStr">
        <is>
          <t>SARL GEURROUF AUTO</t>
        </is>
      </c>
      <c r="C15">
        <f>COUNTIF(Factures!G2:G260,B15)</f>
        <v/>
      </c>
      <c r="D15" s="5">
        <f>SUMIFS(Factures!N2:N260,Factures!G2:G260,B15)</f>
        <v/>
      </c>
    </row>
    <row r="16">
      <c r="A16" s="4" t="inlineStr">
        <is>
          <t>C1093</t>
        </is>
      </c>
      <c r="B16" t="inlineStr">
        <is>
          <t>FAROUKHI KAMAL</t>
        </is>
      </c>
      <c r="C16">
        <f>COUNTIF(Factures!G2:G260,B16)</f>
        <v/>
      </c>
      <c r="D16" s="5">
        <f>SUMIFS(Factures!N2:N260,Factures!G2:G260,B16)</f>
        <v/>
      </c>
    </row>
    <row r="17">
      <c r="A17" s="4" t="inlineStr">
        <is>
          <t>C1094</t>
        </is>
      </c>
      <c r="B17" t="inlineStr">
        <is>
          <t>SARL EL ZIBANE TRANSPORT</t>
        </is>
      </c>
      <c r="C17">
        <f>COUNTIF(Factures!G2:G260,B17)</f>
        <v/>
      </c>
      <c r="D17" s="5">
        <f>SUMIFS(Factures!N2:N260,Factures!G2:G260,B17)</f>
        <v/>
      </c>
    </row>
    <row r="18">
      <c r="A18" s="4" t="inlineStr">
        <is>
          <t>C1095</t>
        </is>
      </c>
      <c r="B18" t="inlineStr">
        <is>
          <t>MOUDJEB DJAFFAR</t>
        </is>
      </c>
      <c r="C18">
        <f>COUNTIF(Factures!G2:G260,B18)</f>
        <v/>
      </c>
      <c r="D18" s="5">
        <f>SUMIFS(Factures!N2:N260,Factures!G2:G260,B18)</f>
        <v/>
      </c>
    </row>
    <row r="19">
      <c r="A19" s="4" t="inlineStr">
        <is>
          <t>C1096</t>
        </is>
      </c>
      <c r="B19" t="inlineStr">
        <is>
          <t>EURL EZZAHRA LOCATION DE MATERIEL</t>
        </is>
      </c>
      <c r="C19">
        <f>COUNTIF(Factures!G2:G260,B19)</f>
        <v/>
      </c>
      <c r="D19" s="5">
        <f>SUMIFS(Factures!N2:N260,Factures!G2:G260,B19)</f>
        <v/>
      </c>
    </row>
    <row r="20">
      <c r="A20" s="4" t="inlineStr">
        <is>
          <t>C1097</t>
        </is>
      </c>
      <c r="B20" t="inlineStr">
        <is>
          <t>SARL GENI MAT</t>
        </is>
      </c>
      <c r="C20">
        <f>COUNTIF(Factures!G2:G260,B20)</f>
        <v/>
      </c>
      <c r="D20" s="5">
        <f>SUMIFS(Factures!N2:N260,Factures!G2:G260,B20)</f>
        <v/>
      </c>
    </row>
    <row r="21">
      <c r="A21" s="4" t="inlineStr">
        <is>
          <t>C1098</t>
        </is>
      </c>
      <c r="B21" t="inlineStr">
        <is>
          <t>EURL ULTRA TRADING SERVICES</t>
        </is>
      </c>
      <c r="C21">
        <f>COUNTIF(Factures!G2:G260,B21)</f>
        <v/>
      </c>
      <c r="D21" s="5">
        <f>SUMIFS(Factures!N2:N260,Factures!G2:G260,B21)</f>
        <v/>
      </c>
    </row>
    <row r="22">
      <c r="A22" s="4" t="inlineStr">
        <is>
          <t>C1099</t>
        </is>
      </c>
      <c r="B22" t="inlineStr">
        <is>
          <t>SARL GUERROUF AUTO</t>
        </is>
      </c>
      <c r="C22">
        <f>COUNTIF(Factures!G2:G260,B22)</f>
        <v/>
      </c>
      <c r="D22" s="5">
        <f>SUMIFS(Factures!N2:N260,Factures!G2:G260,B22)</f>
        <v/>
      </c>
    </row>
    <row r="23">
      <c r="A23" s="4" t="inlineStr">
        <is>
          <t>C1100</t>
        </is>
      </c>
      <c r="B23" t="inlineStr">
        <is>
          <t>SARL ZIBANE</t>
        </is>
      </c>
      <c r="C23">
        <f>COUNTIF(Factures!G2:G260,B23)</f>
        <v/>
      </c>
      <c r="D23" s="5">
        <f>SUMIFS(Factures!N2:N260,Factures!G2:G260,B23)</f>
        <v/>
      </c>
    </row>
    <row r="24">
      <c r="A24" s="4" t="inlineStr">
        <is>
          <t>C1101</t>
        </is>
      </c>
      <c r="B24" t="inlineStr">
        <is>
          <t>COSIDER TP</t>
        </is>
      </c>
      <c r="C24">
        <f>COUNTIF(Factures!G2:G260,B24)</f>
        <v/>
      </c>
      <c r="D24" s="5">
        <f>SUMIFS(Factures!N2:N260,Factures!G2:G260,B24)</f>
        <v/>
      </c>
    </row>
    <row r="25">
      <c r="A25" s="4" t="inlineStr">
        <is>
          <t>C1102</t>
        </is>
      </c>
      <c r="B25" t="inlineStr">
        <is>
          <t>COSIDER T131/DTF HELLOUANE BEJAIA</t>
        </is>
      </c>
      <c r="C25">
        <f>COUNTIF(Factures!G2:G260,B25)</f>
        <v/>
      </c>
      <c r="D25" s="5">
        <f>SUMIFS(Factures!N2:N260,Factures!G2:G260,B25)</f>
        <v/>
      </c>
    </row>
    <row r="26">
      <c r="A26" s="4" t="inlineStr">
        <is>
          <t>C1103</t>
        </is>
      </c>
      <c r="B26" t="inlineStr">
        <is>
          <t>NAFTAL LP 206G BEJAIA</t>
        </is>
      </c>
      <c r="C26">
        <f>COUNTIF(Factures!G2:G260,B26)</f>
        <v/>
      </c>
      <c r="D26" s="5">
        <f>SUMIFS(Factures!N2:N260,Factures!G2:G260,B26)</f>
        <v/>
      </c>
    </row>
    <row r="28">
      <c r="A28" s="9" t="inlineStr">
        <is>
          <t>À ajouter dans la table auxiliaire TAB_AUX de PCCOMPTA avant l'import (codes à la suite du dernier code client C1078).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6" customWidth="1" min="7" max="7"/>
    <col width="15" customWidth="1" min="8" max="8"/>
    <col width="15" customWidth="1" min="9" max="9"/>
    <col width="16" customWidth="1" min="10" max="10"/>
  </cols>
  <sheetData>
    <row r="1">
      <c r="A1" s="1" t="inlineStr">
        <is>
          <t>CA facturé (journaux de factures) et CA déclaré sur les G50 IMPORT 2026</t>
        </is>
      </c>
    </row>
    <row r="2">
      <c r="A2" s="9" t="inlineStr">
        <is>
          <t>Les G50 IMPORT reprennent les deux établissements : en mars, gros + détail = 27 006 870, montant noté en marge de la G50 (« TOTAL CA 03/2026 »).</t>
        </is>
      </c>
    </row>
    <row r="4">
      <c r="A4" s="3" t="inlineStr">
        <is>
          <t>Mois</t>
        </is>
      </c>
      <c r="B4" s="3" t="inlineStr">
        <is>
          <t>HT facturé gros</t>
        </is>
      </c>
      <c r="C4" s="3" t="inlineStr">
        <is>
          <t>HT facturé détail</t>
        </is>
      </c>
      <c r="D4" s="3" t="inlineStr">
        <is>
          <t>HT facturé total</t>
        </is>
      </c>
      <c r="E4" s="3" t="inlineStr">
        <is>
          <t>CA déclaré G50 IMPORT</t>
        </is>
      </c>
      <c r="F4" s="3" t="inlineStr">
        <is>
          <t>Écart du mois (déclaré − facturé)</t>
        </is>
      </c>
      <c r="G4" s="3" t="inlineStr">
        <is>
          <t>Écart cumulé</t>
        </is>
      </c>
      <c r="H4" s="3" t="inlineStr">
        <is>
          <t>TVA facturée</t>
        </is>
      </c>
      <c r="I4" s="3" t="inlineStr">
        <is>
          <t>TVA déclarée</t>
        </is>
      </c>
      <c r="J4" s="3" t="inlineStr">
        <is>
          <t>Écart TVA cumulé</t>
        </is>
      </c>
    </row>
    <row r="5">
      <c r="A5" s="14" t="inlineStr">
        <is>
          <t>2026-01</t>
        </is>
      </c>
      <c r="B5" s="5">
        <f>SUMIFS(Factures!$K$2:$K$260,Factures!$E$2:$E$260,$A5,Factures!$A$2:$A$260,"Siège (gros / import)")+SUMIFS(Factures!$L$2:$L$260,Factures!$E$2:$E$260,$A5,Factures!$A$2:$A$260,"Siège (gros / import)")</f>
        <v/>
      </c>
      <c r="C5" s="5">
        <f>SUMIFS(Factures!$K$2:$K$260,Factures!$E$2:$E$260,$A5,Factures!$A$2:$A$260,"Fenaia (détail)")+SUMIFS(Factures!$L$2:$L$260,Factures!$E$2:$E$260,$A5,Factures!$A$2:$A$260,"Fenaia (détail)")</f>
        <v/>
      </c>
      <c r="D5" s="5">
        <f>B5+C5</f>
        <v/>
      </c>
      <c r="E5" s="12" t="n">
        <v>11994522</v>
      </c>
      <c r="F5" s="5">
        <f>IF(E5="","",E5-D5)</f>
        <v/>
      </c>
      <c r="G5" s="5">
        <f>IF(E5="","",SUM($F$5:F5))</f>
        <v/>
      </c>
      <c r="H5" s="5">
        <f>SUMIFS(Factures!$M$2:$M$260,Factures!$E$2:$E$260,$A5)</f>
        <v/>
      </c>
      <c r="I5" s="12" t="n">
        <v>2278959</v>
      </c>
      <c r="J5" s="5">
        <f>IF(I5="","",SUM($I$5:I5)-SUM($H$5:H5))</f>
        <v/>
      </c>
    </row>
    <row r="6">
      <c r="A6" s="14" t="inlineStr">
        <is>
          <t>2026-02</t>
        </is>
      </c>
      <c r="B6" s="5">
        <f>SUMIFS(Factures!$K$2:$K$260,Factures!$E$2:$E$260,$A6,Factures!$A$2:$A$260,"Siège (gros / import)")+SUMIFS(Factures!$L$2:$L$260,Factures!$E$2:$E$260,$A6,Factures!$A$2:$A$260,"Siège (gros / import)")</f>
        <v/>
      </c>
      <c r="C6" s="5">
        <f>SUMIFS(Factures!$K$2:$K$260,Factures!$E$2:$E$260,$A6,Factures!$A$2:$A$260,"Fenaia (détail)")+SUMIFS(Factures!$L$2:$L$260,Factures!$E$2:$E$260,$A6,Factures!$A$2:$A$260,"Fenaia (détail)")</f>
        <v/>
      </c>
      <c r="D6" s="5">
        <f>B6+C6</f>
        <v/>
      </c>
      <c r="E6" s="12" t="n">
        <v>27783649</v>
      </c>
      <c r="F6" s="5">
        <f>IF(E6="","",E6-D6)</f>
        <v/>
      </c>
      <c r="G6" s="5">
        <f>IF(E6="","",SUM($F$5:F6))</f>
        <v/>
      </c>
      <c r="H6" s="5">
        <f>SUMIFS(Factures!$M$2:$M$260,Factures!$E$2:$E$260,$A6)</f>
        <v/>
      </c>
      <c r="I6" s="12" t="n">
        <v>5278893</v>
      </c>
      <c r="J6" s="5">
        <f>IF(I6="","",SUM($I$5:I6)-SUM($H$5:H6))</f>
        <v/>
      </c>
    </row>
    <row r="7">
      <c r="A7" s="14" t="inlineStr">
        <is>
          <t>2026-03</t>
        </is>
      </c>
      <c r="B7" s="5">
        <f>SUMIFS(Factures!$K$2:$K$260,Factures!$E$2:$E$260,$A7,Factures!$A$2:$A$260,"Siège (gros / import)")+SUMIFS(Factures!$L$2:$L$260,Factures!$E$2:$E$260,$A7,Factures!$A$2:$A$260,"Siège (gros / import)")</f>
        <v/>
      </c>
      <c r="C7" s="5">
        <f>SUMIFS(Factures!$K$2:$K$260,Factures!$E$2:$E$260,$A7,Factures!$A$2:$A$260,"Fenaia (détail)")+SUMIFS(Factures!$L$2:$L$260,Factures!$E$2:$E$260,$A7,Factures!$A$2:$A$260,"Fenaia (détail)")</f>
        <v/>
      </c>
      <c r="D7" s="5">
        <f>B7+C7</f>
        <v/>
      </c>
      <c r="E7" s="12" t="n">
        <v>3445200</v>
      </c>
      <c r="F7" s="5">
        <f>IF(E7="","",E7-D7)</f>
        <v/>
      </c>
      <c r="G7" s="5">
        <f>IF(E7="","",SUM($F$5:F7))</f>
        <v/>
      </c>
      <c r="H7" s="5">
        <f>SUMIFS(Factures!$M$2:$M$260,Factures!$E$2:$E$260,$A7)</f>
        <v/>
      </c>
      <c r="I7" s="12" t="n">
        <v>654588</v>
      </c>
      <c r="J7" s="5">
        <f>IF(I7="","",SUM($I$5:I7)-SUM($H$5:H7))</f>
        <v/>
      </c>
    </row>
    <row r="8">
      <c r="A8" s="14" t="inlineStr">
        <is>
          <t>2026-04</t>
        </is>
      </c>
      <c r="B8" s="5">
        <f>SUMIFS(Factures!$K$2:$K$260,Factures!$E$2:$E$260,$A8,Factures!$A$2:$A$260,"Siège (gros / import)")+SUMIFS(Factures!$L$2:$L$260,Factures!$E$2:$E$260,$A8,Factures!$A$2:$A$260,"Siège (gros / import)")</f>
        <v/>
      </c>
      <c r="C8" s="5">
        <f>SUMIFS(Factures!$K$2:$K$260,Factures!$E$2:$E$260,$A8,Factures!$A$2:$A$260,"Fenaia (détail)")+SUMIFS(Factures!$L$2:$L$260,Factures!$E$2:$E$260,$A8,Factures!$A$2:$A$260,"Fenaia (détail)")</f>
        <v/>
      </c>
      <c r="D8" s="5">
        <f>B8+C8</f>
        <v/>
      </c>
      <c r="E8" s="12" t="n">
        <v>23988307</v>
      </c>
      <c r="F8" s="5">
        <f>IF(E8="","",E8-D8)</f>
        <v/>
      </c>
      <c r="G8" s="5">
        <f>IF(E8="","",SUM($F$5:F8))</f>
        <v/>
      </c>
      <c r="H8" s="5">
        <f>SUMIFS(Factures!$M$2:$M$260,Factures!$E$2:$E$260,$A8)</f>
        <v/>
      </c>
      <c r="I8" s="12" t="n">
        <v>4557778</v>
      </c>
      <c r="J8" s="5">
        <f>IF(I8="","",SUM($I$5:I8)-SUM($H$5:H8))</f>
        <v/>
      </c>
    </row>
    <row r="9">
      <c r="A9" s="14" t="inlineStr">
        <is>
          <t>2026-05</t>
        </is>
      </c>
      <c r="B9" s="5">
        <f>SUMIFS(Factures!$K$2:$K$260,Factures!$E$2:$E$260,$A9,Factures!$A$2:$A$260,"Siège (gros / import)")+SUMIFS(Factures!$L$2:$L$260,Factures!$E$2:$E$260,$A9,Factures!$A$2:$A$260,"Siège (gros / import)")</f>
        <v/>
      </c>
      <c r="C9" s="5">
        <f>SUMIFS(Factures!$K$2:$K$260,Factures!$E$2:$E$260,$A9,Factures!$A$2:$A$260,"Fenaia (détail)")+SUMIFS(Factures!$L$2:$L$260,Factures!$E$2:$E$260,$A9,Factures!$A$2:$A$260,"Fenaia (détail)")</f>
        <v/>
      </c>
      <c r="D9" s="5">
        <f>B9+C9</f>
        <v/>
      </c>
      <c r="E9" s="12" t="n">
        <v>16671298</v>
      </c>
      <c r="F9" s="5">
        <f>IF(E9="","",E9-D9)</f>
        <v/>
      </c>
      <c r="G9" s="5">
        <f>IF(E9="","",SUM($F$5:F9))</f>
        <v/>
      </c>
      <c r="H9" s="5">
        <f>SUMIFS(Factures!$M$2:$M$260,Factures!$E$2:$E$260,$A9)</f>
        <v/>
      </c>
      <c r="I9" s="12" t="n">
        <v>3167547</v>
      </c>
      <c r="J9" s="5">
        <f>IF(I9="","",SUM($I$5:I9)-SUM($H$5:H9))</f>
        <v/>
      </c>
    </row>
    <row r="10">
      <c r="A10" s="14" t="inlineStr">
        <is>
          <t>2026-06</t>
        </is>
      </c>
      <c r="B10" s="5">
        <f>SUMIFS(Factures!$K$2:$K$260,Factures!$E$2:$E$260,$A10,Factures!$A$2:$A$260,"Siège (gros / import)")+SUMIFS(Factures!$L$2:$L$260,Factures!$E$2:$E$260,$A10,Factures!$A$2:$A$260,"Siège (gros / import)")</f>
        <v/>
      </c>
      <c r="C10" s="5">
        <f>SUMIFS(Factures!$K$2:$K$260,Factures!$E$2:$E$260,$A10,Factures!$A$2:$A$260,"Fenaia (détail)")+SUMIFS(Factures!$L$2:$L$260,Factures!$E$2:$E$260,$A10,Factures!$A$2:$A$260,"Fenaia (détail)")</f>
        <v/>
      </c>
      <c r="D10" s="5">
        <f>B10+C10</f>
        <v/>
      </c>
      <c r="E10" s="12" t="n">
        <v>10479294</v>
      </c>
      <c r="F10" s="5">
        <f>IF(E10="","",E10-D10)</f>
        <v/>
      </c>
      <c r="G10" s="5">
        <f>IF(E10="","",SUM($F$5:F10))</f>
        <v/>
      </c>
      <c r="H10" s="5">
        <f>SUMIFS(Factures!$M$2:$M$260,Factures!$E$2:$E$260,$A10)</f>
        <v/>
      </c>
      <c r="I10" s="12" t="n">
        <v>1991066</v>
      </c>
      <c r="J10" s="5">
        <f>IF(I10="","",SUM($I$5:I10)-SUM($H$5:H10))</f>
        <v/>
      </c>
    </row>
    <row r="11">
      <c r="A11" s="14" t="inlineStr">
        <is>
          <t>2026-07</t>
        </is>
      </c>
      <c r="B11" s="5">
        <f>SUMIFS(Factures!$K$2:$K$260,Factures!$E$2:$E$260,$A11,Factures!$A$2:$A$260,"Siège (gros / import)")+SUMIFS(Factures!$L$2:$L$260,Factures!$E$2:$E$260,$A11,Factures!$A$2:$A$260,"Siège (gros / import)")</f>
        <v/>
      </c>
      <c r="C11" s="5">
        <f>SUMIFS(Factures!$K$2:$K$260,Factures!$E$2:$E$260,$A11,Factures!$A$2:$A$260,"Fenaia (détail)")+SUMIFS(Factures!$L$2:$L$260,Factures!$E$2:$E$260,$A11,Factures!$A$2:$A$260,"Fenaia (détail)")</f>
        <v/>
      </c>
      <c r="D11" s="5">
        <f>B11+C11</f>
        <v/>
      </c>
      <c r="E11" s="12" t="n">
        <v>7604135</v>
      </c>
      <c r="F11" s="5">
        <f>IF(E11="","",E11-D11)</f>
        <v/>
      </c>
      <c r="G11" s="5">
        <f>IF(E11="","",SUM($F$5:F11))</f>
        <v/>
      </c>
      <c r="H11" s="5">
        <f>SUMIFS(Factures!$M$2:$M$260,Factures!$E$2:$E$260,$A11)</f>
        <v/>
      </c>
      <c r="I11" s="12" t="n">
        <v>1444786</v>
      </c>
      <c r="J11" s="5">
        <f>IF(I11="","",SUM($I$5:I11)-SUM($H$5:H11))</f>
        <v/>
      </c>
    </row>
    <row r="12">
      <c r="A12" s="14" t="inlineStr">
        <is>
          <t>2026-08</t>
        </is>
      </c>
      <c r="B12" s="5">
        <f>SUMIFS(Factures!$K$2:$K$260,Factures!$E$2:$E$260,$A12,Factures!$A$2:$A$260,"Siège (gros / import)")+SUMIFS(Factures!$L$2:$L$260,Factures!$E$2:$E$260,$A12,Factures!$A$2:$A$260,"Siège (gros / import)")</f>
        <v/>
      </c>
      <c r="C12" s="5">
        <f>SUMIFS(Factures!$K$2:$K$260,Factures!$E$2:$E$260,$A12,Factures!$A$2:$A$260,"Fenaia (détail)")+SUMIFS(Factures!$L$2:$L$260,Factures!$E$2:$E$260,$A12,Factures!$A$2:$A$260,"Fenaia (détail)")</f>
        <v/>
      </c>
      <c r="D12" s="5">
        <f>B12+C12</f>
        <v/>
      </c>
      <c r="E12" s="12" t="n">
        <v>4413684</v>
      </c>
      <c r="F12" s="5">
        <f>IF(E12="","",E12-D12)</f>
        <v/>
      </c>
      <c r="G12" s="5">
        <f>IF(E12="","",SUM($F$5:F12))</f>
        <v/>
      </c>
      <c r="H12" s="5">
        <f>SUMIFS(Factures!$M$2:$M$260,Factures!$E$2:$E$260,$A12)</f>
        <v/>
      </c>
      <c r="I12" s="12" t="n">
        <v>838600</v>
      </c>
      <c r="J12" s="5">
        <f>IF(I12="","",SUM($I$5:I12)-SUM($H$5:H12))</f>
        <v/>
      </c>
    </row>
    <row r="13">
      <c r="A13" s="14" t="inlineStr">
        <is>
          <t>2026-09</t>
        </is>
      </c>
      <c r="B13" s="5">
        <f>SUMIFS(Factures!$K$2:$K$260,Factures!$E$2:$E$260,$A13,Factures!$A$2:$A$260,"Siège (gros / import)")+SUMIFS(Factures!$L$2:$L$260,Factures!$E$2:$E$260,$A13,Factures!$A$2:$A$260,"Siège (gros / import)")</f>
        <v/>
      </c>
      <c r="C13" s="5">
        <f>SUMIFS(Factures!$K$2:$K$260,Factures!$E$2:$E$260,$A13,Factures!$A$2:$A$260,"Fenaia (détail)")+SUMIFS(Factures!$L$2:$L$260,Factures!$E$2:$E$260,$A13,Factures!$A$2:$A$260,"Fenaia (détail)")</f>
        <v/>
      </c>
      <c r="D13" s="5">
        <f>B13+C13</f>
        <v/>
      </c>
      <c r="E13" s="12" t="n"/>
      <c r="F13" s="5">
        <f>IF(E13="","",E13-D13)</f>
        <v/>
      </c>
      <c r="G13" s="5">
        <f>IF(E13="","",SUM($F$5:F13))</f>
        <v/>
      </c>
      <c r="H13" s="5">
        <f>SUMIFS(Factures!$M$2:$M$260,Factures!$E$2:$E$260,$A13)</f>
        <v/>
      </c>
      <c r="I13" s="12" t="n"/>
      <c r="J13" s="5">
        <f>IF(I13="","",SUM($I$5:I13)-SUM($H$5:H13))</f>
        <v/>
      </c>
    </row>
    <row r="14">
      <c r="A14" s="14" t="inlineStr">
        <is>
          <t>2026-10</t>
        </is>
      </c>
      <c r="B14" s="5">
        <f>SUMIFS(Factures!$K$2:$K$260,Factures!$E$2:$E$260,$A14,Factures!$A$2:$A$260,"Siège (gros / import)")+SUMIFS(Factures!$L$2:$L$260,Factures!$E$2:$E$260,$A14,Factures!$A$2:$A$260,"Siège (gros / import)")</f>
        <v/>
      </c>
      <c r="C14" s="5">
        <f>SUMIFS(Factures!$K$2:$K$260,Factures!$E$2:$E$260,$A14,Factures!$A$2:$A$260,"Fenaia (détail)")+SUMIFS(Factures!$L$2:$L$260,Factures!$E$2:$E$260,$A14,Factures!$A$2:$A$260,"Fenaia (détail)")</f>
        <v/>
      </c>
      <c r="D14" s="5">
        <f>B14+C14</f>
        <v/>
      </c>
      <c r="E14" s="12" t="n"/>
      <c r="F14" s="5">
        <f>IF(E14="","",E14-D14)</f>
        <v/>
      </c>
      <c r="G14" s="5">
        <f>IF(E14="","",SUM($F$5:F14))</f>
        <v/>
      </c>
      <c r="H14" s="5">
        <f>SUMIFS(Factures!$M$2:$M$260,Factures!$E$2:$E$260,$A14)</f>
        <v/>
      </c>
      <c r="I14" s="12" t="n"/>
      <c r="J14" s="5">
        <f>IF(I14="","",SUM($I$5:I14)-SUM($H$5:H14))</f>
        <v/>
      </c>
    </row>
    <row r="15">
      <c r="A15" s="4" t="inlineStr">
        <is>
          <t>Total</t>
        </is>
      </c>
      <c r="B15" s="15">
        <f>SUM(B5:B14)</f>
        <v/>
      </c>
      <c r="C15" s="15">
        <f>SUM(C5:C14)</f>
        <v/>
      </c>
      <c r="D15" s="15">
        <f>SUM(D5:D14)</f>
        <v/>
      </c>
      <c r="E15" s="15">
        <f>SUM(E5:E14)</f>
        <v/>
      </c>
      <c r="H15" s="15">
        <f>SUM(H5:H14)</f>
        <v/>
      </c>
    </row>
    <row r="17" ht="32" customHeight="1">
      <c r="A17" s="2" t="inlineStr">
        <is>
          <t>Écart cumulé négatif = CA facturé mais pas encore déclaré. Il atteint son maximum fin mars (ventes de mars reportées), puis se résorbe d'avril à août : la TVA correspondante a été payée en retard. Septembre et octobre : G50 non fournies.</t>
        </is>
      </c>
    </row>
    <row r="18">
      <c r="A18" s="9" t="inlineStr">
        <is>
          <t>Source des montants déclarés : G50 IMPORT 2026 (feuille G.50-3, ligne E3B22).</t>
        </is>
      </c>
    </row>
  </sheetData>
  <mergeCells count="1">
    <mergeCell ref="A17:J17"/>
  </mergeCells>
  <conditionalFormatting sqref="G5:G14">
    <cfRule type="cellIs" priority="1" operator="lessThan" dxfId="1">
      <formula>-1000000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2026-10-04T11:14:59Z</dcterms:created>
  <dcterms:modified xsi:type="dcterms:W3CDTF">2026-10-04T11:14:59Z</dcterms:modified>
</cp:coreProperties>
</file>